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6F43C6FF-07D0-4FC9-94F5-A62C2AA5EE59}" xr6:coauthVersionLast="47" xr6:coauthVersionMax="47" xr10:uidLastSave="{00000000-0000-0000-0000-000000000000}"/>
  <bookViews>
    <workbookView xWindow="-120" yWindow="-120" windowWidth="29040" windowHeight="15840" tabRatio="500" activeTab="2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SEMUA!$A$1:$AZ$21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3" i="3" l="1"/>
  <c r="E12" i="3"/>
  <c r="E11" i="3"/>
  <c r="E10" i="3"/>
  <c r="E9" i="3"/>
  <c r="E8" i="3"/>
  <c r="E7" i="3"/>
  <c r="E6" i="3"/>
  <c r="E5" i="3"/>
  <c r="E4" i="3"/>
  <c r="L4" i="3"/>
  <c r="H5" i="3"/>
  <c r="H6" i="3"/>
  <c r="H7" i="3"/>
  <c r="H8" i="3"/>
  <c r="H9" i="3"/>
  <c r="H10" i="3"/>
  <c r="H11" i="3"/>
  <c r="H4" i="3"/>
  <c r="B5" i="3"/>
  <c r="B6" i="3"/>
  <c r="B7" i="3"/>
  <c r="B8" i="3"/>
  <c r="B9" i="3"/>
  <c r="B10" i="3"/>
  <c r="B4" i="3"/>
  <c r="E14" i="3" l="1"/>
  <c r="H12" i="3"/>
  <c r="B11" i="3"/>
</calcChain>
</file>

<file path=xl/sharedStrings.xml><?xml version="1.0" encoding="utf-8"?>
<sst xmlns="http://schemas.openxmlformats.org/spreadsheetml/2006/main" count="380" uniqueCount="110">
  <si>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</si>
  <si>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</si>
  <si>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</si>
  <si>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</si>
  <si>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</si>
  <si>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</si>
  <si>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</si>
  <si>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</si>
  <si>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</si>
  <si>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</si>
  <si>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</si>
  <si>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</si>
  <si>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</si>
  <si>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</si>
  <si>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</si>
  <si>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</si>
  <si>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</si>
  <si>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</si>
  <si>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</si>
  <si>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</si>
  <si>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</si>
  <si>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</si>
  <si>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</si>
  <si>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</si>
  <si>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</si>
  <si>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</si>
  <si>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</si>
  <si>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</si>
  <si>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</si>
  <si>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</si>
  <si>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</si>
  <si>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</si>
  <si>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</si>
  <si>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</si>
  <si>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</si>
  <si>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</si>
  <si>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</si>
  <si>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</si>
  <si>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</si>
  <si>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</si>
  <si>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</si>
  <si>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</si>
  <si>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</si>
  <si>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</si>
  <si>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</si>
  <si>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</si>
  <si>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</si>
  <si>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</si>
  <si>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</si>
  <si>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</si>
  <si>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</si>
  <si>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</si>
  <si>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</si>
  <si>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</si>
  <si>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</si>
  <si>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</si>
  <si>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</si>
  <si>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</si>
  <si>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</si>
  <si>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</si>
  <si>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</si>
  <si>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</si>
  <si>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</si>
  <si>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</si>
  <si>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</si>
  <si>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</si>
  <si>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</si>
  <si>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</si>
  <si>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</si>
  <si>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</si>
  <si>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</si>
  <si>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</si>
  <si>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</si>
  <si>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</si>
  <si>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</si>
  <si>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</si>
  <si>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</si>
  <si>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</si>
  <si>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</si>
  <si>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</si>
  <si>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</si>
  <si>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</si>
  <si>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</si>
  <si>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</si>
  <si>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</si>
  <si>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</si>
  <si>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</si>
  <si>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</si>
  <si>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</si>
  <si>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</si>
  <si>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</si>
  <si>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</si>
  <si>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</si>
  <si>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</si>
  <si>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</si>
  <si>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</si>
  <si>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</si>
  <si>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</si>
  <si>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</si>
  <si>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</si>
  <si>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</si>
  <si>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</si>
  <si>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</si>
  <si>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</si>
  <si>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</si>
  <si>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</si>
  <si>
    <t>SPT</t>
  </si>
  <si>
    <t>31 MEI</t>
  </si>
  <si>
    <t>ROBI JARKASIH</t>
  </si>
  <si>
    <t>03 JUNI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</si>
</sst>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51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Border="1"/>
    <xf numFmtId="0" fontId="22" fillId="0" borderId="0" xfId="0" applyFont="1" applyBorder="1" applyAlignment="1">
      <alignment horizontal="center"/>
    </xf>
    <xf numFmtId="1" fontId="22" fillId="0" borderId="0" xfId="0" applyNumberFormat="1" applyFont="1" applyBorder="1" applyAlignment="1">
      <alignment horizontal="center"/>
    </xf>
    <xf numFmtId="0" fontId="21" fillId="0" borderId="0" xfId="0" applyFont="1" applyBorder="1"/>
    <xf numFmtId="1" fontId="21" fillId="0" borderId="0" xfId="0" applyNumberFormat="1" applyFont="1" applyBorder="1" applyAlignment="1">
      <alignment horizontal="center"/>
    </xf>
    <xf numFmtId="49" fontId="21" fillId="0" borderId="0" xfId="0" applyNumberFormat="1" applyFont="1" applyBorder="1" applyAlignment="1">
      <alignment horizontal="center"/>
    </xf>
    <xf numFmtId="0" fontId="22" fillId="0" borderId="4" xfId="0" applyFont="1" applyBorder="1"/>
    <xf numFmtId="0" fontId="21" fillId="0" borderId="4" xfId="0" applyFont="1" applyBorder="1"/>
    <xf numFmtId="0" fontId="22" fillId="0" borderId="4" xfId="0" applyFont="1" applyBorder="1" applyAlignment="1">
      <alignment horizontal="center"/>
    </xf>
    <xf numFmtId="1" fontId="21" fillId="0" borderId="4" xfId="0" applyNumberFormat="1" applyFont="1" applyBorder="1" applyAlignment="1">
      <alignment horizontal="center"/>
    </xf>
    <xf numFmtId="49" fontId="21" fillId="0" borderId="4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left" vertical="center"/>
    </xf>
    <xf numFmtId="0" fontId="21" fillId="0" borderId="0" xfId="0" applyNumberFormat="1" applyFont="1" applyAlignment="1">
      <alignment horizontal="center"/>
    </xf>
    <xf numFmtId="0" fontId="15" fillId="0" borderId="0" xfId="0" applyNumberFormat="1" applyFont="1" applyBorder="1" applyAlignment="1">
      <alignment horizontal="center" vertical="center" wrapText="1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opLeftCell="M1" zoomScale="55" zoomScaleNormal="55" workbookViewId="0">
      <pane ySplit="1" topLeftCell="A5" activePane="bottomLeft" state="frozen"/>
      <selection pane="bottomLeft" activeCell="P21" sqref="P21:V21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2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28515625" style="3" bestFit="1" customWidth="1"/>
    <col min="24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48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  <c r="M1" s="14" t="s">
        <v>13</v>
      </c>
      <c r="N1" s="14" t="s">
        <v>14</v>
      </c>
      <c r="O1" s="5" t="s">
        <v>3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5" t="s">
        <v>58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4" t="s">
        <v>28</v>
      </c>
      <c r="AE1" s="14" t="s">
        <v>29</v>
      </c>
      <c r="AF1" s="14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100</v>
      </c>
      <c r="AR1" s="2" t="s">
        <v>59</v>
      </c>
      <c r="AS1" s="2" t="s">
        <v>102</v>
      </c>
      <c r="AT1" s="2" t="s">
        <v>104</v>
      </c>
    </row>
    <row r="2" spans="1:1014" ht="28.15" customHeight="1" x14ac:dyDescent="0.25">
      <c r="A2" s="37" t="s">
        <v>60</v>
      </c>
      <c r="B2" s="37" t="s">
        <v>62</v>
      </c>
      <c r="C2" s="38" t="s">
        <v>57</v>
      </c>
      <c r="D2" s="39">
        <v>41</v>
      </c>
      <c r="E2" s="38">
        <v>56</v>
      </c>
      <c r="F2" s="38" t="s">
        <v>33</v>
      </c>
      <c r="G2" s="19">
        <v>49</v>
      </c>
      <c r="H2" s="19">
        <v>25</v>
      </c>
      <c r="I2" s="19">
        <v>20</v>
      </c>
      <c r="J2" s="19">
        <v>31</v>
      </c>
      <c r="K2" s="19">
        <v>31</v>
      </c>
      <c r="L2" s="19">
        <v>31</v>
      </c>
      <c r="M2" s="19">
        <v>80</v>
      </c>
      <c r="N2" s="19">
        <v>44</v>
      </c>
      <c r="O2" s="19" t="s">
        <v>46</v>
      </c>
      <c r="P2" s="19">
        <v>108</v>
      </c>
      <c r="Q2" s="19">
        <v>121</v>
      </c>
      <c r="R2" s="19">
        <v>67</v>
      </c>
      <c r="S2" s="19">
        <v>37</v>
      </c>
      <c r="T2" s="19">
        <v>27</v>
      </c>
      <c r="U2" s="19">
        <v>21</v>
      </c>
      <c r="V2" s="19">
        <v>98</v>
      </c>
      <c r="W2" s="19" t="s">
        <v>99</v>
      </c>
      <c r="X2" s="19">
        <v>49</v>
      </c>
      <c r="Y2" s="19">
        <v>67</v>
      </c>
      <c r="Z2" s="19">
        <v>21</v>
      </c>
      <c r="AA2" s="19">
        <v>15</v>
      </c>
      <c r="AB2" s="19">
        <v>124</v>
      </c>
      <c r="AC2" s="19">
        <v>124</v>
      </c>
      <c r="AD2" s="19">
        <v>124</v>
      </c>
      <c r="AE2" s="19">
        <v>80</v>
      </c>
      <c r="AF2" s="19">
        <v>44</v>
      </c>
      <c r="AG2" s="19">
        <v>49</v>
      </c>
      <c r="AH2" s="19">
        <v>68</v>
      </c>
      <c r="AI2" s="19">
        <v>20</v>
      </c>
      <c r="AJ2" s="19">
        <v>13</v>
      </c>
      <c r="AK2" s="19">
        <v>31</v>
      </c>
      <c r="AL2" s="19">
        <v>31</v>
      </c>
      <c r="AM2" s="19">
        <v>31</v>
      </c>
      <c r="AN2" s="19">
        <v>79</v>
      </c>
      <c r="AO2" s="19">
        <v>44</v>
      </c>
      <c r="AP2" s="19">
        <v>1</v>
      </c>
      <c r="AQ2" t="s">
        <v>101</v>
      </c>
      <c r="AR2" t="s">
        <v>107</v>
      </c>
      <c r="AS2" t="s">
        <v>103</v>
      </c>
      <c r="AT2" t="s">
        <v>105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61</v>
      </c>
      <c r="B3" s="37" t="s">
        <v>63</v>
      </c>
      <c r="C3" s="38" t="s">
        <v>57</v>
      </c>
      <c r="D3" s="39">
        <v>41</v>
      </c>
      <c r="E3" s="38">
        <v>55</v>
      </c>
      <c r="F3" s="38" t="s">
        <v>32</v>
      </c>
      <c r="G3" s="19">
        <v>47</v>
      </c>
      <c r="H3" s="19">
        <v>24</v>
      </c>
      <c r="I3" s="19">
        <v>17</v>
      </c>
      <c r="J3" s="19">
        <v>27</v>
      </c>
      <c r="K3" s="19">
        <v>25</v>
      </c>
      <c r="L3" s="19">
        <v>27</v>
      </c>
      <c r="M3" s="19">
        <v>70</v>
      </c>
      <c r="N3" s="19">
        <v>38</v>
      </c>
      <c r="O3" s="19" t="s">
        <v>46</v>
      </c>
      <c r="P3" s="19">
        <v>83</v>
      </c>
      <c r="Q3" s="19">
        <v>100</v>
      </c>
      <c r="R3" s="19">
        <v>68</v>
      </c>
      <c r="S3" s="19">
        <v>31</v>
      </c>
      <c r="T3" s="19">
        <v>25</v>
      </c>
      <c r="U3" s="19">
        <v>20</v>
      </c>
      <c r="V3" s="19">
        <v>90</v>
      </c>
      <c r="W3" s="19" t="s">
        <v>99</v>
      </c>
      <c r="X3" s="19">
        <v>47</v>
      </c>
      <c r="Y3" s="19">
        <v>55</v>
      </c>
      <c r="Z3" s="19">
        <v>18</v>
      </c>
      <c r="AA3" s="19">
        <v>14</v>
      </c>
      <c r="AB3" s="19">
        <v>96</v>
      </c>
      <c r="AC3" s="19">
        <v>88</v>
      </c>
      <c r="AD3" s="19">
        <v>104</v>
      </c>
      <c r="AE3" s="19">
        <v>71</v>
      </c>
      <c r="AF3" s="19">
        <v>38</v>
      </c>
      <c r="AG3" s="19">
        <v>47</v>
      </c>
      <c r="AH3" s="19">
        <v>56</v>
      </c>
      <c r="AI3" s="19">
        <v>17</v>
      </c>
      <c r="AJ3" s="19">
        <v>13</v>
      </c>
      <c r="AK3" s="19">
        <v>27</v>
      </c>
      <c r="AL3" s="19">
        <v>25</v>
      </c>
      <c r="AM3" s="19">
        <v>27</v>
      </c>
      <c r="AN3" s="19">
        <v>70</v>
      </c>
      <c r="AO3" s="19">
        <v>38</v>
      </c>
      <c r="AP3" s="19">
        <v>1</v>
      </c>
      <c r="AQ3" t="s">
        <v>101</v>
      </c>
      <c r="AR3" t="s">
        <v>107</v>
      </c>
      <c r="AS3" t="s">
        <v>103</v>
      </c>
      <c r="AT3" t="s">
        <v>105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67</v>
      </c>
      <c r="B4" s="37" t="s">
        <v>64</v>
      </c>
      <c r="C4" s="38" t="s">
        <v>57</v>
      </c>
      <c r="D4" s="39">
        <v>41</v>
      </c>
      <c r="E4" s="38">
        <v>58</v>
      </c>
      <c r="F4" s="38" t="s">
        <v>34</v>
      </c>
      <c r="G4" s="19">
        <v>47</v>
      </c>
      <c r="H4" s="19">
        <v>23</v>
      </c>
      <c r="I4" s="19">
        <v>19</v>
      </c>
      <c r="J4" s="19">
        <v>29</v>
      </c>
      <c r="K4" s="19">
        <v>27</v>
      </c>
      <c r="L4" s="19">
        <v>29</v>
      </c>
      <c r="M4" s="19">
        <v>69</v>
      </c>
      <c r="N4" s="19">
        <v>43</v>
      </c>
      <c r="O4" s="19" t="s">
        <v>46</v>
      </c>
      <c r="P4" s="19">
        <v>96</v>
      </c>
      <c r="Q4" s="19">
        <v>112</v>
      </c>
      <c r="R4" s="19">
        <v>70</v>
      </c>
      <c r="S4" s="19">
        <v>29</v>
      </c>
      <c r="T4" s="19">
        <v>24</v>
      </c>
      <c r="U4" s="19">
        <v>20</v>
      </c>
      <c r="V4" s="19">
        <v>89</v>
      </c>
      <c r="W4" s="19" t="s">
        <v>99</v>
      </c>
      <c r="X4" s="19">
        <v>47</v>
      </c>
      <c r="Y4" s="19">
        <v>55</v>
      </c>
      <c r="Z4" s="19">
        <v>20</v>
      </c>
      <c r="AA4" s="19">
        <v>19</v>
      </c>
      <c r="AB4" s="19">
        <v>109</v>
      </c>
      <c r="AC4" s="19">
        <v>104</v>
      </c>
      <c r="AD4" s="19">
        <v>116</v>
      </c>
      <c r="AE4" s="19">
        <v>70</v>
      </c>
      <c r="AF4" s="19">
        <v>43</v>
      </c>
      <c r="AG4" s="19">
        <v>47</v>
      </c>
      <c r="AH4" s="19">
        <v>56</v>
      </c>
      <c r="AI4" s="19">
        <v>19</v>
      </c>
      <c r="AJ4" s="19">
        <v>13</v>
      </c>
      <c r="AK4" s="19">
        <v>29</v>
      </c>
      <c r="AL4" s="19">
        <v>27</v>
      </c>
      <c r="AM4" s="19">
        <v>29</v>
      </c>
      <c r="AN4" s="19">
        <v>69</v>
      </c>
      <c r="AO4" s="19">
        <v>43</v>
      </c>
      <c r="AP4" s="19">
        <v>1</v>
      </c>
      <c r="AQ4" t="s">
        <v>101</v>
      </c>
      <c r="AR4" t="s">
        <v>107</v>
      </c>
      <c r="AS4" t="s">
        <v>103</v>
      </c>
      <c r="AT4" t="s">
        <v>105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68</v>
      </c>
      <c r="B5" s="37" t="s">
        <v>65</v>
      </c>
      <c r="C5" s="38" t="s">
        <v>57</v>
      </c>
      <c r="D5" s="39">
        <v>43</v>
      </c>
      <c r="E5" s="38">
        <v>57</v>
      </c>
      <c r="F5" s="38" t="s">
        <v>34</v>
      </c>
      <c r="G5" s="19">
        <v>50</v>
      </c>
      <c r="H5" s="19">
        <v>25</v>
      </c>
      <c r="I5" s="19">
        <v>20</v>
      </c>
      <c r="J5" s="19">
        <v>31</v>
      </c>
      <c r="K5" s="19">
        <v>29</v>
      </c>
      <c r="L5" s="19">
        <v>31</v>
      </c>
      <c r="M5" s="19">
        <v>74</v>
      </c>
      <c r="N5" s="19">
        <v>46</v>
      </c>
      <c r="O5" s="19" t="s">
        <v>46</v>
      </c>
      <c r="P5" s="19">
        <v>102</v>
      </c>
      <c r="Q5" s="19">
        <v>110</v>
      </c>
      <c r="R5" s="19">
        <v>70</v>
      </c>
      <c r="S5" s="19">
        <v>36</v>
      </c>
      <c r="T5" s="19">
        <v>27</v>
      </c>
      <c r="U5" s="19">
        <v>20</v>
      </c>
      <c r="V5" s="19">
        <v>95</v>
      </c>
      <c r="W5" s="19" t="s">
        <v>99</v>
      </c>
      <c r="X5" s="19">
        <v>50</v>
      </c>
      <c r="Y5" s="19">
        <v>55</v>
      </c>
      <c r="Z5" s="19">
        <v>21</v>
      </c>
      <c r="AA5" s="19">
        <v>15</v>
      </c>
      <c r="AB5" s="19">
        <v>118</v>
      </c>
      <c r="AC5" s="19">
        <v>110</v>
      </c>
      <c r="AD5" s="19">
        <v>114</v>
      </c>
      <c r="AE5" s="19">
        <v>75</v>
      </c>
      <c r="AF5" s="19">
        <v>46</v>
      </c>
      <c r="AG5" s="19">
        <v>50</v>
      </c>
      <c r="AH5" s="19">
        <v>56</v>
      </c>
      <c r="AI5" s="19">
        <v>20</v>
      </c>
      <c r="AJ5" s="19">
        <v>13</v>
      </c>
      <c r="AK5" s="19">
        <v>31</v>
      </c>
      <c r="AL5" s="19">
        <v>29</v>
      </c>
      <c r="AM5" s="19">
        <v>31</v>
      </c>
      <c r="AN5" s="19">
        <v>74</v>
      </c>
      <c r="AO5" s="19">
        <v>46</v>
      </c>
      <c r="AP5" s="19">
        <v>1</v>
      </c>
      <c r="AQ5" t="s">
        <v>101</v>
      </c>
      <c r="AR5" t="s">
        <v>107</v>
      </c>
      <c r="AS5" t="s">
        <v>103</v>
      </c>
      <c r="AT5" t="s">
        <v>105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69</v>
      </c>
      <c r="B6" s="37" t="s">
        <v>66</v>
      </c>
      <c r="C6" s="38" t="s">
        <v>57</v>
      </c>
      <c r="D6" s="39">
        <v>41</v>
      </c>
      <c r="E6" s="38">
        <v>57</v>
      </c>
      <c r="F6" s="38" t="s">
        <v>32</v>
      </c>
      <c r="G6" s="19">
        <v>47</v>
      </c>
      <c r="H6" s="19">
        <v>24</v>
      </c>
      <c r="I6" s="19">
        <v>18</v>
      </c>
      <c r="J6" s="19">
        <v>29</v>
      </c>
      <c r="K6" s="19">
        <v>28</v>
      </c>
      <c r="L6" s="19">
        <v>29</v>
      </c>
      <c r="M6" s="19">
        <v>64</v>
      </c>
      <c r="N6" s="19">
        <v>41</v>
      </c>
      <c r="O6" s="19" t="s">
        <v>46</v>
      </c>
      <c r="P6" s="19">
        <v>94</v>
      </c>
      <c r="Q6" s="19">
        <v>102</v>
      </c>
      <c r="R6" s="19">
        <v>65</v>
      </c>
      <c r="S6" s="19">
        <v>33</v>
      </c>
      <c r="T6" s="19">
        <v>25</v>
      </c>
      <c r="U6" s="19">
        <v>18</v>
      </c>
      <c r="V6" s="19">
        <v>90</v>
      </c>
      <c r="W6" s="19" t="s">
        <v>99</v>
      </c>
      <c r="X6" s="19">
        <v>47</v>
      </c>
      <c r="Y6" s="19">
        <v>55</v>
      </c>
      <c r="Z6" s="19">
        <v>19</v>
      </c>
      <c r="AA6" s="19">
        <v>14</v>
      </c>
      <c r="AB6" s="19">
        <v>102</v>
      </c>
      <c r="AC6" s="19">
        <v>97</v>
      </c>
      <c r="AD6" s="19">
        <v>106</v>
      </c>
      <c r="AE6" s="19">
        <v>65</v>
      </c>
      <c r="AF6" s="19">
        <v>41</v>
      </c>
      <c r="AG6" s="19">
        <v>47</v>
      </c>
      <c r="AH6" s="19">
        <v>56</v>
      </c>
      <c r="AI6" s="19">
        <v>18</v>
      </c>
      <c r="AJ6" s="19">
        <v>13</v>
      </c>
      <c r="AK6" s="19">
        <v>29</v>
      </c>
      <c r="AL6" s="19">
        <v>28</v>
      </c>
      <c r="AM6" s="19">
        <v>29</v>
      </c>
      <c r="AN6" s="19">
        <v>64</v>
      </c>
      <c r="AO6" s="19">
        <v>41</v>
      </c>
      <c r="AP6" s="19">
        <v>1</v>
      </c>
      <c r="AQ6" t="s">
        <v>101</v>
      </c>
      <c r="AR6" t="s">
        <v>107</v>
      </c>
      <c r="AS6" t="s">
        <v>103</v>
      </c>
      <c r="AT6" t="s">
        <v>105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70</v>
      </c>
      <c r="B7" s="40" t="s">
        <v>80</v>
      </c>
      <c r="C7" s="38" t="s">
        <v>57</v>
      </c>
      <c r="D7" s="41">
        <v>44</v>
      </c>
      <c r="E7" s="42">
        <v>54</v>
      </c>
      <c r="F7" s="42" t="s">
        <v>32</v>
      </c>
      <c r="G7" s="16">
        <v>45</v>
      </c>
      <c r="H7" s="16">
        <v>25</v>
      </c>
      <c r="I7" s="16">
        <v>18</v>
      </c>
      <c r="J7" s="16">
        <v>30</v>
      </c>
      <c r="K7" s="16">
        <v>30</v>
      </c>
      <c r="L7" s="16">
        <v>30</v>
      </c>
      <c r="M7" s="16">
        <v>73</v>
      </c>
      <c r="N7" s="16">
        <v>43</v>
      </c>
      <c r="O7" s="19" t="s">
        <v>46</v>
      </c>
      <c r="P7" s="16">
        <v>96</v>
      </c>
      <c r="Q7" s="16">
        <v>112</v>
      </c>
      <c r="R7" s="16">
        <v>65</v>
      </c>
      <c r="S7" s="16">
        <v>34</v>
      </c>
      <c r="T7" s="16">
        <v>25</v>
      </c>
      <c r="U7" s="16">
        <v>21</v>
      </c>
      <c r="V7" s="16">
        <v>99</v>
      </c>
      <c r="W7" s="19" t="s">
        <v>99</v>
      </c>
      <c r="X7" s="16">
        <v>45</v>
      </c>
      <c r="Y7" s="16">
        <v>62</v>
      </c>
      <c r="Z7" s="16">
        <v>19</v>
      </c>
      <c r="AA7" s="16">
        <v>14</v>
      </c>
      <c r="AB7" s="16">
        <v>108</v>
      </c>
      <c r="AC7" s="16">
        <v>109</v>
      </c>
      <c r="AD7" s="16">
        <v>116</v>
      </c>
      <c r="AE7" s="16">
        <v>74</v>
      </c>
      <c r="AF7" s="16">
        <v>43</v>
      </c>
      <c r="AG7" s="16">
        <v>45</v>
      </c>
      <c r="AH7" s="16">
        <v>63</v>
      </c>
      <c r="AI7" s="16">
        <v>18</v>
      </c>
      <c r="AJ7" s="16">
        <v>13</v>
      </c>
      <c r="AK7" s="16">
        <v>30</v>
      </c>
      <c r="AL7" s="16">
        <v>30</v>
      </c>
      <c r="AM7" s="16">
        <v>30</v>
      </c>
      <c r="AN7" s="16">
        <v>73</v>
      </c>
      <c r="AO7" s="16">
        <v>43</v>
      </c>
      <c r="AP7" s="19">
        <v>1</v>
      </c>
      <c r="AQ7" t="s">
        <v>101</v>
      </c>
      <c r="AR7" t="s">
        <v>107</v>
      </c>
      <c r="AS7" t="s">
        <v>103</v>
      </c>
      <c r="AT7" t="s">
        <v>105</v>
      </c>
    </row>
    <row r="8" spans="1:1014" ht="28.15" customHeight="1" x14ac:dyDescent="0.25">
      <c r="A8" s="37" t="s">
        <v>71</v>
      </c>
      <c r="B8" s="40" t="s">
        <v>81</v>
      </c>
      <c r="C8" s="38" t="s">
        <v>57</v>
      </c>
      <c r="D8" s="41">
        <v>43</v>
      </c>
      <c r="E8" s="42">
        <v>59</v>
      </c>
      <c r="F8" s="42" t="s">
        <v>34</v>
      </c>
      <c r="G8" s="16">
        <v>50</v>
      </c>
      <c r="H8" s="16">
        <v>25</v>
      </c>
      <c r="I8" s="16">
        <v>20</v>
      </c>
      <c r="J8" s="16">
        <v>31</v>
      </c>
      <c r="K8" s="3">
        <v>29</v>
      </c>
      <c r="L8" s="3">
        <v>31</v>
      </c>
      <c r="M8" s="16">
        <v>73</v>
      </c>
      <c r="N8" s="16">
        <v>44</v>
      </c>
      <c r="O8" s="19" t="s">
        <v>46</v>
      </c>
      <c r="P8" s="16">
        <v>104</v>
      </c>
      <c r="Q8" s="16">
        <v>120</v>
      </c>
      <c r="R8" s="15">
        <v>70</v>
      </c>
      <c r="S8" s="16">
        <v>36</v>
      </c>
      <c r="T8" s="16">
        <v>26</v>
      </c>
      <c r="U8" s="16">
        <v>21</v>
      </c>
      <c r="V8" s="16">
        <v>93</v>
      </c>
      <c r="W8" s="19" t="s">
        <v>99</v>
      </c>
      <c r="X8" s="16">
        <v>50</v>
      </c>
      <c r="Y8" s="16">
        <v>57</v>
      </c>
      <c r="Z8" s="16">
        <v>21</v>
      </c>
      <c r="AA8" s="16">
        <v>15</v>
      </c>
      <c r="AB8" s="16">
        <v>120</v>
      </c>
      <c r="AC8" s="16">
        <v>114</v>
      </c>
      <c r="AD8" s="16">
        <v>122</v>
      </c>
      <c r="AE8" s="16">
        <v>74</v>
      </c>
      <c r="AF8" s="16">
        <v>44</v>
      </c>
      <c r="AG8" s="16">
        <v>50</v>
      </c>
      <c r="AH8" s="16">
        <v>58</v>
      </c>
      <c r="AI8" s="16">
        <v>20</v>
      </c>
      <c r="AJ8" s="16">
        <v>13</v>
      </c>
      <c r="AK8" s="16">
        <v>31</v>
      </c>
      <c r="AL8" s="16">
        <v>29</v>
      </c>
      <c r="AM8" s="16">
        <v>31</v>
      </c>
      <c r="AN8" s="16">
        <v>73</v>
      </c>
      <c r="AO8" s="16">
        <v>44</v>
      </c>
      <c r="AP8" s="19">
        <v>1</v>
      </c>
      <c r="AQ8" t="s">
        <v>101</v>
      </c>
      <c r="AR8" t="s">
        <v>107</v>
      </c>
      <c r="AS8" t="s">
        <v>103</v>
      </c>
      <c r="AT8" t="s">
        <v>105</v>
      </c>
    </row>
    <row r="9" spans="1:1014" ht="28.15" customHeight="1" x14ac:dyDescent="0.25">
      <c r="A9" s="37" t="s">
        <v>72</v>
      </c>
      <c r="B9" s="40" t="s">
        <v>82</v>
      </c>
      <c r="C9" s="38" t="s">
        <v>57</v>
      </c>
      <c r="D9" s="41">
        <v>41</v>
      </c>
      <c r="E9" s="42">
        <v>55</v>
      </c>
      <c r="F9" s="42" t="s">
        <v>32</v>
      </c>
      <c r="G9" s="16">
        <v>46</v>
      </c>
      <c r="H9" s="16">
        <v>24</v>
      </c>
      <c r="I9" s="16">
        <v>18</v>
      </c>
      <c r="J9" s="16">
        <v>29</v>
      </c>
      <c r="K9" s="16">
        <v>27</v>
      </c>
      <c r="L9" s="16">
        <v>29</v>
      </c>
      <c r="M9" s="16">
        <v>67</v>
      </c>
      <c r="N9" s="16">
        <v>41</v>
      </c>
      <c r="O9" s="19" t="s">
        <v>46</v>
      </c>
      <c r="P9" s="16">
        <v>92</v>
      </c>
      <c r="Q9" s="16">
        <v>103</v>
      </c>
      <c r="R9" s="16">
        <v>66</v>
      </c>
      <c r="S9" s="16">
        <v>33</v>
      </c>
      <c r="T9" s="16">
        <v>25</v>
      </c>
      <c r="U9" s="16">
        <v>21</v>
      </c>
      <c r="V9" s="16">
        <v>99</v>
      </c>
      <c r="W9" s="19" t="s">
        <v>99</v>
      </c>
      <c r="X9" s="16">
        <v>46</v>
      </c>
      <c r="Y9" s="16">
        <v>60</v>
      </c>
      <c r="Z9" s="16">
        <v>20</v>
      </c>
      <c r="AA9" s="16">
        <v>15</v>
      </c>
      <c r="AB9" s="16">
        <v>105</v>
      </c>
      <c r="AC9" s="16">
        <v>101</v>
      </c>
      <c r="AD9" s="16">
        <v>107</v>
      </c>
      <c r="AE9" s="16">
        <v>68</v>
      </c>
      <c r="AF9" s="16">
        <v>41</v>
      </c>
      <c r="AG9" s="3">
        <v>46</v>
      </c>
      <c r="AH9" s="3">
        <v>61</v>
      </c>
      <c r="AI9" s="3">
        <v>18</v>
      </c>
      <c r="AJ9" s="3">
        <v>13</v>
      </c>
      <c r="AK9" s="16">
        <v>29</v>
      </c>
      <c r="AL9" s="16">
        <v>27</v>
      </c>
      <c r="AM9" s="16">
        <v>29</v>
      </c>
      <c r="AN9" s="16">
        <v>67</v>
      </c>
      <c r="AO9" s="16">
        <v>41</v>
      </c>
      <c r="AP9" s="19">
        <v>1</v>
      </c>
      <c r="AQ9" t="s">
        <v>101</v>
      </c>
      <c r="AR9" t="s">
        <v>107</v>
      </c>
      <c r="AS9" t="s">
        <v>103</v>
      </c>
      <c r="AT9" t="s">
        <v>105</v>
      </c>
    </row>
    <row r="10" spans="1:1014" ht="28.15" customHeight="1" x14ac:dyDescent="0.25">
      <c r="A10" s="37" t="s">
        <v>73</v>
      </c>
      <c r="B10" s="40" t="s">
        <v>83</v>
      </c>
      <c r="C10" s="38" t="s">
        <v>57</v>
      </c>
      <c r="D10" s="41">
        <v>42</v>
      </c>
      <c r="E10" s="42">
        <v>58</v>
      </c>
      <c r="F10" s="42" t="s">
        <v>32</v>
      </c>
      <c r="G10" s="16">
        <v>46</v>
      </c>
      <c r="H10" s="16">
        <v>26</v>
      </c>
      <c r="I10" s="16">
        <v>17</v>
      </c>
      <c r="J10" s="16">
        <v>28</v>
      </c>
      <c r="K10" s="16">
        <v>26</v>
      </c>
      <c r="L10" s="16">
        <v>28</v>
      </c>
      <c r="M10" s="16">
        <v>71</v>
      </c>
      <c r="N10" s="16">
        <v>43</v>
      </c>
      <c r="O10" s="19" t="s">
        <v>46</v>
      </c>
      <c r="P10" s="16">
        <v>88</v>
      </c>
      <c r="Q10" s="16">
        <v>110</v>
      </c>
      <c r="R10" s="16">
        <v>66</v>
      </c>
      <c r="S10" s="16">
        <v>33</v>
      </c>
      <c r="T10" s="16">
        <v>24</v>
      </c>
      <c r="U10" s="16">
        <v>19</v>
      </c>
      <c r="V10" s="16">
        <v>96</v>
      </c>
      <c r="W10" s="19" t="s">
        <v>99</v>
      </c>
      <c r="X10" s="16">
        <v>46</v>
      </c>
      <c r="Y10" s="16">
        <v>63</v>
      </c>
      <c r="Z10" s="16">
        <v>19</v>
      </c>
      <c r="AA10" s="16">
        <v>14</v>
      </c>
      <c r="AB10" s="16">
        <v>102</v>
      </c>
      <c r="AC10" s="16">
        <v>98</v>
      </c>
      <c r="AD10" s="16">
        <v>110</v>
      </c>
      <c r="AE10" s="16">
        <v>72</v>
      </c>
      <c r="AF10" s="16">
        <v>43</v>
      </c>
      <c r="AG10" s="16">
        <v>46</v>
      </c>
      <c r="AH10" s="16">
        <v>64</v>
      </c>
      <c r="AI10" s="16">
        <v>17</v>
      </c>
      <c r="AJ10" s="16">
        <v>13</v>
      </c>
      <c r="AK10" s="16">
        <v>28</v>
      </c>
      <c r="AL10" s="16">
        <v>26</v>
      </c>
      <c r="AM10" s="16">
        <v>28</v>
      </c>
      <c r="AN10" s="16">
        <v>71</v>
      </c>
      <c r="AO10" s="16">
        <v>43</v>
      </c>
      <c r="AP10" s="19">
        <v>1</v>
      </c>
      <c r="AQ10" t="s">
        <v>101</v>
      </c>
      <c r="AR10" t="s">
        <v>107</v>
      </c>
      <c r="AS10" t="s">
        <v>103</v>
      </c>
      <c r="AT10" t="s">
        <v>105</v>
      </c>
    </row>
    <row r="11" spans="1:1014" ht="28.15" customHeight="1" x14ac:dyDescent="0.25">
      <c r="A11" s="37" t="s">
        <v>74</v>
      </c>
      <c r="B11" s="40" t="s">
        <v>84</v>
      </c>
      <c r="C11" s="38" t="s">
        <v>57</v>
      </c>
      <c r="D11" s="41">
        <v>40</v>
      </c>
      <c r="E11" s="42">
        <v>57</v>
      </c>
      <c r="F11" s="42" t="s">
        <v>34</v>
      </c>
      <c r="G11" s="16">
        <v>45</v>
      </c>
      <c r="H11" s="16">
        <v>24</v>
      </c>
      <c r="I11" s="16">
        <v>17</v>
      </c>
      <c r="J11" s="16">
        <v>28</v>
      </c>
      <c r="K11" s="16">
        <v>26</v>
      </c>
      <c r="L11" s="16">
        <v>28</v>
      </c>
      <c r="M11" s="16">
        <v>65</v>
      </c>
      <c r="N11" s="16">
        <v>42</v>
      </c>
      <c r="O11" s="19" t="s">
        <v>46</v>
      </c>
      <c r="P11" s="16">
        <v>88</v>
      </c>
      <c r="Q11" s="16">
        <v>102</v>
      </c>
      <c r="R11" s="16">
        <v>65</v>
      </c>
      <c r="S11" s="16">
        <v>34</v>
      </c>
      <c r="T11" s="16">
        <v>26</v>
      </c>
      <c r="U11" s="16">
        <v>19</v>
      </c>
      <c r="V11" s="15">
        <v>94</v>
      </c>
      <c r="W11" s="19" t="s">
        <v>99</v>
      </c>
      <c r="X11" s="16">
        <v>45</v>
      </c>
      <c r="Y11" s="16">
        <v>55</v>
      </c>
      <c r="Z11" s="16">
        <v>19</v>
      </c>
      <c r="AA11" s="16">
        <v>14</v>
      </c>
      <c r="AB11" s="16">
        <v>101</v>
      </c>
      <c r="AC11" s="16">
        <v>96</v>
      </c>
      <c r="AD11" s="16">
        <v>104</v>
      </c>
      <c r="AE11" s="16">
        <v>66</v>
      </c>
      <c r="AF11" s="16">
        <v>42</v>
      </c>
      <c r="AG11" s="16">
        <v>45</v>
      </c>
      <c r="AH11" s="16">
        <v>56</v>
      </c>
      <c r="AI11" s="16">
        <v>17</v>
      </c>
      <c r="AJ11" s="16">
        <v>13</v>
      </c>
      <c r="AK11" s="16">
        <v>28</v>
      </c>
      <c r="AL11" s="16">
        <v>26</v>
      </c>
      <c r="AM11" s="16">
        <v>28</v>
      </c>
      <c r="AN11" s="16">
        <v>65</v>
      </c>
      <c r="AO11" s="16">
        <v>42</v>
      </c>
      <c r="AP11" s="19">
        <v>1</v>
      </c>
      <c r="AQ11" t="s">
        <v>101</v>
      </c>
      <c r="AR11" t="s">
        <v>107</v>
      </c>
      <c r="AS11" t="s">
        <v>103</v>
      </c>
      <c r="AT11" t="s">
        <v>105</v>
      </c>
    </row>
    <row r="12" spans="1:1014" ht="28.15" customHeight="1" x14ac:dyDescent="0.25">
      <c r="A12" s="37" t="s">
        <v>75</v>
      </c>
      <c r="B12" s="40" t="s">
        <v>85</v>
      </c>
      <c r="C12" s="38" t="s">
        <v>57</v>
      </c>
      <c r="D12" s="41">
        <v>44</v>
      </c>
      <c r="E12" s="42">
        <v>59</v>
      </c>
      <c r="F12" s="42" t="s">
        <v>33</v>
      </c>
      <c r="G12" s="16">
        <v>50</v>
      </c>
      <c r="H12" s="16">
        <v>27</v>
      </c>
      <c r="I12" s="16">
        <v>20</v>
      </c>
      <c r="J12" s="16">
        <v>30</v>
      </c>
      <c r="K12" s="16">
        <v>29</v>
      </c>
      <c r="L12" s="16">
        <v>30</v>
      </c>
      <c r="M12" s="16">
        <v>78</v>
      </c>
      <c r="N12" s="16">
        <v>45</v>
      </c>
      <c r="O12" s="19" t="s">
        <v>46</v>
      </c>
      <c r="P12" s="16">
        <v>104</v>
      </c>
      <c r="Q12" s="16">
        <v>115</v>
      </c>
      <c r="R12" s="16">
        <v>70</v>
      </c>
      <c r="S12" s="16">
        <v>37</v>
      </c>
      <c r="T12" s="16">
        <v>27</v>
      </c>
      <c r="U12" s="16">
        <v>23</v>
      </c>
      <c r="V12" s="16">
        <v>108</v>
      </c>
      <c r="W12" s="19" t="s">
        <v>99</v>
      </c>
      <c r="X12" s="16">
        <v>50</v>
      </c>
      <c r="Y12" s="16">
        <v>68</v>
      </c>
      <c r="Z12" s="16">
        <v>21</v>
      </c>
      <c r="AA12" s="16">
        <v>15</v>
      </c>
      <c r="AB12" s="16">
        <v>120</v>
      </c>
      <c r="AC12" s="16">
        <v>118</v>
      </c>
      <c r="AD12" s="16">
        <v>120</v>
      </c>
      <c r="AE12" s="16">
        <v>78</v>
      </c>
      <c r="AF12" s="16">
        <v>45</v>
      </c>
      <c r="AG12" s="16">
        <v>50</v>
      </c>
      <c r="AH12" s="16">
        <v>69</v>
      </c>
      <c r="AI12" s="16">
        <v>20</v>
      </c>
      <c r="AJ12" s="16">
        <v>13</v>
      </c>
      <c r="AK12" s="16">
        <v>30</v>
      </c>
      <c r="AL12" s="16">
        <v>29</v>
      </c>
      <c r="AM12" s="16">
        <v>30</v>
      </c>
      <c r="AN12" s="16">
        <v>78</v>
      </c>
      <c r="AO12" s="16">
        <v>45</v>
      </c>
      <c r="AP12" s="19">
        <v>1</v>
      </c>
      <c r="AQ12" t="s">
        <v>101</v>
      </c>
      <c r="AR12" t="s">
        <v>107</v>
      </c>
      <c r="AS12" t="s">
        <v>103</v>
      </c>
      <c r="AT12" t="s">
        <v>105</v>
      </c>
    </row>
    <row r="13" spans="1:1014" ht="28.15" customHeight="1" x14ac:dyDescent="0.25">
      <c r="A13" s="37" t="s">
        <v>76</v>
      </c>
      <c r="B13" s="40" t="s">
        <v>86</v>
      </c>
      <c r="C13" s="38" t="s">
        <v>57</v>
      </c>
      <c r="D13" s="41">
        <v>39</v>
      </c>
      <c r="E13" s="42">
        <v>54</v>
      </c>
      <c r="F13" s="42" t="s">
        <v>34</v>
      </c>
      <c r="G13" s="16">
        <v>47</v>
      </c>
      <c r="H13" s="16">
        <v>25</v>
      </c>
      <c r="I13" s="16">
        <v>20</v>
      </c>
      <c r="J13" s="16">
        <v>30</v>
      </c>
      <c r="K13" s="16">
        <v>28</v>
      </c>
      <c r="L13" s="16">
        <v>30</v>
      </c>
      <c r="M13" s="16">
        <v>67</v>
      </c>
      <c r="N13" s="16">
        <v>42</v>
      </c>
      <c r="O13" s="19" t="s">
        <v>46</v>
      </c>
      <c r="P13" s="16">
        <v>97</v>
      </c>
      <c r="Q13" s="16">
        <v>108</v>
      </c>
      <c r="R13" s="16">
        <v>70</v>
      </c>
      <c r="S13" s="16">
        <v>35</v>
      </c>
      <c r="T13" s="16">
        <v>24</v>
      </c>
      <c r="U13" s="16">
        <v>21</v>
      </c>
      <c r="V13" s="16">
        <v>93</v>
      </c>
      <c r="W13" s="19" t="s">
        <v>99</v>
      </c>
      <c r="X13" s="16">
        <v>47</v>
      </c>
      <c r="Y13" s="16">
        <v>55</v>
      </c>
      <c r="Z13" s="16">
        <v>20</v>
      </c>
      <c r="AA13" s="16">
        <v>15</v>
      </c>
      <c r="AB13" s="16">
        <v>110</v>
      </c>
      <c r="AC13" s="16">
        <v>107</v>
      </c>
      <c r="AD13" s="16">
        <v>112</v>
      </c>
      <c r="AE13" s="16">
        <v>68</v>
      </c>
      <c r="AF13" s="16">
        <v>42</v>
      </c>
      <c r="AG13" s="16">
        <v>47</v>
      </c>
      <c r="AH13" s="16">
        <v>56</v>
      </c>
      <c r="AI13" s="16">
        <v>19</v>
      </c>
      <c r="AJ13" s="16">
        <v>13</v>
      </c>
      <c r="AK13" s="16">
        <v>30</v>
      </c>
      <c r="AL13" s="16">
        <v>28</v>
      </c>
      <c r="AM13" s="16">
        <v>30</v>
      </c>
      <c r="AN13" s="16">
        <v>67</v>
      </c>
      <c r="AO13" s="16">
        <v>42</v>
      </c>
      <c r="AP13" s="19">
        <v>1</v>
      </c>
      <c r="AQ13" t="s">
        <v>101</v>
      </c>
      <c r="AR13" t="s">
        <v>107</v>
      </c>
      <c r="AS13" t="s">
        <v>103</v>
      </c>
      <c r="AT13" t="s">
        <v>105</v>
      </c>
    </row>
    <row r="14" spans="1:1014" ht="28.15" customHeight="1" x14ac:dyDescent="0.25">
      <c r="A14" s="37" t="s">
        <v>77</v>
      </c>
      <c r="B14" s="40" t="s">
        <v>87</v>
      </c>
      <c r="C14" s="38" t="s">
        <v>57</v>
      </c>
      <c r="D14" s="41">
        <v>42</v>
      </c>
      <c r="E14" s="42">
        <v>59</v>
      </c>
      <c r="F14" s="42" t="s">
        <v>34</v>
      </c>
      <c r="G14" s="16">
        <v>48</v>
      </c>
      <c r="H14" s="16">
        <v>26</v>
      </c>
      <c r="I14" s="16">
        <v>19</v>
      </c>
      <c r="J14" s="16">
        <v>30</v>
      </c>
      <c r="K14" s="16">
        <v>28</v>
      </c>
      <c r="L14" s="16">
        <v>30</v>
      </c>
      <c r="M14" s="16">
        <v>75</v>
      </c>
      <c r="N14" s="16">
        <v>42</v>
      </c>
      <c r="O14" s="19" t="s">
        <v>46</v>
      </c>
      <c r="P14" s="16">
        <v>96</v>
      </c>
      <c r="Q14" s="16">
        <v>107</v>
      </c>
      <c r="R14" s="16">
        <v>74</v>
      </c>
      <c r="S14" s="16">
        <v>34</v>
      </c>
      <c r="T14" s="16">
        <v>25</v>
      </c>
      <c r="U14" s="16">
        <v>20</v>
      </c>
      <c r="V14" s="16">
        <v>99</v>
      </c>
      <c r="W14" s="19" t="s">
        <v>99</v>
      </c>
      <c r="X14" s="16">
        <v>48</v>
      </c>
      <c r="Y14" s="16">
        <v>60</v>
      </c>
      <c r="Z14" s="16">
        <v>20</v>
      </c>
      <c r="AA14" s="16">
        <v>15</v>
      </c>
      <c r="AB14" s="16">
        <v>110</v>
      </c>
      <c r="AC14" s="16">
        <v>104</v>
      </c>
      <c r="AD14" s="16">
        <v>112</v>
      </c>
      <c r="AE14" s="16">
        <v>76</v>
      </c>
      <c r="AF14" s="16">
        <v>42</v>
      </c>
      <c r="AG14" s="16">
        <v>48</v>
      </c>
      <c r="AH14" s="16">
        <v>61</v>
      </c>
      <c r="AI14" s="16">
        <v>19</v>
      </c>
      <c r="AJ14" s="16">
        <v>13</v>
      </c>
      <c r="AK14" s="16">
        <v>30</v>
      </c>
      <c r="AL14" s="16">
        <v>28</v>
      </c>
      <c r="AM14" s="16">
        <v>30</v>
      </c>
      <c r="AN14" s="16">
        <v>75</v>
      </c>
      <c r="AO14" s="16">
        <v>42</v>
      </c>
      <c r="AP14" s="19">
        <v>1</v>
      </c>
      <c r="AQ14" t="s">
        <v>101</v>
      </c>
      <c r="AR14" t="s">
        <v>107</v>
      </c>
      <c r="AS14" t="s">
        <v>103</v>
      </c>
      <c r="AT14" t="s">
        <v>105</v>
      </c>
    </row>
    <row r="15" spans="1:1014" ht="28.15" customHeight="1" x14ac:dyDescent="0.25">
      <c r="A15" s="37" t="s">
        <v>78</v>
      </c>
      <c r="B15" s="40" t="s">
        <v>88</v>
      </c>
      <c r="C15" s="38" t="s">
        <v>57</v>
      </c>
      <c r="D15" s="41">
        <v>40</v>
      </c>
      <c r="E15" s="42">
        <v>55</v>
      </c>
      <c r="F15" s="42" t="s">
        <v>32</v>
      </c>
      <c r="G15" s="16">
        <v>44</v>
      </c>
      <c r="H15" s="16">
        <v>24</v>
      </c>
      <c r="I15" s="16">
        <v>16</v>
      </c>
      <c r="J15" s="16">
        <v>26</v>
      </c>
      <c r="K15" s="16">
        <v>24</v>
      </c>
      <c r="L15" s="16">
        <v>26</v>
      </c>
      <c r="M15" s="16">
        <v>67</v>
      </c>
      <c r="N15" s="16">
        <v>41</v>
      </c>
      <c r="O15" s="19" t="s">
        <v>46</v>
      </c>
      <c r="P15" s="16">
        <v>78</v>
      </c>
      <c r="Q15" s="16">
        <v>90</v>
      </c>
      <c r="R15" s="16">
        <v>62</v>
      </c>
      <c r="S15" s="16">
        <v>30</v>
      </c>
      <c r="T15" s="16">
        <v>24</v>
      </c>
      <c r="U15" s="16">
        <v>18</v>
      </c>
      <c r="V15" s="16">
        <v>95</v>
      </c>
      <c r="W15" s="19" t="s">
        <v>99</v>
      </c>
      <c r="X15" s="16">
        <v>44</v>
      </c>
      <c r="Y15" s="16">
        <v>60</v>
      </c>
      <c r="Z15" s="16">
        <v>18</v>
      </c>
      <c r="AA15" s="16">
        <v>14</v>
      </c>
      <c r="AB15" s="16">
        <v>90</v>
      </c>
      <c r="AC15" s="16">
        <v>85</v>
      </c>
      <c r="AD15" s="16">
        <v>94</v>
      </c>
      <c r="AE15" s="16">
        <v>68</v>
      </c>
      <c r="AF15" s="16">
        <v>41</v>
      </c>
      <c r="AG15" s="16">
        <v>44</v>
      </c>
      <c r="AH15" s="16">
        <v>61</v>
      </c>
      <c r="AI15" s="16">
        <v>16</v>
      </c>
      <c r="AJ15" s="16">
        <v>12</v>
      </c>
      <c r="AK15" s="16">
        <v>26</v>
      </c>
      <c r="AL15" s="16">
        <v>24</v>
      </c>
      <c r="AM15" s="16">
        <v>26</v>
      </c>
      <c r="AN15" s="16">
        <v>67</v>
      </c>
      <c r="AO15" s="16">
        <v>41</v>
      </c>
      <c r="AP15" s="19">
        <v>1</v>
      </c>
      <c r="AQ15" t="s">
        <v>101</v>
      </c>
      <c r="AR15" t="s">
        <v>107</v>
      </c>
      <c r="AS15" t="s">
        <v>103</v>
      </c>
      <c r="AT15" t="s">
        <v>105</v>
      </c>
    </row>
    <row r="16" spans="1:1014" ht="28.15" customHeight="1" x14ac:dyDescent="0.25">
      <c r="A16" s="37" t="s">
        <v>79</v>
      </c>
      <c r="B16" s="40" t="s">
        <v>89</v>
      </c>
      <c r="C16" s="38" t="s">
        <v>57</v>
      </c>
      <c r="D16" s="41">
        <v>39</v>
      </c>
      <c r="E16" s="42">
        <v>57</v>
      </c>
      <c r="F16" s="42" t="s">
        <v>32</v>
      </c>
      <c r="G16" s="16">
        <v>44</v>
      </c>
      <c r="H16" s="16">
        <v>24</v>
      </c>
      <c r="I16" s="16">
        <v>17</v>
      </c>
      <c r="J16" s="16">
        <v>28</v>
      </c>
      <c r="K16" s="16">
        <v>26</v>
      </c>
      <c r="L16" s="16">
        <v>28</v>
      </c>
      <c r="M16" s="16">
        <v>65</v>
      </c>
      <c r="N16" s="16">
        <v>40</v>
      </c>
      <c r="O16" s="19" t="s">
        <v>46</v>
      </c>
      <c r="P16" s="16">
        <v>86</v>
      </c>
      <c r="Q16" s="16">
        <v>106</v>
      </c>
      <c r="R16" s="16">
        <v>63</v>
      </c>
      <c r="S16" s="16">
        <v>32</v>
      </c>
      <c r="T16" s="16">
        <v>24</v>
      </c>
      <c r="U16" s="16">
        <v>20</v>
      </c>
      <c r="V16" s="16">
        <v>90</v>
      </c>
      <c r="W16" s="19" t="s">
        <v>99</v>
      </c>
      <c r="X16" s="16">
        <v>44</v>
      </c>
      <c r="Y16" s="16">
        <v>57</v>
      </c>
      <c r="Z16" s="16">
        <v>19</v>
      </c>
      <c r="AA16" s="16">
        <v>14</v>
      </c>
      <c r="AB16" s="16">
        <v>99</v>
      </c>
      <c r="AC16" s="16">
        <v>94</v>
      </c>
      <c r="AD16" s="16">
        <v>108</v>
      </c>
      <c r="AE16" s="16">
        <v>66</v>
      </c>
      <c r="AF16" s="16">
        <v>40</v>
      </c>
      <c r="AG16" s="16">
        <v>44</v>
      </c>
      <c r="AH16" s="16">
        <v>58</v>
      </c>
      <c r="AI16" s="16">
        <v>17</v>
      </c>
      <c r="AJ16" s="3">
        <v>13</v>
      </c>
      <c r="AK16" s="16">
        <v>28</v>
      </c>
      <c r="AL16" s="16">
        <v>26</v>
      </c>
      <c r="AM16" s="16">
        <v>28</v>
      </c>
      <c r="AN16" s="16">
        <v>65</v>
      </c>
      <c r="AO16" s="16">
        <v>40</v>
      </c>
      <c r="AP16" s="19">
        <v>1</v>
      </c>
      <c r="AQ16" t="s">
        <v>101</v>
      </c>
      <c r="AR16" t="s">
        <v>107</v>
      </c>
      <c r="AS16" t="s">
        <v>103</v>
      </c>
      <c r="AT16" t="s">
        <v>105</v>
      </c>
    </row>
    <row r="17" spans="1:46" ht="28.15" customHeight="1" x14ac:dyDescent="0.25">
      <c r="A17" s="37" t="s">
        <v>90</v>
      </c>
      <c r="B17" s="40" t="s">
        <v>95</v>
      </c>
      <c r="C17" s="38" t="s">
        <v>57</v>
      </c>
      <c r="D17" s="41">
        <v>41</v>
      </c>
      <c r="E17" s="42">
        <v>56</v>
      </c>
      <c r="F17" s="42" t="s">
        <v>34</v>
      </c>
      <c r="G17" s="16">
        <v>46</v>
      </c>
      <c r="H17" s="16">
        <v>26</v>
      </c>
      <c r="I17" s="16">
        <v>19</v>
      </c>
      <c r="J17" s="16">
        <v>29</v>
      </c>
      <c r="K17" s="16">
        <v>27</v>
      </c>
      <c r="L17" s="16">
        <v>29</v>
      </c>
      <c r="M17" s="16">
        <v>75</v>
      </c>
      <c r="N17" s="16">
        <v>43</v>
      </c>
      <c r="O17" s="19" t="s">
        <v>46</v>
      </c>
      <c r="P17" s="16">
        <v>95</v>
      </c>
      <c r="Q17" s="16">
        <v>107</v>
      </c>
      <c r="R17" s="16">
        <v>74</v>
      </c>
      <c r="S17" s="16">
        <v>35</v>
      </c>
      <c r="T17" s="16">
        <v>26</v>
      </c>
      <c r="U17" s="16">
        <v>21</v>
      </c>
      <c r="V17" s="16">
        <v>100</v>
      </c>
      <c r="W17" s="19" t="s">
        <v>99</v>
      </c>
      <c r="X17" s="16">
        <v>46</v>
      </c>
      <c r="Y17" s="16">
        <v>67</v>
      </c>
      <c r="Z17" s="16">
        <v>20</v>
      </c>
      <c r="AA17" s="16">
        <v>15</v>
      </c>
      <c r="AB17" s="16">
        <v>112</v>
      </c>
      <c r="AC17" s="16">
        <v>108</v>
      </c>
      <c r="AD17" s="16">
        <v>112</v>
      </c>
      <c r="AE17" s="16">
        <v>76</v>
      </c>
      <c r="AF17" s="16">
        <v>43</v>
      </c>
      <c r="AG17" s="16">
        <v>46</v>
      </c>
      <c r="AH17" s="16">
        <v>68</v>
      </c>
      <c r="AI17" s="16">
        <v>19</v>
      </c>
      <c r="AJ17" s="16">
        <v>13</v>
      </c>
      <c r="AK17" s="16">
        <v>29</v>
      </c>
      <c r="AL17" s="16">
        <v>27</v>
      </c>
      <c r="AM17" s="16">
        <v>29</v>
      </c>
      <c r="AN17" s="16">
        <v>75</v>
      </c>
      <c r="AO17" s="16">
        <v>43</v>
      </c>
      <c r="AP17" s="19">
        <v>1</v>
      </c>
      <c r="AQ17" t="s">
        <v>101</v>
      </c>
      <c r="AR17" t="s">
        <v>107</v>
      </c>
      <c r="AS17" t="s">
        <v>103</v>
      </c>
      <c r="AT17" t="s">
        <v>105</v>
      </c>
    </row>
    <row r="18" spans="1:46" ht="28.15" customHeight="1" x14ac:dyDescent="0.25">
      <c r="A18" s="37" t="s">
        <v>91</v>
      </c>
      <c r="B18" s="40" t="s">
        <v>96</v>
      </c>
      <c r="C18" s="38" t="s">
        <v>57</v>
      </c>
      <c r="D18" s="41">
        <v>44</v>
      </c>
      <c r="E18" s="42">
        <v>60</v>
      </c>
      <c r="F18" s="42" t="s">
        <v>34</v>
      </c>
      <c r="G18" s="16">
        <v>50</v>
      </c>
      <c r="H18" s="16">
        <v>27</v>
      </c>
      <c r="I18" s="16">
        <v>20</v>
      </c>
      <c r="J18" s="16">
        <v>31</v>
      </c>
      <c r="K18" s="16">
        <v>29</v>
      </c>
      <c r="L18" s="16">
        <v>31</v>
      </c>
      <c r="M18" s="16">
        <v>74</v>
      </c>
      <c r="N18" s="16">
        <v>46</v>
      </c>
      <c r="O18" s="19" t="s">
        <v>46</v>
      </c>
      <c r="P18" s="16">
        <v>107</v>
      </c>
      <c r="Q18" s="16">
        <v>116</v>
      </c>
      <c r="R18" s="16">
        <v>80</v>
      </c>
      <c r="S18" s="16">
        <v>38</v>
      </c>
      <c r="T18" s="16">
        <v>27</v>
      </c>
      <c r="U18" s="16">
        <v>21</v>
      </c>
      <c r="V18" s="16">
        <v>105</v>
      </c>
      <c r="W18" s="19" t="s">
        <v>99</v>
      </c>
      <c r="X18" s="16">
        <v>50</v>
      </c>
      <c r="Y18" s="16">
        <v>63</v>
      </c>
      <c r="Z18" s="16">
        <v>21</v>
      </c>
      <c r="AA18" s="16">
        <v>16</v>
      </c>
      <c r="AB18" s="16">
        <v>121</v>
      </c>
      <c r="AC18" s="16">
        <v>117</v>
      </c>
      <c r="AD18" s="16">
        <v>121</v>
      </c>
      <c r="AE18" s="16">
        <v>75</v>
      </c>
      <c r="AF18" s="16">
        <v>46</v>
      </c>
      <c r="AG18" s="16">
        <v>50</v>
      </c>
      <c r="AH18" s="16">
        <v>64</v>
      </c>
      <c r="AI18" s="16">
        <v>20</v>
      </c>
      <c r="AJ18" s="16">
        <v>13</v>
      </c>
      <c r="AK18" s="16">
        <v>31</v>
      </c>
      <c r="AL18" s="16">
        <v>29</v>
      </c>
      <c r="AM18" s="16">
        <v>31</v>
      </c>
      <c r="AN18" s="16">
        <v>74</v>
      </c>
      <c r="AO18" s="16">
        <v>46</v>
      </c>
      <c r="AP18" s="19">
        <v>1</v>
      </c>
      <c r="AQ18" t="s">
        <v>101</v>
      </c>
      <c r="AR18" t="s">
        <v>107</v>
      </c>
      <c r="AS18" t="s">
        <v>103</v>
      </c>
      <c r="AT18" t="s">
        <v>105</v>
      </c>
    </row>
    <row r="19" spans="1:46" ht="28.15" customHeight="1" x14ac:dyDescent="0.25">
      <c r="A19" s="37" t="s">
        <v>92</v>
      </c>
      <c r="B19" s="40" t="s">
        <v>97</v>
      </c>
      <c r="C19" s="38" t="s">
        <v>57</v>
      </c>
      <c r="D19" s="41">
        <v>43</v>
      </c>
      <c r="E19" s="42">
        <v>54</v>
      </c>
      <c r="F19" s="42" t="s">
        <v>32</v>
      </c>
      <c r="G19" s="16">
        <v>44</v>
      </c>
      <c r="H19" s="16">
        <v>26</v>
      </c>
      <c r="I19" s="16">
        <v>16</v>
      </c>
      <c r="J19" s="16">
        <v>27</v>
      </c>
      <c r="K19" s="16">
        <v>24</v>
      </c>
      <c r="L19" s="16">
        <v>27</v>
      </c>
      <c r="M19" s="16">
        <v>72</v>
      </c>
      <c r="N19" s="16">
        <v>42</v>
      </c>
      <c r="O19" s="19" t="s">
        <v>46</v>
      </c>
      <c r="P19" s="16">
        <v>80</v>
      </c>
      <c r="Q19" s="16">
        <v>100</v>
      </c>
      <c r="R19" s="16">
        <v>62</v>
      </c>
      <c r="S19" s="16">
        <v>30</v>
      </c>
      <c r="T19" s="16">
        <v>24</v>
      </c>
      <c r="U19" s="16">
        <v>19</v>
      </c>
      <c r="V19" s="16">
        <v>95</v>
      </c>
      <c r="W19" s="19" t="s">
        <v>99</v>
      </c>
      <c r="X19" s="16">
        <v>44</v>
      </c>
      <c r="Y19" s="16">
        <v>60</v>
      </c>
      <c r="Z19" s="16">
        <v>18</v>
      </c>
      <c r="AA19" s="16">
        <v>14</v>
      </c>
      <c r="AB19" s="16">
        <v>95</v>
      </c>
      <c r="AC19" s="16">
        <v>90</v>
      </c>
      <c r="AD19" s="16">
        <v>102</v>
      </c>
      <c r="AE19" s="16">
        <v>73</v>
      </c>
      <c r="AF19" s="16">
        <v>42</v>
      </c>
      <c r="AG19" s="16">
        <v>44</v>
      </c>
      <c r="AH19" s="16">
        <v>61</v>
      </c>
      <c r="AI19" s="16">
        <v>16</v>
      </c>
      <c r="AJ19" s="16">
        <v>12</v>
      </c>
      <c r="AK19" s="16">
        <v>27</v>
      </c>
      <c r="AL19" s="16">
        <v>24</v>
      </c>
      <c r="AM19" s="16">
        <v>27</v>
      </c>
      <c r="AN19" s="16">
        <v>72</v>
      </c>
      <c r="AO19" s="16">
        <v>42</v>
      </c>
      <c r="AP19" s="19">
        <v>1</v>
      </c>
      <c r="AQ19" t="s">
        <v>101</v>
      </c>
      <c r="AR19" t="s">
        <v>107</v>
      </c>
      <c r="AS19" t="s">
        <v>103</v>
      </c>
      <c r="AT19" t="s">
        <v>105</v>
      </c>
    </row>
    <row r="20" spans="1:46" ht="28.15" customHeight="1" x14ac:dyDescent="0.25">
      <c r="A20" s="43" t="s">
        <v>93</v>
      </c>
      <c r="B20" s="44" t="s">
        <v>98</v>
      </c>
      <c r="C20" s="45" t="s">
        <v>57</v>
      </c>
      <c r="D20" s="46">
        <v>42</v>
      </c>
      <c r="E20" s="47">
        <v>57</v>
      </c>
      <c r="F20" s="47" t="s">
        <v>33</v>
      </c>
      <c r="G20" s="16">
        <v>48</v>
      </c>
      <c r="H20" s="16">
        <v>26</v>
      </c>
      <c r="I20" s="16">
        <v>19</v>
      </c>
      <c r="J20" s="16">
        <v>30</v>
      </c>
      <c r="K20" s="16">
        <v>28</v>
      </c>
      <c r="L20" s="16">
        <v>30</v>
      </c>
      <c r="M20" s="16">
        <v>75</v>
      </c>
      <c r="N20" s="16">
        <v>46</v>
      </c>
      <c r="O20" s="19" t="s">
        <v>46</v>
      </c>
      <c r="P20" s="16">
        <v>102</v>
      </c>
      <c r="Q20" s="16">
        <v>116</v>
      </c>
      <c r="R20" s="16">
        <v>77</v>
      </c>
      <c r="S20" s="16">
        <v>36</v>
      </c>
      <c r="T20" s="16">
        <v>27</v>
      </c>
      <c r="U20" s="16">
        <v>22</v>
      </c>
      <c r="V20" s="16">
        <v>96</v>
      </c>
      <c r="W20" s="19" t="s">
        <v>99</v>
      </c>
      <c r="X20" s="16">
        <v>48</v>
      </c>
      <c r="Y20" s="16">
        <v>62</v>
      </c>
      <c r="Z20" s="16">
        <v>20</v>
      </c>
      <c r="AA20" s="16">
        <v>14</v>
      </c>
      <c r="AB20" s="16">
        <v>120</v>
      </c>
      <c r="AC20" s="16">
        <v>112</v>
      </c>
      <c r="AD20" s="16">
        <v>120</v>
      </c>
      <c r="AE20" s="16">
        <v>76</v>
      </c>
      <c r="AF20" s="16">
        <v>46</v>
      </c>
      <c r="AG20" s="16">
        <v>48</v>
      </c>
      <c r="AH20" s="16">
        <v>63</v>
      </c>
      <c r="AI20" s="16">
        <v>19</v>
      </c>
      <c r="AJ20" s="16">
        <v>13</v>
      </c>
      <c r="AK20" s="16">
        <v>30</v>
      </c>
      <c r="AL20" s="16">
        <v>28</v>
      </c>
      <c r="AM20" s="16">
        <v>30</v>
      </c>
      <c r="AN20" s="16">
        <v>75</v>
      </c>
      <c r="AO20" s="16">
        <v>46</v>
      </c>
      <c r="AP20" s="19">
        <v>1</v>
      </c>
      <c r="AQ20" t="s">
        <v>101</v>
      </c>
      <c r="AR20" t="s">
        <v>107</v>
      </c>
      <c r="AS20" t="s">
        <v>103</v>
      </c>
      <c r="AT20" t="s">
        <v>105</v>
      </c>
    </row>
    <row r="21" spans="1:46" ht="28.15" customHeight="1" x14ac:dyDescent="0.25">
      <c r="A21" s="18" t="s">
        <v>94</v>
      </c>
      <c r="B21" s="13" t="s">
        <v>108</v>
      </c>
      <c r="C21" s="19" t="s">
        <v>57</v>
      </c>
      <c r="D21" s="14">
        <v>41</v>
      </c>
      <c r="E21" s="49">
        <v>54</v>
      </c>
      <c r="F21" s="14" t="s">
        <v>34</v>
      </c>
      <c r="G21" s="50">
        <v>46</v>
      </c>
      <c r="H21" s="50">
        <v>26</v>
      </c>
      <c r="I21" s="50">
        <v>16</v>
      </c>
      <c r="J21" s="50">
        <v>27</v>
      </c>
      <c r="K21" s="50">
        <v>25</v>
      </c>
      <c r="L21" s="50">
        <v>27</v>
      </c>
      <c r="M21" s="50">
        <v>73</v>
      </c>
      <c r="N21" s="50">
        <v>40</v>
      </c>
      <c r="O21" s="19" t="s">
        <v>46</v>
      </c>
      <c r="P21" s="50">
        <v>85</v>
      </c>
      <c r="Q21" s="49">
        <v>101</v>
      </c>
      <c r="R21" s="49">
        <v>65</v>
      </c>
      <c r="S21" s="49">
        <v>34</v>
      </c>
      <c r="T21" s="49">
        <v>27</v>
      </c>
      <c r="U21" s="49">
        <v>21</v>
      </c>
      <c r="V21" s="49">
        <v>103</v>
      </c>
      <c r="W21" s="19" t="s">
        <v>99</v>
      </c>
      <c r="X21" s="50">
        <v>46</v>
      </c>
      <c r="Y21" s="50">
        <v>65</v>
      </c>
      <c r="Z21" s="50">
        <v>19</v>
      </c>
      <c r="AA21" s="50">
        <v>14</v>
      </c>
      <c r="AB21" s="50">
        <v>98</v>
      </c>
      <c r="AC21" s="50">
        <v>93</v>
      </c>
      <c r="AD21" s="50">
        <v>104</v>
      </c>
      <c r="AE21" s="50">
        <v>74</v>
      </c>
      <c r="AF21" s="50">
        <v>40</v>
      </c>
      <c r="AG21" s="50">
        <v>46</v>
      </c>
      <c r="AH21" s="50">
        <v>66</v>
      </c>
      <c r="AI21" s="50">
        <v>16</v>
      </c>
      <c r="AJ21" s="50">
        <v>12</v>
      </c>
      <c r="AK21" s="50">
        <v>27</v>
      </c>
      <c r="AL21" s="50">
        <v>25</v>
      </c>
      <c r="AM21" s="50">
        <v>27</v>
      </c>
      <c r="AN21" s="50">
        <v>73</v>
      </c>
      <c r="AO21" s="50">
        <v>40</v>
      </c>
      <c r="AP21" s="2">
        <v>1</v>
      </c>
      <c r="AQ21" s="17" t="s">
        <v>109</v>
      </c>
      <c r="AR21" s="2" t="s">
        <v>109</v>
      </c>
      <c r="AS21" s="2" t="s">
        <v>109</v>
      </c>
      <c r="AT21" s="2" t="s">
        <v>109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abSelected="1" zoomScale="55" zoomScaleNormal="55" workbookViewId="0">
      <selection activeCell="O61" sqref="A1:O61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106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 t="s">
        <v>108</v>
      </c>
      <c r="C59" s="29" t="s">
        <v>57</v>
      </c>
      <c r="D59" s="30">
        <v>41</v>
      </c>
      <c r="E59" s="29">
        <v>54</v>
      </c>
      <c r="F59" s="29" t="s">
        <v>34</v>
      </c>
      <c r="G59" s="29">
        <v>46</v>
      </c>
      <c r="H59" s="29">
        <v>26</v>
      </c>
      <c r="I59" s="29">
        <v>16</v>
      </c>
      <c r="J59" s="29">
        <v>27</v>
      </c>
      <c r="K59" s="29">
        <v>25</v>
      </c>
      <c r="L59" s="29">
        <v>27</v>
      </c>
      <c r="M59" s="29">
        <v>73</v>
      </c>
      <c r="N59" s="29">
        <v>40</v>
      </c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>
        <v>85</v>
      </c>
      <c r="H60" s="24">
        <v>101</v>
      </c>
      <c r="I60" s="24">
        <v>65</v>
      </c>
      <c r="J60" s="24">
        <v>34</v>
      </c>
      <c r="K60" s="24">
        <v>27</v>
      </c>
      <c r="L60" s="24">
        <v>21</v>
      </c>
      <c r="M60" s="24">
        <v>103</v>
      </c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E5" sqref="E5:E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COUNTIF(SEMUA!$F$7:$F$21,REKAP!A4)</f>
        <v>6</v>
      </c>
      <c r="D4">
        <v>37</v>
      </c>
      <c r="E4">
        <f>COUNTIF(SEMUA!$D$1:$D$21,D4)</f>
        <v>0</v>
      </c>
      <c r="G4" s="8">
        <v>53</v>
      </c>
      <c r="H4">
        <f>COUNTIF(SEMUA!$E$7:$E$21,G4)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COUNTIF(SEMUA!$F$7:$F$21,REKAP!A5)</f>
        <v>0</v>
      </c>
      <c r="D5">
        <v>38</v>
      </c>
      <c r="E5">
        <f>COUNTIF(SEMUA!$D$1:$D$21,D5)</f>
        <v>0</v>
      </c>
      <c r="G5" s="8">
        <v>54</v>
      </c>
      <c r="H5">
        <f>COUNTIF(SEMUA!$E$7:$E$21,G5)</f>
        <v>4</v>
      </c>
      <c r="J5" s="7"/>
      <c r="K5" s="7"/>
    </row>
    <row r="6" spans="1:12" ht="15.75" x14ac:dyDescent="0.25">
      <c r="A6" s="7" t="s">
        <v>35</v>
      </c>
      <c r="B6">
        <f>COUNTIF(SEMUA!$F$7:$F$21,REKAP!A6)</f>
        <v>0</v>
      </c>
      <c r="D6" s="8">
        <v>39</v>
      </c>
      <c r="E6">
        <f>COUNTIF(SEMUA!$D$1:$D$21,D6)</f>
        <v>2</v>
      </c>
      <c r="G6" s="8">
        <v>55</v>
      </c>
      <c r="H6">
        <f>COUNTIF(SEMUA!$E$7:$E$21,G6)</f>
        <v>2</v>
      </c>
      <c r="J6" s="7"/>
      <c r="K6" s="7"/>
    </row>
    <row r="7" spans="1:12" ht="15.75" x14ac:dyDescent="0.25">
      <c r="A7" s="7" t="s">
        <v>34</v>
      </c>
      <c r="B7">
        <f>COUNTIF(SEMUA!$F$7:$F$21,REKAP!A7)</f>
        <v>7</v>
      </c>
      <c r="D7" s="8">
        <v>40</v>
      </c>
      <c r="E7">
        <f>COUNTIF(SEMUA!$D$1:$D$21,D7)</f>
        <v>2</v>
      </c>
      <c r="G7" s="8">
        <v>56</v>
      </c>
      <c r="H7">
        <f>COUNTIF(SEMUA!$E$7:$E$21,G7)</f>
        <v>1</v>
      </c>
      <c r="J7" s="7"/>
      <c r="K7" s="7"/>
    </row>
    <row r="8" spans="1:12" ht="15.75" x14ac:dyDescent="0.25">
      <c r="A8" s="7" t="s">
        <v>33</v>
      </c>
      <c r="B8">
        <f>COUNTIF(SEMUA!$F$7:$F$21,REKAP!A8)</f>
        <v>2</v>
      </c>
      <c r="D8" s="8">
        <v>41</v>
      </c>
      <c r="E8">
        <f>COUNTIF(SEMUA!$D$1:$D$21,D8)</f>
        <v>7</v>
      </c>
      <c r="G8" s="8">
        <v>57</v>
      </c>
      <c r="H8">
        <f>COUNTIF(SEMUA!$E$7:$E$21,G8)</f>
        <v>3</v>
      </c>
      <c r="J8" s="7"/>
      <c r="K8" s="7"/>
    </row>
    <row r="9" spans="1:12" ht="15.75" x14ac:dyDescent="0.25">
      <c r="A9" s="7" t="s">
        <v>36</v>
      </c>
      <c r="B9">
        <f>COUNTIF(SEMUA!$F$7:$F$21,REKAP!A9)</f>
        <v>0</v>
      </c>
      <c r="D9" s="8">
        <v>42</v>
      </c>
      <c r="E9">
        <f>COUNTIF(SEMUA!$D$1:$D$21,D9)</f>
        <v>3</v>
      </c>
      <c r="G9" s="8">
        <v>58</v>
      </c>
      <c r="H9">
        <f>COUNTIF(SEMUA!$E$7:$E$21,G9)</f>
        <v>1</v>
      </c>
      <c r="J9" s="7"/>
    </row>
    <row r="10" spans="1:12" ht="15.75" x14ac:dyDescent="0.25">
      <c r="A10" s="7" t="s">
        <v>37</v>
      </c>
      <c r="B10">
        <f>COUNTIF(SEMUA!$F$7:$F$21,REKAP!A10)</f>
        <v>0</v>
      </c>
      <c r="D10" s="8">
        <v>43</v>
      </c>
      <c r="E10">
        <f>COUNTIF(SEMUA!$D$1:$D$21,D10)</f>
        <v>3</v>
      </c>
      <c r="G10" s="8">
        <v>59</v>
      </c>
      <c r="H10">
        <f>COUNTIF(SEMUA!$E$7:$E$21,G10)</f>
        <v>3</v>
      </c>
      <c r="J10" s="7"/>
    </row>
    <row r="11" spans="1:12" ht="15.75" x14ac:dyDescent="0.25">
      <c r="A11" s="9" t="s">
        <v>44</v>
      </c>
      <c r="B11" s="10">
        <f>SUM(B4:B10)</f>
        <v>15</v>
      </c>
      <c r="C11" s="10"/>
      <c r="D11" s="8">
        <v>44</v>
      </c>
      <c r="E11">
        <f>COUNTIF(SEMUA!$D$1:$D$21,D11)</f>
        <v>3</v>
      </c>
      <c r="G11" s="1">
        <v>60</v>
      </c>
      <c r="H11">
        <f>COUNTIF(SEMUA!$E$7:$E$21,G11)</f>
        <v>1</v>
      </c>
      <c r="J11" s="7"/>
    </row>
    <row r="12" spans="1:12" ht="15.75" x14ac:dyDescent="0.25">
      <c r="D12" s="8">
        <v>45</v>
      </c>
      <c r="E12">
        <f>COUNTIF(SEMUA!$D$1:$D$21,D12)</f>
        <v>0</v>
      </c>
      <c r="H12">
        <f>SUM(H4:H11)</f>
        <v>15</v>
      </c>
      <c r="J12" s="7"/>
    </row>
    <row r="13" spans="1:12" ht="15.75" x14ac:dyDescent="0.25">
      <c r="D13" s="8">
        <v>46</v>
      </c>
      <c r="E13">
        <f>COUNTIF(SEMUA!$D$1:$D$21,D13)</f>
        <v>0</v>
      </c>
    </row>
    <row r="14" spans="1:12" ht="15.75" x14ac:dyDescent="0.25">
      <c r="D14" s="8"/>
      <c r="E14">
        <f>SUM(E4:E13)</f>
        <v>20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2021-06-07T08:35:44Z</cp:lastPrinted>
  <dcterms:created xsi:type="dcterms:W3CDTF">2016-10-31T03:59:44Z</dcterms:created>
  <dcterms:modified xsi:type="dcterms:W3CDTF">2021-06-07T08:36:20Z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