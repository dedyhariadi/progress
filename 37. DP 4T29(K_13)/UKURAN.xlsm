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54C483DE-AC6A-46A9-B391-13D13F37900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<sst xmlns="http://schemas.openxmlformats.org/spreadsheetml/2006/main" count="340" uniqueCount="151">
  <si>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</si>
  <si>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</si>
  <si>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</si>
  <si>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</si>
  <si>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</si>
  <si>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</si>
  <si>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</si>
  <si>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</si>
  <si>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</si>
  <si>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</si>
  <si>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</si>
  <si>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</si>
  <si>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</si>
  <si>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</si>
  <si>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</si>
  <si>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</si>
  <si>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</si>
  <si>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</si>
  <si>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</si>
  <si>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</si>
  <si>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</si>
  <si>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</si>
  <si>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</si>
  <si>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</si>
  <si>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</si>
  <si>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</si>
  <si>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</si>
  <si>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</si>
  <si>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</si>
  <si>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</si>
  <si>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</si>
  <si>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</si>
  <si>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</si>
  <si>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</si>
  <si>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</si>
  <si>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</si>
  <si>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</si>
  <si>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</si>
  <si>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</si>
  <si>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</si>
  <si>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</si>
  <si>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</si>
  <si>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</si>
  <si>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</si>
  <si>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</si>
  <si>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</si>
  <si>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STREP</t>
  </si>
  <si>
    <t>CETAK BN</t>
  </si>
  <si>
    <t>CETAK PDH</t>
  </si>
  <si>
    <t>CETAK KAOS</t>
  </si>
  <si>
    <t>CETAK SEPATU</t>
  </si>
  <si>
    <t>stok</t>
  </si>
  <si>
    <t>TAMBAHAN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</si>
  <si>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</si>
  <si>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</si>
  <si>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</si>
  <si>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</si>
  <si>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</si>
  <si>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</si>
  <si>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</si>
  <si>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</si>
  <si>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</si>
  <si>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</si>
  <si>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</si>
  <si>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</si>
  <si>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</si>
  <si>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</si>
  <si>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</si>
  <si>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</si>
  <si>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</si>
  <si>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</si>
  <si>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</si>
  <si>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</si>
  <si>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</si>
  <si>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</si>
  <si>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</si>
  <si>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</si>
  <si>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</si>
  <si>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</si>
  <si>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</si>
  <si>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</si>
  <si>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</si>
  <si>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</si>
  <si>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</si>
  <si>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</si>
  <si>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</si>
  <si>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</si>
  <si>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</si>
  <si>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</si>
  <si>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</si>
  <si>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</si>
  <si>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</si>
  <si>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</si>
  <si>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</si>
  <si>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</si>
  <si>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</si>
  <si>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</si>
  <si>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</si>
  <si>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</si>
  <si>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</si>
  <si>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</si>
  <si>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</si>
  <si>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</si>
  <si>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</si>
  <si>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</si>
  <si>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</si>
  <si>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</si>
  <si>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</si>
  <si>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</si>
  <si>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</si>
  <si>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</si>
  <si>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</si>
  <si>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</si>
  <si>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</si>
  <si>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</si>
  <si>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</si>
  <si>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</si>
  <si>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</si>
  <si>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</si>
  <si>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</si>
  <si>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</si>
  <si>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56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</si>
  <si>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</si>
  <si>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</si>
  <si>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</si>
  <si>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</si>
  <si>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</si>
  <si>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</si>
  <si>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</si>
  <si>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</si>
  <si>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</si>
  <si>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</si>
  <si>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</si>
  <si>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</si>
  <si>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</si>
  <si>
    <t>SUMARDIYANA</t>
  </si>
  <si>
    <t>NANANG ABIDIN</t>
  </si>
  <si>
    <t>NUGROHO</t>
  </si>
  <si>
    <t>FRANSISKUS M</t>
  </si>
  <si>
    <t>10 NOV</t>
  </si>
  <si>
    <t>Q33</t>
  </si>
  <si>
    <t>Q34</t>
  </si>
  <si>
    <t>Q35</t>
  </si>
  <si>
    <t>Q36</t>
  </si>
  <si>
    <t>DWI HARDIANTO</t>
  </si>
  <si>
    <t>ACHMAD IKSAN</t>
  </si>
  <si>
    <t>JUHIR RASYID K</t>
  </si>
  <si>
    <t>13 NOV</t>
  </si>
  <si>
    <t>Q37</t>
  </si>
  <si>
    <t>Q38</t>
  </si>
  <si>
    <t>Q39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</si>
</sst>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21" fillId="0" borderId="2" xfId="0" applyNumberFormat="1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left" vertical="center" indent="1"/>
    </xf>
    <xf numFmtId="49" fontId="22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14" activePane="bottomLeft" state="frozen"/>
      <selection pane="bottomLeft" activeCell="D38" sqref="D38:AP40"/>
    </sheetView>
  </sheetViews>
  <sheetFormatPr defaultColWidth="8.7109375" defaultRowHeight="30" customHeight="1" x14ac:dyDescent="0.25"/>
  <cols>
    <col min="1" max="1" width="5.7109375" style="2" customWidth="1"/>
    <col min="2" max="2" width="32.85546875" style="25" bestFit="1" customWidth="1"/>
    <col min="3" max="3" width="21.7109375" style="2" customWidth="1"/>
    <col min="4" max="4" width="9.28515625" style="2" customWidth="1"/>
    <col min="5" max="5" width="9.28515625" style="20" customWidth="1"/>
    <col min="6" max="6" width="9.28515625" style="2" customWidth="1"/>
    <col min="7" max="7" width="11.85546875" style="2" bestFit="1" customWidth="1"/>
    <col min="8" max="8" width="11.28515625" style="2" customWidth="1"/>
    <col min="9" max="9" width="9" style="2" bestFit="1" customWidth="1"/>
    <col min="10" max="17" width="9.42578125" style="2" bestFit="1" customWidth="1"/>
    <col min="18" max="18" width="7.140625" style="2" bestFit="1" customWidth="1"/>
    <col min="19" max="26" width="7.7109375" style="2" customWidth="1"/>
    <col min="27" max="27" width="7.140625" style="2" bestFit="1" customWidth="1"/>
    <col min="28" max="32" width="7.7109375" style="2" bestFit="1" customWidth="1"/>
    <col min="33" max="34" width="7.7109375" style="2" customWidth="1"/>
    <col min="35" max="35" width="7.140625" style="2" bestFit="1" customWidth="1"/>
    <col min="36" max="41" width="7.7109375" style="2" customWidth="1"/>
    <col min="42" max="45" width="8" style="8" bestFit="1" customWidth="1"/>
    <col min="46" max="46" width="9.28515625" style="8" bestFit="1" customWidth="1"/>
    <col min="47" max="1013" width="8.7109375" style="8"/>
    <col min="1014" max="16384" width="8.7109375" style="16"/>
  </cols>
  <sheetData>
    <row r="1" spans="1:1013" ht="30" customHeight="1" thickBot="1" x14ac:dyDescent="0.3">
      <c r="A1" s="12" t="s">
        <v>0</v>
      </c>
      <c r="B1" s="13" t="s">
        <v>1</v>
      </c>
      <c r="C1" s="12" t="s">
        <v>2</v>
      </c>
      <c r="D1" s="12" t="s">
        <v>4</v>
      </c>
      <c r="E1" s="14" t="s">
        <v>6</v>
      </c>
      <c r="F1" s="12" t="s">
        <v>5</v>
      </c>
      <c r="G1" s="3" t="s">
        <v>46</v>
      </c>
      <c r="H1" s="3" t="s">
        <v>3</v>
      </c>
      <c r="I1" s="18" t="s">
        <v>22</v>
      </c>
      <c r="J1" s="18" t="s">
        <v>23</v>
      </c>
      <c r="K1" s="18" t="s">
        <v>24</v>
      </c>
      <c r="L1" s="18" t="s">
        <v>25</v>
      </c>
      <c r="M1" s="18" t="s">
        <v>26</v>
      </c>
      <c r="N1" s="18" t="s">
        <v>27</v>
      </c>
      <c r="O1" s="18" t="s">
        <v>28</v>
      </c>
      <c r="P1" s="18" t="s">
        <v>29</v>
      </c>
      <c r="Q1" s="18" t="s">
        <v>30</v>
      </c>
      <c r="R1" s="18" t="s">
        <v>111</v>
      </c>
      <c r="S1" s="18" t="s">
        <v>112</v>
      </c>
      <c r="T1" s="18" t="s">
        <v>113</v>
      </c>
      <c r="U1" s="18" t="s">
        <v>114</v>
      </c>
      <c r="V1" s="18" t="s">
        <v>115</v>
      </c>
      <c r="W1" s="18" t="s">
        <v>116</v>
      </c>
      <c r="X1" s="18" t="s">
        <v>117</v>
      </c>
      <c r="Y1" s="18" t="s">
        <v>118</v>
      </c>
      <c r="Z1" s="18" t="s">
        <v>119</v>
      </c>
      <c r="AA1" s="18" t="s">
        <v>7</v>
      </c>
      <c r="AB1" s="18" t="s">
        <v>8</v>
      </c>
      <c r="AC1" s="18" t="s">
        <v>9</v>
      </c>
      <c r="AD1" s="18" t="s">
        <v>10</v>
      </c>
      <c r="AE1" s="18" t="s">
        <v>11</v>
      </c>
      <c r="AF1" s="18" t="s">
        <v>12</v>
      </c>
      <c r="AG1" s="18" t="s">
        <v>13</v>
      </c>
      <c r="AH1" s="18" t="s">
        <v>14</v>
      </c>
      <c r="AI1" s="18" t="s">
        <v>15</v>
      </c>
      <c r="AJ1" s="18" t="s">
        <v>16</v>
      </c>
      <c r="AK1" s="18" t="s">
        <v>17</v>
      </c>
      <c r="AL1" s="18" t="s">
        <v>18</v>
      </c>
      <c r="AM1" s="18" t="s">
        <v>19</v>
      </c>
      <c r="AN1" s="18" t="s">
        <v>20</v>
      </c>
      <c r="AO1" s="18" t="s">
        <v>21</v>
      </c>
      <c r="AP1" s="8" t="s">
        <v>45</v>
      </c>
      <c r="AQ1" s="8" t="s">
        <v>48</v>
      </c>
      <c r="AR1" s="8" t="s">
        <v>47</v>
      </c>
      <c r="AS1" s="8" t="s">
        <v>49</v>
      </c>
      <c r="AT1" s="8" t="s">
        <v>50</v>
      </c>
    </row>
    <row r="2" spans="1:1013" ht="30" customHeight="1" thickTop="1" x14ac:dyDescent="0.25">
      <c r="A2" s="21" t="s">
        <v>53</v>
      </c>
      <c r="B2" s="22" t="s">
        <v>82</v>
      </c>
      <c r="C2" s="21" t="s">
        <v>79</v>
      </c>
      <c r="D2" s="17">
        <v>42</v>
      </c>
      <c r="E2" s="17" t="s">
        <v>34</v>
      </c>
      <c r="F2" s="17">
        <v>56</v>
      </c>
      <c r="G2" s="11" t="s">
        <v>80</v>
      </c>
      <c r="H2" s="11" t="s">
        <v>81</v>
      </c>
      <c r="I2" s="11">
        <v>45</v>
      </c>
      <c r="J2" s="11">
        <v>57</v>
      </c>
      <c r="K2" s="11">
        <v>19</v>
      </c>
      <c r="L2" s="11">
        <v>14</v>
      </c>
      <c r="M2" s="11">
        <v>101</v>
      </c>
      <c r="N2" s="11">
        <v>101</v>
      </c>
      <c r="O2" s="11">
        <v>114</v>
      </c>
      <c r="P2" s="11">
        <v>71</v>
      </c>
      <c r="Q2" s="11">
        <v>40</v>
      </c>
      <c r="R2" s="11">
        <v>45</v>
      </c>
      <c r="S2" s="11">
        <v>58</v>
      </c>
      <c r="T2" s="11">
        <v>17</v>
      </c>
      <c r="U2" s="11">
        <v>12</v>
      </c>
      <c r="V2" s="11">
        <v>28</v>
      </c>
      <c r="W2" s="11">
        <v>26</v>
      </c>
      <c r="X2" s="11">
        <v>28</v>
      </c>
      <c r="Y2" s="11">
        <v>71</v>
      </c>
      <c r="Z2" s="11">
        <v>40</v>
      </c>
      <c r="AA2" s="11">
        <v>45</v>
      </c>
      <c r="AB2" s="11">
        <v>24</v>
      </c>
      <c r="AC2" s="11">
        <v>18</v>
      </c>
      <c r="AD2" s="11">
        <v>28</v>
      </c>
      <c r="AE2" s="11">
        <v>26</v>
      </c>
      <c r="AF2" s="11">
        <v>28</v>
      </c>
      <c r="AG2" s="11">
        <v>71</v>
      </c>
      <c r="AH2" s="11">
        <v>40</v>
      </c>
      <c r="AI2" s="11">
        <v>91</v>
      </c>
      <c r="AJ2" s="11">
        <v>112</v>
      </c>
      <c r="AK2" s="11">
        <v>68</v>
      </c>
      <c r="AL2" s="11">
        <v>34</v>
      </c>
      <c r="AM2" s="11">
        <v>24</v>
      </c>
      <c r="AN2" s="11">
        <v>19</v>
      </c>
      <c r="AO2" s="8">
        <v>92</v>
      </c>
      <c r="AP2" s="8">
        <v>1</v>
      </c>
      <c r="AQ2" s="15" t="s">
        <v>109</v>
      </c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16"/>
      <c r="EJ2" s="16"/>
      <c r="EK2" s="16"/>
      <c r="EL2" s="16"/>
      <c r="EM2" s="16"/>
      <c r="EN2" s="16"/>
      <c r="EO2" s="16"/>
      <c r="EP2" s="16"/>
      <c r="EQ2" s="16"/>
      <c r="ER2" s="16"/>
      <c r="ES2" s="16"/>
      <c r="ET2" s="16"/>
      <c r="EU2" s="16"/>
      <c r="EV2" s="16"/>
      <c r="EW2" s="16"/>
      <c r="EX2" s="16"/>
      <c r="EY2" s="16"/>
      <c r="EZ2" s="16"/>
      <c r="FA2" s="16"/>
      <c r="FB2" s="16"/>
      <c r="FC2" s="16"/>
      <c r="FD2" s="16"/>
      <c r="FE2" s="16"/>
      <c r="FF2" s="16"/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/>
      <c r="GS2" s="16"/>
      <c r="GT2" s="16"/>
      <c r="GU2" s="16"/>
      <c r="GV2" s="16"/>
      <c r="GW2" s="16"/>
      <c r="GX2" s="16"/>
      <c r="GY2" s="16"/>
      <c r="GZ2" s="16"/>
      <c r="HA2" s="16"/>
      <c r="HB2" s="16"/>
      <c r="HC2" s="16"/>
      <c r="HD2" s="16"/>
      <c r="HE2" s="16"/>
      <c r="HF2" s="16"/>
      <c r="HG2" s="16"/>
      <c r="HH2" s="16"/>
      <c r="HI2" s="16"/>
      <c r="HJ2" s="16"/>
      <c r="HK2" s="16"/>
      <c r="HL2" s="16"/>
      <c r="HM2" s="16"/>
      <c r="HN2" s="16"/>
      <c r="HO2" s="16"/>
      <c r="HP2" s="16"/>
      <c r="HQ2" s="16"/>
      <c r="HR2" s="16"/>
      <c r="HS2" s="16"/>
      <c r="HT2" s="16"/>
      <c r="HU2" s="16"/>
      <c r="HV2" s="16"/>
      <c r="HW2" s="16"/>
      <c r="HX2" s="16"/>
      <c r="HY2" s="16"/>
      <c r="HZ2" s="16"/>
      <c r="IA2" s="16"/>
      <c r="IB2" s="16"/>
      <c r="IC2" s="16"/>
      <c r="ID2" s="16"/>
      <c r="IE2" s="16"/>
      <c r="IF2" s="16"/>
      <c r="IG2" s="16"/>
      <c r="IH2" s="16"/>
      <c r="II2" s="16"/>
      <c r="IJ2" s="16"/>
      <c r="IK2" s="16"/>
      <c r="IL2" s="16"/>
      <c r="IM2" s="16"/>
      <c r="IN2" s="16"/>
      <c r="IO2" s="16"/>
      <c r="IP2" s="16"/>
      <c r="IQ2" s="16"/>
      <c r="IR2" s="16"/>
      <c r="IS2" s="16"/>
      <c r="IT2" s="16"/>
      <c r="IU2" s="16"/>
      <c r="IV2" s="16"/>
      <c r="IW2" s="16"/>
      <c r="IX2" s="16"/>
      <c r="IY2" s="16"/>
      <c r="IZ2" s="16"/>
      <c r="JA2" s="16"/>
      <c r="JB2" s="16"/>
      <c r="JC2" s="16"/>
      <c r="JD2" s="16"/>
      <c r="JE2" s="16"/>
      <c r="JF2" s="16"/>
      <c r="JG2" s="16"/>
      <c r="JH2" s="16"/>
      <c r="JI2" s="16"/>
      <c r="JJ2" s="16"/>
      <c r="JK2" s="16"/>
      <c r="JL2" s="16"/>
      <c r="JM2" s="16"/>
      <c r="JN2" s="16"/>
      <c r="JO2" s="16"/>
      <c r="JP2" s="16"/>
      <c r="JQ2" s="16"/>
      <c r="JR2" s="16"/>
      <c r="JS2" s="16"/>
      <c r="JT2" s="16"/>
      <c r="JU2" s="16"/>
      <c r="JV2" s="16"/>
      <c r="JW2" s="16"/>
      <c r="JX2" s="16"/>
      <c r="JY2" s="16"/>
      <c r="JZ2" s="16"/>
      <c r="KA2" s="16"/>
      <c r="KB2" s="16"/>
      <c r="KC2" s="16"/>
      <c r="KD2" s="16"/>
      <c r="KE2" s="16"/>
      <c r="KF2" s="16"/>
      <c r="KG2" s="16"/>
      <c r="KH2" s="16"/>
      <c r="KI2" s="16"/>
      <c r="KJ2" s="16"/>
      <c r="KK2" s="16"/>
      <c r="KL2" s="16"/>
      <c r="KM2" s="16"/>
      <c r="KN2" s="16"/>
      <c r="KO2" s="16"/>
      <c r="KP2" s="16"/>
      <c r="KQ2" s="16"/>
      <c r="KR2" s="16"/>
      <c r="KS2" s="16"/>
      <c r="KT2" s="16"/>
      <c r="KU2" s="16"/>
      <c r="KV2" s="16"/>
      <c r="KW2" s="16"/>
      <c r="KX2" s="16"/>
      <c r="KY2" s="16"/>
      <c r="KZ2" s="16"/>
      <c r="LA2" s="16"/>
      <c r="LB2" s="16"/>
      <c r="LC2" s="16"/>
      <c r="LD2" s="16"/>
      <c r="LE2" s="16"/>
      <c r="LF2" s="16"/>
      <c r="LG2" s="16"/>
      <c r="LH2" s="16"/>
      <c r="LI2" s="16"/>
      <c r="LJ2" s="16"/>
      <c r="LK2" s="16"/>
      <c r="LL2" s="16"/>
      <c r="LM2" s="16"/>
      <c r="LN2" s="16"/>
      <c r="LO2" s="16"/>
      <c r="LP2" s="16"/>
      <c r="LQ2" s="16"/>
      <c r="LR2" s="16"/>
      <c r="LS2" s="16"/>
      <c r="LT2" s="16"/>
      <c r="LU2" s="16"/>
      <c r="LV2" s="16"/>
      <c r="LW2" s="16"/>
      <c r="LX2" s="16"/>
      <c r="LY2" s="16"/>
      <c r="LZ2" s="16"/>
      <c r="MA2" s="16"/>
      <c r="MB2" s="16"/>
      <c r="MC2" s="16"/>
      <c r="MD2" s="16"/>
      <c r="ME2" s="16"/>
      <c r="MF2" s="16"/>
      <c r="MG2" s="16"/>
      <c r="MH2" s="16"/>
      <c r="MI2" s="16"/>
      <c r="MJ2" s="16"/>
      <c r="MK2" s="16"/>
      <c r="ML2" s="16"/>
      <c r="MM2" s="16"/>
      <c r="MN2" s="16"/>
      <c r="MO2" s="16"/>
      <c r="MP2" s="16"/>
      <c r="MQ2" s="16"/>
      <c r="MR2" s="16"/>
      <c r="MS2" s="16"/>
      <c r="MT2" s="16"/>
      <c r="MU2" s="16"/>
      <c r="MV2" s="16"/>
      <c r="MW2" s="16"/>
      <c r="MX2" s="16"/>
      <c r="MY2" s="16"/>
      <c r="MZ2" s="16"/>
      <c r="NA2" s="16"/>
      <c r="NB2" s="16"/>
      <c r="NC2" s="16"/>
      <c r="ND2" s="16"/>
      <c r="NE2" s="16"/>
      <c r="NF2" s="16"/>
      <c r="NG2" s="16"/>
      <c r="NH2" s="16"/>
      <c r="NI2" s="16"/>
      <c r="NJ2" s="16"/>
      <c r="NK2" s="16"/>
      <c r="NL2" s="16"/>
      <c r="NM2" s="16"/>
      <c r="NN2" s="16"/>
      <c r="NO2" s="16"/>
      <c r="NP2" s="16"/>
      <c r="NQ2" s="16"/>
      <c r="NR2" s="16"/>
      <c r="NS2" s="16"/>
      <c r="NT2" s="16"/>
      <c r="NU2" s="16"/>
      <c r="NV2" s="16"/>
      <c r="NW2" s="16"/>
      <c r="NX2" s="16"/>
      <c r="NY2" s="16"/>
      <c r="NZ2" s="16"/>
      <c r="OA2" s="16"/>
      <c r="OB2" s="16"/>
      <c r="OC2" s="16"/>
      <c r="OD2" s="16"/>
      <c r="OE2" s="16"/>
      <c r="OF2" s="16"/>
      <c r="OG2" s="16"/>
      <c r="OH2" s="16"/>
      <c r="OI2" s="16"/>
      <c r="OJ2" s="16"/>
      <c r="OK2" s="16"/>
      <c r="OL2" s="16"/>
      <c r="OM2" s="16"/>
      <c r="ON2" s="16"/>
      <c r="OO2" s="16"/>
      <c r="OP2" s="16"/>
      <c r="OQ2" s="16"/>
      <c r="OR2" s="16"/>
      <c r="OS2" s="16"/>
      <c r="OT2" s="16"/>
      <c r="OU2" s="16"/>
      <c r="OV2" s="16"/>
      <c r="OW2" s="16"/>
      <c r="OX2" s="16"/>
      <c r="OY2" s="16"/>
      <c r="OZ2" s="16"/>
      <c r="PA2" s="16"/>
      <c r="PB2" s="16"/>
      <c r="PC2" s="16"/>
      <c r="PD2" s="16"/>
      <c r="PE2" s="16"/>
      <c r="PF2" s="16"/>
      <c r="PG2" s="16"/>
      <c r="PH2" s="16"/>
      <c r="PI2" s="16"/>
      <c r="PJ2" s="16"/>
      <c r="PK2" s="16"/>
      <c r="PL2" s="16"/>
      <c r="PM2" s="16"/>
      <c r="PN2" s="16"/>
      <c r="PO2" s="16"/>
      <c r="PP2" s="16"/>
      <c r="PQ2" s="16"/>
      <c r="PR2" s="16"/>
      <c r="PS2" s="16"/>
      <c r="PT2" s="16"/>
      <c r="PU2" s="16"/>
      <c r="PV2" s="16"/>
      <c r="PW2" s="16"/>
      <c r="PX2" s="16"/>
      <c r="PY2" s="16"/>
      <c r="PZ2" s="16"/>
      <c r="QA2" s="16"/>
      <c r="QB2" s="16"/>
      <c r="QC2" s="16"/>
      <c r="QD2" s="16"/>
      <c r="QE2" s="16"/>
      <c r="QF2" s="16"/>
      <c r="QG2" s="16"/>
      <c r="QH2" s="16"/>
      <c r="QI2" s="16"/>
      <c r="QJ2" s="16"/>
      <c r="QK2" s="16"/>
      <c r="QL2" s="16"/>
      <c r="QM2" s="16"/>
      <c r="QN2" s="16"/>
      <c r="QO2" s="16"/>
      <c r="QP2" s="16"/>
      <c r="QQ2" s="16"/>
      <c r="QR2" s="16"/>
      <c r="QS2" s="16"/>
      <c r="QT2" s="16"/>
      <c r="QU2" s="16"/>
      <c r="QV2" s="16"/>
      <c r="QW2" s="16"/>
      <c r="QX2" s="16"/>
      <c r="QY2" s="16"/>
      <c r="QZ2" s="16"/>
      <c r="RA2" s="16"/>
      <c r="RB2" s="16"/>
      <c r="RC2" s="16"/>
      <c r="RD2" s="16"/>
      <c r="RE2" s="16"/>
      <c r="RF2" s="16"/>
      <c r="RG2" s="16"/>
      <c r="RH2" s="16"/>
      <c r="RI2" s="16"/>
      <c r="RJ2" s="16"/>
      <c r="RK2" s="16"/>
      <c r="RL2" s="16"/>
      <c r="RM2" s="16"/>
      <c r="RN2" s="16"/>
      <c r="RO2" s="16"/>
      <c r="RP2" s="16"/>
      <c r="RQ2" s="16"/>
      <c r="RR2" s="16"/>
      <c r="RS2" s="16"/>
      <c r="RT2" s="16"/>
      <c r="RU2" s="16"/>
      <c r="RV2" s="16"/>
      <c r="RW2" s="16"/>
      <c r="RX2" s="16"/>
      <c r="RY2" s="16"/>
      <c r="RZ2" s="16"/>
      <c r="SA2" s="16"/>
      <c r="SB2" s="16"/>
      <c r="SC2" s="16"/>
      <c r="SD2" s="16"/>
      <c r="SE2" s="16"/>
      <c r="SF2" s="16"/>
      <c r="SG2" s="16"/>
      <c r="SH2" s="16"/>
      <c r="SI2" s="16"/>
      <c r="SJ2" s="16"/>
      <c r="SK2" s="16"/>
      <c r="SL2" s="16"/>
      <c r="SM2" s="16"/>
      <c r="SN2" s="16"/>
      <c r="SO2" s="16"/>
      <c r="SP2" s="16"/>
      <c r="SQ2" s="16"/>
      <c r="SR2" s="16"/>
      <c r="SS2" s="16"/>
      <c r="ST2" s="16"/>
      <c r="SU2" s="16"/>
      <c r="SV2" s="16"/>
      <c r="SW2" s="16"/>
      <c r="SX2" s="16"/>
      <c r="SY2" s="16"/>
      <c r="SZ2" s="16"/>
      <c r="TA2" s="16"/>
      <c r="TB2" s="16"/>
      <c r="TC2" s="16"/>
      <c r="TD2" s="16"/>
      <c r="TE2" s="16"/>
      <c r="TF2" s="16"/>
      <c r="TG2" s="16"/>
      <c r="TH2" s="16"/>
      <c r="TI2" s="16"/>
      <c r="TJ2" s="16"/>
      <c r="TK2" s="16"/>
      <c r="TL2" s="16"/>
      <c r="TM2" s="16"/>
      <c r="TN2" s="16"/>
      <c r="TO2" s="16"/>
      <c r="TP2" s="16"/>
      <c r="TQ2" s="16"/>
      <c r="TR2" s="16"/>
      <c r="TS2" s="16"/>
      <c r="TT2" s="16"/>
      <c r="TU2" s="16"/>
      <c r="TV2" s="16"/>
      <c r="TW2" s="16"/>
      <c r="TX2" s="16"/>
      <c r="TY2" s="16"/>
      <c r="TZ2" s="16"/>
      <c r="UA2" s="16"/>
      <c r="UB2" s="16"/>
      <c r="UC2" s="16"/>
      <c r="UD2" s="16"/>
      <c r="UE2" s="16"/>
      <c r="UF2" s="16"/>
      <c r="UG2" s="16"/>
      <c r="UH2" s="16"/>
      <c r="UI2" s="16"/>
      <c r="UJ2" s="16"/>
      <c r="UK2" s="16"/>
      <c r="UL2" s="16"/>
      <c r="UM2" s="16"/>
      <c r="UN2" s="16"/>
      <c r="UO2" s="16"/>
      <c r="UP2" s="16"/>
      <c r="UQ2" s="16"/>
      <c r="UR2" s="16"/>
      <c r="US2" s="16"/>
      <c r="UT2" s="16"/>
      <c r="UU2" s="16"/>
      <c r="UV2" s="16"/>
      <c r="UW2" s="16"/>
      <c r="UX2" s="16"/>
      <c r="UY2" s="16"/>
      <c r="UZ2" s="16"/>
      <c r="VA2" s="16"/>
      <c r="VB2" s="16"/>
      <c r="VC2" s="16"/>
      <c r="VD2" s="16"/>
      <c r="VE2" s="16"/>
      <c r="VF2" s="16"/>
      <c r="VG2" s="16"/>
      <c r="VH2" s="16"/>
      <c r="VI2" s="16"/>
      <c r="VJ2" s="16"/>
      <c r="VK2" s="16"/>
      <c r="VL2" s="16"/>
      <c r="VM2" s="16"/>
      <c r="VN2" s="16"/>
      <c r="VO2" s="16"/>
      <c r="VP2" s="16"/>
      <c r="VQ2" s="16"/>
      <c r="VR2" s="16"/>
      <c r="VS2" s="16"/>
      <c r="VT2" s="16"/>
      <c r="VU2" s="16"/>
      <c r="VV2" s="16"/>
      <c r="VW2" s="16"/>
      <c r="VX2" s="16"/>
      <c r="VY2" s="16"/>
      <c r="VZ2" s="16"/>
      <c r="WA2" s="16"/>
      <c r="WB2" s="16"/>
      <c r="WC2" s="16"/>
      <c r="WD2" s="16"/>
      <c r="WE2" s="16"/>
      <c r="WF2" s="16"/>
      <c r="WG2" s="16"/>
      <c r="WH2" s="16"/>
      <c r="WI2" s="16"/>
      <c r="WJ2" s="16"/>
      <c r="WK2" s="16"/>
      <c r="WL2" s="16"/>
      <c r="WM2" s="16"/>
      <c r="WN2" s="16"/>
      <c r="WO2" s="16"/>
      <c r="WP2" s="16"/>
      <c r="WQ2" s="16"/>
      <c r="WR2" s="16"/>
      <c r="WS2" s="16"/>
      <c r="WT2" s="16"/>
      <c r="WU2" s="16"/>
      <c r="WV2" s="16"/>
      <c r="WW2" s="16"/>
      <c r="WX2" s="16"/>
      <c r="WY2" s="16"/>
      <c r="WZ2" s="16"/>
      <c r="XA2" s="16"/>
      <c r="XB2" s="16"/>
      <c r="XC2" s="16"/>
      <c r="XD2" s="16"/>
      <c r="XE2" s="16"/>
      <c r="XF2" s="16"/>
      <c r="XG2" s="16"/>
      <c r="XH2" s="16"/>
      <c r="XI2" s="16"/>
      <c r="XJ2" s="16"/>
      <c r="XK2" s="16"/>
      <c r="XL2" s="16"/>
      <c r="XM2" s="16"/>
      <c r="XN2" s="16"/>
      <c r="XO2" s="16"/>
      <c r="XP2" s="16"/>
      <c r="XQ2" s="16"/>
      <c r="XR2" s="16"/>
      <c r="XS2" s="16"/>
      <c r="XT2" s="16"/>
      <c r="XU2" s="16"/>
      <c r="XV2" s="16"/>
      <c r="XW2" s="16"/>
      <c r="XX2" s="16"/>
      <c r="XY2" s="16"/>
      <c r="XZ2" s="16"/>
      <c r="YA2" s="16"/>
      <c r="YB2" s="16"/>
      <c r="YC2" s="16"/>
      <c r="YD2" s="16"/>
      <c r="YE2" s="16"/>
      <c r="YF2" s="16"/>
      <c r="YG2" s="16"/>
      <c r="YH2" s="16"/>
      <c r="YI2" s="16"/>
      <c r="YJ2" s="16"/>
      <c r="YK2" s="16"/>
      <c r="YL2" s="16"/>
      <c r="YM2" s="16"/>
      <c r="YN2" s="16"/>
      <c r="YO2" s="16"/>
      <c r="YP2" s="16"/>
      <c r="YQ2" s="16"/>
      <c r="YR2" s="16"/>
      <c r="YS2" s="16"/>
      <c r="YT2" s="16"/>
      <c r="YU2" s="16"/>
      <c r="YV2" s="16"/>
      <c r="YW2" s="16"/>
      <c r="YX2" s="16"/>
      <c r="YY2" s="16"/>
      <c r="YZ2" s="16"/>
      <c r="ZA2" s="16"/>
      <c r="ZB2" s="16"/>
      <c r="ZC2" s="16"/>
      <c r="ZD2" s="16"/>
      <c r="ZE2" s="16"/>
      <c r="ZF2" s="16"/>
      <c r="ZG2" s="16"/>
      <c r="ZH2" s="16"/>
      <c r="ZI2" s="16"/>
      <c r="ZJ2" s="16"/>
      <c r="ZK2" s="16"/>
      <c r="ZL2" s="16"/>
      <c r="ZM2" s="16"/>
      <c r="ZN2" s="16"/>
      <c r="ZO2" s="16"/>
      <c r="ZP2" s="16"/>
      <c r="ZQ2" s="16"/>
      <c r="ZR2" s="16"/>
      <c r="ZS2" s="16"/>
      <c r="ZT2" s="16"/>
      <c r="ZU2" s="16"/>
      <c r="ZV2" s="16"/>
      <c r="ZW2" s="16"/>
      <c r="ZX2" s="16"/>
      <c r="ZY2" s="16"/>
      <c r="ZZ2" s="16"/>
      <c r="AAA2" s="16"/>
      <c r="AAB2" s="16"/>
      <c r="AAC2" s="16"/>
      <c r="AAD2" s="16"/>
      <c r="AAE2" s="16"/>
      <c r="AAF2" s="16"/>
      <c r="AAG2" s="16"/>
      <c r="AAH2" s="16"/>
      <c r="AAI2" s="16"/>
      <c r="AAJ2" s="16"/>
      <c r="AAK2" s="16"/>
      <c r="AAL2" s="16"/>
      <c r="AAM2" s="16"/>
      <c r="AAN2" s="16"/>
      <c r="AAO2" s="16"/>
      <c r="AAP2" s="16"/>
      <c r="AAQ2" s="16"/>
      <c r="AAR2" s="16"/>
      <c r="AAS2" s="16"/>
      <c r="AAT2" s="16"/>
      <c r="AAU2" s="16"/>
      <c r="AAV2" s="16"/>
      <c r="AAW2" s="16"/>
      <c r="AAX2" s="16"/>
      <c r="AAY2" s="16"/>
      <c r="AAZ2" s="16"/>
      <c r="ABA2" s="16"/>
      <c r="ABB2" s="16"/>
      <c r="ABC2" s="16"/>
      <c r="ABD2" s="16"/>
      <c r="ABE2" s="16"/>
      <c r="ABF2" s="16"/>
      <c r="ABG2" s="16"/>
      <c r="ABH2" s="16"/>
      <c r="ABI2" s="16"/>
      <c r="ABJ2" s="16"/>
      <c r="ABK2" s="16"/>
      <c r="ABL2" s="16"/>
      <c r="ABM2" s="16"/>
      <c r="ABN2" s="16"/>
      <c r="ABO2" s="16"/>
      <c r="ABP2" s="16"/>
      <c r="ABQ2" s="16"/>
      <c r="ABR2" s="16"/>
      <c r="ABS2" s="16"/>
      <c r="ABT2" s="16"/>
      <c r="ABU2" s="16"/>
      <c r="ABV2" s="16"/>
      <c r="ABW2" s="16"/>
      <c r="ABX2" s="16"/>
      <c r="ABY2" s="16"/>
      <c r="ABZ2" s="16"/>
      <c r="ACA2" s="16"/>
      <c r="ACB2" s="16"/>
      <c r="ACC2" s="16"/>
      <c r="ACD2" s="16"/>
      <c r="ACE2" s="16"/>
      <c r="ACF2" s="16"/>
      <c r="ACG2" s="16"/>
      <c r="ACH2" s="16"/>
      <c r="ACI2" s="16"/>
      <c r="ACJ2" s="16"/>
      <c r="ACK2" s="16"/>
      <c r="ACL2" s="16"/>
      <c r="ACM2" s="16"/>
      <c r="ACN2" s="16"/>
      <c r="ACO2" s="16"/>
      <c r="ACP2" s="16"/>
      <c r="ACQ2" s="16"/>
      <c r="ACR2" s="16"/>
      <c r="ACS2" s="16"/>
      <c r="ACT2" s="16"/>
      <c r="ACU2" s="16"/>
      <c r="ACV2" s="16"/>
      <c r="ACW2" s="16"/>
      <c r="ACX2" s="16"/>
      <c r="ACY2" s="16"/>
      <c r="ACZ2" s="16"/>
      <c r="ADA2" s="16"/>
      <c r="ADB2" s="16"/>
      <c r="ADC2" s="16"/>
      <c r="ADD2" s="16"/>
      <c r="ADE2" s="16"/>
      <c r="ADF2" s="16"/>
      <c r="ADG2" s="16"/>
      <c r="ADH2" s="16"/>
      <c r="ADI2" s="16"/>
      <c r="ADJ2" s="16"/>
      <c r="ADK2" s="16"/>
      <c r="ADL2" s="16"/>
      <c r="ADM2" s="16"/>
      <c r="ADN2" s="16"/>
      <c r="ADO2" s="16"/>
      <c r="ADP2" s="16"/>
      <c r="ADQ2" s="16"/>
      <c r="ADR2" s="16"/>
      <c r="ADS2" s="16"/>
      <c r="ADT2" s="16"/>
      <c r="ADU2" s="16"/>
      <c r="ADV2" s="16"/>
      <c r="ADW2" s="16"/>
      <c r="ADX2" s="16"/>
      <c r="ADY2" s="16"/>
      <c r="ADZ2" s="16"/>
      <c r="AEA2" s="16"/>
      <c r="AEB2" s="16"/>
      <c r="AEC2" s="16"/>
      <c r="AED2" s="16"/>
      <c r="AEE2" s="16"/>
      <c r="AEF2" s="16"/>
      <c r="AEG2" s="16"/>
      <c r="AEH2" s="16"/>
      <c r="AEI2" s="16"/>
      <c r="AEJ2" s="16"/>
      <c r="AEK2" s="16"/>
      <c r="AEL2" s="16"/>
      <c r="AEM2" s="16"/>
      <c r="AEN2" s="16"/>
      <c r="AEO2" s="16"/>
      <c r="AEP2" s="16"/>
      <c r="AEQ2" s="16"/>
      <c r="AER2" s="16"/>
      <c r="AES2" s="16"/>
      <c r="AET2" s="16"/>
      <c r="AEU2" s="16"/>
      <c r="AEV2" s="16"/>
      <c r="AEW2" s="16"/>
      <c r="AEX2" s="16"/>
      <c r="AEY2" s="16"/>
      <c r="AEZ2" s="16"/>
      <c r="AFA2" s="16"/>
      <c r="AFB2" s="16"/>
      <c r="AFC2" s="16"/>
      <c r="AFD2" s="16"/>
      <c r="AFE2" s="16"/>
      <c r="AFF2" s="16"/>
      <c r="AFG2" s="16"/>
      <c r="AFH2" s="16"/>
      <c r="AFI2" s="16"/>
      <c r="AFJ2" s="16"/>
      <c r="AFK2" s="16"/>
      <c r="AFL2" s="16"/>
      <c r="AFM2" s="16"/>
      <c r="AFN2" s="16"/>
      <c r="AFO2" s="16"/>
      <c r="AFP2" s="16"/>
      <c r="AFQ2" s="16"/>
      <c r="AFR2" s="16"/>
      <c r="AFS2" s="16"/>
      <c r="AFT2" s="16"/>
      <c r="AFU2" s="16"/>
      <c r="AFV2" s="16"/>
      <c r="AFW2" s="16"/>
      <c r="AFX2" s="16"/>
      <c r="AFY2" s="16"/>
      <c r="AFZ2" s="16"/>
      <c r="AGA2" s="16"/>
      <c r="AGB2" s="16"/>
      <c r="AGC2" s="16"/>
      <c r="AGD2" s="16"/>
      <c r="AGE2" s="16"/>
      <c r="AGF2" s="16"/>
      <c r="AGG2" s="16"/>
      <c r="AGH2" s="16"/>
      <c r="AGI2" s="16"/>
      <c r="AGJ2" s="16"/>
      <c r="AGK2" s="16"/>
      <c r="AGL2" s="16"/>
      <c r="AGM2" s="16"/>
      <c r="AGN2" s="16"/>
      <c r="AGO2" s="16"/>
      <c r="AGP2" s="16"/>
      <c r="AGQ2" s="16"/>
      <c r="AGR2" s="16"/>
      <c r="AGS2" s="16"/>
      <c r="AGT2" s="16"/>
      <c r="AGU2" s="16"/>
      <c r="AGV2" s="16"/>
      <c r="AGW2" s="16"/>
      <c r="AGX2" s="16"/>
      <c r="AGY2" s="16"/>
      <c r="AGZ2" s="16"/>
      <c r="AHA2" s="16"/>
      <c r="AHB2" s="16"/>
      <c r="AHC2" s="16"/>
      <c r="AHD2" s="16"/>
      <c r="AHE2" s="16"/>
      <c r="AHF2" s="16"/>
      <c r="AHG2" s="16"/>
      <c r="AHH2" s="16"/>
      <c r="AHI2" s="16"/>
      <c r="AHJ2" s="16"/>
      <c r="AHK2" s="16"/>
      <c r="AHL2" s="16"/>
      <c r="AHM2" s="16"/>
      <c r="AHN2" s="16"/>
      <c r="AHO2" s="16"/>
      <c r="AHP2" s="16"/>
      <c r="AHQ2" s="16"/>
      <c r="AHR2" s="16"/>
      <c r="AHS2" s="16"/>
      <c r="AHT2" s="16"/>
      <c r="AHU2" s="16"/>
      <c r="AHV2" s="16"/>
      <c r="AHW2" s="16"/>
      <c r="AHX2" s="16"/>
      <c r="AHY2" s="16"/>
      <c r="AHZ2" s="16"/>
      <c r="AIA2" s="16"/>
      <c r="AIB2" s="16"/>
      <c r="AIC2" s="16"/>
      <c r="AID2" s="16"/>
      <c r="AIE2" s="16"/>
      <c r="AIF2" s="16"/>
      <c r="AIG2" s="16"/>
      <c r="AIH2" s="16"/>
      <c r="AII2" s="16"/>
      <c r="AIJ2" s="16"/>
      <c r="AIK2" s="16"/>
      <c r="AIL2" s="16"/>
      <c r="AIM2" s="16"/>
      <c r="AIN2" s="16"/>
      <c r="AIO2" s="16"/>
      <c r="AIP2" s="16"/>
      <c r="AIQ2" s="16"/>
      <c r="AIR2" s="16"/>
      <c r="AIS2" s="16"/>
      <c r="AIT2" s="16"/>
      <c r="AIU2" s="16"/>
      <c r="AIV2" s="16"/>
      <c r="AIW2" s="16"/>
      <c r="AIX2" s="16"/>
      <c r="AIY2" s="16"/>
      <c r="AIZ2" s="16"/>
      <c r="AJA2" s="16"/>
      <c r="AJB2" s="16"/>
      <c r="AJC2" s="16"/>
      <c r="AJD2" s="16"/>
      <c r="AJE2" s="16"/>
      <c r="AJF2" s="16"/>
      <c r="AJG2" s="16"/>
      <c r="AJH2" s="16"/>
      <c r="AJI2" s="16"/>
      <c r="AJJ2" s="16"/>
      <c r="AJK2" s="16"/>
      <c r="AJL2" s="16"/>
      <c r="AJM2" s="16"/>
      <c r="AJN2" s="16"/>
      <c r="AJO2" s="16"/>
      <c r="AJP2" s="16"/>
      <c r="AJQ2" s="16"/>
      <c r="AJR2" s="16"/>
      <c r="AJS2" s="16"/>
      <c r="AJT2" s="16"/>
      <c r="AJU2" s="16"/>
      <c r="AJV2" s="16"/>
      <c r="AJW2" s="16"/>
      <c r="AJX2" s="16"/>
      <c r="AJY2" s="16"/>
      <c r="AJZ2" s="16"/>
      <c r="AKA2" s="16"/>
      <c r="AKB2" s="16"/>
      <c r="AKC2" s="16"/>
      <c r="AKD2" s="16"/>
      <c r="AKE2" s="16"/>
      <c r="AKF2" s="16"/>
      <c r="AKG2" s="16"/>
      <c r="AKH2" s="16"/>
      <c r="AKI2" s="16"/>
      <c r="AKJ2" s="16"/>
      <c r="AKK2" s="16"/>
      <c r="AKL2" s="16"/>
      <c r="AKM2" s="16"/>
      <c r="AKN2" s="16"/>
      <c r="AKO2" s="16"/>
      <c r="AKP2" s="16"/>
      <c r="AKQ2" s="16"/>
      <c r="AKR2" s="16"/>
      <c r="AKS2" s="16"/>
      <c r="AKT2" s="16"/>
      <c r="AKU2" s="16"/>
      <c r="AKV2" s="16"/>
      <c r="AKW2" s="16"/>
      <c r="AKX2" s="16"/>
      <c r="AKY2" s="16"/>
      <c r="AKZ2" s="16"/>
      <c r="ALA2" s="16"/>
      <c r="ALB2" s="16"/>
      <c r="ALC2" s="16"/>
      <c r="ALD2" s="16"/>
      <c r="ALE2" s="16"/>
      <c r="ALF2" s="16"/>
      <c r="ALG2" s="16"/>
      <c r="ALH2" s="16"/>
      <c r="ALI2" s="16"/>
      <c r="ALJ2" s="16"/>
      <c r="ALK2" s="16"/>
      <c r="ALL2" s="16"/>
      <c r="ALM2" s="16"/>
      <c r="ALN2" s="16"/>
      <c r="ALO2" s="16"/>
      <c r="ALP2" s="16"/>
      <c r="ALQ2" s="16"/>
      <c r="ALR2" s="16"/>
      <c r="ALS2" s="16"/>
      <c r="ALT2" s="16"/>
      <c r="ALU2" s="16"/>
      <c r="ALV2" s="16"/>
      <c r="ALW2" s="16"/>
      <c r="ALX2" s="16"/>
      <c r="ALY2" s="16"/>
    </row>
    <row r="3" spans="1:1013" ht="30" customHeight="1" x14ac:dyDescent="0.25">
      <c r="A3" s="21" t="s">
        <v>54</v>
      </c>
      <c r="B3" s="23" t="s">
        <v>83</v>
      </c>
      <c r="C3" s="21" t="s">
        <v>79</v>
      </c>
      <c r="D3" s="17">
        <v>41</v>
      </c>
      <c r="E3" s="20" t="s">
        <v>31</v>
      </c>
      <c r="F3" s="2">
        <v>55</v>
      </c>
      <c r="G3" s="11" t="s">
        <v>80</v>
      </c>
      <c r="H3" s="11" t="s">
        <v>81</v>
      </c>
      <c r="I3" s="2">
        <v>43</v>
      </c>
      <c r="J3" s="2">
        <v>58</v>
      </c>
      <c r="K3" s="2">
        <v>18</v>
      </c>
      <c r="L3" s="2">
        <v>14</v>
      </c>
      <c r="M3" s="2">
        <v>97</v>
      </c>
      <c r="N3" s="2">
        <v>93</v>
      </c>
      <c r="O3" s="2">
        <v>107</v>
      </c>
      <c r="P3" s="2">
        <v>69</v>
      </c>
      <c r="Q3" s="2">
        <v>39</v>
      </c>
      <c r="R3" s="11">
        <v>43</v>
      </c>
      <c r="S3" s="11">
        <v>59</v>
      </c>
      <c r="T3" s="11">
        <v>16</v>
      </c>
      <c r="U3" s="11">
        <v>12</v>
      </c>
      <c r="V3" s="11">
        <v>27</v>
      </c>
      <c r="W3" s="11">
        <v>26</v>
      </c>
      <c r="X3" s="11">
        <v>27</v>
      </c>
      <c r="Y3" s="11">
        <v>69</v>
      </c>
      <c r="Z3" s="11">
        <v>39</v>
      </c>
      <c r="AA3" s="2">
        <v>43</v>
      </c>
      <c r="AB3" s="2">
        <v>24</v>
      </c>
      <c r="AC3" s="2">
        <v>17</v>
      </c>
      <c r="AD3" s="2">
        <v>27</v>
      </c>
      <c r="AE3" s="2">
        <v>26</v>
      </c>
      <c r="AF3" s="2">
        <v>27</v>
      </c>
      <c r="AG3" s="2">
        <v>69</v>
      </c>
      <c r="AH3" s="2">
        <v>39</v>
      </c>
      <c r="AI3" s="2">
        <v>84</v>
      </c>
      <c r="AJ3" s="2">
        <v>101</v>
      </c>
      <c r="AK3" s="2">
        <v>67</v>
      </c>
      <c r="AL3" s="2">
        <v>32</v>
      </c>
      <c r="AM3" s="2">
        <v>24</v>
      </c>
      <c r="AN3" s="2">
        <v>19</v>
      </c>
      <c r="AO3" s="2">
        <v>94</v>
      </c>
      <c r="AP3" s="8">
        <v>1</v>
      </c>
      <c r="AQ3" s="15" t="s">
        <v>109</v>
      </c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16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16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16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16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16"/>
      <c r="JX3" s="16"/>
      <c r="JY3" s="16"/>
      <c r="JZ3" s="16"/>
      <c r="KA3" s="16"/>
      <c r="KB3" s="16"/>
      <c r="KC3" s="16"/>
      <c r="KD3" s="16"/>
      <c r="KE3" s="16"/>
      <c r="KF3" s="16"/>
      <c r="KG3" s="16"/>
      <c r="KH3" s="16"/>
      <c r="KI3" s="16"/>
      <c r="KJ3" s="16"/>
      <c r="KK3" s="16"/>
      <c r="KL3" s="16"/>
      <c r="KM3" s="16"/>
      <c r="KN3" s="16"/>
      <c r="KO3" s="16"/>
      <c r="KP3" s="16"/>
      <c r="KQ3" s="16"/>
      <c r="KR3" s="16"/>
      <c r="KS3" s="16"/>
      <c r="KT3" s="16"/>
      <c r="KU3" s="16"/>
      <c r="KV3" s="16"/>
      <c r="KW3" s="16"/>
      <c r="KX3" s="16"/>
      <c r="KY3" s="16"/>
      <c r="KZ3" s="16"/>
      <c r="LA3" s="16"/>
      <c r="LB3" s="16"/>
      <c r="LC3" s="16"/>
      <c r="LD3" s="16"/>
      <c r="LE3" s="16"/>
      <c r="LF3" s="16"/>
      <c r="LG3" s="16"/>
      <c r="LH3" s="16"/>
      <c r="LI3" s="16"/>
      <c r="LJ3" s="16"/>
      <c r="LK3" s="16"/>
      <c r="LL3" s="16"/>
      <c r="LM3" s="16"/>
      <c r="LN3" s="16"/>
      <c r="LO3" s="16"/>
      <c r="LP3" s="16"/>
      <c r="LQ3" s="16"/>
      <c r="LR3" s="16"/>
      <c r="LS3" s="16"/>
      <c r="LT3" s="16"/>
      <c r="LU3" s="16"/>
      <c r="LV3" s="16"/>
      <c r="LW3" s="16"/>
      <c r="LX3" s="16"/>
      <c r="LY3" s="16"/>
      <c r="LZ3" s="16"/>
      <c r="MA3" s="16"/>
      <c r="MB3" s="16"/>
      <c r="MC3" s="16"/>
      <c r="MD3" s="16"/>
      <c r="ME3" s="16"/>
      <c r="MF3" s="16"/>
      <c r="MG3" s="16"/>
      <c r="MH3" s="16"/>
      <c r="MI3" s="16"/>
      <c r="MJ3" s="16"/>
      <c r="MK3" s="16"/>
      <c r="ML3" s="16"/>
      <c r="MM3" s="16"/>
      <c r="MN3" s="16"/>
      <c r="MO3" s="16"/>
      <c r="MP3" s="16"/>
      <c r="MQ3" s="16"/>
      <c r="MR3" s="16"/>
      <c r="MS3" s="16"/>
      <c r="MT3" s="16"/>
      <c r="MU3" s="16"/>
      <c r="MV3" s="16"/>
      <c r="MW3" s="16"/>
      <c r="MX3" s="16"/>
      <c r="MY3" s="16"/>
      <c r="MZ3" s="16"/>
      <c r="NA3" s="16"/>
      <c r="NB3" s="16"/>
      <c r="NC3" s="16"/>
      <c r="ND3" s="16"/>
      <c r="NE3" s="16"/>
      <c r="NF3" s="16"/>
      <c r="NG3" s="16"/>
      <c r="NH3" s="16"/>
      <c r="NI3" s="16"/>
      <c r="NJ3" s="16"/>
      <c r="NK3" s="16"/>
      <c r="NL3" s="16"/>
      <c r="NM3" s="16"/>
      <c r="NN3" s="16"/>
      <c r="NO3" s="16"/>
      <c r="NP3" s="16"/>
      <c r="NQ3" s="16"/>
      <c r="NR3" s="16"/>
      <c r="NS3" s="16"/>
      <c r="NT3" s="16"/>
      <c r="NU3" s="16"/>
      <c r="NV3" s="16"/>
      <c r="NW3" s="16"/>
      <c r="NX3" s="16"/>
      <c r="NY3" s="16"/>
      <c r="NZ3" s="16"/>
      <c r="OA3" s="16"/>
      <c r="OB3" s="16"/>
      <c r="OC3" s="16"/>
      <c r="OD3" s="16"/>
      <c r="OE3" s="16"/>
      <c r="OF3" s="16"/>
      <c r="OG3" s="16"/>
      <c r="OH3" s="16"/>
      <c r="OI3" s="16"/>
      <c r="OJ3" s="16"/>
      <c r="OK3" s="16"/>
      <c r="OL3" s="16"/>
      <c r="OM3" s="16"/>
      <c r="ON3" s="16"/>
      <c r="OO3" s="16"/>
      <c r="OP3" s="16"/>
      <c r="OQ3" s="16"/>
      <c r="OR3" s="16"/>
      <c r="OS3" s="16"/>
      <c r="OT3" s="16"/>
      <c r="OU3" s="16"/>
      <c r="OV3" s="16"/>
      <c r="OW3" s="16"/>
      <c r="OX3" s="16"/>
      <c r="OY3" s="16"/>
      <c r="OZ3" s="16"/>
      <c r="PA3" s="16"/>
      <c r="PB3" s="16"/>
      <c r="PC3" s="16"/>
      <c r="PD3" s="16"/>
      <c r="PE3" s="16"/>
      <c r="PF3" s="16"/>
      <c r="PG3" s="16"/>
      <c r="PH3" s="16"/>
      <c r="PI3" s="16"/>
      <c r="PJ3" s="16"/>
      <c r="PK3" s="16"/>
      <c r="PL3" s="16"/>
      <c r="PM3" s="16"/>
      <c r="PN3" s="16"/>
      <c r="PO3" s="16"/>
      <c r="PP3" s="16"/>
      <c r="PQ3" s="16"/>
      <c r="PR3" s="16"/>
      <c r="PS3" s="16"/>
      <c r="PT3" s="16"/>
      <c r="PU3" s="16"/>
      <c r="PV3" s="16"/>
      <c r="PW3" s="16"/>
      <c r="PX3" s="16"/>
      <c r="PY3" s="16"/>
      <c r="PZ3" s="16"/>
      <c r="QA3" s="16"/>
      <c r="QB3" s="16"/>
      <c r="QC3" s="16"/>
      <c r="QD3" s="16"/>
      <c r="QE3" s="16"/>
      <c r="QF3" s="16"/>
      <c r="QG3" s="16"/>
      <c r="QH3" s="16"/>
      <c r="QI3" s="16"/>
      <c r="QJ3" s="16"/>
      <c r="QK3" s="16"/>
      <c r="QL3" s="16"/>
      <c r="QM3" s="16"/>
      <c r="QN3" s="16"/>
      <c r="QO3" s="16"/>
      <c r="QP3" s="16"/>
      <c r="QQ3" s="16"/>
      <c r="QR3" s="16"/>
      <c r="QS3" s="16"/>
      <c r="QT3" s="16"/>
      <c r="QU3" s="16"/>
      <c r="QV3" s="16"/>
      <c r="QW3" s="16"/>
      <c r="QX3" s="16"/>
      <c r="QY3" s="16"/>
      <c r="QZ3" s="16"/>
      <c r="RA3" s="16"/>
      <c r="RB3" s="16"/>
      <c r="RC3" s="16"/>
      <c r="RD3" s="16"/>
      <c r="RE3" s="16"/>
      <c r="RF3" s="16"/>
      <c r="RG3" s="16"/>
      <c r="RH3" s="16"/>
      <c r="RI3" s="16"/>
      <c r="RJ3" s="16"/>
      <c r="RK3" s="16"/>
      <c r="RL3" s="16"/>
      <c r="RM3" s="16"/>
      <c r="RN3" s="16"/>
      <c r="RO3" s="16"/>
      <c r="RP3" s="16"/>
      <c r="RQ3" s="16"/>
      <c r="RR3" s="16"/>
      <c r="RS3" s="16"/>
      <c r="RT3" s="16"/>
      <c r="RU3" s="16"/>
      <c r="RV3" s="16"/>
      <c r="RW3" s="16"/>
      <c r="RX3" s="16"/>
      <c r="RY3" s="16"/>
      <c r="RZ3" s="16"/>
      <c r="SA3" s="16"/>
      <c r="SB3" s="16"/>
      <c r="SC3" s="16"/>
      <c r="SD3" s="16"/>
      <c r="SE3" s="16"/>
      <c r="SF3" s="16"/>
      <c r="SG3" s="16"/>
      <c r="SH3" s="16"/>
      <c r="SI3" s="16"/>
      <c r="SJ3" s="16"/>
      <c r="SK3" s="16"/>
      <c r="SL3" s="16"/>
      <c r="SM3" s="16"/>
      <c r="SN3" s="16"/>
      <c r="SO3" s="16"/>
      <c r="SP3" s="16"/>
      <c r="SQ3" s="16"/>
      <c r="SR3" s="16"/>
      <c r="SS3" s="16"/>
      <c r="ST3" s="16"/>
      <c r="SU3" s="16"/>
      <c r="SV3" s="16"/>
      <c r="SW3" s="16"/>
      <c r="SX3" s="16"/>
      <c r="SY3" s="16"/>
      <c r="SZ3" s="16"/>
      <c r="TA3" s="16"/>
      <c r="TB3" s="16"/>
      <c r="TC3" s="16"/>
      <c r="TD3" s="16"/>
      <c r="TE3" s="16"/>
      <c r="TF3" s="16"/>
      <c r="TG3" s="16"/>
      <c r="TH3" s="16"/>
      <c r="TI3" s="16"/>
      <c r="TJ3" s="16"/>
      <c r="TK3" s="16"/>
      <c r="TL3" s="16"/>
      <c r="TM3" s="16"/>
      <c r="TN3" s="16"/>
      <c r="TO3" s="16"/>
      <c r="TP3" s="16"/>
      <c r="TQ3" s="16"/>
      <c r="TR3" s="16"/>
      <c r="TS3" s="16"/>
      <c r="TT3" s="16"/>
      <c r="TU3" s="16"/>
      <c r="TV3" s="16"/>
      <c r="TW3" s="16"/>
      <c r="TX3" s="16"/>
      <c r="TY3" s="16"/>
      <c r="TZ3" s="16"/>
      <c r="UA3" s="16"/>
      <c r="UB3" s="16"/>
      <c r="UC3" s="16"/>
      <c r="UD3" s="16"/>
      <c r="UE3" s="16"/>
      <c r="UF3" s="16"/>
      <c r="UG3" s="16"/>
      <c r="UH3" s="16"/>
      <c r="UI3" s="16"/>
      <c r="UJ3" s="16"/>
      <c r="UK3" s="16"/>
      <c r="UL3" s="16"/>
      <c r="UM3" s="16"/>
      <c r="UN3" s="16"/>
      <c r="UO3" s="16"/>
      <c r="UP3" s="16"/>
      <c r="UQ3" s="16"/>
      <c r="UR3" s="16"/>
      <c r="US3" s="16"/>
      <c r="UT3" s="16"/>
      <c r="UU3" s="16"/>
      <c r="UV3" s="16"/>
      <c r="UW3" s="16"/>
      <c r="UX3" s="16"/>
      <c r="UY3" s="16"/>
      <c r="UZ3" s="16"/>
      <c r="VA3" s="16"/>
      <c r="VB3" s="16"/>
      <c r="VC3" s="16"/>
      <c r="VD3" s="16"/>
      <c r="VE3" s="16"/>
      <c r="VF3" s="16"/>
      <c r="VG3" s="16"/>
      <c r="VH3" s="16"/>
      <c r="VI3" s="16"/>
      <c r="VJ3" s="16"/>
      <c r="VK3" s="16"/>
      <c r="VL3" s="16"/>
      <c r="VM3" s="16"/>
      <c r="VN3" s="16"/>
      <c r="VO3" s="16"/>
      <c r="VP3" s="16"/>
      <c r="VQ3" s="16"/>
      <c r="VR3" s="16"/>
      <c r="VS3" s="16"/>
      <c r="VT3" s="16"/>
      <c r="VU3" s="16"/>
      <c r="VV3" s="16"/>
      <c r="VW3" s="16"/>
      <c r="VX3" s="16"/>
      <c r="VY3" s="16"/>
      <c r="VZ3" s="16"/>
      <c r="WA3" s="16"/>
      <c r="WB3" s="16"/>
      <c r="WC3" s="16"/>
      <c r="WD3" s="16"/>
      <c r="WE3" s="16"/>
      <c r="WF3" s="16"/>
      <c r="WG3" s="16"/>
      <c r="WH3" s="16"/>
      <c r="WI3" s="16"/>
      <c r="WJ3" s="16"/>
      <c r="WK3" s="16"/>
      <c r="WL3" s="16"/>
      <c r="WM3" s="16"/>
      <c r="WN3" s="16"/>
      <c r="WO3" s="16"/>
      <c r="WP3" s="16"/>
      <c r="WQ3" s="16"/>
      <c r="WR3" s="16"/>
      <c r="WS3" s="16"/>
      <c r="WT3" s="16"/>
      <c r="WU3" s="16"/>
      <c r="WV3" s="16"/>
      <c r="WW3" s="16"/>
      <c r="WX3" s="16"/>
      <c r="WY3" s="16"/>
      <c r="WZ3" s="16"/>
      <c r="XA3" s="16"/>
      <c r="XB3" s="16"/>
      <c r="XC3" s="16"/>
      <c r="XD3" s="16"/>
      <c r="XE3" s="16"/>
      <c r="XF3" s="16"/>
      <c r="XG3" s="16"/>
      <c r="XH3" s="16"/>
      <c r="XI3" s="16"/>
      <c r="XJ3" s="16"/>
      <c r="XK3" s="16"/>
      <c r="XL3" s="16"/>
      <c r="XM3" s="16"/>
      <c r="XN3" s="16"/>
      <c r="XO3" s="16"/>
      <c r="XP3" s="16"/>
      <c r="XQ3" s="16"/>
      <c r="XR3" s="16"/>
      <c r="XS3" s="16"/>
      <c r="XT3" s="16"/>
      <c r="XU3" s="16"/>
      <c r="XV3" s="16"/>
      <c r="XW3" s="16"/>
      <c r="XX3" s="16"/>
      <c r="XY3" s="16"/>
      <c r="XZ3" s="16"/>
      <c r="YA3" s="16"/>
      <c r="YB3" s="16"/>
      <c r="YC3" s="16"/>
      <c r="YD3" s="16"/>
      <c r="YE3" s="16"/>
      <c r="YF3" s="16"/>
      <c r="YG3" s="16"/>
      <c r="YH3" s="16"/>
      <c r="YI3" s="16"/>
      <c r="YJ3" s="16"/>
      <c r="YK3" s="16"/>
      <c r="YL3" s="16"/>
      <c r="YM3" s="16"/>
      <c r="YN3" s="16"/>
      <c r="YO3" s="16"/>
      <c r="YP3" s="16"/>
      <c r="YQ3" s="16"/>
      <c r="YR3" s="16"/>
      <c r="YS3" s="16"/>
      <c r="YT3" s="16"/>
      <c r="YU3" s="16"/>
      <c r="YV3" s="16"/>
      <c r="YW3" s="16"/>
      <c r="YX3" s="16"/>
      <c r="YY3" s="16"/>
      <c r="YZ3" s="16"/>
      <c r="ZA3" s="16"/>
      <c r="ZB3" s="16"/>
      <c r="ZC3" s="16"/>
      <c r="ZD3" s="16"/>
      <c r="ZE3" s="16"/>
      <c r="ZF3" s="16"/>
      <c r="ZG3" s="16"/>
      <c r="ZH3" s="16"/>
      <c r="ZI3" s="16"/>
      <c r="ZJ3" s="16"/>
      <c r="ZK3" s="16"/>
      <c r="ZL3" s="16"/>
      <c r="ZM3" s="16"/>
      <c r="ZN3" s="16"/>
      <c r="ZO3" s="16"/>
      <c r="ZP3" s="16"/>
      <c r="ZQ3" s="16"/>
      <c r="ZR3" s="16"/>
      <c r="ZS3" s="16"/>
      <c r="ZT3" s="16"/>
      <c r="ZU3" s="16"/>
      <c r="ZV3" s="16"/>
      <c r="ZW3" s="16"/>
      <c r="ZX3" s="16"/>
      <c r="ZY3" s="16"/>
      <c r="ZZ3" s="16"/>
      <c r="AAA3" s="16"/>
      <c r="AAB3" s="16"/>
      <c r="AAC3" s="16"/>
      <c r="AAD3" s="16"/>
      <c r="AAE3" s="16"/>
      <c r="AAF3" s="16"/>
      <c r="AAG3" s="16"/>
      <c r="AAH3" s="16"/>
      <c r="AAI3" s="16"/>
      <c r="AAJ3" s="16"/>
      <c r="AAK3" s="16"/>
      <c r="AAL3" s="16"/>
      <c r="AAM3" s="16"/>
      <c r="AAN3" s="16"/>
      <c r="AAO3" s="16"/>
      <c r="AAP3" s="16"/>
      <c r="AAQ3" s="16"/>
      <c r="AAR3" s="16"/>
      <c r="AAS3" s="16"/>
      <c r="AAT3" s="16"/>
      <c r="AAU3" s="16"/>
      <c r="AAV3" s="16"/>
      <c r="AAW3" s="16"/>
      <c r="AAX3" s="16"/>
      <c r="AAY3" s="16"/>
      <c r="AAZ3" s="16"/>
      <c r="ABA3" s="16"/>
      <c r="ABB3" s="16"/>
      <c r="ABC3" s="16"/>
      <c r="ABD3" s="16"/>
      <c r="ABE3" s="16"/>
      <c r="ABF3" s="16"/>
      <c r="ABG3" s="16"/>
      <c r="ABH3" s="16"/>
      <c r="ABI3" s="16"/>
      <c r="ABJ3" s="16"/>
      <c r="ABK3" s="16"/>
      <c r="ABL3" s="16"/>
      <c r="ABM3" s="16"/>
      <c r="ABN3" s="16"/>
      <c r="ABO3" s="16"/>
      <c r="ABP3" s="16"/>
      <c r="ABQ3" s="16"/>
      <c r="ABR3" s="16"/>
      <c r="ABS3" s="16"/>
      <c r="ABT3" s="16"/>
      <c r="ABU3" s="16"/>
      <c r="ABV3" s="16"/>
      <c r="ABW3" s="16"/>
      <c r="ABX3" s="16"/>
      <c r="ABY3" s="16"/>
      <c r="ABZ3" s="16"/>
      <c r="ACA3" s="16"/>
      <c r="ACB3" s="16"/>
      <c r="ACC3" s="16"/>
      <c r="ACD3" s="16"/>
      <c r="ACE3" s="16"/>
      <c r="ACF3" s="16"/>
      <c r="ACG3" s="16"/>
      <c r="ACH3" s="16"/>
      <c r="ACI3" s="16"/>
      <c r="ACJ3" s="16"/>
      <c r="ACK3" s="16"/>
      <c r="ACL3" s="16"/>
      <c r="ACM3" s="16"/>
      <c r="ACN3" s="16"/>
      <c r="ACO3" s="16"/>
      <c r="ACP3" s="16"/>
      <c r="ACQ3" s="16"/>
      <c r="ACR3" s="16"/>
      <c r="ACS3" s="16"/>
      <c r="ACT3" s="16"/>
      <c r="ACU3" s="16"/>
      <c r="ACV3" s="16"/>
      <c r="ACW3" s="16"/>
      <c r="ACX3" s="16"/>
      <c r="ACY3" s="16"/>
      <c r="ACZ3" s="16"/>
      <c r="ADA3" s="16"/>
      <c r="ADB3" s="16"/>
      <c r="ADC3" s="16"/>
      <c r="ADD3" s="16"/>
      <c r="ADE3" s="16"/>
      <c r="ADF3" s="16"/>
      <c r="ADG3" s="16"/>
      <c r="ADH3" s="16"/>
      <c r="ADI3" s="16"/>
      <c r="ADJ3" s="16"/>
      <c r="ADK3" s="16"/>
      <c r="ADL3" s="16"/>
      <c r="ADM3" s="16"/>
      <c r="ADN3" s="16"/>
      <c r="ADO3" s="16"/>
      <c r="ADP3" s="16"/>
      <c r="ADQ3" s="16"/>
      <c r="ADR3" s="16"/>
      <c r="ADS3" s="16"/>
      <c r="ADT3" s="16"/>
      <c r="ADU3" s="16"/>
      <c r="ADV3" s="16"/>
      <c r="ADW3" s="16"/>
      <c r="ADX3" s="16"/>
      <c r="ADY3" s="16"/>
      <c r="ADZ3" s="16"/>
      <c r="AEA3" s="16"/>
      <c r="AEB3" s="16"/>
      <c r="AEC3" s="16"/>
      <c r="AED3" s="16"/>
      <c r="AEE3" s="16"/>
      <c r="AEF3" s="16"/>
      <c r="AEG3" s="16"/>
      <c r="AEH3" s="16"/>
      <c r="AEI3" s="16"/>
      <c r="AEJ3" s="16"/>
      <c r="AEK3" s="16"/>
      <c r="AEL3" s="16"/>
      <c r="AEM3" s="16"/>
      <c r="AEN3" s="16"/>
      <c r="AEO3" s="16"/>
      <c r="AEP3" s="16"/>
      <c r="AEQ3" s="16"/>
      <c r="AER3" s="16"/>
      <c r="AES3" s="16"/>
      <c r="AET3" s="16"/>
      <c r="AEU3" s="16"/>
      <c r="AEV3" s="16"/>
      <c r="AEW3" s="16"/>
      <c r="AEX3" s="16"/>
      <c r="AEY3" s="16"/>
      <c r="AEZ3" s="16"/>
      <c r="AFA3" s="16"/>
      <c r="AFB3" s="16"/>
      <c r="AFC3" s="16"/>
      <c r="AFD3" s="16"/>
      <c r="AFE3" s="16"/>
      <c r="AFF3" s="16"/>
      <c r="AFG3" s="16"/>
      <c r="AFH3" s="16"/>
      <c r="AFI3" s="16"/>
      <c r="AFJ3" s="16"/>
      <c r="AFK3" s="16"/>
      <c r="AFL3" s="16"/>
      <c r="AFM3" s="16"/>
      <c r="AFN3" s="16"/>
      <c r="AFO3" s="16"/>
      <c r="AFP3" s="16"/>
      <c r="AFQ3" s="16"/>
      <c r="AFR3" s="16"/>
      <c r="AFS3" s="16"/>
      <c r="AFT3" s="16"/>
      <c r="AFU3" s="16"/>
      <c r="AFV3" s="16"/>
      <c r="AFW3" s="16"/>
      <c r="AFX3" s="16"/>
      <c r="AFY3" s="16"/>
      <c r="AFZ3" s="16"/>
      <c r="AGA3" s="16"/>
      <c r="AGB3" s="16"/>
      <c r="AGC3" s="16"/>
      <c r="AGD3" s="16"/>
      <c r="AGE3" s="16"/>
      <c r="AGF3" s="16"/>
      <c r="AGG3" s="16"/>
      <c r="AGH3" s="16"/>
      <c r="AGI3" s="16"/>
      <c r="AGJ3" s="16"/>
      <c r="AGK3" s="16"/>
      <c r="AGL3" s="16"/>
      <c r="AGM3" s="16"/>
      <c r="AGN3" s="16"/>
      <c r="AGO3" s="16"/>
      <c r="AGP3" s="16"/>
      <c r="AGQ3" s="16"/>
      <c r="AGR3" s="16"/>
      <c r="AGS3" s="16"/>
      <c r="AGT3" s="16"/>
      <c r="AGU3" s="16"/>
      <c r="AGV3" s="16"/>
      <c r="AGW3" s="16"/>
      <c r="AGX3" s="16"/>
      <c r="AGY3" s="16"/>
      <c r="AGZ3" s="16"/>
      <c r="AHA3" s="16"/>
      <c r="AHB3" s="16"/>
      <c r="AHC3" s="16"/>
      <c r="AHD3" s="16"/>
      <c r="AHE3" s="16"/>
      <c r="AHF3" s="16"/>
      <c r="AHG3" s="16"/>
      <c r="AHH3" s="16"/>
      <c r="AHI3" s="16"/>
      <c r="AHJ3" s="16"/>
      <c r="AHK3" s="16"/>
      <c r="AHL3" s="16"/>
      <c r="AHM3" s="16"/>
      <c r="AHN3" s="16"/>
      <c r="AHO3" s="16"/>
      <c r="AHP3" s="16"/>
      <c r="AHQ3" s="16"/>
      <c r="AHR3" s="16"/>
      <c r="AHS3" s="16"/>
      <c r="AHT3" s="16"/>
      <c r="AHU3" s="16"/>
      <c r="AHV3" s="16"/>
      <c r="AHW3" s="16"/>
      <c r="AHX3" s="16"/>
      <c r="AHY3" s="16"/>
      <c r="AHZ3" s="16"/>
      <c r="AIA3" s="16"/>
      <c r="AIB3" s="16"/>
      <c r="AIC3" s="16"/>
      <c r="AID3" s="16"/>
      <c r="AIE3" s="16"/>
      <c r="AIF3" s="16"/>
      <c r="AIG3" s="16"/>
      <c r="AIH3" s="16"/>
      <c r="AII3" s="16"/>
      <c r="AIJ3" s="16"/>
      <c r="AIK3" s="16"/>
      <c r="AIL3" s="16"/>
      <c r="AIM3" s="16"/>
      <c r="AIN3" s="16"/>
      <c r="AIO3" s="16"/>
      <c r="AIP3" s="16"/>
      <c r="AIQ3" s="16"/>
      <c r="AIR3" s="16"/>
      <c r="AIS3" s="16"/>
      <c r="AIT3" s="16"/>
      <c r="AIU3" s="16"/>
      <c r="AIV3" s="16"/>
      <c r="AIW3" s="16"/>
      <c r="AIX3" s="16"/>
      <c r="AIY3" s="16"/>
      <c r="AIZ3" s="16"/>
      <c r="AJA3" s="16"/>
      <c r="AJB3" s="16"/>
      <c r="AJC3" s="16"/>
      <c r="AJD3" s="16"/>
      <c r="AJE3" s="16"/>
      <c r="AJF3" s="16"/>
      <c r="AJG3" s="16"/>
      <c r="AJH3" s="16"/>
      <c r="AJI3" s="16"/>
      <c r="AJJ3" s="16"/>
      <c r="AJK3" s="16"/>
      <c r="AJL3" s="16"/>
      <c r="AJM3" s="16"/>
      <c r="AJN3" s="16"/>
      <c r="AJO3" s="16"/>
      <c r="AJP3" s="16"/>
      <c r="AJQ3" s="16"/>
      <c r="AJR3" s="16"/>
      <c r="AJS3" s="16"/>
      <c r="AJT3" s="16"/>
      <c r="AJU3" s="16"/>
      <c r="AJV3" s="16"/>
      <c r="AJW3" s="16"/>
      <c r="AJX3" s="16"/>
      <c r="AJY3" s="16"/>
      <c r="AJZ3" s="16"/>
      <c r="AKA3" s="16"/>
      <c r="AKB3" s="16"/>
      <c r="AKC3" s="16"/>
      <c r="AKD3" s="16"/>
      <c r="AKE3" s="16"/>
      <c r="AKF3" s="16"/>
      <c r="AKG3" s="16"/>
      <c r="AKH3" s="16"/>
      <c r="AKI3" s="16"/>
      <c r="AKJ3" s="16"/>
      <c r="AKK3" s="16"/>
      <c r="AKL3" s="16"/>
      <c r="AKM3" s="16"/>
      <c r="AKN3" s="16"/>
      <c r="AKO3" s="16"/>
      <c r="AKP3" s="16"/>
      <c r="AKQ3" s="16"/>
      <c r="AKR3" s="16"/>
      <c r="AKS3" s="16"/>
      <c r="AKT3" s="16"/>
      <c r="AKU3" s="16"/>
      <c r="AKV3" s="16"/>
      <c r="AKW3" s="16"/>
      <c r="AKX3" s="16"/>
      <c r="AKY3" s="16"/>
      <c r="AKZ3" s="16"/>
      <c r="ALA3" s="16"/>
      <c r="ALB3" s="16"/>
      <c r="ALC3" s="16"/>
      <c r="ALD3" s="16"/>
      <c r="ALE3" s="16"/>
      <c r="ALF3" s="16"/>
      <c r="ALG3" s="16"/>
      <c r="ALH3" s="16"/>
      <c r="ALI3" s="16"/>
      <c r="ALJ3" s="16"/>
      <c r="ALK3" s="16"/>
      <c r="ALL3" s="16"/>
      <c r="ALM3" s="16"/>
      <c r="ALN3" s="16"/>
      <c r="ALO3" s="16"/>
      <c r="ALP3" s="16"/>
      <c r="ALQ3" s="16"/>
      <c r="ALR3" s="16"/>
      <c r="ALS3" s="16"/>
      <c r="ALT3" s="16"/>
      <c r="ALU3" s="16"/>
      <c r="ALV3" s="16"/>
      <c r="ALW3" s="16"/>
      <c r="ALX3" s="16"/>
      <c r="ALY3" s="16"/>
    </row>
    <row r="4" spans="1:1013" ht="30" customHeight="1" x14ac:dyDescent="0.25">
      <c r="A4" s="21" t="s">
        <v>55</v>
      </c>
      <c r="B4" s="23" t="s">
        <v>84</v>
      </c>
      <c r="C4" s="21" t="s">
        <v>79</v>
      </c>
      <c r="D4" s="17">
        <v>41</v>
      </c>
      <c r="E4" s="17" t="s">
        <v>32</v>
      </c>
      <c r="F4" s="17">
        <v>57</v>
      </c>
      <c r="G4" s="11" t="s">
        <v>80</v>
      </c>
      <c r="H4" s="11" t="s">
        <v>81</v>
      </c>
      <c r="I4" s="11">
        <v>42</v>
      </c>
      <c r="J4" s="11">
        <v>59</v>
      </c>
      <c r="K4" s="11">
        <v>18</v>
      </c>
      <c r="L4" s="11">
        <v>14</v>
      </c>
      <c r="M4" s="11">
        <v>98</v>
      </c>
      <c r="N4" s="11">
        <v>94</v>
      </c>
      <c r="O4" s="11">
        <v>105</v>
      </c>
      <c r="P4" s="11">
        <v>71</v>
      </c>
      <c r="Q4" s="11">
        <v>39</v>
      </c>
      <c r="R4" s="11">
        <v>42</v>
      </c>
      <c r="S4" s="11">
        <v>60</v>
      </c>
      <c r="T4" s="11">
        <v>16</v>
      </c>
      <c r="U4" s="11">
        <v>12</v>
      </c>
      <c r="V4" s="11">
        <v>28</v>
      </c>
      <c r="W4" s="11">
        <v>26</v>
      </c>
      <c r="X4" s="11">
        <v>28</v>
      </c>
      <c r="Y4" s="11">
        <v>71</v>
      </c>
      <c r="Z4" s="11">
        <v>39</v>
      </c>
      <c r="AA4" s="11">
        <v>42</v>
      </c>
      <c r="AB4" s="11">
        <v>25</v>
      </c>
      <c r="AC4" s="11">
        <v>17</v>
      </c>
      <c r="AD4" s="11">
        <v>28</v>
      </c>
      <c r="AE4" s="11">
        <v>26</v>
      </c>
      <c r="AF4" s="11">
        <v>28</v>
      </c>
      <c r="AG4" s="11">
        <v>71</v>
      </c>
      <c r="AH4" s="11">
        <v>39</v>
      </c>
      <c r="AI4" s="11">
        <v>87</v>
      </c>
      <c r="AJ4" s="11">
        <v>104</v>
      </c>
      <c r="AK4" s="11">
        <v>65</v>
      </c>
      <c r="AL4" s="11">
        <v>33</v>
      </c>
      <c r="AM4" s="11">
        <v>25</v>
      </c>
      <c r="AN4" s="11">
        <v>19</v>
      </c>
      <c r="AO4" s="11">
        <v>98</v>
      </c>
      <c r="AP4" s="8">
        <v>1</v>
      </c>
      <c r="AQ4" s="15" t="s">
        <v>109</v>
      </c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16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6"/>
      <c r="KD4" s="16"/>
      <c r="KE4" s="16"/>
      <c r="KF4" s="16"/>
      <c r="KG4" s="16"/>
      <c r="KH4" s="16"/>
      <c r="KI4" s="16"/>
      <c r="KJ4" s="16"/>
      <c r="KK4" s="16"/>
      <c r="KL4" s="16"/>
      <c r="KM4" s="16"/>
      <c r="KN4" s="16"/>
      <c r="KO4" s="16"/>
      <c r="KP4" s="16"/>
      <c r="KQ4" s="16"/>
      <c r="KR4" s="16"/>
      <c r="KS4" s="16"/>
      <c r="KT4" s="16"/>
      <c r="KU4" s="16"/>
      <c r="KV4" s="16"/>
      <c r="KW4" s="16"/>
      <c r="KX4" s="16"/>
      <c r="KY4" s="16"/>
      <c r="KZ4" s="16"/>
      <c r="LA4" s="16"/>
      <c r="LB4" s="16"/>
      <c r="LC4" s="16"/>
      <c r="LD4" s="16"/>
      <c r="LE4" s="16"/>
      <c r="LF4" s="16"/>
      <c r="LG4" s="16"/>
      <c r="LH4" s="16"/>
      <c r="LI4" s="16"/>
      <c r="LJ4" s="16"/>
      <c r="LK4" s="16"/>
      <c r="LL4" s="16"/>
      <c r="LM4" s="16"/>
      <c r="LN4" s="16"/>
      <c r="LO4" s="16"/>
      <c r="LP4" s="16"/>
      <c r="LQ4" s="16"/>
      <c r="LR4" s="16"/>
      <c r="LS4" s="16"/>
      <c r="LT4" s="16"/>
      <c r="LU4" s="16"/>
      <c r="LV4" s="16"/>
      <c r="LW4" s="16"/>
      <c r="LX4" s="16"/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6"/>
      <c r="MT4" s="16"/>
      <c r="MU4" s="16"/>
      <c r="MV4" s="16"/>
      <c r="MW4" s="16"/>
      <c r="MX4" s="16"/>
      <c r="MY4" s="16"/>
      <c r="MZ4" s="16"/>
      <c r="NA4" s="16"/>
      <c r="NB4" s="16"/>
      <c r="NC4" s="16"/>
      <c r="ND4" s="16"/>
      <c r="NE4" s="16"/>
      <c r="NF4" s="16"/>
      <c r="NG4" s="16"/>
      <c r="NH4" s="16"/>
      <c r="NI4" s="16"/>
      <c r="NJ4" s="16"/>
      <c r="NK4" s="16"/>
      <c r="NL4" s="16"/>
      <c r="NM4" s="16"/>
      <c r="NN4" s="16"/>
      <c r="NO4" s="16"/>
      <c r="NP4" s="16"/>
      <c r="NQ4" s="16"/>
      <c r="NR4" s="16"/>
      <c r="NS4" s="16"/>
      <c r="NT4" s="16"/>
      <c r="NU4" s="16"/>
      <c r="NV4" s="16"/>
      <c r="NW4" s="16"/>
      <c r="NX4" s="16"/>
      <c r="NY4" s="16"/>
      <c r="NZ4" s="16"/>
      <c r="OA4" s="16"/>
      <c r="OB4" s="16"/>
      <c r="OC4" s="16"/>
      <c r="OD4" s="16"/>
      <c r="OE4" s="16"/>
      <c r="OF4" s="16"/>
      <c r="OG4" s="16"/>
      <c r="OH4" s="16"/>
      <c r="OI4" s="16"/>
      <c r="OJ4" s="16"/>
      <c r="OK4" s="16"/>
      <c r="OL4" s="16"/>
      <c r="OM4" s="16"/>
      <c r="ON4" s="16"/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6"/>
      <c r="PJ4" s="16"/>
      <c r="PK4" s="16"/>
      <c r="PL4" s="16"/>
      <c r="PM4" s="16"/>
      <c r="PN4" s="16"/>
      <c r="PO4" s="16"/>
      <c r="PP4" s="16"/>
      <c r="PQ4" s="16"/>
      <c r="PR4" s="16"/>
      <c r="PS4" s="16"/>
      <c r="PT4" s="16"/>
      <c r="PU4" s="16"/>
      <c r="PV4" s="16"/>
      <c r="PW4" s="16"/>
      <c r="PX4" s="16"/>
      <c r="PY4" s="16"/>
      <c r="PZ4" s="16"/>
      <c r="QA4" s="16"/>
      <c r="QB4" s="16"/>
      <c r="QC4" s="16"/>
      <c r="QD4" s="16"/>
      <c r="QE4" s="16"/>
      <c r="QF4" s="16"/>
      <c r="QG4" s="16"/>
      <c r="QH4" s="16"/>
      <c r="QI4" s="16"/>
      <c r="QJ4" s="16"/>
      <c r="QK4" s="16"/>
      <c r="QL4" s="16"/>
      <c r="QM4" s="16"/>
      <c r="QN4" s="16"/>
      <c r="QO4" s="16"/>
      <c r="QP4" s="16"/>
      <c r="QQ4" s="16"/>
      <c r="QR4" s="16"/>
      <c r="QS4" s="16"/>
      <c r="QT4" s="16"/>
      <c r="QU4" s="16"/>
      <c r="QV4" s="16"/>
      <c r="QW4" s="16"/>
      <c r="QX4" s="16"/>
      <c r="QY4" s="16"/>
      <c r="QZ4" s="16"/>
      <c r="RA4" s="16"/>
      <c r="RB4" s="16"/>
      <c r="RC4" s="16"/>
      <c r="RD4" s="16"/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6"/>
      <c r="RZ4" s="16"/>
      <c r="SA4" s="16"/>
      <c r="SB4" s="16"/>
      <c r="SC4" s="16"/>
      <c r="SD4" s="16"/>
      <c r="SE4" s="16"/>
      <c r="SF4" s="16"/>
      <c r="SG4" s="16"/>
      <c r="SH4" s="16"/>
      <c r="SI4" s="16"/>
      <c r="SJ4" s="16"/>
      <c r="SK4" s="16"/>
      <c r="SL4" s="16"/>
      <c r="SM4" s="16"/>
      <c r="SN4" s="16"/>
      <c r="SO4" s="16"/>
      <c r="SP4" s="16"/>
      <c r="SQ4" s="16"/>
      <c r="SR4" s="16"/>
      <c r="SS4" s="16"/>
      <c r="ST4" s="16"/>
      <c r="SU4" s="16"/>
      <c r="SV4" s="16"/>
      <c r="SW4" s="16"/>
      <c r="SX4" s="16"/>
      <c r="SY4" s="16"/>
      <c r="SZ4" s="16"/>
      <c r="TA4" s="16"/>
      <c r="TB4" s="16"/>
      <c r="TC4" s="16"/>
      <c r="TD4" s="16"/>
      <c r="TE4" s="16"/>
      <c r="TF4" s="16"/>
      <c r="TG4" s="16"/>
      <c r="TH4" s="16"/>
      <c r="TI4" s="16"/>
      <c r="TJ4" s="16"/>
      <c r="TK4" s="16"/>
      <c r="TL4" s="16"/>
      <c r="TM4" s="16"/>
      <c r="TN4" s="16"/>
      <c r="TO4" s="16"/>
      <c r="TP4" s="16"/>
      <c r="TQ4" s="16"/>
      <c r="TR4" s="16"/>
      <c r="TS4" s="16"/>
      <c r="TT4" s="16"/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6"/>
      <c r="UP4" s="16"/>
      <c r="UQ4" s="16"/>
      <c r="UR4" s="16"/>
      <c r="US4" s="16"/>
      <c r="UT4" s="16"/>
      <c r="UU4" s="16"/>
      <c r="UV4" s="16"/>
      <c r="UW4" s="16"/>
      <c r="UX4" s="16"/>
      <c r="UY4" s="16"/>
      <c r="UZ4" s="16"/>
      <c r="VA4" s="16"/>
      <c r="VB4" s="16"/>
      <c r="VC4" s="16"/>
      <c r="VD4" s="16"/>
      <c r="VE4" s="16"/>
      <c r="VF4" s="16"/>
      <c r="VG4" s="16"/>
      <c r="VH4" s="16"/>
      <c r="VI4" s="16"/>
      <c r="VJ4" s="16"/>
      <c r="VK4" s="16"/>
      <c r="VL4" s="16"/>
      <c r="VM4" s="16"/>
      <c r="VN4" s="16"/>
      <c r="VO4" s="16"/>
      <c r="VP4" s="16"/>
      <c r="VQ4" s="16"/>
      <c r="VR4" s="16"/>
      <c r="VS4" s="16"/>
      <c r="VT4" s="16"/>
      <c r="VU4" s="16"/>
      <c r="VV4" s="16"/>
      <c r="VW4" s="16"/>
      <c r="VX4" s="16"/>
      <c r="VY4" s="16"/>
      <c r="VZ4" s="16"/>
      <c r="WA4" s="16"/>
      <c r="WB4" s="16"/>
      <c r="WC4" s="16"/>
      <c r="WD4" s="16"/>
      <c r="WE4" s="16"/>
      <c r="WF4" s="16"/>
      <c r="WG4" s="16"/>
      <c r="WH4" s="16"/>
      <c r="WI4" s="16"/>
      <c r="WJ4" s="16"/>
      <c r="WK4" s="16"/>
      <c r="WL4" s="16"/>
      <c r="WM4" s="16"/>
      <c r="WN4" s="16"/>
      <c r="WO4" s="16"/>
      <c r="WP4" s="16"/>
      <c r="WQ4" s="16"/>
      <c r="WR4" s="16"/>
      <c r="WS4" s="16"/>
      <c r="WT4" s="16"/>
      <c r="WU4" s="16"/>
      <c r="WV4" s="16"/>
      <c r="WW4" s="16"/>
      <c r="WX4" s="16"/>
      <c r="WY4" s="16"/>
      <c r="WZ4" s="16"/>
      <c r="XA4" s="16"/>
      <c r="XB4" s="16"/>
      <c r="XC4" s="16"/>
      <c r="XD4" s="16"/>
      <c r="XE4" s="16"/>
      <c r="XF4" s="16"/>
      <c r="XG4" s="16"/>
      <c r="XH4" s="16"/>
      <c r="XI4" s="16"/>
      <c r="XJ4" s="16"/>
      <c r="XK4" s="16"/>
      <c r="XL4" s="16"/>
      <c r="XM4" s="16"/>
      <c r="XN4" s="16"/>
      <c r="XO4" s="16"/>
      <c r="XP4" s="16"/>
      <c r="XQ4" s="16"/>
      <c r="XR4" s="16"/>
      <c r="XS4" s="16"/>
      <c r="XT4" s="16"/>
      <c r="XU4" s="16"/>
      <c r="XV4" s="16"/>
      <c r="XW4" s="16"/>
      <c r="XX4" s="16"/>
      <c r="XY4" s="16"/>
      <c r="XZ4" s="16"/>
      <c r="YA4" s="16"/>
      <c r="YB4" s="16"/>
      <c r="YC4" s="16"/>
      <c r="YD4" s="16"/>
      <c r="YE4" s="16"/>
      <c r="YF4" s="16"/>
      <c r="YG4" s="16"/>
      <c r="YH4" s="16"/>
      <c r="YI4" s="16"/>
      <c r="YJ4" s="16"/>
      <c r="YK4" s="16"/>
      <c r="YL4" s="16"/>
      <c r="YM4" s="16"/>
      <c r="YN4" s="16"/>
      <c r="YO4" s="16"/>
      <c r="YP4" s="16"/>
      <c r="YQ4" s="16"/>
      <c r="YR4" s="16"/>
      <c r="YS4" s="16"/>
      <c r="YT4" s="16"/>
      <c r="YU4" s="16"/>
      <c r="YV4" s="16"/>
      <c r="YW4" s="16"/>
      <c r="YX4" s="16"/>
      <c r="YY4" s="16"/>
      <c r="YZ4" s="16"/>
      <c r="ZA4" s="16"/>
      <c r="ZB4" s="16"/>
      <c r="ZC4" s="16"/>
      <c r="ZD4" s="16"/>
      <c r="ZE4" s="16"/>
      <c r="ZF4" s="16"/>
      <c r="ZG4" s="16"/>
      <c r="ZH4" s="16"/>
      <c r="ZI4" s="16"/>
      <c r="ZJ4" s="16"/>
      <c r="ZK4" s="16"/>
      <c r="ZL4" s="16"/>
      <c r="ZM4" s="16"/>
      <c r="ZN4" s="16"/>
      <c r="ZO4" s="16"/>
      <c r="ZP4" s="16"/>
      <c r="ZQ4" s="16"/>
      <c r="ZR4" s="16"/>
      <c r="ZS4" s="16"/>
      <c r="ZT4" s="16"/>
      <c r="ZU4" s="16"/>
      <c r="ZV4" s="16"/>
      <c r="ZW4" s="16"/>
      <c r="ZX4" s="16"/>
      <c r="ZY4" s="16"/>
      <c r="ZZ4" s="16"/>
      <c r="AAA4" s="16"/>
      <c r="AAB4" s="16"/>
      <c r="AAC4" s="16"/>
      <c r="AAD4" s="16"/>
      <c r="AAE4" s="16"/>
      <c r="AAF4" s="16"/>
      <c r="AAG4" s="16"/>
      <c r="AAH4" s="16"/>
      <c r="AAI4" s="16"/>
      <c r="AAJ4" s="16"/>
      <c r="AAK4" s="16"/>
      <c r="AAL4" s="16"/>
      <c r="AAM4" s="16"/>
      <c r="AAN4" s="16"/>
      <c r="AAO4" s="16"/>
      <c r="AAP4" s="16"/>
      <c r="AAQ4" s="16"/>
      <c r="AAR4" s="16"/>
      <c r="AAS4" s="16"/>
      <c r="AAT4" s="16"/>
      <c r="AAU4" s="16"/>
      <c r="AAV4" s="16"/>
      <c r="AAW4" s="16"/>
      <c r="AAX4" s="16"/>
      <c r="AAY4" s="16"/>
      <c r="AAZ4" s="16"/>
      <c r="ABA4" s="16"/>
      <c r="ABB4" s="16"/>
      <c r="ABC4" s="16"/>
      <c r="ABD4" s="16"/>
      <c r="ABE4" s="16"/>
      <c r="ABF4" s="16"/>
      <c r="ABG4" s="16"/>
      <c r="ABH4" s="16"/>
      <c r="ABI4" s="16"/>
      <c r="ABJ4" s="16"/>
      <c r="ABK4" s="16"/>
      <c r="ABL4" s="16"/>
      <c r="ABM4" s="16"/>
      <c r="ABN4" s="16"/>
      <c r="ABO4" s="16"/>
      <c r="ABP4" s="16"/>
      <c r="ABQ4" s="16"/>
      <c r="ABR4" s="16"/>
      <c r="ABS4" s="16"/>
      <c r="ABT4" s="16"/>
      <c r="ABU4" s="16"/>
      <c r="ABV4" s="16"/>
      <c r="ABW4" s="16"/>
      <c r="ABX4" s="16"/>
      <c r="ABY4" s="16"/>
      <c r="ABZ4" s="16"/>
      <c r="ACA4" s="16"/>
      <c r="ACB4" s="16"/>
      <c r="ACC4" s="16"/>
      <c r="ACD4" s="16"/>
      <c r="ACE4" s="16"/>
      <c r="ACF4" s="16"/>
      <c r="ACG4" s="16"/>
      <c r="ACH4" s="16"/>
      <c r="ACI4" s="16"/>
      <c r="ACJ4" s="16"/>
      <c r="ACK4" s="16"/>
      <c r="ACL4" s="16"/>
      <c r="ACM4" s="16"/>
      <c r="ACN4" s="16"/>
      <c r="ACO4" s="16"/>
      <c r="ACP4" s="16"/>
      <c r="ACQ4" s="16"/>
      <c r="ACR4" s="16"/>
      <c r="ACS4" s="16"/>
      <c r="ACT4" s="16"/>
      <c r="ACU4" s="16"/>
      <c r="ACV4" s="16"/>
      <c r="ACW4" s="16"/>
      <c r="ACX4" s="16"/>
      <c r="ACY4" s="16"/>
      <c r="ACZ4" s="16"/>
      <c r="ADA4" s="16"/>
      <c r="ADB4" s="16"/>
      <c r="ADC4" s="16"/>
      <c r="ADD4" s="16"/>
      <c r="ADE4" s="16"/>
      <c r="ADF4" s="16"/>
      <c r="ADG4" s="16"/>
      <c r="ADH4" s="16"/>
      <c r="ADI4" s="16"/>
      <c r="ADJ4" s="16"/>
      <c r="ADK4" s="16"/>
      <c r="ADL4" s="16"/>
      <c r="ADM4" s="16"/>
      <c r="ADN4" s="16"/>
      <c r="ADO4" s="16"/>
      <c r="ADP4" s="16"/>
      <c r="ADQ4" s="16"/>
      <c r="ADR4" s="16"/>
      <c r="ADS4" s="16"/>
      <c r="ADT4" s="16"/>
      <c r="ADU4" s="16"/>
      <c r="ADV4" s="16"/>
      <c r="ADW4" s="16"/>
      <c r="ADX4" s="16"/>
      <c r="ADY4" s="16"/>
      <c r="ADZ4" s="16"/>
      <c r="AEA4" s="16"/>
      <c r="AEB4" s="16"/>
      <c r="AEC4" s="16"/>
      <c r="AED4" s="16"/>
      <c r="AEE4" s="16"/>
      <c r="AEF4" s="16"/>
      <c r="AEG4" s="16"/>
      <c r="AEH4" s="16"/>
      <c r="AEI4" s="16"/>
      <c r="AEJ4" s="16"/>
      <c r="AEK4" s="16"/>
      <c r="AEL4" s="16"/>
      <c r="AEM4" s="16"/>
      <c r="AEN4" s="16"/>
      <c r="AEO4" s="16"/>
      <c r="AEP4" s="16"/>
      <c r="AEQ4" s="16"/>
      <c r="AER4" s="16"/>
      <c r="AES4" s="16"/>
      <c r="AET4" s="16"/>
      <c r="AEU4" s="16"/>
      <c r="AEV4" s="16"/>
      <c r="AEW4" s="16"/>
      <c r="AEX4" s="16"/>
      <c r="AEY4" s="16"/>
      <c r="AEZ4" s="16"/>
      <c r="AFA4" s="16"/>
      <c r="AFB4" s="16"/>
      <c r="AFC4" s="16"/>
      <c r="AFD4" s="16"/>
      <c r="AFE4" s="16"/>
      <c r="AFF4" s="16"/>
      <c r="AFG4" s="16"/>
      <c r="AFH4" s="16"/>
      <c r="AFI4" s="16"/>
      <c r="AFJ4" s="16"/>
      <c r="AFK4" s="16"/>
      <c r="AFL4" s="16"/>
      <c r="AFM4" s="16"/>
      <c r="AFN4" s="16"/>
      <c r="AFO4" s="16"/>
      <c r="AFP4" s="16"/>
      <c r="AFQ4" s="16"/>
      <c r="AFR4" s="16"/>
      <c r="AFS4" s="16"/>
      <c r="AFT4" s="16"/>
      <c r="AFU4" s="16"/>
      <c r="AFV4" s="16"/>
      <c r="AFW4" s="16"/>
      <c r="AFX4" s="16"/>
      <c r="AFY4" s="16"/>
      <c r="AFZ4" s="16"/>
      <c r="AGA4" s="16"/>
      <c r="AGB4" s="16"/>
      <c r="AGC4" s="16"/>
      <c r="AGD4" s="16"/>
      <c r="AGE4" s="16"/>
      <c r="AGF4" s="16"/>
      <c r="AGG4" s="16"/>
      <c r="AGH4" s="16"/>
      <c r="AGI4" s="16"/>
      <c r="AGJ4" s="16"/>
      <c r="AGK4" s="16"/>
      <c r="AGL4" s="16"/>
      <c r="AGM4" s="16"/>
      <c r="AGN4" s="16"/>
      <c r="AGO4" s="16"/>
      <c r="AGP4" s="16"/>
      <c r="AGQ4" s="16"/>
      <c r="AGR4" s="16"/>
      <c r="AGS4" s="16"/>
      <c r="AGT4" s="16"/>
      <c r="AGU4" s="16"/>
      <c r="AGV4" s="16"/>
      <c r="AGW4" s="16"/>
      <c r="AGX4" s="16"/>
      <c r="AGY4" s="16"/>
      <c r="AGZ4" s="16"/>
      <c r="AHA4" s="16"/>
      <c r="AHB4" s="16"/>
      <c r="AHC4" s="16"/>
      <c r="AHD4" s="16"/>
      <c r="AHE4" s="16"/>
      <c r="AHF4" s="16"/>
      <c r="AHG4" s="16"/>
      <c r="AHH4" s="16"/>
      <c r="AHI4" s="16"/>
      <c r="AHJ4" s="16"/>
      <c r="AHK4" s="16"/>
      <c r="AHL4" s="16"/>
      <c r="AHM4" s="16"/>
      <c r="AHN4" s="16"/>
      <c r="AHO4" s="16"/>
      <c r="AHP4" s="16"/>
      <c r="AHQ4" s="16"/>
      <c r="AHR4" s="16"/>
      <c r="AHS4" s="16"/>
      <c r="AHT4" s="16"/>
      <c r="AHU4" s="16"/>
      <c r="AHV4" s="16"/>
      <c r="AHW4" s="16"/>
      <c r="AHX4" s="16"/>
      <c r="AHY4" s="16"/>
      <c r="AHZ4" s="16"/>
      <c r="AIA4" s="16"/>
      <c r="AIB4" s="16"/>
      <c r="AIC4" s="16"/>
      <c r="AID4" s="16"/>
      <c r="AIE4" s="16"/>
      <c r="AIF4" s="16"/>
      <c r="AIG4" s="16"/>
      <c r="AIH4" s="16"/>
      <c r="AII4" s="16"/>
      <c r="AIJ4" s="16"/>
      <c r="AIK4" s="16"/>
      <c r="AIL4" s="16"/>
      <c r="AIM4" s="16"/>
      <c r="AIN4" s="16"/>
      <c r="AIO4" s="16"/>
      <c r="AIP4" s="16"/>
      <c r="AIQ4" s="16"/>
      <c r="AIR4" s="16"/>
      <c r="AIS4" s="16"/>
      <c r="AIT4" s="16"/>
      <c r="AIU4" s="16"/>
      <c r="AIV4" s="16"/>
      <c r="AIW4" s="16"/>
      <c r="AIX4" s="16"/>
      <c r="AIY4" s="16"/>
      <c r="AIZ4" s="16"/>
      <c r="AJA4" s="16"/>
      <c r="AJB4" s="16"/>
      <c r="AJC4" s="16"/>
      <c r="AJD4" s="16"/>
      <c r="AJE4" s="16"/>
      <c r="AJF4" s="16"/>
      <c r="AJG4" s="16"/>
      <c r="AJH4" s="16"/>
      <c r="AJI4" s="16"/>
      <c r="AJJ4" s="16"/>
      <c r="AJK4" s="16"/>
      <c r="AJL4" s="16"/>
      <c r="AJM4" s="16"/>
      <c r="AJN4" s="16"/>
      <c r="AJO4" s="16"/>
      <c r="AJP4" s="16"/>
      <c r="AJQ4" s="16"/>
      <c r="AJR4" s="16"/>
      <c r="AJS4" s="16"/>
      <c r="AJT4" s="16"/>
      <c r="AJU4" s="16"/>
      <c r="AJV4" s="16"/>
      <c r="AJW4" s="16"/>
      <c r="AJX4" s="16"/>
      <c r="AJY4" s="16"/>
      <c r="AJZ4" s="16"/>
      <c r="AKA4" s="16"/>
      <c r="AKB4" s="16"/>
      <c r="AKC4" s="16"/>
      <c r="AKD4" s="16"/>
      <c r="AKE4" s="16"/>
      <c r="AKF4" s="16"/>
      <c r="AKG4" s="16"/>
      <c r="AKH4" s="16"/>
      <c r="AKI4" s="16"/>
      <c r="AKJ4" s="16"/>
      <c r="AKK4" s="16"/>
      <c r="AKL4" s="16"/>
      <c r="AKM4" s="16"/>
      <c r="AKN4" s="16"/>
      <c r="AKO4" s="16"/>
      <c r="AKP4" s="16"/>
      <c r="AKQ4" s="16"/>
      <c r="AKR4" s="16"/>
      <c r="AKS4" s="16"/>
      <c r="AKT4" s="16"/>
      <c r="AKU4" s="16"/>
      <c r="AKV4" s="16"/>
      <c r="AKW4" s="16"/>
      <c r="AKX4" s="16"/>
      <c r="AKY4" s="16"/>
      <c r="AKZ4" s="16"/>
      <c r="ALA4" s="16"/>
      <c r="ALB4" s="16"/>
      <c r="ALC4" s="16"/>
      <c r="ALD4" s="16"/>
      <c r="ALE4" s="16"/>
      <c r="ALF4" s="16"/>
      <c r="ALG4" s="16"/>
      <c r="ALH4" s="16"/>
      <c r="ALI4" s="16"/>
      <c r="ALJ4" s="16"/>
      <c r="ALK4" s="16"/>
      <c r="ALL4" s="16"/>
      <c r="ALM4" s="16"/>
      <c r="ALN4" s="16"/>
      <c r="ALO4" s="16"/>
      <c r="ALP4" s="16"/>
      <c r="ALQ4" s="16"/>
      <c r="ALR4" s="16"/>
      <c r="ALS4" s="16"/>
      <c r="ALT4" s="16"/>
      <c r="ALU4" s="16"/>
      <c r="ALV4" s="16"/>
      <c r="ALW4" s="16"/>
      <c r="ALX4" s="16"/>
      <c r="ALY4" s="16"/>
    </row>
    <row r="5" spans="1:1013" ht="30" customHeight="1" x14ac:dyDescent="0.25">
      <c r="A5" s="21" t="s">
        <v>56</v>
      </c>
      <c r="B5" s="23" t="s">
        <v>85</v>
      </c>
      <c r="C5" s="21" t="s">
        <v>79</v>
      </c>
      <c r="D5" s="17">
        <v>39</v>
      </c>
      <c r="E5" s="17" t="s">
        <v>31</v>
      </c>
      <c r="F5" s="17">
        <v>53</v>
      </c>
      <c r="G5" s="11" t="s">
        <v>80</v>
      </c>
      <c r="H5" s="11" t="s">
        <v>81</v>
      </c>
      <c r="I5" s="11">
        <v>42</v>
      </c>
      <c r="J5" s="11">
        <v>57</v>
      </c>
      <c r="K5" s="11">
        <v>18</v>
      </c>
      <c r="L5" s="11">
        <v>14</v>
      </c>
      <c r="M5" s="11">
        <v>90</v>
      </c>
      <c r="N5" s="11">
        <v>82</v>
      </c>
      <c r="O5" s="11">
        <v>98</v>
      </c>
      <c r="P5" s="11">
        <v>68</v>
      </c>
      <c r="Q5" s="11">
        <v>38</v>
      </c>
      <c r="R5" s="11">
        <v>42</v>
      </c>
      <c r="S5" s="11">
        <v>58</v>
      </c>
      <c r="T5" s="11">
        <v>16</v>
      </c>
      <c r="U5" s="11">
        <v>12</v>
      </c>
      <c r="V5" s="11">
        <v>26</v>
      </c>
      <c r="W5" s="11">
        <v>23</v>
      </c>
      <c r="X5" s="11">
        <v>26</v>
      </c>
      <c r="Y5" s="11">
        <v>68</v>
      </c>
      <c r="Z5" s="11">
        <v>38</v>
      </c>
      <c r="AA5" s="11">
        <v>42</v>
      </c>
      <c r="AB5" s="11">
        <v>23</v>
      </c>
      <c r="AC5" s="11">
        <v>16</v>
      </c>
      <c r="AD5" s="11">
        <v>26</v>
      </c>
      <c r="AE5" s="11">
        <v>23</v>
      </c>
      <c r="AF5" s="11">
        <v>26</v>
      </c>
      <c r="AG5" s="11">
        <v>68</v>
      </c>
      <c r="AH5" s="11">
        <v>38</v>
      </c>
      <c r="AI5" s="11">
        <v>75</v>
      </c>
      <c r="AJ5" s="11">
        <v>94</v>
      </c>
      <c r="AK5" s="11">
        <v>60</v>
      </c>
      <c r="AL5" s="11">
        <v>29</v>
      </c>
      <c r="AM5" s="11">
        <v>23</v>
      </c>
      <c r="AN5" s="11">
        <v>18</v>
      </c>
      <c r="AO5" s="8">
        <v>89</v>
      </c>
      <c r="AP5" s="8">
        <v>1</v>
      </c>
      <c r="AQ5" s="15" t="s">
        <v>109</v>
      </c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16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6"/>
      <c r="KG5" s="16"/>
      <c r="KH5" s="16"/>
      <c r="KI5" s="16"/>
      <c r="KJ5" s="16"/>
      <c r="KK5" s="16"/>
      <c r="KL5" s="16"/>
      <c r="KM5" s="16"/>
      <c r="KN5" s="16"/>
      <c r="KO5" s="16"/>
      <c r="KP5" s="16"/>
      <c r="KQ5" s="16"/>
      <c r="KR5" s="16"/>
      <c r="KS5" s="16"/>
      <c r="KT5" s="16"/>
      <c r="KU5" s="16"/>
      <c r="KV5" s="16"/>
      <c r="KW5" s="16"/>
      <c r="KX5" s="16"/>
      <c r="KY5" s="16"/>
      <c r="KZ5" s="16"/>
      <c r="LA5" s="16"/>
      <c r="LB5" s="16"/>
      <c r="LC5" s="16"/>
      <c r="LD5" s="16"/>
      <c r="LE5" s="16"/>
      <c r="LF5" s="16"/>
      <c r="LG5" s="16"/>
      <c r="LH5" s="16"/>
      <c r="LI5" s="16"/>
      <c r="LJ5" s="16"/>
      <c r="LK5" s="16"/>
      <c r="LL5" s="16"/>
      <c r="LM5" s="16"/>
      <c r="LN5" s="16"/>
      <c r="LO5" s="16"/>
      <c r="LP5" s="16"/>
      <c r="LQ5" s="16"/>
      <c r="LR5" s="16"/>
      <c r="LS5" s="16"/>
      <c r="LT5" s="16"/>
      <c r="LU5" s="16"/>
      <c r="LV5" s="16"/>
      <c r="LW5" s="16"/>
      <c r="LX5" s="16"/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6"/>
      <c r="MT5" s="16"/>
      <c r="MU5" s="16"/>
      <c r="MV5" s="16"/>
      <c r="MW5" s="16"/>
      <c r="MX5" s="16"/>
      <c r="MY5" s="16"/>
      <c r="MZ5" s="16"/>
      <c r="NA5" s="16"/>
      <c r="NB5" s="16"/>
      <c r="NC5" s="16"/>
      <c r="ND5" s="16"/>
      <c r="NE5" s="16"/>
      <c r="NF5" s="16"/>
      <c r="NG5" s="16"/>
      <c r="NH5" s="16"/>
      <c r="NI5" s="16"/>
      <c r="NJ5" s="16"/>
      <c r="NK5" s="16"/>
      <c r="NL5" s="16"/>
      <c r="NM5" s="16"/>
      <c r="NN5" s="16"/>
      <c r="NO5" s="16"/>
      <c r="NP5" s="16"/>
      <c r="NQ5" s="16"/>
      <c r="NR5" s="16"/>
      <c r="NS5" s="16"/>
      <c r="NT5" s="16"/>
      <c r="NU5" s="16"/>
      <c r="NV5" s="16"/>
      <c r="NW5" s="16"/>
      <c r="NX5" s="16"/>
      <c r="NY5" s="16"/>
      <c r="NZ5" s="16"/>
      <c r="OA5" s="16"/>
      <c r="OB5" s="16"/>
      <c r="OC5" s="16"/>
      <c r="OD5" s="16"/>
      <c r="OE5" s="16"/>
      <c r="OF5" s="16"/>
      <c r="OG5" s="16"/>
      <c r="OH5" s="16"/>
      <c r="OI5" s="16"/>
      <c r="OJ5" s="16"/>
      <c r="OK5" s="16"/>
      <c r="OL5" s="16"/>
      <c r="OM5" s="16"/>
      <c r="ON5" s="16"/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6"/>
      <c r="PJ5" s="16"/>
      <c r="PK5" s="16"/>
      <c r="PL5" s="16"/>
      <c r="PM5" s="16"/>
      <c r="PN5" s="16"/>
      <c r="PO5" s="16"/>
      <c r="PP5" s="16"/>
      <c r="PQ5" s="16"/>
      <c r="PR5" s="16"/>
      <c r="PS5" s="16"/>
      <c r="PT5" s="16"/>
      <c r="PU5" s="16"/>
      <c r="PV5" s="16"/>
      <c r="PW5" s="16"/>
      <c r="PX5" s="16"/>
      <c r="PY5" s="16"/>
      <c r="PZ5" s="16"/>
      <c r="QA5" s="16"/>
      <c r="QB5" s="16"/>
      <c r="QC5" s="16"/>
      <c r="QD5" s="16"/>
      <c r="QE5" s="16"/>
      <c r="QF5" s="16"/>
      <c r="QG5" s="16"/>
      <c r="QH5" s="16"/>
      <c r="QI5" s="16"/>
      <c r="QJ5" s="16"/>
      <c r="QK5" s="16"/>
      <c r="QL5" s="16"/>
      <c r="QM5" s="16"/>
      <c r="QN5" s="16"/>
      <c r="QO5" s="16"/>
      <c r="QP5" s="16"/>
      <c r="QQ5" s="16"/>
      <c r="QR5" s="16"/>
      <c r="QS5" s="16"/>
      <c r="QT5" s="16"/>
      <c r="QU5" s="16"/>
      <c r="QV5" s="16"/>
      <c r="QW5" s="16"/>
      <c r="QX5" s="16"/>
      <c r="QY5" s="16"/>
      <c r="QZ5" s="16"/>
      <c r="RA5" s="16"/>
      <c r="RB5" s="16"/>
      <c r="RC5" s="16"/>
      <c r="RD5" s="16"/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6"/>
      <c r="RZ5" s="16"/>
      <c r="SA5" s="16"/>
      <c r="SB5" s="16"/>
      <c r="SC5" s="16"/>
      <c r="SD5" s="16"/>
      <c r="SE5" s="16"/>
      <c r="SF5" s="16"/>
      <c r="SG5" s="16"/>
      <c r="SH5" s="16"/>
      <c r="SI5" s="16"/>
      <c r="SJ5" s="16"/>
      <c r="SK5" s="16"/>
      <c r="SL5" s="16"/>
      <c r="SM5" s="16"/>
      <c r="SN5" s="16"/>
      <c r="SO5" s="16"/>
      <c r="SP5" s="16"/>
      <c r="SQ5" s="16"/>
      <c r="SR5" s="16"/>
      <c r="SS5" s="16"/>
      <c r="ST5" s="16"/>
      <c r="SU5" s="16"/>
      <c r="SV5" s="16"/>
      <c r="SW5" s="16"/>
      <c r="SX5" s="16"/>
      <c r="SY5" s="16"/>
      <c r="SZ5" s="16"/>
      <c r="TA5" s="16"/>
      <c r="TB5" s="16"/>
      <c r="TC5" s="16"/>
      <c r="TD5" s="16"/>
      <c r="TE5" s="16"/>
      <c r="TF5" s="16"/>
      <c r="TG5" s="16"/>
      <c r="TH5" s="16"/>
      <c r="TI5" s="16"/>
      <c r="TJ5" s="16"/>
      <c r="TK5" s="16"/>
      <c r="TL5" s="16"/>
      <c r="TM5" s="16"/>
      <c r="TN5" s="16"/>
      <c r="TO5" s="16"/>
      <c r="TP5" s="16"/>
      <c r="TQ5" s="16"/>
      <c r="TR5" s="16"/>
      <c r="TS5" s="16"/>
      <c r="TT5" s="16"/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6"/>
      <c r="UP5" s="16"/>
      <c r="UQ5" s="16"/>
      <c r="UR5" s="16"/>
      <c r="US5" s="16"/>
      <c r="UT5" s="16"/>
      <c r="UU5" s="16"/>
      <c r="UV5" s="16"/>
      <c r="UW5" s="16"/>
      <c r="UX5" s="16"/>
      <c r="UY5" s="16"/>
      <c r="UZ5" s="16"/>
      <c r="VA5" s="16"/>
      <c r="VB5" s="16"/>
      <c r="VC5" s="16"/>
      <c r="VD5" s="16"/>
      <c r="VE5" s="16"/>
      <c r="VF5" s="16"/>
      <c r="VG5" s="16"/>
      <c r="VH5" s="16"/>
      <c r="VI5" s="16"/>
      <c r="VJ5" s="16"/>
      <c r="VK5" s="16"/>
      <c r="VL5" s="16"/>
      <c r="VM5" s="16"/>
      <c r="VN5" s="16"/>
      <c r="VO5" s="16"/>
      <c r="VP5" s="16"/>
      <c r="VQ5" s="16"/>
      <c r="VR5" s="16"/>
      <c r="VS5" s="16"/>
      <c r="VT5" s="16"/>
      <c r="VU5" s="16"/>
      <c r="VV5" s="16"/>
      <c r="VW5" s="16"/>
      <c r="VX5" s="16"/>
      <c r="VY5" s="16"/>
      <c r="VZ5" s="16"/>
      <c r="WA5" s="16"/>
      <c r="WB5" s="16"/>
      <c r="WC5" s="16"/>
      <c r="WD5" s="16"/>
      <c r="WE5" s="16"/>
      <c r="WF5" s="16"/>
      <c r="WG5" s="16"/>
      <c r="WH5" s="16"/>
      <c r="WI5" s="16"/>
      <c r="WJ5" s="16"/>
      <c r="WK5" s="16"/>
      <c r="WL5" s="16"/>
      <c r="WM5" s="16"/>
      <c r="WN5" s="16"/>
      <c r="WO5" s="16"/>
      <c r="WP5" s="16"/>
      <c r="WQ5" s="16"/>
      <c r="WR5" s="16"/>
      <c r="WS5" s="16"/>
      <c r="WT5" s="16"/>
      <c r="WU5" s="16"/>
      <c r="WV5" s="16"/>
      <c r="WW5" s="16"/>
      <c r="WX5" s="16"/>
      <c r="WY5" s="16"/>
      <c r="WZ5" s="16"/>
      <c r="XA5" s="16"/>
      <c r="XB5" s="16"/>
      <c r="XC5" s="16"/>
      <c r="XD5" s="16"/>
      <c r="XE5" s="16"/>
      <c r="XF5" s="16"/>
      <c r="XG5" s="16"/>
      <c r="XH5" s="16"/>
      <c r="XI5" s="16"/>
      <c r="XJ5" s="16"/>
      <c r="XK5" s="16"/>
      <c r="XL5" s="16"/>
      <c r="XM5" s="16"/>
      <c r="XN5" s="16"/>
      <c r="XO5" s="16"/>
      <c r="XP5" s="16"/>
      <c r="XQ5" s="16"/>
      <c r="XR5" s="16"/>
      <c r="XS5" s="16"/>
      <c r="XT5" s="16"/>
      <c r="XU5" s="16"/>
      <c r="XV5" s="16"/>
      <c r="XW5" s="16"/>
      <c r="XX5" s="16"/>
      <c r="XY5" s="16"/>
      <c r="XZ5" s="16"/>
      <c r="YA5" s="16"/>
      <c r="YB5" s="16"/>
      <c r="YC5" s="16"/>
      <c r="YD5" s="16"/>
      <c r="YE5" s="16"/>
      <c r="YF5" s="16"/>
      <c r="YG5" s="16"/>
      <c r="YH5" s="16"/>
      <c r="YI5" s="16"/>
      <c r="YJ5" s="16"/>
      <c r="YK5" s="16"/>
      <c r="YL5" s="16"/>
      <c r="YM5" s="16"/>
      <c r="YN5" s="16"/>
      <c r="YO5" s="16"/>
      <c r="YP5" s="16"/>
      <c r="YQ5" s="16"/>
      <c r="YR5" s="16"/>
      <c r="YS5" s="16"/>
      <c r="YT5" s="16"/>
      <c r="YU5" s="16"/>
      <c r="YV5" s="16"/>
      <c r="YW5" s="16"/>
      <c r="YX5" s="16"/>
      <c r="YY5" s="16"/>
      <c r="YZ5" s="16"/>
      <c r="ZA5" s="16"/>
      <c r="ZB5" s="16"/>
      <c r="ZC5" s="16"/>
      <c r="ZD5" s="16"/>
      <c r="ZE5" s="16"/>
      <c r="ZF5" s="16"/>
      <c r="ZG5" s="16"/>
      <c r="ZH5" s="16"/>
      <c r="ZI5" s="16"/>
      <c r="ZJ5" s="16"/>
      <c r="ZK5" s="16"/>
      <c r="ZL5" s="16"/>
      <c r="ZM5" s="16"/>
      <c r="ZN5" s="16"/>
      <c r="ZO5" s="16"/>
      <c r="ZP5" s="16"/>
      <c r="ZQ5" s="16"/>
      <c r="ZR5" s="16"/>
      <c r="ZS5" s="16"/>
      <c r="ZT5" s="16"/>
      <c r="ZU5" s="16"/>
      <c r="ZV5" s="16"/>
      <c r="ZW5" s="16"/>
      <c r="ZX5" s="16"/>
      <c r="ZY5" s="16"/>
      <c r="ZZ5" s="16"/>
      <c r="AAA5" s="16"/>
      <c r="AAB5" s="16"/>
      <c r="AAC5" s="16"/>
      <c r="AAD5" s="16"/>
      <c r="AAE5" s="16"/>
      <c r="AAF5" s="16"/>
      <c r="AAG5" s="16"/>
      <c r="AAH5" s="16"/>
      <c r="AAI5" s="16"/>
      <c r="AAJ5" s="16"/>
      <c r="AAK5" s="16"/>
      <c r="AAL5" s="16"/>
      <c r="AAM5" s="16"/>
      <c r="AAN5" s="16"/>
      <c r="AAO5" s="16"/>
      <c r="AAP5" s="16"/>
      <c r="AAQ5" s="16"/>
      <c r="AAR5" s="16"/>
      <c r="AAS5" s="16"/>
      <c r="AAT5" s="16"/>
      <c r="AAU5" s="16"/>
      <c r="AAV5" s="16"/>
      <c r="AAW5" s="16"/>
      <c r="AAX5" s="16"/>
      <c r="AAY5" s="16"/>
      <c r="AAZ5" s="16"/>
      <c r="ABA5" s="16"/>
      <c r="ABB5" s="16"/>
      <c r="ABC5" s="16"/>
      <c r="ABD5" s="16"/>
      <c r="ABE5" s="16"/>
      <c r="ABF5" s="16"/>
      <c r="ABG5" s="16"/>
      <c r="ABH5" s="16"/>
      <c r="ABI5" s="16"/>
      <c r="ABJ5" s="16"/>
      <c r="ABK5" s="16"/>
      <c r="ABL5" s="16"/>
      <c r="ABM5" s="16"/>
      <c r="ABN5" s="16"/>
      <c r="ABO5" s="16"/>
      <c r="ABP5" s="16"/>
      <c r="ABQ5" s="16"/>
      <c r="ABR5" s="16"/>
      <c r="ABS5" s="16"/>
      <c r="ABT5" s="16"/>
      <c r="ABU5" s="16"/>
      <c r="ABV5" s="16"/>
      <c r="ABW5" s="16"/>
      <c r="ABX5" s="16"/>
      <c r="ABY5" s="16"/>
      <c r="ABZ5" s="16"/>
      <c r="ACA5" s="16"/>
      <c r="ACB5" s="16"/>
      <c r="ACC5" s="16"/>
      <c r="ACD5" s="16"/>
      <c r="ACE5" s="16"/>
      <c r="ACF5" s="16"/>
      <c r="ACG5" s="16"/>
      <c r="ACH5" s="16"/>
      <c r="ACI5" s="16"/>
      <c r="ACJ5" s="16"/>
      <c r="ACK5" s="16"/>
      <c r="ACL5" s="16"/>
      <c r="ACM5" s="16"/>
      <c r="ACN5" s="16"/>
      <c r="ACO5" s="16"/>
      <c r="ACP5" s="16"/>
      <c r="ACQ5" s="16"/>
      <c r="ACR5" s="16"/>
      <c r="ACS5" s="16"/>
      <c r="ACT5" s="16"/>
      <c r="ACU5" s="16"/>
      <c r="ACV5" s="16"/>
      <c r="ACW5" s="16"/>
      <c r="ACX5" s="16"/>
      <c r="ACY5" s="16"/>
      <c r="ACZ5" s="16"/>
      <c r="ADA5" s="16"/>
      <c r="ADB5" s="16"/>
      <c r="ADC5" s="16"/>
      <c r="ADD5" s="16"/>
      <c r="ADE5" s="16"/>
      <c r="ADF5" s="16"/>
      <c r="ADG5" s="16"/>
      <c r="ADH5" s="16"/>
      <c r="ADI5" s="16"/>
      <c r="ADJ5" s="16"/>
      <c r="ADK5" s="16"/>
      <c r="ADL5" s="16"/>
      <c r="ADM5" s="16"/>
      <c r="ADN5" s="16"/>
      <c r="ADO5" s="16"/>
      <c r="ADP5" s="16"/>
      <c r="ADQ5" s="16"/>
      <c r="ADR5" s="16"/>
      <c r="ADS5" s="16"/>
      <c r="ADT5" s="16"/>
      <c r="ADU5" s="16"/>
      <c r="ADV5" s="16"/>
      <c r="ADW5" s="16"/>
      <c r="ADX5" s="16"/>
      <c r="ADY5" s="16"/>
      <c r="ADZ5" s="16"/>
      <c r="AEA5" s="16"/>
      <c r="AEB5" s="16"/>
      <c r="AEC5" s="16"/>
      <c r="AED5" s="16"/>
      <c r="AEE5" s="16"/>
      <c r="AEF5" s="16"/>
      <c r="AEG5" s="16"/>
      <c r="AEH5" s="16"/>
      <c r="AEI5" s="16"/>
      <c r="AEJ5" s="16"/>
      <c r="AEK5" s="16"/>
      <c r="AEL5" s="16"/>
      <c r="AEM5" s="16"/>
      <c r="AEN5" s="16"/>
      <c r="AEO5" s="16"/>
      <c r="AEP5" s="16"/>
      <c r="AEQ5" s="16"/>
      <c r="AER5" s="16"/>
      <c r="AES5" s="16"/>
      <c r="AET5" s="16"/>
      <c r="AEU5" s="16"/>
      <c r="AEV5" s="16"/>
      <c r="AEW5" s="16"/>
      <c r="AEX5" s="16"/>
      <c r="AEY5" s="16"/>
      <c r="AEZ5" s="16"/>
      <c r="AFA5" s="16"/>
      <c r="AFB5" s="16"/>
      <c r="AFC5" s="16"/>
      <c r="AFD5" s="16"/>
      <c r="AFE5" s="16"/>
      <c r="AFF5" s="16"/>
      <c r="AFG5" s="16"/>
      <c r="AFH5" s="16"/>
      <c r="AFI5" s="16"/>
      <c r="AFJ5" s="16"/>
      <c r="AFK5" s="16"/>
      <c r="AFL5" s="16"/>
      <c r="AFM5" s="16"/>
      <c r="AFN5" s="16"/>
      <c r="AFO5" s="16"/>
      <c r="AFP5" s="16"/>
      <c r="AFQ5" s="16"/>
      <c r="AFR5" s="16"/>
      <c r="AFS5" s="16"/>
      <c r="AFT5" s="16"/>
      <c r="AFU5" s="16"/>
      <c r="AFV5" s="16"/>
      <c r="AFW5" s="16"/>
      <c r="AFX5" s="16"/>
      <c r="AFY5" s="16"/>
      <c r="AFZ5" s="16"/>
      <c r="AGA5" s="16"/>
      <c r="AGB5" s="16"/>
      <c r="AGC5" s="16"/>
      <c r="AGD5" s="16"/>
      <c r="AGE5" s="16"/>
      <c r="AGF5" s="16"/>
      <c r="AGG5" s="16"/>
      <c r="AGH5" s="16"/>
      <c r="AGI5" s="16"/>
      <c r="AGJ5" s="16"/>
      <c r="AGK5" s="16"/>
      <c r="AGL5" s="16"/>
      <c r="AGM5" s="16"/>
      <c r="AGN5" s="16"/>
      <c r="AGO5" s="16"/>
      <c r="AGP5" s="16"/>
      <c r="AGQ5" s="16"/>
      <c r="AGR5" s="16"/>
      <c r="AGS5" s="16"/>
      <c r="AGT5" s="16"/>
      <c r="AGU5" s="16"/>
      <c r="AGV5" s="16"/>
      <c r="AGW5" s="16"/>
      <c r="AGX5" s="16"/>
      <c r="AGY5" s="16"/>
      <c r="AGZ5" s="16"/>
      <c r="AHA5" s="16"/>
      <c r="AHB5" s="16"/>
      <c r="AHC5" s="16"/>
      <c r="AHD5" s="16"/>
      <c r="AHE5" s="16"/>
      <c r="AHF5" s="16"/>
      <c r="AHG5" s="16"/>
      <c r="AHH5" s="16"/>
      <c r="AHI5" s="16"/>
      <c r="AHJ5" s="16"/>
      <c r="AHK5" s="16"/>
      <c r="AHL5" s="16"/>
      <c r="AHM5" s="16"/>
      <c r="AHN5" s="16"/>
      <c r="AHO5" s="16"/>
      <c r="AHP5" s="16"/>
      <c r="AHQ5" s="16"/>
      <c r="AHR5" s="16"/>
      <c r="AHS5" s="16"/>
      <c r="AHT5" s="16"/>
      <c r="AHU5" s="16"/>
      <c r="AHV5" s="16"/>
      <c r="AHW5" s="16"/>
      <c r="AHX5" s="16"/>
      <c r="AHY5" s="16"/>
      <c r="AHZ5" s="16"/>
      <c r="AIA5" s="16"/>
      <c r="AIB5" s="16"/>
      <c r="AIC5" s="16"/>
      <c r="AID5" s="16"/>
      <c r="AIE5" s="16"/>
      <c r="AIF5" s="16"/>
      <c r="AIG5" s="16"/>
      <c r="AIH5" s="16"/>
      <c r="AII5" s="16"/>
      <c r="AIJ5" s="16"/>
      <c r="AIK5" s="16"/>
      <c r="AIL5" s="16"/>
      <c r="AIM5" s="16"/>
      <c r="AIN5" s="16"/>
      <c r="AIO5" s="16"/>
      <c r="AIP5" s="16"/>
      <c r="AIQ5" s="16"/>
      <c r="AIR5" s="16"/>
      <c r="AIS5" s="16"/>
      <c r="AIT5" s="16"/>
      <c r="AIU5" s="16"/>
      <c r="AIV5" s="16"/>
      <c r="AIW5" s="16"/>
      <c r="AIX5" s="16"/>
      <c r="AIY5" s="16"/>
      <c r="AIZ5" s="16"/>
      <c r="AJA5" s="16"/>
      <c r="AJB5" s="16"/>
      <c r="AJC5" s="16"/>
      <c r="AJD5" s="16"/>
      <c r="AJE5" s="16"/>
      <c r="AJF5" s="16"/>
      <c r="AJG5" s="16"/>
      <c r="AJH5" s="16"/>
      <c r="AJI5" s="16"/>
      <c r="AJJ5" s="16"/>
      <c r="AJK5" s="16"/>
      <c r="AJL5" s="16"/>
      <c r="AJM5" s="16"/>
      <c r="AJN5" s="16"/>
      <c r="AJO5" s="16"/>
      <c r="AJP5" s="16"/>
      <c r="AJQ5" s="16"/>
      <c r="AJR5" s="16"/>
      <c r="AJS5" s="16"/>
      <c r="AJT5" s="16"/>
      <c r="AJU5" s="16"/>
      <c r="AJV5" s="16"/>
      <c r="AJW5" s="16"/>
      <c r="AJX5" s="16"/>
      <c r="AJY5" s="16"/>
      <c r="AJZ5" s="16"/>
      <c r="AKA5" s="16"/>
      <c r="AKB5" s="16"/>
      <c r="AKC5" s="16"/>
      <c r="AKD5" s="16"/>
      <c r="AKE5" s="16"/>
      <c r="AKF5" s="16"/>
      <c r="AKG5" s="16"/>
      <c r="AKH5" s="16"/>
      <c r="AKI5" s="16"/>
      <c r="AKJ5" s="16"/>
      <c r="AKK5" s="16"/>
      <c r="AKL5" s="16"/>
      <c r="AKM5" s="16"/>
      <c r="AKN5" s="16"/>
      <c r="AKO5" s="16"/>
      <c r="AKP5" s="16"/>
      <c r="AKQ5" s="16"/>
      <c r="AKR5" s="16"/>
      <c r="AKS5" s="16"/>
      <c r="AKT5" s="16"/>
      <c r="AKU5" s="16"/>
      <c r="AKV5" s="16"/>
      <c r="AKW5" s="16"/>
      <c r="AKX5" s="16"/>
      <c r="AKY5" s="16"/>
      <c r="AKZ5" s="16"/>
      <c r="ALA5" s="16"/>
      <c r="ALB5" s="16"/>
      <c r="ALC5" s="16"/>
      <c r="ALD5" s="16"/>
      <c r="ALE5" s="16"/>
      <c r="ALF5" s="16"/>
      <c r="ALG5" s="16"/>
      <c r="ALH5" s="16"/>
      <c r="ALI5" s="16"/>
      <c r="ALJ5" s="16"/>
      <c r="ALK5" s="16"/>
      <c r="ALL5" s="16"/>
      <c r="ALM5" s="16"/>
      <c r="ALN5" s="16"/>
      <c r="ALO5" s="16"/>
      <c r="ALP5" s="16"/>
      <c r="ALQ5" s="16"/>
      <c r="ALR5" s="16"/>
      <c r="ALS5" s="16"/>
      <c r="ALT5" s="16"/>
      <c r="ALU5" s="16"/>
      <c r="ALV5" s="16"/>
      <c r="ALW5" s="16"/>
      <c r="ALX5" s="16"/>
      <c r="ALY5" s="16"/>
    </row>
    <row r="6" spans="1:1013" ht="30" customHeight="1" x14ac:dyDescent="0.25">
      <c r="A6" s="21" t="s">
        <v>57</v>
      </c>
      <c r="B6" s="23" t="s">
        <v>86</v>
      </c>
      <c r="C6" s="21" t="s">
        <v>79</v>
      </c>
      <c r="D6" s="17">
        <v>43</v>
      </c>
      <c r="E6" s="17" t="s">
        <v>34</v>
      </c>
      <c r="F6" s="17">
        <v>58</v>
      </c>
      <c r="G6" s="11" t="s">
        <v>80</v>
      </c>
      <c r="H6" s="11" t="s">
        <v>81</v>
      </c>
      <c r="I6" s="11">
        <v>45</v>
      </c>
      <c r="J6" s="11">
        <v>58</v>
      </c>
      <c r="K6" s="11">
        <v>19</v>
      </c>
      <c r="L6" s="11">
        <v>14</v>
      </c>
      <c r="M6" s="11">
        <v>98</v>
      </c>
      <c r="N6" s="11">
        <v>96</v>
      </c>
      <c r="O6" s="11">
        <v>108</v>
      </c>
      <c r="P6" s="11">
        <v>70</v>
      </c>
      <c r="Q6" s="11">
        <v>40</v>
      </c>
      <c r="R6" s="11">
        <v>45</v>
      </c>
      <c r="S6" s="11">
        <v>59</v>
      </c>
      <c r="T6" s="11">
        <v>17</v>
      </c>
      <c r="U6" s="11">
        <v>12</v>
      </c>
      <c r="V6" s="11">
        <v>27</v>
      </c>
      <c r="W6" s="11">
        <v>25</v>
      </c>
      <c r="X6" s="11">
        <v>27</v>
      </c>
      <c r="Y6" s="11">
        <v>70</v>
      </c>
      <c r="Z6" s="11">
        <v>40</v>
      </c>
      <c r="AA6" s="11">
        <v>45</v>
      </c>
      <c r="AB6" s="11">
        <v>24</v>
      </c>
      <c r="AC6" s="11">
        <v>18</v>
      </c>
      <c r="AD6" s="11">
        <v>27</v>
      </c>
      <c r="AE6" s="11">
        <v>25</v>
      </c>
      <c r="AF6" s="11">
        <v>27</v>
      </c>
      <c r="AG6" s="11">
        <v>70</v>
      </c>
      <c r="AH6" s="11">
        <v>40</v>
      </c>
      <c r="AI6" s="11">
        <v>88</v>
      </c>
      <c r="AJ6" s="11">
        <v>106</v>
      </c>
      <c r="AK6" s="11">
        <v>64</v>
      </c>
      <c r="AL6" s="11">
        <v>34</v>
      </c>
      <c r="AM6" s="11">
        <v>25</v>
      </c>
      <c r="AN6" s="11">
        <v>21</v>
      </c>
      <c r="AO6" s="11">
        <v>93</v>
      </c>
      <c r="AP6" s="8">
        <v>1</v>
      </c>
      <c r="AQ6" s="15" t="s">
        <v>109</v>
      </c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6"/>
      <c r="KG6" s="16"/>
      <c r="KH6" s="16"/>
      <c r="KI6" s="16"/>
      <c r="KJ6" s="16"/>
      <c r="KK6" s="16"/>
      <c r="KL6" s="16"/>
      <c r="KM6" s="16"/>
      <c r="KN6" s="16"/>
      <c r="KO6" s="16"/>
      <c r="KP6" s="16"/>
      <c r="KQ6" s="16"/>
      <c r="KR6" s="16"/>
      <c r="KS6" s="16"/>
      <c r="KT6" s="16"/>
      <c r="KU6" s="16"/>
      <c r="KV6" s="16"/>
      <c r="KW6" s="16"/>
      <c r="KX6" s="16"/>
      <c r="KY6" s="16"/>
      <c r="KZ6" s="16"/>
      <c r="LA6" s="16"/>
      <c r="LB6" s="16"/>
      <c r="LC6" s="16"/>
      <c r="LD6" s="16"/>
      <c r="LE6" s="16"/>
      <c r="LF6" s="16"/>
      <c r="LG6" s="16"/>
      <c r="LH6" s="16"/>
      <c r="LI6" s="16"/>
      <c r="LJ6" s="16"/>
      <c r="LK6" s="16"/>
      <c r="LL6" s="16"/>
      <c r="LM6" s="16"/>
      <c r="LN6" s="16"/>
      <c r="LO6" s="16"/>
      <c r="LP6" s="16"/>
      <c r="LQ6" s="16"/>
      <c r="LR6" s="16"/>
      <c r="LS6" s="16"/>
      <c r="LT6" s="16"/>
      <c r="LU6" s="16"/>
      <c r="LV6" s="16"/>
      <c r="LW6" s="16"/>
      <c r="LX6" s="16"/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6"/>
      <c r="MT6" s="16"/>
      <c r="MU6" s="16"/>
      <c r="MV6" s="16"/>
      <c r="MW6" s="16"/>
      <c r="MX6" s="16"/>
      <c r="MY6" s="16"/>
      <c r="MZ6" s="16"/>
      <c r="NA6" s="16"/>
      <c r="NB6" s="16"/>
      <c r="NC6" s="16"/>
      <c r="ND6" s="16"/>
      <c r="NE6" s="16"/>
      <c r="NF6" s="16"/>
      <c r="NG6" s="16"/>
      <c r="NH6" s="16"/>
      <c r="NI6" s="16"/>
      <c r="NJ6" s="16"/>
      <c r="NK6" s="16"/>
      <c r="NL6" s="16"/>
      <c r="NM6" s="16"/>
      <c r="NN6" s="16"/>
      <c r="NO6" s="16"/>
      <c r="NP6" s="16"/>
      <c r="NQ6" s="16"/>
      <c r="NR6" s="16"/>
      <c r="NS6" s="16"/>
      <c r="NT6" s="16"/>
      <c r="NU6" s="16"/>
      <c r="NV6" s="16"/>
      <c r="NW6" s="16"/>
      <c r="NX6" s="16"/>
      <c r="NY6" s="16"/>
      <c r="NZ6" s="16"/>
      <c r="OA6" s="16"/>
      <c r="OB6" s="16"/>
      <c r="OC6" s="16"/>
      <c r="OD6" s="16"/>
      <c r="OE6" s="16"/>
      <c r="OF6" s="16"/>
      <c r="OG6" s="16"/>
      <c r="OH6" s="16"/>
      <c r="OI6" s="16"/>
      <c r="OJ6" s="16"/>
      <c r="OK6" s="16"/>
      <c r="OL6" s="16"/>
      <c r="OM6" s="16"/>
      <c r="ON6" s="16"/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6"/>
      <c r="PJ6" s="16"/>
      <c r="PK6" s="16"/>
      <c r="PL6" s="16"/>
      <c r="PM6" s="16"/>
      <c r="PN6" s="16"/>
      <c r="PO6" s="16"/>
      <c r="PP6" s="16"/>
      <c r="PQ6" s="16"/>
      <c r="PR6" s="16"/>
      <c r="PS6" s="16"/>
      <c r="PT6" s="16"/>
      <c r="PU6" s="16"/>
      <c r="PV6" s="16"/>
      <c r="PW6" s="16"/>
      <c r="PX6" s="16"/>
      <c r="PY6" s="16"/>
      <c r="PZ6" s="16"/>
      <c r="QA6" s="16"/>
      <c r="QB6" s="16"/>
      <c r="QC6" s="16"/>
      <c r="QD6" s="16"/>
      <c r="QE6" s="16"/>
      <c r="QF6" s="16"/>
      <c r="QG6" s="16"/>
      <c r="QH6" s="16"/>
      <c r="QI6" s="16"/>
      <c r="QJ6" s="16"/>
      <c r="QK6" s="16"/>
      <c r="QL6" s="16"/>
      <c r="QM6" s="16"/>
      <c r="QN6" s="16"/>
      <c r="QO6" s="16"/>
      <c r="QP6" s="16"/>
      <c r="QQ6" s="16"/>
      <c r="QR6" s="16"/>
      <c r="QS6" s="16"/>
      <c r="QT6" s="16"/>
      <c r="QU6" s="16"/>
      <c r="QV6" s="16"/>
      <c r="QW6" s="16"/>
      <c r="QX6" s="16"/>
      <c r="QY6" s="16"/>
      <c r="QZ6" s="16"/>
      <c r="RA6" s="16"/>
      <c r="RB6" s="16"/>
      <c r="RC6" s="16"/>
      <c r="RD6" s="16"/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6"/>
      <c r="RZ6" s="16"/>
      <c r="SA6" s="16"/>
      <c r="SB6" s="16"/>
      <c r="SC6" s="16"/>
      <c r="SD6" s="16"/>
      <c r="SE6" s="16"/>
      <c r="SF6" s="16"/>
      <c r="SG6" s="16"/>
      <c r="SH6" s="16"/>
      <c r="SI6" s="16"/>
      <c r="SJ6" s="16"/>
      <c r="SK6" s="16"/>
      <c r="SL6" s="16"/>
      <c r="SM6" s="16"/>
      <c r="SN6" s="16"/>
      <c r="SO6" s="16"/>
      <c r="SP6" s="16"/>
      <c r="SQ6" s="16"/>
      <c r="SR6" s="16"/>
      <c r="SS6" s="16"/>
      <c r="ST6" s="16"/>
      <c r="SU6" s="16"/>
      <c r="SV6" s="16"/>
      <c r="SW6" s="16"/>
      <c r="SX6" s="16"/>
      <c r="SY6" s="16"/>
      <c r="SZ6" s="16"/>
      <c r="TA6" s="16"/>
      <c r="TB6" s="16"/>
      <c r="TC6" s="16"/>
      <c r="TD6" s="16"/>
      <c r="TE6" s="16"/>
      <c r="TF6" s="16"/>
      <c r="TG6" s="16"/>
      <c r="TH6" s="16"/>
      <c r="TI6" s="16"/>
      <c r="TJ6" s="16"/>
      <c r="TK6" s="16"/>
      <c r="TL6" s="16"/>
      <c r="TM6" s="16"/>
      <c r="TN6" s="16"/>
      <c r="TO6" s="16"/>
      <c r="TP6" s="16"/>
      <c r="TQ6" s="16"/>
      <c r="TR6" s="16"/>
      <c r="TS6" s="16"/>
      <c r="TT6" s="16"/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6"/>
      <c r="UP6" s="16"/>
      <c r="UQ6" s="16"/>
      <c r="UR6" s="16"/>
      <c r="US6" s="16"/>
      <c r="UT6" s="16"/>
      <c r="UU6" s="16"/>
      <c r="UV6" s="16"/>
      <c r="UW6" s="16"/>
      <c r="UX6" s="16"/>
      <c r="UY6" s="16"/>
      <c r="UZ6" s="16"/>
      <c r="VA6" s="16"/>
      <c r="VB6" s="16"/>
      <c r="VC6" s="16"/>
      <c r="VD6" s="16"/>
      <c r="VE6" s="16"/>
      <c r="VF6" s="16"/>
      <c r="VG6" s="16"/>
      <c r="VH6" s="16"/>
      <c r="VI6" s="16"/>
      <c r="VJ6" s="16"/>
      <c r="VK6" s="16"/>
      <c r="VL6" s="16"/>
      <c r="VM6" s="16"/>
      <c r="VN6" s="16"/>
      <c r="VO6" s="16"/>
      <c r="VP6" s="16"/>
      <c r="VQ6" s="16"/>
      <c r="VR6" s="16"/>
      <c r="VS6" s="16"/>
      <c r="VT6" s="16"/>
      <c r="VU6" s="16"/>
      <c r="VV6" s="16"/>
      <c r="VW6" s="16"/>
      <c r="VX6" s="16"/>
      <c r="VY6" s="16"/>
      <c r="VZ6" s="16"/>
      <c r="WA6" s="16"/>
      <c r="WB6" s="16"/>
      <c r="WC6" s="16"/>
      <c r="WD6" s="16"/>
      <c r="WE6" s="16"/>
      <c r="WF6" s="16"/>
      <c r="WG6" s="16"/>
      <c r="WH6" s="16"/>
      <c r="WI6" s="16"/>
      <c r="WJ6" s="16"/>
      <c r="WK6" s="16"/>
      <c r="WL6" s="16"/>
      <c r="WM6" s="16"/>
      <c r="WN6" s="16"/>
      <c r="WO6" s="16"/>
      <c r="WP6" s="16"/>
      <c r="WQ6" s="16"/>
      <c r="WR6" s="16"/>
      <c r="WS6" s="16"/>
      <c r="WT6" s="16"/>
      <c r="WU6" s="16"/>
      <c r="WV6" s="16"/>
      <c r="WW6" s="16"/>
      <c r="WX6" s="16"/>
      <c r="WY6" s="16"/>
      <c r="WZ6" s="16"/>
      <c r="XA6" s="16"/>
      <c r="XB6" s="16"/>
      <c r="XC6" s="16"/>
      <c r="XD6" s="16"/>
      <c r="XE6" s="16"/>
      <c r="XF6" s="16"/>
      <c r="XG6" s="16"/>
      <c r="XH6" s="16"/>
      <c r="XI6" s="16"/>
      <c r="XJ6" s="16"/>
      <c r="XK6" s="16"/>
      <c r="XL6" s="16"/>
      <c r="XM6" s="16"/>
      <c r="XN6" s="16"/>
      <c r="XO6" s="16"/>
      <c r="XP6" s="16"/>
      <c r="XQ6" s="16"/>
      <c r="XR6" s="16"/>
      <c r="XS6" s="16"/>
      <c r="XT6" s="16"/>
      <c r="XU6" s="16"/>
      <c r="XV6" s="16"/>
      <c r="XW6" s="16"/>
      <c r="XX6" s="16"/>
      <c r="XY6" s="16"/>
      <c r="XZ6" s="16"/>
      <c r="YA6" s="16"/>
      <c r="YB6" s="16"/>
      <c r="YC6" s="16"/>
      <c r="YD6" s="16"/>
      <c r="YE6" s="16"/>
      <c r="YF6" s="16"/>
      <c r="YG6" s="16"/>
      <c r="YH6" s="16"/>
      <c r="YI6" s="16"/>
      <c r="YJ6" s="16"/>
      <c r="YK6" s="16"/>
      <c r="YL6" s="16"/>
      <c r="YM6" s="16"/>
      <c r="YN6" s="16"/>
      <c r="YO6" s="16"/>
      <c r="YP6" s="16"/>
      <c r="YQ6" s="16"/>
      <c r="YR6" s="16"/>
      <c r="YS6" s="16"/>
      <c r="YT6" s="16"/>
      <c r="YU6" s="16"/>
      <c r="YV6" s="16"/>
      <c r="YW6" s="16"/>
      <c r="YX6" s="16"/>
      <c r="YY6" s="16"/>
      <c r="YZ6" s="16"/>
      <c r="ZA6" s="16"/>
      <c r="ZB6" s="16"/>
      <c r="ZC6" s="16"/>
      <c r="ZD6" s="16"/>
      <c r="ZE6" s="16"/>
      <c r="ZF6" s="16"/>
      <c r="ZG6" s="16"/>
      <c r="ZH6" s="16"/>
      <c r="ZI6" s="16"/>
      <c r="ZJ6" s="16"/>
      <c r="ZK6" s="16"/>
      <c r="ZL6" s="16"/>
      <c r="ZM6" s="16"/>
      <c r="ZN6" s="16"/>
      <c r="ZO6" s="16"/>
      <c r="ZP6" s="16"/>
      <c r="ZQ6" s="16"/>
      <c r="ZR6" s="16"/>
      <c r="ZS6" s="16"/>
      <c r="ZT6" s="16"/>
      <c r="ZU6" s="16"/>
      <c r="ZV6" s="16"/>
      <c r="ZW6" s="16"/>
      <c r="ZX6" s="16"/>
      <c r="ZY6" s="16"/>
      <c r="ZZ6" s="16"/>
      <c r="AAA6" s="16"/>
      <c r="AAB6" s="16"/>
      <c r="AAC6" s="16"/>
      <c r="AAD6" s="16"/>
      <c r="AAE6" s="16"/>
      <c r="AAF6" s="16"/>
      <c r="AAG6" s="16"/>
      <c r="AAH6" s="16"/>
      <c r="AAI6" s="16"/>
      <c r="AAJ6" s="16"/>
      <c r="AAK6" s="16"/>
      <c r="AAL6" s="16"/>
      <c r="AAM6" s="16"/>
      <c r="AAN6" s="16"/>
      <c r="AAO6" s="16"/>
      <c r="AAP6" s="16"/>
      <c r="AAQ6" s="16"/>
      <c r="AAR6" s="16"/>
      <c r="AAS6" s="16"/>
      <c r="AAT6" s="16"/>
      <c r="AAU6" s="16"/>
      <c r="AAV6" s="16"/>
      <c r="AAW6" s="16"/>
      <c r="AAX6" s="16"/>
      <c r="AAY6" s="16"/>
      <c r="AAZ6" s="16"/>
      <c r="ABA6" s="16"/>
      <c r="ABB6" s="16"/>
      <c r="ABC6" s="16"/>
      <c r="ABD6" s="16"/>
      <c r="ABE6" s="16"/>
      <c r="ABF6" s="16"/>
      <c r="ABG6" s="16"/>
      <c r="ABH6" s="16"/>
      <c r="ABI6" s="16"/>
      <c r="ABJ6" s="16"/>
      <c r="ABK6" s="16"/>
      <c r="ABL6" s="16"/>
      <c r="ABM6" s="16"/>
      <c r="ABN6" s="16"/>
      <c r="ABO6" s="16"/>
      <c r="ABP6" s="16"/>
      <c r="ABQ6" s="16"/>
      <c r="ABR6" s="16"/>
      <c r="ABS6" s="16"/>
      <c r="ABT6" s="16"/>
      <c r="ABU6" s="16"/>
      <c r="ABV6" s="16"/>
      <c r="ABW6" s="16"/>
      <c r="ABX6" s="16"/>
      <c r="ABY6" s="16"/>
      <c r="ABZ6" s="16"/>
      <c r="ACA6" s="16"/>
      <c r="ACB6" s="16"/>
      <c r="ACC6" s="16"/>
      <c r="ACD6" s="16"/>
      <c r="ACE6" s="16"/>
      <c r="ACF6" s="16"/>
      <c r="ACG6" s="16"/>
      <c r="ACH6" s="16"/>
      <c r="ACI6" s="16"/>
      <c r="ACJ6" s="16"/>
      <c r="ACK6" s="16"/>
      <c r="ACL6" s="16"/>
      <c r="ACM6" s="16"/>
      <c r="ACN6" s="16"/>
      <c r="ACO6" s="16"/>
      <c r="ACP6" s="16"/>
      <c r="ACQ6" s="16"/>
      <c r="ACR6" s="16"/>
      <c r="ACS6" s="16"/>
      <c r="ACT6" s="16"/>
      <c r="ACU6" s="16"/>
      <c r="ACV6" s="16"/>
      <c r="ACW6" s="16"/>
      <c r="ACX6" s="16"/>
      <c r="ACY6" s="16"/>
      <c r="ACZ6" s="16"/>
      <c r="ADA6" s="16"/>
      <c r="ADB6" s="16"/>
      <c r="ADC6" s="16"/>
      <c r="ADD6" s="16"/>
      <c r="ADE6" s="16"/>
      <c r="ADF6" s="16"/>
      <c r="ADG6" s="16"/>
      <c r="ADH6" s="16"/>
      <c r="ADI6" s="16"/>
      <c r="ADJ6" s="16"/>
      <c r="ADK6" s="16"/>
      <c r="ADL6" s="16"/>
      <c r="ADM6" s="16"/>
      <c r="ADN6" s="16"/>
      <c r="ADO6" s="16"/>
      <c r="ADP6" s="16"/>
      <c r="ADQ6" s="16"/>
      <c r="ADR6" s="16"/>
      <c r="ADS6" s="16"/>
      <c r="ADT6" s="16"/>
      <c r="ADU6" s="16"/>
      <c r="ADV6" s="16"/>
      <c r="ADW6" s="16"/>
      <c r="ADX6" s="16"/>
      <c r="ADY6" s="16"/>
      <c r="ADZ6" s="16"/>
      <c r="AEA6" s="16"/>
      <c r="AEB6" s="16"/>
      <c r="AEC6" s="16"/>
      <c r="AED6" s="16"/>
      <c r="AEE6" s="16"/>
      <c r="AEF6" s="16"/>
      <c r="AEG6" s="16"/>
      <c r="AEH6" s="16"/>
      <c r="AEI6" s="16"/>
      <c r="AEJ6" s="16"/>
      <c r="AEK6" s="16"/>
      <c r="AEL6" s="16"/>
      <c r="AEM6" s="16"/>
      <c r="AEN6" s="16"/>
      <c r="AEO6" s="16"/>
      <c r="AEP6" s="16"/>
      <c r="AEQ6" s="16"/>
      <c r="AER6" s="16"/>
      <c r="AES6" s="16"/>
      <c r="AET6" s="16"/>
      <c r="AEU6" s="16"/>
      <c r="AEV6" s="16"/>
      <c r="AEW6" s="16"/>
      <c r="AEX6" s="16"/>
      <c r="AEY6" s="16"/>
      <c r="AEZ6" s="16"/>
      <c r="AFA6" s="16"/>
      <c r="AFB6" s="16"/>
      <c r="AFC6" s="16"/>
      <c r="AFD6" s="16"/>
      <c r="AFE6" s="16"/>
      <c r="AFF6" s="16"/>
      <c r="AFG6" s="16"/>
      <c r="AFH6" s="16"/>
      <c r="AFI6" s="16"/>
      <c r="AFJ6" s="16"/>
      <c r="AFK6" s="16"/>
      <c r="AFL6" s="16"/>
      <c r="AFM6" s="16"/>
      <c r="AFN6" s="16"/>
      <c r="AFO6" s="16"/>
      <c r="AFP6" s="16"/>
      <c r="AFQ6" s="16"/>
      <c r="AFR6" s="16"/>
      <c r="AFS6" s="16"/>
      <c r="AFT6" s="16"/>
      <c r="AFU6" s="16"/>
      <c r="AFV6" s="16"/>
      <c r="AFW6" s="16"/>
      <c r="AFX6" s="16"/>
      <c r="AFY6" s="16"/>
      <c r="AFZ6" s="16"/>
      <c r="AGA6" s="16"/>
      <c r="AGB6" s="16"/>
      <c r="AGC6" s="16"/>
      <c r="AGD6" s="16"/>
      <c r="AGE6" s="16"/>
      <c r="AGF6" s="16"/>
      <c r="AGG6" s="16"/>
      <c r="AGH6" s="16"/>
      <c r="AGI6" s="16"/>
      <c r="AGJ6" s="16"/>
      <c r="AGK6" s="16"/>
      <c r="AGL6" s="16"/>
      <c r="AGM6" s="16"/>
      <c r="AGN6" s="16"/>
      <c r="AGO6" s="16"/>
      <c r="AGP6" s="16"/>
      <c r="AGQ6" s="16"/>
      <c r="AGR6" s="16"/>
      <c r="AGS6" s="16"/>
      <c r="AGT6" s="16"/>
      <c r="AGU6" s="16"/>
      <c r="AGV6" s="16"/>
      <c r="AGW6" s="16"/>
      <c r="AGX6" s="16"/>
      <c r="AGY6" s="16"/>
      <c r="AGZ6" s="16"/>
      <c r="AHA6" s="16"/>
      <c r="AHB6" s="16"/>
      <c r="AHC6" s="16"/>
      <c r="AHD6" s="16"/>
      <c r="AHE6" s="16"/>
      <c r="AHF6" s="16"/>
      <c r="AHG6" s="16"/>
      <c r="AHH6" s="16"/>
      <c r="AHI6" s="16"/>
      <c r="AHJ6" s="16"/>
      <c r="AHK6" s="16"/>
      <c r="AHL6" s="16"/>
      <c r="AHM6" s="16"/>
      <c r="AHN6" s="16"/>
      <c r="AHO6" s="16"/>
      <c r="AHP6" s="16"/>
      <c r="AHQ6" s="16"/>
      <c r="AHR6" s="16"/>
      <c r="AHS6" s="16"/>
      <c r="AHT6" s="16"/>
      <c r="AHU6" s="16"/>
      <c r="AHV6" s="16"/>
      <c r="AHW6" s="16"/>
      <c r="AHX6" s="16"/>
      <c r="AHY6" s="16"/>
      <c r="AHZ6" s="16"/>
      <c r="AIA6" s="16"/>
      <c r="AIB6" s="16"/>
      <c r="AIC6" s="16"/>
      <c r="AID6" s="16"/>
      <c r="AIE6" s="16"/>
      <c r="AIF6" s="16"/>
      <c r="AIG6" s="16"/>
      <c r="AIH6" s="16"/>
      <c r="AII6" s="16"/>
      <c r="AIJ6" s="16"/>
      <c r="AIK6" s="16"/>
      <c r="AIL6" s="16"/>
      <c r="AIM6" s="16"/>
      <c r="AIN6" s="16"/>
      <c r="AIO6" s="16"/>
      <c r="AIP6" s="16"/>
      <c r="AIQ6" s="16"/>
      <c r="AIR6" s="16"/>
      <c r="AIS6" s="16"/>
      <c r="AIT6" s="16"/>
      <c r="AIU6" s="16"/>
      <c r="AIV6" s="16"/>
      <c r="AIW6" s="16"/>
      <c r="AIX6" s="16"/>
      <c r="AIY6" s="16"/>
      <c r="AIZ6" s="16"/>
      <c r="AJA6" s="16"/>
      <c r="AJB6" s="16"/>
      <c r="AJC6" s="16"/>
      <c r="AJD6" s="16"/>
      <c r="AJE6" s="16"/>
      <c r="AJF6" s="16"/>
      <c r="AJG6" s="16"/>
      <c r="AJH6" s="16"/>
      <c r="AJI6" s="16"/>
      <c r="AJJ6" s="16"/>
      <c r="AJK6" s="16"/>
      <c r="AJL6" s="16"/>
      <c r="AJM6" s="16"/>
      <c r="AJN6" s="16"/>
      <c r="AJO6" s="16"/>
      <c r="AJP6" s="16"/>
      <c r="AJQ6" s="16"/>
      <c r="AJR6" s="16"/>
      <c r="AJS6" s="16"/>
      <c r="AJT6" s="16"/>
      <c r="AJU6" s="16"/>
      <c r="AJV6" s="16"/>
      <c r="AJW6" s="16"/>
      <c r="AJX6" s="16"/>
      <c r="AJY6" s="16"/>
      <c r="AJZ6" s="16"/>
      <c r="AKA6" s="16"/>
      <c r="AKB6" s="16"/>
      <c r="AKC6" s="16"/>
      <c r="AKD6" s="16"/>
      <c r="AKE6" s="16"/>
      <c r="AKF6" s="16"/>
      <c r="AKG6" s="16"/>
      <c r="AKH6" s="16"/>
      <c r="AKI6" s="16"/>
      <c r="AKJ6" s="16"/>
      <c r="AKK6" s="16"/>
      <c r="AKL6" s="16"/>
      <c r="AKM6" s="16"/>
      <c r="AKN6" s="16"/>
      <c r="AKO6" s="16"/>
      <c r="AKP6" s="16"/>
      <c r="AKQ6" s="16"/>
      <c r="AKR6" s="16"/>
      <c r="AKS6" s="16"/>
      <c r="AKT6" s="16"/>
      <c r="AKU6" s="16"/>
      <c r="AKV6" s="16"/>
      <c r="AKW6" s="16"/>
      <c r="AKX6" s="16"/>
      <c r="AKY6" s="16"/>
      <c r="AKZ6" s="16"/>
      <c r="ALA6" s="16"/>
      <c r="ALB6" s="16"/>
      <c r="ALC6" s="16"/>
      <c r="ALD6" s="16"/>
      <c r="ALE6" s="16"/>
      <c r="ALF6" s="16"/>
      <c r="ALG6" s="16"/>
      <c r="ALH6" s="16"/>
      <c r="ALI6" s="16"/>
      <c r="ALJ6" s="16"/>
      <c r="ALK6" s="16"/>
      <c r="ALL6" s="16"/>
      <c r="ALM6" s="16"/>
      <c r="ALN6" s="16"/>
      <c r="ALO6" s="16"/>
      <c r="ALP6" s="16"/>
      <c r="ALQ6" s="16"/>
      <c r="ALR6" s="16"/>
      <c r="ALS6" s="16"/>
      <c r="ALT6" s="16"/>
      <c r="ALU6" s="16"/>
      <c r="ALV6" s="16"/>
      <c r="ALW6" s="16"/>
      <c r="ALX6" s="16"/>
      <c r="ALY6" s="16"/>
    </row>
    <row r="7" spans="1:1013" ht="30" customHeight="1" x14ac:dyDescent="0.25">
      <c r="A7" s="21" t="s">
        <v>58</v>
      </c>
      <c r="B7" s="23" t="s">
        <v>89</v>
      </c>
      <c r="C7" s="21" t="s">
        <v>79</v>
      </c>
      <c r="D7" s="17">
        <v>43</v>
      </c>
      <c r="E7" s="10" t="s">
        <v>34</v>
      </c>
      <c r="F7" s="10">
        <v>58</v>
      </c>
      <c r="G7" s="11" t="s">
        <v>80</v>
      </c>
      <c r="H7" s="11" t="s">
        <v>81</v>
      </c>
      <c r="I7" s="18">
        <v>47</v>
      </c>
      <c r="J7" s="18">
        <v>64</v>
      </c>
      <c r="K7" s="18">
        <v>20</v>
      </c>
      <c r="L7" s="18">
        <v>15</v>
      </c>
      <c r="M7" s="18">
        <v>107</v>
      </c>
      <c r="N7" s="18">
        <v>106</v>
      </c>
      <c r="O7" s="18">
        <v>115</v>
      </c>
      <c r="P7" s="18">
        <v>76</v>
      </c>
      <c r="Q7" s="18">
        <v>43</v>
      </c>
      <c r="R7" s="11">
        <v>47</v>
      </c>
      <c r="S7" s="11">
        <v>65</v>
      </c>
      <c r="T7" s="11">
        <v>18</v>
      </c>
      <c r="U7" s="11">
        <v>13</v>
      </c>
      <c r="V7" s="11">
        <v>30</v>
      </c>
      <c r="W7" s="11">
        <v>30</v>
      </c>
      <c r="X7" s="11">
        <v>30</v>
      </c>
      <c r="Y7" s="11">
        <v>76</v>
      </c>
      <c r="Z7" s="11">
        <v>43</v>
      </c>
      <c r="AA7" s="18">
        <v>47</v>
      </c>
      <c r="AB7" s="18">
        <v>28</v>
      </c>
      <c r="AC7" s="18">
        <v>18</v>
      </c>
      <c r="AD7" s="18">
        <v>30</v>
      </c>
      <c r="AE7" s="18">
        <v>30</v>
      </c>
      <c r="AF7" s="18">
        <v>30</v>
      </c>
      <c r="AG7" s="18">
        <v>76</v>
      </c>
      <c r="AH7" s="18">
        <v>43</v>
      </c>
      <c r="AI7" s="18">
        <v>95</v>
      </c>
      <c r="AJ7" s="18">
        <v>114</v>
      </c>
      <c r="AK7" s="18">
        <v>69</v>
      </c>
      <c r="AL7" s="18">
        <v>36</v>
      </c>
      <c r="AM7" s="18">
        <v>26</v>
      </c>
      <c r="AN7" s="18">
        <v>20</v>
      </c>
      <c r="AO7" s="2">
        <v>102</v>
      </c>
      <c r="AP7" s="8">
        <v>1</v>
      </c>
      <c r="AQ7" s="15" t="s">
        <v>109</v>
      </c>
      <c r="AR7" s="16"/>
      <c r="AS7" s="16"/>
      <c r="AT7" s="16"/>
    </row>
    <row r="8" spans="1:1013" ht="30" customHeight="1" x14ac:dyDescent="0.25">
      <c r="A8" s="21" t="s">
        <v>59</v>
      </c>
      <c r="B8" s="23" t="s">
        <v>90</v>
      </c>
      <c r="C8" s="21" t="s">
        <v>79</v>
      </c>
      <c r="D8" s="17">
        <v>43</v>
      </c>
      <c r="E8" s="10" t="s">
        <v>34</v>
      </c>
      <c r="F8" s="10">
        <v>57</v>
      </c>
      <c r="G8" s="11" t="s">
        <v>80</v>
      </c>
      <c r="H8" s="11" t="s">
        <v>81</v>
      </c>
      <c r="I8" s="18">
        <v>47</v>
      </c>
      <c r="J8" s="18">
        <v>57</v>
      </c>
      <c r="K8" s="18">
        <v>21</v>
      </c>
      <c r="L8" s="18">
        <v>15</v>
      </c>
      <c r="M8" s="18">
        <v>113</v>
      </c>
      <c r="N8" s="18">
        <v>111</v>
      </c>
      <c r="O8" s="18">
        <v>120</v>
      </c>
      <c r="P8" s="18">
        <v>73</v>
      </c>
      <c r="Q8" s="18">
        <v>42</v>
      </c>
      <c r="R8" s="11">
        <v>47</v>
      </c>
      <c r="S8" s="11">
        <v>58</v>
      </c>
      <c r="T8" s="11">
        <v>19</v>
      </c>
      <c r="U8" s="11">
        <v>13</v>
      </c>
      <c r="V8" s="11">
        <v>30</v>
      </c>
      <c r="W8" s="11">
        <v>28</v>
      </c>
      <c r="X8" s="11">
        <v>30</v>
      </c>
      <c r="Y8" s="11">
        <v>73</v>
      </c>
      <c r="Z8" s="11">
        <v>42</v>
      </c>
      <c r="AA8" s="18">
        <v>47</v>
      </c>
      <c r="AB8" s="2">
        <v>26</v>
      </c>
      <c r="AC8" s="18">
        <v>19</v>
      </c>
      <c r="AD8" s="18">
        <v>30</v>
      </c>
      <c r="AE8" s="18">
        <v>28</v>
      </c>
      <c r="AF8" s="18">
        <v>30</v>
      </c>
      <c r="AG8" s="18">
        <v>73</v>
      </c>
      <c r="AH8" s="18">
        <v>42</v>
      </c>
      <c r="AI8" s="18">
        <v>100</v>
      </c>
      <c r="AJ8" s="18">
        <v>117</v>
      </c>
      <c r="AK8" s="18">
        <v>70</v>
      </c>
      <c r="AL8" s="18">
        <v>37</v>
      </c>
      <c r="AM8" s="18">
        <v>24</v>
      </c>
      <c r="AN8" s="18">
        <v>21</v>
      </c>
      <c r="AO8" s="18">
        <v>92</v>
      </c>
      <c r="AP8" s="8">
        <v>1</v>
      </c>
      <c r="AQ8" s="15" t="s">
        <v>109</v>
      </c>
      <c r="AR8" s="16"/>
      <c r="AS8" s="16"/>
      <c r="AT8" s="16"/>
    </row>
    <row r="9" spans="1:1013" ht="30" customHeight="1" x14ac:dyDescent="0.25">
      <c r="A9" s="21" t="s">
        <v>60</v>
      </c>
      <c r="B9" s="23" t="s">
        <v>91</v>
      </c>
      <c r="C9" s="21" t="s">
        <v>79</v>
      </c>
      <c r="D9" s="17">
        <v>39</v>
      </c>
      <c r="E9" s="10" t="s">
        <v>31</v>
      </c>
      <c r="F9" s="10">
        <v>53</v>
      </c>
      <c r="G9" s="11" t="s">
        <v>80</v>
      </c>
      <c r="H9" s="11" t="s">
        <v>81</v>
      </c>
      <c r="I9" s="18">
        <v>41</v>
      </c>
      <c r="J9" s="18">
        <v>57</v>
      </c>
      <c r="K9" s="18">
        <v>17</v>
      </c>
      <c r="L9" s="18">
        <v>14</v>
      </c>
      <c r="M9" s="18">
        <v>89</v>
      </c>
      <c r="N9" s="18">
        <v>78</v>
      </c>
      <c r="O9" s="18">
        <v>93</v>
      </c>
      <c r="P9" s="18">
        <v>67</v>
      </c>
      <c r="Q9" s="18">
        <v>35</v>
      </c>
      <c r="R9" s="11">
        <v>41</v>
      </c>
      <c r="S9" s="11">
        <v>58</v>
      </c>
      <c r="T9" s="11">
        <v>15</v>
      </c>
      <c r="U9" s="11">
        <v>12</v>
      </c>
      <c r="V9" s="11">
        <v>25</v>
      </c>
      <c r="W9" s="11">
        <v>23</v>
      </c>
      <c r="X9" s="11">
        <v>25</v>
      </c>
      <c r="Y9" s="11">
        <v>67</v>
      </c>
      <c r="Z9" s="11">
        <v>35</v>
      </c>
      <c r="AA9" s="18">
        <v>41</v>
      </c>
      <c r="AB9" s="2">
        <v>25</v>
      </c>
      <c r="AC9" s="18">
        <v>16</v>
      </c>
      <c r="AD9" s="18">
        <v>25</v>
      </c>
      <c r="AE9" s="18">
        <v>23</v>
      </c>
      <c r="AF9" s="18">
        <v>25</v>
      </c>
      <c r="AG9" s="18">
        <v>67</v>
      </c>
      <c r="AH9" s="8">
        <v>35</v>
      </c>
      <c r="AI9" s="18">
        <v>70</v>
      </c>
      <c r="AJ9" s="16">
        <v>89</v>
      </c>
      <c r="AK9" s="16">
        <v>60</v>
      </c>
      <c r="AL9" s="16">
        <v>29</v>
      </c>
      <c r="AM9" s="8">
        <v>23</v>
      </c>
      <c r="AN9" s="8">
        <v>18</v>
      </c>
      <c r="AO9" s="8">
        <v>93</v>
      </c>
      <c r="AP9" s="8">
        <v>1</v>
      </c>
      <c r="AQ9" s="15" t="s">
        <v>109</v>
      </c>
    </row>
    <row r="10" spans="1:1013" ht="30" customHeight="1" x14ac:dyDescent="0.25">
      <c r="A10" s="21" t="s">
        <v>61</v>
      </c>
      <c r="B10" s="23" t="s">
        <v>92</v>
      </c>
      <c r="C10" s="21" t="s">
        <v>79</v>
      </c>
      <c r="D10" s="17">
        <v>41</v>
      </c>
      <c r="E10" s="10" t="s">
        <v>33</v>
      </c>
      <c r="F10" s="10">
        <v>56</v>
      </c>
      <c r="G10" s="11" t="s">
        <v>80</v>
      </c>
      <c r="H10" s="11" t="s">
        <v>81</v>
      </c>
      <c r="I10" s="18">
        <v>46</v>
      </c>
      <c r="J10" s="18">
        <v>56</v>
      </c>
      <c r="K10" s="18">
        <v>20</v>
      </c>
      <c r="L10" s="18">
        <v>15</v>
      </c>
      <c r="M10" s="18">
        <v>112</v>
      </c>
      <c r="N10" s="18">
        <v>108</v>
      </c>
      <c r="O10" s="18">
        <v>112</v>
      </c>
      <c r="P10" s="18">
        <v>74</v>
      </c>
      <c r="Q10" s="18">
        <v>43</v>
      </c>
      <c r="R10" s="11">
        <v>46</v>
      </c>
      <c r="S10" s="11">
        <v>57</v>
      </c>
      <c r="T10" s="11">
        <v>18</v>
      </c>
      <c r="U10" s="11">
        <v>13</v>
      </c>
      <c r="V10" s="11">
        <v>30</v>
      </c>
      <c r="W10" s="11">
        <v>28</v>
      </c>
      <c r="X10" s="11">
        <v>30</v>
      </c>
      <c r="Y10" s="11">
        <v>74</v>
      </c>
      <c r="Z10" s="11">
        <v>43</v>
      </c>
      <c r="AA10" s="18">
        <v>46</v>
      </c>
      <c r="AB10" s="18">
        <v>26</v>
      </c>
      <c r="AC10" s="18">
        <v>19</v>
      </c>
      <c r="AD10" s="18">
        <v>30</v>
      </c>
      <c r="AE10" s="18">
        <v>28</v>
      </c>
      <c r="AF10" s="18">
        <v>30</v>
      </c>
      <c r="AG10" s="18">
        <v>74</v>
      </c>
      <c r="AH10" s="18">
        <v>43</v>
      </c>
      <c r="AI10" s="18">
        <v>95</v>
      </c>
      <c r="AJ10" s="18">
        <v>108</v>
      </c>
      <c r="AK10" s="18">
        <v>68</v>
      </c>
      <c r="AL10" s="18">
        <v>35</v>
      </c>
      <c r="AM10" s="18">
        <v>26</v>
      </c>
      <c r="AN10" s="18">
        <v>21</v>
      </c>
      <c r="AO10" s="18">
        <v>93</v>
      </c>
      <c r="AP10" s="8">
        <v>1</v>
      </c>
      <c r="AQ10" s="15" t="s">
        <v>109</v>
      </c>
      <c r="AR10" s="16"/>
      <c r="AS10" s="16"/>
      <c r="AT10" s="16"/>
    </row>
    <row r="11" spans="1:1013" ht="30" customHeight="1" x14ac:dyDescent="0.25">
      <c r="A11" s="21" t="s">
        <v>62</v>
      </c>
      <c r="B11" s="23" t="s">
        <v>93</v>
      </c>
      <c r="C11" s="21" t="s">
        <v>79</v>
      </c>
      <c r="D11" s="9">
        <v>41</v>
      </c>
      <c r="E11" s="19" t="s">
        <v>32</v>
      </c>
      <c r="F11" s="9">
        <v>56</v>
      </c>
      <c r="G11" s="11" t="s">
        <v>80</v>
      </c>
      <c r="H11" s="11" t="s">
        <v>81</v>
      </c>
      <c r="I11" s="11">
        <v>46</v>
      </c>
      <c r="J11" s="18">
        <v>60</v>
      </c>
      <c r="K11" s="18">
        <v>19</v>
      </c>
      <c r="L11" s="11">
        <v>14</v>
      </c>
      <c r="M11" s="11">
        <v>99</v>
      </c>
      <c r="N11" s="18">
        <v>94</v>
      </c>
      <c r="O11" s="18">
        <v>105</v>
      </c>
      <c r="P11" s="18">
        <v>71</v>
      </c>
      <c r="Q11" s="18">
        <v>41</v>
      </c>
      <c r="R11" s="11">
        <v>46</v>
      </c>
      <c r="S11" s="11">
        <v>61</v>
      </c>
      <c r="T11" s="11">
        <v>17</v>
      </c>
      <c r="U11" s="11">
        <v>12</v>
      </c>
      <c r="V11" s="11">
        <v>27</v>
      </c>
      <c r="W11" s="11">
        <v>26</v>
      </c>
      <c r="X11" s="11">
        <v>27</v>
      </c>
      <c r="Y11" s="11">
        <v>71</v>
      </c>
      <c r="Z11" s="11">
        <v>41</v>
      </c>
      <c r="AA11" s="18">
        <v>46</v>
      </c>
      <c r="AB11" s="18">
        <v>26</v>
      </c>
      <c r="AC11" s="18">
        <v>17</v>
      </c>
      <c r="AD11" s="18">
        <v>27</v>
      </c>
      <c r="AE11" s="18">
        <v>26</v>
      </c>
      <c r="AF11" s="18">
        <v>27</v>
      </c>
      <c r="AG11" s="18">
        <v>71</v>
      </c>
      <c r="AH11" s="18">
        <v>41</v>
      </c>
      <c r="AI11" s="18">
        <v>86</v>
      </c>
      <c r="AJ11" s="18">
        <v>100</v>
      </c>
      <c r="AK11" s="18">
        <v>66</v>
      </c>
      <c r="AL11" s="18">
        <v>33</v>
      </c>
      <c r="AM11" s="18">
        <v>24</v>
      </c>
      <c r="AN11" s="18">
        <v>19</v>
      </c>
      <c r="AO11" s="18">
        <v>95</v>
      </c>
      <c r="AP11" s="8">
        <v>1</v>
      </c>
      <c r="AQ11" s="15" t="s">
        <v>109</v>
      </c>
      <c r="AR11" s="16"/>
      <c r="AS11" s="16"/>
      <c r="AT11" s="16"/>
    </row>
    <row r="12" spans="1:1013" ht="30" customHeight="1" x14ac:dyDescent="0.25">
      <c r="A12" s="21" t="s">
        <v>63</v>
      </c>
      <c r="B12" s="23" t="s">
        <v>94</v>
      </c>
      <c r="C12" s="21" t="s">
        <v>79</v>
      </c>
      <c r="D12" s="17">
        <v>43</v>
      </c>
      <c r="E12" s="10" t="s">
        <v>34</v>
      </c>
      <c r="F12" s="10">
        <v>56</v>
      </c>
      <c r="G12" s="11" t="s">
        <v>80</v>
      </c>
      <c r="H12" s="11" t="s">
        <v>81</v>
      </c>
      <c r="I12" s="18">
        <v>43</v>
      </c>
      <c r="J12" s="18">
        <v>59</v>
      </c>
      <c r="K12" s="18">
        <v>19</v>
      </c>
      <c r="L12" s="18">
        <v>14</v>
      </c>
      <c r="M12" s="18">
        <v>102</v>
      </c>
      <c r="N12" s="18">
        <v>92</v>
      </c>
      <c r="O12" s="18">
        <v>106</v>
      </c>
      <c r="P12" s="18">
        <v>73</v>
      </c>
      <c r="Q12" s="18">
        <v>38</v>
      </c>
      <c r="R12" s="11">
        <v>43</v>
      </c>
      <c r="S12" s="11">
        <v>60</v>
      </c>
      <c r="T12" s="11">
        <v>17</v>
      </c>
      <c r="U12" s="11">
        <v>12</v>
      </c>
      <c r="V12" s="11">
        <v>29</v>
      </c>
      <c r="W12" s="11">
        <v>27</v>
      </c>
      <c r="X12" s="11">
        <v>29</v>
      </c>
      <c r="Y12" s="11">
        <v>73</v>
      </c>
      <c r="Z12" s="11">
        <v>38</v>
      </c>
      <c r="AA12" s="18">
        <v>43</v>
      </c>
      <c r="AB12" s="18">
        <v>26</v>
      </c>
      <c r="AC12" s="18">
        <v>18</v>
      </c>
      <c r="AD12" s="18">
        <v>29</v>
      </c>
      <c r="AE12" s="18">
        <v>27</v>
      </c>
      <c r="AF12" s="18">
        <v>29</v>
      </c>
      <c r="AG12" s="18">
        <v>73</v>
      </c>
      <c r="AH12" s="18">
        <v>38</v>
      </c>
      <c r="AI12" s="18">
        <v>84</v>
      </c>
      <c r="AJ12" s="18">
        <v>99</v>
      </c>
      <c r="AK12" s="18">
        <v>68</v>
      </c>
      <c r="AL12" s="18">
        <v>33</v>
      </c>
      <c r="AM12" s="18">
        <v>25</v>
      </c>
      <c r="AN12" s="18">
        <v>20</v>
      </c>
      <c r="AO12" s="18">
        <v>99</v>
      </c>
      <c r="AP12" s="8">
        <v>1</v>
      </c>
      <c r="AQ12" s="15" t="s">
        <v>109</v>
      </c>
      <c r="AR12" s="16"/>
      <c r="AS12" s="16"/>
      <c r="AT12" s="16"/>
    </row>
    <row r="13" spans="1:1013" ht="30" customHeight="1" x14ac:dyDescent="0.25">
      <c r="A13" s="21" t="s">
        <v>64</v>
      </c>
      <c r="B13" s="23" t="s">
        <v>95</v>
      </c>
      <c r="C13" s="21" t="s">
        <v>79</v>
      </c>
      <c r="D13" s="17">
        <v>42</v>
      </c>
      <c r="E13" s="19" t="s">
        <v>34</v>
      </c>
      <c r="F13" s="9">
        <v>56</v>
      </c>
      <c r="G13" s="11" t="s">
        <v>80</v>
      </c>
      <c r="H13" s="11" t="s">
        <v>81</v>
      </c>
      <c r="I13" s="2">
        <v>49</v>
      </c>
      <c r="J13" s="2">
        <v>61</v>
      </c>
      <c r="K13" s="2">
        <v>20</v>
      </c>
      <c r="L13" s="2">
        <v>15</v>
      </c>
      <c r="M13" s="2">
        <v>109</v>
      </c>
      <c r="N13" s="2">
        <v>109</v>
      </c>
      <c r="O13" s="2">
        <v>117</v>
      </c>
      <c r="P13" s="2">
        <v>75</v>
      </c>
      <c r="Q13" s="2">
        <v>43</v>
      </c>
      <c r="R13" s="11">
        <v>49</v>
      </c>
      <c r="S13" s="11">
        <v>62</v>
      </c>
      <c r="T13" s="11">
        <v>18</v>
      </c>
      <c r="U13" s="11">
        <v>13</v>
      </c>
      <c r="V13" s="11">
        <v>30</v>
      </c>
      <c r="W13" s="11">
        <v>30</v>
      </c>
      <c r="X13" s="11">
        <v>30</v>
      </c>
      <c r="Y13" s="11">
        <v>75</v>
      </c>
      <c r="Z13" s="11">
        <v>43</v>
      </c>
      <c r="AA13" s="2">
        <v>49</v>
      </c>
      <c r="AB13" s="2">
        <v>27</v>
      </c>
      <c r="AC13" s="2">
        <v>19</v>
      </c>
      <c r="AD13" s="2">
        <v>30</v>
      </c>
      <c r="AE13" s="2">
        <v>30</v>
      </c>
      <c r="AF13" s="2">
        <v>30</v>
      </c>
      <c r="AG13" s="2">
        <v>75</v>
      </c>
      <c r="AH13" s="2">
        <v>43</v>
      </c>
      <c r="AI13" s="2">
        <v>100</v>
      </c>
      <c r="AJ13" s="2">
        <v>117</v>
      </c>
      <c r="AK13" s="2">
        <v>70</v>
      </c>
      <c r="AL13" s="2">
        <v>36</v>
      </c>
      <c r="AM13" s="2">
        <v>26</v>
      </c>
      <c r="AN13" s="2">
        <v>21</v>
      </c>
      <c r="AO13" s="2">
        <v>93</v>
      </c>
      <c r="AP13" s="8">
        <v>1</v>
      </c>
      <c r="AQ13" s="15" t="s">
        <v>109</v>
      </c>
      <c r="AS13" s="16"/>
      <c r="AT13" s="16"/>
    </row>
    <row r="14" spans="1:1013" ht="30" customHeight="1" x14ac:dyDescent="0.25">
      <c r="A14" s="21" t="s">
        <v>65</v>
      </c>
      <c r="B14" s="23" t="s">
        <v>96</v>
      </c>
      <c r="C14" s="21" t="s">
        <v>79</v>
      </c>
      <c r="D14" s="17">
        <v>42</v>
      </c>
      <c r="E14" s="19" t="s">
        <v>31</v>
      </c>
      <c r="F14" s="9">
        <v>55</v>
      </c>
      <c r="G14" s="11" t="s">
        <v>80</v>
      </c>
      <c r="H14" s="11" t="s">
        <v>81</v>
      </c>
      <c r="I14" s="2">
        <v>43</v>
      </c>
      <c r="J14" s="2">
        <v>56</v>
      </c>
      <c r="K14" s="2">
        <v>18</v>
      </c>
      <c r="L14" s="2">
        <v>14</v>
      </c>
      <c r="M14" s="2">
        <v>98</v>
      </c>
      <c r="N14" s="2">
        <v>89</v>
      </c>
      <c r="O14" s="2">
        <v>104</v>
      </c>
      <c r="P14" s="2">
        <v>69</v>
      </c>
      <c r="Q14" s="2">
        <v>37</v>
      </c>
      <c r="R14" s="11">
        <v>43</v>
      </c>
      <c r="S14" s="11">
        <v>57</v>
      </c>
      <c r="T14" s="11">
        <v>16</v>
      </c>
      <c r="U14" s="11">
        <v>12</v>
      </c>
      <c r="V14" s="11">
        <v>27</v>
      </c>
      <c r="W14" s="11">
        <v>25</v>
      </c>
      <c r="X14" s="11">
        <v>27</v>
      </c>
      <c r="Y14" s="11">
        <v>69</v>
      </c>
      <c r="Z14" s="11">
        <v>37</v>
      </c>
      <c r="AA14" s="2">
        <v>43</v>
      </c>
      <c r="AB14" s="2">
        <v>27</v>
      </c>
      <c r="AC14" s="2">
        <v>16</v>
      </c>
      <c r="AD14" s="2">
        <v>27</v>
      </c>
      <c r="AE14" s="2">
        <v>25</v>
      </c>
      <c r="AF14" s="2">
        <v>27</v>
      </c>
      <c r="AG14" s="2">
        <v>69</v>
      </c>
      <c r="AH14" s="2">
        <v>37</v>
      </c>
      <c r="AI14" s="2">
        <v>81</v>
      </c>
      <c r="AJ14" s="2">
        <v>101</v>
      </c>
      <c r="AK14" s="2">
        <v>66</v>
      </c>
      <c r="AL14" s="2">
        <v>32</v>
      </c>
      <c r="AM14" s="2">
        <v>24</v>
      </c>
      <c r="AN14" s="2">
        <v>19</v>
      </c>
      <c r="AO14" s="2">
        <v>91</v>
      </c>
      <c r="AP14" s="8">
        <v>1</v>
      </c>
      <c r="AQ14" s="15" t="s">
        <v>109</v>
      </c>
      <c r="AS14" s="16"/>
      <c r="AT14" s="16"/>
    </row>
    <row r="15" spans="1:1013" ht="30" customHeight="1" x14ac:dyDescent="0.25">
      <c r="A15" s="21" t="s">
        <v>66</v>
      </c>
      <c r="B15" s="23" t="s">
        <v>97</v>
      </c>
      <c r="C15" s="21" t="s">
        <v>79</v>
      </c>
      <c r="D15" s="17">
        <v>43</v>
      </c>
      <c r="E15" s="19" t="s">
        <v>34</v>
      </c>
      <c r="F15" s="9">
        <v>58</v>
      </c>
      <c r="G15" s="11" t="s">
        <v>80</v>
      </c>
      <c r="H15" s="11" t="s">
        <v>81</v>
      </c>
      <c r="I15" s="2">
        <v>48</v>
      </c>
      <c r="J15" s="2">
        <v>61</v>
      </c>
      <c r="K15" s="2">
        <v>21</v>
      </c>
      <c r="L15" s="2">
        <v>15</v>
      </c>
      <c r="M15" s="2">
        <v>113</v>
      </c>
      <c r="N15" s="2">
        <v>115</v>
      </c>
      <c r="O15" s="2">
        <v>1119</v>
      </c>
      <c r="P15" s="2">
        <v>76</v>
      </c>
      <c r="Q15" s="2">
        <v>43</v>
      </c>
      <c r="R15" s="11">
        <v>48</v>
      </c>
      <c r="S15" s="11">
        <v>62</v>
      </c>
      <c r="T15" s="11">
        <v>19</v>
      </c>
      <c r="U15" s="11">
        <v>13</v>
      </c>
      <c r="V15" s="11">
        <v>31</v>
      </c>
      <c r="W15" s="11">
        <v>31</v>
      </c>
      <c r="X15" s="11">
        <v>31</v>
      </c>
      <c r="Y15" s="11">
        <v>76</v>
      </c>
      <c r="Z15" s="11">
        <v>43</v>
      </c>
      <c r="AA15" s="2">
        <v>48</v>
      </c>
      <c r="AB15" s="2">
        <v>27</v>
      </c>
      <c r="AC15" s="2">
        <v>20</v>
      </c>
      <c r="AD15" s="2">
        <v>31</v>
      </c>
      <c r="AE15" s="2">
        <v>31</v>
      </c>
      <c r="AF15" s="2">
        <v>31</v>
      </c>
      <c r="AG15" s="2">
        <v>76</v>
      </c>
      <c r="AH15" s="2">
        <v>43</v>
      </c>
      <c r="AI15" s="2">
        <v>102</v>
      </c>
      <c r="AJ15" s="2">
        <v>118</v>
      </c>
      <c r="AK15" s="2">
        <v>72</v>
      </c>
      <c r="AL15" s="2">
        <v>37</v>
      </c>
      <c r="AM15" s="2">
        <v>27</v>
      </c>
      <c r="AN15" s="2">
        <v>20</v>
      </c>
      <c r="AO15" s="2">
        <v>97</v>
      </c>
      <c r="AP15" s="8">
        <v>1</v>
      </c>
      <c r="AQ15" s="15" t="s">
        <v>109</v>
      </c>
    </row>
    <row r="16" spans="1:1013" ht="30" customHeight="1" x14ac:dyDescent="0.25">
      <c r="A16" s="21" t="s">
        <v>67</v>
      </c>
      <c r="B16" s="23" t="s">
        <v>98</v>
      </c>
      <c r="C16" s="21" t="s">
        <v>79</v>
      </c>
      <c r="D16" s="17">
        <v>41</v>
      </c>
      <c r="E16" s="19" t="s">
        <v>31</v>
      </c>
      <c r="F16" s="9">
        <v>53</v>
      </c>
      <c r="G16" s="11" t="s">
        <v>80</v>
      </c>
      <c r="H16" s="11" t="s">
        <v>81</v>
      </c>
      <c r="I16" s="2">
        <v>43</v>
      </c>
      <c r="J16" s="2">
        <v>60</v>
      </c>
      <c r="K16" s="2">
        <v>18</v>
      </c>
      <c r="L16" s="2">
        <v>14</v>
      </c>
      <c r="M16" s="2">
        <v>96</v>
      </c>
      <c r="N16" s="2">
        <v>86</v>
      </c>
      <c r="O16" s="2">
        <v>98</v>
      </c>
      <c r="P16" s="2">
        <v>70</v>
      </c>
      <c r="Q16" s="2">
        <v>38</v>
      </c>
      <c r="R16" s="11">
        <v>43</v>
      </c>
      <c r="S16" s="11">
        <v>61</v>
      </c>
      <c r="T16" s="11">
        <v>16</v>
      </c>
      <c r="U16" s="11">
        <v>12</v>
      </c>
      <c r="V16" s="11">
        <v>26</v>
      </c>
      <c r="W16" s="11">
        <v>24</v>
      </c>
      <c r="X16" s="11">
        <v>26</v>
      </c>
      <c r="Y16" s="11">
        <v>70</v>
      </c>
      <c r="Z16" s="11">
        <v>38</v>
      </c>
      <c r="AA16" s="2">
        <v>43</v>
      </c>
      <c r="AB16" s="2">
        <v>24</v>
      </c>
      <c r="AC16" s="2">
        <v>16</v>
      </c>
      <c r="AD16" s="2">
        <v>26</v>
      </c>
      <c r="AE16" s="2">
        <v>24</v>
      </c>
      <c r="AF16" s="2">
        <v>26</v>
      </c>
      <c r="AG16" s="2">
        <v>70</v>
      </c>
      <c r="AH16" s="2">
        <v>38</v>
      </c>
      <c r="AI16" s="2">
        <v>75</v>
      </c>
      <c r="AJ16" s="2">
        <v>93</v>
      </c>
      <c r="AK16" s="2">
        <v>67</v>
      </c>
      <c r="AL16" s="2">
        <v>30</v>
      </c>
      <c r="AM16" s="2">
        <v>24</v>
      </c>
      <c r="AN16" s="2">
        <v>19</v>
      </c>
      <c r="AO16" s="2">
        <v>97</v>
      </c>
      <c r="AP16" s="8">
        <v>1</v>
      </c>
      <c r="AQ16" s="15" t="s">
        <v>109</v>
      </c>
    </row>
    <row r="17" spans="1:43" ht="30" customHeight="1" x14ac:dyDescent="0.25">
      <c r="A17" s="21" t="s">
        <v>68</v>
      </c>
      <c r="B17" s="23" t="s">
        <v>99</v>
      </c>
      <c r="C17" s="21" t="s">
        <v>79</v>
      </c>
      <c r="D17" s="17">
        <v>43</v>
      </c>
      <c r="E17" s="19" t="s">
        <v>32</v>
      </c>
      <c r="F17" s="9">
        <v>56</v>
      </c>
      <c r="G17" s="11" t="s">
        <v>80</v>
      </c>
      <c r="H17" s="11" t="s">
        <v>81</v>
      </c>
      <c r="I17" s="2">
        <v>45</v>
      </c>
      <c r="J17" s="2">
        <v>59</v>
      </c>
      <c r="K17" s="2">
        <v>18</v>
      </c>
      <c r="L17" s="2">
        <v>14</v>
      </c>
      <c r="M17" s="2">
        <v>98</v>
      </c>
      <c r="N17" s="2">
        <v>94</v>
      </c>
      <c r="O17" s="2">
        <v>107</v>
      </c>
      <c r="P17" s="2">
        <v>73</v>
      </c>
      <c r="Q17" s="2">
        <v>39</v>
      </c>
      <c r="R17" s="11">
        <v>45</v>
      </c>
      <c r="S17" s="11">
        <v>60</v>
      </c>
      <c r="T17" s="11">
        <v>16</v>
      </c>
      <c r="U17" s="11">
        <v>12</v>
      </c>
      <c r="V17" s="11">
        <v>28</v>
      </c>
      <c r="W17" s="11">
        <v>26</v>
      </c>
      <c r="X17" s="11">
        <v>28</v>
      </c>
      <c r="Y17" s="11">
        <v>73</v>
      </c>
      <c r="Z17" s="11">
        <v>39</v>
      </c>
      <c r="AA17" s="2">
        <v>45</v>
      </c>
      <c r="AB17" s="2">
        <v>26</v>
      </c>
      <c r="AC17" s="2">
        <v>17</v>
      </c>
      <c r="AD17" s="2">
        <v>28</v>
      </c>
      <c r="AE17" s="2">
        <v>26</v>
      </c>
      <c r="AF17" s="2">
        <v>28</v>
      </c>
      <c r="AG17" s="2">
        <v>73</v>
      </c>
      <c r="AH17" s="2">
        <v>39</v>
      </c>
      <c r="AI17" s="2">
        <v>87</v>
      </c>
      <c r="AJ17" s="2">
        <v>104</v>
      </c>
      <c r="AK17" s="2">
        <v>64</v>
      </c>
      <c r="AL17" s="2">
        <v>33</v>
      </c>
      <c r="AM17" s="2">
        <v>24</v>
      </c>
      <c r="AN17" s="2">
        <v>19</v>
      </c>
      <c r="AO17" s="8">
        <v>95</v>
      </c>
      <c r="AP17" s="8">
        <v>1</v>
      </c>
      <c r="AQ17" s="15" t="s">
        <v>109</v>
      </c>
    </row>
    <row r="18" spans="1:43" ht="30" customHeight="1" x14ac:dyDescent="0.25">
      <c r="A18" s="21" t="s">
        <v>69</v>
      </c>
      <c r="B18" s="23" t="s">
        <v>100</v>
      </c>
      <c r="C18" s="21" t="s">
        <v>79</v>
      </c>
      <c r="D18" s="17">
        <v>41</v>
      </c>
      <c r="E18" s="19" t="s">
        <v>34</v>
      </c>
      <c r="F18" s="2">
        <v>56</v>
      </c>
      <c r="G18" s="11" t="s">
        <v>80</v>
      </c>
      <c r="H18" s="11" t="s">
        <v>81</v>
      </c>
      <c r="I18" s="2">
        <v>46</v>
      </c>
      <c r="J18" s="2">
        <v>55</v>
      </c>
      <c r="K18" s="2">
        <v>19</v>
      </c>
      <c r="L18" s="2">
        <v>14</v>
      </c>
      <c r="M18" s="2">
        <v>98</v>
      </c>
      <c r="N18" s="2">
        <v>96</v>
      </c>
      <c r="O18" s="2">
        <v>108</v>
      </c>
      <c r="P18" s="2">
        <v>68</v>
      </c>
      <c r="Q18" s="2">
        <v>39</v>
      </c>
      <c r="R18" s="11">
        <v>46</v>
      </c>
      <c r="S18" s="11">
        <v>56</v>
      </c>
      <c r="T18" s="11">
        <v>17</v>
      </c>
      <c r="U18" s="11">
        <v>12</v>
      </c>
      <c r="V18" s="11">
        <v>28</v>
      </c>
      <c r="W18" s="11">
        <v>26</v>
      </c>
      <c r="X18" s="11">
        <v>28</v>
      </c>
      <c r="Y18" s="11">
        <v>68</v>
      </c>
      <c r="Z18" s="11">
        <v>39</v>
      </c>
      <c r="AA18" s="2">
        <v>46</v>
      </c>
      <c r="AB18" s="2">
        <v>23</v>
      </c>
      <c r="AC18" s="2">
        <v>18</v>
      </c>
      <c r="AD18" s="2">
        <v>28</v>
      </c>
      <c r="AE18" s="2">
        <v>26</v>
      </c>
      <c r="AF18" s="2">
        <v>28</v>
      </c>
      <c r="AG18" s="2">
        <v>68</v>
      </c>
      <c r="AH18" s="2">
        <v>39</v>
      </c>
      <c r="AI18" s="2">
        <v>88</v>
      </c>
      <c r="AJ18" s="2">
        <v>105</v>
      </c>
      <c r="AK18" s="2">
        <v>66</v>
      </c>
      <c r="AL18" s="2">
        <v>34</v>
      </c>
      <c r="AM18" s="2">
        <v>24</v>
      </c>
      <c r="AN18" s="2">
        <v>20</v>
      </c>
      <c r="AO18" s="2">
        <v>91</v>
      </c>
      <c r="AP18" s="8">
        <v>1</v>
      </c>
      <c r="AQ18" s="15" t="s">
        <v>109</v>
      </c>
    </row>
    <row r="19" spans="1:43" ht="30" customHeight="1" x14ac:dyDescent="0.25">
      <c r="A19" s="21" t="s">
        <v>70</v>
      </c>
      <c r="B19" s="23" t="s">
        <v>101</v>
      </c>
      <c r="C19" s="21" t="s">
        <v>79</v>
      </c>
      <c r="D19" s="17">
        <v>42</v>
      </c>
      <c r="E19" s="19" t="s">
        <v>33</v>
      </c>
      <c r="F19" s="9">
        <v>57</v>
      </c>
      <c r="G19" s="11" t="s">
        <v>80</v>
      </c>
      <c r="H19" s="11" t="s">
        <v>81</v>
      </c>
      <c r="I19" s="2">
        <v>46</v>
      </c>
      <c r="J19" s="2">
        <v>57</v>
      </c>
      <c r="K19" s="2">
        <v>20</v>
      </c>
      <c r="L19" s="2">
        <v>17</v>
      </c>
      <c r="M19" s="2">
        <v>112</v>
      </c>
      <c r="N19" s="2">
        <v>117</v>
      </c>
      <c r="O19" s="2">
        <v>121</v>
      </c>
      <c r="P19" s="2">
        <v>75</v>
      </c>
      <c r="Q19" s="2">
        <v>44</v>
      </c>
      <c r="R19" s="11">
        <v>46</v>
      </c>
      <c r="S19" s="11">
        <v>58</v>
      </c>
      <c r="T19" s="11">
        <v>18</v>
      </c>
      <c r="U19" s="11" t="s">
        <v>122</v>
      </c>
      <c r="V19" s="11">
        <v>31</v>
      </c>
      <c r="W19" s="11">
        <v>31</v>
      </c>
      <c r="X19" s="11">
        <v>31</v>
      </c>
      <c r="Y19" s="11">
        <v>75</v>
      </c>
      <c r="Z19" s="11">
        <v>44</v>
      </c>
      <c r="AA19" s="2">
        <v>46</v>
      </c>
      <c r="AB19" s="2">
        <v>59</v>
      </c>
      <c r="AC19" s="2">
        <v>19</v>
      </c>
      <c r="AD19" s="2">
        <v>13</v>
      </c>
      <c r="AE19" s="2">
        <v>31</v>
      </c>
      <c r="AF19" s="2">
        <v>31</v>
      </c>
      <c r="AG19" s="2">
        <v>31</v>
      </c>
      <c r="AH19" s="2" t="s">
        <v>87</v>
      </c>
      <c r="AI19" s="2">
        <v>106</v>
      </c>
      <c r="AJ19" s="2">
        <v>120</v>
      </c>
      <c r="AK19" s="2">
        <v>71</v>
      </c>
      <c r="AL19" s="2">
        <v>37</v>
      </c>
      <c r="AM19" s="2">
        <v>27</v>
      </c>
      <c r="AN19" s="2">
        <v>21</v>
      </c>
      <c r="AO19" s="2">
        <v>95</v>
      </c>
      <c r="AP19" s="8">
        <v>1</v>
      </c>
      <c r="AQ19" s="15" t="s">
        <v>109</v>
      </c>
    </row>
    <row r="20" spans="1:43" ht="30" customHeight="1" x14ac:dyDescent="0.25">
      <c r="A20" s="21" t="s">
        <v>71</v>
      </c>
      <c r="B20" s="23" t="s">
        <v>102</v>
      </c>
      <c r="C20" s="21" t="s">
        <v>79</v>
      </c>
      <c r="D20" s="17">
        <v>41</v>
      </c>
      <c r="E20" s="19" t="s">
        <v>32</v>
      </c>
      <c r="F20" s="9">
        <v>55</v>
      </c>
      <c r="G20" s="11" t="s">
        <v>80</v>
      </c>
      <c r="H20" s="11" t="s">
        <v>81</v>
      </c>
      <c r="I20" s="2">
        <v>43</v>
      </c>
      <c r="J20" s="2" t="s">
        <v>121</v>
      </c>
      <c r="K20" s="2">
        <v>19</v>
      </c>
      <c r="L20" s="2">
        <v>14</v>
      </c>
      <c r="M20" s="2">
        <v>98</v>
      </c>
      <c r="N20" s="2">
        <v>98</v>
      </c>
      <c r="O20" s="2">
        <v>104</v>
      </c>
      <c r="P20" s="2">
        <v>69</v>
      </c>
      <c r="Q20" s="2">
        <v>37</v>
      </c>
      <c r="R20" s="11">
        <v>43</v>
      </c>
      <c r="S20" s="11">
        <v>57</v>
      </c>
      <c r="T20" s="11">
        <v>17</v>
      </c>
      <c r="U20" s="11">
        <v>12</v>
      </c>
      <c r="V20" s="11">
        <v>28</v>
      </c>
      <c r="W20" s="11">
        <v>27</v>
      </c>
      <c r="X20" s="11">
        <v>28</v>
      </c>
      <c r="Y20" s="11">
        <v>69</v>
      </c>
      <c r="Z20" s="11">
        <v>37</v>
      </c>
      <c r="AA20" s="2">
        <v>43</v>
      </c>
      <c r="AB20" s="2">
        <v>25</v>
      </c>
      <c r="AC20" s="2">
        <v>17</v>
      </c>
      <c r="AD20" s="2">
        <v>28</v>
      </c>
      <c r="AE20" s="2">
        <v>27</v>
      </c>
      <c r="AF20" s="2">
        <v>28</v>
      </c>
      <c r="AG20" s="2">
        <v>69</v>
      </c>
      <c r="AH20" s="2">
        <v>37</v>
      </c>
      <c r="AI20" s="2">
        <v>86</v>
      </c>
      <c r="AJ20" s="2">
        <v>103</v>
      </c>
      <c r="AK20" s="2">
        <v>65</v>
      </c>
      <c r="AL20" s="2">
        <v>33</v>
      </c>
      <c r="AM20" s="2">
        <v>27</v>
      </c>
      <c r="AN20" s="2">
        <v>20</v>
      </c>
      <c r="AO20" s="2">
        <v>94</v>
      </c>
      <c r="AP20" s="8">
        <v>1</v>
      </c>
      <c r="AQ20" s="15" t="s">
        <v>109</v>
      </c>
    </row>
    <row r="21" spans="1:43" ht="30" customHeight="1" x14ac:dyDescent="0.25">
      <c r="A21" s="21" t="s">
        <v>72</v>
      </c>
      <c r="B21" s="23" t="s">
        <v>103</v>
      </c>
      <c r="C21" s="21" t="s">
        <v>79</v>
      </c>
      <c r="D21" s="17">
        <v>41</v>
      </c>
      <c r="E21" s="19" t="s">
        <v>32</v>
      </c>
      <c r="F21" s="9">
        <v>56</v>
      </c>
      <c r="G21" s="11" t="s">
        <v>80</v>
      </c>
      <c r="H21" s="11" t="s">
        <v>81</v>
      </c>
      <c r="I21" s="2">
        <v>46</v>
      </c>
      <c r="J21" s="2">
        <v>59</v>
      </c>
      <c r="K21" s="2">
        <v>19</v>
      </c>
      <c r="L21" s="2">
        <v>14</v>
      </c>
      <c r="M21" s="2">
        <v>104</v>
      </c>
      <c r="N21" s="2">
        <v>100</v>
      </c>
      <c r="O21" s="2">
        <v>110</v>
      </c>
      <c r="P21" s="2">
        <v>68</v>
      </c>
      <c r="Q21" s="2">
        <v>42</v>
      </c>
      <c r="R21" s="11">
        <v>46</v>
      </c>
      <c r="S21" s="11">
        <v>60</v>
      </c>
      <c r="T21" s="11">
        <v>17</v>
      </c>
      <c r="U21" s="11">
        <v>12</v>
      </c>
      <c r="V21" s="11">
        <v>28</v>
      </c>
      <c r="W21" s="11">
        <v>27</v>
      </c>
      <c r="X21" s="11">
        <v>28</v>
      </c>
      <c r="Y21" s="11">
        <v>68</v>
      </c>
      <c r="Z21" s="11">
        <v>42</v>
      </c>
      <c r="AA21" s="2">
        <v>46</v>
      </c>
      <c r="AB21" s="2">
        <v>27</v>
      </c>
      <c r="AC21" s="2">
        <v>18</v>
      </c>
      <c r="AD21" s="2">
        <v>28</v>
      </c>
      <c r="AE21" s="2">
        <v>27</v>
      </c>
      <c r="AF21" s="2">
        <v>28</v>
      </c>
      <c r="AG21" s="2">
        <v>68</v>
      </c>
      <c r="AH21" s="2">
        <v>42</v>
      </c>
      <c r="AI21" s="2">
        <v>91</v>
      </c>
      <c r="AJ21" s="2">
        <v>110</v>
      </c>
      <c r="AK21" s="2">
        <v>67</v>
      </c>
      <c r="AL21" s="2">
        <v>34</v>
      </c>
      <c r="AM21" s="2">
        <v>24</v>
      </c>
      <c r="AN21" s="2">
        <v>19</v>
      </c>
      <c r="AO21" s="2">
        <v>90</v>
      </c>
      <c r="AP21" s="8">
        <v>1</v>
      </c>
      <c r="AQ21" s="15" t="s">
        <v>109</v>
      </c>
    </row>
    <row r="22" spans="1:43" ht="30" customHeight="1" x14ac:dyDescent="0.25">
      <c r="A22" s="21" t="s">
        <v>73</v>
      </c>
      <c r="B22" s="23" t="s">
        <v>104</v>
      </c>
      <c r="C22" s="21" t="s">
        <v>79</v>
      </c>
      <c r="D22" s="17">
        <v>42</v>
      </c>
      <c r="E22" s="19" t="s">
        <v>34</v>
      </c>
      <c r="F22" s="9">
        <v>59</v>
      </c>
      <c r="G22" s="11" t="s">
        <v>80</v>
      </c>
      <c r="H22" s="11" t="s">
        <v>81</v>
      </c>
      <c r="I22" s="2">
        <v>47</v>
      </c>
      <c r="J22" s="2">
        <v>63</v>
      </c>
      <c r="K22" s="2">
        <v>19</v>
      </c>
      <c r="L22" s="2">
        <v>14</v>
      </c>
      <c r="M22" s="2">
        <v>100</v>
      </c>
      <c r="N22" s="2">
        <v>94</v>
      </c>
      <c r="O22" s="2">
        <v>110</v>
      </c>
      <c r="P22" s="2">
        <v>70</v>
      </c>
      <c r="Q22" s="2">
        <v>40</v>
      </c>
      <c r="R22" s="11">
        <v>47</v>
      </c>
      <c r="S22" s="11">
        <v>64</v>
      </c>
      <c r="T22" s="11">
        <v>17</v>
      </c>
      <c r="U22" s="11">
        <v>12</v>
      </c>
      <c r="V22" s="11">
        <v>27</v>
      </c>
      <c r="W22" s="11">
        <v>25</v>
      </c>
      <c r="X22" s="11">
        <v>27</v>
      </c>
      <c r="Y22" s="11">
        <v>70</v>
      </c>
      <c r="Z22" s="11">
        <v>40</v>
      </c>
      <c r="AA22" s="2">
        <v>47</v>
      </c>
      <c r="AB22" s="2">
        <v>26</v>
      </c>
      <c r="AC22" s="2">
        <v>17</v>
      </c>
      <c r="AD22" s="2">
        <v>27</v>
      </c>
      <c r="AE22" s="2">
        <v>25</v>
      </c>
      <c r="AF22" s="2">
        <v>27</v>
      </c>
      <c r="AG22" s="2">
        <v>70</v>
      </c>
      <c r="AH22" s="2">
        <v>40</v>
      </c>
      <c r="AI22" s="2">
        <v>88</v>
      </c>
      <c r="AJ22" s="2">
        <v>108</v>
      </c>
      <c r="AK22" s="2">
        <v>68</v>
      </c>
      <c r="AL22" s="2">
        <v>34</v>
      </c>
      <c r="AM22" s="2">
        <v>26</v>
      </c>
      <c r="AN22" s="2">
        <v>20</v>
      </c>
      <c r="AO22" s="2">
        <v>97</v>
      </c>
      <c r="AP22" s="8">
        <v>1</v>
      </c>
      <c r="AQ22" s="15" t="s">
        <v>109</v>
      </c>
    </row>
    <row r="23" spans="1:43" ht="30" customHeight="1" x14ac:dyDescent="0.25">
      <c r="A23" s="21" t="s">
        <v>74</v>
      </c>
      <c r="B23" s="23" t="s">
        <v>105</v>
      </c>
      <c r="C23" s="21" t="s">
        <v>79</v>
      </c>
      <c r="D23" s="17">
        <v>42</v>
      </c>
      <c r="E23" s="19" t="s">
        <v>33</v>
      </c>
      <c r="F23" s="9">
        <v>56</v>
      </c>
      <c r="G23" s="11" t="s">
        <v>80</v>
      </c>
      <c r="H23" s="11" t="s">
        <v>81</v>
      </c>
      <c r="I23" s="2">
        <v>46</v>
      </c>
      <c r="J23" s="2">
        <v>57</v>
      </c>
      <c r="K23" s="2">
        <v>20</v>
      </c>
      <c r="L23" s="2">
        <v>15</v>
      </c>
      <c r="M23" s="2">
        <v>110</v>
      </c>
      <c r="N23" s="2">
        <v>116</v>
      </c>
      <c r="O23" s="2">
        <v>112</v>
      </c>
      <c r="P23" s="2">
        <v>75</v>
      </c>
      <c r="Q23" s="2">
        <v>43</v>
      </c>
      <c r="R23" s="11">
        <v>46</v>
      </c>
      <c r="S23" s="11">
        <v>58</v>
      </c>
      <c r="T23" s="11">
        <v>18</v>
      </c>
      <c r="U23" s="11">
        <v>13</v>
      </c>
      <c r="V23" s="11">
        <v>29</v>
      </c>
      <c r="W23" s="11">
        <v>27</v>
      </c>
      <c r="X23" s="11">
        <v>29</v>
      </c>
      <c r="Y23" s="11">
        <v>75</v>
      </c>
      <c r="Z23" s="11">
        <v>43</v>
      </c>
      <c r="AA23" s="2">
        <v>46</v>
      </c>
      <c r="AB23" s="2">
        <v>25</v>
      </c>
      <c r="AC23" s="2">
        <v>18</v>
      </c>
      <c r="AD23" s="2">
        <v>29</v>
      </c>
      <c r="AE23" s="2">
        <v>27</v>
      </c>
      <c r="AF23" s="2">
        <v>29</v>
      </c>
      <c r="AG23" s="2">
        <v>75</v>
      </c>
      <c r="AH23" s="2">
        <v>43</v>
      </c>
      <c r="AI23" s="2">
        <v>104</v>
      </c>
      <c r="AJ23" s="2">
        <v>114</v>
      </c>
      <c r="AK23" s="2">
        <v>71</v>
      </c>
      <c r="AL23" s="2">
        <v>36</v>
      </c>
      <c r="AM23" s="2">
        <v>27</v>
      </c>
      <c r="AN23" s="2">
        <v>21</v>
      </c>
      <c r="AO23" s="2">
        <v>96</v>
      </c>
      <c r="AP23" s="8">
        <v>1</v>
      </c>
      <c r="AQ23" s="15" t="s">
        <v>109</v>
      </c>
    </row>
    <row r="24" spans="1:43" ht="30" customHeight="1" x14ac:dyDescent="0.25">
      <c r="A24" s="21" t="s">
        <v>75</v>
      </c>
      <c r="B24" s="23" t="s">
        <v>106</v>
      </c>
      <c r="C24" s="21" t="s">
        <v>79</v>
      </c>
      <c r="D24" s="17">
        <v>42</v>
      </c>
      <c r="E24" s="19" t="s">
        <v>34</v>
      </c>
      <c r="F24" s="9">
        <v>57</v>
      </c>
      <c r="G24" s="11" t="s">
        <v>80</v>
      </c>
      <c r="H24" s="11" t="s">
        <v>81</v>
      </c>
      <c r="I24" s="2">
        <v>47</v>
      </c>
      <c r="J24" s="2">
        <v>59</v>
      </c>
      <c r="K24" s="2">
        <v>20</v>
      </c>
      <c r="L24" s="2">
        <v>15</v>
      </c>
      <c r="M24" s="2">
        <v>102</v>
      </c>
      <c r="N24" s="2">
        <v>102</v>
      </c>
      <c r="O24" s="2">
        <v>116</v>
      </c>
      <c r="P24" s="2">
        <v>71</v>
      </c>
      <c r="Q24" s="2">
        <v>43</v>
      </c>
      <c r="R24" s="11">
        <v>47</v>
      </c>
      <c r="S24" s="11">
        <v>60</v>
      </c>
      <c r="T24" s="11">
        <v>18</v>
      </c>
      <c r="U24" s="11">
        <v>13</v>
      </c>
      <c r="V24" s="11">
        <v>29</v>
      </c>
      <c r="W24" s="11">
        <v>29</v>
      </c>
      <c r="X24" s="11">
        <v>29</v>
      </c>
      <c r="Y24" s="11">
        <v>71</v>
      </c>
      <c r="Z24" s="11">
        <v>43</v>
      </c>
      <c r="AA24" s="2">
        <v>47</v>
      </c>
      <c r="AB24" s="2">
        <v>26</v>
      </c>
      <c r="AC24" s="2">
        <v>18</v>
      </c>
      <c r="AD24" s="2">
        <v>29</v>
      </c>
      <c r="AE24" s="8">
        <v>29</v>
      </c>
      <c r="AF24" s="15">
        <v>29</v>
      </c>
      <c r="AG24" s="8">
        <v>71</v>
      </c>
      <c r="AH24" s="8">
        <v>43</v>
      </c>
      <c r="AI24" s="8">
        <v>93</v>
      </c>
      <c r="AJ24" s="8">
        <v>116</v>
      </c>
      <c r="AK24" s="8">
        <v>70</v>
      </c>
      <c r="AL24" s="8">
        <v>36</v>
      </c>
      <c r="AM24" s="8">
        <v>25</v>
      </c>
      <c r="AN24" s="8">
        <v>20</v>
      </c>
      <c r="AO24" s="8">
        <v>98</v>
      </c>
      <c r="AP24" s="8">
        <v>1</v>
      </c>
      <c r="AQ24" s="15" t="s">
        <v>109</v>
      </c>
    </row>
    <row r="25" spans="1:43" ht="30" customHeight="1" x14ac:dyDescent="0.25">
      <c r="A25" s="21" t="s">
        <v>76</v>
      </c>
      <c r="B25" s="23" t="s">
        <v>107</v>
      </c>
      <c r="C25" s="21" t="s">
        <v>79</v>
      </c>
      <c r="D25" s="17">
        <v>40</v>
      </c>
      <c r="E25" s="19" t="s">
        <v>32</v>
      </c>
      <c r="F25" s="9">
        <v>56</v>
      </c>
      <c r="G25" s="11" t="s">
        <v>80</v>
      </c>
      <c r="H25" s="11" t="s">
        <v>81</v>
      </c>
      <c r="I25" s="2">
        <v>42</v>
      </c>
      <c r="J25" s="2">
        <v>58</v>
      </c>
      <c r="K25" s="2">
        <v>18</v>
      </c>
      <c r="L25" s="2">
        <v>14</v>
      </c>
      <c r="M25" s="2">
        <v>95</v>
      </c>
      <c r="N25" s="2">
        <v>92</v>
      </c>
      <c r="O25" s="2">
        <v>106</v>
      </c>
      <c r="P25" s="2">
        <v>71</v>
      </c>
      <c r="Q25" s="2">
        <v>39</v>
      </c>
      <c r="R25" s="11">
        <v>42</v>
      </c>
      <c r="S25" s="11">
        <v>59</v>
      </c>
      <c r="T25" s="11">
        <v>16</v>
      </c>
      <c r="U25" s="11">
        <v>12</v>
      </c>
      <c r="V25" s="11">
        <v>27</v>
      </c>
      <c r="W25" s="11">
        <v>25</v>
      </c>
      <c r="X25" s="11">
        <v>27</v>
      </c>
      <c r="Y25" s="11">
        <v>71</v>
      </c>
      <c r="Z25" s="11">
        <v>39</v>
      </c>
      <c r="AA25" s="2">
        <v>42</v>
      </c>
      <c r="AB25" s="2">
        <v>25</v>
      </c>
      <c r="AC25" s="2">
        <v>17</v>
      </c>
      <c r="AD25" s="2">
        <v>27</v>
      </c>
      <c r="AE25" s="8">
        <v>25</v>
      </c>
      <c r="AF25" s="15">
        <v>27</v>
      </c>
      <c r="AG25" s="8">
        <v>71</v>
      </c>
      <c r="AH25" s="8">
        <v>39</v>
      </c>
      <c r="AI25" s="8">
        <v>84</v>
      </c>
      <c r="AJ25" s="8">
        <v>103</v>
      </c>
      <c r="AK25" s="8">
        <v>66</v>
      </c>
      <c r="AL25" s="8">
        <v>32</v>
      </c>
      <c r="AM25" s="8">
        <v>24</v>
      </c>
      <c r="AN25" s="8">
        <v>19</v>
      </c>
      <c r="AO25" s="8">
        <v>96</v>
      </c>
      <c r="AP25" s="8">
        <v>1</v>
      </c>
      <c r="AQ25" s="15" t="s">
        <v>109</v>
      </c>
    </row>
    <row r="26" spans="1:43" ht="30" customHeight="1" x14ac:dyDescent="0.25">
      <c r="A26" s="21" t="s">
        <v>77</v>
      </c>
      <c r="B26" s="23" t="s">
        <v>108</v>
      </c>
      <c r="C26" s="21" t="s">
        <v>79</v>
      </c>
      <c r="D26" s="17">
        <v>42</v>
      </c>
      <c r="E26" s="19" t="s">
        <v>32</v>
      </c>
      <c r="F26" s="9">
        <v>56</v>
      </c>
      <c r="G26" s="11" t="s">
        <v>80</v>
      </c>
      <c r="H26" s="11" t="s">
        <v>81</v>
      </c>
      <c r="I26" s="2">
        <v>43</v>
      </c>
      <c r="J26" s="2">
        <v>62</v>
      </c>
      <c r="K26" s="2">
        <v>19</v>
      </c>
      <c r="L26" s="2">
        <v>15</v>
      </c>
      <c r="M26" s="2">
        <v>96</v>
      </c>
      <c r="N26" s="2">
        <v>90</v>
      </c>
      <c r="O26" s="2">
        <v>104</v>
      </c>
      <c r="P26" s="2">
        <v>74</v>
      </c>
      <c r="Q26" s="2">
        <v>40</v>
      </c>
      <c r="R26" s="11">
        <v>43</v>
      </c>
      <c r="S26" s="11">
        <v>63</v>
      </c>
      <c r="T26" s="11">
        <v>17</v>
      </c>
      <c r="U26" s="11">
        <v>13</v>
      </c>
      <c r="V26" s="11">
        <v>27</v>
      </c>
      <c r="W26" s="11">
        <v>26</v>
      </c>
      <c r="X26" s="11">
        <v>27</v>
      </c>
      <c r="Y26" s="11">
        <v>74</v>
      </c>
      <c r="Z26" s="11">
        <v>40</v>
      </c>
      <c r="AA26" s="2">
        <v>43</v>
      </c>
      <c r="AB26" s="2">
        <v>27</v>
      </c>
      <c r="AC26" s="2">
        <v>17</v>
      </c>
      <c r="AD26" s="2">
        <v>27</v>
      </c>
      <c r="AE26" s="8">
        <v>26</v>
      </c>
      <c r="AF26" s="15">
        <v>27</v>
      </c>
      <c r="AG26" s="8">
        <v>74</v>
      </c>
      <c r="AH26" s="8">
        <v>40</v>
      </c>
      <c r="AI26" s="8">
        <v>82</v>
      </c>
      <c r="AJ26" s="8">
        <v>100</v>
      </c>
      <c r="AK26" s="8">
        <v>66</v>
      </c>
      <c r="AL26" s="8">
        <v>32</v>
      </c>
      <c r="AM26" s="8">
        <v>24</v>
      </c>
      <c r="AN26" s="8">
        <v>20</v>
      </c>
      <c r="AO26" s="8">
        <v>99</v>
      </c>
      <c r="AP26" s="8">
        <v>1</v>
      </c>
      <c r="AQ26" s="15" t="s">
        <v>109</v>
      </c>
    </row>
    <row r="27" spans="1:43" ht="30" customHeight="1" x14ac:dyDescent="0.25">
      <c r="A27" s="21" t="s">
        <v>78</v>
      </c>
      <c r="B27" s="23" t="s">
        <v>88</v>
      </c>
      <c r="C27" s="21" t="s">
        <v>79</v>
      </c>
      <c r="D27" s="17">
        <v>43</v>
      </c>
      <c r="E27" s="19" t="s">
        <v>31</v>
      </c>
      <c r="F27" s="9">
        <v>55</v>
      </c>
      <c r="G27" s="11" t="s">
        <v>80</v>
      </c>
      <c r="H27" s="11" t="s">
        <v>81</v>
      </c>
      <c r="I27" s="2">
        <v>42</v>
      </c>
      <c r="J27" s="2">
        <v>60</v>
      </c>
      <c r="K27" s="2">
        <v>18</v>
      </c>
      <c r="L27" s="2">
        <v>14</v>
      </c>
      <c r="M27" s="2">
        <v>90</v>
      </c>
      <c r="N27" s="2">
        <v>83</v>
      </c>
      <c r="O27" s="2">
        <v>96</v>
      </c>
      <c r="P27" s="2">
        <v>69</v>
      </c>
      <c r="Q27" s="2">
        <v>37</v>
      </c>
      <c r="R27" s="11">
        <v>42</v>
      </c>
      <c r="S27" s="11">
        <v>61</v>
      </c>
      <c r="T27" s="11">
        <v>16</v>
      </c>
      <c r="U27" s="11">
        <v>12</v>
      </c>
      <c r="V27" s="11">
        <v>26</v>
      </c>
      <c r="W27" s="11">
        <v>24</v>
      </c>
      <c r="X27" s="11">
        <v>26</v>
      </c>
      <c r="Y27" s="11">
        <v>69</v>
      </c>
      <c r="Z27" s="11">
        <v>37</v>
      </c>
      <c r="AA27" s="2">
        <v>42</v>
      </c>
      <c r="AB27" s="2">
        <v>24</v>
      </c>
      <c r="AC27" s="2">
        <v>16</v>
      </c>
      <c r="AD27" s="2">
        <v>26</v>
      </c>
      <c r="AE27" s="2">
        <v>24</v>
      </c>
      <c r="AF27" s="2">
        <v>26</v>
      </c>
      <c r="AG27" s="2">
        <v>69</v>
      </c>
      <c r="AH27" s="2">
        <v>37</v>
      </c>
      <c r="AI27" s="2">
        <v>73</v>
      </c>
      <c r="AJ27" s="2">
        <v>93</v>
      </c>
      <c r="AK27" s="2">
        <v>66</v>
      </c>
      <c r="AL27" s="2">
        <v>30</v>
      </c>
      <c r="AM27" s="2">
        <v>24</v>
      </c>
      <c r="AN27" s="2">
        <v>19</v>
      </c>
      <c r="AO27" s="2">
        <v>99</v>
      </c>
      <c r="AP27" s="8">
        <v>1</v>
      </c>
      <c r="AQ27" s="15" t="s">
        <v>109</v>
      </c>
    </row>
    <row r="28" spans="1:43" ht="30" customHeight="1" x14ac:dyDescent="0.25">
      <c r="A28" s="21" t="s">
        <v>120</v>
      </c>
      <c r="B28" s="23" t="s">
        <v>110</v>
      </c>
      <c r="C28" s="21" t="s">
        <v>79</v>
      </c>
      <c r="D28" s="17">
        <v>40</v>
      </c>
      <c r="E28" s="19" t="s">
        <v>34</v>
      </c>
      <c r="F28" s="9">
        <v>59</v>
      </c>
      <c r="G28" s="11" t="s">
        <v>80</v>
      </c>
      <c r="H28" s="11" t="s">
        <v>81</v>
      </c>
      <c r="I28" s="2">
        <v>47</v>
      </c>
      <c r="J28" s="2">
        <v>53</v>
      </c>
      <c r="K28" s="2">
        <v>20</v>
      </c>
      <c r="L28" s="2">
        <v>15</v>
      </c>
      <c r="M28" s="2">
        <v>112</v>
      </c>
      <c r="N28" s="2">
        <v>112</v>
      </c>
      <c r="O28" s="2">
        <v>116</v>
      </c>
      <c r="P28" s="2">
        <v>66</v>
      </c>
      <c r="Q28" s="2">
        <v>41</v>
      </c>
      <c r="R28" s="2">
        <v>47</v>
      </c>
      <c r="S28" s="2">
        <v>54</v>
      </c>
      <c r="T28" s="2">
        <v>19</v>
      </c>
      <c r="U28" s="2">
        <v>13</v>
      </c>
      <c r="V28" s="2">
        <v>30</v>
      </c>
      <c r="W28" s="2">
        <v>29</v>
      </c>
      <c r="X28" s="2">
        <v>30</v>
      </c>
      <c r="Y28" s="2">
        <v>66</v>
      </c>
      <c r="Z28" s="2">
        <v>41</v>
      </c>
      <c r="AA28" s="2">
        <v>47</v>
      </c>
      <c r="AB28" s="2">
        <v>24</v>
      </c>
      <c r="AC28" s="2">
        <v>19</v>
      </c>
      <c r="AD28" s="2">
        <v>30</v>
      </c>
      <c r="AE28" s="2">
        <v>29</v>
      </c>
      <c r="AF28" s="2">
        <v>30</v>
      </c>
      <c r="AG28" s="8">
        <v>66</v>
      </c>
      <c r="AH28" s="15">
        <v>41</v>
      </c>
      <c r="AI28" s="8">
        <v>102</v>
      </c>
      <c r="AJ28" s="8">
        <v>114</v>
      </c>
      <c r="AK28" s="8">
        <v>72</v>
      </c>
      <c r="AL28" s="2">
        <v>37</v>
      </c>
      <c r="AM28" s="2">
        <v>26</v>
      </c>
      <c r="AN28" s="2">
        <v>20</v>
      </c>
      <c r="AO28" s="2">
        <v>88</v>
      </c>
      <c r="AP28" s="8">
        <v>1</v>
      </c>
      <c r="AQ28" s="15" t="s">
        <v>109</v>
      </c>
    </row>
    <row r="29" spans="1:43" ht="30" customHeight="1" x14ac:dyDescent="0.25">
      <c r="A29" s="21" t="s">
        <v>126</v>
      </c>
      <c r="B29" s="23" t="s">
        <v>123</v>
      </c>
      <c r="C29" s="21" t="s">
        <v>79</v>
      </c>
      <c r="D29" s="9">
        <v>42</v>
      </c>
      <c r="E29" s="19" t="s">
        <v>32</v>
      </c>
      <c r="F29" s="9">
        <v>57</v>
      </c>
      <c r="G29" s="11" t="s">
        <v>80</v>
      </c>
      <c r="H29" s="11" t="s">
        <v>81</v>
      </c>
      <c r="I29" s="2">
        <v>46</v>
      </c>
      <c r="J29" s="2">
        <v>60</v>
      </c>
      <c r="K29" s="2">
        <v>19</v>
      </c>
      <c r="L29" s="2">
        <v>14</v>
      </c>
      <c r="M29" s="2">
        <v>104</v>
      </c>
      <c r="N29" s="2">
        <v>101</v>
      </c>
      <c r="O29" s="2">
        <v>117</v>
      </c>
      <c r="P29" s="2">
        <v>72</v>
      </c>
      <c r="Q29" s="2">
        <v>40</v>
      </c>
      <c r="R29" s="2">
        <v>46</v>
      </c>
      <c r="S29" s="2">
        <v>61</v>
      </c>
      <c r="T29" s="2">
        <v>18</v>
      </c>
      <c r="U29" s="2">
        <v>13</v>
      </c>
      <c r="V29" s="2">
        <v>28</v>
      </c>
      <c r="W29" s="2">
        <v>27</v>
      </c>
      <c r="X29" s="2">
        <v>28</v>
      </c>
      <c r="Y29" s="2">
        <v>72</v>
      </c>
      <c r="Z29" s="2">
        <v>40</v>
      </c>
      <c r="AA29" s="2">
        <v>46</v>
      </c>
      <c r="AB29" s="2">
        <v>26</v>
      </c>
      <c r="AC29" s="2">
        <v>18</v>
      </c>
      <c r="AD29" s="2">
        <v>28</v>
      </c>
      <c r="AE29" s="2">
        <v>27</v>
      </c>
      <c r="AF29" s="2">
        <v>28</v>
      </c>
      <c r="AG29" s="2">
        <v>72</v>
      </c>
      <c r="AH29" s="2">
        <v>40</v>
      </c>
      <c r="AI29" s="2">
        <v>94</v>
      </c>
      <c r="AJ29" s="2">
        <v>113</v>
      </c>
      <c r="AK29" s="2">
        <v>70</v>
      </c>
      <c r="AL29" s="2">
        <v>35</v>
      </c>
      <c r="AM29" s="2">
        <v>25</v>
      </c>
      <c r="AN29" s="2">
        <v>19</v>
      </c>
      <c r="AO29" s="2">
        <v>97</v>
      </c>
      <c r="AP29" s="8">
        <v>2</v>
      </c>
      <c r="AQ29" s="15" t="s">
        <v>129</v>
      </c>
    </row>
    <row r="30" spans="1:43" ht="30" customHeight="1" x14ac:dyDescent="0.25">
      <c r="A30" s="21" t="s">
        <v>127</v>
      </c>
      <c r="B30" s="23" t="s">
        <v>124</v>
      </c>
      <c r="C30" s="21" t="s">
        <v>79</v>
      </c>
      <c r="D30" s="9">
        <v>41</v>
      </c>
      <c r="E30" s="19" t="s">
        <v>31</v>
      </c>
      <c r="F30" s="9">
        <v>53</v>
      </c>
      <c r="G30" s="11" t="s">
        <v>80</v>
      </c>
      <c r="H30" s="11" t="s">
        <v>81</v>
      </c>
      <c r="I30" s="2">
        <v>43</v>
      </c>
      <c r="J30" s="2">
        <v>56</v>
      </c>
      <c r="K30" s="2">
        <v>18</v>
      </c>
      <c r="L30" s="2">
        <v>14</v>
      </c>
      <c r="M30" s="2">
        <v>94</v>
      </c>
      <c r="N30" s="2">
        <v>86</v>
      </c>
      <c r="O30" s="2">
        <v>98</v>
      </c>
      <c r="P30" s="2">
        <v>70</v>
      </c>
      <c r="Q30" s="2">
        <v>38</v>
      </c>
      <c r="R30" s="2">
        <v>43</v>
      </c>
      <c r="S30" s="2">
        <v>57</v>
      </c>
      <c r="T30" s="2">
        <v>16</v>
      </c>
      <c r="U30" s="2">
        <v>12</v>
      </c>
      <c r="V30" s="2">
        <v>27</v>
      </c>
      <c r="W30" s="2">
        <v>25</v>
      </c>
      <c r="X30" s="2">
        <v>27</v>
      </c>
      <c r="Y30" s="2">
        <v>70</v>
      </c>
      <c r="Z30" s="2">
        <v>38</v>
      </c>
      <c r="AA30" s="2">
        <v>43</v>
      </c>
      <c r="AB30" s="2">
        <v>24</v>
      </c>
      <c r="AC30" s="2">
        <v>16</v>
      </c>
      <c r="AD30" s="2">
        <v>27</v>
      </c>
      <c r="AE30" s="2">
        <v>25</v>
      </c>
      <c r="AF30" s="2">
        <v>27</v>
      </c>
      <c r="AG30" s="2">
        <v>70</v>
      </c>
      <c r="AH30" s="2">
        <v>38</v>
      </c>
      <c r="AI30" s="2">
        <v>79</v>
      </c>
      <c r="AJ30" s="2">
        <v>96</v>
      </c>
      <c r="AK30" s="2">
        <v>64</v>
      </c>
      <c r="AL30" s="2">
        <v>30</v>
      </c>
      <c r="AM30" s="2">
        <v>24</v>
      </c>
      <c r="AN30" s="2">
        <v>19</v>
      </c>
      <c r="AO30" s="2">
        <v>95</v>
      </c>
      <c r="AP30" s="8">
        <v>2</v>
      </c>
      <c r="AQ30" s="15" t="s">
        <v>129</v>
      </c>
    </row>
    <row r="31" spans="1:43" ht="30" customHeight="1" x14ac:dyDescent="0.25">
      <c r="A31" s="21" t="s">
        <v>128</v>
      </c>
      <c r="B31" s="23" t="s">
        <v>125</v>
      </c>
      <c r="C31" s="21" t="s">
        <v>79</v>
      </c>
      <c r="D31" s="9">
        <v>45</v>
      </c>
      <c r="E31" s="19" t="s">
        <v>33</v>
      </c>
      <c r="F31" s="9">
        <v>57</v>
      </c>
      <c r="G31" s="11" t="s">
        <v>80</v>
      </c>
      <c r="H31" s="11" t="s">
        <v>81</v>
      </c>
      <c r="I31" s="2">
        <v>49</v>
      </c>
      <c r="J31" s="2">
        <v>63</v>
      </c>
      <c r="K31" s="2">
        <v>20</v>
      </c>
      <c r="L31" s="2">
        <v>15</v>
      </c>
      <c r="M31" s="2">
        <v>106</v>
      </c>
      <c r="N31" s="2">
        <v>96</v>
      </c>
      <c r="O31" s="2">
        <v>114</v>
      </c>
      <c r="P31" s="2">
        <v>75</v>
      </c>
      <c r="Q31" s="2">
        <v>40</v>
      </c>
      <c r="R31" s="2">
        <v>49</v>
      </c>
      <c r="S31" s="2">
        <v>64</v>
      </c>
      <c r="T31" s="2">
        <v>19</v>
      </c>
      <c r="U31" s="2">
        <v>13</v>
      </c>
      <c r="V31" s="2">
        <v>30</v>
      </c>
      <c r="W31" s="2">
        <v>229</v>
      </c>
      <c r="X31" s="2">
        <v>30</v>
      </c>
      <c r="Y31" s="2">
        <v>75</v>
      </c>
      <c r="Z31" s="2">
        <v>40</v>
      </c>
      <c r="AA31" s="2">
        <v>49</v>
      </c>
      <c r="AB31" s="2">
        <v>27</v>
      </c>
      <c r="AC31" s="2">
        <v>19</v>
      </c>
      <c r="AD31" s="2">
        <v>30</v>
      </c>
      <c r="AE31" s="2">
        <v>29</v>
      </c>
      <c r="AF31" s="2">
        <v>30</v>
      </c>
      <c r="AG31" s="2">
        <v>75</v>
      </c>
      <c r="AH31" s="2">
        <v>40</v>
      </c>
      <c r="AI31" s="2">
        <v>94</v>
      </c>
      <c r="AJ31" s="2">
        <v>106</v>
      </c>
      <c r="AK31" s="2">
        <v>76</v>
      </c>
      <c r="AL31" s="2">
        <v>36</v>
      </c>
      <c r="AM31" s="2">
        <v>27</v>
      </c>
      <c r="AN31" s="2">
        <v>22</v>
      </c>
      <c r="AO31" s="2">
        <v>107</v>
      </c>
      <c r="AP31" s="8">
        <v>2</v>
      </c>
      <c r="AQ31" s="15" t="s">
        <v>129</v>
      </c>
    </row>
    <row r="32" spans="1:43" ht="30" customHeight="1" x14ac:dyDescent="0.25">
      <c r="A32" s="21" t="s">
        <v>133</v>
      </c>
      <c r="B32" s="23" t="s">
        <v>130</v>
      </c>
      <c r="C32" s="21" t="s">
        <v>79</v>
      </c>
      <c r="D32" s="9">
        <v>44</v>
      </c>
      <c r="E32" s="19" t="s">
        <v>33</v>
      </c>
      <c r="F32" s="9">
        <v>57</v>
      </c>
      <c r="G32" s="11" t="s">
        <v>80</v>
      </c>
      <c r="H32" s="11" t="s">
        <v>81</v>
      </c>
      <c r="I32" s="2">
        <v>46</v>
      </c>
      <c r="J32" s="2">
        <v>60</v>
      </c>
      <c r="K32" s="2">
        <v>19</v>
      </c>
      <c r="L32" s="2">
        <v>14</v>
      </c>
      <c r="M32" s="2">
        <v>104</v>
      </c>
      <c r="N32" s="2">
        <v>104</v>
      </c>
      <c r="O32" s="2">
        <v>117</v>
      </c>
      <c r="P32" s="2">
        <v>74</v>
      </c>
      <c r="Q32" s="2">
        <v>42</v>
      </c>
      <c r="R32" s="2">
        <v>46</v>
      </c>
      <c r="S32" s="2">
        <v>60</v>
      </c>
      <c r="T32" s="2">
        <v>17</v>
      </c>
      <c r="U32" s="2">
        <v>13</v>
      </c>
      <c r="V32" s="2">
        <v>28</v>
      </c>
      <c r="W32" s="2">
        <v>27</v>
      </c>
      <c r="X32" s="2">
        <v>28</v>
      </c>
      <c r="Y32" s="2">
        <v>74</v>
      </c>
      <c r="Z32" s="2">
        <v>42</v>
      </c>
      <c r="AA32" s="2">
        <v>46</v>
      </c>
      <c r="AB32" s="2">
        <v>26</v>
      </c>
      <c r="AC32" s="2">
        <v>17</v>
      </c>
      <c r="AD32" s="2">
        <v>28</v>
      </c>
      <c r="AE32" s="2">
        <v>27</v>
      </c>
      <c r="AF32" s="2">
        <v>28</v>
      </c>
      <c r="AG32" s="2">
        <v>74</v>
      </c>
      <c r="AH32" s="2">
        <v>42</v>
      </c>
      <c r="AI32" s="2">
        <v>96</v>
      </c>
      <c r="AJ32" s="2">
        <v>116</v>
      </c>
      <c r="AK32" s="2">
        <v>69</v>
      </c>
      <c r="AL32" s="2">
        <v>35</v>
      </c>
      <c r="AM32" s="2">
        <v>24</v>
      </c>
      <c r="AN32" s="2">
        <v>20</v>
      </c>
      <c r="AO32" s="2">
        <v>97</v>
      </c>
      <c r="AP32" s="8">
        <v>2</v>
      </c>
      <c r="AQ32" s="15" t="s">
        <v>132</v>
      </c>
    </row>
    <row r="33" spans="1:43" ht="30" customHeight="1" x14ac:dyDescent="0.25">
      <c r="A33" s="21" t="s">
        <v>134</v>
      </c>
      <c r="B33" s="23" t="s">
        <v>131</v>
      </c>
      <c r="C33" s="21" t="s">
        <v>79</v>
      </c>
      <c r="D33" s="9">
        <v>44</v>
      </c>
      <c r="E33" s="19" t="s">
        <v>32</v>
      </c>
      <c r="F33" s="9">
        <v>57</v>
      </c>
      <c r="G33" s="11" t="s">
        <v>80</v>
      </c>
      <c r="H33" s="11" t="s">
        <v>81</v>
      </c>
      <c r="I33" s="2">
        <v>45</v>
      </c>
      <c r="J33" s="2">
        <v>60</v>
      </c>
      <c r="K33" s="2">
        <v>17</v>
      </c>
      <c r="L33" s="2">
        <v>14</v>
      </c>
      <c r="M33" s="2">
        <v>94</v>
      </c>
      <c r="N33" s="2">
        <v>86</v>
      </c>
      <c r="O33" s="2">
        <v>104</v>
      </c>
      <c r="P33" s="2">
        <v>71</v>
      </c>
      <c r="Q33" s="2">
        <v>37</v>
      </c>
      <c r="R33" s="2">
        <v>45</v>
      </c>
      <c r="S33" s="2">
        <v>61</v>
      </c>
      <c r="T33" s="2">
        <v>16</v>
      </c>
      <c r="U33" s="2">
        <v>12</v>
      </c>
      <c r="V33" s="2">
        <v>27</v>
      </c>
      <c r="W33" s="2">
        <v>24</v>
      </c>
      <c r="X33" s="2">
        <v>27</v>
      </c>
      <c r="Y33" s="2">
        <v>71</v>
      </c>
      <c r="Z33" s="2">
        <v>37</v>
      </c>
      <c r="AA33" s="2">
        <v>45</v>
      </c>
      <c r="AB33" s="2">
        <v>24</v>
      </c>
      <c r="AC33" s="2">
        <v>16</v>
      </c>
      <c r="AD33" s="2">
        <v>27</v>
      </c>
      <c r="AE33" s="2">
        <v>24</v>
      </c>
      <c r="AF33" s="2">
        <v>27</v>
      </c>
      <c r="AG33" s="2">
        <v>71</v>
      </c>
      <c r="AH33" s="2">
        <v>37</v>
      </c>
      <c r="AI33" s="2">
        <v>83</v>
      </c>
      <c r="AJ33" s="2">
        <v>100</v>
      </c>
      <c r="AK33" s="2">
        <v>70</v>
      </c>
      <c r="AL33" s="2">
        <v>33</v>
      </c>
      <c r="AM33" s="2">
        <v>25</v>
      </c>
      <c r="AN33" s="2">
        <v>20</v>
      </c>
      <c r="AO33" s="2">
        <v>103</v>
      </c>
      <c r="AP33" s="8">
        <v>2</v>
      </c>
      <c r="AQ33" s="15" t="s">
        <v>132</v>
      </c>
    </row>
    <row r="34" spans="1:43" ht="30" customHeight="1" x14ac:dyDescent="0.25">
      <c r="A34" s="21" t="s">
        <v>140</v>
      </c>
      <c r="B34" s="23" t="s">
        <v>135</v>
      </c>
      <c r="C34" s="21" t="s">
        <v>79</v>
      </c>
      <c r="D34" s="26">
        <v>41</v>
      </c>
      <c r="E34" s="19" t="s">
        <v>31</v>
      </c>
      <c r="F34" s="26">
        <v>56</v>
      </c>
      <c r="G34" s="11" t="s">
        <v>80</v>
      </c>
      <c r="H34" s="11" t="s">
        <v>81</v>
      </c>
      <c r="I34" s="27">
        <v>44</v>
      </c>
      <c r="J34" s="27">
        <v>58</v>
      </c>
      <c r="K34" s="27">
        <v>18</v>
      </c>
      <c r="L34" s="27">
        <v>14</v>
      </c>
      <c r="M34" s="27">
        <v>98</v>
      </c>
      <c r="N34" s="27">
        <v>86</v>
      </c>
      <c r="O34" s="27">
        <v>100</v>
      </c>
      <c r="P34" s="27">
        <v>70</v>
      </c>
      <c r="Q34" s="27">
        <v>39</v>
      </c>
      <c r="R34" s="27">
        <v>44</v>
      </c>
      <c r="S34" s="27">
        <v>59</v>
      </c>
      <c r="T34" s="27">
        <v>16</v>
      </c>
      <c r="U34" s="27">
        <v>12</v>
      </c>
      <c r="V34" s="27">
        <v>26</v>
      </c>
      <c r="W34" s="27">
        <v>24</v>
      </c>
      <c r="X34" s="27">
        <v>26</v>
      </c>
      <c r="Y34" s="27">
        <v>70</v>
      </c>
      <c r="Z34" s="27">
        <v>39</v>
      </c>
      <c r="AA34" s="27">
        <v>44</v>
      </c>
      <c r="AB34" s="27">
        <v>25</v>
      </c>
      <c r="AC34" s="27">
        <v>16</v>
      </c>
      <c r="AD34" s="27">
        <v>26</v>
      </c>
      <c r="AE34" s="27">
        <v>24</v>
      </c>
      <c r="AF34" s="27">
        <v>26</v>
      </c>
      <c r="AG34" s="27">
        <v>70</v>
      </c>
      <c r="AH34" s="27">
        <v>39</v>
      </c>
      <c r="AI34" s="27">
        <v>76</v>
      </c>
      <c r="AJ34" s="27">
        <v>96</v>
      </c>
      <c r="AK34" s="27">
        <v>64</v>
      </c>
      <c r="AL34" s="27">
        <v>30</v>
      </c>
      <c r="AM34" s="27">
        <v>23</v>
      </c>
      <c r="AN34" s="27">
        <v>18</v>
      </c>
      <c r="AO34" s="27">
        <v>94</v>
      </c>
      <c r="AP34" s="28">
        <v>2</v>
      </c>
      <c r="AQ34" s="15" t="s">
        <v>139</v>
      </c>
    </row>
    <row r="35" spans="1:43" ht="30" customHeight="1" x14ac:dyDescent="0.25">
      <c r="A35" s="21" t="s">
        <v>141</v>
      </c>
      <c r="B35" s="23" t="s">
        <v>136</v>
      </c>
      <c r="C35" s="21" t="s">
        <v>79</v>
      </c>
      <c r="D35" s="26">
        <v>41</v>
      </c>
      <c r="E35" s="19" t="s">
        <v>32</v>
      </c>
      <c r="F35" s="26">
        <v>58</v>
      </c>
      <c r="G35" s="11" t="s">
        <v>80</v>
      </c>
      <c r="H35" s="11" t="s">
        <v>81</v>
      </c>
      <c r="I35" s="27">
        <v>45</v>
      </c>
      <c r="J35" s="27">
        <v>56</v>
      </c>
      <c r="K35" s="27">
        <v>19</v>
      </c>
      <c r="L35" s="27">
        <v>14</v>
      </c>
      <c r="M35" s="27">
        <v>105</v>
      </c>
      <c r="N35" s="27">
        <v>98</v>
      </c>
      <c r="O35" s="27">
        <v>110</v>
      </c>
      <c r="P35" s="27">
        <v>68</v>
      </c>
      <c r="Q35" s="27">
        <v>40</v>
      </c>
      <c r="R35" s="27">
        <v>45</v>
      </c>
      <c r="S35" s="27">
        <v>57</v>
      </c>
      <c r="T35" s="27">
        <v>17</v>
      </c>
      <c r="U35" s="27">
        <v>13</v>
      </c>
      <c r="V35" s="27">
        <v>28</v>
      </c>
      <c r="W35" s="27">
        <v>26</v>
      </c>
      <c r="X35" s="27">
        <v>28</v>
      </c>
      <c r="Y35" s="27">
        <v>68</v>
      </c>
      <c r="Z35" s="27">
        <v>40</v>
      </c>
      <c r="AA35" s="27">
        <v>45</v>
      </c>
      <c r="AB35" s="27">
        <v>23</v>
      </c>
      <c r="AC35" s="27">
        <v>17</v>
      </c>
      <c r="AD35" s="27">
        <v>28</v>
      </c>
      <c r="AE35" s="27">
        <v>26</v>
      </c>
      <c r="AF35" s="27">
        <v>28</v>
      </c>
      <c r="AG35" s="27">
        <v>68</v>
      </c>
      <c r="AH35" s="27">
        <v>40</v>
      </c>
      <c r="AI35" s="27">
        <v>90</v>
      </c>
      <c r="AJ35" s="27">
        <v>108</v>
      </c>
      <c r="AK35" s="27">
        <v>66</v>
      </c>
      <c r="AL35" s="27">
        <v>34</v>
      </c>
      <c r="AM35" s="27">
        <v>24</v>
      </c>
      <c r="AN35" s="28">
        <v>19</v>
      </c>
      <c r="AO35" s="29">
        <v>93</v>
      </c>
      <c r="AP35" s="28">
        <v>2</v>
      </c>
      <c r="AQ35" s="15" t="s">
        <v>139</v>
      </c>
    </row>
    <row r="36" spans="1:43" ht="30" customHeight="1" x14ac:dyDescent="0.25">
      <c r="A36" s="21" t="s">
        <v>142</v>
      </c>
      <c r="B36" s="23" t="s">
        <v>137</v>
      </c>
      <c r="C36" s="21" t="s">
        <v>79</v>
      </c>
      <c r="D36" s="26">
        <v>41</v>
      </c>
      <c r="E36" s="19" t="s">
        <v>32</v>
      </c>
      <c r="F36" s="26">
        <v>56</v>
      </c>
      <c r="G36" s="11" t="s">
        <v>80</v>
      </c>
      <c r="H36" s="11" t="s">
        <v>81</v>
      </c>
      <c r="I36" s="27">
        <v>45</v>
      </c>
      <c r="J36" s="27">
        <v>60</v>
      </c>
      <c r="K36" s="27">
        <v>19</v>
      </c>
      <c r="L36" s="27">
        <v>14</v>
      </c>
      <c r="M36" s="27">
        <v>98</v>
      </c>
      <c r="N36" s="27">
        <v>96</v>
      </c>
      <c r="O36" s="27">
        <v>104</v>
      </c>
      <c r="P36" s="27">
        <v>70</v>
      </c>
      <c r="Q36" s="27">
        <v>40</v>
      </c>
      <c r="R36" s="27">
        <v>45</v>
      </c>
      <c r="S36" s="27">
        <v>61</v>
      </c>
      <c r="T36" s="27">
        <v>17</v>
      </c>
      <c r="U36" s="27">
        <v>13</v>
      </c>
      <c r="V36" s="27">
        <v>28</v>
      </c>
      <c r="W36" s="27">
        <v>26</v>
      </c>
      <c r="X36" s="27">
        <v>28</v>
      </c>
      <c r="Y36" s="27">
        <v>70</v>
      </c>
      <c r="Z36" s="27">
        <v>40</v>
      </c>
      <c r="AA36" s="27">
        <v>45</v>
      </c>
      <c r="AB36" s="27">
        <v>25</v>
      </c>
      <c r="AC36" s="27">
        <v>17</v>
      </c>
      <c r="AD36" s="27">
        <v>28</v>
      </c>
      <c r="AE36" s="27">
        <v>26</v>
      </c>
      <c r="AF36" s="27">
        <v>28</v>
      </c>
      <c r="AG36" s="27">
        <v>70</v>
      </c>
      <c r="AH36" s="27">
        <v>40</v>
      </c>
      <c r="AI36" s="27">
        <v>87</v>
      </c>
      <c r="AJ36" s="27">
        <v>102</v>
      </c>
      <c r="AK36" s="27">
        <v>66</v>
      </c>
      <c r="AL36" s="27">
        <v>33</v>
      </c>
      <c r="AM36" s="27">
        <v>24</v>
      </c>
      <c r="AN36" s="27">
        <v>19</v>
      </c>
      <c r="AO36" s="27">
        <v>97</v>
      </c>
      <c r="AP36" s="28">
        <v>2</v>
      </c>
      <c r="AQ36" s="15" t="s">
        <v>139</v>
      </c>
    </row>
    <row r="37" spans="1:43" ht="30" customHeight="1" x14ac:dyDescent="0.25">
      <c r="A37" s="21" t="s">
        <v>143</v>
      </c>
      <c r="B37" s="23" t="s">
        <v>138</v>
      </c>
      <c r="C37" s="21" t="s">
        <v>79</v>
      </c>
      <c r="D37" s="26">
        <v>40</v>
      </c>
      <c r="E37" s="19" t="s">
        <v>32</v>
      </c>
      <c r="F37" s="26">
        <v>55</v>
      </c>
      <c r="G37" s="11" t="s">
        <v>80</v>
      </c>
      <c r="H37" s="11" t="s">
        <v>81</v>
      </c>
      <c r="I37" s="27">
        <v>44</v>
      </c>
      <c r="J37" s="27">
        <v>59</v>
      </c>
      <c r="K37" s="27">
        <v>18</v>
      </c>
      <c r="L37" s="27">
        <v>17</v>
      </c>
      <c r="M37" s="27">
        <v>99</v>
      </c>
      <c r="N37" s="27">
        <v>96</v>
      </c>
      <c r="O37" s="27">
        <v>105</v>
      </c>
      <c r="P37" s="27">
        <v>70</v>
      </c>
      <c r="Q37" s="27">
        <v>39</v>
      </c>
      <c r="R37" s="27">
        <v>44</v>
      </c>
      <c r="S37" s="27">
        <v>60</v>
      </c>
      <c r="T37" s="27">
        <v>16</v>
      </c>
      <c r="U37" s="27">
        <v>14</v>
      </c>
      <c r="V37" s="27">
        <v>27</v>
      </c>
      <c r="W37" s="27">
        <v>27</v>
      </c>
      <c r="X37" s="27">
        <v>27</v>
      </c>
      <c r="Y37" s="27">
        <v>70</v>
      </c>
      <c r="Z37" s="27">
        <v>39</v>
      </c>
      <c r="AA37" s="27">
        <v>44</v>
      </c>
      <c r="AB37" s="27">
        <v>25</v>
      </c>
      <c r="AC37" s="27">
        <v>16</v>
      </c>
      <c r="AD37" s="27">
        <v>27</v>
      </c>
      <c r="AE37" s="27">
        <v>27</v>
      </c>
      <c r="AF37" s="27">
        <v>27</v>
      </c>
      <c r="AG37" s="27">
        <v>70</v>
      </c>
      <c r="AH37" s="27">
        <v>39</v>
      </c>
      <c r="AI37" s="27">
        <v>86</v>
      </c>
      <c r="AJ37" s="27">
        <v>104</v>
      </c>
      <c r="AK37" s="27">
        <v>64</v>
      </c>
      <c r="AL37" s="27">
        <v>32</v>
      </c>
      <c r="AM37" s="27">
        <v>24</v>
      </c>
      <c r="AN37" s="27">
        <v>19</v>
      </c>
      <c r="AO37" s="27">
        <v>97</v>
      </c>
      <c r="AP37" s="28">
        <v>2</v>
      </c>
      <c r="AQ37" s="15" t="s">
        <v>139</v>
      </c>
    </row>
    <row r="38" spans="1:43" ht="30" customHeight="1" x14ac:dyDescent="0.25">
      <c r="A38" s="21" t="s">
        <v>148</v>
      </c>
      <c r="B38" s="23" t="s">
        <v>144</v>
      </c>
      <c r="C38" s="21" t="s">
        <v>79</v>
      </c>
      <c r="D38" s="9">
        <v>41</v>
      </c>
      <c r="E38" s="19" t="s">
        <v>32</v>
      </c>
      <c r="F38" s="9">
        <v>56</v>
      </c>
      <c r="G38" s="11" t="s">
        <v>80</v>
      </c>
      <c r="H38" s="11" t="s">
        <v>81</v>
      </c>
      <c r="I38" s="2">
        <v>46</v>
      </c>
      <c r="J38" s="2">
        <v>55</v>
      </c>
      <c r="K38" s="2">
        <v>19</v>
      </c>
      <c r="L38" s="2">
        <v>14</v>
      </c>
      <c r="M38" s="2">
        <v>104</v>
      </c>
      <c r="N38" s="2">
        <v>98</v>
      </c>
      <c r="O38" s="2">
        <v>108</v>
      </c>
      <c r="P38" s="2">
        <v>71</v>
      </c>
      <c r="Q38" s="2">
        <v>41</v>
      </c>
      <c r="R38" s="2">
        <v>46</v>
      </c>
      <c r="S38" s="2">
        <v>56</v>
      </c>
      <c r="T38" s="2">
        <v>17</v>
      </c>
      <c r="U38" s="2">
        <v>13</v>
      </c>
      <c r="V38" s="2">
        <v>28</v>
      </c>
      <c r="W38" s="2">
        <v>236</v>
      </c>
      <c r="X38" s="2">
        <v>28</v>
      </c>
      <c r="Y38" s="2">
        <v>71</v>
      </c>
      <c r="Z38" s="2">
        <v>41</v>
      </c>
      <c r="AA38" s="2">
        <v>46</v>
      </c>
      <c r="AB38" s="2">
        <v>25</v>
      </c>
      <c r="AC38" s="2">
        <v>17</v>
      </c>
      <c r="AD38" s="2">
        <v>28</v>
      </c>
      <c r="AE38" s="2">
        <v>26</v>
      </c>
      <c r="AF38" s="2">
        <v>28</v>
      </c>
      <c r="AG38" s="2">
        <v>71</v>
      </c>
      <c r="AH38" s="2">
        <v>41</v>
      </c>
      <c r="AI38" s="2">
        <v>88</v>
      </c>
      <c r="AJ38" s="2">
        <v>105</v>
      </c>
      <c r="AK38" s="2">
        <v>66</v>
      </c>
      <c r="AL38" s="2">
        <v>33</v>
      </c>
      <c r="AM38" s="2">
        <v>27</v>
      </c>
      <c r="AN38" s="2">
        <v>21</v>
      </c>
      <c r="AO38" s="2">
        <v>96</v>
      </c>
      <c r="AP38" s="8">
        <v>2</v>
      </c>
      <c r="AQ38" s="30" t="s">
        <v>147</v>
      </c>
    </row>
    <row r="39" spans="1:43" ht="30" customHeight="1" x14ac:dyDescent="0.25">
      <c r="A39" s="21" t="s">
        <v>149</v>
      </c>
      <c r="B39" s="23" t="s">
        <v>145</v>
      </c>
      <c r="C39" s="21" t="s">
        <v>79</v>
      </c>
      <c r="D39" s="9">
        <v>42</v>
      </c>
      <c r="E39" s="19" t="s">
        <v>31</v>
      </c>
      <c r="F39" s="9">
        <v>55</v>
      </c>
      <c r="G39" s="11" t="s">
        <v>80</v>
      </c>
      <c r="H39" s="11" t="s">
        <v>81</v>
      </c>
      <c r="I39" s="2">
        <v>47</v>
      </c>
      <c r="J39" s="2">
        <v>56</v>
      </c>
      <c r="K39" s="2">
        <v>20</v>
      </c>
      <c r="L39" s="2">
        <v>15</v>
      </c>
      <c r="M39" s="2">
        <v>110</v>
      </c>
      <c r="N39" s="2">
        <v>107</v>
      </c>
      <c r="O39" s="2">
        <v>114</v>
      </c>
      <c r="P39" s="2">
        <v>73</v>
      </c>
      <c r="Q39" s="2">
        <v>42</v>
      </c>
      <c r="R39" s="2">
        <v>47</v>
      </c>
      <c r="S39" s="2">
        <v>57</v>
      </c>
      <c r="T39" s="2">
        <v>18</v>
      </c>
      <c r="U39" s="2">
        <v>13</v>
      </c>
      <c r="V39" s="2">
        <v>29</v>
      </c>
      <c r="W39" s="2">
        <v>27</v>
      </c>
      <c r="X39" s="2">
        <v>29</v>
      </c>
      <c r="Y39" s="2">
        <v>73</v>
      </c>
      <c r="Z39" s="2">
        <v>42</v>
      </c>
      <c r="AA39" s="2">
        <v>47</v>
      </c>
      <c r="AB39" s="2">
        <v>25</v>
      </c>
      <c r="AC39" s="2">
        <v>18</v>
      </c>
      <c r="AD39" s="2">
        <v>29</v>
      </c>
      <c r="AE39" s="2">
        <v>27</v>
      </c>
      <c r="AF39" s="2">
        <v>29</v>
      </c>
      <c r="AG39" s="2">
        <v>73</v>
      </c>
      <c r="AH39" s="2">
        <v>42</v>
      </c>
      <c r="AI39" s="2">
        <v>97</v>
      </c>
      <c r="AJ39" s="2">
        <v>112</v>
      </c>
      <c r="AK39" s="2">
        <v>67</v>
      </c>
      <c r="AL39" s="2">
        <v>35</v>
      </c>
      <c r="AM39" s="2">
        <v>27</v>
      </c>
      <c r="AN39" s="2">
        <v>21</v>
      </c>
      <c r="AO39" s="2">
        <v>95</v>
      </c>
      <c r="AP39" s="8">
        <v>2</v>
      </c>
      <c r="AQ39" s="30" t="s">
        <v>147</v>
      </c>
    </row>
    <row r="40" spans="1:43" ht="30" customHeight="1" x14ac:dyDescent="0.25">
      <c r="A40" s="21" t="s">
        <v>150</v>
      </c>
      <c r="B40" s="23" t="s">
        <v>146</v>
      </c>
      <c r="C40" s="21" t="s">
        <v>79</v>
      </c>
      <c r="D40" s="9">
        <v>42</v>
      </c>
      <c r="E40" s="19" t="s">
        <v>32</v>
      </c>
      <c r="F40" s="9">
        <v>58</v>
      </c>
      <c r="G40" s="11" t="s">
        <v>80</v>
      </c>
      <c r="H40" s="11" t="s">
        <v>81</v>
      </c>
      <c r="I40" s="2">
        <v>45</v>
      </c>
      <c r="J40" s="2">
        <v>62</v>
      </c>
      <c r="K40" s="2">
        <v>19</v>
      </c>
      <c r="L40" s="2">
        <v>14</v>
      </c>
      <c r="M40" s="2">
        <v>100</v>
      </c>
      <c r="N40" s="2">
        <v>97</v>
      </c>
      <c r="O40" s="2">
        <v>102</v>
      </c>
      <c r="P40" s="2">
        <v>74</v>
      </c>
      <c r="Q40" s="2">
        <v>42</v>
      </c>
      <c r="R40" s="2">
        <v>45</v>
      </c>
      <c r="S40" s="2">
        <v>63</v>
      </c>
      <c r="T40" s="2">
        <v>17</v>
      </c>
      <c r="U40" s="2">
        <v>13</v>
      </c>
      <c r="V40" s="2">
        <v>28</v>
      </c>
      <c r="W40" s="2">
        <v>26</v>
      </c>
      <c r="X40" s="2">
        <v>28</v>
      </c>
      <c r="Y40" s="2">
        <v>74</v>
      </c>
      <c r="Z40" s="2">
        <v>42</v>
      </c>
      <c r="AA40" s="2">
        <v>45</v>
      </c>
      <c r="AB40" s="2">
        <v>26</v>
      </c>
      <c r="AC40" s="2">
        <v>17</v>
      </c>
      <c r="AD40" s="2">
        <v>28</v>
      </c>
      <c r="AE40" s="2">
        <v>26</v>
      </c>
      <c r="AF40" s="2">
        <v>28</v>
      </c>
      <c r="AG40" s="2">
        <v>74</v>
      </c>
      <c r="AH40" s="2">
        <v>42</v>
      </c>
      <c r="AI40" s="2">
        <v>88</v>
      </c>
      <c r="AJ40" s="2">
        <v>100</v>
      </c>
      <c r="AK40" s="2">
        <v>67</v>
      </c>
      <c r="AL40" s="2">
        <v>33</v>
      </c>
      <c r="AM40" s="2">
        <v>26</v>
      </c>
      <c r="AN40" s="2">
        <v>20</v>
      </c>
      <c r="AO40" s="2">
        <v>98</v>
      </c>
      <c r="AP40" s="8">
        <v>2</v>
      </c>
      <c r="AQ40" s="30" t="s">
        <v>147</v>
      </c>
    </row>
    <row r="41" spans="1:43" ht="30" customHeight="1" x14ac:dyDescent="0.25">
      <c r="A41" s="17"/>
      <c r="B41" s="23"/>
      <c r="C41" s="17"/>
      <c r="D41" s="9"/>
      <c r="E41" s="19"/>
      <c r="F41" s="9"/>
      <c r="G41" s="11"/>
      <c r="H41" s="11"/>
    </row>
    <row r="42" spans="1:43" ht="30" customHeight="1" x14ac:dyDescent="0.25">
      <c r="A42" s="17"/>
      <c r="B42" s="23"/>
      <c r="C42" s="17"/>
      <c r="D42" s="9"/>
      <c r="E42" s="19"/>
      <c r="F42" s="9"/>
      <c r="G42" s="11"/>
      <c r="H42" s="11"/>
    </row>
    <row r="43" spans="1:43" ht="30" customHeight="1" x14ac:dyDescent="0.25">
      <c r="A43" s="17"/>
      <c r="B43" s="23"/>
      <c r="C43" s="17"/>
      <c r="D43" s="9"/>
      <c r="E43" s="19"/>
      <c r="F43" s="9"/>
      <c r="G43" s="11"/>
      <c r="H43" s="11"/>
    </row>
    <row r="44" spans="1:43" ht="30" customHeight="1" x14ac:dyDescent="0.25">
      <c r="A44" s="17"/>
      <c r="B44" s="23"/>
      <c r="C44" s="17"/>
      <c r="D44" s="9"/>
      <c r="E44" s="19"/>
      <c r="F44" s="9"/>
      <c r="G44" s="11"/>
      <c r="H44" s="11"/>
      <c r="AQ44" s="16"/>
    </row>
    <row r="45" spans="1:43" ht="30" customHeight="1" x14ac:dyDescent="0.25">
      <c r="A45" s="17"/>
      <c r="B45" s="23"/>
      <c r="C45" s="17"/>
      <c r="D45" s="9"/>
      <c r="E45" s="19"/>
      <c r="F45" s="9"/>
      <c r="G45" s="11"/>
      <c r="H45" s="11"/>
      <c r="AQ45" s="16"/>
    </row>
    <row r="46" spans="1:43" ht="30" customHeight="1" x14ac:dyDescent="0.25">
      <c r="A46" s="17"/>
      <c r="B46" s="24"/>
      <c r="C46" s="17"/>
      <c r="D46" s="9"/>
      <c r="E46" s="19"/>
      <c r="F46" s="9"/>
      <c r="G46" s="11"/>
      <c r="H46" s="11"/>
      <c r="AO46" s="8"/>
      <c r="AQ46" s="16"/>
    </row>
    <row r="47" spans="1:43" ht="30" customHeight="1" x14ac:dyDescent="0.25">
      <c r="A47" s="17"/>
      <c r="B47" s="24"/>
      <c r="C47" s="17"/>
      <c r="D47" s="9"/>
      <c r="E47" s="19"/>
      <c r="F47" s="9"/>
      <c r="G47" s="11"/>
      <c r="H47" s="11"/>
      <c r="AQ47" s="16"/>
    </row>
    <row r="48" spans="1:43" ht="30" customHeight="1" x14ac:dyDescent="0.25">
      <c r="A48" s="17"/>
      <c r="B48" s="24"/>
      <c r="C48" s="17"/>
      <c r="D48" s="9"/>
      <c r="E48" s="19"/>
      <c r="F48" s="9"/>
      <c r="G48" s="11"/>
      <c r="H48" s="11"/>
      <c r="AQ48" s="16"/>
    </row>
    <row r="49" spans="1:43" ht="30" customHeight="1" x14ac:dyDescent="0.25">
      <c r="A49" s="17"/>
      <c r="B49" s="24"/>
      <c r="C49" s="17"/>
      <c r="D49" s="9"/>
      <c r="E49" s="19"/>
      <c r="F49" s="9"/>
      <c r="G49" s="11"/>
      <c r="H49" s="11"/>
      <c r="AQ49" s="16"/>
    </row>
    <row r="50" spans="1:43" ht="30" customHeight="1" x14ac:dyDescent="0.25">
      <c r="A50" s="17"/>
      <c r="B50" s="24"/>
      <c r="C50" s="17"/>
      <c r="D50" s="9"/>
      <c r="E50" s="19"/>
      <c r="F50" s="9"/>
      <c r="G50" s="11"/>
      <c r="H50" s="11"/>
      <c r="AQ50" s="16"/>
    </row>
    <row r="51" spans="1:43" ht="30" customHeight="1" x14ac:dyDescent="0.25">
      <c r="A51" s="17"/>
      <c r="B51" s="24"/>
      <c r="C51" s="17"/>
      <c r="D51" s="9"/>
      <c r="E51" s="19"/>
      <c r="F51" s="9"/>
      <c r="G51" s="11"/>
      <c r="H51" s="11"/>
      <c r="AQ51" s="16"/>
    </row>
    <row r="52" spans="1:43" ht="30" customHeight="1" x14ac:dyDescent="0.25">
      <c r="A52" s="17"/>
      <c r="B52" s="24"/>
      <c r="C52" s="17"/>
      <c r="D52" s="9"/>
      <c r="E52" s="19"/>
      <c r="F52" s="9"/>
      <c r="G52" s="11"/>
      <c r="H52" s="11"/>
      <c r="AQ52" s="16"/>
    </row>
    <row r="53" spans="1:43" ht="30" customHeight="1" x14ac:dyDescent="0.25">
      <c r="A53" s="17"/>
      <c r="B53" s="24"/>
      <c r="C53" s="17"/>
      <c r="D53" s="9"/>
      <c r="E53" s="19"/>
      <c r="F53" s="9"/>
      <c r="G53" s="11"/>
      <c r="H53" s="11"/>
      <c r="AQ53" s="16"/>
    </row>
    <row r="54" spans="1:43" ht="30" customHeight="1" x14ac:dyDescent="0.25">
      <c r="A54" s="17"/>
      <c r="B54" s="24"/>
      <c r="C54" s="17"/>
      <c r="D54" s="9"/>
      <c r="E54" s="19"/>
      <c r="F54" s="9"/>
      <c r="G54" s="11"/>
      <c r="H54" s="11"/>
      <c r="AQ54" s="16"/>
    </row>
    <row r="55" spans="1:43" ht="30" customHeight="1" x14ac:dyDescent="0.25">
      <c r="A55" s="17"/>
      <c r="B55" s="24"/>
      <c r="C55" s="17"/>
      <c r="D55" s="9"/>
      <c r="E55" s="19"/>
      <c r="F55" s="9"/>
      <c r="G55" s="11"/>
      <c r="H55" s="11"/>
      <c r="AQ55" s="16"/>
    </row>
    <row r="56" spans="1:43" ht="30" customHeight="1" x14ac:dyDescent="0.25">
      <c r="A56" s="17"/>
      <c r="B56" s="24"/>
      <c r="C56" s="17"/>
      <c r="D56" s="9"/>
      <c r="E56" s="19"/>
      <c r="F56" s="9"/>
      <c r="G56" s="11"/>
      <c r="H56" s="11"/>
      <c r="AQ56" s="16"/>
    </row>
    <row r="57" spans="1:43" ht="30" customHeight="1" x14ac:dyDescent="0.25">
      <c r="A57" s="17"/>
      <c r="B57" s="24"/>
      <c r="C57" s="17"/>
      <c r="D57" s="9"/>
      <c r="E57" s="19"/>
      <c r="F57" s="9"/>
      <c r="G57" s="11"/>
      <c r="H57" s="11"/>
      <c r="AQ57" s="16"/>
    </row>
    <row r="58" spans="1:43" ht="30" customHeight="1" x14ac:dyDescent="0.25">
      <c r="A58" s="17"/>
      <c r="B58" s="24"/>
      <c r="C58" s="17"/>
      <c r="D58" s="9"/>
      <c r="E58" s="19"/>
      <c r="F58" s="9"/>
      <c r="G58" s="11"/>
      <c r="H58" s="11"/>
      <c r="AQ58" s="16"/>
    </row>
    <row r="59" spans="1:43" ht="30" customHeight="1" x14ac:dyDescent="0.25">
      <c r="A59" s="17"/>
      <c r="B59" s="24"/>
      <c r="C59" s="17"/>
      <c r="D59" s="9"/>
      <c r="E59" s="19"/>
      <c r="F59" s="9"/>
      <c r="G59" s="11"/>
      <c r="H59" s="11"/>
      <c r="AQ59" s="16"/>
    </row>
    <row r="60" spans="1:43" ht="30" customHeight="1" x14ac:dyDescent="0.25">
      <c r="A60" s="17"/>
      <c r="B60" s="24"/>
      <c r="C60" s="17"/>
      <c r="D60" s="9"/>
      <c r="E60" s="19"/>
      <c r="F60" s="9"/>
      <c r="G60" s="11"/>
      <c r="H60" s="11"/>
      <c r="AQ60" s="16"/>
    </row>
    <row r="61" spans="1:43" ht="30" customHeight="1" x14ac:dyDescent="0.25">
      <c r="A61" s="17"/>
      <c r="B61" s="24"/>
      <c r="C61" s="17"/>
      <c r="D61" s="9"/>
      <c r="E61" s="19"/>
      <c r="F61" s="9"/>
      <c r="G61" s="11"/>
      <c r="H61" s="11"/>
      <c r="AQ61" s="16"/>
    </row>
    <row r="62" spans="1:43" ht="30" customHeight="1" x14ac:dyDescent="0.25">
      <c r="A62" s="17"/>
      <c r="B62" s="24"/>
      <c r="C62" s="17"/>
      <c r="D62" s="9"/>
      <c r="E62" s="19"/>
      <c r="F62" s="9"/>
      <c r="G62" s="11"/>
      <c r="H62" s="11"/>
      <c r="AQ62" s="16"/>
    </row>
    <row r="63" spans="1:43" ht="30" customHeight="1" x14ac:dyDescent="0.25">
      <c r="A63" s="17"/>
      <c r="B63" s="24"/>
      <c r="C63" s="17"/>
      <c r="D63" s="9"/>
      <c r="E63" s="19"/>
      <c r="F63" s="9"/>
      <c r="G63" s="11"/>
      <c r="H63" s="11"/>
      <c r="AQ63" s="16"/>
    </row>
    <row r="64" spans="1:43" ht="30" customHeight="1" x14ac:dyDescent="0.25">
      <c r="A64" s="17"/>
      <c r="B64" s="24"/>
      <c r="C64" s="17"/>
      <c r="D64" s="9"/>
      <c r="E64" s="19"/>
      <c r="F64" s="9"/>
      <c r="G64" s="11"/>
      <c r="H64" s="11"/>
      <c r="AQ64" s="16"/>
    </row>
    <row r="65" spans="1:43" ht="30" customHeight="1" x14ac:dyDescent="0.25">
      <c r="A65" s="17"/>
      <c r="B65" s="24"/>
      <c r="C65" s="17"/>
      <c r="D65" s="9"/>
      <c r="E65" s="19"/>
      <c r="F65" s="9"/>
      <c r="G65" s="11"/>
      <c r="H65" s="11"/>
      <c r="AQ65" s="16"/>
    </row>
    <row r="66" spans="1:43" ht="30" customHeight="1" x14ac:dyDescent="0.25">
      <c r="A66" s="17"/>
      <c r="B66" s="24"/>
      <c r="C66" s="17"/>
      <c r="D66" s="9"/>
      <c r="E66" s="19"/>
      <c r="F66" s="9"/>
      <c r="G66" s="11"/>
      <c r="H66" s="11"/>
      <c r="AQ66" s="16"/>
    </row>
    <row r="67" spans="1:43" ht="30" customHeight="1" x14ac:dyDescent="0.25">
      <c r="A67" s="17"/>
      <c r="B67" s="24"/>
      <c r="C67" s="17"/>
      <c r="D67" s="9"/>
      <c r="E67" s="19"/>
      <c r="F67" s="9"/>
      <c r="G67" s="11"/>
      <c r="H67" s="11"/>
      <c r="AQ67" s="16"/>
    </row>
    <row r="68" spans="1:43" ht="30" customHeight="1" x14ac:dyDescent="0.25">
      <c r="A68" s="17"/>
      <c r="B68" s="24"/>
      <c r="C68" s="17"/>
      <c r="D68" s="9"/>
      <c r="E68" s="19"/>
      <c r="F68" s="9"/>
      <c r="G68" s="11"/>
      <c r="H68" s="11"/>
      <c r="AQ68" s="16"/>
    </row>
    <row r="69" spans="1:43" ht="30" customHeight="1" x14ac:dyDescent="0.25">
      <c r="A69" s="17"/>
      <c r="B69" s="24"/>
      <c r="C69" s="17"/>
      <c r="D69" s="9"/>
      <c r="E69" s="19"/>
      <c r="F69" s="9"/>
      <c r="G69" s="11"/>
      <c r="H69" s="11"/>
      <c r="AQ69" s="16"/>
    </row>
    <row r="70" spans="1:43" ht="30" customHeight="1" x14ac:dyDescent="0.25">
      <c r="A70" s="17"/>
      <c r="B70" s="24"/>
      <c r="C70" s="17"/>
      <c r="D70" s="9"/>
      <c r="E70" s="19"/>
      <c r="F70" s="9"/>
      <c r="G70" s="11"/>
      <c r="H70" s="11"/>
      <c r="AQ70" s="16"/>
    </row>
    <row r="71" spans="1:43" ht="30" customHeight="1" x14ac:dyDescent="0.25">
      <c r="A71" s="17"/>
      <c r="B71" s="24"/>
      <c r="C71" s="17"/>
      <c r="D71" s="9"/>
      <c r="E71" s="19"/>
      <c r="F71" s="9"/>
      <c r="G71" s="11"/>
      <c r="H71" s="11"/>
      <c r="AQ71" s="16"/>
    </row>
    <row r="72" spans="1:43" ht="30" customHeight="1" x14ac:dyDescent="0.25">
      <c r="A72" s="17"/>
      <c r="B72" s="24"/>
      <c r="C72" s="17"/>
      <c r="D72" s="9"/>
      <c r="E72" s="19"/>
      <c r="F72" s="9"/>
      <c r="G72" s="11"/>
      <c r="H72" s="11"/>
    </row>
    <row r="73" spans="1:43" ht="30" customHeight="1" x14ac:dyDescent="0.25">
      <c r="A73" s="17"/>
      <c r="B73" s="24"/>
      <c r="C73" s="17"/>
      <c r="D73" s="9"/>
      <c r="E73" s="19"/>
      <c r="F73" s="9"/>
      <c r="G73" s="11"/>
      <c r="H73" s="11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4" sqref="F4:F13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3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51</v>
      </c>
      <c r="E3" t="s">
        <v>43</v>
      </c>
      <c r="G3" t="s">
        <v>52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14</v>
      </c>
      <c r="E4">
        <v>37</v>
      </c>
      <c r="F4">
        <f>COUNTIF(SEMUA!$D$1:$D$60,E4)</f>
        <v>0</v>
      </c>
      <c r="J4" s="5">
        <v>53</v>
      </c>
      <c r="K4">
        <f>COUNTIF(SEMUA!$F$2:$F$60,J4)</f>
        <v>4</v>
      </c>
    </row>
    <row r="5" spans="1:11" ht="15.75" x14ac:dyDescent="0.25">
      <c r="A5" s="4" t="s">
        <v>31</v>
      </c>
      <c r="B5">
        <f>COUNTIF(SEMUA!$E$2:$E$60,REKAP!A5)</f>
        <v>9</v>
      </c>
      <c r="E5">
        <v>38</v>
      </c>
      <c r="F5">
        <f>COUNTIF(SEMUA!$D$1:$D$60,E5)</f>
        <v>0</v>
      </c>
      <c r="J5" s="5">
        <v>54</v>
      </c>
      <c r="K5">
        <f>COUNTIF(SEMUA!$F$2:$F$60,J5)</f>
        <v>0</v>
      </c>
    </row>
    <row r="6" spans="1:11" ht="15.75" x14ac:dyDescent="0.25">
      <c r="A6" s="4" t="s">
        <v>35</v>
      </c>
      <c r="B6">
        <f>COUNTIF(SEMUA!$E$2:$E$60,REKAP!A6)</f>
        <v>0</v>
      </c>
      <c r="E6" s="5">
        <v>39</v>
      </c>
      <c r="F6">
        <f>COUNTIF(SEMUA!$D$1:$D$60,E6)</f>
        <v>2</v>
      </c>
      <c r="G6">
        <v>4</v>
      </c>
      <c r="H6">
        <v>7</v>
      </c>
      <c r="J6" s="5">
        <v>55</v>
      </c>
      <c r="K6">
        <f>COUNTIF(SEMUA!$F$2:$F$60,J6)</f>
        <v>6</v>
      </c>
    </row>
    <row r="7" spans="1:11" ht="15.75" x14ac:dyDescent="0.25">
      <c r="A7" s="4" t="s">
        <v>34</v>
      </c>
      <c r="B7">
        <f>COUNTIF(SEMUA!$E$2:$E$60,REKAP!A7)</f>
        <v>11</v>
      </c>
      <c r="E7" s="5">
        <v>40</v>
      </c>
      <c r="F7">
        <f>COUNTIF(SEMUA!$D$1:$D$60,E7)</f>
        <v>3</v>
      </c>
      <c r="G7">
        <v>2</v>
      </c>
      <c r="H7">
        <v>6</v>
      </c>
      <c r="J7" s="5">
        <v>56</v>
      </c>
      <c r="K7">
        <f>COUNTIF(SEMUA!$F$2:$F$60,J7)</f>
        <v>14</v>
      </c>
    </row>
    <row r="8" spans="1:11" ht="15.75" x14ac:dyDescent="0.25">
      <c r="A8" s="4" t="s">
        <v>33</v>
      </c>
      <c r="B8">
        <f>COUNTIF(SEMUA!$E$2:$E$60,REKAP!A8)</f>
        <v>5</v>
      </c>
      <c r="E8" s="5">
        <v>41</v>
      </c>
      <c r="F8">
        <f>COUNTIF(SEMUA!$D$1:$D$60,E8)</f>
        <v>13</v>
      </c>
      <c r="H8">
        <v>5</v>
      </c>
      <c r="J8" s="5">
        <v>57</v>
      </c>
      <c r="K8">
        <f>COUNTIF(SEMUA!$F$2:$F$60,J8)</f>
        <v>8</v>
      </c>
    </row>
    <row r="9" spans="1:11" ht="15.75" x14ac:dyDescent="0.25">
      <c r="A9" s="4" t="s">
        <v>36</v>
      </c>
      <c r="B9">
        <f>COUNTIF(SEMUA!$E$2:$E$60,REKAP!A9)</f>
        <v>0</v>
      </c>
      <c r="E9" s="5">
        <v>42</v>
      </c>
      <c r="F9">
        <f>COUNTIF(SEMUA!$D$1:$D$60,E9)</f>
        <v>11</v>
      </c>
      <c r="H9">
        <v>5</v>
      </c>
      <c r="J9" s="5">
        <v>58</v>
      </c>
      <c r="K9">
        <f>COUNTIF(SEMUA!$F$2:$F$60,J9)</f>
        <v>5</v>
      </c>
    </row>
    <row r="10" spans="1:11" ht="15.75" x14ac:dyDescent="0.25">
      <c r="A10" s="4" t="s">
        <v>37</v>
      </c>
      <c r="B10">
        <f>COUNTIF(SEMUA!$E$2:$E$60,REKAP!A10)</f>
        <v>0</v>
      </c>
      <c r="E10" s="5">
        <v>43</v>
      </c>
      <c r="F10">
        <f>COUNTIF(SEMUA!$D$1:$D$60,E10)</f>
        <v>7</v>
      </c>
      <c r="H10">
        <v>2</v>
      </c>
      <c r="J10" s="5">
        <v>59</v>
      </c>
      <c r="K10">
        <f>COUNTIF(SEMUA!$F$2:$F$60,J10)</f>
        <v>2</v>
      </c>
    </row>
    <row r="11" spans="1:11" ht="15.75" x14ac:dyDescent="0.25">
      <c r="A11" s="6" t="s">
        <v>44</v>
      </c>
      <c r="B11" s="7">
        <f>SUM(B4:B10)</f>
        <v>39</v>
      </c>
      <c r="C11" s="7">
        <f>SUM(C4:C10)</f>
        <v>0</v>
      </c>
      <c r="D11" s="7"/>
      <c r="E11" s="5">
        <v>44</v>
      </c>
      <c r="F11">
        <f>COUNTIF(SEMUA!$D$1:$D$60,E11)</f>
        <v>2</v>
      </c>
      <c r="J11" s="1">
        <v>60</v>
      </c>
      <c r="K11">
        <f>COUNTIF(SEMUA!$F$2:$F$60,J11)</f>
        <v>0</v>
      </c>
    </row>
    <row r="12" spans="1:11" ht="15.75" x14ac:dyDescent="0.25">
      <c r="E12" s="5">
        <v>45</v>
      </c>
      <c r="F12">
        <f>COUNTIF(SEMUA!$D$1:$D$60,E12)</f>
        <v>1</v>
      </c>
      <c r="K12">
        <f>SUM(K4:K11)</f>
        <v>39</v>
      </c>
    </row>
    <row r="13" spans="1:11" ht="15.75" x14ac:dyDescent="0.25">
      <c r="E13" s="5">
        <v>46</v>
      </c>
      <c r="F13">
        <f>COUNTIF(SEMUA!$D$1:$D$60,E13)</f>
        <v>0</v>
      </c>
    </row>
    <row r="14" spans="1:11" ht="15.75" x14ac:dyDescent="0.25">
      <c r="E14" s="5"/>
      <c r="F14">
        <f>SUM(F4:F13)</f>
        <v>39</v>
      </c>
      <c r="H14">
        <f>SUM(H4:H13)</f>
        <v>25</v>
      </c>
    </row>
    <row r="15" spans="1:11" ht="15.75" x14ac:dyDescent="0.25">
      <c r="E15" s="5"/>
    </row>
    <row r="16" spans="1:11" ht="15.75" x14ac:dyDescent="0.25">
      <c r="E16" s="5"/>
    </row>
    <row r="17" spans="5:5" ht="15.75" x14ac:dyDescent="0.25">
      <c r="E17" s="5"/>
    </row>
    <row r="18" spans="5:5" ht="15.75" x14ac:dyDescent="0.25">
      <c r="E18" s="5"/>
    </row>
    <row r="19" spans="5:5" ht="15.75" x14ac:dyDescent="0.25">
      <c r="E19" s="5"/>
    </row>
    <row r="20" spans="5:5" ht="15.75" x14ac:dyDescent="0.25">
      <c r="E20" s="5"/>
    </row>
    <row r="21" spans="5:5" ht="15.75" x14ac:dyDescent="0.25">
      <c r="E21" s="5"/>
    </row>
    <row r="22" spans="5:5" ht="15.75" x14ac:dyDescent="0.25">
      <c r="E22" s="5"/>
    </row>
    <row r="23" spans="5:5" ht="15.75" x14ac:dyDescent="0.25">
      <c r="E23" s="5"/>
    </row>
    <row r="24" spans="5:5" ht="15.75" x14ac:dyDescent="0.25">
      <c r="E24" s="5"/>
    </row>
    <row r="25" spans="5:5" ht="15.75" x14ac:dyDescent="0.25">
      <c r="E25" s="5"/>
    </row>
    <row r="26" spans="5:5" ht="15.75" x14ac:dyDescent="0.25">
      <c r="E26" s="5"/>
    </row>
    <row r="27" spans="5:5" ht="15.75" x14ac:dyDescent="0.25">
      <c r="E27" s="5"/>
    </row>
    <row r="28" spans="5:5" ht="15.75" x14ac:dyDescent="0.25">
      <c r="E28" s="5"/>
    </row>
    <row r="29" spans="5:5" ht="15.75" x14ac:dyDescent="0.25">
      <c r="E29" s="5"/>
    </row>
    <row r="30" spans="5:5" ht="15.75" x14ac:dyDescent="0.25">
      <c r="E30" s="5"/>
    </row>
    <row r="31" spans="5:5" ht="15.75" x14ac:dyDescent="0.25">
      <c r="E31" s="5"/>
    </row>
    <row r="32" spans="5:5" ht="15.75" x14ac:dyDescent="0.25">
      <c r="E32" s="5"/>
    </row>
    <row r="33" spans="5:5" ht="15.75" x14ac:dyDescent="0.25">
      <c r="E33" s="5"/>
    </row>
    <row r="34" spans="5:5" ht="15.75" x14ac:dyDescent="0.25">
      <c r="E34" s="5"/>
    </row>
    <row r="35" spans="5:5" ht="15.75" x14ac:dyDescent="0.25">
      <c r="E35" s="5"/>
    </row>
    <row r="36" spans="5:5" ht="15.75" x14ac:dyDescent="0.25">
      <c r="E36" s="5"/>
    </row>
    <row r="37" spans="5:5" ht="15.75" x14ac:dyDescent="0.25">
      <c r="E37" s="5"/>
    </row>
    <row r="38" spans="5:5" ht="15.75" x14ac:dyDescent="0.25">
      <c r="E38" s="5"/>
    </row>
    <row r="39" spans="5:5" ht="15.75" x14ac:dyDescent="0.25">
      <c r="E39" s="5"/>
    </row>
    <row r="40" spans="5:5" ht="15.75" x14ac:dyDescent="0.25">
      <c r="E40" s="5"/>
    </row>
    <row r="41" spans="5:5" ht="15.75" x14ac:dyDescent="0.25">
      <c r="E41" s="5"/>
    </row>
    <row r="42" spans="5:5" ht="15.75" x14ac:dyDescent="0.25">
      <c r="E42" s="5"/>
    </row>
    <row r="43" spans="5:5" ht="15.75" x14ac:dyDescent="0.25">
      <c r="E43" s="5"/>
    </row>
    <row r="44" spans="5:5" ht="15.75" x14ac:dyDescent="0.25">
      <c r="E44" s="5"/>
    </row>
    <row r="45" spans="5:5" ht="15.75" x14ac:dyDescent="0.25">
      <c r="E45" s="5"/>
    </row>
    <row r="46" spans="5:5" ht="15.75" x14ac:dyDescent="0.25">
      <c r="E46" s="5"/>
    </row>
    <row r="47" spans="5:5" ht="15.75" x14ac:dyDescent="0.25">
      <c r="E47" s="5"/>
    </row>
    <row r="48" spans="5:5" ht="15.75" x14ac:dyDescent="0.25">
      <c r="E48" s="5"/>
    </row>
    <row r="49" spans="5:5" ht="15.75" x14ac:dyDescent="0.25">
      <c r="E49" s="5"/>
    </row>
    <row r="50" spans="5:5" ht="15.75" x14ac:dyDescent="0.25">
      <c r="E50" s="5"/>
    </row>
    <row r="51" spans="5:5" ht="15.75" x14ac:dyDescent="0.25">
      <c r="E51" s="5"/>
    </row>
    <row r="52" spans="5:5" ht="15.75" x14ac:dyDescent="0.25">
      <c r="E52" s="5"/>
    </row>
    <row r="53" spans="5:5" ht="15.75" x14ac:dyDescent="0.25">
      <c r="E53" s="5"/>
    </row>
    <row r="54" spans="5:5" ht="15.75" x14ac:dyDescent="0.25">
      <c r="E54" s="5"/>
    </row>
    <row r="55" spans="5:5" ht="15.75" x14ac:dyDescent="0.25">
      <c r="E55" s="5"/>
    </row>
    <row r="56" spans="5:5" ht="15.75" x14ac:dyDescent="0.25">
      <c r="E56" s="5"/>
    </row>
    <row r="57" spans="5:5" ht="15.75" x14ac:dyDescent="0.25">
      <c r="E57" s="5"/>
    </row>
    <row r="58" spans="5:5" ht="15.75" x14ac:dyDescent="0.25">
      <c r="E58" s="5"/>
    </row>
    <row r="59" spans="5:5" ht="15.75" x14ac:dyDescent="0.25">
      <c r="E59" s="5"/>
    </row>
    <row r="60" spans="5:5" ht="15.75" x14ac:dyDescent="0.25">
      <c r="E60" s="5"/>
    </row>
    <row r="61" spans="5:5" ht="15.75" x14ac:dyDescent="0.25">
      <c r="E61" s="5"/>
    </row>
    <row r="62" spans="5:5" ht="15.75" x14ac:dyDescent="0.25">
      <c r="E62" s="5"/>
    </row>
    <row r="63" spans="5:5" ht="15.75" x14ac:dyDescent="0.25">
      <c r="E63" s="5"/>
    </row>
    <row r="64" spans="5:5" ht="15.75" x14ac:dyDescent="0.25">
      <c r="E64" s="5"/>
    </row>
    <row r="65" spans="5:5" ht="15.75" x14ac:dyDescent="0.25">
      <c r="E65" s="5"/>
    </row>
    <row r="66" spans="5:5" ht="15.75" x14ac:dyDescent="0.25">
      <c r="E66" s="5"/>
    </row>
    <row r="67" spans="5:5" ht="15.75" x14ac:dyDescent="0.25">
      <c r="E67" s="5"/>
    </row>
    <row r="68" spans="5:5" ht="15.75" x14ac:dyDescent="0.25">
      <c r="E68" s="5"/>
    </row>
    <row r="69" spans="5:5" ht="15.75" x14ac:dyDescent="0.25">
      <c r="E69" s="5"/>
    </row>
    <row r="70" spans="5:5" ht="15.75" x14ac:dyDescent="0.25">
      <c r="E70" s="5"/>
    </row>
    <row r="71" spans="5:5" ht="15.75" x14ac:dyDescent="0.25">
      <c r="E71" s="5"/>
    </row>
    <row r="72" spans="5:5" ht="15.75" x14ac:dyDescent="0.25">
      <c r="E72" s="5"/>
    </row>
    <row r="73" spans="5:5" ht="15.75" x14ac:dyDescent="0.25">
      <c r="E73" s="5"/>
    </row>
    <row r="74" spans="5:5" ht="15.75" x14ac:dyDescent="0.25">
      <c r="E74" s="5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2021-11-12T22:24:54Z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