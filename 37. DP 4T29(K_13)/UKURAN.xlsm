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32CE3C02-663E-495E-A7D7-0F202746274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<sst xmlns="http://schemas.openxmlformats.org/spreadsheetml/2006/main" count="257" uniqueCount="124">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</sst>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5" activePane="bottomLeft" state="frozen"/>
      <selection pane="bottomLeft" activeCell="W21" sqref="W21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112</v>
      </c>
      <c r="S1" s="18" t="s">
        <v>113</v>
      </c>
      <c r="T1" s="18" t="s">
        <v>114</v>
      </c>
      <c r="U1" s="18" t="s">
        <v>115</v>
      </c>
      <c r="V1" s="18" t="s">
        <v>116</v>
      </c>
      <c r="W1" s="18" t="s">
        <v>117</v>
      </c>
      <c r="X1" s="18" t="s">
        <v>118</v>
      </c>
      <c r="Y1" s="18" t="s">
        <v>119</v>
      </c>
      <c r="Z1" s="18" t="s">
        <v>120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54</v>
      </c>
      <c r="B2" s="22" t="s">
        <v>83</v>
      </c>
      <c r="C2" s="21" t="s">
        <v>80</v>
      </c>
      <c r="D2" s="17">
        <v>42</v>
      </c>
      <c r="E2" s="17" t="s">
        <v>34</v>
      </c>
      <c r="F2" s="17">
        <v>56</v>
      </c>
      <c r="G2" s="11" t="s">
        <v>81</v>
      </c>
      <c r="H2" s="11" t="s">
        <v>82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110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55</v>
      </c>
      <c r="B3" s="23" t="s">
        <v>84</v>
      </c>
      <c r="C3" s="21" t="s">
        <v>80</v>
      </c>
      <c r="D3" s="17">
        <v>41</v>
      </c>
      <c r="E3" s="20" t="s">
        <v>31</v>
      </c>
      <c r="F3" s="2">
        <v>55</v>
      </c>
      <c r="G3" s="11" t="s">
        <v>81</v>
      </c>
      <c r="H3" s="11" t="s">
        <v>82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110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56</v>
      </c>
      <c r="B4" s="23" t="s">
        <v>85</v>
      </c>
      <c r="C4" s="21" t="s">
        <v>80</v>
      </c>
      <c r="D4" s="17">
        <v>41</v>
      </c>
      <c r="E4" s="17" t="s">
        <v>32</v>
      </c>
      <c r="F4" s="17">
        <v>57</v>
      </c>
      <c r="G4" s="11" t="s">
        <v>81</v>
      </c>
      <c r="H4" s="11" t="s">
        <v>82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110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57</v>
      </c>
      <c r="B5" s="23" t="s">
        <v>86</v>
      </c>
      <c r="C5" s="21" t="s">
        <v>80</v>
      </c>
      <c r="D5" s="17">
        <v>39</v>
      </c>
      <c r="E5" s="17" t="s">
        <v>31</v>
      </c>
      <c r="F5" s="17">
        <v>53</v>
      </c>
      <c r="G5" s="11" t="s">
        <v>81</v>
      </c>
      <c r="H5" s="11" t="s">
        <v>82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110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58</v>
      </c>
      <c r="B6" s="23" t="s">
        <v>87</v>
      </c>
      <c r="C6" s="21" t="s">
        <v>80</v>
      </c>
      <c r="D6" s="17">
        <v>43</v>
      </c>
      <c r="E6" s="17" t="s">
        <v>34</v>
      </c>
      <c r="F6" s="17">
        <v>58</v>
      </c>
      <c r="G6" s="11" t="s">
        <v>81</v>
      </c>
      <c r="H6" s="11" t="s">
        <v>82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110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59</v>
      </c>
      <c r="B7" s="23" t="s">
        <v>90</v>
      </c>
      <c r="C7" s="21" t="s">
        <v>80</v>
      </c>
      <c r="D7" s="17">
        <v>43</v>
      </c>
      <c r="E7" s="10" t="s">
        <v>34</v>
      </c>
      <c r="F7" s="10">
        <v>58</v>
      </c>
      <c r="G7" s="11" t="s">
        <v>81</v>
      </c>
      <c r="H7" s="11" t="s">
        <v>82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110</v>
      </c>
      <c r="AR7" s="16"/>
      <c r="AS7" s="16"/>
      <c r="AT7" s="16"/>
    </row>
    <row r="8" spans="1:1013" ht="30" customHeight="1" x14ac:dyDescent="0.25">
      <c r="A8" s="21" t="s">
        <v>60</v>
      </c>
      <c r="B8" s="23" t="s">
        <v>91</v>
      </c>
      <c r="C8" s="21" t="s">
        <v>80</v>
      </c>
      <c r="D8" s="17">
        <v>43</v>
      </c>
      <c r="E8" s="10" t="s">
        <v>34</v>
      </c>
      <c r="F8" s="10">
        <v>57</v>
      </c>
      <c r="G8" s="11" t="s">
        <v>81</v>
      </c>
      <c r="H8" s="11" t="s">
        <v>82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110</v>
      </c>
      <c r="AR8" s="16"/>
      <c r="AS8" s="16"/>
      <c r="AT8" s="16"/>
    </row>
    <row r="9" spans="1:1013" ht="30" customHeight="1" x14ac:dyDescent="0.25">
      <c r="A9" s="21" t="s">
        <v>61</v>
      </c>
      <c r="B9" s="23" t="s">
        <v>92</v>
      </c>
      <c r="C9" s="21" t="s">
        <v>80</v>
      </c>
      <c r="D9" s="17">
        <v>39</v>
      </c>
      <c r="E9" s="10" t="s">
        <v>31</v>
      </c>
      <c r="F9" s="10">
        <v>53</v>
      </c>
      <c r="G9" s="11" t="s">
        <v>81</v>
      </c>
      <c r="H9" s="11" t="s">
        <v>82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110</v>
      </c>
    </row>
    <row r="10" spans="1:1013" ht="30" customHeight="1" x14ac:dyDescent="0.25">
      <c r="A10" s="21" t="s">
        <v>62</v>
      </c>
      <c r="B10" s="23" t="s">
        <v>93</v>
      </c>
      <c r="C10" s="21" t="s">
        <v>80</v>
      </c>
      <c r="D10" s="17">
        <v>41</v>
      </c>
      <c r="E10" s="10" t="s">
        <v>33</v>
      </c>
      <c r="F10" s="10">
        <v>56</v>
      </c>
      <c r="G10" s="11" t="s">
        <v>81</v>
      </c>
      <c r="H10" s="11" t="s">
        <v>82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110</v>
      </c>
      <c r="AR10" s="16"/>
      <c r="AS10" s="16"/>
      <c r="AT10" s="16"/>
    </row>
    <row r="11" spans="1:1013" ht="30" customHeight="1" x14ac:dyDescent="0.25">
      <c r="A11" s="21" t="s">
        <v>63</v>
      </c>
      <c r="B11" s="23" t="s">
        <v>94</v>
      </c>
      <c r="C11" s="21" t="s">
        <v>80</v>
      </c>
      <c r="D11" s="9">
        <v>41</v>
      </c>
      <c r="E11" s="19" t="s">
        <v>32</v>
      </c>
      <c r="F11" s="9">
        <v>56</v>
      </c>
      <c r="G11" s="11" t="s">
        <v>81</v>
      </c>
      <c r="H11" s="11" t="s">
        <v>82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110</v>
      </c>
      <c r="AR11" s="16"/>
      <c r="AS11" s="16"/>
      <c r="AT11" s="16"/>
    </row>
    <row r="12" spans="1:1013" ht="30" customHeight="1" x14ac:dyDescent="0.25">
      <c r="A12" s="21" t="s">
        <v>64</v>
      </c>
      <c r="B12" s="23" t="s">
        <v>95</v>
      </c>
      <c r="C12" s="21" t="s">
        <v>80</v>
      </c>
      <c r="D12" s="17">
        <v>43</v>
      </c>
      <c r="E12" s="10" t="s">
        <v>34</v>
      </c>
      <c r="F12" s="10">
        <v>56</v>
      </c>
      <c r="G12" s="11" t="s">
        <v>81</v>
      </c>
      <c r="H12" s="11" t="s">
        <v>82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110</v>
      </c>
      <c r="AR12" s="16"/>
      <c r="AS12" s="16"/>
      <c r="AT12" s="16"/>
    </row>
    <row r="13" spans="1:1013" ht="30" customHeight="1" x14ac:dyDescent="0.25">
      <c r="A13" s="21" t="s">
        <v>65</v>
      </c>
      <c r="B13" s="23" t="s">
        <v>96</v>
      </c>
      <c r="C13" s="21" t="s">
        <v>80</v>
      </c>
      <c r="D13" s="17">
        <v>42</v>
      </c>
      <c r="E13" s="19" t="s">
        <v>34</v>
      </c>
      <c r="F13" s="9">
        <v>56</v>
      </c>
      <c r="G13" s="11" t="s">
        <v>81</v>
      </c>
      <c r="H13" s="11" t="s">
        <v>82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110</v>
      </c>
      <c r="AS13" s="16"/>
      <c r="AT13" s="16"/>
    </row>
    <row r="14" spans="1:1013" ht="30" customHeight="1" x14ac:dyDescent="0.25">
      <c r="A14" s="21" t="s">
        <v>66</v>
      </c>
      <c r="B14" s="23" t="s">
        <v>97</v>
      </c>
      <c r="C14" s="21" t="s">
        <v>80</v>
      </c>
      <c r="D14" s="17">
        <v>42</v>
      </c>
      <c r="E14" s="19" t="s">
        <v>31</v>
      </c>
      <c r="F14" s="9">
        <v>55</v>
      </c>
      <c r="G14" s="11" t="s">
        <v>81</v>
      </c>
      <c r="H14" s="11" t="s">
        <v>82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110</v>
      </c>
      <c r="AS14" s="16"/>
      <c r="AT14" s="16"/>
    </row>
    <row r="15" spans="1:1013" ht="30" customHeight="1" x14ac:dyDescent="0.25">
      <c r="A15" s="21" t="s">
        <v>67</v>
      </c>
      <c r="B15" s="23" t="s">
        <v>98</v>
      </c>
      <c r="C15" s="21" t="s">
        <v>80</v>
      </c>
      <c r="D15" s="17">
        <v>43</v>
      </c>
      <c r="E15" s="19" t="s">
        <v>34</v>
      </c>
      <c r="F15" s="9">
        <v>58</v>
      </c>
      <c r="G15" s="11" t="s">
        <v>81</v>
      </c>
      <c r="H15" s="11" t="s">
        <v>82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110</v>
      </c>
    </row>
    <row r="16" spans="1:1013" ht="30" customHeight="1" x14ac:dyDescent="0.25">
      <c r="A16" s="21" t="s">
        <v>68</v>
      </c>
      <c r="B16" s="23" t="s">
        <v>99</v>
      </c>
      <c r="C16" s="21" t="s">
        <v>80</v>
      </c>
      <c r="D16" s="17">
        <v>41</v>
      </c>
      <c r="E16" s="19" t="s">
        <v>31</v>
      </c>
      <c r="F16" s="9">
        <v>53</v>
      </c>
      <c r="G16" s="11" t="s">
        <v>81</v>
      </c>
      <c r="H16" s="11" t="s">
        <v>82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110</v>
      </c>
    </row>
    <row r="17" spans="1:43" ht="30" customHeight="1" x14ac:dyDescent="0.25">
      <c r="A17" s="21" t="s">
        <v>69</v>
      </c>
      <c r="B17" s="23" t="s">
        <v>100</v>
      </c>
      <c r="C17" s="21" t="s">
        <v>80</v>
      </c>
      <c r="D17" s="17">
        <v>43</v>
      </c>
      <c r="E17" s="19" t="s">
        <v>32</v>
      </c>
      <c r="F17" s="9">
        <v>56</v>
      </c>
      <c r="G17" s="11" t="s">
        <v>81</v>
      </c>
      <c r="H17" s="11" t="s">
        <v>82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110</v>
      </c>
    </row>
    <row r="18" spans="1:43" ht="30" customHeight="1" x14ac:dyDescent="0.25">
      <c r="A18" s="21" t="s">
        <v>70</v>
      </c>
      <c r="B18" s="23" t="s">
        <v>101</v>
      </c>
      <c r="C18" s="21" t="s">
        <v>80</v>
      </c>
      <c r="D18" s="17">
        <v>41</v>
      </c>
      <c r="E18" s="19" t="s">
        <v>34</v>
      </c>
      <c r="F18" s="2">
        <v>56</v>
      </c>
      <c r="G18" s="11" t="s">
        <v>81</v>
      </c>
      <c r="H18" s="11" t="s">
        <v>82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110</v>
      </c>
    </row>
    <row r="19" spans="1:43" ht="30" customHeight="1" x14ac:dyDescent="0.25">
      <c r="A19" s="21" t="s">
        <v>71</v>
      </c>
      <c r="B19" s="23" t="s">
        <v>102</v>
      </c>
      <c r="C19" s="21" t="s">
        <v>80</v>
      </c>
      <c r="D19" s="17">
        <v>42</v>
      </c>
      <c r="E19" s="19" t="s">
        <v>33</v>
      </c>
      <c r="F19" s="9">
        <v>57</v>
      </c>
      <c r="G19" s="11" t="s">
        <v>81</v>
      </c>
      <c r="H19" s="11" t="s">
        <v>82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123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88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110</v>
      </c>
    </row>
    <row r="20" spans="1:43" ht="30" customHeight="1" x14ac:dyDescent="0.25">
      <c r="A20" s="21" t="s">
        <v>72</v>
      </c>
      <c r="B20" s="23" t="s">
        <v>103</v>
      </c>
      <c r="C20" s="21" t="s">
        <v>80</v>
      </c>
      <c r="D20" s="17">
        <v>41</v>
      </c>
      <c r="E20" s="19" t="s">
        <v>32</v>
      </c>
      <c r="F20" s="9">
        <v>55</v>
      </c>
      <c r="G20" s="11" t="s">
        <v>81</v>
      </c>
      <c r="H20" s="11" t="s">
        <v>82</v>
      </c>
      <c r="I20" s="2">
        <v>43</v>
      </c>
      <c r="J20" s="2" t="s">
        <v>122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110</v>
      </c>
    </row>
    <row r="21" spans="1:43" ht="30" customHeight="1" x14ac:dyDescent="0.25">
      <c r="A21" s="21" t="s">
        <v>73</v>
      </c>
      <c r="B21" s="23" t="s">
        <v>104</v>
      </c>
      <c r="C21" s="21" t="s">
        <v>80</v>
      </c>
      <c r="D21" s="17">
        <v>41</v>
      </c>
      <c r="E21" s="19" t="s">
        <v>32</v>
      </c>
      <c r="F21" s="9">
        <v>56</v>
      </c>
      <c r="G21" s="11" t="s">
        <v>81</v>
      </c>
      <c r="H21" s="11" t="s">
        <v>82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110</v>
      </c>
    </row>
    <row r="22" spans="1:43" ht="30" customHeight="1" x14ac:dyDescent="0.25">
      <c r="A22" s="21" t="s">
        <v>74</v>
      </c>
      <c r="B22" s="23" t="s">
        <v>105</v>
      </c>
      <c r="C22" s="21" t="s">
        <v>80</v>
      </c>
      <c r="D22" s="17">
        <v>42</v>
      </c>
      <c r="E22" s="19" t="s">
        <v>34</v>
      </c>
      <c r="F22" s="9">
        <v>59</v>
      </c>
      <c r="G22" s="11" t="s">
        <v>81</v>
      </c>
      <c r="H22" s="11" t="s">
        <v>82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110</v>
      </c>
    </row>
    <row r="23" spans="1:43" ht="30" customHeight="1" x14ac:dyDescent="0.25">
      <c r="A23" s="21" t="s">
        <v>75</v>
      </c>
      <c r="B23" s="23" t="s">
        <v>106</v>
      </c>
      <c r="C23" s="21" t="s">
        <v>80</v>
      </c>
      <c r="D23" s="17">
        <v>42</v>
      </c>
      <c r="E23" s="19" t="s">
        <v>33</v>
      </c>
      <c r="F23" s="9">
        <v>56</v>
      </c>
      <c r="G23" s="11" t="s">
        <v>81</v>
      </c>
      <c r="H23" s="11" t="s">
        <v>82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110</v>
      </c>
    </row>
    <row r="24" spans="1:43" ht="30" customHeight="1" x14ac:dyDescent="0.25">
      <c r="A24" s="21" t="s">
        <v>76</v>
      </c>
      <c r="B24" s="23" t="s">
        <v>107</v>
      </c>
      <c r="C24" s="21" t="s">
        <v>80</v>
      </c>
      <c r="D24" s="17">
        <v>42</v>
      </c>
      <c r="E24" s="19" t="s">
        <v>34</v>
      </c>
      <c r="F24" s="9">
        <v>57</v>
      </c>
      <c r="G24" s="11" t="s">
        <v>81</v>
      </c>
      <c r="H24" s="11" t="s">
        <v>82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110</v>
      </c>
    </row>
    <row r="25" spans="1:43" ht="30" customHeight="1" x14ac:dyDescent="0.25">
      <c r="A25" s="21" t="s">
        <v>77</v>
      </c>
      <c r="B25" s="23" t="s">
        <v>108</v>
      </c>
      <c r="C25" s="21" t="s">
        <v>80</v>
      </c>
      <c r="D25" s="17">
        <v>40</v>
      </c>
      <c r="E25" s="19" t="s">
        <v>32</v>
      </c>
      <c r="F25" s="9">
        <v>56</v>
      </c>
      <c r="G25" s="11" t="s">
        <v>81</v>
      </c>
      <c r="H25" s="11" t="s">
        <v>82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110</v>
      </c>
    </row>
    <row r="26" spans="1:43" ht="30" customHeight="1" x14ac:dyDescent="0.25">
      <c r="A26" s="21" t="s">
        <v>78</v>
      </c>
      <c r="B26" s="23" t="s">
        <v>109</v>
      </c>
      <c r="C26" s="21" t="s">
        <v>80</v>
      </c>
      <c r="D26" s="17">
        <v>42</v>
      </c>
      <c r="E26" s="19" t="s">
        <v>32</v>
      </c>
      <c r="F26" s="9">
        <v>56</v>
      </c>
      <c r="G26" s="11" t="s">
        <v>81</v>
      </c>
      <c r="H26" s="11" t="s">
        <v>82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110</v>
      </c>
    </row>
    <row r="27" spans="1:43" ht="30" customHeight="1" x14ac:dyDescent="0.25">
      <c r="A27" s="21" t="s">
        <v>79</v>
      </c>
      <c r="B27" s="23" t="s">
        <v>89</v>
      </c>
      <c r="C27" s="21" t="s">
        <v>80</v>
      </c>
      <c r="D27" s="17">
        <v>43</v>
      </c>
      <c r="E27" s="19" t="s">
        <v>31</v>
      </c>
      <c r="F27" s="9">
        <v>55</v>
      </c>
      <c r="G27" s="11" t="s">
        <v>81</v>
      </c>
      <c r="H27" s="11" t="s">
        <v>82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110</v>
      </c>
    </row>
    <row r="28" spans="1:43" ht="30" customHeight="1" x14ac:dyDescent="0.25">
      <c r="A28" s="21" t="s">
        <v>121</v>
      </c>
      <c r="B28" s="23" t="s">
        <v>111</v>
      </c>
      <c r="C28" s="21" t="s">
        <v>80</v>
      </c>
      <c r="D28" s="17">
        <v>40</v>
      </c>
      <c r="E28" s="19" t="s">
        <v>34</v>
      </c>
      <c r="F28" s="9">
        <v>59</v>
      </c>
      <c r="G28" s="11" t="s">
        <v>81</v>
      </c>
      <c r="H28" s="11" t="s">
        <v>82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110</v>
      </c>
    </row>
    <row r="29" spans="1:43" ht="30" customHeight="1" x14ac:dyDescent="0.25">
      <c r="A29" s="17"/>
      <c r="B29" s="23"/>
      <c r="C29" s="21"/>
      <c r="D29" s="9"/>
      <c r="E29" s="19"/>
      <c r="F29" s="9"/>
      <c r="G29" s="11"/>
      <c r="H29" s="11"/>
      <c r="AQ29" s="15"/>
    </row>
    <row r="30" spans="1:43" ht="30" customHeight="1" x14ac:dyDescent="0.25">
      <c r="A30" s="21"/>
      <c r="B30" s="23"/>
      <c r="C30" s="21"/>
      <c r="D30" s="9"/>
      <c r="E30" s="19"/>
      <c r="F30" s="9"/>
      <c r="G30" s="11"/>
      <c r="H30" s="11"/>
      <c r="AQ30" s="15"/>
    </row>
    <row r="31" spans="1:43" ht="30" customHeight="1" x14ac:dyDescent="0.25">
      <c r="A31" s="17"/>
      <c r="B31" s="23"/>
      <c r="C31" s="21"/>
      <c r="D31" s="9"/>
      <c r="E31" s="19"/>
      <c r="F31" s="9"/>
      <c r="G31" s="11"/>
      <c r="H31" s="11"/>
      <c r="AQ31" s="15"/>
    </row>
    <row r="32" spans="1:43" ht="30" customHeight="1" x14ac:dyDescent="0.25">
      <c r="A32" s="21"/>
      <c r="B32" s="23"/>
      <c r="C32" s="21"/>
      <c r="D32" s="9"/>
      <c r="E32" s="19"/>
      <c r="F32" s="9"/>
      <c r="G32" s="11"/>
      <c r="H32" s="11"/>
      <c r="AQ32" s="15"/>
    </row>
    <row r="33" spans="1:43" ht="30" customHeight="1" x14ac:dyDescent="0.25">
      <c r="A33" s="17"/>
      <c r="B33" s="23"/>
      <c r="C33" s="21"/>
      <c r="D33" s="9"/>
      <c r="E33" s="19"/>
      <c r="F33" s="9"/>
      <c r="G33" s="11"/>
      <c r="H33" s="11"/>
      <c r="AQ33" s="15"/>
    </row>
    <row r="34" spans="1:43" ht="30" customHeight="1" x14ac:dyDescent="0.25">
      <c r="A34" s="21"/>
      <c r="B34" s="23"/>
      <c r="C34" s="21"/>
      <c r="D34" s="9"/>
      <c r="E34" s="19"/>
      <c r="F34" s="9"/>
      <c r="G34" s="11"/>
      <c r="H34" s="11"/>
      <c r="AQ34" s="15"/>
    </row>
    <row r="35" spans="1:43" ht="30" customHeight="1" x14ac:dyDescent="0.25">
      <c r="A35" s="17"/>
      <c r="B35" s="23"/>
      <c r="C35" s="21"/>
      <c r="D35" s="9"/>
      <c r="E35" s="19"/>
      <c r="F35" s="9"/>
      <c r="G35" s="11"/>
      <c r="H35" s="11"/>
      <c r="AN35" s="8"/>
      <c r="AO35" s="16"/>
      <c r="AQ35" s="15"/>
    </row>
    <row r="36" spans="1:43" ht="30" customHeight="1" x14ac:dyDescent="0.25">
      <c r="A36" s="21"/>
      <c r="B36" s="23"/>
      <c r="C36" s="21"/>
      <c r="D36" s="9"/>
      <c r="E36" s="19"/>
      <c r="F36" s="9"/>
      <c r="G36" s="11"/>
      <c r="H36" s="11"/>
      <c r="AQ36" s="15"/>
    </row>
    <row r="37" spans="1:43" ht="30" customHeight="1" x14ac:dyDescent="0.25">
      <c r="A37" s="17"/>
      <c r="B37" s="23"/>
      <c r="C37" s="21"/>
      <c r="D37" s="9"/>
      <c r="E37" s="19"/>
      <c r="F37" s="9"/>
      <c r="G37" s="11"/>
      <c r="H37" s="11"/>
      <c r="AQ37" s="15"/>
    </row>
    <row r="38" spans="1:43" ht="30" customHeight="1" x14ac:dyDescent="0.25">
      <c r="A38" s="17"/>
      <c r="B38" s="23"/>
      <c r="C38" s="17"/>
      <c r="D38" s="9"/>
      <c r="E38" s="19"/>
      <c r="F38" s="9"/>
      <c r="G38" s="11"/>
      <c r="H38" s="11"/>
    </row>
    <row r="39" spans="1:43" ht="30" customHeight="1" x14ac:dyDescent="0.25">
      <c r="A39" s="17"/>
      <c r="B39" s="23"/>
      <c r="C39" s="17"/>
      <c r="D39" s="9"/>
      <c r="E39" s="19"/>
      <c r="F39" s="9"/>
      <c r="G39" s="11"/>
      <c r="H39" s="11"/>
    </row>
    <row r="40" spans="1:43" ht="30" customHeight="1" x14ac:dyDescent="0.25">
      <c r="A40" s="17"/>
      <c r="B40" s="23"/>
      <c r="C40" s="17"/>
      <c r="D40" s="9"/>
      <c r="E40" s="19"/>
      <c r="F40" s="9"/>
      <c r="G40" s="11"/>
      <c r="H40" s="11"/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F3" t="s">
        <v>52</v>
      </c>
      <c r="G3" t="s">
        <v>53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E4">
        <v>37</v>
      </c>
      <c r="F4">
        <f>COUNTIF(SEMUA!$D$1:$D$60,E4)</f>
        <v>0</v>
      </c>
      <c r="J4" s="5">
        <v>53</v>
      </c>
      <c r="K4">
        <f>COUNTIF(SEMUA!$F$2:$F$60,J4)</f>
        <v>3</v>
      </c>
    </row>
    <row r="5" spans="1:11" ht="15.75" x14ac:dyDescent="0.25">
      <c r="A5" s="4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4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2</v>
      </c>
      <c r="G7">
        <v>2</v>
      </c>
      <c r="H7">
        <v>6</v>
      </c>
      <c r="J7" s="5">
        <v>56</v>
      </c>
      <c r="K7">
        <f>COUNTIF(SEMUA!$F$2:$F$60,J7)</f>
        <v>11</v>
      </c>
    </row>
    <row r="8" spans="1:11" ht="15.75" x14ac:dyDescent="0.25">
      <c r="A8" s="4" t="s">
        <v>33</v>
      </c>
      <c r="B8">
        <f>COUNTIF(SEMUA!$E$2:$E$60,REKAP!A8)</f>
        <v>3</v>
      </c>
      <c r="E8" s="5">
        <v>41</v>
      </c>
      <c r="F8">
        <f>COUNTIF(SEMUA!$D$1:$D$60,E8)</f>
        <v>8</v>
      </c>
      <c r="H8">
        <v>5</v>
      </c>
      <c r="J8" s="5">
        <v>57</v>
      </c>
      <c r="K8">
        <f>COUNTIF(SEMUA!$F$2:$F$60,J8)</f>
        <v>4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8</v>
      </c>
      <c r="H9">
        <v>5</v>
      </c>
      <c r="J9" s="5">
        <v>58</v>
      </c>
      <c r="K9">
        <f>COUNTIF(SEMUA!$F$2:$F$60,J9)</f>
        <v>3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27</v>
      </c>
      <c r="C11" s="7">
        <f>SUM(C4:C10)</f>
        <v>0</v>
      </c>
      <c r="D11" s="7"/>
      <c r="E11" s="5">
        <v>44</v>
      </c>
      <c r="F11">
        <f>COUNTIF(SEMUA!$D$1:$D$60,E11)</f>
        <v>0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0</v>
      </c>
      <c r="K12">
        <f>SUM(K4:K11)</f>
        <v>27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27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2021-10-27T14:53:45Z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