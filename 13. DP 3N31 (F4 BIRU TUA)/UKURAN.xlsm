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)\"/>
    </mc:Choice>
  </mc:AlternateContent>
  <xr:revisionPtr revIDLastSave="0" documentId="13_ncr:1_{DCF65644-3544-423E-A1F2-865ED6305AF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8" r:id="rId4"/>
  </sheets>
  <definedNames>
    <definedName name="_xlnm._FilterDatabase" localSheetId="3" hidden="1">CETAK!$A$1:$Q$43</definedName>
    <definedName name="_xlnm._FilterDatabase" localSheetId="0" hidden="1">SEMUA!$A$1:$AZ$43</definedName>
    <definedName name="_xlnm.Print_Titles" localSheetId="3">CETAK!$1:$1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<sst xmlns="http://schemas.openxmlformats.org/spreadsheetml/2006/main" count="523" uniqueCount="128">
  <si>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</si>
  <si>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</si>
  <si>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</si>
  <si>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</si>
  <si>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</si>
  <si>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</si>
  <si>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</si>
  <si>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</si>
  <si>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</si>
  <si>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</si>
  <si>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</si>
  <si>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</si>
  <si>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</si>
  <si>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</si>
  <si>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</si>
  <si>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</si>
  <si>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</si>
  <si>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</si>
  <si>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</si>
  <si>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</si>
  <si>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</si>
  <si>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</si>
  <si>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</si>
  <si>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</si>
  <si>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</si>
  <si>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</si>
  <si>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</si>
  <si>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</si>
  <si>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</si>
  <si>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</si>
  <si>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</si>
  <si>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</si>
  <si>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</si>
  <si>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</si>
  <si>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</si>
  <si>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</si>
  <si>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</si>
  <si>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</si>
  <si>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</si>
  <si>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</si>
  <si>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</si>
  <si>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</si>
  <si>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</si>
  <si>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</si>
  <si>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</si>
  <si>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</si>
  <si>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</si>
  <si>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</si>
  <si>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</si>
  <si>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</si>
  <si>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</si>
  <si>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</si>
  <si>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</si>
  <si>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</si>
  <si>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</si>
  <si>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</si>
  <si>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</si>
  <si>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</si>
  <si>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</si>
  <si>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</si>
  <si>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</si>
  <si>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</si>
  <si>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</si>
  <si>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</si>
  <si>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</si>
  <si>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</si>
  <si>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</si>
  <si>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</si>
  <si>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</si>
  <si>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</si>
  <si>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</si>
  <si>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</si>
  <si>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</si>
  <si>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</si>
  <si>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</si>
  <si>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</si>
  <si>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</si>
  <si>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</si>
  <si>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</si>
  <si>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</si>
  <si>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</si>
  <si>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</si>
  <si>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</si>
  <si>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</si>
  <si>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</si>
  <si>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</si>
  <si>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</si>
  <si>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</si>
  <si>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</si>
  <si>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</si>
  <si>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</si>
  <si>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</si>
  <si>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</si>
  <si>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</si>
  <si>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</si>
  <si>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</si>
  <si>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</si>
  <si>
    <t>CETAK KLAOS</t>
  </si>
  <si>
    <t>10 MEI</t>
  </si>
  <si>
    <t>CETAK SEPATU</t>
  </si>
  <si>
    <t>11 MEI</t>
  </si>
  <si>
    <t>SPT</t>
  </si>
  <si>
    <t>HENDRI RUSMAWARDANA</t>
  </si>
  <si>
    <t>30 MEI</t>
  </si>
  <si>
    <t>GANDIS AGUS S.</t>
  </si>
  <si>
    <t>M. ADI WIDAYANTO</t>
  </si>
  <si>
    <t>HENDRI TRIYULIANTO</t>
  </si>
  <si>
    <t>AGUS SANTOSO</t>
  </si>
  <si>
    <t>DARTO</t>
  </si>
  <si>
    <t>H17</t>
  </si>
  <si>
    <t>H18</t>
  </si>
  <si>
    <t>H19</t>
  </si>
  <si>
    <t>H20</t>
  </si>
  <si>
    <t>H21</t>
  </si>
  <si>
    <t>H22</t>
  </si>
  <si>
    <t>FIRDAUS AKBAR</t>
  </si>
  <si>
    <t>KAMIL BUDIA</t>
  </si>
  <si>
    <t>ARIK CAHYADI</t>
  </si>
  <si>
    <t>H23</t>
  </si>
  <si>
    <t>H24</t>
  </si>
  <si>
    <t>H25</t>
  </si>
  <si>
    <t>BAJU PDH</t>
  </si>
  <si>
    <t>CELANA</t>
  </si>
  <si>
    <t>BLACKNAVY</t>
  </si>
  <si>
    <t>BAJU PUTIH</t>
  </si>
  <si>
    <t>UB_9</t>
  </si>
  <si>
    <t>KET</t>
  </si>
  <si>
    <t>P/W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</si>
</sst>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1"/>
      <color rgb="FF000000"/>
      <name val="Arial"/>
      <family val="2"/>
      <charset val="1"/>
    </font>
    <font>
      <b/>
      <sz val="12"/>
      <color theme="1"/>
      <name val="Arial"/>
      <family val="2"/>
    </font>
    <font>
      <b/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1" fillId="0" borderId="0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16" fillId="0" borderId="0" xfId="15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 wrapText="1"/>
    </xf>
    <xf numFmtId="49" fontId="15" fillId="0" borderId="3" xfId="0" applyNumberFormat="1" applyFont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21" fillId="9" borderId="3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  <xf numFmtId="49" fontId="22" fillId="0" borderId="0" xfId="0" applyNumberFormat="1" applyFont="1" applyAlignment="1">
      <alignment horizontal="center"/>
    </xf>
    <xf numFmtId="49" fontId="0" fillId="0" borderId="2" xfId="0" applyNumberFormat="1" applyFont="1" applyBorder="1" applyAlignment="1">
      <alignment horizontal="left" vertical="center"/>
    </xf>
    <xf numFmtId="0" fontId="16" fillId="0" borderId="2" xfId="15" applyFont="1" applyBorder="1"/>
    <xf numFmtId="0" fontId="21" fillId="0" borderId="2" xfId="0" applyFont="1" applyBorder="1"/>
    <xf numFmtId="0" fontId="21" fillId="0" borderId="2" xfId="0" applyFont="1" applyBorder="1" applyAlignment="1">
      <alignment horizontal="center"/>
    </xf>
    <xf numFmtId="0" fontId="22" fillId="0" borderId="2" xfId="0" applyFont="1" applyBorder="1"/>
    <xf numFmtId="0" fontId="22" fillId="0" borderId="2" xfId="0" applyFont="1" applyBorder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55" zoomScaleNormal="55" workbookViewId="0">
      <pane ySplit="1" topLeftCell="A2" activePane="bottomLeft" state="frozen"/>
      <selection pane="bottomLeft" sqref="A1:F26"/>
    </sheetView>
  </sheetViews>
  <sheetFormatPr defaultColWidth="8.7109375" defaultRowHeight="15" x14ac:dyDescent="0.25"/>
  <cols>
    <col min="1" max="1" width="6.140625" style="1" bestFit="1" customWidth="1"/>
    <col min="2" max="2" width="35" style="2" bestFit="1" customWidth="1"/>
    <col min="3" max="3" width="22.7109375" style="1" bestFit="1" customWidth="1"/>
    <col min="4" max="4" width="9.28515625" style="1" customWidth="1"/>
    <col min="5" max="5" width="5.85546875" style="3" bestFit="1" customWidth="1"/>
    <col min="6" max="6" width="6.85546875" style="12" bestFit="1" customWidth="1"/>
    <col min="7" max="7" width="7.140625" style="3" bestFit="1" customWidth="1"/>
    <col min="8" max="12" width="7.7109375" style="3" customWidth="1"/>
    <col min="13" max="13" width="7.7109375" style="1" bestFit="1" customWidth="1"/>
    <col min="14" max="14" width="7.7109375" style="2" bestFit="1" customWidth="1"/>
    <col min="15" max="15" width="11.28515625" style="1" bestFit="1" customWidth="1"/>
    <col min="16" max="16" width="7.140625" style="2" bestFit="1" customWidth="1"/>
    <col min="17" max="22" width="7.7109375" style="2" bestFit="1" customWidth="1"/>
    <col min="23" max="23" width="11.85546875" style="3" bestFit="1" customWidth="1"/>
    <col min="24" max="24" width="9" style="3" bestFit="1" customWidth="1"/>
    <col min="25" max="32" width="9.42578125" style="3" bestFit="1" customWidth="1"/>
    <col min="33" max="41" width="6.42578125" style="3" bestFit="1" customWidth="1"/>
    <col min="42" max="42" width="11.42578125" style="2" bestFit="1" customWidth="1"/>
    <col min="43" max="43" width="13.7109375" style="2" bestFit="1" customWidth="1"/>
    <col min="44" max="44" width="11.42578125" style="2" bestFit="1" customWidth="1"/>
    <col min="45" max="45" width="15.7109375" style="2" bestFit="1" customWidth="1"/>
    <col min="46" max="46" width="17" style="2" bestFit="1" customWidth="1"/>
    <col min="47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39" t="s">
        <v>1</v>
      </c>
      <c r="C1" s="5" t="s">
        <v>2</v>
      </c>
      <c r="D1" s="5" t="s">
        <v>4</v>
      </c>
      <c r="E1" s="5" t="s">
        <v>5</v>
      </c>
      <c r="F1" s="11" t="s">
        <v>6</v>
      </c>
      <c r="G1" s="14" t="s">
        <v>7</v>
      </c>
      <c r="H1" s="14" t="s">
        <v>8</v>
      </c>
      <c r="I1" s="14" t="s">
        <v>9</v>
      </c>
      <c r="J1" s="14" t="s">
        <v>10</v>
      </c>
      <c r="K1" s="14" t="s">
        <v>11</v>
      </c>
      <c r="L1" s="14" t="s">
        <v>12</v>
      </c>
      <c r="M1" s="14" t="s">
        <v>13</v>
      </c>
      <c r="N1" s="14" t="s">
        <v>14</v>
      </c>
      <c r="O1" s="5" t="s">
        <v>3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5" t="s">
        <v>93</v>
      </c>
      <c r="X1" s="14" t="s">
        <v>22</v>
      </c>
      <c r="Y1" s="14" t="s">
        <v>23</v>
      </c>
      <c r="Z1" s="14" t="s">
        <v>24</v>
      </c>
      <c r="AA1" s="14" t="s">
        <v>25</v>
      </c>
      <c r="AB1" s="14" t="s">
        <v>26</v>
      </c>
      <c r="AC1" s="14" t="s">
        <v>27</v>
      </c>
      <c r="AD1" s="14" t="s">
        <v>28</v>
      </c>
      <c r="AE1" s="14" t="s">
        <v>29</v>
      </c>
      <c r="AF1" s="14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96</v>
      </c>
      <c r="AR1" s="2" t="s">
        <v>79</v>
      </c>
      <c r="AS1" s="2" t="s">
        <v>97</v>
      </c>
      <c r="AT1" s="2" t="s">
        <v>99</v>
      </c>
    </row>
    <row r="2" spans="1:1014" ht="28.15" customHeight="1" x14ac:dyDescent="0.25">
      <c r="A2" s="40" t="s">
        <v>58</v>
      </c>
      <c r="B2" s="41" t="s">
        <v>68</v>
      </c>
      <c r="C2" s="41" t="s">
        <v>73</v>
      </c>
      <c r="D2" s="42">
        <v>42</v>
      </c>
      <c r="E2" s="42">
        <v>58</v>
      </c>
      <c r="F2" s="42" t="s">
        <v>33</v>
      </c>
      <c r="G2" s="18">
        <v>50</v>
      </c>
      <c r="H2" s="18">
        <v>26</v>
      </c>
      <c r="I2" s="18">
        <v>20</v>
      </c>
      <c r="J2" s="18">
        <v>32</v>
      </c>
      <c r="K2" s="18">
        <v>32</v>
      </c>
      <c r="L2" s="18">
        <v>32</v>
      </c>
      <c r="M2" s="18">
        <v>74</v>
      </c>
      <c r="N2" s="18">
        <v>47</v>
      </c>
      <c r="O2" s="14" t="s">
        <v>46</v>
      </c>
      <c r="P2" s="18">
        <v>104</v>
      </c>
      <c r="Q2" s="18">
        <v>120</v>
      </c>
      <c r="R2" s="18">
        <v>75</v>
      </c>
      <c r="S2" s="18">
        <v>36</v>
      </c>
      <c r="T2" s="18">
        <v>28</v>
      </c>
      <c r="U2" s="18">
        <v>20</v>
      </c>
      <c r="V2" s="18">
        <v>95</v>
      </c>
      <c r="W2" s="14" t="s">
        <v>94</v>
      </c>
      <c r="X2" s="14">
        <v>50</v>
      </c>
      <c r="Y2" s="14">
        <v>60</v>
      </c>
      <c r="Z2" s="14">
        <v>20</v>
      </c>
      <c r="AA2" s="14">
        <v>16</v>
      </c>
      <c r="AB2" s="14">
        <v>110</v>
      </c>
      <c r="AC2" s="14">
        <v>110</v>
      </c>
      <c r="AD2" s="14">
        <v>120</v>
      </c>
      <c r="AE2" s="14">
        <v>74</v>
      </c>
      <c r="AF2" s="14">
        <v>47</v>
      </c>
      <c r="AG2" s="16">
        <v>50</v>
      </c>
      <c r="AH2" s="16">
        <v>61</v>
      </c>
      <c r="AI2" s="16">
        <v>19</v>
      </c>
      <c r="AJ2" s="16">
        <v>13</v>
      </c>
      <c r="AK2" s="16">
        <v>32</v>
      </c>
      <c r="AL2" s="16">
        <v>30</v>
      </c>
      <c r="AM2" s="16">
        <v>32</v>
      </c>
      <c r="AN2" s="16">
        <v>73</v>
      </c>
      <c r="AO2" s="16">
        <v>47</v>
      </c>
      <c r="AP2" s="2">
        <v>1</v>
      </c>
      <c r="AQ2" s="17">
        <v>44300</v>
      </c>
      <c r="AS2" s="2" t="s">
        <v>98</v>
      </c>
      <c r="AT2" s="2" t="s">
        <v>100</v>
      </c>
    </row>
    <row r="3" spans="1:1014" ht="28.15" customHeight="1" x14ac:dyDescent="0.25">
      <c r="A3" s="40" t="s">
        <v>59</v>
      </c>
      <c r="B3" s="41" t="s">
        <v>69</v>
      </c>
      <c r="C3" s="41" t="s">
        <v>73</v>
      </c>
      <c r="D3" s="42">
        <v>40</v>
      </c>
      <c r="E3" s="42">
        <v>56</v>
      </c>
      <c r="F3" s="42" t="s">
        <v>34</v>
      </c>
      <c r="G3" s="18">
        <v>46</v>
      </c>
      <c r="H3" s="18">
        <v>25</v>
      </c>
      <c r="I3" s="18">
        <v>18</v>
      </c>
      <c r="J3" s="18">
        <v>30</v>
      </c>
      <c r="K3" s="18">
        <v>29</v>
      </c>
      <c r="L3" s="18">
        <v>30</v>
      </c>
      <c r="M3" s="18">
        <v>70</v>
      </c>
      <c r="N3" s="18">
        <v>44</v>
      </c>
      <c r="O3" s="14" t="s">
        <v>46</v>
      </c>
      <c r="P3" s="2">
        <v>98</v>
      </c>
      <c r="Q3" s="18">
        <v>108</v>
      </c>
      <c r="R3" s="18">
        <v>68</v>
      </c>
      <c r="S3" s="18">
        <v>33</v>
      </c>
      <c r="T3" s="18">
        <v>27</v>
      </c>
      <c r="U3" s="18">
        <v>20</v>
      </c>
      <c r="V3" s="18">
        <v>94</v>
      </c>
      <c r="W3" s="14" t="s">
        <v>94</v>
      </c>
      <c r="X3" s="14">
        <v>466</v>
      </c>
      <c r="Y3" s="14">
        <v>57</v>
      </c>
      <c r="Z3" s="14">
        <v>18</v>
      </c>
      <c r="AA3" s="14">
        <v>15</v>
      </c>
      <c r="AB3" s="14">
        <v>100</v>
      </c>
      <c r="AC3" s="14">
        <v>95</v>
      </c>
      <c r="AD3" s="14">
        <v>110</v>
      </c>
      <c r="AE3" s="14">
        <v>70</v>
      </c>
      <c r="AF3" s="14">
        <v>44</v>
      </c>
      <c r="AG3" s="16">
        <v>46</v>
      </c>
      <c r="AH3" s="16">
        <v>58</v>
      </c>
      <c r="AI3" s="16">
        <v>18</v>
      </c>
      <c r="AJ3" s="16">
        <v>13</v>
      </c>
      <c r="AK3" s="16">
        <v>29</v>
      </c>
      <c r="AL3" s="16">
        <v>27</v>
      </c>
      <c r="AM3" s="16">
        <v>29</v>
      </c>
      <c r="AN3" s="16">
        <v>69</v>
      </c>
      <c r="AO3" s="16">
        <v>44</v>
      </c>
      <c r="AP3" s="2">
        <v>1</v>
      </c>
      <c r="AQ3" s="17">
        <v>44300</v>
      </c>
      <c r="AS3" s="2" t="s">
        <v>98</v>
      </c>
      <c r="AT3" s="2" t="s">
        <v>100</v>
      </c>
    </row>
    <row r="4" spans="1:1014" ht="28.15" customHeight="1" x14ac:dyDescent="0.25">
      <c r="A4" s="40" t="s">
        <v>60</v>
      </c>
      <c r="B4" s="41" t="s">
        <v>70</v>
      </c>
      <c r="C4" s="41" t="s">
        <v>73</v>
      </c>
      <c r="D4" s="42">
        <v>42</v>
      </c>
      <c r="E4" s="42">
        <v>58</v>
      </c>
      <c r="F4" s="42" t="s">
        <v>33</v>
      </c>
      <c r="G4" s="18">
        <v>50</v>
      </c>
      <c r="H4" s="18">
        <v>26</v>
      </c>
      <c r="I4" s="18">
        <v>19</v>
      </c>
      <c r="J4" s="18">
        <v>32</v>
      </c>
      <c r="K4" s="18">
        <v>32</v>
      </c>
      <c r="L4" s="18">
        <v>32</v>
      </c>
      <c r="M4" s="18">
        <v>76</v>
      </c>
      <c r="N4" s="18">
        <v>46</v>
      </c>
      <c r="O4" s="14" t="s">
        <v>46</v>
      </c>
      <c r="P4" s="18">
        <v>104</v>
      </c>
      <c r="Q4" s="18">
        <v>120</v>
      </c>
      <c r="R4" s="18">
        <v>80</v>
      </c>
      <c r="S4" s="18">
        <v>40</v>
      </c>
      <c r="T4" s="18">
        <v>28</v>
      </c>
      <c r="U4" s="18">
        <v>22</v>
      </c>
      <c r="V4" s="18">
        <v>97</v>
      </c>
      <c r="W4" s="14" t="s">
        <v>94</v>
      </c>
      <c r="X4" s="14">
        <v>50</v>
      </c>
      <c r="Y4" s="14">
        <v>60</v>
      </c>
      <c r="Z4" s="14">
        <v>19</v>
      </c>
      <c r="AA4" s="14">
        <v>15</v>
      </c>
      <c r="AB4" s="14">
        <v>118</v>
      </c>
      <c r="AC4" s="14">
        <v>110</v>
      </c>
      <c r="AD4" s="14">
        <v>120</v>
      </c>
      <c r="AE4" s="14">
        <v>76</v>
      </c>
      <c r="AF4" s="14">
        <v>46</v>
      </c>
      <c r="AG4" s="3">
        <v>50</v>
      </c>
      <c r="AH4" s="3">
        <v>61</v>
      </c>
      <c r="AI4" s="3">
        <v>19</v>
      </c>
      <c r="AJ4" s="3">
        <v>13</v>
      </c>
      <c r="AK4" s="16">
        <v>32</v>
      </c>
      <c r="AL4" s="16">
        <v>31</v>
      </c>
      <c r="AM4" s="16">
        <v>32</v>
      </c>
      <c r="AN4" s="16">
        <v>75</v>
      </c>
      <c r="AO4" s="16">
        <v>46</v>
      </c>
      <c r="AP4" s="2">
        <v>1</v>
      </c>
      <c r="AQ4" s="17">
        <v>44300</v>
      </c>
      <c r="AS4" s="2" t="s">
        <v>98</v>
      </c>
      <c r="AT4" s="2" t="s">
        <v>100</v>
      </c>
    </row>
    <row r="5" spans="1:1014" ht="28.15" customHeight="1" x14ac:dyDescent="0.25">
      <c r="A5" s="40" t="s">
        <v>61</v>
      </c>
      <c r="B5" s="41" t="s">
        <v>71</v>
      </c>
      <c r="C5" s="41" t="s">
        <v>73</v>
      </c>
      <c r="D5" s="42">
        <v>41</v>
      </c>
      <c r="E5" s="42">
        <v>56</v>
      </c>
      <c r="F5" s="42" t="s">
        <v>32</v>
      </c>
      <c r="G5" s="18">
        <v>46</v>
      </c>
      <c r="H5" s="18">
        <v>24</v>
      </c>
      <c r="I5" s="18">
        <v>18</v>
      </c>
      <c r="J5" s="18">
        <v>27</v>
      </c>
      <c r="K5" s="18">
        <v>26</v>
      </c>
      <c r="L5" s="18">
        <v>27</v>
      </c>
      <c r="M5" s="18">
        <v>70</v>
      </c>
      <c r="N5" s="18">
        <v>40</v>
      </c>
      <c r="O5" s="14" t="s">
        <v>46</v>
      </c>
      <c r="P5" s="18">
        <v>82</v>
      </c>
      <c r="Q5" s="18">
        <v>105</v>
      </c>
      <c r="R5" s="18">
        <v>65</v>
      </c>
      <c r="S5" s="18">
        <v>30</v>
      </c>
      <c r="T5" s="18">
        <v>24</v>
      </c>
      <c r="U5" s="18">
        <v>18</v>
      </c>
      <c r="V5" s="18">
        <v>97</v>
      </c>
      <c r="W5" s="14" t="s">
        <v>94</v>
      </c>
      <c r="X5" s="14">
        <v>46</v>
      </c>
      <c r="Y5" s="14">
        <v>63</v>
      </c>
      <c r="Z5" s="14">
        <v>18</v>
      </c>
      <c r="AA5" s="14">
        <v>15</v>
      </c>
      <c r="AB5" s="14">
        <v>95</v>
      </c>
      <c r="AC5" s="14">
        <v>85</v>
      </c>
      <c r="AD5" s="14">
        <v>105</v>
      </c>
      <c r="AE5" s="14">
        <v>70</v>
      </c>
      <c r="AF5" s="14">
        <v>40</v>
      </c>
      <c r="AG5" s="16">
        <v>44</v>
      </c>
      <c r="AH5" s="16">
        <v>64</v>
      </c>
      <c r="AI5" s="16">
        <v>16</v>
      </c>
      <c r="AJ5" s="16">
        <v>12</v>
      </c>
      <c r="AK5" s="16">
        <v>27</v>
      </c>
      <c r="AL5" s="16">
        <v>26</v>
      </c>
      <c r="AM5" s="16">
        <v>27</v>
      </c>
      <c r="AN5" s="16">
        <v>69</v>
      </c>
      <c r="AO5" s="16">
        <v>40</v>
      </c>
      <c r="AP5" s="2">
        <v>1</v>
      </c>
      <c r="AQ5" s="17">
        <v>44300</v>
      </c>
      <c r="AS5" s="2" t="s">
        <v>98</v>
      </c>
      <c r="AT5" s="2" t="s">
        <v>100</v>
      </c>
    </row>
    <row r="6" spans="1:1014" ht="28.15" customHeight="1" x14ac:dyDescent="0.25">
      <c r="A6" s="40" t="s">
        <v>62</v>
      </c>
      <c r="B6" s="41" t="s">
        <v>72</v>
      </c>
      <c r="C6" s="41" t="s">
        <v>73</v>
      </c>
      <c r="D6" s="42">
        <v>41</v>
      </c>
      <c r="E6" s="42">
        <v>57</v>
      </c>
      <c r="F6" s="42" t="s">
        <v>32</v>
      </c>
      <c r="G6" s="18">
        <v>47</v>
      </c>
      <c r="H6" s="18">
        <v>25</v>
      </c>
      <c r="I6" s="18">
        <v>18</v>
      </c>
      <c r="J6" s="18">
        <v>28</v>
      </c>
      <c r="K6" s="18">
        <v>27</v>
      </c>
      <c r="L6" s="18">
        <v>28</v>
      </c>
      <c r="M6" s="18">
        <v>71</v>
      </c>
      <c r="N6" s="18">
        <v>44</v>
      </c>
      <c r="O6" s="14" t="s">
        <v>46</v>
      </c>
      <c r="P6" s="18">
        <v>85</v>
      </c>
      <c r="Q6" s="18">
        <v>105</v>
      </c>
      <c r="R6" s="18">
        <v>68</v>
      </c>
      <c r="S6" s="18">
        <v>32</v>
      </c>
      <c r="T6" s="18">
        <v>26</v>
      </c>
      <c r="U6" s="18">
        <v>18</v>
      </c>
      <c r="V6" s="18">
        <v>96</v>
      </c>
      <c r="W6" s="14" t="s">
        <v>94</v>
      </c>
      <c r="X6" s="14">
        <v>47</v>
      </c>
      <c r="Y6" s="14">
        <v>60</v>
      </c>
      <c r="Z6" s="14">
        <v>18</v>
      </c>
      <c r="AA6" s="14">
        <v>15</v>
      </c>
      <c r="AB6" s="14">
        <v>95</v>
      </c>
      <c r="AC6" s="14">
        <v>90</v>
      </c>
      <c r="AD6" s="14">
        <v>105</v>
      </c>
      <c r="AE6" s="14">
        <v>71</v>
      </c>
      <c r="AF6" s="14">
        <v>44</v>
      </c>
      <c r="AG6" s="16">
        <v>47</v>
      </c>
      <c r="AH6" s="16">
        <v>61</v>
      </c>
      <c r="AI6" s="16">
        <v>17</v>
      </c>
      <c r="AJ6" s="16">
        <v>12</v>
      </c>
      <c r="AK6" s="16">
        <v>28</v>
      </c>
      <c r="AL6" s="16">
        <v>26</v>
      </c>
      <c r="AM6" s="16">
        <v>28</v>
      </c>
      <c r="AN6" s="16">
        <v>70</v>
      </c>
      <c r="AO6" s="16">
        <v>44</v>
      </c>
      <c r="AP6" s="2">
        <v>1</v>
      </c>
      <c r="AQ6" s="17">
        <v>44300</v>
      </c>
      <c r="AS6" s="2" t="s">
        <v>98</v>
      </c>
      <c r="AT6" s="2" t="s">
        <v>100</v>
      </c>
    </row>
    <row r="7" spans="1:1014" ht="28.15" customHeight="1" x14ac:dyDescent="0.25">
      <c r="A7" s="40" t="s">
        <v>63</v>
      </c>
      <c r="B7" s="41" t="s">
        <v>74</v>
      </c>
      <c r="C7" s="41" t="s">
        <v>73</v>
      </c>
      <c r="D7" s="42">
        <v>41</v>
      </c>
      <c r="E7" s="42">
        <v>58</v>
      </c>
      <c r="F7" s="42" t="s">
        <v>32</v>
      </c>
      <c r="G7" s="18">
        <v>47</v>
      </c>
      <c r="H7" s="18">
        <v>25</v>
      </c>
      <c r="I7" s="18">
        <v>18</v>
      </c>
      <c r="J7" s="18">
        <v>28</v>
      </c>
      <c r="K7" s="18">
        <v>27</v>
      </c>
      <c r="L7" s="18">
        <v>28</v>
      </c>
      <c r="M7" s="18">
        <v>71</v>
      </c>
      <c r="N7" s="18">
        <v>44</v>
      </c>
      <c r="O7" s="14" t="s">
        <v>46</v>
      </c>
      <c r="P7" s="18">
        <v>85</v>
      </c>
      <c r="Q7" s="18">
        <v>105</v>
      </c>
      <c r="R7" s="18">
        <v>68</v>
      </c>
      <c r="S7" s="18">
        <v>32</v>
      </c>
      <c r="T7" s="18">
        <v>26</v>
      </c>
      <c r="U7" s="18">
        <v>18</v>
      </c>
      <c r="V7" s="18">
        <v>96</v>
      </c>
      <c r="W7" s="14" t="s">
        <v>94</v>
      </c>
      <c r="X7" s="14">
        <v>47</v>
      </c>
      <c r="Y7" s="14">
        <v>60</v>
      </c>
      <c r="Z7" s="14">
        <v>19</v>
      </c>
      <c r="AA7" s="14">
        <v>15</v>
      </c>
      <c r="AB7" s="14">
        <v>95</v>
      </c>
      <c r="AC7" s="14">
        <v>90</v>
      </c>
      <c r="AD7" s="14">
        <v>105</v>
      </c>
      <c r="AE7" s="14">
        <v>71</v>
      </c>
      <c r="AF7" s="14">
        <v>44</v>
      </c>
      <c r="AG7" s="16">
        <v>47</v>
      </c>
      <c r="AH7" s="16">
        <v>61</v>
      </c>
      <c r="AI7" s="16">
        <v>18</v>
      </c>
      <c r="AJ7" s="16">
        <v>13</v>
      </c>
      <c r="AK7" s="16">
        <v>28</v>
      </c>
      <c r="AL7" s="16">
        <v>27</v>
      </c>
      <c r="AM7" s="16">
        <v>28</v>
      </c>
      <c r="AN7" s="16">
        <v>70</v>
      </c>
      <c r="AO7" s="16">
        <v>44</v>
      </c>
      <c r="AP7" s="2">
        <v>1</v>
      </c>
      <c r="AQ7" s="17">
        <v>44300</v>
      </c>
      <c r="AS7" s="2" t="s">
        <v>98</v>
      </c>
      <c r="AT7" s="2" t="s">
        <v>100</v>
      </c>
    </row>
    <row r="8" spans="1:1014" ht="28.15" customHeight="1" x14ac:dyDescent="0.25">
      <c r="A8" s="40" t="s">
        <v>64</v>
      </c>
      <c r="B8" s="41" t="s">
        <v>75</v>
      </c>
      <c r="C8" s="41" t="s">
        <v>73</v>
      </c>
      <c r="D8" s="42">
        <v>42</v>
      </c>
      <c r="E8" s="42">
        <v>56</v>
      </c>
      <c r="F8" s="42" t="s">
        <v>34</v>
      </c>
      <c r="G8" s="18">
        <v>46</v>
      </c>
      <c r="H8" s="18">
        <v>26</v>
      </c>
      <c r="I8" s="18">
        <v>18</v>
      </c>
      <c r="J8" s="18">
        <v>29</v>
      </c>
      <c r="K8" s="18">
        <v>27</v>
      </c>
      <c r="L8" s="18">
        <v>29</v>
      </c>
      <c r="M8" s="18">
        <v>72</v>
      </c>
      <c r="N8" s="18">
        <v>40</v>
      </c>
      <c r="O8" s="14" t="s">
        <v>46</v>
      </c>
      <c r="P8" s="18">
        <v>94</v>
      </c>
      <c r="Q8" s="18">
        <v>110</v>
      </c>
      <c r="R8" s="18">
        <v>66</v>
      </c>
      <c r="S8" s="18">
        <v>34</v>
      </c>
      <c r="T8" s="18">
        <v>25</v>
      </c>
      <c r="U8" s="18">
        <v>21</v>
      </c>
      <c r="V8" s="18">
        <v>100</v>
      </c>
      <c r="W8" s="14" t="s">
        <v>94</v>
      </c>
      <c r="X8" s="14">
        <v>46</v>
      </c>
      <c r="Y8" s="14">
        <v>60</v>
      </c>
      <c r="Z8" s="14">
        <v>19</v>
      </c>
      <c r="AA8" s="14">
        <v>15</v>
      </c>
      <c r="AB8" s="14">
        <v>110</v>
      </c>
      <c r="AC8" s="14">
        <v>104</v>
      </c>
      <c r="AD8" s="14">
        <v>117</v>
      </c>
      <c r="AE8" s="14">
        <v>72</v>
      </c>
      <c r="AF8" s="14">
        <v>40</v>
      </c>
      <c r="AG8" s="16">
        <v>46</v>
      </c>
      <c r="AH8" s="16">
        <v>61</v>
      </c>
      <c r="AI8" s="16">
        <v>18</v>
      </c>
      <c r="AJ8" s="16">
        <v>13</v>
      </c>
      <c r="AK8" s="16">
        <v>29</v>
      </c>
      <c r="AL8" s="16">
        <v>27</v>
      </c>
      <c r="AM8" s="16">
        <v>29</v>
      </c>
      <c r="AN8" s="16">
        <v>71</v>
      </c>
      <c r="AO8" s="16">
        <v>40</v>
      </c>
      <c r="AP8" s="2">
        <v>1</v>
      </c>
      <c r="AQ8" s="17">
        <v>44300</v>
      </c>
      <c r="AS8" s="2" t="s">
        <v>98</v>
      </c>
      <c r="AT8" s="2" t="s">
        <v>100</v>
      </c>
    </row>
    <row r="9" spans="1:1014" ht="28.15" customHeight="1" x14ac:dyDescent="0.25">
      <c r="A9" s="40" t="s">
        <v>65</v>
      </c>
      <c r="B9" s="41" t="s">
        <v>76</v>
      </c>
      <c r="C9" s="41" t="s">
        <v>73</v>
      </c>
      <c r="D9" s="42">
        <v>44</v>
      </c>
      <c r="E9" s="42">
        <v>59</v>
      </c>
      <c r="F9" s="42" t="s">
        <v>34</v>
      </c>
      <c r="G9" s="18">
        <v>47</v>
      </c>
      <c r="H9" s="18">
        <v>27</v>
      </c>
      <c r="I9" s="18">
        <v>19</v>
      </c>
      <c r="J9" s="18">
        <v>30</v>
      </c>
      <c r="K9" s="18">
        <v>28</v>
      </c>
      <c r="L9" s="18">
        <v>30</v>
      </c>
      <c r="M9" s="18">
        <v>73</v>
      </c>
      <c r="N9" s="18">
        <v>44</v>
      </c>
      <c r="O9" s="14" t="s">
        <v>46</v>
      </c>
      <c r="P9" s="18">
        <v>100</v>
      </c>
      <c r="Q9" s="18">
        <v>120</v>
      </c>
      <c r="R9" s="18">
        <v>70</v>
      </c>
      <c r="S9" s="18">
        <v>37</v>
      </c>
      <c r="T9" s="18">
        <v>28</v>
      </c>
      <c r="U9" s="18">
        <v>22</v>
      </c>
      <c r="V9" s="18">
        <v>102</v>
      </c>
      <c r="W9" s="14" t="s">
        <v>94</v>
      </c>
      <c r="X9" s="14">
        <v>47</v>
      </c>
      <c r="Y9" s="14">
        <v>63</v>
      </c>
      <c r="Z9" s="14">
        <v>20</v>
      </c>
      <c r="AA9" s="14">
        <v>15</v>
      </c>
      <c r="AB9" s="14">
        <v>116</v>
      </c>
      <c r="AC9" s="14">
        <v>110</v>
      </c>
      <c r="AD9" s="14">
        <v>124</v>
      </c>
      <c r="AE9" s="14">
        <v>74</v>
      </c>
      <c r="AF9" s="14">
        <v>44</v>
      </c>
      <c r="AG9" s="16">
        <v>47</v>
      </c>
      <c r="AH9" s="16">
        <v>64</v>
      </c>
      <c r="AI9" s="16">
        <v>19</v>
      </c>
      <c r="AJ9" s="16">
        <v>13</v>
      </c>
      <c r="AK9" s="16">
        <v>30</v>
      </c>
      <c r="AL9" s="16">
        <v>28</v>
      </c>
      <c r="AM9" s="16">
        <v>30</v>
      </c>
      <c r="AN9" s="16">
        <v>73</v>
      </c>
      <c r="AO9" s="16">
        <v>44</v>
      </c>
      <c r="AP9" s="2">
        <v>1</v>
      </c>
      <c r="AQ9" s="17">
        <v>44300</v>
      </c>
      <c r="AS9" s="2" t="s">
        <v>98</v>
      </c>
      <c r="AT9" s="2" t="s">
        <v>100</v>
      </c>
    </row>
    <row r="10" spans="1:1014" ht="28.15" customHeight="1" x14ac:dyDescent="0.25">
      <c r="A10" s="40" t="s">
        <v>66</v>
      </c>
      <c r="B10" s="41" t="s">
        <v>77</v>
      </c>
      <c r="C10" s="41" t="s">
        <v>73</v>
      </c>
      <c r="D10" s="42">
        <v>43</v>
      </c>
      <c r="E10" s="42">
        <v>58</v>
      </c>
      <c r="F10" s="42" t="s">
        <v>32</v>
      </c>
      <c r="G10" s="18">
        <v>47</v>
      </c>
      <c r="H10" s="18">
        <v>23</v>
      </c>
      <c r="I10" s="18">
        <v>18</v>
      </c>
      <c r="J10" s="18">
        <v>29</v>
      </c>
      <c r="K10" s="18">
        <v>27</v>
      </c>
      <c r="L10" s="18">
        <v>29</v>
      </c>
      <c r="M10" s="18">
        <v>70</v>
      </c>
      <c r="N10" s="18">
        <v>39</v>
      </c>
      <c r="O10" s="14" t="s">
        <v>46</v>
      </c>
      <c r="P10" s="18">
        <v>93</v>
      </c>
      <c r="Q10" s="18">
        <v>115</v>
      </c>
      <c r="R10" s="18">
        <v>67</v>
      </c>
      <c r="S10" s="18">
        <v>34</v>
      </c>
      <c r="T10" s="18">
        <v>24</v>
      </c>
      <c r="U10" s="18">
        <v>19</v>
      </c>
      <c r="V10" s="18">
        <v>97</v>
      </c>
      <c r="W10" s="14" t="s">
        <v>94</v>
      </c>
      <c r="X10" s="14">
        <v>47</v>
      </c>
      <c r="Y10" s="14">
        <v>59</v>
      </c>
      <c r="Z10" s="14">
        <v>19</v>
      </c>
      <c r="AA10" s="14">
        <v>14</v>
      </c>
      <c r="AB10" s="14">
        <v>107</v>
      </c>
      <c r="AC10" s="14">
        <v>104</v>
      </c>
      <c r="AD10" s="14">
        <v>119</v>
      </c>
      <c r="AE10" s="14">
        <v>71</v>
      </c>
      <c r="AF10" s="14">
        <v>39</v>
      </c>
      <c r="AG10" s="16">
        <v>47</v>
      </c>
      <c r="AH10" s="16">
        <v>60</v>
      </c>
      <c r="AI10" s="16">
        <v>18</v>
      </c>
      <c r="AJ10" s="16">
        <v>13</v>
      </c>
      <c r="AK10" s="16">
        <v>29</v>
      </c>
      <c r="AL10" s="16">
        <v>27</v>
      </c>
      <c r="AM10" s="16">
        <v>29</v>
      </c>
      <c r="AN10" s="16">
        <v>70</v>
      </c>
      <c r="AO10" s="16">
        <v>39</v>
      </c>
      <c r="AP10" s="2">
        <v>1</v>
      </c>
      <c r="AQ10" s="17">
        <v>44300</v>
      </c>
      <c r="AS10" s="2" t="s">
        <v>98</v>
      </c>
      <c r="AT10" s="2" t="s">
        <v>100</v>
      </c>
    </row>
    <row r="11" spans="1:1014" ht="28.15" customHeight="1" x14ac:dyDescent="0.25">
      <c r="A11" s="40" t="s">
        <v>67</v>
      </c>
      <c r="B11" s="41" t="s">
        <v>78</v>
      </c>
      <c r="C11" s="41" t="s">
        <v>73</v>
      </c>
      <c r="D11" s="42">
        <v>43</v>
      </c>
      <c r="E11" s="42">
        <v>59</v>
      </c>
      <c r="F11" s="42" t="s">
        <v>34</v>
      </c>
      <c r="G11" s="18">
        <v>50</v>
      </c>
      <c r="H11" s="18">
        <v>27</v>
      </c>
      <c r="I11" s="18">
        <v>19</v>
      </c>
      <c r="J11" s="18">
        <v>29</v>
      </c>
      <c r="K11" s="18">
        <v>28</v>
      </c>
      <c r="L11" s="18">
        <v>29</v>
      </c>
      <c r="M11" s="18">
        <v>75</v>
      </c>
      <c r="N11" s="18">
        <v>43</v>
      </c>
      <c r="O11" s="14" t="s">
        <v>46</v>
      </c>
      <c r="P11" s="18">
        <v>93</v>
      </c>
      <c r="Q11" s="18">
        <v>116</v>
      </c>
      <c r="R11" s="18">
        <v>70</v>
      </c>
      <c r="S11" s="18">
        <v>35</v>
      </c>
      <c r="T11" s="18">
        <v>26</v>
      </c>
      <c r="U11" s="18">
        <v>22</v>
      </c>
      <c r="V11" s="18">
        <v>102</v>
      </c>
      <c r="W11" s="14" t="s">
        <v>94</v>
      </c>
      <c r="X11" s="14">
        <v>50</v>
      </c>
      <c r="Y11" s="14">
        <v>65</v>
      </c>
      <c r="Z11" s="14">
        <v>20</v>
      </c>
      <c r="AA11" s="14">
        <v>16</v>
      </c>
      <c r="AB11" s="14">
        <v>112</v>
      </c>
      <c r="AC11" s="14">
        <v>105</v>
      </c>
      <c r="AD11" s="14">
        <v>117</v>
      </c>
      <c r="AE11" s="14">
        <v>76</v>
      </c>
      <c r="AF11" s="14">
        <v>43</v>
      </c>
      <c r="AG11" s="16">
        <v>50</v>
      </c>
      <c r="AH11" s="16">
        <v>66</v>
      </c>
      <c r="AI11" s="16">
        <v>19</v>
      </c>
      <c r="AJ11" s="3">
        <v>13</v>
      </c>
      <c r="AK11" s="16">
        <v>29</v>
      </c>
      <c r="AL11" s="16">
        <v>28</v>
      </c>
      <c r="AM11" s="16">
        <v>29</v>
      </c>
      <c r="AN11" s="16">
        <v>75</v>
      </c>
      <c r="AO11" s="16">
        <v>43</v>
      </c>
      <c r="AP11" s="2">
        <v>1</v>
      </c>
      <c r="AQ11" s="17">
        <v>44300</v>
      </c>
      <c r="AS11" s="2" t="s">
        <v>98</v>
      </c>
      <c r="AT11" s="2" t="s">
        <v>100</v>
      </c>
    </row>
    <row r="12" spans="1:1014" ht="28.15" customHeight="1" x14ac:dyDescent="0.25">
      <c r="A12" s="40" t="s">
        <v>87</v>
      </c>
      <c r="B12" s="43" t="s">
        <v>86</v>
      </c>
      <c r="C12" s="41" t="s">
        <v>73</v>
      </c>
      <c r="D12" s="44">
        <v>40</v>
      </c>
      <c r="E12" s="44">
        <v>55</v>
      </c>
      <c r="F12" s="44" t="s">
        <v>31</v>
      </c>
      <c r="G12" s="19">
        <v>45</v>
      </c>
      <c r="H12" s="19">
        <v>24</v>
      </c>
      <c r="I12" s="19">
        <v>16</v>
      </c>
      <c r="J12" s="19">
        <v>26</v>
      </c>
      <c r="K12" s="19">
        <v>24</v>
      </c>
      <c r="L12" s="19">
        <v>26</v>
      </c>
      <c r="M12" s="19">
        <v>70</v>
      </c>
      <c r="N12" s="19">
        <v>41</v>
      </c>
      <c r="O12" s="19" t="s">
        <v>46</v>
      </c>
      <c r="P12" s="19">
        <v>80</v>
      </c>
      <c r="Q12" s="19">
        <v>96</v>
      </c>
      <c r="R12" s="19">
        <v>62</v>
      </c>
      <c r="S12" s="19">
        <v>30</v>
      </c>
      <c r="T12" s="19">
        <v>23</v>
      </c>
      <c r="U12" s="19">
        <v>19</v>
      </c>
      <c r="V12" s="19">
        <v>93</v>
      </c>
      <c r="W12" s="14" t="s">
        <v>94</v>
      </c>
      <c r="X12" s="19">
        <v>45</v>
      </c>
      <c r="Y12" s="19">
        <v>59</v>
      </c>
      <c r="Z12" s="19">
        <v>18</v>
      </c>
      <c r="AA12" s="19">
        <v>14</v>
      </c>
      <c r="AB12" s="19">
        <v>95</v>
      </c>
      <c r="AC12" s="19">
        <v>90</v>
      </c>
      <c r="AD12" s="19">
        <v>100</v>
      </c>
      <c r="AE12" s="19">
        <v>72</v>
      </c>
      <c r="AF12" s="19">
        <v>41</v>
      </c>
      <c r="AG12" s="38">
        <v>45</v>
      </c>
      <c r="AH12" s="38">
        <v>60</v>
      </c>
      <c r="AI12" s="38">
        <v>16</v>
      </c>
      <c r="AJ12" s="38">
        <v>12</v>
      </c>
      <c r="AK12" s="38">
        <v>26</v>
      </c>
      <c r="AL12" s="38">
        <v>24</v>
      </c>
      <c r="AM12" s="38">
        <v>26</v>
      </c>
      <c r="AN12" s="38">
        <v>70</v>
      </c>
      <c r="AO12" s="38">
        <v>41</v>
      </c>
      <c r="AP12" s="2">
        <v>2</v>
      </c>
      <c r="AQ12" t="s">
        <v>95</v>
      </c>
      <c r="AR12"/>
      <c r="AS12" s="2" t="s">
        <v>98</v>
      </c>
      <c r="AT12" s="2" t="s">
        <v>100</v>
      </c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 x14ac:dyDescent="0.25">
      <c r="A13" s="40" t="s">
        <v>88</v>
      </c>
      <c r="B13" s="43" t="s">
        <v>85</v>
      </c>
      <c r="C13" s="41" t="s">
        <v>73</v>
      </c>
      <c r="D13" s="44">
        <v>46</v>
      </c>
      <c r="E13" s="44">
        <v>58</v>
      </c>
      <c r="F13" s="44" t="s">
        <v>33</v>
      </c>
      <c r="G13" s="19">
        <v>51</v>
      </c>
      <c r="H13" s="19">
        <v>29</v>
      </c>
      <c r="I13" s="19">
        <v>20</v>
      </c>
      <c r="J13" s="19">
        <v>32</v>
      </c>
      <c r="K13" s="19">
        <v>30</v>
      </c>
      <c r="L13" s="19">
        <v>32</v>
      </c>
      <c r="M13" s="19">
        <v>79</v>
      </c>
      <c r="N13" s="19">
        <v>44</v>
      </c>
      <c r="O13" s="19" t="s">
        <v>46</v>
      </c>
      <c r="P13" s="19">
        <v>112</v>
      </c>
      <c r="Q13" s="19">
        <v>134</v>
      </c>
      <c r="R13" s="19">
        <v>73</v>
      </c>
      <c r="S13" s="19">
        <v>38</v>
      </c>
      <c r="T13" s="19">
        <v>28</v>
      </c>
      <c r="U13" s="19">
        <v>23</v>
      </c>
      <c r="V13" s="19">
        <v>103</v>
      </c>
      <c r="W13" s="14" t="s">
        <v>94</v>
      </c>
      <c r="X13" s="19">
        <v>51</v>
      </c>
      <c r="Y13" s="19">
        <v>67</v>
      </c>
      <c r="Z13" s="19">
        <v>22</v>
      </c>
      <c r="AA13" s="19">
        <v>16</v>
      </c>
      <c r="AB13" s="19">
        <v>124</v>
      </c>
      <c r="AC13" s="19">
        <v>124</v>
      </c>
      <c r="AD13" s="19">
        <v>137</v>
      </c>
      <c r="AE13" s="19">
        <v>79</v>
      </c>
      <c r="AF13" s="19">
        <v>44</v>
      </c>
      <c r="AG13" s="38">
        <v>51</v>
      </c>
      <c r="AH13" s="38">
        <v>68</v>
      </c>
      <c r="AI13" s="38">
        <v>20</v>
      </c>
      <c r="AJ13" s="38">
        <v>13</v>
      </c>
      <c r="AK13" s="38">
        <v>32</v>
      </c>
      <c r="AL13" s="38">
        <v>30</v>
      </c>
      <c r="AM13" s="38">
        <v>32</v>
      </c>
      <c r="AN13" s="38">
        <v>78</v>
      </c>
      <c r="AO13" s="38">
        <v>44</v>
      </c>
      <c r="AP13" s="2">
        <v>2</v>
      </c>
      <c r="AQ13" t="s">
        <v>95</v>
      </c>
      <c r="AR13"/>
      <c r="AS13" s="2" t="s">
        <v>98</v>
      </c>
      <c r="AT13" s="2" t="s">
        <v>100</v>
      </c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 x14ac:dyDescent="0.25">
      <c r="A14" s="40" t="s">
        <v>89</v>
      </c>
      <c r="B14" s="43" t="s">
        <v>84</v>
      </c>
      <c r="C14" s="41" t="s">
        <v>73</v>
      </c>
      <c r="D14" s="44">
        <v>41</v>
      </c>
      <c r="E14" s="44">
        <v>55</v>
      </c>
      <c r="F14" s="44" t="s">
        <v>32</v>
      </c>
      <c r="G14" s="19">
        <v>46</v>
      </c>
      <c r="H14" s="19">
        <v>25</v>
      </c>
      <c r="I14" s="19">
        <v>17</v>
      </c>
      <c r="J14" s="19">
        <v>28</v>
      </c>
      <c r="K14" s="19">
        <v>26</v>
      </c>
      <c r="L14" s="19">
        <v>28</v>
      </c>
      <c r="M14" s="19">
        <v>71</v>
      </c>
      <c r="N14" s="19">
        <v>40</v>
      </c>
      <c r="O14" s="19" t="s">
        <v>46</v>
      </c>
      <c r="P14" s="19">
        <v>85</v>
      </c>
      <c r="Q14" s="19">
        <v>105</v>
      </c>
      <c r="R14" s="19">
        <v>68</v>
      </c>
      <c r="S14" s="19">
        <v>32</v>
      </c>
      <c r="T14" s="19">
        <v>24</v>
      </c>
      <c r="U14" s="19">
        <v>19</v>
      </c>
      <c r="V14" s="19">
        <v>97</v>
      </c>
      <c r="W14" s="14" t="s">
        <v>94</v>
      </c>
      <c r="X14" s="19">
        <v>46</v>
      </c>
      <c r="Y14" s="19">
        <v>60</v>
      </c>
      <c r="Z14" s="19">
        <v>19</v>
      </c>
      <c r="AA14" s="19">
        <v>14</v>
      </c>
      <c r="AB14" s="19">
        <v>101</v>
      </c>
      <c r="AC14" s="19">
        <v>96</v>
      </c>
      <c r="AD14" s="19">
        <v>107</v>
      </c>
      <c r="AE14" s="19">
        <v>71</v>
      </c>
      <c r="AF14" s="19">
        <v>40</v>
      </c>
      <c r="AG14" s="38">
        <v>46</v>
      </c>
      <c r="AH14" s="38">
        <v>61</v>
      </c>
      <c r="AI14" s="38">
        <v>17</v>
      </c>
      <c r="AJ14" s="38">
        <v>12</v>
      </c>
      <c r="AK14" s="38">
        <v>28</v>
      </c>
      <c r="AL14" s="38">
        <v>26</v>
      </c>
      <c r="AM14" s="38">
        <v>28</v>
      </c>
      <c r="AN14" s="38">
        <v>70</v>
      </c>
      <c r="AO14" s="38">
        <v>40</v>
      </c>
      <c r="AP14" s="2">
        <v>2</v>
      </c>
      <c r="AQ14" t="s">
        <v>95</v>
      </c>
      <c r="AR14"/>
      <c r="AS14" s="2" t="s">
        <v>98</v>
      </c>
      <c r="AT14" s="2" t="s">
        <v>100</v>
      </c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 x14ac:dyDescent="0.25">
      <c r="A15" s="40" t="s">
        <v>90</v>
      </c>
      <c r="B15" s="43" t="s">
        <v>83</v>
      </c>
      <c r="C15" s="41" t="s">
        <v>73</v>
      </c>
      <c r="D15" s="44">
        <v>42</v>
      </c>
      <c r="E15" s="44">
        <v>56</v>
      </c>
      <c r="F15" s="44" t="s">
        <v>34</v>
      </c>
      <c r="G15" s="19">
        <v>48</v>
      </c>
      <c r="H15" s="19">
        <v>26</v>
      </c>
      <c r="I15" s="19">
        <v>19</v>
      </c>
      <c r="J15" s="19">
        <v>30</v>
      </c>
      <c r="K15" s="19">
        <v>28</v>
      </c>
      <c r="L15" s="19">
        <v>30</v>
      </c>
      <c r="M15" s="19">
        <v>73</v>
      </c>
      <c r="N15" s="19">
        <v>42</v>
      </c>
      <c r="O15" s="19" t="s">
        <v>46</v>
      </c>
      <c r="P15" s="19">
        <v>98</v>
      </c>
      <c r="Q15" s="19">
        <v>108</v>
      </c>
      <c r="R15" s="19">
        <v>70</v>
      </c>
      <c r="S15" s="19">
        <v>66</v>
      </c>
      <c r="T15" s="19">
        <v>25</v>
      </c>
      <c r="U15" s="19">
        <v>20</v>
      </c>
      <c r="V15" s="19">
        <v>97</v>
      </c>
      <c r="W15" s="14" t="s">
        <v>94</v>
      </c>
      <c r="X15" s="19">
        <v>48</v>
      </c>
      <c r="Y15" s="19">
        <v>62</v>
      </c>
      <c r="Z15" s="19">
        <v>20</v>
      </c>
      <c r="AA15" s="19">
        <v>15</v>
      </c>
      <c r="AB15" s="19">
        <v>112</v>
      </c>
      <c r="AC15" s="19">
        <v>106</v>
      </c>
      <c r="AD15" s="19">
        <v>112</v>
      </c>
      <c r="AE15" s="19">
        <v>74</v>
      </c>
      <c r="AF15" s="19">
        <v>40</v>
      </c>
      <c r="AG15" s="38">
        <v>48</v>
      </c>
      <c r="AH15" s="38">
        <v>63</v>
      </c>
      <c r="AI15" s="38">
        <v>19</v>
      </c>
      <c r="AJ15" s="38">
        <v>13</v>
      </c>
      <c r="AK15" s="38">
        <v>30</v>
      </c>
      <c r="AL15" s="38">
        <v>28</v>
      </c>
      <c r="AM15" s="38">
        <v>30</v>
      </c>
      <c r="AN15" s="38">
        <v>73</v>
      </c>
      <c r="AO15" s="38">
        <v>42</v>
      </c>
      <c r="AP15" s="2">
        <v>2</v>
      </c>
      <c r="AQ15" t="s">
        <v>95</v>
      </c>
      <c r="AR15"/>
      <c r="AS15" s="2" t="s">
        <v>98</v>
      </c>
      <c r="AT15" s="2" t="s">
        <v>100</v>
      </c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 x14ac:dyDescent="0.25">
      <c r="A16" s="40" t="s">
        <v>91</v>
      </c>
      <c r="B16" s="43" t="s">
        <v>82</v>
      </c>
      <c r="C16" s="41" t="s">
        <v>73</v>
      </c>
      <c r="D16" s="44">
        <v>40</v>
      </c>
      <c r="E16" s="44">
        <v>56</v>
      </c>
      <c r="F16" s="44" t="s">
        <v>32</v>
      </c>
      <c r="G16" s="19">
        <v>46</v>
      </c>
      <c r="H16" s="19">
        <v>25</v>
      </c>
      <c r="I16" s="19">
        <v>18</v>
      </c>
      <c r="J16" s="19">
        <v>28</v>
      </c>
      <c r="K16" s="19">
        <v>27</v>
      </c>
      <c r="L16" s="19">
        <v>28</v>
      </c>
      <c r="M16" s="19">
        <v>71</v>
      </c>
      <c r="N16" s="19">
        <v>44</v>
      </c>
      <c r="O16" s="19" t="s">
        <v>46</v>
      </c>
      <c r="P16" s="19">
        <v>85</v>
      </c>
      <c r="Q16" s="19">
        <v>105</v>
      </c>
      <c r="R16" s="19">
        <v>68</v>
      </c>
      <c r="S16" s="19">
        <v>32</v>
      </c>
      <c r="T16" s="19">
        <v>26</v>
      </c>
      <c r="U16" s="19">
        <v>18</v>
      </c>
      <c r="V16" s="19">
        <v>96</v>
      </c>
      <c r="W16" s="14" t="s">
        <v>94</v>
      </c>
      <c r="X16" s="19">
        <v>46</v>
      </c>
      <c r="Y16" s="19">
        <v>60</v>
      </c>
      <c r="Z16" s="19">
        <v>19</v>
      </c>
      <c r="AA16" s="19">
        <v>14</v>
      </c>
      <c r="AB16" s="19">
        <v>95</v>
      </c>
      <c r="AC16" s="19">
        <v>90</v>
      </c>
      <c r="AD16" s="19">
        <v>105</v>
      </c>
      <c r="AE16" s="19">
        <v>71</v>
      </c>
      <c r="AF16" s="19">
        <v>44</v>
      </c>
      <c r="AG16" s="38">
        <v>46</v>
      </c>
      <c r="AH16" s="38">
        <v>61</v>
      </c>
      <c r="AI16" s="38">
        <v>18</v>
      </c>
      <c r="AJ16" s="38">
        <v>12</v>
      </c>
      <c r="AK16" s="38">
        <v>28</v>
      </c>
      <c r="AL16" s="38">
        <v>27</v>
      </c>
      <c r="AM16" s="38">
        <v>28</v>
      </c>
      <c r="AN16" s="38">
        <v>71</v>
      </c>
      <c r="AO16" s="38">
        <v>44</v>
      </c>
      <c r="AP16" s="2">
        <v>2</v>
      </c>
      <c r="AQ16" t="s">
        <v>95</v>
      </c>
      <c r="AR16"/>
      <c r="AS16" s="2" t="s">
        <v>98</v>
      </c>
      <c r="AT16" s="2" t="s">
        <v>100</v>
      </c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 x14ac:dyDescent="0.25">
      <c r="A17" s="40" t="s">
        <v>92</v>
      </c>
      <c r="B17" s="43" t="s">
        <v>81</v>
      </c>
      <c r="C17" s="41" t="s">
        <v>73</v>
      </c>
      <c r="D17" s="44">
        <v>41</v>
      </c>
      <c r="E17" s="44">
        <v>57</v>
      </c>
      <c r="F17" s="44" t="s">
        <v>32</v>
      </c>
      <c r="G17" s="19">
        <v>45</v>
      </c>
      <c r="H17" s="19">
        <v>25</v>
      </c>
      <c r="I17" s="19">
        <v>17</v>
      </c>
      <c r="J17" s="19">
        <v>29</v>
      </c>
      <c r="K17" s="19">
        <v>28</v>
      </c>
      <c r="L17" s="19">
        <v>31</v>
      </c>
      <c r="M17" s="19">
        <v>67</v>
      </c>
      <c r="N17" s="19">
        <v>38</v>
      </c>
      <c r="O17" s="19" t="s">
        <v>80</v>
      </c>
      <c r="P17" s="19">
        <v>80</v>
      </c>
      <c r="Q17" s="19">
        <v>103</v>
      </c>
      <c r="R17" s="19">
        <v>67</v>
      </c>
      <c r="S17" s="19">
        <v>32</v>
      </c>
      <c r="T17" s="19">
        <v>24</v>
      </c>
      <c r="U17" s="19">
        <v>19</v>
      </c>
      <c r="V17" s="19">
        <v>95</v>
      </c>
      <c r="W17" s="14" t="s">
        <v>94</v>
      </c>
      <c r="X17" s="19">
        <v>45</v>
      </c>
      <c r="Y17" s="19">
        <v>57</v>
      </c>
      <c r="Z17" s="3">
        <v>18</v>
      </c>
      <c r="AA17" s="19">
        <v>15</v>
      </c>
      <c r="AB17" s="19">
        <v>96</v>
      </c>
      <c r="AC17" s="19">
        <v>98</v>
      </c>
      <c r="AD17" s="19">
        <v>111</v>
      </c>
      <c r="AE17" s="19">
        <v>67</v>
      </c>
      <c r="AF17" s="19">
        <v>38</v>
      </c>
      <c r="AG17" s="38">
        <v>45</v>
      </c>
      <c r="AH17" s="38">
        <v>58</v>
      </c>
      <c r="AI17" s="38">
        <v>16</v>
      </c>
      <c r="AJ17" s="38">
        <v>12</v>
      </c>
      <c r="AK17" s="38">
        <v>27</v>
      </c>
      <c r="AL17" s="38">
        <v>25</v>
      </c>
      <c r="AM17" s="38">
        <v>27</v>
      </c>
      <c r="AN17" s="38">
        <v>66</v>
      </c>
      <c r="AO17" s="38">
        <v>38</v>
      </c>
      <c r="AP17" s="2">
        <v>2</v>
      </c>
      <c r="AQ17" t="s">
        <v>95</v>
      </c>
      <c r="AR17"/>
      <c r="AS17" s="2" t="s">
        <v>98</v>
      </c>
      <c r="AT17" s="2" t="s">
        <v>100</v>
      </c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 x14ac:dyDescent="0.25">
      <c r="A18" s="40" t="s">
        <v>109</v>
      </c>
      <c r="B18" s="41" t="s">
        <v>102</v>
      </c>
      <c r="C18" s="41" t="s">
        <v>73</v>
      </c>
      <c r="D18" s="42">
        <v>42</v>
      </c>
      <c r="E18" s="42">
        <v>58</v>
      </c>
      <c r="F18" s="42" t="s">
        <v>34</v>
      </c>
      <c r="G18" s="16">
        <v>46</v>
      </c>
      <c r="H18" s="16">
        <v>25</v>
      </c>
      <c r="I18" s="16">
        <v>18</v>
      </c>
      <c r="J18" s="16">
        <v>30</v>
      </c>
      <c r="K18" s="16">
        <v>30</v>
      </c>
      <c r="L18" s="16">
        <v>30</v>
      </c>
      <c r="M18" s="16">
        <v>73</v>
      </c>
      <c r="N18" s="16">
        <v>42</v>
      </c>
      <c r="O18" s="16" t="s">
        <v>46</v>
      </c>
      <c r="P18" s="16">
        <v>99</v>
      </c>
      <c r="Q18" s="16">
        <v>115</v>
      </c>
      <c r="R18" s="16">
        <v>72</v>
      </c>
      <c r="S18" s="16">
        <v>36</v>
      </c>
      <c r="T18" s="16">
        <v>26</v>
      </c>
      <c r="U18" s="16">
        <v>21</v>
      </c>
      <c r="V18" s="16">
        <v>96</v>
      </c>
      <c r="W18" s="16" t="s">
        <v>94</v>
      </c>
      <c r="X18" s="16">
        <v>46</v>
      </c>
      <c r="Y18" s="16">
        <v>60</v>
      </c>
      <c r="Z18" s="16">
        <v>19</v>
      </c>
      <c r="AA18" s="16">
        <v>15</v>
      </c>
      <c r="AB18" s="16">
        <v>113</v>
      </c>
      <c r="AC18" s="16">
        <v>113</v>
      </c>
      <c r="AD18" s="16">
        <v>118</v>
      </c>
      <c r="AE18" s="16">
        <v>74</v>
      </c>
      <c r="AF18" s="16">
        <v>42</v>
      </c>
      <c r="AG18" s="16">
        <v>46</v>
      </c>
      <c r="AH18" s="16">
        <v>61</v>
      </c>
      <c r="AI18" s="16">
        <v>19</v>
      </c>
      <c r="AJ18" s="16">
        <v>13</v>
      </c>
      <c r="AK18" s="16">
        <v>30</v>
      </c>
      <c r="AL18" s="16">
        <v>28</v>
      </c>
      <c r="AM18" s="16">
        <v>30</v>
      </c>
      <c r="AN18" s="16">
        <v>72</v>
      </c>
      <c r="AO18" s="16">
        <v>42</v>
      </c>
      <c r="AP18" s="15">
        <v>3</v>
      </c>
      <c r="AQ18" s="15" t="s">
        <v>103</v>
      </c>
      <c r="AS18" s="15" t="s">
        <v>103</v>
      </c>
      <c r="AT18" s="15" t="s">
        <v>103</v>
      </c>
    </row>
    <row r="19" spans="1:1014" ht="28.15" customHeight="1" x14ac:dyDescent="0.25">
      <c r="A19" s="40" t="s">
        <v>110</v>
      </c>
      <c r="B19" s="41" t="s">
        <v>104</v>
      </c>
      <c r="C19" s="41" t="s">
        <v>73</v>
      </c>
      <c r="D19" s="42">
        <v>43</v>
      </c>
      <c r="E19" s="42">
        <v>58</v>
      </c>
      <c r="F19" s="42" t="s">
        <v>34</v>
      </c>
      <c r="G19" s="16">
        <v>48</v>
      </c>
      <c r="H19" s="16">
        <v>25</v>
      </c>
      <c r="I19" s="16">
        <v>19</v>
      </c>
      <c r="J19" s="16">
        <v>29</v>
      </c>
      <c r="K19" s="16">
        <v>28</v>
      </c>
      <c r="L19" s="16">
        <v>29</v>
      </c>
      <c r="M19" s="16">
        <v>40</v>
      </c>
      <c r="N19" s="16">
        <v>75</v>
      </c>
      <c r="O19" s="16" t="s">
        <v>46</v>
      </c>
      <c r="P19" s="16">
        <v>95</v>
      </c>
      <c r="Q19" s="16">
        <v>109</v>
      </c>
      <c r="R19" s="16">
        <v>72</v>
      </c>
      <c r="S19" s="16">
        <v>35</v>
      </c>
      <c r="T19" s="16">
        <v>27</v>
      </c>
      <c r="U19" s="16">
        <v>22</v>
      </c>
      <c r="V19" s="16">
        <v>104</v>
      </c>
      <c r="W19" s="16" t="s">
        <v>94</v>
      </c>
      <c r="X19" s="16">
        <v>50</v>
      </c>
      <c r="Y19" s="16">
        <v>59</v>
      </c>
      <c r="Z19" s="16">
        <v>20</v>
      </c>
      <c r="AA19" s="16">
        <v>16</v>
      </c>
      <c r="AB19" s="16">
        <v>104</v>
      </c>
      <c r="AC19" s="16">
        <v>99</v>
      </c>
      <c r="AD19" s="16">
        <v>114</v>
      </c>
      <c r="AE19" s="16">
        <v>40</v>
      </c>
      <c r="AF19" s="16">
        <v>75</v>
      </c>
      <c r="AG19" s="16">
        <v>50</v>
      </c>
      <c r="AH19" s="16">
        <v>60</v>
      </c>
      <c r="AI19" s="16">
        <v>20</v>
      </c>
      <c r="AJ19" s="16">
        <v>13</v>
      </c>
      <c r="AK19" s="16">
        <v>29</v>
      </c>
      <c r="AL19" s="16">
        <v>28</v>
      </c>
      <c r="AM19" s="16">
        <v>29</v>
      </c>
      <c r="AN19" s="16">
        <v>74</v>
      </c>
      <c r="AO19" s="16">
        <v>40</v>
      </c>
      <c r="AP19" s="15">
        <v>3</v>
      </c>
      <c r="AQ19" s="15" t="s">
        <v>103</v>
      </c>
      <c r="AS19" s="15" t="s">
        <v>103</v>
      </c>
      <c r="AT19" s="15" t="s">
        <v>103</v>
      </c>
    </row>
    <row r="20" spans="1:1014" ht="28.15" customHeight="1" x14ac:dyDescent="0.25">
      <c r="A20" s="40" t="s">
        <v>111</v>
      </c>
      <c r="B20" s="41" t="s">
        <v>105</v>
      </c>
      <c r="C20" s="41" t="s">
        <v>73</v>
      </c>
      <c r="D20" s="42">
        <v>42</v>
      </c>
      <c r="E20" s="42">
        <v>57</v>
      </c>
      <c r="F20" s="42" t="s">
        <v>34</v>
      </c>
      <c r="G20" s="16">
        <v>48</v>
      </c>
      <c r="H20" s="16">
        <v>24</v>
      </c>
      <c r="I20" s="16">
        <v>18</v>
      </c>
      <c r="J20" s="16">
        <v>29</v>
      </c>
      <c r="K20" s="16">
        <v>28</v>
      </c>
      <c r="L20" s="16">
        <v>29</v>
      </c>
      <c r="M20" s="16">
        <v>40</v>
      </c>
      <c r="N20" s="16">
        <v>73</v>
      </c>
      <c r="O20" s="16" t="s">
        <v>46</v>
      </c>
      <c r="P20" s="16">
        <v>92</v>
      </c>
      <c r="Q20" s="16">
        <v>108</v>
      </c>
      <c r="R20" s="16">
        <v>70</v>
      </c>
      <c r="S20" s="16">
        <v>34</v>
      </c>
      <c r="T20" s="16">
        <v>27</v>
      </c>
      <c r="U20" s="16">
        <v>22</v>
      </c>
      <c r="V20" s="16">
        <v>99</v>
      </c>
      <c r="W20" s="16" t="s">
        <v>94</v>
      </c>
      <c r="X20" s="16">
        <v>48</v>
      </c>
      <c r="Y20" s="16">
        <v>56</v>
      </c>
      <c r="Z20" s="16">
        <v>19</v>
      </c>
      <c r="AA20" s="16">
        <v>16</v>
      </c>
      <c r="AB20" s="16">
        <v>104</v>
      </c>
      <c r="AC20" s="16">
        <v>98</v>
      </c>
      <c r="AD20" s="16">
        <v>114</v>
      </c>
      <c r="AE20" s="16">
        <v>40</v>
      </c>
      <c r="AF20" s="16">
        <v>73</v>
      </c>
      <c r="AG20" s="16">
        <v>48</v>
      </c>
      <c r="AH20" s="16">
        <v>57</v>
      </c>
      <c r="AI20" s="16">
        <v>19</v>
      </c>
      <c r="AJ20" s="16">
        <v>15</v>
      </c>
      <c r="AK20" s="16">
        <v>29</v>
      </c>
      <c r="AL20" s="16">
        <v>28</v>
      </c>
      <c r="AM20" s="16">
        <v>29</v>
      </c>
      <c r="AN20" s="16">
        <v>72</v>
      </c>
      <c r="AO20" s="16">
        <v>40</v>
      </c>
      <c r="AP20" s="15">
        <v>3</v>
      </c>
      <c r="AQ20" s="15" t="s">
        <v>103</v>
      </c>
      <c r="AS20" s="15" t="s">
        <v>103</v>
      </c>
      <c r="AT20" s="15" t="s">
        <v>103</v>
      </c>
    </row>
    <row r="21" spans="1:1014" ht="28.15" customHeight="1" x14ac:dyDescent="0.25">
      <c r="A21" s="40" t="s">
        <v>112</v>
      </c>
      <c r="B21" s="41" t="s">
        <v>106</v>
      </c>
      <c r="C21" s="41" t="s">
        <v>73</v>
      </c>
      <c r="D21" s="42">
        <v>42</v>
      </c>
      <c r="E21" s="42">
        <v>56</v>
      </c>
      <c r="F21" s="42" t="s">
        <v>34</v>
      </c>
      <c r="G21" s="16">
        <v>46</v>
      </c>
      <c r="H21" s="16">
        <v>25</v>
      </c>
      <c r="I21" s="16">
        <v>17</v>
      </c>
      <c r="J21" s="16">
        <v>29</v>
      </c>
      <c r="K21" s="16">
        <v>27</v>
      </c>
      <c r="L21" s="16">
        <v>29</v>
      </c>
      <c r="M21" s="16">
        <v>70</v>
      </c>
      <c r="N21" s="16">
        <v>42</v>
      </c>
      <c r="O21" s="16" t="s">
        <v>46</v>
      </c>
      <c r="P21" s="16">
        <v>94</v>
      </c>
      <c r="Q21" s="16">
        <v>112</v>
      </c>
      <c r="R21" s="16">
        <v>67</v>
      </c>
      <c r="S21" s="16">
        <v>34</v>
      </c>
      <c r="T21" s="16">
        <v>25</v>
      </c>
      <c r="U21" s="16">
        <v>20</v>
      </c>
      <c r="V21" s="16">
        <v>96</v>
      </c>
      <c r="W21" s="16" t="s">
        <v>94</v>
      </c>
      <c r="X21" s="16">
        <v>46</v>
      </c>
      <c r="Y21" s="16">
        <v>58</v>
      </c>
      <c r="Z21" s="16">
        <v>19</v>
      </c>
      <c r="AA21" s="16">
        <v>14</v>
      </c>
      <c r="AB21" s="16">
        <v>106</v>
      </c>
      <c r="AC21" s="16">
        <v>106</v>
      </c>
      <c r="AD21" s="16">
        <v>115</v>
      </c>
      <c r="AE21" s="16">
        <v>71</v>
      </c>
      <c r="AF21" s="16">
        <v>42</v>
      </c>
      <c r="AG21" s="16">
        <v>46</v>
      </c>
      <c r="AH21" s="16">
        <v>50</v>
      </c>
      <c r="AI21" s="16">
        <v>18</v>
      </c>
      <c r="AJ21" s="16">
        <v>13</v>
      </c>
      <c r="AK21" s="16">
        <v>29</v>
      </c>
      <c r="AL21" s="16">
        <v>27</v>
      </c>
      <c r="AM21" s="16">
        <v>29</v>
      </c>
      <c r="AN21" s="16">
        <v>71</v>
      </c>
      <c r="AO21" s="16">
        <v>42</v>
      </c>
      <c r="AP21" s="15">
        <v>3</v>
      </c>
      <c r="AQ21" s="15" t="s">
        <v>103</v>
      </c>
      <c r="AR21" s="14"/>
      <c r="AS21" s="15" t="s">
        <v>103</v>
      </c>
      <c r="AT21" s="15" t="s">
        <v>103</v>
      </c>
      <c r="AU21" s="14"/>
      <c r="AV21" s="14"/>
      <c r="AW21" s="14"/>
      <c r="AX21" s="14"/>
      <c r="AY21" s="14"/>
      <c r="AZ21" s="14"/>
    </row>
    <row r="22" spans="1:1014" ht="15.75" x14ac:dyDescent="0.25">
      <c r="A22" s="40" t="s">
        <v>113</v>
      </c>
      <c r="B22" s="41" t="s">
        <v>107</v>
      </c>
      <c r="C22" s="41" t="s">
        <v>73</v>
      </c>
      <c r="D22" s="42">
        <v>41</v>
      </c>
      <c r="E22" s="42">
        <v>57</v>
      </c>
      <c r="F22" s="42" t="s">
        <v>32</v>
      </c>
      <c r="G22" s="16">
        <v>48</v>
      </c>
      <c r="H22" s="16">
        <v>24</v>
      </c>
      <c r="I22" s="16">
        <v>19</v>
      </c>
      <c r="J22" s="16">
        <v>30</v>
      </c>
      <c r="K22" s="16">
        <v>28</v>
      </c>
      <c r="L22" s="16">
        <v>30</v>
      </c>
      <c r="M22" s="15">
        <v>70</v>
      </c>
      <c r="N22" s="15">
        <v>40</v>
      </c>
      <c r="O22" s="16" t="s">
        <v>46</v>
      </c>
      <c r="P22" s="15">
        <v>95</v>
      </c>
      <c r="Q22" s="15">
        <v>116</v>
      </c>
      <c r="R22" s="15">
        <v>70</v>
      </c>
      <c r="S22" s="15">
        <v>35</v>
      </c>
      <c r="T22" s="15">
        <v>25</v>
      </c>
      <c r="U22" s="15">
        <v>21</v>
      </c>
      <c r="V22" s="15">
        <v>94</v>
      </c>
      <c r="W22" s="16" t="s">
        <v>94</v>
      </c>
      <c r="X22" s="16">
        <v>48</v>
      </c>
      <c r="Y22" s="16">
        <v>57</v>
      </c>
      <c r="Z22" s="16">
        <v>20</v>
      </c>
      <c r="AA22" s="16">
        <v>15</v>
      </c>
      <c r="AB22" s="16">
        <v>104</v>
      </c>
      <c r="AC22" s="16">
        <v>100</v>
      </c>
      <c r="AD22" s="16">
        <v>114</v>
      </c>
      <c r="AE22" s="16">
        <v>71</v>
      </c>
      <c r="AF22" s="16">
        <v>40</v>
      </c>
      <c r="AG22" s="16">
        <v>48</v>
      </c>
      <c r="AH22" s="16">
        <v>57</v>
      </c>
      <c r="AI22" s="16">
        <v>19</v>
      </c>
      <c r="AJ22" s="16">
        <v>13</v>
      </c>
      <c r="AK22" s="16">
        <v>30</v>
      </c>
      <c r="AL22" s="16">
        <v>28</v>
      </c>
      <c r="AM22" s="16">
        <v>30</v>
      </c>
      <c r="AN22" s="16">
        <v>70</v>
      </c>
      <c r="AO22" s="16">
        <v>40</v>
      </c>
      <c r="AP22" s="15">
        <v>3</v>
      </c>
      <c r="AQ22" s="15" t="s">
        <v>103</v>
      </c>
      <c r="AR22" s="14"/>
      <c r="AS22" s="15" t="s">
        <v>103</v>
      </c>
      <c r="AT22" s="15" t="s">
        <v>103</v>
      </c>
      <c r="AU22" s="14"/>
      <c r="AV22" s="14"/>
      <c r="AW22" s="14"/>
      <c r="AX22" s="14"/>
      <c r="AY22" s="14"/>
      <c r="AZ22" s="14"/>
    </row>
    <row r="23" spans="1:1014" ht="28.15" customHeight="1" x14ac:dyDescent="0.25">
      <c r="A23" s="40" t="s">
        <v>114</v>
      </c>
      <c r="B23" s="41" t="s">
        <v>108</v>
      </c>
      <c r="C23" s="41" t="s">
        <v>73</v>
      </c>
      <c r="D23" s="42">
        <v>41</v>
      </c>
      <c r="E23" s="42">
        <v>55</v>
      </c>
      <c r="F23" s="42" t="s">
        <v>31</v>
      </c>
      <c r="G23" s="16">
        <v>44</v>
      </c>
      <c r="H23" s="16">
        <v>25</v>
      </c>
      <c r="I23" s="16">
        <v>17</v>
      </c>
      <c r="J23" s="16">
        <v>26</v>
      </c>
      <c r="K23" s="16">
        <v>24</v>
      </c>
      <c r="L23" s="16">
        <v>26</v>
      </c>
      <c r="M23" s="15">
        <v>70</v>
      </c>
      <c r="N23" s="15">
        <v>39</v>
      </c>
      <c r="O23" s="16" t="s">
        <v>46</v>
      </c>
      <c r="P23" s="16">
        <v>77</v>
      </c>
      <c r="Q23" s="15">
        <v>97</v>
      </c>
      <c r="R23" s="15">
        <v>66</v>
      </c>
      <c r="S23" s="15">
        <v>32</v>
      </c>
      <c r="T23" s="15">
        <v>24</v>
      </c>
      <c r="U23" s="15">
        <v>19</v>
      </c>
      <c r="V23" s="15">
        <v>99</v>
      </c>
      <c r="W23" s="16" t="s">
        <v>94</v>
      </c>
      <c r="X23" s="16">
        <v>44</v>
      </c>
      <c r="Y23" s="16">
        <v>59</v>
      </c>
      <c r="Z23" s="16">
        <v>19</v>
      </c>
      <c r="AA23" s="16">
        <v>14</v>
      </c>
      <c r="AB23" s="16">
        <v>99</v>
      </c>
      <c r="AC23" s="16">
        <v>90</v>
      </c>
      <c r="AD23" s="16">
        <v>103</v>
      </c>
      <c r="AE23" s="16">
        <v>71</v>
      </c>
      <c r="AF23" s="16">
        <v>39</v>
      </c>
      <c r="AG23" s="16">
        <v>44</v>
      </c>
      <c r="AH23" s="16">
        <v>60</v>
      </c>
      <c r="AI23" s="16">
        <v>17</v>
      </c>
      <c r="AJ23" s="16">
        <v>12</v>
      </c>
      <c r="AK23" s="16">
        <v>26</v>
      </c>
      <c r="AL23" s="16">
        <v>24</v>
      </c>
      <c r="AM23" s="16">
        <v>26</v>
      </c>
      <c r="AN23" s="16">
        <v>70</v>
      </c>
      <c r="AO23" s="16">
        <v>39</v>
      </c>
      <c r="AP23" s="15">
        <v>3</v>
      </c>
      <c r="AQ23" s="15" t="s">
        <v>103</v>
      </c>
      <c r="AR23" s="14"/>
      <c r="AS23" s="15" t="s">
        <v>103</v>
      </c>
      <c r="AT23" s="15" t="s">
        <v>103</v>
      </c>
      <c r="AU23" s="14"/>
      <c r="AV23" s="14"/>
      <c r="AW23" s="14"/>
      <c r="AX23" s="14"/>
      <c r="AY23" s="14"/>
      <c r="AZ23" s="14"/>
    </row>
    <row r="24" spans="1:1014" ht="28.15" customHeight="1" x14ac:dyDescent="0.25">
      <c r="A24" s="40" t="s">
        <v>118</v>
      </c>
      <c r="B24" s="41" t="s">
        <v>115</v>
      </c>
      <c r="C24" s="41" t="s">
        <v>73</v>
      </c>
      <c r="D24" s="42">
        <v>43</v>
      </c>
      <c r="E24" s="42">
        <v>60</v>
      </c>
      <c r="F24" s="42" t="s">
        <v>33</v>
      </c>
      <c r="G24" s="16">
        <v>50</v>
      </c>
      <c r="H24" s="16">
        <v>26</v>
      </c>
      <c r="I24" s="16">
        <v>20</v>
      </c>
      <c r="J24" s="16">
        <v>31</v>
      </c>
      <c r="K24" s="16">
        <v>30</v>
      </c>
      <c r="L24" s="16">
        <v>31</v>
      </c>
      <c r="M24" s="15">
        <v>73</v>
      </c>
      <c r="N24" s="15">
        <v>46</v>
      </c>
      <c r="O24" s="16" t="s">
        <v>46</v>
      </c>
      <c r="P24" s="15">
        <v>108</v>
      </c>
      <c r="Q24" s="15">
        <v>120</v>
      </c>
      <c r="R24" s="15">
        <v>75</v>
      </c>
      <c r="S24" s="15">
        <v>37</v>
      </c>
      <c r="T24" s="15">
        <v>28</v>
      </c>
      <c r="U24" s="15">
        <v>23</v>
      </c>
      <c r="V24" s="15">
        <v>98</v>
      </c>
      <c r="W24" s="16" t="s">
        <v>94</v>
      </c>
      <c r="X24" s="16">
        <v>50</v>
      </c>
      <c r="Y24" s="16">
        <v>60</v>
      </c>
      <c r="Z24" s="16">
        <v>21</v>
      </c>
      <c r="AA24" s="16">
        <v>15</v>
      </c>
      <c r="AB24" s="16">
        <v>125</v>
      </c>
      <c r="AC24" s="16">
        <v>120</v>
      </c>
      <c r="AD24" s="16">
        <v>124</v>
      </c>
      <c r="AE24" s="16">
        <v>74</v>
      </c>
      <c r="AF24" s="16">
        <v>46</v>
      </c>
      <c r="AG24" s="16">
        <v>50</v>
      </c>
      <c r="AH24" s="16">
        <v>61</v>
      </c>
      <c r="AI24" s="16">
        <v>20</v>
      </c>
      <c r="AJ24" s="16">
        <v>13</v>
      </c>
      <c r="AK24" s="16">
        <v>31</v>
      </c>
      <c r="AL24" s="16">
        <v>30</v>
      </c>
      <c r="AM24" s="16">
        <v>31</v>
      </c>
      <c r="AN24" s="16">
        <v>73</v>
      </c>
      <c r="AO24" s="16">
        <v>46</v>
      </c>
      <c r="AP24" s="15">
        <v>3</v>
      </c>
      <c r="AQ24" s="15" t="s">
        <v>103</v>
      </c>
      <c r="AR24" s="14"/>
      <c r="AS24" s="15" t="s">
        <v>103</v>
      </c>
      <c r="AT24" s="15" t="s">
        <v>103</v>
      </c>
      <c r="AU24" s="14"/>
      <c r="AV24" s="14"/>
      <c r="AW24" s="14"/>
      <c r="AX24" s="14"/>
      <c r="AY24" s="14"/>
      <c r="AZ24" s="14"/>
    </row>
    <row r="25" spans="1:1014" ht="28.15" customHeight="1" x14ac:dyDescent="0.25">
      <c r="A25" s="40" t="s">
        <v>119</v>
      </c>
      <c r="B25" s="41" t="s">
        <v>116</v>
      </c>
      <c r="C25" s="41" t="s">
        <v>73</v>
      </c>
      <c r="D25" s="42">
        <v>41</v>
      </c>
      <c r="E25" s="42">
        <v>57</v>
      </c>
      <c r="F25" s="42" t="s">
        <v>34</v>
      </c>
      <c r="G25" s="16">
        <v>46</v>
      </c>
      <c r="H25" s="16">
        <v>26</v>
      </c>
      <c r="I25" s="16">
        <v>17</v>
      </c>
      <c r="J25" s="16">
        <v>28</v>
      </c>
      <c r="K25" s="16">
        <v>26</v>
      </c>
      <c r="L25" s="16">
        <v>28</v>
      </c>
      <c r="M25" s="15">
        <v>72</v>
      </c>
      <c r="N25" s="15">
        <v>42</v>
      </c>
      <c r="O25" s="16" t="s">
        <v>46</v>
      </c>
      <c r="P25" s="15">
        <v>88</v>
      </c>
      <c r="Q25" s="15">
        <v>104</v>
      </c>
      <c r="R25" s="15">
        <v>72</v>
      </c>
      <c r="S25" s="15">
        <v>34</v>
      </c>
      <c r="T25" s="15">
        <v>27</v>
      </c>
      <c r="U25" s="15">
        <v>22</v>
      </c>
      <c r="V25" s="15">
        <v>98</v>
      </c>
      <c r="W25" s="16" t="s">
        <v>94</v>
      </c>
      <c r="X25" s="16">
        <v>46</v>
      </c>
      <c r="Y25" s="16">
        <v>60</v>
      </c>
      <c r="Z25" s="16">
        <v>19</v>
      </c>
      <c r="AA25" s="16">
        <v>14</v>
      </c>
      <c r="AB25" s="16">
        <v>100</v>
      </c>
      <c r="AC25" s="16">
        <v>96</v>
      </c>
      <c r="AD25" s="16">
        <v>104</v>
      </c>
      <c r="AE25" s="16">
        <v>73</v>
      </c>
      <c r="AF25" s="16">
        <v>42</v>
      </c>
      <c r="AG25" s="16">
        <v>46</v>
      </c>
      <c r="AH25" s="16">
        <v>61</v>
      </c>
      <c r="AI25" s="16">
        <v>17</v>
      </c>
      <c r="AJ25" s="16">
        <v>12</v>
      </c>
      <c r="AK25" s="16">
        <v>28</v>
      </c>
      <c r="AL25" s="16">
        <v>26</v>
      </c>
      <c r="AM25" s="16">
        <v>28</v>
      </c>
      <c r="AN25" s="16">
        <v>72</v>
      </c>
      <c r="AO25" s="16">
        <v>42</v>
      </c>
      <c r="AP25" s="15">
        <v>3</v>
      </c>
      <c r="AQ25" s="15" t="s">
        <v>103</v>
      </c>
      <c r="AR25" s="14"/>
      <c r="AS25" s="15" t="s">
        <v>103</v>
      </c>
      <c r="AT25" s="15" t="s">
        <v>103</v>
      </c>
      <c r="AU25" s="14"/>
      <c r="AV25" s="14"/>
      <c r="AW25" s="14"/>
      <c r="AX25" s="14"/>
      <c r="AY25" s="14"/>
      <c r="AZ25" s="14"/>
    </row>
    <row r="26" spans="1:1014" ht="28.15" customHeight="1" x14ac:dyDescent="0.25">
      <c r="A26" s="40" t="s">
        <v>120</v>
      </c>
      <c r="B26" s="41" t="s">
        <v>117</v>
      </c>
      <c r="C26" s="41" t="s">
        <v>73</v>
      </c>
      <c r="D26" s="42">
        <v>42</v>
      </c>
      <c r="E26" s="42">
        <v>59</v>
      </c>
      <c r="F26" s="42" t="s">
        <v>32</v>
      </c>
      <c r="G26" s="16">
        <v>48</v>
      </c>
      <c r="H26" s="16">
        <v>26</v>
      </c>
      <c r="I26" s="16">
        <v>19</v>
      </c>
      <c r="J26" s="16">
        <v>30</v>
      </c>
      <c r="K26" s="16">
        <v>28</v>
      </c>
      <c r="L26" s="16">
        <v>30</v>
      </c>
      <c r="M26" s="15">
        <v>71</v>
      </c>
      <c r="N26" s="15">
        <v>43</v>
      </c>
      <c r="O26" s="16" t="s">
        <v>46</v>
      </c>
      <c r="P26" s="15">
        <v>97</v>
      </c>
      <c r="Q26" s="15">
        <v>121</v>
      </c>
      <c r="R26" s="15">
        <v>70</v>
      </c>
      <c r="S26" s="15">
        <v>36</v>
      </c>
      <c r="T26" s="15">
        <v>26</v>
      </c>
      <c r="U26" s="15">
        <v>21</v>
      </c>
      <c r="V26" s="15">
        <v>98</v>
      </c>
      <c r="W26" s="16" t="s">
        <v>94</v>
      </c>
      <c r="X26" s="16">
        <v>48</v>
      </c>
      <c r="Y26" s="16">
        <v>58</v>
      </c>
      <c r="Z26" s="16">
        <v>20</v>
      </c>
      <c r="AA26" s="16">
        <v>15</v>
      </c>
      <c r="AB26" s="16">
        <v>115</v>
      </c>
      <c r="AC26" s="16">
        <v>110</v>
      </c>
      <c r="AD26" s="16">
        <v>123</v>
      </c>
      <c r="AE26" s="16">
        <v>72</v>
      </c>
      <c r="AF26" s="16">
        <v>43</v>
      </c>
      <c r="AG26" s="16">
        <v>48</v>
      </c>
      <c r="AH26" s="16">
        <v>59</v>
      </c>
      <c r="AI26" s="16">
        <v>19</v>
      </c>
      <c r="AJ26" s="16">
        <v>13</v>
      </c>
      <c r="AK26" s="16">
        <v>30</v>
      </c>
      <c r="AL26" s="16">
        <v>28</v>
      </c>
      <c r="AM26" s="16">
        <v>30</v>
      </c>
      <c r="AN26" s="16">
        <v>71</v>
      </c>
      <c r="AO26" s="16">
        <v>43</v>
      </c>
      <c r="AP26" s="15">
        <v>3</v>
      </c>
      <c r="AQ26" s="15" t="s">
        <v>103</v>
      </c>
      <c r="AR26" s="14"/>
      <c r="AS26" s="15" t="s">
        <v>103</v>
      </c>
      <c r="AT26" s="15" t="s">
        <v>103</v>
      </c>
      <c r="AU26" s="14"/>
      <c r="AV26" s="14"/>
      <c r="AW26" s="14"/>
      <c r="AX26" s="14"/>
      <c r="AY26" s="14"/>
      <c r="AZ26" s="14"/>
    </row>
    <row r="27" spans="1:1014" ht="28.15" customHeight="1" x14ac:dyDescent="0.25">
      <c r="A27" s="6"/>
      <c r="B27" s="13"/>
      <c r="C27" s="13"/>
      <c r="D27" s="14"/>
      <c r="E27" s="14"/>
      <c r="F27" s="14"/>
      <c r="G27" s="14"/>
      <c r="H27" s="14"/>
      <c r="I27" s="14"/>
      <c r="J27" s="14"/>
      <c r="K27" s="14"/>
      <c r="L27" s="14"/>
      <c r="M27" s="2"/>
      <c r="O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6"/>
      <c r="AH27" s="16"/>
      <c r="AI27" s="16"/>
      <c r="AJ27" s="16"/>
      <c r="AK27" s="16"/>
      <c r="AL27" s="16"/>
      <c r="AM27" s="16"/>
      <c r="AN27" s="16"/>
      <c r="AO27" s="16"/>
      <c r="AR27" s="14"/>
      <c r="AS27" s="14"/>
      <c r="AT27" s="14"/>
      <c r="AU27" s="14"/>
      <c r="AV27" s="14"/>
      <c r="AW27" s="14"/>
      <c r="AX27" s="14"/>
      <c r="AY27" s="14"/>
      <c r="AZ27" s="14"/>
    </row>
    <row r="28" spans="1:1014" ht="28.15" customHeight="1" x14ac:dyDescent="0.25">
      <c r="A28" s="6"/>
      <c r="B28" s="13"/>
      <c r="C28" s="13"/>
      <c r="D28" s="14"/>
      <c r="E28" s="14"/>
      <c r="F28" s="14"/>
      <c r="G28" s="14"/>
      <c r="H28" s="14"/>
      <c r="I28" s="14"/>
      <c r="J28" s="14"/>
      <c r="K28" s="14"/>
      <c r="L28" s="14"/>
      <c r="M28" s="2"/>
      <c r="O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R28" s="14"/>
      <c r="AS28" s="14"/>
      <c r="AT28" s="14"/>
      <c r="AU28" s="14"/>
      <c r="AV28" s="14"/>
      <c r="AW28" s="14"/>
      <c r="AX28" s="14"/>
      <c r="AY28" s="14"/>
      <c r="AZ28" s="14"/>
    </row>
    <row r="29" spans="1:1014" ht="28.15" customHeight="1" x14ac:dyDescent="0.25">
      <c r="A29" s="6"/>
      <c r="B29" s="13"/>
      <c r="C29" s="13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</row>
    <row r="30" spans="1:1014" ht="28.15" customHeight="1" x14ac:dyDescent="0.25">
      <c r="A30" s="6"/>
      <c r="B30" s="13"/>
      <c r="C30" s="13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</row>
    <row r="31" spans="1:1014" ht="28.15" customHeight="1" x14ac:dyDescent="0.25">
      <c r="A31" s="6"/>
      <c r="B31" s="13"/>
      <c r="C31" s="13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</row>
    <row r="32" spans="1:1014" ht="28.15" customHeight="1" x14ac:dyDescent="0.25">
      <c r="A32" s="6"/>
      <c r="B32" s="13"/>
      <c r="C32" s="13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</row>
    <row r="33" spans="1:23" ht="28.15" customHeight="1" x14ac:dyDescent="0.25">
      <c r="A33" s="6"/>
      <c r="B33" s="13"/>
      <c r="C33" s="13"/>
      <c r="D33" s="14"/>
      <c r="E33" s="14"/>
      <c r="F33" s="16"/>
      <c r="M33" s="3"/>
      <c r="N33" s="16"/>
      <c r="O33" s="14"/>
      <c r="P33" s="16"/>
      <c r="Q33" s="16"/>
      <c r="R33" s="16"/>
      <c r="S33" s="16"/>
      <c r="T33" s="16"/>
      <c r="U33" s="16"/>
      <c r="V33" s="15"/>
      <c r="W33" s="14"/>
    </row>
    <row r="34" spans="1:23" ht="28.15" customHeight="1" x14ac:dyDescent="0.25">
      <c r="A34" s="6"/>
      <c r="B34" s="13"/>
      <c r="C34" s="13"/>
      <c r="D34" s="14"/>
      <c r="E34" s="14"/>
      <c r="F34" s="16"/>
      <c r="M34" s="3"/>
      <c r="N34" s="3"/>
      <c r="O34" s="14"/>
      <c r="P34" s="16"/>
      <c r="Q34" s="16"/>
      <c r="R34" s="16"/>
      <c r="S34" s="16"/>
      <c r="T34" s="16"/>
      <c r="U34" s="16"/>
      <c r="V34" s="16"/>
      <c r="W34" s="14"/>
    </row>
    <row r="35" spans="1:23" ht="28.15" customHeight="1" x14ac:dyDescent="0.25">
      <c r="A35" s="6"/>
      <c r="B35" s="13"/>
      <c r="C35" s="13"/>
      <c r="D35" s="14"/>
      <c r="E35" s="14"/>
      <c r="F35" s="16"/>
      <c r="M35" s="3"/>
      <c r="N35" s="15"/>
      <c r="O35" s="14"/>
      <c r="P35" s="15"/>
      <c r="Q35" s="15"/>
      <c r="R35" s="15"/>
      <c r="S35" s="15"/>
      <c r="T35" s="15"/>
      <c r="U35" s="15"/>
      <c r="V35" s="15"/>
      <c r="W35" s="14"/>
    </row>
    <row r="36" spans="1:23" ht="28.15" customHeight="1" x14ac:dyDescent="0.25">
      <c r="A36" s="6"/>
      <c r="B36" s="13"/>
      <c r="C36" s="13"/>
      <c r="D36" s="14"/>
      <c r="E36" s="14"/>
      <c r="F36" s="16"/>
      <c r="G36" s="16"/>
      <c r="H36" s="16"/>
      <c r="I36" s="16"/>
      <c r="J36" s="16"/>
      <c r="K36" s="16"/>
      <c r="L36" s="16"/>
      <c r="M36" s="16"/>
      <c r="N36" s="16"/>
      <c r="O36" s="14"/>
      <c r="P36" s="16"/>
      <c r="Q36" s="16"/>
      <c r="R36" s="16"/>
      <c r="S36" s="16"/>
      <c r="T36" s="16"/>
      <c r="U36" s="16"/>
      <c r="V36" s="16"/>
      <c r="W36" s="14"/>
    </row>
    <row r="37" spans="1:23" ht="28.15" customHeight="1" x14ac:dyDescent="0.25">
      <c r="A37" s="6"/>
      <c r="B37" s="13"/>
      <c r="C37" s="13"/>
      <c r="D37" s="14"/>
      <c r="E37" s="14"/>
      <c r="F37" s="16"/>
      <c r="G37" s="16"/>
      <c r="H37" s="16"/>
      <c r="I37" s="16"/>
      <c r="J37" s="16"/>
      <c r="K37" s="16"/>
      <c r="L37" s="16"/>
      <c r="M37" s="16"/>
      <c r="N37" s="16"/>
      <c r="O37" s="14"/>
      <c r="P37" s="16"/>
      <c r="Q37" s="16"/>
      <c r="R37" s="16"/>
      <c r="S37" s="16"/>
      <c r="T37" s="16"/>
      <c r="U37" s="16"/>
      <c r="V37" s="16"/>
      <c r="W37" s="14"/>
    </row>
    <row r="38" spans="1:23" ht="28.15" customHeight="1" x14ac:dyDescent="0.25">
      <c r="A38" s="6"/>
      <c r="B38" s="13"/>
      <c r="C38" s="13"/>
      <c r="D38" s="14"/>
      <c r="E38" s="14"/>
      <c r="F38" s="16"/>
      <c r="G38" s="16"/>
      <c r="H38" s="16"/>
      <c r="I38" s="16"/>
      <c r="J38" s="16"/>
      <c r="K38" s="16"/>
      <c r="L38" s="16"/>
      <c r="M38" s="16"/>
      <c r="N38" s="16"/>
      <c r="O38" s="14"/>
      <c r="P38" s="16"/>
      <c r="Q38" s="16"/>
      <c r="R38" s="16"/>
      <c r="S38" s="16"/>
      <c r="T38" s="16"/>
      <c r="U38" s="16"/>
      <c r="V38" s="16"/>
      <c r="W38" s="14"/>
    </row>
    <row r="39" spans="1:23" ht="28.15" customHeight="1" x14ac:dyDescent="0.25">
      <c r="A39" s="6"/>
      <c r="B39" s="13"/>
      <c r="C39" s="13"/>
      <c r="D39" s="14"/>
      <c r="E39" s="14"/>
      <c r="F39" s="16"/>
      <c r="G39" s="16"/>
      <c r="H39" s="16"/>
      <c r="I39" s="16"/>
      <c r="J39" s="16"/>
      <c r="K39" s="16"/>
      <c r="L39" s="16"/>
      <c r="M39" s="16"/>
      <c r="N39" s="16"/>
      <c r="O39" s="14"/>
      <c r="P39" s="16"/>
      <c r="Q39" s="16"/>
      <c r="R39" s="16"/>
      <c r="S39" s="16"/>
      <c r="T39" s="16"/>
      <c r="U39" s="16"/>
      <c r="V39" s="16"/>
      <c r="W39" s="14"/>
    </row>
    <row r="40" spans="1:23" ht="28.15" customHeight="1" x14ac:dyDescent="0.25">
      <c r="A40" s="6"/>
      <c r="B40" s="13"/>
      <c r="C40" s="13"/>
      <c r="D40" s="14"/>
      <c r="E40" s="14"/>
      <c r="F40" s="16"/>
      <c r="G40" s="16"/>
      <c r="H40" s="16"/>
      <c r="I40" s="16"/>
      <c r="J40" s="16"/>
      <c r="K40" s="16"/>
      <c r="L40" s="16"/>
      <c r="M40" s="16"/>
      <c r="N40" s="16"/>
      <c r="O40" s="14"/>
      <c r="P40" s="16"/>
      <c r="Q40" s="16"/>
      <c r="R40" s="16"/>
      <c r="S40" s="16"/>
      <c r="T40" s="16"/>
      <c r="U40" s="16"/>
      <c r="V40" s="16"/>
      <c r="W40" s="14"/>
    </row>
    <row r="41" spans="1:23" ht="28.15" customHeight="1" x14ac:dyDescent="0.25">
      <c r="A41" s="6"/>
      <c r="B41" s="13"/>
      <c r="C41" s="13"/>
      <c r="D41" s="14"/>
      <c r="E41" s="14"/>
      <c r="F41" s="16"/>
      <c r="G41" s="16"/>
      <c r="H41" s="16"/>
      <c r="I41" s="16"/>
      <c r="J41" s="16"/>
      <c r="K41" s="16"/>
      <c r="L41" s="16"/>
      <c r="M41" s="16"/>
      <c r="N41" s="16"/>
      <c r="O41" s="14"/>
      <c r="P41" s="16"/>
      <c r="Q41" s="16"/>
      <c r="R41" s="16"/>
      <c r="S41" s="16"/>
      <c r="T41" s="16"/>
      <c r="U41" s="16"/>
      <c r="V41" s="16"/>
      <c r="W41" s="14"/>
    </row>
    <row r="42" spans="1:23" ht="28.15" customHeight="1" x14ac:dyDescent="0.25">
      <c r="A42" s="6"/>
      <c r="B42" s="13"/>
      <c r="C42" s="13"/>
      <c r="D42" s="14"/>
      <c r="E42" s="14"/>
      <c r="F42" s="16"/>
      <c r="G42" s="16"/>
      <c r="H42" s="16"/>
      <c r="I42" s="16"/>
      <c r="J42" s="16"/>
      <c r="K42" s="16"/>
      <c r="L42" s="16"/>
      <c r="M42" s="16"/>
      <c r="N42" s="16"/>
      <c r="O42" s="14"/>
      <c r="P42" s="16"/>
      <c r="Q42" s="16"/>
      <c r="R42" s="16"/>
      <c r="S42" s="16"/>
      <c r="T42" s="16"/>
      <c r="U42" s="16"/>
      <c r="V42" s="16"/>
      <c r="W42" s="14"/>
    </row>
    <row r="43" spans="1:23" ht="28.15" customHeight="1" x14ac:dyDescent="0.25">
      <c r="A43" s="6"/>
      <c r="B43" s="13"/>
      <c r="C43" s="13"/>
      <c r="D43" s="14"/>
      <c r="E43" s="14"/>
      <c r="F43" s="16"/>
      <c r="G43" s="16"/>
      <c r="H43" s="16"/>
      <c r="I43" s="16"/>
      <c r="J43" s="16"/>
      <c r="K43" s="16"/>
      <c r="L43" s="16"/>
      <c r="M43" s="16"/>
      <c r="N43" s="16"/>
      <c r="O43" s="14"/>
      <c r="P43" s="16"/>
      <c r="Q43" s="16"/>
      <c r="R43" s="16"/>
      <c r="S43" s="16"/>
      <c r="T43" s="16"/>
      <c r="U43" s="16"/>
      <c r="V43" s="16"/>
      <c r="W43" s="14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COUNTIF(SEMUA!$F$2:$F$43,REKAP!A4)</f>
        <v>9</v>
      </c>
      <c r="D4">
        <v>37</v>
      </c>
      <c r="G4" s="8">
        <v>53</v>
      </c>
      <c r="H4">
        <f>COUNTIF(SEMUA!$E$2:$E$43,G4)</f>
        <v>0</v>
      </c>
      <c r="J4" s="7">
        <v>1</v>
      </c>
      <c r="K4" s="7" t="s">
        <v>73</v>
      </c>
      <c r="L4">
        <f>COUNTIF(SEMUA!$C$1:$C$43,REKAP!K4)</f>
        <v>25</v>
      </c>
    </row>
    <row r="5" spans="1:12" ht="15.75" x14ac:dyDescent="0.25">
      <c r="A5" s="7" t="s">
        <v>31</v>
      </c>
      <c r="B5">
        <f>COUNTIF(SEMUA!$F$2:$F$43,REKAP!A5)</f>
        <v>2</v>
      </c>
      <c r="D5">
        <v>38</v>
      </c>
      <c r="E5">
        <f>COUNTIF(SEMUA!$D$2:$D$43,D5)</f>
        <v>0</v>
      </c>
      <c r="G5" s="8">
        <v>54</v>
      </c>
      <c r="H5">
        <f>COUNTIF(SEMUA!$E$2:$E$43,G5)</f>
        <v>0</v>
      </c>
      <c r="J5" s="7"/>
      <c r="K5" s="7"/>
    </row>
    <row r="6" spans="1:12" ht="15.75" x14ac:dyDescent="0.25">
      <c r="A6" s="7" t="s">
        <v>35</v>
      </c>
      <c r="B6">
        <f>COUNTIF(SEMUA!$F$2:$F$43,REKAP!A6)</f>
        <v>0</v>
      </c>
      <c r="D6" s="8">
        <v>39</v>
      </c>
      <c r="E6">
        <f>COUNTIF(SEMUA!$D$2:$D$43,D6)</f>
        <v>0</v>
      </c>
      <c r="G6" s="8">
        <v>55</v>
      </c>
      <c r="H6">
        <f>COUNTIF(SEMUA!$E$2:$E$43,G6)</f>
        <v>3</v>
      </c>
      <c r="J6" s="7"/>
      <c r="K6" s="7"/>
    </row>
    <row r="7" spans="1:12" ht="15.75" x14ac:dyDescent="0.25">
      <c r="A7" s="7" t="s">
        <v>34</v>
      </c>
      <c r="B7">
        <f>COUNTIF(SEMUA!$F$2:$F$43,REKAP!A7)</f>
        <v>10</v>
      </c>
      <c r="D7" s="8">
        <v>40</v>
      </c>
      <c r="E7">
        <f>COUNTIF(SEMUA!$D$2:$D$43,D7)</f>
        <v>3</v>
      </c>
      <c r="G7" s="8">
        <v>56</v>
      </c>
      <c r="H7">
        <f>COUNTIF(SEMUA!$E$2:$E$43,G7)</f>
        <v>6</v>
      </c>
      <c r="J7" s="7"/>
      <c r="K7" s="7"/>
    </row>
    <row r="8" spans="1:12" ht="15.75" x14ac:dyDescent="0.25">
      <c r="A8" s="7" t="s">
        <v>33</v>
      </c>
      <c r="B8">
        <f>COUNTIF(SEMUA!$F$2:$F$43,REKAP!A8)</f>
        <v>4</v>
      </c>
      <c r="D8" s="8">
        <v>41</v>
      </c>
      <c r="E8">
        <f>COUNTIF(SEMUA!$D$2:$D$43,D8)</f>
        <v>8</v>
      </c>
      <c r="G8" s="8">
        <v>57</v>
      </c>
      <c r="H8">
        <f>COUNTIF(SEMUA!$E$2:$E$43,G8)</f>
        <v>5</v>
      </c>
      <c r="J8" s="7"/>
      <c r="K8" s="7"/>
    </row>
    <row r="9" spans="1:12" ht="15.75" x14ac:dyDescent="0.25">
      <c r="A9" s="7" t="s">
        <v>36</v>
      </c>
      <c r="B9">
        <f>COUNTIF(SEMUA!$F$2:$F$43,REKAP!A9)</f>
        <v>0</v>
      </c>
      <c r="D9" s="8">
        <v>42</v>
      </c>
      <c r="E9">
        <f>COUNTIF(SEMUA!$D$2:$D$43,D9)</f>
        <v>8</v>
      </c>
      <c r="G9" s="8">
        <v>58</v>
      </c>
      <c r="H9">
        <f>COUNTIF(SEMUA!$E$2:$E$43,G9)</f>
        <v>7</v>
      </c>
      <c r="J9" s="7"/>
    </row>
    <row r="10" spans="1:12" ht="15.75" x14ac:dyDescent="0.25">
      <c r="A10" s="7" t="s">
        <v>37</v>
      </c>
      <c r="B10">
        <f>COUNTIF(SEMUA!$F$2:$F$43,REKAP!A10)</f>
        <v>0</v>
      </c>
      <c r="D10" s="8">
        <v>43</v>
      </c>
      <c r="E10">
        <f>COUNTIF(SEMUA!$D$2:$D$43,D10)</f>
        <v>4</v>
      </c>
      <c r="G10" s="8">
        <v>59</v>
      </c>
      <c r="H10">
        <f>COUNTIF(SEMUA!$E$2:$E$43,G10)</f>
        <v>3</v>
      </c>
      <c r="J10" s="7"/>
    </row>
    <row r="11" spans="1:12" ht="15.75" x14ac:dyDescent="0.25">
      <c r="A11" s="9" t="s">
        <v>44</v>
      </c>
      <c r="B11" s="10">
        <f>SUM(B4:B10)</f>
        <v>25</v>
      </c>
      <c r="C11" s="10"/>
      <c r="D11" s="8">
        <v>44</v>
      </c>
      <c r="E11">
        <f>COUNTIF(SEMUA!$D$2:$D$43,D11)</f>
        <v>1</v>
      </c>
      <c r="G11" s="1">
        <v>60</v>
      </c>
      <c r="H11">
        <f>COUNTIF(SEMUA!$E$2:$E$43,G11)</f>
        <v>1</v>
      </c>
      <c r="J11" s="7"/>
    </row>
    <row r="12" spans="1:12" ht="15.75" x14ac:dyDescent="0.25">
      <c r="D12" s="8">
        <v>45</v>
      </c>
      <c r="E12">
        <f>COUNTIF(SEMUA!$D$2:$D$43,D12)</f>
        <v>0</v>
      </c>
      <c r="H12">
        <f>SUM(H4:H11)</f>
        <v>25</v>
      </c>
      <c r="J12" s="7"/>
    </row>
    <row r="13" spans="1:12" ht="15.75" x14ac:dyDescent="0.25">
      <c r="D13" s="8">
        <v>46</v>
      </c>
      <c r="E13">
        <f>COUNTIF(SEMUA!$D$2:$D$43,D13)</f>
        <v>1</v>
      </c>
    </row>
    <row r="14" spans="1:12" ht="15.75" x14ac:dyDescent="0.25">
      <c r="D14" s="8"/>
      <c r="E14">
        <f>SUM(E5:E13)</f>
        <v>25</v>
      </c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ht="15.75" x14ac:dyDescent="0.25">
      <c r="D77" s="8"/>
    </row>
    <row r="78" spans="4:4" ht="15.75" x14ac:dyDescent="0.25">
      <c r="D78" s="8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A615E-313F-47A2-8905-FF5EE98AC56C}">
  <sheetPr>
    <tabColor rgb="FF70AD47"/>
  </sheetPr>
  <dimension ref="A1:AMB101"/>
  <sheetViews>
    <sheetView zoomScale="55" zoomScaleNormal="55" workbookViewId="0">
      <pane ySplit="1" topLeftCell="A2" activePane="bottomLeft" state="frozen"/>
      <selection pane="bottomLeft" activeCell="G9" sqref="G9"/>
    </sheetView>
  </sheetViews>
  <sheetFormatPr defaultColWidth="8.7109375" defaultRowHeight="24.75" customHeight="1" x14ac:dyDescent="0.25"/>
  <cols>
    <col min="1" max="1" width="6.140625" style="1" bestFit="1" customWidth="1"/>
    <col min="2" max="2" width="31.5703125" style="2" customWidth="1"/>
    <col min="3" max="3" width="22.7109375" style="1" bestFit="1" customWidth="1"/>
    <col min="4" max="4" width="5.28515625" style="1" bestFit="1" customWidth="1"/>
    <col min="5" max="5" width="5.85546875" style="3" bestFit="1" customWidth="1"/>
    <col min="6" max="6" width="11.28515625" style="1" customWidth="1"/>
    <col min="7" max="7" width="6.85546875" style="12" bestFit="1" customWidth="1"/>
    <col min="8" max="13" width="6.42578125" style="3" bestFit="1" customWidth="1"/>
    <col min="14" max="16" width="6.42578125" style="1" bestFit="1" customWidth="1"/>
    <col min="17" max="17" width="13.28515625" style="36" bestFit="1" customWidth="1"/>
    <col min="18" max="962" width="8.7109375" style="2"/>
    <col min="963" max="16384" width="8.7109375" style="4"/>
  </cols>
  <sheetData>
    <row r="1" spans="1:962" s="24" customFormat="1" ht="24.75" customHeight="1" x14ac:dyDescent="0.25">
      <c r="A1" s="21" t="s">
        <v>0</v>
      </c>
      <c r="B1" s="33" t="s">
        <v>1</v>
      </c>
      <c r="C1" s="21" t="s">
        <v>2</v>
      </c>
      <c r="D1" s="21" t="s">
        <v>101</v>
      </c>
      <c r="E1" s="21" t="s">
        <v>5</v>
      </c>
      <c r="F1" s="21" t="s">
        <v>127</v>
      </c>
      <c r="G1" s="22" t="s">
        <v>6</v>
      </c>
      <c r="H1" s="34" t="s">
        <v>7</v>
      </c>
      <c r="I1" s="34" t="s">
        <v>8</v>
      </c>
      <c r="J1" s="34" t="s">
        <v>9</v>
      </c>
      <c r="K1" s="34" t="s">
        <v>10</v>
      </c>
      <c r="L1" s="34" t="s">
        <v>11</v>
      </c>
      <c r="M1" s="34" t="s">
        <v>12</v>
      </c>
      <c r="N1" s="34" t="s">
        <v>13</v>
      </c>
      <c r="O1" s="34" t="s">
        <v>14</v>
      </c>
      <c r="P1" s="34" t="s">
        <v>125</v>
      </c>
      <c r="Q1" s="35" t="s">
        <v>126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3"/>
      <c r="EG1" s="23"/>
      <c r="EH1" s="23"/>
      <c r="EI1" s="23"/>
      <c r="EJ1" s="23"/>
      <c r="EK1" s="23"/>
      <c r="EL1" s="23"/>
      <c r="EM1" s="23"/>
      <c r="EN1" s="23"/>
      <c r="EO1" s="23"/>
      <c r="EP1" s="23"/>
      <c r="EQ1" s="23"/>
      <c r="ER1" s="23"/>
      <c r="ES1" s="23"/>
      <c r="ET1" s="23"/>
      <c r="EU1" s="23"/>
      <c r="EV1" s="23"/>
      <c r="EW1" s="23"/>
      <c r="EX1" s="23"/>
      <c r="EY1" s="23"/>
      <c r="EZ1" s="23"/>
      <c r="FA1" s="23"/>
      <c r="FB1" s="23"/>
      <c r="FC1" s="23"/>
      <c r="FD1" s="23"/>
      <c r="FE1" s="23"/>
      <c r="FF1" s="23"/>
      <c r="FG1" s="23"/>
      <c r="FH1" s="23"/>
      <c r="FI1" s="23"/>
      <c r="FJ1" s="23"/>
      <c r="FK1" s="23"/>
      <c r="FL1" s="23"/>
      <c r="FM1" s="23"/>
      <c r="FN1" s="23"/>
      <c r="FO1" s="23"/>
      <c r="FP1" s="23"/>
      <c r="FQ1" s="23"/>
      <c r="FR1" s="23"/>
      <c r="FS1" s="23"/>
      <c r="FT1" s="23"/>
      <c r="FU1" s="23"/>
      <c r="FV1" s="23"/>
      <c r="FW1" s="23"/>
      <c r="FX1" s="23"/>
      <c r="FY1" s="23"/>
      <c r="FZ1" s="23"/>
      <c r="GA1" s="23"/>
      <c r="GB1" s="23"/>
      <c r="GC1" s="23"/>
      <c r="GD1" s="23"/>
      <c r="GE1" s="23"/>
      <c r="GF1" s="23"/>
      <c r="GG1" s="23"/>
      <c r="GH1" s="23"/>
      <c r="GI1" s="23"/>
      <c r="GJ1" s="23"/>
      <c r="GK1" s="23"/>
      <c r="GL1" s="23"/>
      <c r="GM1" s="23"/>
      <c r="GN1" s="23"/>
      <c r="GO1" s="23"/>
      <c r="GP1" s="23"/>
      <c r="GQ1" s="23"/>
      <c r="GR1" s="23"/>
      <c r="GS1" s="23"/>
      <c r="GT1" s="23"/>
      <c r="GU1" s="23"/>
      <c r="GV1" s="23"/>
      <c r="GW1" s="23"/>
      <c r="GX1" s="23"/>
      <c r="GY1" s="23"/>
      <c r="GZ1" s="23"/>
      <c r="HA1" s="23"/>
      <c r="HB1" s="23"/>
      <c r="HC1" s="23"/>
      <c r="HD1" s="23"/>
      <c r="HE1" s="23"/>
      <c r="HF1" s="23"/>
      <c r="HG1" s="23"/>
      <c r="HH1" s="23"/>
      <c r="HI1" s="23"/>
      <c r="HJ1" s="23"/>
      <c r="HK1" s="23"/>
      <c r="HL1" s="23"/>
      <c r="HM1" s="23"/>
      <c r="HN1" s="23"/>
      <c r="HO1" s="23"/>
      <c r="HP1" s="23"/>
      <c r="HQ1" s="23"/>
      <c r="HR1" s="23"/>
      <c r="HS1" s="23"/>
      <c r="HT1" s="23"/>
      <c r="HU1" s="23"/>
      <c r="HV1" s="23"/>
      <c r="HW1" s="23"/>
      <c r="HX1" s="23"/>
      <c r="HY1" s="23"/>
      <c r="HZ1" s="23"/>
      <c r="IA1" s="23"/>
      <c r="IB1" s="23"/>
      <c r="IC1" s="23"/>
      <c r="ID1" s="23"/>
      <c r="IE1" s="23"/>
      <c r="IF1" s="23"/>
      <c r="IG1" s="23"/>
      <c r="IH1" s="23"/>
      <c r="II1" s="23"/>
      <c r="IJ1" s="23"/>
      <c r="IK1" s="23"/>
      <c r="IL1" s="23"/>
      <c r="IM1" s="23"/>
      <c r="IN1" s="23"/>
      <c r="IO1" s="23"/>
      <c r="IP1" s="23"/>
      <c r="IQ1" s="23"/>
      <c r="IR1" s="23"/>
      <c r="IS1" s="23"/>
      <c r="IT1" s="23"/>
      <c r="IU1" s="23"/>
      <c r="IV1" s="23"/>
      <c r="IW1" s="23"/>
      <c r="IX1" s="23"/>
      <c r="IY1" s="23"/>
      <c r="IZ1" s="23"/>
      <c r="JA1" s="23"/>
      <c r="JB1" s="23"/>
      <c r="JC1" s="23"/>
      <c r="JD1" s="23"/>
      <c r="JE1" s="23"/>
      <c r="JF1" s="23"/>
      <c r="JG1" s="23"/>
      <c r="JH1" s="23"/>
      <c r="JI1" s="23"/>
      <c r="JJ1" s="23"/>
      <c r="JK1" s="23"/>
      <c r="JL1" s="23"/>
      <c r="JM1" s="23"/>
      <c r="JN1" s="23"/>
      <c r="JO1" s="23"/>
      <c r="JP1" s="23"/>
      <c r="JQ1" s="23"/>
      <c r="JR1" s="23"/>
      <c r="JS1" s="23"/>
      <c r="JT1" s="23"/>
      <c r="JU1" s="23"/>
      <c r="JV1" s="23"/>
      <c r="JW1" s="23"/>
      <c r="JX1" s="23"/>
      <c r="JY1" s="23"/>
      <c r="JZ1" s="23"/>
      <c r="KA1" s="23"/>
      <c r="KB1" s="23"/>
      <c r="KC1" s="23"/>
      <c r="KD1" s="23"/>
      <c r="KE1" s="23"/>
      <c r="KF1" s="23"/>
      <c r="KG1" s="23"/>
      <c r="KH1" s="23"/>
      <c r="KI1" s="23"/>
      <c r="KJ1" s="23"/>
      <c r="KK1" s="23"/>
      <c r="KL1" s="23"/>
      <c r="KM1" s="23"/>
      <c r="KN1" s="23"/>
      <c r="KO1" s="23"/>
      <c r="KP1" s="23"/>
      <c r="KQ1" s="23"/>
      <c r="KR1" s="23"/>
      <c r="KS1" s="23"/>
      <c r="KT1" s="23"/>
      <c r="KU1" s="23"/>
      <c r="KV1" s="23"/>
      <c r="KW1" s="23"/>
      <c r="KX1" s="23"/>
      <c r="KY1" s="23"/>
      <c r="KZ1" s="23"/>
      <c r="LA1" s="23"/>
      <c r="LB1" s="23"/>
      <c r="LC1" s="23"/>
      <c r="LD1" s="23"/>
      <c r="LE1" s="23"/>
      <c r="LF1" s="23"/>
      <c r="LG1" s="23"/>
      <c r="LH1" s="23"/>
      <c r="LI1" s="23"/>
      <c r="LJ1" s="23"/>
      <c r="LK1" s="23"/>
      <c r="LL1" s="23"/>
      <c r="LM1" s="23"/>
      <c r="LN1" s="23"/>
      <c r="LO1" s="23"/>
      <c r="LP1" s="23"/>
      <c r="LQ1" s="23"/>
      <c r="LR1" s="23"/>
      <c r="LS1" s="23"/>
      <c r="LT1" s="23"/>
      <c r="LU1" s="23"/>
      <c r="LV1" s="23"/>
      <c r="LW1" s="23"/>
      <c r="LX1" s="23"/>
      <c r="LY1" s="23"/>
      <c r="LZ1" s="23"/>
      <c r="MA1" s="23"/>
      <c r="MB1" s="23"/>
      <c r="MC1" s="23"/>
      <c r="MD1" s="23"/>
      <c r="ME1" s="23"/>
      <c r="MF1" s="23"/>
      <c r="MG1" s="23"/>
      <c r="MH1" s="23"/>
      <c r="MI1" s="23"/>
      <c r="MJ1" s="23"/>
      <c r="MK1" s="23"/>
      <c r="ML1" s="23"/>
      <c r="MM1" s="23"/>
      <c r="MN1" s="23"/>
      <c r="MO1" s="23"/>
      <c r="MP1" s="23"/>
      <c r="MQ1" s="23"/>
      <c r="MR1" s="23"/>
      <c r="MS1" s="23"/>
      <c r="MT1" s="23"/>
      <c r="MU1" s="23"/>
      <c r="MV1" s="23"/>
      <c r="MW1" s="23"/>
      <c r="MX1" s="23"/>
      <c r="MY1" s="23"/>
      <c r="MZ1" s="23"/>
      <c r="NA1" s="23"/>
      <c r="NB1" s="23"/>
      <c r="NC1" s="23"/>
      <c r="ND1" s="23"/>
      <c r="NE1" s="23"/>
      <c r="NF1" s="23"/>
      <c r="NG1" s="23"/>
      <c r="NH1" s="23"/>
      <c r="NI1" s="23"/>
      <c r="NJ1" s="23"/>
      <c r="NK1" s="23"/>
      <c r="NL1" s="23"/>
      <c r="NM1" s="23"/>
      <c r="NN1" s="23"/>
      <c r="NO1" s="23"/>
      <c r="NP1" s="23"/>
      <c r="NQ1" s="23"/>
      <c r="NR1" s="23"/>
      <c r="NS1" s="23"/>
      <c r="NT1" s="23"/>
      <c r="NU1" s="23"/>
      <c r="NV1" s="23"/>
      <c r="NW1" s="23"/>
      <c r="NX1" s="23"/>
      <c r="NY1" s="23"/>
      <c r="NZ1" s="23"/>
      <c r="OA1" s="23"/>
      <c r="OB1" s="23"/>
      <c r="OC1" s="23"/>
      <c r="OD1" s="23"/>
      <c r="OE1" s="23"/>
      <c r="OF1" s="23"/>
      <c r="OG1" s="23"/>
      <c r="OH1" s="23"/>
      <c r="OI1" s="23"/>
      <c r="OJ1" s="23"/>
      <c r="OK1" s="23"/>
      <c r="OL1" s="23"/>
      <c r="OM1" s="23"/>
      <c r="ON1" s="23"/>
      <c r="OO1" s="23"/>
      <c r="OP1" s="23"/>
      <c r="OQ1" s="23"/>
      <c r="OR1" s="23"/>
      <c r="OS1" s="23"/>
      <c r="OT1" s="23"/>
      <c r="OU1" s="23"/>
      <c r="OV1" s="23"/>
      <c r="OW1" s="23"/>
      <c r="OX1" s="23"/>
      <c r="OY1" s="23"/>
      <c r="OZ1" s="23"/>
      <c r="PA1" s="23"/>
      <c r="PB1" s="23"/>
      <c r="PC1" s="23"/>
      <c r="PD1" s="23"/>
      <c r="PE1" s="23"/>
      <c r="PF1" s="23"/>
      <c r="PG1" s="23"/>
      <c r="PH1" s="23"/>
      <c r="PI1" s="23"/>
      <c r="PJ1" s="23"/>
      <c r="PK1" s="23"/>
      <c r="PL1" s="23"/>
      <c r="PM1" s="23"/>
      <c r="PN1" s="23"/>
      <c r="PO1" s="23"/>
      <c r="PP1" s="23"/>
      <c r="PQ1" s="23"/>
      <c r="PR1" s="23"/>
      <c r="PS1" s="23"/>
      <c r="PT1" s="23"/>
      <c r="PU1" s="23"/>
      <c r="PV1" s="23"/>
      <c r="PW1" s="23"/>
      <c r="PX1" s="23"/>
      <c r="PY1" s="23"/>
      <c r="PZ1" s="23"/>
      <c r="QA1" s="23"/>
      <c r="QB1" s="23"/>
      <c r="QC1" s="23"/>
      <c r="QD1" s="23"/>
      <c r="QE1" s="23"/>
      <c r="QF1" s="23"/>
      <c r="QG1" s="23"/>
      <c r="QH1" s="23"/>
      <c r="QI1" s="23"/>
      <c r="QJ1" s="23"/>
      <c r="QK1" s="23"/>
      <c r="QL1" s="23"/>
      <c r="QM1" s="23"/>
      <c r="QN1" s="23"/>
      <c r="QO1" s="23"/>
      <c r="QP1" s="23"/>
      <c r="QQ1" s="23"/>
      <c r="QR1" s="23"/>
      <c r="QS1" s="23"/>
      <c r="QT1" s="23"/>
      <c r="QU1" s="23"/>
      <c r="QV1" s="23"/>
      <c r="QW1" s="23"/>
      <c r="QX1" s="23"/>
      <c r="QY1" s="23"/>
      <c r="QZ1" s="23"/>
      <c r="RA1" s="23"/>
      <c r="RB1" s="23"/>
      <c r="RC1" s="23"/>
      <c r="RD1" s="23"/>
      <c r="RE1" s="23"/>
      <c r="RF1" s="23"/>
      <c r="RG1" s="23"/>
      <c r="RH1" s="23"/>
      <c r="RI1" s="23"/>
      <c r="RJ1" s="23"/>
      <c r="RK1" s="23"/>
      <c r="RL1" s="23"/>
      <c r="RM1" s="23"/>
      <c r="RN1" s="23"/>
      <c r="RO1" s="23"/>
      <c r="RP1" s="23"/>
      <c r="RQ1" s="23"/>
      <c r="RR1" s="23"/>
      <c r="RS1" s="23"/>
      <c r="RT1" s="23"/>
      <c r="RU1" s="23"/>
      <c r="RV1" s="23"/>
      <c r="RW1" s="23"/>
      <c r="RX1" s="23"/>
      <c r="RY1" s="23"/>
      <c r="RZ1" s="23"/>
      <c r="SA1" s="23"/>
      <c r="SB1" s="23"/>
      <c r="SC1" s="23"/>
      <c r="SD1" s="23"/>
      <c r="SE1" s="23"/>
      <c r="SF1" s="23"/>
      <c r="SG1" s="23"/>
      <c r="SH1" s="23"/>
      <c r="SI1" s="23"/>
      <c r="SJ1" s="23"/>
      <c r="SK1" s="23"/>
      <c r="SL1" s="23"/>
      <c r="SM1" s="23"/>
      <c r="SN1" s="23"/>
      <c r="SO1" s="23"/>
      <c r="SP1" s="23"/>
      <c r="SQ1" s="23"/>
      <c r="SR1" s="23"/>
      <c r="SS1" s="23"/>
      <c r="ST1" s="23"/>
      <c r="SU1" s="23"/>
      <c r="SV1" s="23"/>
      <c r="SW1" s="23"/>
      <c r="SX1" s="23"/>
      <c r="SY1" s="23"/>
      <c r="SZ1" s="23"/>
      <c r="TA1" s="23"/>
      <c r="TB1" s="23"/>
      <c r="TC1" s="23"/>
      <c r="TD1" s="23"/>
      <c r="TE1" s="23"/>
      <c r="TF1" s="23"/>
      <c r="TG1" s="23"/>
      <c r="TH1" s="23"/>
      <c r="TI1" s="23"/>
      <c r="TJ1" s="23"/>
      <c r="TK1" s="23"/>
      <c r="TL1" s="23"/>
      <c r="TM1" s="23"/>
      <c r="TN1" s="23"/>
      <c r="TO1" s="23"/>
      <c r="TP1" s="23"/>
      <c r="TQ1" s="23"/>
      <c r="TR1" s="23"/>
      <c r="TS1" s="23"/>
      <c r="TT1" s="23"/>
      <c r="TU1" s="23"/>
      <c r="TV1" s="23"/>
      <c r="TW1" s="23"/>
      <c r="TX1" s="23"/>
      <c r="TY1" s="23"/>
      <c r="TZ1" s="23"/>
      <c r="UA1" s="23"/>
      <c r="UB1" s="23"/>
      <c r="UC1" s="23"/>
      <c r="UD1" s="23"/>
      <c r="UE1" s="23"/>
      <c r="UF1" s="23"/>
      <c r="UG1" s="23"/>
      <c r="UH1" s="23"/>
      <c r="UI1" s="23"/>
      <c r="UJ1" s="23"/>
      <c r="UK1" s="23"/>
      <c r="UL1" s="23"/>
      <c r="UM1" s="23"/>
      <c r="UN1" s="23"/>
      <c r="UO1" s="23"/>
      <c r="UP1" s="23"/>
      <c r="UQ1" s="23"/>
      <c r="UR1" s="23"/>
      <c r="US1" s="23"/>
      <c r="UT1" s="23"/>
      <c r="UU1" s="23"/>
      <c r="UV1" s="23"/>
      <c r="UW1" s="23"/>
      <c r="UX1" s="23"/>
      <c r="UY1" s="23"/>
      <c r="UZ1" s="23"/>
      <c r="VA1" s="23"/>
      <c r="VB1" s="23"/>
      <c r="VC1" s="23"/>
      <c r="VD1" s="23"/>
      <c r="VE1" s="23"/>
      <c r="VF1" s="23"/>
      <c r="VG1" s="23"/>
      <c r="VH1" s="23"/>
      <c r="VI1" s="23"/>
      <c r="VJ1" s="23"/>
      <c r="VK1" s="23"/>
      <c r="VL1" s="23"/>
      <c r="VM1" s="23"/>
      <c r="VN1" s="23"/>
      <c r="VO1" s="23"/>
      <c r="VP1" s="23"/>
      <c r="VQ1" s="23"/>
      <c r="VR1" s="23"/>
      <c r="VS1" s="23"/>
      <c r="VT1" s="23"/>
      <c r="VU1" s="23"/>
      <c r="VV1" s="23"/>
      <c r="VW1" s="23"/>
      <c r="VX1" s="23"/>
      <c r="VY1" s="23"/>
      <c r="VZ1" s="23"/>
      <c r="WA1" s="23"/>
      <c r="WB1" s="23"/>
      <c r="WC1" s="23"/>
      <c r="WD1" s="23"/>
      <c r="WE1" s="23"/>
      <c r="WF1" s="23"/>
      <c r="WG1" s="23"/>
      <c r="WH1" s="23"/>
      <c r="WI1" s="23"/>
      <c r="WJ1" s="23"/>
      <c r="WK1" s="23"/>
      <c r="WL1" s="23"/>
      <c r="WM1" s="23"/>
      <c r="WN1" s="23"/>
      <c r="WO1" s="23"/>
      <c r="WP1" s="23"/>
      <c r="WQ1" s="23"/>
      <c r="WR1" s="23"/>
      <c r="WS1" s="23"/>
      <c r="WT1" s="23"/>
      <c r="WU1" s="23"/>
      <c r="WV1" s="23"/>
      <c r="WW1" s="23"/>
      <c r="WX1" s="23"/>
      <c r="WY1" s="23"/>
      <c r="WZ1" s="23"/>
      <c r="XA1" s="23"/>
      <c r="XB1" s="23"/>
      <c r="XC1" s="23"/>
      <c r="XD1" s="23"/>
      <c r="XE1" s="23"/>
      <c r="XF1" s="23"/>
      <c r="XG1" s="23"/>
      <c r="XH1" s="23"/>
      <c r="XI1" s="23"/>
      <c r="XJ1" s="23"/>
      <c r="XK1" s="23"/>
      <c r="XL1" s="23"/>
      <c r="XM1" s="23"/>
      <c r="XN1" s="23"/>
      <c r="XO1" s="23"/>
      <c r="XP1" s="23"/>
      <c r="XQ1" s="23"/>
      <c r="XR1" s="23"/>
      <c r="XS1" s="23"/>
      <c r="XT1" s="23"/>
      <c r="XU1" s="23"/>
      <c r="XV1" s="23"/>
      <c r="XW1" s="23"/>
      <c r="XX1" s="23"/>
      <c r="XY1" s="23"/>
      <c r="XZ1" s="23"/>
      <c r="YA1" s="23"/>
      <c r="YB1" s="23"/>
      <c r="YC1" s="23"/>
      <c r="YD1" s="23"/>
      <c r="YE1" s="23"/>
      <c r="YF1" s="23"/>
      <c r="YG1" s="23"/>
      <c r="YH1" s="23"/>
      <c r="YI1" s="23"/>
      <c r="YJ1" s="23"/>
      <c r="YK1" s="23"/>
      <c r="YL1" s="23"/>
      <c r="YM1" s="23"/>
      <c r="YN1" s="23"/>
      <c r="YO1" s="23"/>
      <c r="YP1" s="23"/>
      <c r="YQ1" s="23"/>
      <c r="YR1" s="23"/>
      <c r="YS1" s="23"/>
      <c r="YT1" s="23"/>
      <c r="YU1" s="23"/>
      <c r="YV1" s="23"/>
      <c r="YW1" s="23"/>
      <c r="YX1" s="23"/>
      <c r="YY1" s="23"/>
      <c r="YZ1" s="23"/>
      <c r="ZA1" s="23"/>
      <c r="ZB1" s="23"/>
      <c r="ZC1" s="23"/>
      <c r="ZD1" s="23"/>
      <c r="ZE1" s="23"/>
      <c r="ZF1" s="23"/>
      <c r="ZG1" s="23"/>
      <c r="ZH1" s="23"/>
      <c r="ZI1" s="23"/>
      <c r="ZJ1" s="23"/>
      <c r="ZK1" s="23"/>
      <c r="ZL1" s="23"/>
      <c r="ZM1" s="23"/>
      <c r="ZN1" s="23"/>
      <c r="ZO1" s="23"/>
      <c r="ZP1" s="23"/>
      <c r="ZQ1" s="23"/>
      <c r="ZR1" s="23"/>
      <c r="ZS1" s="23"/>
      <c r="ZT1" s="23"/>
      <c r="ZU1" s="23"/>
      <c r="ZV1" s="23"/>
      <c r="ZW1" s="23"/>
      <c r="ZX1" s="23"/>
      <c r="ZY1" s="23"/>
      <c r="ZZ1" s="23"/>
      <c r="AAA1" s="23"/>
      <c r="AAB1" s="23"/>
      <c r="AAC1" s="23"/>
      <c r="AAD1" s="23"/>
      <c r="AAE1" s="23"/>
      <c r="AAF1" s="23"/>
      <c r="AAG1" s="23"/>
      <c r="AAH1" s="23"/>
      <c r="AAI1" s="23"/>
      <c r="AAJ1" s="23"/>
      <c r="AAK1" s="23"/>
      <c r="AAL1" s="23"/>
      <c r="AAM1" s="23"/>
      <c r="AAN1" s="23"/>
      <c r="AAO1" s="23"/>
      <c r="AAP1" s="23"/>
      <c r="AAQ1" s="23"/>
      <c r="AAR1" s="23"/>
      <c r="AAS1" s="23"/>
      <c r="AAT1" s="23"/>
      <c r="AAU1" s="23"/>
      <c r="AAV1" s="23"/>
      <c r="AAW1" s="23"/>
      <c r="AAX1" s="23"/>
      <c r="AAY1" s="23"/>
      <c r="AAZ1" s="23"/>
      <c r="ABA1" s="23"/>
      <c r="ABB1" s="23"/>
      <c r="ABC1" s="23"/>
      <c r="ABD1" s="23"/>
      <c r="ABE1" s="23"/>
      <c r="ABF1" s="23"/>
      <c r="ABG1" s="23"/>
      <c r="ABH1" s="23"/>
      <c r="ABI1" s="23"/>
      <c r="ABJ1" s="23"/>
      <c r="ABK1" s="23"/>
      <c r="ABL1" s="23"/>
      <c r="ABM1" s="23"/>
      <c r="ABN1" s="23"/>
      <c r="ABO1" s="23"/>
      <c r="ABP1" s="23"/>
      <c r="ABQ1" s="23"/>
      <c r="ABR1" s="23"/>
      <c r="ABS1" s="23"/>
      <c r="ABT1" s="23"/>
      <c r="ABU1" s="23"/>
      <c r="ABV1" s="23"/>
      <c r="ABW1" s="23"/>
      <c r="ABX1" s="23"/>
      <c r="ABY1" s="23"/>
      <c r="ABZ1" s="23"/>
      <c r="ACA1" s="23"/>
      <c r="ACB1" s="23"/>
      <c r="ACC1" s="23"/>
      <c r="ACD1" s="23"/>
      <c r="ACE1" s="23"/>
      <c r="ACF1" s="23"/>
      <c r="ACG1" s="23"/>
      <c r="ACH1" s="23"/>
      <c r="ACI1" s="23"/>
      <c r="ACJ1" s="23"/>
      <c r="ACK1" s="23"/>
      <c r="ACL1" s="23"/>
      <c r="ACM1" s="23"/>
      <c r="ACN1" s="23"/>
      <c r="ACO1" s="23"/>
      <c r="ACP1" s="23"/>
      <c r="ACQ1" s="23"/>
      <c r="ACR1" s="23"/>
      <c r="ACS1" s="23"/>
      <c r="ACT1" s="23"/>
      <c r="ACU1" s="23"/>
      <c r="ACV1" s="23"/>
      <c r="ACW1" s="23"/>
      <c r="ACX1" s="23"/>
      <c r="ACY1" s="23"/>
      <c r="ACZ1" s="23"/>
      <c r="ADA1" s="23"/>
      <c r="ADB1" s="23"/>
      <c r="ADC1" s="23"/>
      <c r="ADD1" s="23"/>
      <c r="ADE1" s="23"/>
      <c r="ADF1" s="23"/>
      <c r="ADG1" s="23"/>
      <c r="ADH1" s="23"/>
      <c r="ADI1" s="23"/>
      <c r="ADJ1" s="23"/>
      <c r="ADK1" s="23"/>
      <c r="ADL1" s="23"/>
      <c r="ADM1" s="23"/>
      <c r="ADN1" s="23"/>
      <c r="ADO1" s="23"/>
      <c r="ADP1" s="23"/>
      <c r="ADQ1" s="23"/>
      <c r="ADR1" s="23"/>
      <c r="ADS1" s="23"/>
      <c r="ADT1" s="23"/>
      <c r="ADU1" s="23"/>
      <c r="ADV1" s="23"/>
      <c r="ADW1" s="23"/>
      <c r="ADX1" s="23"/>
      <c r="ADY1" s="23"/>
      <c r="ADZ1" s="23"/>
      <c r="AEA1" s="23"/>
      <c r="AEB1" s="23"/>
      <c r="AEC1" s="23"/>
      <c r="AED1" s="23"/>
      <c r="AEE1" s="23"/>
      <c r="AEF1" s="23"/>
      <c r="AEG1" s="23"/>
      <c r="AEH1" s="23"/>
      <c r="AEI1" s="23"/>
      <c r="AEJ1" s="23"/>
      <c r="AEK1" s="23"/>
      <c r="AEL1" s="23"/>
      <c r="AEM1" s="23"/>
      <c r="AEN1" s="23"/>
      <c r="AEO1" s="23"/>
      <c r="AEP1" s="23"/>
      <c r="AEQ1" s="23"/>
      <c r="AER1" s="23"/>
      <c r="AES1" s="23"/>
      <c r="AET1" s="23"/>
      <c r="AEU1" s="23"/>
      <c r="AEV1" s="23"/>
      <c r="AEW1" s="23"/>
      <c r="AEX1" s="23"/>
      <c r="AEY1" s="23"/>
      <c r="AEZ1" s="23"/>
      <c r="AFA1" s="23"/>
      <c r="AFB1" s="23"/>
      <c r="AFC1" s="23"/>
      <c r="AFD1" s="23"/>
      <c r="AFE1" s="23"/>
      <c r="AFF1" s="23"/>
      <c r="AFG1" s="23"/>
      <c r="AFH1" s="23"/>
      <c r="AFI1" s="23"/>
      <c r="AFJ1" s="23"/>
      <c r="AFK1" s="23"/>
      <c r="AFL1" s="23"/>
      <c r="AFM1" s="23"/>
      <c r="AFN1" s="23"/>
      <c r="AFO1" s="23"/>
      <c r="AFP1" s="23"/>
      <c r="AFQ1" s="23"/>
      <c r="AFR1" s="23"/>
      <c r="AFS1" s="23"/>
      <c r="AFT1" s="23"/>
      <c r="AFU1" s="23"/>
      <c r="AFV1" s="23"/>
      <c r="AFW1" s="23"/>
      <c r="AFX1" s="23"/>
      <c r="AFY1" s="23"/>
      <c r="AFZ1" s="23"/>
      <c r="AGA1" s="23"/>
      <c r="AGB1" s="23"/>
      <c r="AGC1" s="23"/>
      <c r="AGD1" s="23"/>
      <c r="AGE1" s="23"/>
      <c r="AGF1" s="23"/>
      <c r="AGG1" s="23"/>
      <c r="AGH1" s="23"/>
      <c r="AGI1" s="23"/>
      <c r="AGJ1" s="23"/>
      <c r="AGK1" s="23"/>
      <c r="AGL1" s="23"/>
      <c r="AGM1" s="23"/>
      <c r="AGN1" s="23"/>
      <c r="AGO1" s="23"/>
      <c r="AGP1" s="23"/>
      <c r="AGQ1" s="23"/>
      <c r="AGR1" s="23"/>
      <c r="AGS1" s="23"/>
      <c r="AGT1" s="23"/>
      <c r="AGU1" s="23"/>
      <c r="AGV1" s="23"/>
      <c r="AGW1" s="23"/>
      <c r="AGX1" s="23"/>
      <c r="AGY1" s="23"/>
      <c r="AGZ1" s="23"/>
      <c r="AHA1" s="23"/>
      <c r="AHB1" s="23"/>
      <c r="AHC1" s="23"/>
      <c r="AHD1" s="23"/>
      <c r="AHE1" s="23"/>
      <c r="AHF1" s="23"/>
      <c r="AHG1" s="23"/>
      <c r="AHH1" s="23"/>
      <c r="AHI1" s="23"/>
      <c r="AHJ1" s="23"/>
      <c r="AHK1" s="23"/>
      <c r="AHL1" s="23"/>
      <c r="AHM1" s="23"/>
      <c r="AHN1" s="23"/>
      <c r="AHO1" s="23"/>
      <c r="AHP1" s="23"/>
      <c r="AHQ1" s="23"/>
      <c r="AHR1" s="23"/>
      <c r="AHS1" s="23"/>
      <c r="AHT1" s="23"/>
      <c r="AHU1" s="23"/>
      <c r="AHV1" s="23"/>
      <c r="AHW1" s="23"/>
      <c r="AHX1" s="23"/>
      <c r="AHY1" s="23"/>
      <c r="AHZ1" s="23"/>
      <c r="AIA1" s="23"/>
      <c r="AIB1" s="23"/>
      <c r="AIC1" s="23"/>
      <c r="AID1" s="23"/>
      <c r="AIE1" s="23"/>
      <c r="AIF1" s="23"/>
      <c r="AIG1" s="23"/>
      <c r="AIH1" s="23"/>
      <c r="AII1" s="23"/>
      <c r="AIJ1" s="23"/>
      <c r="AIK1" s="23"/>
      <c r="AIL1" s="23"/>
      <c r="AIM1" s="23"/>
      <c r="AIN1" s="23"/>
      <c r="AIO1" s="23"/>
      <c r="AIP1" s="23"/>
      <c r="AIQ1" s="23"/>
      <c r="AIR1" s="23"/>
      <c r="AIS1" s="23"/>
      <c r="AIT1" s="23"/>
      <c r="AIU1" s="23"/>
      <c r="AIV1" s="23"/>
      <c r="AIW1" s="23"/>
      <c r="AIX1" s="23"/>
      <c r="AIY1" s="23"/>
      <c r="AIZ1" s="23"/>
      <c r="AJA1" s="23"/>
      <c r="AJB1" s="23"/>
      <c r="AJC1" s="23"/>
      <c r="AJD1" s="23"/>
      <c r="AJE1" s="23"/>
      <c r="AJF1" s="23"/>
      <c r="AJG1" s="23"/>
      <c r="AJH1" s="23"/>
      <c r="AJI1" s="23"/>
      <c r="AJJ1" s="23"/>
      <c r="AJK1" s="23"/>
      <c r="AJL1" s="23"/>
      <c r="AJM1" s="23"/>
      <c r="AJN1" s="23"/>
      <c r="AJO1" s="23"/>
      <c r="AJP1" s="23"/>
      <c r="AJQ1" s="23"/>
      <c r="AJR1" s="23"/>
      <c r="AJS1" s="23"/>
      <c r="AJT1" s="23"/>
      <c r="AJU1" s="23"/>
      <c r="AJV1" s="23"/>
      <c r="AJW1" s="23"/>
      <c r="AJX1" s="23"/>
      <c r="AJY1" s="23"/>
      <c r="AJZ1" s="23"/>
    </row>
    <row r="2" spans="1:962" ht="24.75" customHeight="1" x14ac:dyDescent="0.25">
      <c r="A2" s="25" t="s">
        <v>58</v>
      </c>
      <c r="B2" s="26" t="s">
        <v>68</v>
      </c>
      <c r="C2" s="26" t="s">
        <v>73</v>
      </c>
      <c r="D2" s="27">
        <v>42</v>
      </c>
      <c r="E2" s="27">
        <v>58</v>
      </c>
      <c r="F2" s="27" t="s">
        <v>46</v>
      </c>
      <c r="G2" s="27" t="s">
        <v>33</v>
      </c>
      <c r="H2" s="20">
        <v>50</v>
      </c>
      <c r="I2" s="20">
        <v>26</v>
      </c>
      <c r="J2" s="20">
        <v>20</v>
      </c>
      <c r="K2" s="20">
        <v>32</v>
      </c>
      <c r="L2" s="20">
        <v>32</v>
      </c>
      <c r="M2" s="20">
        <v>32</v>
      </c>
      <c r="N2" s="20">
        <v>74</v>
      </c>
      <c r="O2" s="20">
        <v>47</v>
      </c>
      <c r="Q2" s="36" t="s">
        <v>121</v>
      </c>
    </row>
    <row r="3" spans="1:962" ht="24.75" customHeight="1" x14ac:dyDescent="0.25">
      <c r="A3" s="25"/>
      <c r="B3" s="26"/>
      <c r="C3" s="26"/>
      <c r="D3" s="27"/>
      <c r="E3" s="27"/>
      <c r="F3" s="27"/>
      <c r="G3" s="27"/>
      <c r="H3" s="20">
        <v>104</v>
      </c>
      <c r="I3" s="20">
        <v>120</v>
      </c>
      <c r="J3" s="20">
        <v>75</v>
      </c>
      <c r="K3" s="20">
        <v>36</v>
      </c>
      <c r="L3" s="20">
        <v>28</v>
      </c>
      <c r="M3" s="20">
        <v>20</v>
      </c>
      <c r="N3" s="20">
        <v>95</v>
      </c>
      <c r="Q3" s="36" t="s">
        <v>122</v>
      </c>
    </row>
    <row r="4" spans="1:962" ht="24.75" customHeight="1" x14ac:dyDescent="0.25">
      <c r="H4" s="27">
        <v>47</v>
      </c>
      <c r="I4" s="27">
        <v>50</v>
      </c>
      <c r="J4" s="27">
        <v>60</v>
      </c>
      <c r="K4" s="27">
        <v>20</v>
      </c>
      <c r="L4" s="27">
        <v>16</v>
      </c>
      <c r="M4" s="27">
        <v>110</v>
      </c>
      <c r="N4" s="27">
        <v>110</v>
      </c>
      <c r="O4" s="27">
        <v>120</v>
      </c>
      <c r="P4" s="27">
        <v>74</v>
      </c>
      <c r="Q4" s="36" t="s">
        <v>123</v>
      </c>
    </row>
    <row r="5" spans="1:962" ht="24.75" customHeight="1" x14ac:dyDescent="0.25">
      <c r="A5" s="28"/>
      <c r="B5" s="29"/>
      <c r="C5" s="28"/>
      <c r="D5" s="28"/>
      <c r="E5" s="30"/>
      <c r="F5" s="28"/>
      <c r="G5" s="31"/>
      <c r="H5" s="32"/>
      <c r="I5" s="32"/>
      <c r="J5" s="32"/>
      <c r="K5" s="32"/>
      <c r="L5" s="32"/>
      <c r="M5" s="32"/>
      <c r="N5" s="32"/>
      <c r="O5" s="32"/>
      <c r="P5" s="32"/>
      <c r="Q5" s="37" t="s">
        <v>124</v>
      </c>
    </row>
    <row r="6" spans="1:962" ht="24.75" customHeight="1" x14ac:dyDescent="0.25">
      <c r="A6" s="25" t="s">
        <v>59</v>
      </c>
      <c r="B6" s="26" t="s">
        <v>69</v>
      </c>
      <c r="C6" s="26" t="s">
        <v>73</v>
      </c>
      <c r="D6" s="27">
        <v>40</v>
      </c>
      <c r="E6" s="27">
        <v>56</v>
      </c>
      <c r="F6" s="27" t="s">
        <v>46</v>
      </c>
      <c r="G6" s="27" t="s">
        <v>34</v>
      </c>
      <c r="H6" s="20">
        <v>46</v>
      </c>
      <c r="I6" s="20">
        <v>25</v>
      </c>
      <c r="J6" s="20">
        <v>18</v>
      </c>
      <c r="K6" s="20">
        <v>30</v>
      </c>
      <c r="L6" s="20">
        <v>29</v>
      </c>
      <c r="M6" s="20">
        <v>30</v>
      </c>
      <c r="N6" s="20">
        <v>70</v>
      </c>
      <c r="O6" s="20">
        <v>44</v>
      </c>
      <c r="Q6" s="36" t="s">
        <v>121</v>
      </c>
    </row>
    <row r="7" spans="1:962" ht="24.75" customHeight="1" x14ac:dyDescent="0.25">
      <c r="A7" s="25"/>
      <c r="B7" s="26"/>
      <c r="C7" s="26"/>
      <c r="D7" s="27"/>
      <c r="E7" s="27"/>
      <c r="F7" s="27"/>
      <c r="G7" s="27"/>
      <c r="H7" s="20">
        <v>98</v>
      </c>
      <c r="I7" s="20">
        <v>108</v>
      </c>
      <c r="J7" s="20">
        <v>68</v>
      </c>
      <c r="K7" s="20">
        <v>33</v>
      </c>
      <c r="L7" s="20">
        <v>27</v>
      </c>
      <c r="M7" s="20">
        <v>20</v>
      </c>
      <c r="N7" s="20">
        <v>94</v>
      </c>
      <c r="Q7" s="36" t="s">
        <v>122</v>
      </c>
    </row>
    <row r="8" spans="1:962" ht="24.75" customHeight="1" x14ac:dyDescent="0.25">
      <c r="H8" s="27">
        <v>44</v>
      </c>
      <c r="I8" s="27">
        <v>466</v>
      </c>
      <c r="J8" s="27">
        <v>57</v>
      </c>
      <c r="K8" s="27">
        <v>18</v>
      </c>
      <c r="L8" s="27">
        <v>15</v>
      </c>
      <c r="M8" s="27">
        <v>100</v>
      </c>
      <c r="N8" s="27">
        <v>95</v>
      </c>
      <c r="O8" s="27">
        <v>110</v>
      </c>
      <c r="P8" s="27">
        <v>70</v>
      </c>
      <c r="Q8" s="36" t="s">
        <v>123</v>
      </c>
    </row>
    <row r="9" spans="1:962" ht="24.75" customHeight="1" x14ac:dyDescent="0.25">
      <c r="A9" s="28"/>
      <c r="B9" s="29"/>
      <c r="C9" s="28"/>
      <c r="D9" s="28"/>
      <c r="E9" s="30"/>
      <c r="F9" s="28"/>
      <c r="G9" s="31"/>
      <c r="H9" s="32"/>
      <c r="I9" s="32"/>
      <c r="J9" s="32"/>
      <c r="K9" s="32"/>
      <c r="L9" s="32"/>
      <c r="M9" s="32"/>
      <c r="N9" s="32"/>
      <c r="O9" s="32"/>
      <c r="P9" s="32"/>
      <c r="Q9" s="37" t="s">
        <v>124</v>
      </c>
    </row>
    <row r="10" spans="1:962" ht="24.75" customHeight="1" x14ac:dyDescent="0.25">
      <c r="A10" s="25" t="s">
        <v>60</v>
      </c>
      <c r="B10" s="26" t="s">
        <v>70</v>
      </c>
      <c r="C10" s="26" t="s">
        <v>73</v>
      </c>
      <c r="D10" s="27">
        <v>42</v>
      </c>
      <c r="E10" s="27">
        <v>58</v>
      </c>
      <c r="F10" s="27" t="s">
        <v>46</v>
      </c>
      <c r="G10" s="27" t="s">
        <v>33</v>
      </c>
      <c r="H10" s="20">
        <v>50</v>
      </c>
      <c r="I10" s="20">
        <v>26</v>
      </c>
      <c r="J10" s="20">
        <v>19</v>
      </c>
      <c r="K10" s="20">
        <v>32</v>
      </c>
      <c r="L10" s="20">
        <v>32</v>
      </c>
      <c r="M10" s="20">
        <v>32</v>
      </c>
      <c r="N10" s="20">
        <v>76</v>
      </c>
      <c r="O10" s="20">
        <v>46</v>
      </c>
      <c r="Q10" s="36" t="s">
        <v>121</v>
      </c>
    </row>
    <row r="11" spans="1:962" ht="24.75" customHeight="1" x14ac:dyDescent="0.25">
      <c r="A11" s="25"/>
      <c r="B11" s="26"/>
      <c r="C11" s="26"/>
      <c r="D11" s="27"/>
      <c r="E11" s="27"/>
      <c r="F11" s="27"/>
      <c r="G11" s="27"/>
      <c r="H11" s="20">
        <v>104</v>
      </c>
      <c r="I11" s="20">
        <v>120</v>
      </c>
      <c r="J11" s="20">
        <v>80</v>
      </c>
      <c r="K11" s="20">
        <v>40</v>
      </c>
      <c r="L11" s="20">
        <v>28</v>
      </c>
      <c r="M11" s="20">
        <v>22</v>
      </c>
      <c r="N11" s="20">
        <v>97</v>
      </c>
      <c r="Q11" s="36" t="s">
        <v>122</v>
      </c>
    </row>
    <row r="12" spans="1:962" ht="24.75" customHeight="1" x14ac:dyDescent="0.25">
      <c r="H12" s="27">
        <v>46</v>
      </c>
      <c r="I12" s="27">
        <v>50</v>
      </c>
      <c r="J12" s="27">
        <v>60</v>
      </c>
      <c r="K12" s="27">
        <v>19</v>
      </c>
      <c r="L12" s="27">
        <v>15</v>
      </c>
      <c r="M12" s="27">
        <v>118</v>
      </c>
      <c r="N12" s="27">
        <v>110</v>
      </c>
      <c r="O12" s="27">
        <v>120</v>
      </c>
      <c r="P12" s="27">
        <v>76</v>
      </c>
      <c r="Q12" s="36" t="s">
        <v>123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</row>
    <row r="13" spans="1:962" ht="24.75" customHeight="1" x14ac:dyDescent="0.25">
      <c r="A13" s="28"/>
      <c r="B13" s="29"/>
      <c r="C13" s="28"/>
      <c r="D13" s="28"/>
      <c r="E13" s="30"/>
      <c r="F13" s="28"/>
      <c r="G13" s="31"/>
      <c r="H13" s="32"/>
      <c r="I13" s="32"/>
      <c r="J13" s="32"/>
      <c r="K13" s="32"/>
      <c r="L13" s="32"/>
      <c r="M13" s="32"/>
      <c r="N13" s="32"/>
      <c r="O13" s="32"/>
      <c r="P13" s="32"/>
      <c r="Q13" s="37" t="s">
        <v>124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</row>
    <row r="14" spans="1:962" ht="24.75" customHeight="1" x14ac:dyDescent="0.25">
      <c r="A14" s="25" t="s">
        <v>61</v>
      </c>
      <c r="B14" s="26" t="s">
        <v>71</v>
      </c>
      <c r="C14" s="26" t="s">
        <v>73</v>
      </c>
      <c r="D14" s="27">
        <v>41</v>
      </c>
      <c r="E14" s="27">
        <v>56</v>
      </c>
      <c r="F14" s="27" t="s">
        <v>46</v>
      </c>
      <c r="G14" s="27" t="s">
        <v>32</v>
      </c>
      <c r="H14" s="20">
        <v>46</v>
      </c>
      <c r="I14" s="20">
        <v>24</v>
      </c>
      <c r="J14" s="20">
        <v>18</v>
      </c>
      <c r="K14" s="20">
        <v>27</v>
      </c>
      <c r="L14" s="20">
        <v>26</v>
      </c>
      <c r="M14" s="20">
        <v>27</v>
      </c>
      <c r="N14" s="20">
        <v>70</v>
      </c>
      <c r="O14" s="20">
        <v>40</v>
      </c>
      <c r="Q14" s="36" t="s">
        <v>121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</row>
    <row r="15" spans="1:962" ht="24.75" customHeight="1" x14ac:dyDescent="0.25">
      <c r="A15" s="25"/>
      <c r="B15" s="26"/>
      <c r="C15" s="26"/>
      <c r="D15" s="27"/>
      <c r="E15" s="27"/>
      <c r="F15" s="27"/>
      <c r="G15" s="27"/>
      <c r="H15" s="20">
        <v>82</v>
      </c>
      <c r="I15" s="20">
        <v>105</v>
      </c>
      <c r="J15" s="20">
        <v>65</v>
      </c>
      <c r="K15" s="20">
        <v>30</v>
      </c>
      <c r="L15" s="20">
        <v>24</v>
      </c>
      <c r="M15" s="20">
        <v>18</v>
      </c>
      <c r="N15" s="20">
        <v>97</v>
      </c>
      <c r="Q15" s="36" t="s">
        <v>122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</row>
    <row r="16" spans="1:962" ht="24.75" customHeight="1" x14ac:dyDescent="0.25">
      <c r="H16" s="27">
        <v>40</v>
      </c>
      <c r="I16" s="27">
        <v>46</v>
      </c>
      <c r="J16" s="27">
        <v>63</v>
      </c>
      <c r="K16" s="27">
        <v>18</v>
      </c>
      <c r="L16" s="27">
        <v>15</v>
      </c>
      <c r="M16" s="27">
        <v>95</v>
      </c>
      <c r="N16" s="27">
        <v>85</v>
      </c>
      <c r="O16" s="27">
        <v>105</v>
      </c>
      <c r="P16" s="27">
        <v>70</v>
      </c>
      <c r="Q16" s="36" t="s">
        <v>123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</row>
    <row r="17" spans="1:962" ht="24.75" customHeight="1" x14ac:dyDescent="0.25">
      <c r="A17" s="28"/>
      <c r="B17" s="29"/>
      <c r="C17" s="28"/>
      <c r="D17" s="28"/>
      <c r="E17" s="30"/>
      <c r="F17" s="28"/>
      <c r="G17" s="31"/>
      <c r="H17" s="32"/>
      <c r="I17" s="32"/>
      <c r="J17" s="32"/>
      <c r="K17" s="32"/>
      <c r="L17" s="32"/>
      <c r="M17" s="32"/>
      <c r="N17" s="32"/>
      <c r="O17" s="32"/>
      <c r="P17" s="32"/>
      <c r="Q17" s="37" t="s">
        <v>124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</row>
    <row r="18" spans="1:962" ht="24.75" customHeight="1" x14ac:dyDescent="0.25">
      <c r="A18" s="25" t="s">
        <v>62</v>
      </c>
      <c r="B18" s="26" t="s">
        <v>72</v>
      </c>
      <c r="C18" s="26" t="s">
        <v>73</v>
      </c>
      <c r="D18" s="27">
        <v>41</v>
      </c>
      <c r="E18" s="27">
        <v>57</v>
      </c>
      <c r="F18" s="27" t="s">
        <v>46</v>
      </c>
      <c r="G18" s="27" t="s">
        <v>32</v>
      </c>
      <c r="H18" s="20">
        <v>47</v>
      </c>
      <c r="I18" s="20">
        <v>25</v>
      </c>
      <c r="J18" s="20">
        <v>18</v>
      </c>
      <c r="K18" s="20">
        <v>28</v>
      </c>
      <c r="L18" s="20">
        <v>27</v>
      </c>
      <c r="M18" s="20">
        <v>28</v>
      </c>
      <c r="N18" s="20">
        <v>71</v>
      </c>
      <c r="O18" s="20">
        <v>44</v>
      </c>
      <c r="Q18" s="36" t="s">
        <v>121</v>
      </c>
    </row>
    <row r="19" spans="1:962" ht="24.75" customHeight="1" x14ac:dyDescent="0.25">
      <c r="A19" s="25"/>
      <c r="B19" s="26"/>
      <c r="C19" s="26"/>
      <c r="D19" s="27"/>
      <c r="E19" s="27"/>
      <c r="F19" s="27"/>
      <c r="G19" s="27"/>
      <c r="H19" s="20">
        <v>85</v>
      </c>
      <c r="I19" s="20">
        <v>105</v>
      </c>
      <c r="J19" s="20">
        <v>68</v>
      </c>
      <c r="K19" s="20">
        <v>32</v>
      </c>
      <c r="L19" s="20">
        <v>26</v>
      </c>
      <c r="M19" s="20">
        <v>18</v>
      </c>
      <c r="N19" s="20">
        <v>96</v>
      </c>
      <c r="Q19" s="36" t="s">
        <v>122</v>
      </c>
    </row>
    <row r="20" spans="1:962" ht="24.75" customHeight="1" x14ac:dyDescent="0.25">
      <c r="H20" s="27">
        <v>44</v>
      </c>
      <c r="I20" s="27">
        <v>47</v>
      </c>
      <c r="J20" s="27">
        <v>60</v>
      </c>
      <c r="K20" s="27">
        <v>18</v>
      </c>
      <c r="L20" s="27">
        <v>15</v>
      </c>
      <c r="M20" s="27">
        <v>95</v>
      </c>
      <c r="N20" s="27">
        <v>90</v>
      </c>
      <c r="O20" s="27">
        <v>105</v>
      </c>
      <c r="P20" s="27">
        <v>71</v>
      </c>
      <c r="Q20" s="36" t="s">
        <v>123</v>
      </c>
    </row>
    <row r="21" spans="1:962" ht="24.75" customHeight="1" x14ac:dyDescent="0.25">
      <c r="A21" s="28"/>
      <c r="B21" s="29"/>
      <c r="C21" s="28"/>
      <c r="D21" s="28"/>
      <c r="E21" s="30"/>
      <c r="F21" s="28"/>
      <c r="G21" s="31"/>
      <c r="H21" s="32"/>
      <c r="I21" s="32"/>
      <c r="J21" s="32"/>
      <c r="K21" s="32"/>
      <c r="L21" s="32"/>
      <c r="M21" s="32"/>
      <c r="N21" s="32"/>
      <c r="O21" s="32"/>
      <c r="P21" s="32"/>
      <c r="Q21" s="37" t="s">
        <v>124</v>
      </c>
    </row>
    <row r="22" spans="1:962" ht="24.75" customHeight="1" x14ac:dyDescent="0.25">
      <c r="A22" s="25" t="s">
        <v>63</v>
      </c>
      <c r="B22" s="26" t="s">
        <v>74</v>
      </c>
      <c r="C22" s="26" t="s">
        <v>73</v>
      </c>
      <c r="D22" s="27">
        <v>41</v>
      </c>
      <c r="E22" s="27">
        <v>58</v>
      </c>
      <c r="F22" s="27" t="s">
        <v>46</v>
      </c>
      <c r="G22" s="27" t="s">
        <v>32</v>
      </c>
      <c r="H22" s="20">
        <v>47</v>
      </c>
      <c r="I22" s="20">
        <v>25</v>
      </c>
      <c r="J22" s="20">
        <v>18</v>
      </c>
      <c r="K22" s="20">
        <v>28</v>
      </c>
      <c r="L22" s="20">
        <v>27</v>
      </c>
      <c r="M22" s="20">
        <v>28</v>
      </c>
      <c r="N22" s="20">
        <v>71</v>
      </c>
      <c r="O22" s="20">
        <v>44</v>
      </c>
      <c r="Q22" s="36" t="s">
        <v>121</v>
      </c>
    </row>
    <row r="23" spans="1:962" ht="24.75" customHeight="1" x14ac:dyDescent="0.25">
      <c r="A23" s="25"/>
      <c r="B23" s="26"/>
      <c r="C23" s="26"/>
      <c r="D23" s="27"/>
      <c r="E23" s="27"/>
      <c r="F23" s="27"/>
      <c r="G23" s="27"/>
      <c r="H23" s="20">
        <v>85</v>
      </c>
      <c r="I23" s="20">
        <v>105</v>
      </c>
      <c r="J23" s="20">
        <v>68</v>
      </c>
      <c r="K23" s="20">
        <v>32</v>
      </c>
      <c r="L23" s="20">
        <v>26</v>
      </c>
      <c r="M23" s="20">
        <v>18</v>
      </c>
      <c r="N23" s="20">
        <v>96</v>
      </c>
      <c r="Q23" s="36" t="s">
        <v>122</v>
      </c>
    </row>
    <row r="24" spans="1:962" ht="24.75" customHeight="1" x14ac:dyDescent="0.25">
      <c r="H24" s="27">
        <v>44</v>
      </c>
      <c r="I24" s="27">
        <v>47</v>
      </c>
      <c r="J24" s="27">
        <v>60</v>
      </c>
      <c r="K24" s="27">
        <v>19</v>
      </c>
      <c r="L24" s="27">
        <v>15</v>
      </c>
      <c r="M24" s="27">
        <v>95</v>
      </c>
      <c r="N24" s="27">
        <v>90</v>
      </c>
      <c r="O24" s="27">
        <v>105</v>
      </c>
      <c r="P24" s="27">
        <v>71</v>
      </c>
      <c r="Q24" s="36" t="s">
        <v>123</v>
      </c>
    </row>
    <row r="25" spans="1:962" ht="24.75" customHeight="1" x14ac:dyDescent="0.25">
      <c r="A25" s="28"/>
      <c r="B25" s="29"/>
      <c r="C25" s="28"/>
      <c r="D25" s="28"/>
      <c r="E25" s="30"/>
      <c r="F25" s="28"/>
      <c r="G25" s="31"/>
      <c r="H25" s="32">
        <v>44</v>
      </c>
      <c r="I25" s="32">
        <v>47</v>
      </c>
      <c r="J25" s="32">
        <v>61</v>
      </c>
      <c r="K25" s="32">
        <v>18</v>
      </c>
      <c r="L25" s="32">
        <v>13</v>
      </c>
      <c r="M25" s="32">
        <v>28</v>
      </c>
      <c r="N25" s="32">
        <v>27</v>
      </c>
      <c r="O25" s="32">
        <v>28</v>
      </c>
      <c r="P25" s="32">
        <v>70</v>
      </c>
      <c r="Q25" s="37" t="s">
        <v>124</v>
      </c>
    </row>
    <row r="26" spans="1:962" ht="24.75" customHeight="1" x14ac:dyDescent="0.25">
      <c r="A26" s="25" t="s">
        <v>64</v>
      </c>
      <c r="B26" s="26" t="s">
        <v>75</v>
      </c>
      <c r="C26" s="26" t="s">
        <v>73</v>
      </c>
      <c r="D26" s="27">
        <v>42</v>
      </c>
      <c r="E26" s="27">
        <v>56</v>
      </c>
      <c r="F26" s="27" t="s">
        <v>46</v>
      </c>
      <c r="G26" s="27" t="s">
        <v>34</v>
      </c>
      <c r="H26" s="20">
        <v>46</v>
      </c>
      <c r="I26" s="20">
        <v>26</v>
      </c>
      <c r="J26" s="20">
        <v>18</v>
      </c>
      <c r="K26" s="20">
        <v>29</v>
      </c>
      <c r="L26" s="20">
        <v>27</v>
      </c>
      <c r="M26" s="20">
        <v>29</v>
      </c>
      <c r="N26" s="20">
        <v>72</v>
      </c>
      <c r="O26" s="20">
        <v>40</v>
      </c>
      <c r="Q26" s="36" t="s">
        <v>121</v>
      </c>
    </row>
    <row r="27" spans="1:962" ht="24.75" customHeight="1" x14ac:dyDescent="0.25">
      <c r="A27" s="25"/>
      <c r="B27" s="26"/>
      <c r="C27" s="26"/>
      <c r="D27" s="27"/>
      <c r="E27" s="27"/>
      <c r="F27" s="27"/>
      <c r="G27" s="27"/>
      <c r="H27" s="20">
        <v>94</v>
      </c>
      <c r="I27" s="20">
        <v>110</v>
      </c>
      <c r="J27" s="20">
        <v>66</v>
      </c>
      <c r="K27" s="20">
        <v>34</v>
      </c>
      <c r="L27" s="20">
        <v>25</v>
      </c>
      <c r="M27" s="20">
        <v>21</v>
      </c>
      <c r="N27" s="20">
        <v>100</v>
      </c>
      <c r="Q27" s="36" t="s">
        <v>122</v>
      </c>
    </row>
    <row r="28" spans="1:962" ht="24.75" customHeight="1" x14ac:dyDescent="0.25">
      <c r="H28" s="27">
        <v>40</v>
      </c>
      <c r="I28" s="27">
        <v>46</v>
      </c>
      <c r="J28" s="27">
        <v>60</v>
      </c>
      <c r="K28" s="27">
        <v>19</v>
      </c>
      <c r="L28" s="27">
        <v>15</v>
      </c>
      <c r="M28" s="27">
        <v>110</v>
      </c>
      <c r="N28" s="27">
        <v>104</v>
      </c>
      <c r="O28" s="27">
        <v>117</v>
      </c>
      <c r="P28" s="27">
        <v>72</v>
      </c>
      <c r="Q28" s="36" t="s">
        <v>123</v>
      </c>
    </row>
    <row r="29" spans="1:962" ht="24.75" customHeight="1" x14ac:dyDescent="0.25">
      <c r="A29" s="28"/>
      <c r="B29" s="29"/>
      <c r="C29" s="28"/>
      <c r="D29" s="28"/>
      <c r="E29" s="30"/>
      <c r="F29" s="28"/>
      <c r="G29" s="31"/>
      <c r="H29" s="32">
        <v>40</v>
      </c>
      <c r="I29" s="32">
        <v>46</v>
      </c>
      <c r="J29" s="32">
        <v>61</v>
      </c>
      <c r="K29" s="32">
        <v>18</v>
      </c>
      <c r="L29" s="32">
        <v>13</v>
      </c>
      <c r="M29" s="32">
        <v>29</v>
      </c>
      <c r="N29" s="32">
        <v>27</v>
      </c>
      <c r="O29" s="32">
        <v>29</v>
      </c>
      <c r="P29" s="32">
        <v>71</v>
      </c>
      <c r="Q29" s="37" t="s">
        <v>124</v>
      </c>
    </row>
    <row r="30" spans="1:962" ht="24.75" customHeight="1" x14ac:dyDescent="0.25">
      <c r="A30" s="25" t="s">
        <v>65</v>
      </c>
      <c r="B30" s="26" t="s">
        <v>76</v>
      </c>
      <c r="C30" s="26" t="s">
        <v>73</v>
      </c>
      <c r="D30" s="27">
        <v>44</v>
      </c>
      <c r="E30" s="27">
        <v>59</v>
      </c>
      <c r="F30" s="27" t="s">
        <v>46</v>
      </c>
      <c r="G30" s="27" t="s">
        <v>34</v>
      </c>
      <c r="H30" s="20">
        <v>47</v>
      </c>
      <c r="I30" s="20">
        <v>27</v>
      </c>
      <c r="J30" s="20">
        <v>19</v>
      </c>
      <c r="K30" s="20">
        <v>30</v>
      </c>
      <c r="L30" s="20">
        <v>28</v>
      </c>
      <c r="M30" s="20">
        <v>30</v>
      </c>
      <c r="N30" s="20">
        <v>73</v>
      </c>
      <c r="O30" s="20">
        <v>44</v>
      </c>
      <c r="Q30" s="36" t="s">
        <v>121</v>
      </c>
    </row>
    <row r="31" spans="1:962" ht="24.75" customHeight="1" x14ac:dyDescent="0.25">
      <c r="A31" s="25"/>
      <c r="B31" s="26"/>
      <c r="C31" s="26"/>
      <c r="D31" s="27"/>
      <c r="E31" s="27"/>
      <c r="F31" s="27"/>
      <c r="G31" s="27"/>
      <c r="H31" s="20">
        <v>100</v>
      </c>
      <c r="I31" s="20">
        <v>120</v>
      </c>
      <c r="J31" s="20">
        <v>70</v>
      </c>
      <c r="K31" s="20">
        <v>37</v>
      </c>
      <c r="L31" s="20">
        <v>28</v>
      </c>
      <c r="M31" s="20">
        <v>22</v>
      </c>
      <c r="N31" s="20">
        <v>102</v>
      </c>
      <c r="Q31" s="36" t="s">
        <v>122</v>
      </c>
    </row>
    <row r="32" spans="1:962" ht="24.75" customHeight="1" x14ac:dyDescent="0.25">
      <c r="H32" s="27">
        <v>44</v>
      </c>
      <c r="I32" s="27">
        <v>47</v>
      </c>
      <c r="J32" s="27">
        <v>63</v>
      </c>
      <c r="K32" s="27">
        <v>20</v>
      </c>
      <c r="L32" s="27">
        <v>15</v>
      </c>
      <c r="M32" s="27">
        <v>116</v>
      </c>
      <c r="N32" s="27">
        <v>110</v>
      </c>
      <c r="O32" s="27">
        <v>124</v>
      </c>
      <c r="P32" s="27">
        <v>74</v>
      </c>
      <c r="Q32" s="36" t="s">
        <v>123</v>
      </c>
    </row>
    <row r="33" spans="1:1016" s="3" customFormat="1" ht="24.75" customHeight="1" x14ac:dyDescent="0.25">
      <c r="A33" s="28"/>
      <c r="B33" s="29"/>
      <c r="C33" s="28"/>
      <c r="D33" s="28"/>
      <c r="E33" s="30"/>
      <c r="F33" s="28"/>
      <c r="G33" s="31"/>
      <c r="H33" s="32">
        <v>44</v>
      </c>
      <c r="I33" s="32">
        <v>47</v>
      </c>
      <c r="J33" s="32">
        <v>64</v>
      </c>
      <c r="K33" s="32">
        <v>19</v>
      </c>
      <c r="L33" s="32">
        <v>13</v>
      </c>
      <c r="M33" s="32">
        <v>30</v>
      </c>
      <c r="N33" s="32">
        <v>28</v>
      </c>
      <c r="O33" s="32">
        <v>30</v>
      </c>
      <c r="P33" s="32">
        <v>73</v>
      </c>
      <c r="Q33" s="37" t="s">
        <v>124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4"/>
      <c r="AKB33" s="4"/>
      <c r="AKC33" s="4"/>
      <c r="AKD33" s="4"/>
      <c r="AKE33" s="4"/>
      <c r="AKF33" s="4"/>
      <c r="AKG33" s="4"/>
      <c r="AKH33" s="4"/>
      <c r="AKI33" s="4"/>
      <c r="AKJ33" s="4"/>
      <c r="AKK33" s="4"/>
      <c r="AKL33" s="4"/>
      <c r="AKM33" s="4"/>
      <c r="AKN33" s="4"/>
      <c r="AKO33" s="4"/>
      <c r="AKP33" s="4"/>
      <c r="AKQ33" s="4"/>
      <c r="AKR33" s="4"/>
      <c r="AKS33" s="4"/>
      <c r="AKT33" s="4"/>
      <c r="AKU33" s="4"/>
      <c r="AKV33" s="4"/>
      <c r="AKW33" s="4"/>
      <c r="AKX33" s="4"/>
      <c r="AKY33" s="4"/>
      <c r="AKZ33" s="4"/>
      <c r="ALA33" s="4"/>
      <c r="ALB33" s="4"/>
      <c r="ALC33" s="4"/>
      <c r="ALD33" s="4"/>
      <c r="ALE33" s="4"/>
      <c r="ALF33" s="4"/>
      <c r="ALG33" s="4"/>
      <c r="ALH33" s="4"/>
      <c r="ALI33" s="4"/>
      <c r="ALJ33" s="4"/>
      <c r="ALK33" s="4"/>
      <c r="ALL33" s="4"/>
      <c r="ALM33" s="4"/>
      <c r="ALN33" s="4"/>
      <c r="ALO33" s="4"/>
      <c r="ALP33" s="4"/>
      <c r="ALQ33" s="4"/>
      <c r="ALR33" s="4"/>
      <c r="ALS33" s="4"/>
      <c r="ALT33" s="4"/>
      <c r="ALU33" s="4"/>
      <c r="ALV33" s="4"/>
      <c r="ALW33" s="4"/>
      <c r="ALX33" s="4"/>
      <c r="ALY33" s="4"/>
      <c r="ALZ33" s="4"/>
      <c r="AMA33" s="4"/>
      <c r="AMB33" s="4"/>
    </row>
    <row r="34" spans="1:1016" s="3" customFormat="1" ht="24.75" customHeight="1" x14ac:dyDescent="0.25">
      <c r="A34" s="25" t="s">
        <v>66</v>
      </c>
      <c r="B34" s="26" t="s">
        <v>77</v>
      </c>
      <c r="C34" s="26" t="s">
        <v>73</v>
      </c>
      <c r="D34" s="27">
        <v>43</v>
      </c>
      <c r="E34" s="27">
        <v>58</v>
      </c>
      <c r="F34" s="27" t="s">
        <v>46</v>
      </c>
      <c r="G34" s="27" t="s">
        <v>32</v>
      </c>
      <c r="H34" s="20">
        <v>47</v>
      </c>
      <c r="I34" s="20">
        <v>23</v>
      </c>
      <c r="J34" s="20">
        <v>18</v>
      </c>
      <c r="K34" s="20">
        <v>29</v>
      </c>
      <c r="L34" s="20">
        <v>27</v>
      </c>
      <c r="M34" s="20">
        <v>29</v>
      </c>
      <c r="N34" s="20">
        <v>70</v>
      </c>
      <c r="O34" s="20">
        <v>39</v>
      </c>
      <c r="P34" s="1"/>
      <c r="Q34" s="36" t="s">
        <v>121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4"/>
      <c r="AKB34" s="4"/>
      <c r="AKC34" s="4"/>
      <c r="AKD34" s="4"/>
      <c r="AKE34" s="4"/>
      <c r="AKF34" s="4"/>
      <c r="AKG34" s="4"/>
      <c r="AKH34" s="4"/>
      <c r="AKI34" s="4"/>
      <c r="AKJ34" s="4"/>
      <c r="AKK34" s="4"/>
      <c r="AKL34" s="4"/>
      <c r="AKM34" s="4"/>
      <c r="AKN34" s="4"/>
      <c r="AKO34" s="4"/>
      <c r="AKP34" s="4"/>
      <c r="AKQ34" s="4"/>
      <c r="AKR34" s="4"/>
      <c r="AKS34" s="4"/>
      <c r="AKT34" s="4"/>
      <c r="AKU34" s="4"/>
      <c r="AKV34" s="4"/>
      <c r="AKW34" s="4"/>
      <c r="AKX34" s="4"/>
      <c r="AKY34" s="4"/>
      <c r="AKZ34" s="4"/>
      <c r="ALA34" s="4"/>
      <c r="ALB34" s="4"/>
      <c r="ALC34" s="4"/>
      <c r="ALD34" s="4"/>
      <c r="ALE34" s="4"/>
      <c r="ALF34" s="4"/>
      <c r="ALG34" s="4"/>
      <c r="ALH34" s="4"/>
      <c r="ALI34" s="4"/>
      <c r="ALJ34" s="4"/>
      <c r="ALK34" s="4"/>
      <c r="ALL34" s="4"/>
      <c r="ALM34" s="4"/>
      <c r="ALN34" s="4"/>
      <c r="ALO34" s="4"/>
      <c r="ALP34" s="4"/>
      <c r="ALQ34" s="4"/>
      <c r="ALR34" s="4"/>
      <c r="ALS34" s="4"/>
      <c r="ALT34" s="4"/>
      <c r="ALU34" s="4"/>
      <c r="ALV34" s="4"/>
      <c r="ALW34" s="4"/>
      <c r="ALX34" s="4"/>
      <c r="ALY34" s="4"/>
      <c r="ALZ34" s="4"/>
      <c r="AMA34" s="4"/>
      <c r="AMB34" s="4"/>
    </row>
    <row r="35" spans="1:1016" s="3" customFormat="1" ht="24.75" customHeight="1" x14ac:dyDescent="0.25">
      <c r="A35" s="25"/>
      <c r="B35" s="26"/>
      <c r="C35" s="26"/>
      <c r="D35" s="27"/>
      <c r="E35" s="27"/>
      <c r="F35" s="27"/>
      <c r="G35" s="27"/>
      <c r="H35" s="20">
        <v>93</v>
      </c>
      <c r="I35" s="20">
        <v>115</v>
      </c>
      <c r="J35" s="20">
        <v>67</v>
      </c>
      <c r="K35" s="20">
        <v>34</v>
      </c>
      <c r="L35" s="20">
        <v>24</v>
      </c>
      <c r="M35" s="20">
        <v>19</v>
      </c>
      <c r="N35" s="20">
        <v>97</v>
      </c>
      <c r="O35" s="1"/>
      <c r="P35" s="1"/>
      <c r="Q35" s="36" t="s">
        <v>122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4"/>
      <c r="AKB35" s="4"/>
      <c r="AKC35" s="4"/>
      <c r="AKD35" s="4"/>
      <c r="AKE35" s="4"/>
      <c r="AKF35" s="4"/>
      <c r="AKG35" s="4"/>
      <c r="AKH35" s="4"/>
      <c r="AKI35" s="4"/>
      <c r="AKJ35" s="4"/>
      <c r="AKK35" s="4"/>
      <c r="AKL35" s="4"/>
      <c r="AKM35" s="4"/>
      <c r="AKN35" s="4"/>
      <c r="AKO35" s="4"/>
      <c r="AKP35" s="4"/>
      <c r="AKQ35" s="4"/>
      <c r="AKR35" s="4"/>
      <c r="AKS35" s="4"/>
      <c r="AKT35" s="4"/>
      <c r="AKU35" s="4"/>
      <c r="AKV35" s="4"/>
      <c r="AKW35" s="4"/>
      <c r="AKX35" s="4"/>
      <c r="AKY35" s="4"/>
      <c r="AKZ35" s="4"/>
      <c r="ALA35" s="4"/>
      <c r="ALB35" s="4"/>
      <c r="ALC35" s="4"/>
      <c r="ALD35" s="4"/>
      <c r="ALE35" s="4"/>
      <c r="ALF35" s="4"/>
      <c r="ALG35" s="4"/>
      <c r="ALH35" s="4"/>
      <c r="ALI35" s="4"/>
      <c r="ALJ35" s="4"/>
      <c r="ALK35" s="4"/>
      <c r="ALL35" s="4"/>
      <c r="ALM35" s="4"/>
      <c r="ALN35" s="4"/>
      <c r="ALO35" s="4"/>
      <c r="ALP35" s="4"/>
      <c r="ALQ35" s="4"/>
      <c r="ALR35" s="4"/>
      <c r="ALS35" s="4"/>
      <c r="ALT35" s="4"/>
      <c r="ALU35" s="4"/>
      <c r="ALV35" s="4"/>
      <c r="ALW35" s="4"/>
      <c r="ALX35" s="4"/>
      <c r="ALY35" s="4"/>
      <c r="ALZ35" s="4"/>
      <c r="AMA35" s="4"/>
      <c r="AMB35" s="4"/>
    </row>
    <row r="36" spans="1:1016" s="3" customFormat="1" ht="24.75" customHeight="1" x14ac:dyDescent="0.25">
      <c r="A36" s="1"/>
      <c r="B36" s="2"/>
      <c r="C36" s="1"/>
      <c r="D36" s="1"/>
      <c r="F36" s="1"/>
      <c r="G36" s="12"/>
      <c r="H36" s="27">
        <v>39</v>
      </c>
      <c r="I36" s="27">
        <v>47</v>
      </c>
      <c r="J36" s="27">
        <v>59</v>
      </c>
      <c r="K36" s="27">
        <v>19</v>
      </c>
      <c r="L36" s="27">
        <v>14</v>
      </c>
      <c r="M36" s="27">
        <v>107</v>
      </c>
      <c r="N36" s="27">
        <v>104</v>
      </c>
      <c r="O36" s="27">
        <v>119</v>
      </c>
      <c r="P36" s="27">
        <v>71</v>
      </c>
      <c r="Q36" s="36" t="s">
        <v>123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4"/>
      <c r="AKN36" s="4"/>
      <c r="AKO36" s="4"/>
      <c r="AKP36" s="4"/>
      <c r="AKQ36" s="4"/>
      <c r="AKR36" s="4"/>
      <c r="AKS36" s="4"/>
      <c r="AKT36" s="4"/>
      <c r="AKU36" s="4"/>
      <c r="AKV36" s="4"/>
      <c r="AKW36" s="4"/>
      <c r="AKX36" s="4"/>
      <c r="AKY36" s="4"/>
      <c r="AKZ36" s="4"/>
      <c r="ALA36" s="4"/>
      <c r="ALB36" s="4"/>
      <c r="ALC36" s="4"/>
      <c r="ALD36" s="4"/>
      <c r="ALE36" s="4"/>
      <c r="ALF36" s="4"/>
      <c r="ALG36" s="4"/>
      <c r="ALH36" s="4"/>
      <c r="ALI36" s="4"/>
      <c r="ALJ36" s="4"/>
      <c r="ALK36" s="4"/>
      <c r="ALL36" s="4"/>
      <c r="ALM36" s="4"/>
      <c r="ALN36" s="4"/>
      <c r="ALO36" s="4"/>
      <c r="ALP36" s="4"/>
      <c r="ALQ36" s="4"/>
      <c r="ALR36" s="4"/>
      <c r="ALS36" s="4"/>
      <c r="ALT36" s="4"/>
      <c r="ALU36" s="4"/>
      <c r="ALV36" s="4"/>
      <c r="ALW36" s="4"/>
      <c r="ALX36" s="4"/>
      <c r="ALY36" s="4"/>
      <c r="ALZ36" s="4"/>
      <c r="AMA36" s="4"/>
      <c r="AMB36" s="4"/>
    </row>
    <row r="37" spans="1:1016" s="3" customFormat="1" ht="24.75" customHeight="1" x14ac:dyDescent="0.25">
      <c r="A37" s="28"/>
      <c r="B37" s="29"/>
      <c r="C37" s="28"/>
      <c r="D37" s="28"/>
      <c r="E37" s="30"/>
      <c r="F37" s="28"/>
      <c r="G37" s="31"/>
      <c r="H37" s="32">
        <v>39</v>
      </c>
      <c r="I37" s="32">
        <v>47</v>
      </c>
      <c r="J37" s="32">
        <v>60</v>
      </c>
      <c r="K37" s="32">
        <v>18</v>
      </c>
      <c r="L37" s="32">
        <v>13</v>
      </c>
      <c r="M37" s="32">
        <v>29</v>
      </c>
      <c r="N37" s="32">
        <v>27</v>
      </c>
      <c r="O37" s="32">
        <v>29</v>
      </c>
      <c r="P37" s="32">
        <v>70</v>
      </c>
      <c r="Q37" s="37" t="s">
        <v>124</v>
      </c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4"/>
      <c r="AKB37" s="4"/>
      <c r="AKC37" s="4"/>
      <c r="AKD37" s="4"/>
      <c r="AKE37" s="4"/>
      <c r="AKF37" s="4"/>
      <c r="AKG37" s="4"/>
      <c r="AKH37" s="4"/>
      <c r="AKI37" s="4"/>
      <c r="AKJ37" s="4"/>
      <c r="AKK37" s="4"/>
      <c r="AKL37" s="4"/>
      <c r="AKM37" s="4"/>
      <c r="AKN37" s="4"/>
      <c r="AKO37" s="4"/>
      <c r="AKP37" s="4"/>
      <c r="AKQ37" s="4"/>
      <c r="AKR37" s="4"/>
      <c r="AKS37" s="4"/>
      <c r="AKT37" s="4"/>
      <c r="AKU37" s="4"/>
      <c r="AKV37" s="4"/>
      <c r="AKW37" s="4"/>
      <c r="AKX37" s="4"/>
      <c r="AKY37" s="4"/>
      <c r="AKZ37" s="4"/>
      <c r="ALA37" s="4"/>
      <c r="ALB37" s="4"/>
      <c r="ALC37" s="4"/>
      <c r="ALD37" s="4"/>
      <c r="ALE37" s="4"/>
      <c r="ALF37" s="4"/>
      <c r="ALG37" s="4"/>
      <c r="ALH37" s="4"/>
      <c r="ALI37" s="4"/>
      <c r="ALJ37" s="4"/>
      <c r="ALK37" s="4"/>
      <c r="ALL37" s="4"/>
      <c r="ALM37" s="4"/>
      <c r="ALN37" s="4"/>
      <c r="ALO37" s="4"/>
      <c r="ALP37" s="4"/>
      <c r="ALQ37" s="4"/>
      <c r="ALR37" s="4"/>
      <c r="ALS37" s="4"/>
      <c r="ALT37" s="4"/>
      <c r="ALU37" s="4"/>
      <c r="ALV37" s="4"/>
      <c r="ALW37" s="4"/>
      <c r="ALX37" s="4"/>
      <c r="ALY37" s="4"/>
      <c r="ALZ37" s="4"/>
      <c r="AMA37" s="4"/>
      <c r="AMB37" s="4"/>
    </row>
    <row r="38" spans="1:1016" s="3" customFormat="1" ht="24.75" customHeight="1" x14ac:dyDescent="0.25">
      <c r="A38" s="25" t="s">
        <v>67</v>
      </c>
      <c r="B38" s="26" t="s">
        <v>78</v>
      </c>
      <c r="C38" s="26" t="s">
        <v>73</v>
      </c>
      <c r="D38" s="27">
        <v>43</v>
      </c>
      <c r="E38" s="27">
        <v>59</v>
      </c>
      <c r="F38" s="27" t="s">
        <v>46</v>
      </c>
      <c r="G38" s="27" t="s">
        <v>34</v>
      </c>
      <c r="H38" s="20">
        <v>50</v>
      </c>
      <c r="I38" s="20">
        <v>27</v>
      </c>
      <c r="J38" s="20">
        <v>19</v>
      </c>
      <c r="K38" s="20">
        <v>29</v>
      </c>
      <c r="L38" s="20">
        <v>28</v>
      </c>
      <c r="M38" s="20">
        <v>29</v>
      </c>
      <c r="N38" s="20">
        <v>75</v>
      </c>
      <c r="O38" s="20">
        <v>43</v>
      </c>
      <c r="P38" s="1"/>
      <c r="Q38" s="36" t="s">
        <v>121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4"/>
      <c r="AKB38" s="4"/>
      <c r="AKC38" s="4"/>
      <c r="AKD38" s="4"/>
      <c r="AKE38" s="4"/>
      <c r="AKF38" s="4"/>
      <c r="AKG38" s="4"/>
      <c r="AKH38" s="4"/>
      <c r="AKI38" s="4"/>
      <c r="AKJ38" s="4"/>
      <c r="AKK38" s="4"/>
      <c r="AKL38" s="4"/>
      <c r="AKM38" s="4"/>
      <c r="AKN38" s="4"/>
      <c r="AKO38" s="4"/>
      <c r="AKP38" s="4"/>
      <c r="AKQ38" s="4"/>
      <c r="AKR38" s="4"/>
      <c r="AKS38" s="4"/>
      <c r="AKT38" s="4"/>
      <c r="AKU38" s="4"/>
      <c r="AKV38" s="4"/>
      <c r="AKW38" s="4"/>
      <c r="AKX38" s="4"/>
      <c r="AKY38" s="4"/>
      <c r="AKZ38" s="4"/>
      <c r="ALA38" s="4"/>
      <c r="ALB38" s="4"/>
      <c r="ALC38" s="4"/>
      <c r="ALD38" s="4"/>
      <c r="ALE38" s="4"/>
      <c r="ALF38" s="4"/>
      <c r="ALG38" s="4"/>
      <c r="ALH38" s="4"/>
      <c r="ALI38" s="4"/>
      <c r="ALJ38" s="4"/>
      <c r="ALK38" s="4"/>
      <c r="ALL38" s="4"/>
      <c r="ALM38" s="4"/>
      <c r="ALN38" s="4"/>
      <c r="ALO38" s="4"/>
      <c r="ALP38" s="4"/>
      <c r="ALQ38" s="4"/>
      <c r="ALR38" s="4"/>
      <c r="ALS38" s="4"/>
      <c r="ALT38" s="4"/>
      <c r="ALU38" s="4"/>
      <c r="ALV38" s="4"/>
      <c r="ALW38" s="4"/>
      <c r="ALX38" s="4"/>
      <c r="ALY38" s="4"/>
      <c r="ALZ38" s="4"/>
      <c r="AMA38" s="4"/>
      <c r="AMB38" s="4"/>
    </row>
    <row r="39" spans="1:1016" s="3" customFormat="1" ht="24.75" customHeight="1" x14ac:dyDescent="0.25">
      <c r="A39" s="25"/>
      <c r="B39" s="26"/>
      <c r="C39" s="26"/>
      <c r="D39" s="27"/>
      <c r="E39" s="27"/>
      <c r="F39" s="27"/>
      <c r="G39" s="27"/>
      <c r="H39" s="20">
        <v>93</v>
      </c>
      <c r="I39" s="20">
        <v>116</v>
      </c>
      <c r="J39" s="20">
        <v>70</v>
      </c>
      <c r="K39" s="20">
        <v>35</v>
      </c>
      <c r="L39" s="20">
        <v>26</v>
      </c>
      <c r="M39" s="20">
        <v>22</v>
      </c>
      <c r="N39" s="20">
        <v>102</v>
      </c>
      <c r="O39" s="1"/>
      <c r="P39" s="1"/>
      <c r="Q39" s="36" t="s">
        <v>122</v>
      </c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4"/>
      <c r="AKB39" s="4"/>
      <c r="AKC39" s="4"/>
      <c r="AKD39" s="4"/>
      <c r="AKE39" s="4"/>
      <c r="AKF39" s="4"/>
      <c r="AKG39" s="4"/>
      <c r="AKH39" s="4"/>
      <c r="AKI39" s="4"/>
      <c r="AKJ39" s="4"/>
      <c r="AKK39" s="4"/>
      <c r="AKL39" s="4"/>
      <c r="AKM39" s="4"/>
      <c r="AKN39" s="4"/>
      <c r="AKO39" s="4"/>
      <c r="AKP39" s="4"/>
      <c r="AKQ39" s="4"/>
      <c r="AKR39" s="4"/>
      <c r="AKS39" s="4"/>
      <c r="AKT39" s="4"/>
      <c r="AKU39" s="4"/>
      <c r="AKV39" s="4"/>
      <c r="AKW39" s="4"/>
      <c r="AKX39" s="4"/>
      <c r="AKY39" s="4"/>
      <c r="AKZ39" s="4"/>
      <c r="ALA39" s="4"/>
      <c r="ALB39" s="4"/>
      <c r="ALC39" s="4"/>
      <c r="ALD39" s="4"/>
      <c r="ALE39" s="4"/>
      <c r="ALF39" s="4"/>
      <c r="ALG39" s="4"/>
      <c r="ALH39" s="4"/>
      <c r="ALI39" s="4"/>
      <c r="ALJ39" s="4"/>
      <c r="ALK39" s="4"/>
      <c r="ALL39" s="4"/>
      <c r="ALM39" s="4"/>
      <c r="ALN39" s="4"/>
      <c r="ALO39" s="4"/>
      <c r="ALP39" s="4"/>
      <c r="ALQ39" s="4"/>
      <c r="ALR39" s="4"/>
      <c r="ALS39" s="4"/>
      <c r="ALT39" s="4"/>
      <c r="ALU39" s="4"/>
      <c r="ALV39" s="4"/>
      <c r="ALW39" s="4"/>
      <c r="ALX39" s="4"/>
      <c r="ALY39" s="4"/>
      <c r="ALZ39" s="4"/>
      <c r="AMA39" s="4"/>
      <c r="AMB39" s="4"/>
    </row>
    <row r="40" spans="1:1016" s="3" customFormat="1" ht="24.75" customHeight="1" x14ac:dyDescent="0.25">
      <c r="A40" s="1"/>
      <c r="B40" s="2"/>
      <c r="C40" s="1"/>
      <c r="D40" s="1"/>
      <c r="F40" s="1"/>
      <c r="G40" s="12"/>
      <c r="H40" s="27">
        <v>43</v>
      </c>
      <c r="I40" s="27">
        <v>50</v>
      </c>
      <c r="J40" s="27">
        <v>65</v>
      </c>
      <c r="K40" s="27">
        <v>20</v>
      </c>
      <c r="L40" s="27">
        <v>16</v>
      </c>
      <c r="M40" s="27">
        <v>112</v>
      </c>
      <c r="N40" s="27">
        <v>105</v>
      </c>
      <c r="O40" s="27">
        <v>117</v>
      </c>
      <c r="P40" s="27">
        <v>76</v>
      </c>
      <c r="Q40" s="36" t="s">
        <v>123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4"/>
      <c r="AKB40" s="4"/>
      <c r="AKC40" s="4"/>
      <c r="AKD40" s="4"/>
      <c r="AKE40" s="4"/>
      <c r="AKF40" s="4"/>
      <c r="AKG40" s="4"/>
      <c r="AKH40" s="4"/>
      <c r="AKI40" s="4"/>
      <c r="AKJ40" s="4"/>
      <c r="AKK40" s="4"/>
      <c r="AKL40" s="4"/>
      <c r="AKM40" s="4"/>
      <c r="AKN40" s="4"/>
      <c r="AKO40" s="4"/>
      <c r="AKP40" s="4"/>
      <c r="AKQ40" s="4"/>
      <c r="AKR40" s="4"/>
      <c r="AKS40" s="4"/>
      <c r="AKT40" s="4"/>
      <c r="AKU40" s="4"/>
      <c r="AKV40" s="4"/>
      <c r="AKW40" s="4"/>
      <c r="AKX40" s="4"/>
      <c r="AKY40" s="4"/>
      <c r="AKZ40" s="4"/>
      <c r="ALA40" s="4"/>
      <c r="ALB40" s="4"/>
      <c r="ALC40" s="4"/>
      <c r="ALD40" s="4"/>
      <c r="ALE40" s="4"/>
      <c r="ALF40" s="4"/>
      <c r="ALG40" s="4"/>
      <c r="ALH40" s="4"/>
      <c r="ALI40" s="4"/>
      <c r="ALJ40" s="4"/>
      <c r="ALK40" s="4"/>
      <c r="ALL40" s="4"/>
      <c r="ALM40" s="4"/>
      <c r="ALN40" s="4"/>
      <c r="ALO40" s="4"/>
      <c r="ALP40" s="4"/>
      <c r="ALQ40" s="4"/>
      <c r="ALR40" s="4"/>
      <c r="ALS40" s="4"/>
      <c r="ALT40" s="4"/>
      <c r="ALU40" s="4"/>
      <c r="ALV40" s="4"/>
      <c r="ALW40" s="4"/>
      <c r="ALX40" s="4"/>
      <c r="ALY40" s="4"/>
      <c r="ALZ40" s="4"/>
      <c r="AMA40" s="4"/>
      <c r="AMB40" s="4"/>
    </row>
    <row r="41" spans="1:1016" s="3" customFormat="1" ht="24.75" customHeight="1" x14ac:dyDescent="0.25">
      <c r="A41" s="28"/>
      <c r="B41" s="29"/>
      <c r="C41" s="28"/>
      <c r="D41" s="28"/>
      <c r="E41" s="30"/>
      <c r="F41" s="28"/>
      <c r="G41" s="31"/>
      <c r="H41" s="32">
        <v>43</v>
      </c>
      <c r="I41" s="32">
        <v>50</v>
      </c>
      <c r="J41" s="32">
        <v>66</v>
      </c>
      <c r="K41" s="32">
        <v>19</v>
      </c>
      <c r="L41" s="32" t="s">
        <v>57</v>
      </c>
      <c r="M41" s="32">
        <v>29</v>
      </c>
      <c r="N41" s="32">
        <v>28</v>
      </c>
      <c r="O41" s="32">
        <v>29</v>
      </c>
      <c r="P41" s="32">
        <v>75</v>
      </c>
      <c r="Q41" s="37" t="s">
        <v>124</v>
      </c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4"/>
      <c r="AKB41" s="4"/>
      <c r="AKC41" s="4"/>
      <c r="AKD41" s="4"/>
      <c r="AKE41" s="4"/>
      <c r="AKF41" s="4"/>
      <c r="AKG41" s="4"/>
      <c r="AKH41" s="4"/>
      <c r="AKI41" s="4"/>
      <c r="AKJ41" s="4"/>
      <c r="AKK41" s="4"/>
      <c r="AKL41" s="4"/>
      <c r="AKM41" s="4"/>
      <c r="AKN41" s="4"/>
      <c r="AKO41" s="4"/>
      <c r="AKP41" s="4"/>
      <c r="AKQ41" s="4"/>
      <c r="AKR41" s="4"/>
      <c r="AKS41" s="4"/>
      <c r="AKT41" s="4"/>
      <c r="AKU41" s="4"/>
      <c r="AKV41" s="4"/>
      <c r="AKW41" s="4"/>
      <c r="AKX41" s="4"/>
      <c r="AKY41" s="4"/>
      <c r="AKZ41" s="4"/>
      <c r="ALA41" s="4"/>
      <c r="ALB41" s="4"/>
      <c r="ALC41" s="4"/>
      <c r="ALD41" s="4"/>
      <c r="ALE41" s="4"/>
      <c r="ALF41" s="4"/>
      <c r="ALG41" s="4"/>
      <c r="ALH41" s="4"/>
      <c r="ALI41" s="4"/>
      <c r="ALJ41" s="4"/>
      <c r="ALK41" s="4"/>
      <c r="ALL41" s="4"/>
      <c r="ALM41" s="4"/>
      <c r="ALN41" s="4"/>
      <c r="ALO41" s="4"/>
      <c r="ALP41" s="4"/>
      <c r="ALQ41" s="4"/>
      <c r="ALR41" s="4"/>
      <c r="ALS41" s="4"/>
      <c r="ALT41" s="4"/>
      <c r="ALU41" s="4"/>
      <c r="ALV41" s="4"/>
      <c r="ALW41" s="4"/>
      <c r="ALX41" s="4"/>
      <c r="ALY41" s="4"/>
      <c r="ALZ41" s="4"/>
      <c r="AMA41" s="4"/>
      <c r="AMB41" s="4"/>
    </row>
    <row r="42" spans="1:1016" s="3" customFormat="1" ht="24.75" customHeight="1" x14ac:dyDescent="0.25">
      <c r="A42" s="25" t="s">
        <v>87</v>
      </c>
      <c r="B42" s="26" t="s">
        <v>86</v>
      </c>
      <c r="C42" s="26" t="s">
        <v>73</v>
      </c>
      <c r="D42" s="27">
        <v>40</v>
      </c>
      <c r="E42" s="27">
        <v>55</v>
      </c>
      <c r="F42" s="27" t="s">
        <v>46</v>
      </c>
      <c r="G42" s="27" t="s">
        <v>31</v>
      </c>
      <c r="H42" s="20">
        <v>45</v>
      </c>
      <c r="I42" s="20">
        <v>24</v>
      </c>
      <c r="J42" s="20">
        <v>16</v>
      </c>
      <c r="K42" s="20">
        <v>26</v>
      </c>
      <c r="L42" s="20">
        <v>24</v>
      </c>
      <c r="M42" s="20">
        <v>26</v>
      </c>
      <c r="N42" s="20">
        <v>70</v>
      </c>
      <c r="O42" s="20">
        <v>41</v>
      </c>
      <c r="P42" s="1"/>
      <c r="Q42" s="36" t="s">
        <v>121</v>
      </c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4"/>
      <c r="AKB42" s="4"/>
      <c r="AKC42" s="4"/>
      <c r="AKD42" s="4"/>
      <c r="AKE42" s="4"/>
      <c r="AKF42" s="4"/>
      <c r="AKG42" s="4"/>
      <c r="AKH42" s="4"/>
      <c r="AKI42" s="4"/>
      <c r="AKJ42" s="4"/>
      <c r="AKK42" s="4"/>
      <c r="AKL42" s="4"/>
      <c r="AKM42" s="4"/>
      <c r="AKN42" s="4"/>
      <c r="AKO42" s="4"/>
      <c r="AKP42" s="4"/>
      <c r="AKQ42" s="4"/>
      <c r="AKR42" s="4"/>
      <c r="AKS42" s="4"/>
      <c r="AKT42" s="4"/>
      <c r="AKU42" s="4"/>
      <c r="AKV42" s="4"/>
      <c r="AKW42" s="4"/>
      <c r="AKX42" s="4"/>
      <c r="AKY42" s="4"/>
      <c r="AKZ42" s="4"/>
      <c r="ALA42" s="4"/>
      <c r="ALB42" s="4"/>
      <c r="ALC42" s="4"/>
      <c r="ALD42" s="4"/>
      <c r="ALE42" s="4"/>
      <c r="ALF42" s="4"/>
      <c r="ALG42" s="4"/>
      <c r="ALH42" s="4"/>
      <c r="ALI42" s="4"/>
      <c r="ALJ42" s="4"/>
      <c r="ALK42" s="4"/>
      <c r="ALL42" s="4"/>
      <c r="ALM42" s="4"/>
      <c r="ALN42" s="4"/>
      <c r="ALO42" s="4"/>
      <c r="ALP42" s="4"/>
      <c r="ALQ42" s="4"/>
      <c r="ALR42" s="4"/>
      <c r="ALS42" s="4"/>
      <c r="ALT42" s="4"/>
      <c r="ALU42" s="4"/>
      <c r="ALV42" s="4"/>
      <c r="ALW42" s="4"/>
      <c r="ALX42" s="4"/>
      <c r="ALY42" s="4"/>
      <c r="ALZ42" s="4"/>
      <c r="AMA42" s="4"/>
      <c r="AMB42" s="4"/>
    </row>
    <row r="43" spans="1:1016" s="3" customFormat="1" ht="24.75" customHeight="1" x14ac:dyDescent="0.25">
      <c r="A43" s="25"/>
      <c r="B43" s="26"/>
      <c r="C43" s="26"/>
      <c r="D43" s="27"/>
      <c r="E43" s="27"/>
      <c r="F43" s="27"/>
      <c r="G43" s="27"/>
      <c r="H43" s="20">
        <v>80</v>
      </c>
      <c r="I43" s="20">
        <v>96</v>
      </c>
      <c r="J43" s="20">
        <v>62</v>
      </c>
      <c r="K43" s="20">
        <v>30</v>
      </c>
      <c r="L43" s="20">
        <v>23</v>
      </c>
      <c r="M43" s="20">
        <v>19</v>
      </c>
      <c r="N43" s="20">
        <v>93</v>
      </c>
      <c r="O43" s="1"/>
      <c r="P43" s="1"/>
      <c r="Q43" s="36" t="s">
        <v>122</v>
      </c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4"/>
      <c r="AKB43" s="4"/>
      <c r="AKC43" s="4"/>
      <c r="AKD43" s="4"/>
      <c r="AKE43" s="4"/>
      <c r="AKF43" s="4"/>
      <c r="AKG43" s="4"/>
      <c r="AKH43" s="4"/>
      <c r="AKI43" s="4"/>
      <c r="AKJ43" s="4"/>
      <c r="AKK43" s="4"/>
      <c r="AKL43" s="4"/>
      <c r="AKM43" s="4"/>
      <c r="AKN43" s="4"/>
      <c r="AKO43" s="4"/>
      <c r="AKP43" s="4"/>
      <c r="AKQ43" s="4"/>
      <c r="AKR43" s="4"/>
      <c r="AKS43" s="4"/>
      <c r="AKT43" s="4"/>
      <c r="AKU43" s="4"/>
      <c r="AKV43" s="4"/>
      <c r="AKW43" s="4"/>
      <c r="AKX43" s="4"/>
      <c r="AKY43" s="4"/>
      <c r="AKZ43" s="4"/>
      <c r="ALA43" s="4"/>
      <c r="ALB43" s="4"/>
      <c r="ALC43" s="4"/>
      <c r="ALD43" s="4"/>
      <c r="ALE43" s="4"/>
      <c r="ALF43" s="4"/>
      <c r="ALG43" s="4"/>
      <c r="ALH43" s="4"/>
      <c r="ALI43" s="4"/>
      <c r="ALJ43" s="4"/>
      <c r="ALK43" s="4"/>
      <c r="ALL43" s="4"/>
      <c r="ALM43" s="4"/>
      <c r="ALN43" s="4"/>
      <c r="ALO43" s="4"/>
      <c r="ALP43" s="4"/>
      <c r="ALQ43" s="4"/>
      <c r="ALR43" s="4"/>
      <c r="ALS43" s="4"/>
      <c r="ALT43" s="4"/>
      <c r="ALU43" s="4"/>
      <c r="ALV43" s="4"/>
      <c r="ALW43" s="4"/>
      <c r="ALX43" s="4"/>
      <c r="ALY43" s="4"/>
      <c r="ALZ43" s="4"/>
      <c r="AMA43" s="4"/>
      <c r="AMB43" s="4"/>
    </row>
    <row r="44" spans="1:1016" ht="24.75" customHeight="1" x14ac:dyDescent="0.25">
      <c r="H44" s="27">
        <v>41</v>
      </c>
      <c r="I44" s="27">
        <v>45</v>
      </c>
      <c r="J44" s="27">
        <v>59</v>
      </c>
      <c r="K44" s="27">
        <v>18</v>
      </c>
      <c r="L44" s="27">
        <v>14</v>
      </c>
      <c r="M44" s="27">
        <v>95</v>
      </c>
      <c r="N44" s="27">
        <v>90</v>
      </c>
      <c r="O44" s="27">
        <v>100</v>
      </c>
      <c r="P44" s="27">
        <v>72</v>
      </c>
      <c r="Q44" s="36" t="s">
        <v>123</v>
      </c>
    </row>
    <row r="45" spans="1:1016" ht="24.75" customHeight="1" x14ac:dyDescent="0.25">
      <c r="A45" s="28"/>
      <c r="B45" s="29"/>
      <c r="C45" s="28"/>
      <c r="D45" s="28"/>
      <c r="E45" s="30"/>
      <c r="F45" s="28"/>
      <c r="G45" s="31"/>
      <c r="H45" s="32">
        <v>41</v>
      </c>
      <c r="I45" s="32">
        <v>45</v>
      </c>
      <c r="J45" s="32">
        <v>60</v>
      </c>
      <c r="K45" s="32">
        <v>16</v>
      </c>
      <c r="L45" s="32">
        <v>12</v>
      </c>
      <c r="M45" s="32">
        <v>26</v>
      </c>
      <c r="N45" s="32">
        <v>24</v>
      </c>
      <c r="O45" s="32">
        <v>26</v>
      </c>
      <c r="P45" s="32">
        <v>70</v>
      </c>
      <c r="Q45" s="37" t="s">
        <v>124</v>
      </c>
    </row>
    <row r="46" spans="1:1016" ht="24.75" customHeight="1" x14ac:dyDescent="0.25">
      <c r="A46" s="25" t="s">
        <v>88</v>
      </c>
      <c r="B46" s="26" t="s">
        <v>85</v>
      </c>
      <c r="C46" s="26" t="s">
        <v>73</v>
      </c>
      <c r="D46" s="27">
        <v>46</v>
      </c>
      <c r="E46" s="27">
        <v>58</v>
      </c>
      <c r="F46" s="27" t="s">
        <v>46</v>
      </c>
      <c r="G46" s="27" t="s">
        <v>33</v>
      </c>
      <c r="H46" s="20">
        <v>51</v>
      </c>
      <c r="I46" s="20">
        <v>29</v>
      </c>
      <c r="J46" s="20">
        <v>20</v>
      </c>
      <c r="K46" s="20">
        <v>32</v>
      </c>
      <c r="L46" s="20">
        <v>30</v>
      </c>
      <c r="M46" s="20">
        <v>32</v>
      </c>
      <c r="N46" s="20">
        <v>79</v>
      </c>
      <c r="O46" s="20">
        <v>44</v>
      </c>
      <c r="Q46" s="36" t="s">
        <v>121</v>
      </c>
    </row>
    <row r="47" spans="1:1016" ht="24.75" customHeight="1" x14ac:dyDescent="0.25">
      <c r="A47" s="25"/>
      <c r="B47" s="26"/>
      <c r="C47" s="26"/>
      <c r="D47" s="27"/>
      <c r="E47" s="27"/>
      <c r="F47" s="27"/>
      <c r="G47" s="27"/>
      <c r="H47" s="20">
        <v>112</v>
      </c>
      <c r="I47" s="20">
        <v>134</v>
      </c>
      <c r="J47" s="20">
        <v>73</v>
      </c>
      <c r="K47" s="20">
        <v>38</v>
      </c>
      <c r="L47" s="20">
        <v>28</v>
      </c>
      <c r="M47" s="20">
        <v>23</v>
      </c>
      <c r="N47" s="20">
        <v>103</v>
      </c>
      <c r="Q47" s="36" t="s">
        <v>122</v>
      </c>
    </row>
    <row r="48" spans="1:1016" ht="24.75" customHeight="1" x14ac:dyDescent="0.25">
      <c r="H48" s="27">
        <v>44</v>
      </c>
      <c r="I48" s="27">
        <v>51</v>
      </c>
      <c r="J48" s="27">
        <v>67</v>
      </c>
      <c r="K48" s="27">
        <v>22</v>
      </c>
      <c r="L48" s="27">
        <v>16</v>
      </c>
      <c r="M48" s="27">
        <v>124</v>
      </c>
      <c r="N48" s="27">
        <v>124</v>
      </c>
      <c r="O48" s="27">
        <v>137</v>
      </c>
      <c r="P48" s="27">
        <v>79</v>
      </c>
      <c r="Q48" s="36" t="s">
        <v>123</v>
      </c>
    </row>
    <row r="49" spans="1:17" ht="24.75" customHeight="1" x14ac:dyDescent="0.25">
      <c r="A49" s="28"/>
      <c r="B49" s="29"/>
      <c r="C49" s="28"/>
      <c r="D49" s="28"/>
      <c r="E49" s="30"/>
      <c r="F49" s="28"/>
      <c r="G49" s="31"/>
      <c r="H49" s="32">
        <v>44</v>
      </c>
      <c r="I49" s="32">
        <v>51</v>
      </c>
      <c r="J49" s="32">
        <v>68</v>
      </c>
      <c r="K49" s="32">
        <v>20</v>
      </c>
      <c r="L49" s="32">
        <v>13</v>
      </c>
      <c r="M49" s="32">
        <v>32</v>
      </c>
      <c r="N49" s="32">
        <v>30</v>
      </c>
      <c r="O49" s="32">
        <v>32</v>
      </c>
      <c r="P49" s="32">
        <v>78</v>
      </c>
      <c r="Q49" s="37" t="s">
        <v>124</v>
      </c>
    </row>
    <row r="50" spans="1:17" ht="24.75" customHeight="1" x14ac:dyDescent="0.25">
      <c r="A50" s="25" t="s">
        <v>89</v>
      </c>
      <c r="B50" s="26" t="s">
        <v>84</v>
      </c>
      <c r="C50" s="26" t="s">
        <v>73</v>
      </c>
      <c r="D50" s="27">
        <v>41</v>
      </c>
      <c r="E50" s="27">
        <v>55</v>
      </c>
      <c r="F50" s="27" t="s">
        <v>46</v>
      </c>
      <c r="G50" s="27" t="s">
        <v>32</v>
      </c>
      <c r="H50" s="20">
        <v>46</v>
      </c>
      <c r="I50" s="20">
        <v>25</v>
      </c>
      <c r="J50" s="20">
        <v>17</v>
      </c>
      <c r="K50" s="20">
        <v>28</v>
      </c>
      <c r="L50" s="20">
        <v>26</v>
      </c>
      <c r="M50" s="20">
        <v>28</v>
      </c>
      <c r="N50" s="20">
        <v>71</v>
      </c>
      <c r="O50" s="20">
        <v>40</v>
      </c>
      <c r="Q50" s="36" t="s">
        <v>121</v>
      </c>
    </row>
    <row r="51" spans="1:17" ht="24.75" customHeight="1" x14ac:dyDescent="0.25">
      <c r="A51" s="25"/>
      <c r="B51" s="26"/>
      <c r="C51" s="26"/>
      <c r="D51" s="27"/>
      <c r="E51" s="27"/>
      <c r="F51" s="27"/>
      <c r="G51" s="27"/>
      <c r="H51" s="20">
        <v>85</v>
      </c>
      <c r="I51" s="20">
        <v>105</v>
      </c>
      <c r="J51" s="20">
        <v>68</v>
      </c>
      <c r="K51" s="20">
        <v>32</v>
      </c>
      <c r="L51" s="20">
        <v>24</v>
      </c>
      <c r="M51" s="20">
        <v>19</v>
      </c>
      <c r="N51" s="20">
        <v>97</v>
      </c>
      <c r="Q51" s="36" t="s">
        <v>122</v>
      </c>
    </row>
    <row r="52" spans="1:17" ht="24.75" customHeight="1" x14ac:dyDescent="0.25">
      <c r="H52" s="27">
        <v>40</v>
      </c>
      <c r="I52" s="27">
        <v>46</v>
      </c>
      <c r="J52" s="27">
        <v>60</v>
      </c>
      <c r="K52" s="27">
        <v>19</v>
      </c>
      <c r="L52" s="27">
        <v>14</v>
      </c>
      <c r="M52" s="27">
        <v>101</v>
      </c>
      <c r="N52" s="27">
        <v>96</v>
      </c>
      <c r="O52" s="27">
        <v>107</v>
      </c>
      <c r="P52" s="27">
        <v>71</v>
      </c>
      <c r="Q52" s="36" t="s">
        <v>123</v>
      </c>
    </row>
    <row r="53" spans="1:17" ht="24.75" customHeight="1" x14ac:dyDescent="0.25">
      <c r="A53" s="28"/>
      <c r="B53" s="29"/>
      <c r="C53" s="28"/>
      <c r="D53" s="28"/>
      <c r="E53" s="30"/>
      <c r="F53" s="28"/>
      <c r="G53" s="31"/>
      <c r="H53" s="32">
        <v>40</v>
      </c>
      <c r="I53" s="32">
        <v>46</v>
      </c>
      <c r="J53" s="32">
        <v>61</v>
      </c>
      <c r="K53" s="32">
        <v>17</v>
      </c>
      <c r="L53" s="32">
        <v>12</v>
      </c>
      <c r="M53" s="32">
        <v>28</v>
      </c>
      <c r="N53" s="32">
        <v>26</v>
      </c>
      <c r="O53" s="32">
        <v>28</v>
      </c>
      <c r="P53" s="32">
        <v>70</v>
      </c>
      <c r="Q53" s="37" t="s">
        <v>124</v>
      </c>
    </row>
    <row r="54" spans="1:17" ht="24.75" customHeight="1" x14ac:dyDescent="0.25">
      <c r="A54" s="25" t="s">
        <v>90</v>
      </c>
      <c r="B54" s="26" t="s">
        <v>83</v>
      </c>
      <c r="C54" s="26" t="s">
        <v>73</v>
      </c>
      <c r="D54" s="27">
        <v>42</v>
      </c>
      <c r="E54" s="27">
        <v>56</v>
      </c>
      <c r="F54" s="27" t="s">
        <v>46</v>
      </c>
      <c r="G54" s="27" t="s">
        <v>34</v>
      </c>
      <c r="H54" s="20">
        <v>48</v>
      </c>
      <c r="I54" s="20">
        <v>26</v>
      </c>
      <c r="J54" s="20">
        <v>19</v>
      </c>
      <c r="K54" s="20">
        <v>30</v>
      </c>
      <c r="L54" s="20">
        <v>28</v>
      </c>
      <c r="M54" s="20">
        <v>30</v>
      </c>
      <c r="N54" s="20">
        <v>73</v>
      </c>
      <c r="O54" s="20">
        <v>42</v>
      </c>
      <c r="Q54" s="36" t="s">
        <v>121</v>
      </c>
    </row>
    <row r="55" spans="1:17" ht="24.75" customHeight="1" x14ac:dyDescent="0.25">
      <c r="A55" s="25"/>
      <c r="B55" s="26"/>
      <c r="C55" s="26"/>
      <c r="D55" s="27"/>
      <c r="E55" s="27"/>
      <c r="F55" s="27"/>
      <c r="G55" s="27"/>
      <c r="H55" s="20">
        <v>98</v>
      </c>
      <c r="I55" s="20">
        <v>108</v>
      </c>
      <c r="J55" s="20">
        <v>70</v>
      </c>
      <c r="K55" s="20">
        <v>66</v>
      </c>
      <c r="L55" s="20">
        <v>25</v>
      </c>
      <c r="M55" s="20">
        <v>20</v>
      </c>
      <c r="N55" s="20">
        <v>97</v>
      </c>
      <c r="Q55" s="36" t="s">
        <v>122</v>
      </c>
    </row>
    <row r="56" spans="1:17" ht="24.75" customHeight="1" x14ac:dyDescent="0.25">
      <c r="H56" s="27">
        <v>40</v>
      </c>
      <c r="I56" s="27">
        <v>48</v>
      </c>
      <c r="J56" s="27">
        <v>62</v>
      </c>
      <c r="K56" s="27">
        <v>20</v>
      </c>
      <c r="L56" s="27">
        <v>15</v>
      </c>
      <c r="M56" s="27">
        <v>112</v>
      </c>
      <c r="N56" s="27">
        <v>106</v>
      </c>
      <c r="O56" s="27">
        <v>112</v>
      </c>
      <c r="P56" s="27">
        <v>74</v>
      </c>
      <c r="Q56" s="36" t="s">
        <v>123</v>
      </c>
    </row>
    <row r="57" spans="1:17" ht="24.75" customHeight="1" x14ac:dyDescent="0.25">
      <c r="A57" s="28"/>
      <c r="B57" s="29"/>
      <c r="C57" s="28"/>
      <c r="D57" s="28"/>
      <c r="E57" s="30"/>
      <c r="F57" s="28"/>
      <c r="G57" s="31"/>
      <c r="H57" s="32">
        <v>42</v>
      </c>
      <c r="I57" s="32">
        <v>48</v>
      </c>
      <c r="J57" s="32">
        <v>63</v>
      </c>
      <c r="K57" s="32">
        <v>19</v>
      </c>
      <c r="L57" s="32">
        <v>13</v>
      </c>
      <c r="M57" s="32">
        <v>30</v>
      </c>
      <c r="N57" s="32">
        <v>28</v>
      </c>
      <c r="O57" s="32">
        <v>30</v>
      </c>
      <c r="P57" s="32">
        <v>73</v>
      </c>
      <c r="Q57" s="37" t="s">
        <v>124</v>
      </c>
    </row>
    <row r="58" spans="1:17" ht="24.75" customHeight="1" x14ac:dyDescent="0.25">
      <c r="A58" s="25" t="s">
        <v>91</v>
      </c>
      <c r="B58" s="26" t="s">
        <v>82</v>
      </c>
      <c r="C58" s="26" t="s">
        <v>73</v>
      </c>
      <c r="D58" s="27">
        <v>40</v>
      </c>
      <c r="E58" s="27">
        <v>56</v>
      </c>
      <c r="F58" s="27" t="s">
        <v>46</v>
      </c>
      <c r="G58" s="27" t="s">
        <v>32</v>
      </c>
      <c r="H58" s="20">
        <v>46</v>
      </c>
      <c r="I58" s="20">
        <v>25</v>
      </c>
      <c r="J58" s="20">
        <v>18</v>
      </c>
      <c r="K58" s="20">
        <v>28</v>
      </c>
      <c r="L58" s="20">
        <v>27</v>
      </c>
      <c r="M58" s="20">
        <v>28</v>
      </c>
      <c r="N58" s="20">
        <v>71</v>
      </c>
      <c r="O58" s="20">
        <v>44</v>
      </c>
      <c r="Q58" s="36" t="s">
        <v>121</v>
      </c>
    </row>
    <row r="59" spans="1:17" ht="24.75" customHeight="1" x14ac:dyDescent="0.25">
      <c r="A59" s="25"/>
      <c r="B59" s="26"/>
      <c r="C59" s="26"/>
      <c r="D59" s="27"/>
      <c r="E59" s="27"/>
      <c r="F59" s="27"/>
      <c r="G59" s="27"/>
      <c r="H59" s="20">
        <v>85</v>
      </c>
      <c r="I59" s="20">
        <v>105</v>
      </c>
      <c r="J59" s="20">
        <v>68</v>
      </c>
      <c r="K59" s="20">
        <v>32</v>
      </c>
      <c r="L59" s="20">
        <v>26</v>
      </c>
      <c r="M59" s="20">
        <v>18</v>
      </c>
      <c r="N59" s="20">
        <v>96</v>
      </c>
      <c r="Q59" s="36" t="s">
        <v>122</v>
      </c>
    </row>
    <row r="60" spans="1:17" ht="24.75" customHeight="1" x14ac:dyDescent="0.25">
      <c r="H60" s="27">
        <v>44</v>
      </c>
      <c r="I60" s="27">
        <v>46</v>
      </c>
      <c r="J60" s="27">
        <v>60</v>
      </c>
      <c r="K60" s="27">
        <v>19</v>
      </c>
      <c r="L60" s="27">
        <v>14</v>
      </c>
      <c r="M60" s="27">
        <v>95</v>
      </c>
      <c r="N60" s="27">
        <v>90</v>
      </c>
      <c r="O60" s="27">
        <v>105</v>
      </c>
      <c r="P60" s="27">
        <v>71</v>
      </c>
      <c r="Q60" s="36" t="s">
        <v>123</v>
      </c>
    </row>
    <row r="61" spans="1:17" ht="24.75" customHeight="1" x14ac:dyDescent="0.25">
      <c r="A61" s="28"/>
      <c r="B61" s="29"/>
      <c r="C61" s="28"/>
      <c r="D61" s="28"/>
      <c r="E61" s="30"/>
      <c r="F61" s="28"/>
      <c r="G61" s="31"/>
      <c r="H61" s="32">
        <v>44</v>
      </c>
      <c r="I61" s="32">
        <v>46</v>
      </c>
      <c r="J61" s="32">
        <v>61</v>
      </c>
      <c r="K61" s="32">
        <v>18</v>
      </c>
      <c r="L61" s="32">
        <v>12</v>
      </c>
      <c r="M61" s="32">
        <v>28</v>
      </c>
      <c r="N61" s="32">
        <v>27</v>
      </c>
      <c r="O61" s="32">
        <v>28</v>
      </c>
      <c r="P61" s="32">
        <v>71</v>
      </c>
      <c r="Q61" s="37" t="s">
        <v>124</v>
      </c>
    </row>
    <row r="62" spans="1:17" ht="24.75" customHeight="1" x14ac:dyDescent="0.25">
      <c r="A62" s="25" t="s">
        <v>92</v>
      </c>
      <c r="B62" s="26" t="s">
        <v>81</v>
      </c>
      <c r="C62" s="26" t="s">
        <v>73</v>
      </c>
      <c r="D62" s="27">
        <v>41</v>
      </c>
      <c r="E62" s="27">
        <v>57</v>
      </c>
      <c r="F62" s="27" t="s">
        <v>80</v>
      </c>
      <c r="G62" s="27" t="s">
        <v>32</v>
      </c>
      <c r="H62" s="20">
        <v>45</v>
      </c>
      <c r="I62" s="20">
        <v>25</v>
      </c>
      <c r="J62" s="20">
        <v>17</v>
      </c>
      <c r="K62" s="20">
        <v>29</v>
      </c>
      <c r="L62" s="20">
        <v>28</v>
      </c>
      <c r="M62" s="20">
        <v>31</v>
      </c>
      <c r="N62" s="20">
        <v>67</v>
      </c>
      <c r="O62" s="20">
        <v>38</v>
      </c>
      <c r="Q62" s="36" t="s">
        <v>121</v>
      </c>
    </row>
    <row r="63" spans="1:17" ht="24.75" customHeight="1" x14ac:dyDescent="0.25">
      <c r="A63" s="25"/>
      <c r="B63" s="26"/>
      <c r="C63" s="26"/>
      <c r="D63" s="27"/>
      <c r="E63" s="27"/>
      <c r="F63" s="27"/>
      <c r="G63" s="27"/>
      <c r="H63" s="20">
        <v>80</v>
      </c>
      <c r="I63" s="20">
        <v>103</v>
      </c>
      <c r="J63" s="20">
        <v>67</v>
      </c>
      <c r="K63" s="20">
        <v>32</v>
      </c>
      <c r="L63" s="20">
        <v>24</v>
      </c>
      <c r="M63" s="20">
        <v>19</v>
      </c>
      <c r="N63" s="20">
        <v>95</v>
      </c>
      <c r="Q63" s="36" t="s">
        <v>122</v>
      </c>
    </row>
    <row r="64" spans="1:17" ht="24.75" customHeight="1" x14ac:dyDescent="0.25">
      <c r="H64" s="27">
        <v>38</v>
      </c>
      <c r="I64" s="27">
        <v>45</v>
      </c>
      <c r="J64" s="27">
        <v>57</v>
      </c>
      <c r="K64" s="27">
        <v>18</v>
      </c>
      <c r="L64" s="27">
        <v>15</v>
      </c>
      <c r="M64" s="27">
        <v>96</v>
      </c>
      <c r="N64" s="27">
        <v>98</v>
      </c>
      <c r="O64" s="27">
        <v>111</v>
      </c>
      <c r="P64" s="27">
        <v>67</v>
      </c>
      <c r="Q64" s="36" t="s">
        <v>123</v>
      </c>
    </row>
    <row r="65" spans="1:17" ht="24.75" customHeight="1" x14ac:dyDescent="0.25">
      <c r="A65" s="28"/>
      <c r="B65" s="29"/>
      <c r="C65" s="28"/>
      <c r="D65" s="28"/>
      <c r="E65" s="30"/>
      <c r="F65" s="28"/>
      <c r="G65" s="31"/>
      <c r="H65" s="32"/>
      <c r="I65" s="32"/>
      <c r="J65" s="32"/>
      <c r="K65" s="32"/>
      <c r="L65" s="32"/>
      <c r="M65" s="32"/>
      <c r="N65" s="32"/>
      <c r="O65" s="32"/>
      <c r="P65" s="32"/>
      <c r="Q65" s="37" t="s">
        <v>124</v>
      </c>
    </row>
    <row r="66" spans="1:17" ht="24.75" customHeight="1" x14ac:dyDescent="0.25">
      <c r="A66" s="25" t="s">
        <v>109</v>
      </c>
      <c r="B66" s="26" t="s">
        <v>102</v>
      </c>
      <c r="C66" s="26" t="s">
        <v>73</v>
      </c>
      <c r="D66" s="27">
        <v>42</v>
      </c>
      <c r="E66" s="27">
        <v>58</v>
      </c>
      <c r="F66" s="27" t="s">
        <v>46</v>
      </c>
      <c r="G66" s="27" t="s">
        <v>34</v>
      </c>
      <c r="H66" s="20">
        <v>46</v>
      </c>
      <c r="I66" s="20">
        <v>25</v>
      </c>
      <c r="J66" s="20">
        <v>18</v>
      </c>
      <c r="K66" s="20">
        <v>30</v>
      </c>
      <c r="L66" s="20">
        <v>30</v>
      </c>
      <c r="M66" s="20">
        <v>30</v>
      </c>
      <c r="N66" s="20">
        <v>73</v>
      </c>
      <c r="O66" s="20">
        <v>42</v>
      </c>
      <c r="Q66" s="36" t="s">
        <v>121</v>
      </c>
    </row>
    <row r="67" spans="1:17" ht="24.75" customHeight="1" x14ac:dyDescent="0.25">
      <c r="A67" s="25"/>
      <c r="B67" s="26"/>
      <c r="C67" s="26"/>
      <c r="D67" s="27"/>
      <c r="E67" s="27"/>
      <c r="F67" s="27"/>
      <c r="G67" s="27"/>
      <c r="H67" s="20">
        <v>99</v>
      </c>
      <c r="I67" s="20">
        <v>115</v>
      </c>
      <c r="J67" s="20">
        <v>72</v>
      </c>
      <c r="K67" s="20">
        <v>36</v>
      </c>
      <c r="L67" s="20">
        <v>26</v>
      </c>
      <c r="M67" s="20">
        <v>21</v>
      </c>
      <c r="N67" s="20">
        <v>96</v>
      </c>
      <c r="Q67" s="36" t="s">
        <v>122</v>
      </c>
    </row>
    <row r="68" spans="1:17" ht="24.75" customHeight="1" x14ac:dyDescent="0.25">
      <c r="H68" s="27">
        <v>42</v>
      </c>
      <c r="I68" s="27">
        <v>46</v>
      </c>
      <c r="J68" s="27">
        <v>60</v>
      </c>
      <c r="K68" s="27">
        <v>19</v>
      </c>
      <c r="L68" s="27">
        <v>15</v>
      </c>
      <c r="M68" s="27">
        <v>113</v>
      </c>
      <c r="N68" s="27">
        <v>113</v>
      </c>
      <c r="O68" s="27">
        <v>118</v>
      </c>
      <c r="P68" s="27">
        <v>74</v>
      </c>
      <c r="Q68" s="36" t="s">
        <v>123</v>
      </c>
    </row>
    <row r="69" spans="1:17" ht="24.75" customHeight="1" x14ac:dyDescent="0.25">
      <c r="A69" s="28"/>
      <c r="B69" s="29"/>
      <c r="C69" s="28"/>
      <c r="D69" s="28"/>
      <c r="E69" s="30"/>
      <c r="F69" s="28"/>
      <c r="G69" s="31"/>
      <c r="H69" s="32"/>
      <c r="I69" s="32"/>
      <c r="J69" s="32"/>
      <c r="K69" s="32"/>
      <c r="L69" s="32"/>
      <c r="M69" s="32"/>
      <c r="N69" s="32"/>
      <c r="O69" s="32"/>
      <c r="P69" s="32"/>
      <c r="Q69" s="37" t="s">
        <v>124</v>
      </c>
    </row>
    <row r="70" spans="1:17" ht="24.75" customHeight="1" x14ac:dyDescent="0.25">
      <c r="A70" s="25" t="s">
        <v>110</v>
      </c>
      <c r="B70" s="26" t="s">
        <v>104</v>
      </c>
      <c r="C70" s="26" t="s">
        <v>73</v>
      </c>
      <c r="D70" s="27">
        <v>43</v>
      </c>
      <c r="E70" s="27">
        <v>58</v>
      </c>
      <c r="F70" s="27" t="s">
        <v>46</v>
      </c>
      <c r="G70" s="27" t="s">
        <v>34</v>
      </c>
      <c r="H70" s="20">
        <v>48</v>
      </c>
      <c r="I70" s="20">
        <v>25</v>
      </c>
      <c r="J70" s="20">
        <v>19</v>
      </c>
      <c r="K70" s="20">
        <v>29</v>
      </c>
      <c r="L70" s="20">
        <v>28</v>
      </c>
      <c r="M70" s="20">
        <v>29</v>
      </c>
      <c r="N70" s="20">
        <v>40</v>
      </c>
      <c r="O70" s="20">
        <v>75</v>
      </c>
      <c r="Q70" s="36" t="s">
        <v>121</v>
      </c>
    </row>
    <row r="71" spans="1:17" ht="24.75" customHeight="1" x14ac:dyDescent="0.25">
      <c r="A71" s="25"/>
      <c r="B71" s="26"/>
      <c r="C71" s="26"/>
      <c r="D71" s="27"/>
      <c r="E71" s="27"/>
      <c r="F71" s="27"/>
      <c r="G71" s="27"/>
      <c r="H71" s="20">
        <v>95</v>
      </c>
      <c r="I71" s="20">
        <v>109</v>
      </c>
      <c r="J71" s="20">
        <v>72</v>
      </c>
      <c r="K71" s="20">
        <v>35</v>
      </c>
      <c r="L71" s="20">
        <v>27</v>
      </c>
      <c r="M71" s="20">
        <v>22</v>
      </c>
      <c r="N71" s="20">
        <v>104</v>
      </c>
      <c r="Q71" s="36" t="s">
        <v>122</v>
      </c>
    </row>
    <row r="72" spans="1:17" ht="24.75" customHeight="1" x14ac:dyDescent="0.25">
      <c r="H72" s="27">
        <v>75</v>
      </c>
      <c r="I72" s="27">
        <v>50</v>
      </c>
      <c r="J72" s="27">
        <v>59</v>
      </c>
      <c r="K72" s="27">
        <v>20</v>
      </c>
      <c r="L72" s="27">
        <v>16</v>
      </c>
      <c r="M72" s="27">
        <v>104</v>
      </c>
      <c r="N72" s="27">
        <v>99</v>
      </c>
      <c r="O72" s="27">
        <v>114</v>
      </c>
      <c r="P72" s="27">
        <v>40</v>
      </c>
      <c r="Q72" s="36" t="s">
        <v>123</v>
      </c>
    </row>
    <row r="73" spans="1:17" ht="24.75" customHeight="1" x14ac:dyDescent="0.25">
      <c r="A73" s="28"/>
      <c r="B73" s="29"/>
      <c r="C73" s="28"/>
      <c r="D73" s="28"/>
      <c r="E73" s="30"/>
      <c r="F73" s="28"/>
      <c r="G73" s="31"/>
      <c r="H73" s="32">
        <v>40</v>
      </c>
      <c r="I73" s="32">
        <v>50</v>
      </c>
      <c r="J73" s="32">
        <v>60</v>
      </c>
      <c r="K73" s="32">
        <v>20</v>
      </c>
      <c r="L73" s="32">
        <v>13</v>
      </c>
      <c r="M73" s="32">
        <v>29</v>
      </c>
      <c r="N73" s="32">
        <v>28</v>
      </c>
      <c r="O73" s="32">
        <v>29</v>
      </c>
      <c r="P73" s="32">
        <v>74</v>
      </c>
      <c r="Q73" s="37" t="s">
        <v>124</v>
      </c>
    </row>
    <row r="74" spans="1:17" ht="24.75" customHeight="1" x14ac:dyDescent="0.25">
      <c r="A74" s="25" t="s">
        <v>111</v>
      </c>
      <c r="B74" s="26" t="s">
        <v>105</v>
      </c>
      <c r="C74" s="26" t="s">
        <v>73</v>
      </c>
      <c r="D74" s="27">
        <v>42</v>
      </c>
      <c r="E74" s="27">
        <v>57</v>
      </c>
      <c r="F74" s="27" t="s">
        <v>46</v>
      </c>
      <c r="G74" s="27" t="s">
        <v>34</v>
      </c>
      <c r="H74" s="20">
        <v>48</v>
      </c>
      <c r="I74" s="20">
        <v>24</v>
      </c>
      <c r="J74" s="20">
        <v>18</v>
      </c>
      <c r="K74" s="20">
        <v>29</v>
      </c>
      <c r="L74" s="20">
        <v>28</v>
      </c>
      <c r="M74" s="20">
        <v>29</v>
      </c>
      <c r="N74" s="20">
        <v>40</v>
      </c>
      <c r="O74" s="20">
        <v>73</v>
      </c>
      <c r="Q74" s="36" t="s">
        <v>121</v>
      </c>
    </row>
    <row r="75" spans="1:17" ht="24.75" customHeight="1" x14ac:dyDescent="0.25">
      <c r="A75" s="25"/>
      <c r="B75" s="26"/>
      <c r="C75" s="26"/>
      <c r="D75" s="27"/>
      <c r="E75" s="27"/>
      <c r="F75" s="27"/>
      <c r="G75" s="27"/>
      <c r="H75" s="20">
        <v>92</v>
      </c>
      <c r="I75" s="20">
        <v>108</v>
      </c>
      <c r="J75" s="20">
        <v>70</v>
      </c>
      <c r="K75" s="20">
        <v>34</v>
      </c>
      <c r="L75" s="20">
        <v>27</v>
      </c>
      <c r="M75" s="20">
        <v>22</v>
      </c>
      <c r="N75" s="20">
        <v>99</v>
      </c>
      <c r="Q75" s="36" t="s">
        <v>122</v>
      </c>
    </row>
    <row r="76" spans="1:17" ht="24.75" customHeight="1" x14ac:dyDescent="0.25">
      <c r="H76" s="27">
        <v>73</v>
      </c>
      <c r="I76" s="27">
        <v>48</v>
      </c>
      <c r="J76" s="27">
        <v>56</v>
      </c>
      <c r="K76" s="27">
        <v>19</v>
      </c>
      <c r="L76" s="27">
        <v>16</v>
      </c>
      <c r="M76" s="27">
        <v>104</v>
      </c>
      <c r="N76" s="27">
        <v>98</v>
      </c>
      <c r="O76" s="27">
        <v>114</v>
      </c>
      <c r="P76" s="27">
        <v>40</v>
      </c>
      <c r="Q76" s="36" t="s">
        <v>123</v>
      </c>
    </row>
    <row r="77" spans="1:17" ht="24.75" customHeight="1" x14ac:dyDescent="0.25">
      <c r="A77" s="28"/>
      <c r="B77" s="29"/>
      <c r="C77" s="28"/>
      <c r="D77" s="28"/>
      <c r="E77" s="30"/>
      <c r="F77" s="28"/>
      <c r="G77" s="31"/>
      <c r="H77" s="32">
        <v>40</v>
      </c>
      <c r="I77" s="32">
        <v>48</v>
      </c>
      <c r="J77" s="32">
        <v>57</v>
      </c>
      <c r="K77" s="32">
        <v>19</v>
      </c>
      <c r="L77" s="32">
        <v>15</v>
      </c>
      <c r="M77" s="32">
        <v>29</v>
      </c>
      <c r="N77" s="32">
        <v>28</v>
      </c>
      <c r="O77" s="32">
        <v>29</v>
      </c>
      <c r="P77" s="32">
        <v>72</v>
      </c>
      <c r="Q77" s="37" t="s">
        <v>124</v>
      </c>
    </row>
    <row r="78" spans="1:17" ht="24.75" customHeight="1" x14ac:dyDescent="0.25">
      <c r="A78" s="25" t="s">
        <v>112</v>
      </c>
      <c r="B78" s="26" t="s">
        <v>106</v>
      </c>
      <c r="C78" s="26" t="s">
        <v>73</v>
      </c>
      <c r="D78" s="27">
        <v>42</v>
      </c>
      <c r="E78" s="27">
        <v>56</v>
      </c>
      <c r="F78" s="27" t="s">
        <v>46</v>
      </c>
      <c r="G78" s="27" t="s">
        <v>34</v>
      </c>
      <c r="H78" s="20">
        <v>46</v>
      </c>
      <c r="I78" s="20">
        <v>25</v>
      </c>
      <c r="J78" s="20">
        <v>17</v>
      </c>
      <c r="K78" s="20">
        <v>29</v>
      </c>
      <c r="L78" s="20">
        <v>27</v>
      </c>
      <c r="M78" s="20">
        <v>29</v>
      </c>
      <c r="N78" s="20">
        <v>70</v>
      </c>
      <c r="O78" s="20">
        <v>42</v>
      </c>
      <c r="Q78" s="36" t="s">
        <v>121</v>
      </c>
    </row>
    <row r="79" spans="1:17" ht="24.75" customHeight="1" x14ac:dyDescent="0.25">
      <c r="A79" s="25"/>
      <c r="B79" s="26"/>
      <c r="C79" s="26"/>
      <c r="D79" s="27"/>
      <c r="E79" s="27"/>
      <c r="F79" s="27"/>
      <c r="G79" s="27"/>
      <c r="H79" s="20">
        <v>94</v>
      </c>
      <c r="I79" s="20">
        <v>112</v>
      </c>
      <c r="J79" s="20">
        <v>67</v>
      </c>
      <c r="K79" s="20">
        <v>34</v>
      </c>
      <c r="L79" s="20">
        <v>25</v>
      </c>
      <c r="M79" s="20">
        <v>20</v>
      </c>
      <c r="N79" s="20">
        <v>96</v>
      </c>
      <c r="Q79" s="36" t="s">
        <v>122</v>
      </c>
    </row>
    <row r="80" spans="1:17" ht="24.75" customHeight="1" x14ac:dyDescent="0.25">
      <c r="H80" s="27">
        <v>42</v>
      </c>
      <c r="I80" s="27">
        <v>46</v>
      </c>
      <c r="J80" s="27">
        <v>58</v>
      </c>
      <c r="K80" s="27">
        <v>19</v>
      </c>
      <c r="L80" s="27">
        <v>14</v>
      </c>
      <c r="M80" s="27">
        <v>106</v>
      </c>
      <c r="N80" s="27">
        <v>106</v>
      </c>
      <c r="O80" s="27">
        <v>115</v>
      </c>
      <c r="P80" s="27">
        <v>71</v>
      </c>
      <c r="Q80" s="36" t="s">
        <v>123</v>
      </c>
    </row>
    <row r="81" spans="1:17" ht="24.75" customHeight="1" x14ac:dyDescent="0.25">
      <c r="A81" s="28"/>
      <c r="B81" s="29"/>
      <c r="C81" s="28"/>
      <c r="D81" s="28"/>
      <c r="E81" s="30"/>
      <c r="F81" s="28"/>
      <c r="G81" s="31"/>
      <c r="H81" s="32">
        <v>42</v>
      </c>
      <c r="I81" s="32">
        <v>46</v>
      </c>
      <c r="J81" s="32">
        <v>50</v>
      </c>
      <c r="K81" s="32">
        <v>18</v>
      </c>
      <c r="L81" s="32">
        <v>13</v>
      </c>
      <c r="M81" s="32">
        <v>29</v>
      </c>
      <c r="N81" s="32">
        <v>27</v>
      </c>
      <c r="O81" s="32">
        <v>29</v>
      </c>
      <c r="P81" s="32">
        <v>71</v>
      </c>
      <c r="Q81" s="37" t="s">
        <v>124</v>
      </c>
    </row>
    <row r="82" spans="1:17" ht="24.75" customHeight="1" x14ac:dyDescent="0.25">
      <c r="A82" s="25" t="s">
        <v>113</v>
      </c>
      <c r="B82" s="26" t="s">
        <v>107</v>
      </c>
      <c r="C82" s="26" t="s">
        <v>73</v>
      </c>
      <c r="D82" s="27">
        <v>41</v>
      </c>
      <c r="E82" s="27">
        <v>57</v>
      </c>
      <c r="F82" s="27" t="s">
        <v>46</v>
      </c>
      <c r="G82" s="27" t="s">
        <v>32</v>
      </c>
      <c r="H82" s="20">
        <v>48</v>
      </c>
      <c r="I82" s="20">
        <v>24</v>
      </c>
      <c r="J82" s="20">
        <v>19</v>
      </c>
      <c r="K82" s="20">
        <v>30</v>
      </c>
      <c r="L82" s="20">
        <v>28</v>
      </c>
      <c r="M82" s="20">
        <v>30</v>
      </c>
      <c r="N82" s="20">
        <v>70</v>
      </c>
      <c r="O82" s="20">
        <v>40</v>
      </c>
      <c r="Q82" s="36" t="s">
        <v>121</v>
      </c>
    </row>
    <row r="83" spans="1:17" ht="24.75" customHeight="1" x14ac:dyDescent="0.25">
      <c r="A83" s="25"/>
      <c r="B83" s="26"/>
      <c r="C83" s="26"/>
      <c r="D83" s="27"/>
      <c r="E83" s="27"/>
      <c r="F83" s="27"/>
      <c r="G83" s="27"/>
      <c r="H83" s="20">
        <v>95</v>
      </c>
      <c r="I83" s="20">
        <v>116</v>
      </c>
      <c r="J83" s="20">
        <v>70</v>
      </c>
      <c r="K83" s="20">
        <v>35</v>
      </c>
      <c r="L83" s="20">
        <v>25</v>
      </c>
      <c r="M83" s="20">
        <v>21</v>
      </c>
      <c r="N83" s="20">
        <v>94</v>
      </c>
      <c r="Q83" s="36" t="s">
        <v>122</v>
      </c>
    </row>
    <row r="84" spans="1:17" ht="24.75" customHeight="1" x14ac:dyDescent="0.25">
      <c r="H84" s="27">
        <v>40</v>
      </c>
      <c r="I84" s="27">
        <v>48</v>
      </c>
      <c r="J84" s="27">
        <v>57</v>
      </c>
      <c r="K84" s="27">
        <v>20</v>
      </c>
      <c r="L84" s="27">
        <v>15</v>
      </c>
      <c r="M84" s="27">
        <v>104</v>
      </c>
      <c r="N84" s="27">
        <v>100</v>
      </c>
      <c r="O84" s="27">
        <v>114</v>
      </c>
      <c r="P84" s="27">
        <v>71</v>
      </c>
      <c r="Q84" s="36" t="s">
        <v>123</v>
      </c>
    </row>
    <row r="85" spans="1:17" ht="24.75" customHeight="1" x14ac:dyDescent="0.25">
      <c r="A85" s="28"/>
      <c r="B85" s="29"/>
      <c r="C85" s="28"/>
      <c r="D85" s="28"/>
      <c r="E85" s="30"/>
      <c r="F85" s="28"/>
      <c r="G85" s="31"/>
      <c r="H85" s="32">
        <v>40</v>
      </c>
      <c r="I85" s="32">
        <v>48</v>
      </c>
      <c r="J85" s="32">
        <v>57</v>
      </c>
      <c r="K85" s="32">
        <v>19</v>
      </c>
      <c r="L85" s="32">
        <v>13</v>
      </c>
      <c r="M85" s="32">
        <v>30</v>
      </c>
      <c r="N85" s="32">
        <v>28</v>
      </c>
      <c r="O85" s="32">
        <v>30</v>
      </c>
      <c r="P85" s="32">
        <v>70</v>
      </c>
      <c r="Q85" s="37" t="s">
        <v>124</v>
      </c>
    </row>
    <row r="86" spans="1:17" ht="24.75" customHeight="1" x14ac:dyDescent="0.25">
      <c r="A86" s="25" t="s">
        <v>114</v>
      </c>
      <c r="B86" s="26" t="s">
        <v>108</v>
      </c>
      <c r="C86" s="26" t="s">
        <v>73</v>
      </c>
      <c r="D86" s="27">
        <v>41</v>
      </c>
      <c r="E86" s="27">
        <v>55</v>
      </c>
      <c r="F86" s="27" t="s">
        <v>46</v>
      </c>
      <c r="G86" s="27" t="s">
        <v>31</v>
      </c>
      <c r="H86" s="20">
        <v>44</v>
      </c>
      <c r="I86" s="20">
        <v>25</v>
      </c>
      <c r="J86" s="20">
        <v>17</v>
      </c>
      <c r="K86" s="20">
        <v>26</v>
      </c>
      <c r="L86" s="20">
        <v>24</v>
      </c>
      <c r="M86" s="20">
        <v>26</v>
      </c>
      <c r="N86" s="20">
        <v>70</v>
      </c>
      <c r="O86" s="20">
        <v>39</v>
      </c>
      <c r="Q86" s="36" t="s">
        <v>121</v>
      </c>
    </row>
    <row r="87" spans="1:17" ht="24.75" customHeight="1" x14ac:dyDescent="0.25">
      <c r="A87" s="25"/>
      <c r="B87" s="26"/>
      <c r="C87" s="26"/>
      <c r="D87" s="27"/>
      <c r="E87" s="27"/>
      <c r="F87" s="27"/>
      <c r="G87" s="27"/>
      <c r="H87" s="20">
        <v>77</v>
      </c>
      <c r="I87" s="20">
        <v>97</v>
      </c>
      <c r="J87" s="20">
        <v>66</v>
      </c>
      <c r="K87" s="20">
        <v>32</v>
      </c>
      <c r="L87" s="20">
        <v>24</v>
      </c>
      <c r="M87" s="20">
        <v>19</v>
      </c>
      <c r="N87" s="20">
        <v>99</v>
      </c>
      <c r="Q87" s="36" t="s">
        <v>122</v>
      </c>
    </row>
    <row r="88" spans="1:17" ht="24.75" customHeight="1" x14ac:dyDescent="0.25">
      <c r="H88" s="27">
        <v>39</v>
      </c>
      <c r="I88" s="27">
        <v>44</v>
      </c>
      <c r="J88" s="27">
        <v>59</v>
      </c>
      <c r="K88" s="27">
        <v>19</v>
      </c>
      <c r="L88" s="27">
        <v>14</v>
      </c>
      <c r="M88" s="27">
        <v>99</v>
      </c>
      <c r="N88" s="27">
        <v>90</v>
      </c>
      <c r="O88" s="27">
        <v>103</v>
      </c>
      <c r="P88" s="27">
        <v>71</v>
      </c>
      <c r="Q88" s="36" t="s">
        <v>123</v>
      </c>
    </row>
    <row r="89" spans="1:17" ht="24.75" customHeight="1" x14ac:dyDescent="0.25">
      <c r="A89" s="28"/>
      <c r="B89" s="29"/>
      <c r="C89" s="28"/>
      <c r="D89" s="28"/>
      <c r="E89" s="30"/>
      <c r="F89" s="28"/>
      <c r="G89" s="31"/>
      <c r="H89" s="32">
        <v>39</v>
      </c>
      <c r="I89" s="32">
        <v>44</v>
      </c>
      <c r="J89" s="32">
        <v>60</v>
      </c>
      <c r="K89" s="32">
        <v>17</v>
      </c>
      <c r="L89" s="32">
        <v>12</v>
      </c>
      <c r="M89" s="32">
        <v>26</v>
      </c>
      <c r="N89" s="32">
        <v>24</v>
      </c>
      <c r="O89" s="32">
        <v>26</v>
      </c>
      <c r="P89" s="32">
        <v>70</v>
      </c>
      <c r="Q89" s="37" t="s">
        <v>124</v>
      </c>
    </row>
    <row r="90" spans="1:17" ht="24.75" customHeight="1" x14ac:dyDescent="0.25">
      <c r="A90" s="25" t="s">
        <v>118</v>
      </c>
      <c r="B90" s="26" t="s">
        <v>115</v>
      </c>
      <c r="C90" s="26" t="s">
        <v>73</v>
      </c>
      <c r="D90" s="27">
        <v>43</v>
      </c>
      <c r="E90" s="27">
        <v>60</v>
      </c>
      <c r="F90" s="27" t="s">
        <v>46</v>
      </c>
      <c r="G90" s="27" t="s">
        <v>33</v>
      </c>
      <c r="H90" s="20">
        <v>50</v>
      </c>
      <c r="I90" s="20">
        <v>26</v>
      </c>
      <c r="J90" s="20">
        <v>20</v>
      </c>
      <c r="K90" s="20">
        <v>31</v>
      </c>
      <c r="L90" s="20">
        <v>30</v>
      </c>
      <c r="M90" s="20">
        <v>31</v>
      </c>
      <c r="N90" s="20">
        <v>73</v>
      </c>
      <c r="O90" s="20">
        <v>46</v>
      </c>
      <c r="Q90" s="36" t="s">
        <v>121</v>
      </c>
    </row>
    <row r="91" spans="1:17" ht="24.75" customHeight="1" x14ac:dyDescent="0.25">
      <c r="A91" s="25"/>
      <c r="B91" s="26"/>
      <c r="C91" s="26"/>
      <c r="D91" s="27"/>
      <c r="E91" s="27"/>
      <c r="F91" s="27"/>
      <c r="G91" s="27"/>
      <c r="H91" s="20">
        <v>108</v>
      </c>
      <c r="I91" s="20">
        <v>120</v>
      </c>
      <c r="J91" s="20">
        <v>75</v>
      </c>
      <c r="K91" s="20">
        <v>37</v>
      </c>
      <c r="L91" s="20">
        <v>28</v>
      </c>
      <c r="M91" s="20">
        <v>23</v>
      </c>
      <c r="N91" s="20">
        <v>98</v>
      </c>
      <c r="Q91" s="36" t="s">
        <v>122</v>
      </c>
    </row>
    <row r="92" spans="1:17" ht="24.75" customHeight="1" x14ac:dyDescent="0.25">
      <c r="H92" s="27">
        <v>46</v>
      </c>
      <c r="I92" s="27">
        <v>50</v>
      </c>
      <c r="J92" s="27">
        <v>60</v>
      </c>
      <c r="K92" s="27">
        <v>21</v>
      </c>
      <c r="L92" s="27">
        <v>15</v>
      </c>
      <c r="M92" s="27">
        <v>125</v>
      </c>
      <c r="N92" s="27">
        <v>120</v>
      </c>
      <c r="O92" s="27">
        <v>124</v>
      </c>
      <c r="P92" s="27">
        <v>74</v>
      </c>
      <c r="Q92" s="36" t="s">
        <v>123</v>
      </c>
    </row>
    <row r="93" spans="1:17" ht="24.75" customHeight="1" x14ac:dyDescent="0.25">
      <c r="A93" s="28"/>
      <c r="B93" s="29"/>
      <c r="C93" s="28"/>
      <c r="D93" s="28"/>
      <c r="E93" s="30"/>
      <c r="F93" s="28"/>
      <c r="G93" s="31"/>
      <c r="H93" s="32">
        <v>46</v>
      </c>
      <c r="I93" s="32">
        <v>50</v>
      </c>
      <c r="J93" s="32">
        <v>61</v>
      </c>
      <c r="K93" s="32">
        <v>20</v>
      </c>
      <c r="L93" s="32">
        <v>13</v>
      </c>
      <c r="M93" s="32">
        <v>31</v>
      </c>
      <c r="N93" s="32">
        <v>30</v>
      </c>
      <c r="O93" s="32">
        <v>31</v>
      </c>
      <c r="P93" s="32">
        <v>73</v>
      </c>
      <c r="Q93" s="37" t="s">
        <v>124</v>
      </c>
    </row>
    <row r="94" spans="1:17" ht="24.75" customHeight="1" x14ac:dyDescent="0.25">
      <c r="A94" s="25" t="s">
        <v>119</v>
      </c>
      <c r="B94" s="26" t="s">
        <v>116</v>
      </c>
      <c r="C94" s="26" t="s">
        <v>73</v>
      </c>
      <c r="D94" s="27">
        <v>41</v>
      </c>
      <c r="E94" s="27">
        <v>57</v>
      </c>
      <c r="F94" s="27" t="s">
        <v>46</v>
      </c>
      <c r="G94" s="27" t="s">
        <v>34</v>
      </c>
      <c r="H94" s="20">
        <v>46</v>
      </c>
      <c r="I94" s="20">
        <v>26</v>
      </c>
      <c r="J94" s="20">
        <v>17</v>
      </c>
      <c r="K94" s="20">
        <v>28</v>
      </c>
      <c r="L94" s="20">
        <v>26</v>
      </c>
      <c r="M94" s="20">
        <v>28</v>
      </c>
      <c r="N94" s="20">
        <v>72</v>
      </c>
      <c r="O94" s="20">
        <v>42</v>
      </c>
      <c r="Q94" s="36" t="s">
        <v>121</v>
      </c>
    </row>
    <row r="95" spans="1:17" ht="24.75" customHeight="1" x14ac:dyDescent="0.25">
      <c r="A95" s="25"/>
      <c r="B95" s="26"/>
      <c r="C95" s="26"/>
      <c r="D95" s="27"/>
      <c r="E95" s="27"/>
      <c r="F95" s="27"/>
      <c r="G95" s="27"/>
      <c r="H95" s="20">
        <v>88</v>
      </c>
      <c r="I95" s="20">
        <v>104</v>
      </c>
      <c r="J95" s="20">
        <v>72</v>
      </c>
      <c r="K95" s="20">
        <v>34</v>
      </c>
      <c r="L95" s="20">
        <v>27</v>
      </c>
      <c r="M95" s="20">
        <v>22</v>
      </c>
      <c r="N95" s="20">
        <v>98</v>
      </c>
      <c r="Q95" s="36" t="s">
        <v>122</v>
      </c>
    </row>
    <row r="96" spans="1:17" ht="24.75" customHeight="1" x14ac:dyDescent="0.25">
      <c r="H96" s="27">
        <v>42</v>
      </c>
      <c r="I96" s="27">
        <v>46</v>
      </c>
      <c r="J96" s="27">
        <v>60</v>
      </c>
      <c r="K96" s="27">
        <v>19</v>
      </c>
      <c r="L96" s="27">
        <v>14</v>
      </c>
      <c r="M96" s="27">
        <v>100</v>
      </c>
      <c r="N96" s="27">
        <v>96</v>
      </c>
      <c r="O96" s="27">
        <v>104</v>
      </c>
      <c r="P96" s="27">
        <v>73</v>
      </c>
      <c r="Q96" s="36" t="s">
        <v>123</v>
      </c>
    </row>
    <row r="97" spans="1:17" ht="24.75" customHeight="1" x14ac:dyDescent="0.25">
      <c r="A97" s="28"/>
      <c r="B97" s="29"/>
      <c r="C97" s="28"/>
      <c r="D97" s="28"/>
      <c r="E97" s="30"/>
      <c r="F97" s="28"/>
      <c r="G97" s="31"/>
      <c r="H97" s="32">
        <v>42</v>
      </c>
      <c r="I97" s="32">
        <v>46</v>
      </c>
      <c r="J97" s="32">
        <v>61</v>
      </c>
      <c r="K97" s="32">
        <v>17</v>
      </c>
      <c r="L97" s="32">
        <v>12</v>
      </c>
      <c r="M97" s="32">
        <v>28</v>
      </c>
      <c r="N97" s="32">
        <v>26</v>
      </c>
      <c r="O97" s="32">
        <v>28</v>
      </c>
      <c r="P97" s="32">
        <v>72</v>
      </c>
      <c r="Q97" s="37" t="s">
        <v>124</v>
      </c>
    </row>
    <row r="98" spans="1:17" ht="24.75" customHeight="1" x14ac:dyDescent="0.25">
      <c r="A98" s="25" t="s">
        <v>120</v>
      </c>
      <c r="B98" s="26" t="s">
        <v>117</v>
      </c>
      <c r="C98" s="26" t="s">
        <v>73</v>
      </c>
      <c r="D98" s="27">
        <v>42</v>
      </c>
      <c r="E98" s="27">
        <v>59</v>
      </c>
      <c r="F98" s="27" t="s">
        <v>46</v>
      </c>
      <c r="G98" s="27" t="s">
        <v>32</v>
      </c>
      <c r="H98" s="20">
        <v>48</v>
      </c>
      <c r="I98" s="20">
        <v>26</v>
      </c>
      <c r="J98" s="20">
        <v>19</v>
      </c>
      <c r="K98" s="20">
        <v>30</v>
      </c>
      <c r="L98" s="20">
        <v>28</v>
      </c>
      <c r="M98" s="20">
        <v>30</v>
      </c>
      <c r="N98" s="20">
        <v>71</v>
      </c>
      <c r="O98" s="20">
        <v>43</v>
      </c>
      <c r="Q98" s="36" t="s">
        <v>121</v>
      </c>
    </row>
    <row r="99" spans="1:17" ht="24.75" customHeight="1" x14ac:dyDescent="0.25">
      <c r="A99" s="25"/>
      <c r="B99" s="26"/>
      <c r="C99" s="26"/>
      <c r="D99" s="27"/>
      <c r="E99" s="27"/>
      <c r="F99" s="27"/>
      <c r="G99" s="27"/>
      <c r="H99" s="20">
        <v>97</v>
      </c>
      <c r="I99" s="20">
        <v>121</v>
      </c>
      <c r="J99" s="20">
        <v>70</v>
      </c>
      <c r="K99" s="20">
        <v>36</v>
      </c>
      <c r="L99" s="20">
        <v>26</v>
      </c>
      <c r="M99" s="20">
        <v>21</v>
      </c>
      <c r="N99" s="20">
        <v>98</v>
      </c>
      <c r="Q99" s="36" t="s">
        <v>122</v>
      </c>
    </row>
    <row r="100" spans="1:17" ht="24.75" customHeight="1" x14ac:dyDescent="0.25">
      <c r="H100" s="27">
        <v>43</v>
      </c>
      <c r="I100" s="27">
        <v>48</v>
      </c>
      <c r="J100" s="27">
        <v>58</v>
      </c>
      <c r="K100" s="27">
        <v>20</v>
      </c>
      <c r="L100" s="27">
        <v>15</v>
      </c>
      <c r="M100" s="27">
        <v>115</v>
      </c>
      <c r="N100" s="27">
        <v>110</v>
      </c>
      <c r="O100" s="27">
        <v>123</v>
      </c>
      <c r="P100" s="27">
        <v>72</v>
      </c>
      <c r="Q100" s="36" t="s">
        <v>123</v>
      </c>
    </row>
    <row r="101" spans="1:17" ht="24.75" customHeight="1" x14ac:dyDescent="0.25">
      <c r="A101" s="28"/>
      <c r="B101" s="29"/>
      <c r="C101" s="28"/>
      <c r="D101" s="28"/>
      <c r="E101" s="30"/>
      <c r="F101" s="28"/>
      <c r="G101" s="31"/>
      <c r="H101" s="32">
        <v>43</v>
      </c>
      <c r="I101" s="32">
        <v>48</v>
      </c>
      <c r="J101" s="32">
        <v>59</v>
      </c>
      <c r="K101" s="32">
        <v>19</v>
      </c>
      <c r="L101" s="32">
        <v>13</v>
      </c>
      <c r="M101" s="32">
        <v>30</v>
      </c>
      <c r="N101" s="32">
        <v>28</v>
      </c>
      <c r="O101" s="32">
        <v>30</v>
      </c>
      <c r="P101" s="32">
        <v>71</v>
      </c>
      <c r="Q101" s="37" t="s">
        <v>124</v>
      </c>
    </row>
  </sheetData>
  <phoneticPr fontId="20" type="noConversion"/>
  <pageMargins left="0.27559055118110237" right="3.937007874015748E-2" top="0.51" bottom="0.11811023622047245" header="0.23622047244094491" footer="0.31"/>
  <pageSetup paperSize="9" scale="90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REKAP</vt:lpstr>
      <vt:lpstr>CETAK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2021-06-08T04:01:32Z</cp:lastPrinted>
  <dcterms:created xsi:type="dcterms:W3CDTF">2016-10-31T03:59:44Z</dcterms:created>
  <dcterms:modified xsi:type="dcterms:W3CDTF">2021-06-08T04:14:02Z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