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E00669AA-7549-4E2E-A37C-41223A90E49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5" i="1" l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I126" i="1"/>
  <c r="I125" i="1"/>
</calcChain>
</file>

<file path=xl/sharedStrings.xml><?xml version="1.0" encoding="utf-8"?>
<sst xmlns="http://schemas.openxmlformats.org/spreadsheetml/2006/main" count="1075" uniqueCount="341">
  <si>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</si>
  <si>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</si>
  <si>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</si>
  <si>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</si>
  <si>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</si>
  <si>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</si>
  <si>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</si>
  <si>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</si>
  <si>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</si>
  <si>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</si>
  <si>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</si>
  <si>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</si>
  <si>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</si>
  <si>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</si>
  <si>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</si>
  <si>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</si>
  <si>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</si>
  <si>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</si>
  <si>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</si>
  <si>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</si>
  <si>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</si>
  <si>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</si>
  <si>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</si>
  <si>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</si>
  <si>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</si>
  <si>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</si>
  <si>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</si>
  <si>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</si>
  <si>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</si>
  <si>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</si>
  <si>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</si>
  <si>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</si>
  <si>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</si>
  <si>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</si>
  <si>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</si>
  <si>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</si>
  <si>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</si>
  <si>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</si>
  <si>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</si>
  <si>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</si>
  <si>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</si>
  <si>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</si>
  <si>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</si>
  <si>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</si>
  <si>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</si>
  <si>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</si>
  <si>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</si>
  <si>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</si>
  <si>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</si>
  <si>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</si>
  <si>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</si>
  <si>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</si>
  <si>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</si>
  <si>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</si>
  <si>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</si>
  <si>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</si>
  <si>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</si>
  <si>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</si>
  <si>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</si>
  <si>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</si>
  <si>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</si>
  <si>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</si>
  <si>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</si>
  <si>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</si>
  <si>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</si>
  <si>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</si>
  <si>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</si>
  <si>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</si>
  <si>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</si>
  <si>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</si>
  <si>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</si>
  <si>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</si>
  <si>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</si>
  <si>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</si>
  <si>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</si>
  <si>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</si>
  <si>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</si>
  <si>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</si>
  <si>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</si>
  <si>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</si>
  <si>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</si>
  <si>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</si>
  <si>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</si>
  <si>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</si>
  <si>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</si>
  <si>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</si>
  <si>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</si>
  <si>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</si>
  <si>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</si>
  <si>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</si>
  <si>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</si>
  <si>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</si>
  <si>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</si>
  <si>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</si>
  <si>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</si>
  <si>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</si>
  <si>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</si>
  <si>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</si>
  <si>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</si>
  <si>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</si>
  <si>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</si>
  <si>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</si>
  <si>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</si>
  <si>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</si>
  <si>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</si>
  <si>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</si>
  <si>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</si>
  <si>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</si>
  <si>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</si>
  <si>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</si>
  <si>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</si>
  <si>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</si>
  <si>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</si>
  <si>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</si>
  <si>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</si>
  <si>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</si>
  <si>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</si>
  <si>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</si>
  <si>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</si>
  <si>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</si>
  <si>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</si>
  <si>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</si>
  <si>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</si>
  <si>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</si>
  <si>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</si>
  <si>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</si>
  <si>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</si>
  <si>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</si>
  <si>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</si>
  <si>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</si>
  <si>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</si>
  <si>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</si>
  <si>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</si>
  <si>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</si>
  <si>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</si>
  <si>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</si>
  <si>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</si>
  <si>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</si>
  <si>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</si>
  <si>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</si>
  <si>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</si>
  <si>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</si>
  <si>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</si>
  <si>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</si>
  <si>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</si>
  <si>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</si>
  <si>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</si>
  <si>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</si>
  <si>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</si>
  <si>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</si>
  <si>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</si>
  <si>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</si>
  <si>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</si>
  <si>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</si>
  <si>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</si>
  <si>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</si>
  <si>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</si>
  <si>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</si>
  <si>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</si>
  <si>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</si>
  <si>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</si>
  <si>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</si>
  <si>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</si>
  <si>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</si>
  <si>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</si>
  <si>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</si>
  <si>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</si>
  <si>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</si>
  <si>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</si>
  <si>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</si>
  <si>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</si>
  <si>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</si>
  <si>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</si>
  <si>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</si>
  <si>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</si>
  <si>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</si>
  <si>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</si>
  <si>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</si>
  <si>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</si>
  <si>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</si>
  <si>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</si>
  <si>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</si>
  <si>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</si>
  <si>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</si>
  <si>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</si>
  <si>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</si>
  <si>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</si>
  <si>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</si>
  <si>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</si>
  <si>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</si>
  <si>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</si>
  <si>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</si>
  <si>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</si>
  <si>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</si>
  <si>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</si>
  <si>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</si>
  <si>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</si>
  <si>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</si>
  <si>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</si>
  <si>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</si>
  <si>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</si>
  <si>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</si>
  <si>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</si>
  <si>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</si>
  <si>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</si>
  <si>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</si>
  <si>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</si>
  <si>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</si>
  <si>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</si>
  <si>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</si>
  <si>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</si>
  <si>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</si>
  <si>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</si>
  <si>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</si>
  <si>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</si>
  <si>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</si>
  <si>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</si>
  <si>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</si>
  <si>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</si>
  <si>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</si>
  <si>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</si>
  <si>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</si>
  <si>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</si>
  <si>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</si>
  <si>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</si>
  <si>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</si>
  <si>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</si>
  <si>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</si>
  <si>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</si>
  <si>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</si>
  <si>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</si>
  <si>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</si>
  <si>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</si>
  <si>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</si>
  <si>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</si>
  <si>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47</t>
  </si>
  <si>
    <t>59</t>
  </si>
  <si>
    <t>20</t>
  </si>
  <si>
    <t>15</t>
  </si>
  <si>
    <t>110</t>
  </si>
  <si>
    <t>105</t>
  </si>
  <si>
    <t>116</t>
  </si>
  <si>
    <t>73</t>
  </si>
  <si>
    <t>43</t>
  </si>
  <si>
    <t>60</t>
  </si>
  <si>
    <t>19</t>
  </si>
  <si>
    <t>13</t>
  </si>
  <si>
    <t>31</t>
  </si>
  <si>
    <t>29</t>
  </si>
  <si>
    <t>25</t>
  </si>
  <si>
    <t>72</t>
  </si>
  <si>
    <t>94</t>
  </si>
  <si>
    <t>114</t>
  </si>
  <si>
    <t>71</t>
  </si>
  <si>
    <t>36</t>
  </si>
  <si>
    <t>26</t>
  </si>
  <si>
    <t>21</t>
  </si>
  <si>
    <t>97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</si>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</sst>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Font="1" applyBorder="1" applyAlignment="1">
      <alignment horizontal="left" vertical="center" inden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906387731484" createdVersion="7" refreshedVersion="7" minRefreshableVersion="3" recordCount="11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Blank="1" containsMixedTypes="1" containsNumber="1" containsInteger="1" minValue="40" maxValue="53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Blank="1" containsMixedTypes="1" containsNumber="1" containsInteger="1" minValue="17" maxValue="23"/>
    </cacheField>
    <cacheField name="UBN_4" numFmtId="49">
      <sharedItems containsBlank="1" containsMixedTypes="1" containsNumber="1" containsInteger="1" minValue="14" maxValue="16"/>
    </cacheField>
    <cacheField name="UBN_5" numFmtId="49">
      <sharedItems containsBlank="1" containsMixedTypes="1" containsNumber="1" containsInteger="1" minValue="86" maxValue="125"/>
    </cacheField>
    <cacheField name="UBN_6" numFmtId="49">
      <sharedItems containsBlank="1" containsMixedTypes="1" containsNumber="1" containsInteger="1" minValue="76" maxValue="125"/>
    </cacheField>
    <cacheField name="UBN_7" numFmtId="49">
      <sharedItems containsBlank="1" containsMixedTypes="1" containsNumber="1" containsInteger="1" minValue="96" maxValue="135"/>
    </cacheField>
    <cacheField name="UBN_8" numFmtId="49">
      <sharedItems containsBlank="1" containsMixedTypes="1" containsNumber="1" containsInteger="1" minValue="42" maxValue="78"/>
    </cacheField>
    <cacheField name="UBN_9" numFmtId="49">
      <sharedItems containsBlank="1" containsMixedTypes="1" containsNumber="1" containsInteger="1" minValue="36" maxValue="72"/>
    </cacheField>
    <cacheField name="UH_1" numFmtId="49">
      <sharedItems containsBlank="1" containsMixedTypes="1" containsNumber="1" containsInteger="1" minValue="42" maxValue="53"/>
    </cacheField>
    <cacheField name="UH_2" numFmtId="49">
      <sharedItems containsBlank="1" containsMixedTypes="1" containsNumber="1" containsInteger="1" minValue="55" maxValue="66"/>
    </cacheField>
    <cacheField name="UH_3" numFmtId="49">
      <sharedItems containsBlank="1" containsMixedTypes="1" containsNumber="1" containsInteger="1" minValue="16" maxValue="42"/>
    </cacheField>
    <cacheField name="UH_4" numFmtId="49">
      <sharedItems containsBlank="1" containsMixedTypes="1" containsNumber="1" containsInteger="1" minValue="12" maxValue="32"/>
    </cacheField>
    <cacheField name="UH_5" numFmtId="49">
      <sharedItems containsBlank="1" containsMixedTypes="1" containsNumber="1" containsInteger="1" minValue="26" maxValue="35"/>
    </cacheField>
    <cacheField name="UH_6" numFmtId="49">
      <sharedItems containsBlank="1" containsMixedTypes="1" containsNumber="1" containsInteger="1" minValue="24" maxValue="35"/>
    </cacheField>
    <cacheField name="UH_7" numFmtId="49">
      <sharedItems containsBlank="1" containsMixedTypes="1" containsNumber="1" containsInteger="1" minValue="26" maxValue="35"/>
    </cacheField>
    <cacheField name="UH_8" numFmtId="49">
      <sharedItems containsBlank="1" containsMixedTypes="1" containsNumber="1" containsInteger="1" minValue="67" maxValue="78"/>
    </cacheField>
    <cacheField name="UH_9" numFmtId="49">
      <sharedItems containsBlank="1" containsMixedTypes="1" containsNumber="1" containsInteger="1" minValue="38" maxValue="72"/>
    </cacheField>
    <cacheField name="UB_1" numFmtId="49">
      <sharedItems containsBlank="1" containsMixedTypes="1" containsNumber="1" containsInteger="1" minValue="40" maxValue="53"/>
    </cacheField>
    <cacheField name="UB_2" numFmtId="49">
      <sharedItems containsBlank="1" containsMixedTypes="1" containsNumber="1" containsInteger="1" minValue="23" maxValue="29"/>
    </cacheField>
    <cacheField name="UB_3" numFmtId="49">
      <sharedItems containsBlank="1" containsMixedTypes="1" containsNumber="1" containsInteger="1" minValue="16" maxValue="22"/>
    </cacheField>
    <cacheField name="UB_4" numFmtId="49">
      <sharedItems containsBlank="1" containsMixedTypes="1" containsNumber="1" containsInteger="1" minValue="26" maxValue="292"/>
    </cacheField>
    <cacheField name="UB_5" numFmtId="49">
      <sharedItems containsBlank="1" containsMixedTypes="1" containsNumber="1" containsInteger="1" minValue="24" maxValue="35"/>
    </cacheField>
    <cacheField name="UB_6" numFmtId="49">
      <sharedItems containsBlank="1" containsMixedTypes="1" containsNumber="1" containsInteger="1" minValue="26" maxValue="35"/>
    </cacheField>
    <cacheField name="UB_7" numFmtId="49">
      <sharedItems containsBlank="1" containsMixedTypes="1" containsNumber="1" containsInteger="1" minValue="40" maxValue="78"/>
    </cacheField>
    <cacheField name="UB_8" numFmtId="49">
      <sharedItems containsBlank="1" containsMixedTypes="1" containsNumber="1" containsInteger="1" minValue="36" maxValue="76"/>
    </cacheField>
    <cacheField name="UC_1" numFmtId="49">
      <sharedItems containsBlank="1" containsMixedTypes="1" containsNumber="1" containsInteger="1" minValue="72" maxValue="117"/>
    </cacheField>
    <cacheField name="UC_2" numFmtId="49">
      <sharedItems containsBlank="1" containsMixedTypes="1" containsNumber="1" containsInteger="1" minValue="90" maxValue="130"/>
    </cacheField>
    <cacheField name="UC_3" numFmtId="49">
      <sharedItems containsBlank="1" containsMixedTypes="1" containsNumber="1" containsInteger="1" minValue="60" maxValue="80"/>
    </cacheField>
    <cacheField name="UC_4" numFmtId="49">
      <sharedItems containsBlank="1" containsMixedTypes="1" containsNumber="1" containsInteger="1" minValue="29" maxValue="40"/>
    </cacheField>
    <cacheField name="UC_5" numFmtId="49">
      <sharedItems containsBlank="1" containsMixedTypes="1" containsNumber="1" containsInteger="1" minValue="23" maxValue="30"/>
    </cacheField>
    <cacheField name="UC_6" numFmtId="49">
      <sharedItems containsBlank="1" containsMixedTypes="1" containsNumber="1" containsInteger="1" minValue="18" maxValue="24"/>
    </cacheField>
    <cacheField name="UC_7" numFmtId="49">
      <sharedItems containsBlank="1" containsMixedTypes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s v="47"/>
    <s v="59"/>
    <s v="20"/>
    <s v="15"/>
    <s v="110"/>
    <s v="105"/>
    <s v="116"/>
    <s v="73"/>
    <s v="43"/>
    <s v="47"/>
    <s v="60"/>
    <s v="19"/>
    <s v="13"/>
    <s v="31"/>
    <s v="29"/>
    <s v="31"/>
    <s v="73"/>
    <s v="43"/>
    <s v="47"/>
    <s v="25"/>
    <s v="19"/>
    <s v="31"/>
    <s v="29"/>
    <s v="31"/>
    <s v="72"/>
    <s v="43"/>
    <s v="94"/>
    <s v="114"/>
    <s v="71"/>
    <s v="36"/>
    <s v="26"/>
    <s v="21"/>
    <s v="97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m/>
    <m/>
    <m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m/>
    <m/>
    <m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m/>
    <m/>
    <m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m/>
    <m/>
    <m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m/>
    <m/>
    <m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m/>
    <m/>
    <m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m/>
    <m/>
    <m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m/>
    <m/>
    <m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m/>
    <m/>
    <m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m/>
    <m/>
    <m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m/>
    <m/>
    <m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m/>
    <m/>
    <m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m/>
    <m/>
    <m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m/>
    <m/>
    <m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m/>
    <m/>
    <m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m/>
    <m/>
    <m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m/>
    <m/>
    <m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m/>
    <m/>
    <m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m/>
    <m/>
    <m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m/>
    <m/>
    <m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m/>
    <m/>
    <m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m/>
    <m/>
    <m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m/>
    <m/>
    <m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m/>
    <m/>
    <m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m/>
    <m/>
    <m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m/>
    <m/>
    <m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m/>
    <m/>
    <m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m/>
    <m/>
    <m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m/>
    <m/>
    <m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m/>
    <m/>
    <m/>
    <m/>
    <m/>
    <m/>
    <m/>
    <m/>
    <m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4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2"/>
  <sheetViews>
    <sheetView tabSelected="1" zoomScale="70" zoomScaleNormal="70" workbookViewId="0">
      <pane ySplit="1" topLeftCell="A66" activePane="bottomLeft" state="frozen"/>
      <selection pane="bottomLeft" activeCell="A87" sqref="A87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20"/>
      <c r="AS2" s="18" t="s">
        <v>324</v>
      </c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20"/>
      <c r="AS3" s="18" t="s">
        <v>324</v>
      </c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20"/>
      <c r="AS4" s="18" t="s">
        <v>324</v>
      </c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20"/>
      <c r="AS5" s="18" t="s">
        <v>324</v>
      </c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123</v>
      </c>
      <c r="B6" s="49" t="s">
        <v>109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40">
        <v>28</v>
      </c>
      <c r="W6" s="40">
        <v>26</v>
      </c>
      <c r="X6" s="40">
        <v>28</v>
      </c>
      <c r="Y6" s="40">
        <v>78</v>
      </c>
      <c r="Z6" s="40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122</v>
      </c>
      <c r="AR6" s="6"/>
      <c r="AS6" s="18" t="s">
        <v>324</v>
      </c>
      <c r="AT6" s="6"/>
    </row>
    <row r="7" spans="1:1013" ht="30" customHeight="1" x14ac:dyDescent="0.25">
      <c r="A7" s="44" t="s">
        <v>124</v>
      </c>
      <c r="B7" s="49" t="s">
        <v>110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122</v>
      </c>
      <c r="AR7" s="6"/>
      <c r="AS7" s="18" t="s">
        <v>324</v>
      </c>
      <c r="AT7" s="6"/>
    </row>
    <row r="8" spans="1:1013" ht="30" customHeight="1" x14ac:dyDescent="0.25">
      <c r="A8" s="44" t="s">
        <v>125</v>
      </c>
      <c r="B8" s="49" t="s">
        <v>111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122</v>
      </c>
      <c r="AR8" s="6"/>
      <c r="AS8" s="18" t="s">
        <v>324</v>
      </c>
      <c r="AT8" s="6"/>
    </row>
    <row r="9" spans="1:1013" ht="30" customHeight="1" x14ac:dyDescent="0.25">
      <c r="A9" s="44" t="s">
        <v>126</v>
      </c>
      <c r="B9" s="49" t="s">
        <v>112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122</v>
      </c>
      <c r="AR9" s="6"/>
      <c r="AS9" s="18" t="s">
        <v>324</v>
      </c>
      <c r="AT9" s="6"/>
    </row>
    <row r="10" spans="1:1013" ht="30" customHeight="1" x14ac:dyDescent="0.25">
      <c r="A10" s="44" t="s">
        <v>127</v>
      </c>
      <c r="B10" s="49" t="s">
        <v>113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122</v>
      </c>
      <c r="AR10" s="6"/>
      <c r="AS10" s="18" t="s">
        <v>324</v>
      </c>
      <c r="AT10" s="6"/>
    </row>
    <row r="11" spans="1:1013" ht="30" customHeight="1" x14ac:dyDescent="0.25">
      <c r="A11" s="44" t="s">
        <v>128</v>
      </c>
      <c r="B11" s="49" t="s">
        <v>114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122</v>
      </c>
      <c r="AR11" s="6"/>
      <c r="AS11" s="18" t="s">
        <v>324</v>
      </c>
      <c r="AT11" s="6"/>
    </row>
    <row r="12" spans="1:1013" ht="30" customHeight="1" x14ac:dyDescent="0.25">
      <c r="A12" s="44" t="s">
        <v>129</v>
      </c>
      <c r="B12" s="49" t="s">
        <v>115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122</v>
      </c>
      <c r="AR12" s="6"/>
      <c r="AS12" s="18" t="s">
        <v>324</v>
      </c>
      <c r="AT12" s="6"/>
    </row>
    <row r="13" spans="1:1013" ht="30" customHeight="1" x14ac:dyDescent="0.25">
      <c r="A13" s="44" t="s">
        <v>130</v>
      </c>
      <c r="B13" s="49" t="s">
        <v>116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122</v>
      </c>
      <c r="AR13" s="6"/>
      <c r="AS13" s="18" t="s">
        <v>324</v>
      </c>
      <c r="AT13" s="6"/>
    </row>
    <row r="14" spans="1:1013" ht="30" customHeight="1" x14ac:dyDescent="0.25">
      <c r="A14" s="44" t="s">
        <v>131</v>
      </c>
      <c r="B14" s="49" t="s">
        <v>117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122</v>
      </c>
      <c r="AR14" s="6"/>
      <c r="AS14" s="18" t="s">
        <v>324</v>
      </c>
      <c r="AT14" s="6"/>
    </row>
    <row r="15" spans="1:1013" ht="30" customHeight="1" x14ac:dyDescent="0.25">
      <c r="A15" s="44" t="s">
        <v>132</v>
      </c>
      <c r="B15" s="49" t="s">
        <v>118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122</v>
      </c>
      <c r="AR15" s="6"/>
      <c r="AS15" s="18" t="s">
        <v>324</v>
      </c>
      <c r="AT15" s="6"/>
    </row>
    <row r="16" spans="1:1013" ht="30" customHeight="1" x14ac:dyDescent="0.25">
      <c r="A16" s="44" t="s">
        <v>133</v>
      </c>
      <c r="B16" s="49" t="s">
        <v>119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122</v>
      </c>
      <c r="AR16" s="6"/>
      <c r="AS16" s="18" t="s">
        <v>324</v>
      </c>
      <c r="AT16" s="6"/>
    </row>
    <row r="17" spans="1:1013" ht="30" customHeight="1" x14ac:dyDescent="0.25">
      <c r="A17" s="44" t="s">
        <v>134</v>
      </c>
      <c r="B17" s="49" t="s">
        <v>120</v>
      </c>
      <c r="C17" s="44" t="s">
        <v>64</v>
      </c>
      <c r="D17" s="7">
        <v>43</v>
      </c>
      <c r="E17" s="23" t="s">
        <v>121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122</v>
      </c>
      <c r="AR17" s="6"/>
      <c r="AS17" s="18" t="s">
        <v>324</v>
      </c>
      <c r="AT17" s="6"/>
    </row>
    <row r="18" spans="1:1013" ht="30" customHeight="1" x14ac:dyDescent="0.25">
      <c r="A18" s="44" t="s">
        <v>137</v>
      </c>
      <c r="B18" s="49" t="s">
        <v>135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136</v>
      </c>
      <c r="AR18" s="6"/>
      <c r="AS18" s="18" t="s">
        <v>324</v>
      </c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155</v>
      </c>
      <c r="B19" s="50" t="s">
        <v>183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216</v>
      </c>
      <c r="AR19" s="6"/>
      <c r="AS19" s="18" t="s">
        <v>324</v>
      </c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156</v>
      </c>
      <c r="B20" s="50" t="s">
        <v>184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216</v>
      </c>
      <c r="AR20" s="6"/>
      <c r="AS20" s="18" t="s">
        <v>324</v>
      </c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157</v>
      </c>
      <c r="B21" s="50" t="s">
        <v>185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216</v>
      </c>
      <c r="AR21" s="6"/>
      <c r="AS21" s="18" t="s">
        <v>324</v>
      </c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158</v>
      </c>
      <c r="B22" s="50" t="s">
        <v>186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216</v>
      </c>
      <c r="AR22" s="6"/>
      <c r="AS22" s="18" t="s">
        <v>324</v>
      </c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159</v>
      </c>
      <c r="B23" s="50" t="s">
        <v>187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216</v>
      </c>
      <c r="AR23" s="6"/>
      <c r="AS23" s="18" t="s">
        <v>324</v>
      </c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160</v>
      </c>
      <c r="B24" s="50" t="s">
        <v>188</v>
      </c>
      <c r="C24" s="44" t="s">
        <v>64</v>
      </c>
      <c r="D24" s="7">
        <v>43</v>
      </c>
      <c r="E24" s="23" t="s">
        <v>121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216</v>
      </c>
      <c r="AR24" s="6"/>
      <c r="AS24" s="18" t="s">
        <v>324</v>
      </c>
      <c r="AT24" s="6"/>
    </row>
    <row r="25" spans="1:1013" ht="30" customHeight="1" x14ac:dyDescent="0.25">
      <c r="A25" s="44" t="s">
        <v>161</v>
      </c>
      <c r="B25" s="50" t="s">
        <v>111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216</v>
      </c>
      <c r="AR25" s="6"/>
      <c r="AS25" s="18" t="s">
        <v>324</v>
      </c>
      <c r="AT25" s="6"/>
    </row>
    <row r="26" spans="1:1013" ht="30" customHeight="1" x14ac:dyDescent="0.25">
      <c r="A26" s="44" t="s">
        <v>162</v>
      </c>
      <c r="B26" s="50" t="s">
        <v>189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216</v>
      </c>
      <c r="AR26" s="6"/>
      <c r="AS26" s="18" t="s">
        <v>324</v>
      </c>
      <c r="AT26" s="6"/>
    </row>
    <row r="27" spans="1:1013" ht="30" customHeight="1" x14ac:dyDescent="0.25">
      <c r="A27" s="44" t="s">
        <v>163</v>
      </c>
      <c r="B27" s="50" t="s">
        <v>190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216</v>
      </c>
      <c r="AR27" s="6"/>
      <c r="AS27" s="18" t="s">
        <v>324</v>
      </c>
      <c r="AT27" s="6"/>
    </row>
    <row r="28" spans="1:1013" ht="30" customHeight="1" x14ac:dyDescent="0.25">
      <c r="A28" s="44" t="s">
        <v>164</v>
      </c>
      <c r="B28" s="50" t="s">
        <v>191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216</v>
      </c>
      <c r="AR28" s="6"/>
      <c r="AS28" s="18" t="s">
        <v>324</v>
      </c>
      <c r="AT28" s="6"/>
    </row>
    <row r="29" spans="1:1013" ht="30" customHeight="1" x14ac:dyDescent="0.25">
      <c r="A29" s="44" t="s">
        <v>165</v>
      </c>
      <c r="B29" s="50" t="s">
        <v>192</v>
      </c>
      <c r="C29" s="44" t="s">
        <v>64</v>
      </c>
      <c r="D29" s="7">
        <v>43</v>
      </c>
      <c r="E29" s="23" t="s">
        <v>121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216</v>
      </c>
      <c r="AR29" s="6"/>
      <c r="AS29" s="18" t="s">
        <v>324</v>
      </c>
      <c r="AT29" s="6"/>
    </row>
    <row r="30" spans="1:1013" ht="30" customHeight="1" x14ac:dyDescent="0.25">
      <c r="A30" s="44" t="s">
        <v>166</v>
      </c>
      <c r="B30" s="50" t="s">
        <v>193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216</v>
      </c>
      <c r="AR30" s="6"/>
      <c r="AS30" s="18" t="s">
        <v>324</v>
      </c>
      <c r="AT30" s="6"/>
    </row>
    <row r="31" spans="1:1013" ht="30" customHeight="1" x14ac:dyDescent="0.25">
      <c r="A31" s="44" t="s">
        <v>167</v>
      </c>
      <c r="B31" s="50" t="s">
        <v>194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216</v>
      </c>
      <c r="AR31" s="6"/>
      <c r="AS31" s="18" t="s">
        <v>324</v>
      </c>
      <c r="AT31" s="6"/>
    </row>
    <row r="32" spans="1:1013" ht="30" customHeight="1" x14ac:dyDescent="0.25">
      <c r="A32" s="44" t="s">
        <v>168</v>
      </c>
      <c r="B32" s="50" t="s">
        <v>195</v>
      </c>
      <c r="C32" s="44" t="s">
        <v>64</v>
      </c>
      <c r="D32" s="7">
        <v>44</v>
      </c>
      <c r="E32" s="23" t="s">
        <v>121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216</v>
      </c>
      <c r="AR32" s="6"/>
      <c r="AS32" s="18" t="s">
        <v>324</v>
      </c>
      <c r="AT32" s="6"/>
    </row>
    <row r="33" spans="1:46" ht="30" customHeight="1" x14ac:dyDescent="0.25">
      <c r="A33" s="44" t="s">
        <v>169</v>
      </c>
      <c r="B33" s="50" t="s">
        <v>196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216</v>
      </c>
      <c r="AR33" s="6"/>
      <c r="AS33" s="18" t="s">
        <v>324</v>
      </c>
      <c r="AT33" s="6"/>
    </row>
    <row r="34" spans="1:46" ht="30" customHeight="1" x14ac:dyDescent="0.25">
      <c r="A34" s="44" t="s">
        <v>170</v>
      </c>
      <c r="B34" s="50" t="s">
        <v>197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216</v>
      </c>
      <c r="AR34" s="6"/>
      <c r="AS34" s="18" t="s">
        <v>324</v>
      </c>
      <c r="AT34" s="6"/>
    </row>
    <row r="35" spans="1:46" ht="30" customHeight="1" x14ac:dyDescent="0.25">
      <c r="A35" s="44" t="s">
        <v>171</v>
      </c>
      <c r="B35" s="50" t="s">
        <v>198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216</v>
      </c>
      <c r="AR35" s="6"/>
      <c r="AS35" s="18" t="s">
        <v>324</v>
      </c>
      <c r="AT35" s="6"/>
    </row>
    <row r="36" spans="1:46" ht="30" customHeight="1" x14ac:dyDescent="0.25">
      <c r="A36" s="44" t="s">
        <v>172</v>
      </c>
      <c r="B36" s="50" t="s">
        <v>199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216</v>
      </c>
      <c r="AR36" s="6"/>
      <c r="AS36" s="18" t="s">
        <v>324</v>
      </c>
      <c r="AT36" s="6"/>
    </row>
    <row r="37" spans="1:46" ht="30" customHeight="1" x14ac:dyDescent="0.25">
      <c r="A37" s="44" t="s">
        <v>173</v>
      </c>
      <c r="B37" s="50" t="s">
        <v>200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216</v>
      </c>
      <c r="AR37" s="6"/>
      <c r="AS37" s="18" t="s">
        <v>324</v>
      </c>
      <c r="AT37" s="6"/>
    </row>
    <row r="38" spans="1:46" ht="30" customHeight="1" x14ac:dyDescent="0.25">
      <c r="A38" s="44" t="s">
        <v>174</v>
      </c>
      <c r="B38" s="50" t="s">
        <v>201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216</v>
      </c>
      <c r="AR38" s="6"/>
      <c r="AS38" s="18" t="s">
        <v>324</v>
      </c>
      <c r="AT38" s="6"/>
    </row>
    <row r="39" spans="1:46" ht="30" customHeight="1" x14ac:dyDescent="0.25">
      <c r="A39" s="44" t="s">
        <v>175</v>
      </c>
      <c r="B39" s="50" t="s">
        <v>202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 t="s">
        <v>235</v>
      </c>
      <c r="J39" s="29" t="s">
        <v>236</v>
      </c>
      <c r="K39" s="29" t="s">
        <v>237</v>
      </c>
      <c r="L39" s="40" t="s">
        <v>238</v>
      </c>
      <c r="M39" s="40" t="s">
        <v>239</v>
      </c>
      <c r="N39" s="29" t="s">
        <v>240</v>
      </c>
      <c r="O39" s="29" t="s">
        <v>241</v>
      </c>
      <c r="P39" s="29" t="s">
        <v>242</v>
      </c>
      <c r="Q39" s="29" t="s">
        <v>243</v>
      </c>
      <c r="R39" s="40" t="s">
        <v>235</v>
      </c>
      <c r="S39" s="40" t="s">
        <v>244</v>
      </c>
      <c r="T39" s="40" t="s">
        <v>245</v>
      </c>
      <c r="U39" s="40" t="s">
        <v>246</v>
      </c>
      <c r="V39" s="40" t="s">
        <v>247</v>
      </c>
      <c r="W39" s="40" t="s">
        <v>248</v>
      </c>
      <c r="X39" s="40" t="s">
        <v>247</v>
      </c>
      <c r="Y39" s="40" t="s">
        <v>242</v>
      </c>
      <c r="Z39" s="40" t="s">
        <v>243</v>
      </c>
      <c r="AA39" s="29" t="s">
        <v>235</v>
      </c>
      <c r="AB39" s="29" t="s">
        <v>249</v>
      </c>
      <c r="AC39" s="29" t="s">
        <v>245</v>
      </c>
      <c r="AD39" s="29" t="s">
        <v>247</v>
      </c>
      <c r="AE39" s="29" t="s">
        <v>248</v>
      </c>
      <c r="AF39" s="29" t="s">
        <v>247</v>
      </c>
      <c r="AG39" s="6" t="s">
        <v>250</v>
      </c>
      <c r="AH39" s="29" t="s">
        <v>243</v>
      </c>
      <c r="AI39" s="41" t="s">
        <v>251</v>
      </c>
      <c r="AJ39" s="30" t="s">
        <v>252</v>
      </c>
      <c r="AK39" s="30" t="s">
        <v>253</v>
      </c>
      <c r="AL39" s="6" t="s">
        <v>254</v>
      </c>
      <c r="AM39" s="6" t="s">
        <v>255</v>
      </c>
      <c r="AN39" s="6" t="s">
        <v>256</v>
      </c>
      <c r="AO39" s="6" t="s">
        <v>257</v>
      </c>
      <c r="AP39" s="3">
        <v>2</v>
      </c>
      <c r="AQ39" s="18" t="s">
        <v>216</v>
      </c>
      <c r="AR39" s="6"/>
      <c r="AS39" s="18" t="s">
        <v>324</v>
      </c>
      <c r="AT39" s="6"/>
    </row>
    <row r="40" spans="1:46" ht="30" customHeight="1" x14ac:dyDescent="0.25">
      <c r="A40" s="44" t="s">
        <v>176</v>
      </c>
      <c r="B40" s="50" t="s">
        <v>203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216</v>
      </c>
      <c r="AR40" s="6"/>
      <c r="AS40" s="18" t="s">
        <v>324</v>
      </c>
      <c r="AT40" s="6"/>
    </row>
    <row r="41" spans="1:46" ht="30" customHeight="1" x14ac:dyDescent="0.25">
      <c r="A41" s="44" t="s">
        <v>177</v>
      </c>
      <c r="B41" s="50" t="s">
        <v>204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216</v>
      </c>
      <c r="AR41" s="6"/>
      <c r="AS41" s="18" t="s">
        <v>324</v>
      </c>
      <c r="AT41" s="6"/>
    </row>
    <row r="42" spans="1:46" ht="30" customHeight="1" x14ac:dyDescent="0.25">
      <c r="A42" s="44" t="s">
        <v>178</v>
      </c>
      <c r="B42" s="50" t="s">
        <v>205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216</v>
      </c>
      <c r="AR42" s="6"/>
      <c r="AS42" s="18" t="s">
        <v>324</v>
      </c>
      <c r="AT42" s="6"/>
    </row>
    <row r="43" spans="1:46" ht="30" customHeight="1" x14ac:dyDescent="0.25">
      <c r="A43" s="44" t="s">
        <v>179</v>
      </c>
      <c r="B43" s="50" t="s">
        <v>206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216</v>
      </c>
      <c r="AR43" s="6"/>
      <c r="AS43" s="18" t="s">
        <v>324</v>
      </c>
      <c r="AT43" s="6"/>
    </row>
    <row r="44" spans="1:46" ht="30" customHeight="1" x14ac:dyDescent="0.25">
      <c r="A44" s="44" t="s">
        <v>180</v>
      </c>
      <c r="B44" s="50" t="s">
        <v>207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216</v>
      </c>
      <c r="AR44" s="6"/>
      <c r="AS44" s="18" t="s">
        <v>324</v>
      </c>
      <c r="AT44" s="6"/>
    </row>
    <row r="45" spans="1:46" ht="30" customHeight="1" x14ac:dyDescent="0.25">
      <c r="A45" s="44" t="s">
        <v>181</v>
      </c>
      <c r="B45" s="50" t="s">
        <v>208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216</v>
      </c>
      <c r="AR45" s="6"/>
      <c r="AS45" s="18" t="s">
        <v>324</v>
      </c>
      <c r="AT45" s="6"/>
    </row>
    <row r="46" spans="1:46" ht="30" customHeight="1" x14ac:dyDescent="0.25">
      <c r="A46" s="44" t="s">
        <v>182</v>
      </c>
      <c r="B46" s="50" t="s">
        <v>209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216</v>
      </c>
      <c r="AR46" s="6"/>
      <c r="AS46" s="18" t="s">
        <v>324</v>
      </c>
      <c r="AT46" s="6"/>
    </row>
    <row r="47" spans="1:46" ht="30" customHeight="1" x14ac:dyDescent="0.25">
      <c r="A47" s="44" t="s">
        <v>213</v>
      </c>
      <c r="B47" s="50" t="s">
        <v>210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216</v>
      </c>
      <c r="AR47" s="6"/>
      <c r="AS47" s="18" t="s">
        <v>324</v>
      </c>
      <c r="AT47" s="6"/>
    </row>
    <row r="48" spans="1:46" ht="30" customHeight="1" x14ac:dyDescent="0.25">
      <c r="A48" s="44" t="s">
        <v>214</v>
      </c>
      <c r="B48" s="50" t="s">
        <v>211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216</v>
      </c>
      <c r="AR48" s="6"/>
      <c r="AS48" s="18" t="s">
        <v>324</v>
      </c>
      <c r="AT48" s="6"/>
    </row>
    <row r="49" spans="1:46" ht="30" customHeight="1" x14ac:dyDescent="0.25">
      <c r="A49" s="44" t="s">
        <v>215</v>
      </c>
      <c r="B49" s="50" t="s">
        <v>212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216</v>
      </c>
      <c r="AR49" s="6"/>
      <c r="AS49" s="18" t="s">
        <v>324</v>
      </c>
      <c r="AT49" s="6"/>
    </row>
    <row r="50" spans="1:46" ht="30" customHeight="1" x14ac:dyDescent="0.25">
      <c r="A50" s="44" t="s">
        <v>222</v>
      </c>
      <c r="B50" s="50" t="s">
        <v>217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233</v>
      </c>
      <c r="AR50" s="6"/>
      <c r="AS50" s="18" t="s">
        <v>324</v>
      </c>
      <c r="AT50" s="6"/>
    </row>
    <row r="51" spans="1:46" ht="30" customHeight="1" x14ac:dyDescent="0.25">
      <c r="A51" s="44" t="s">
        <v>223</v>
      </c>
      <c r="B51" s="50" t="s">
        <v>218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233</v>
      </c>
      <c r="AR51" s="6"/>
      <c r="AS51" s="18" t="s">
        <v>324</v>
      </c>
      <c r="AT51" s="6"/>
    </row>
    <row r="52" spans="1:46" ht="30" customHeight="1" x14ac:dyDescent="0.25">
      <c r="A52" s="44" t="s">
        <v>224</v>
      </c>
      <c r="B52" s="50" t="s">
        <v>219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233</v>
      </c>
      <c r="AR52" s="6"/>
      <c r="AS52" s="18" t="s">
        <v>324</v>
      </c>
      <c r="AT52" s="6"/>
    </row>
    <row r="53" spans="1:46" ht="30" customHeight="1" x14ac:dyDescent="0.25">
      <c r="A53" s="44" t="s">
        <v>225</v>
      </c>
      <c r="B53" s="50" t="s">
        <v>220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233</v>
      </c>
      <c r="AR53" s="6"/>
      <c r="AS53" s="18" t="s">
        <v>324</v>
      </c>
      <c r="AT53" s="6"/>
    </row>
    <row r="54" spans="1:46" ht="30" customHeight="1" x14ac:dyDescent="0.25">
      <c r="A54" s="44" t="s">
        <v>226</v>
      </c>
      <c r="B54" s="50" t="s">
        <v>221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233</v>
      </c>
      <c r="AR54" s="6"/>
      <c r="AS54" s="18" t="s">
        <v>324</v>
      </c>
      <c r="AT54" s="6"/>
    </row>
    <row r="55" spans="1:46" ht="30" customHeight="1" x14ac:dyDescent="0.25">
      <c r="A55" s="44" t="s">
        <v>230</v>
      </c>
      <c r="B55" s="50" t="s">
        <v>227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233</v>
      </c>
      <c r="AR55" s="6"/>
      <c r="AS55" s="18" t="s">
        <v>324</v>
      </c>
      <c r="AT55" s="6"/>
    </row>
    <row r="56" spans="1:46" ht="30" customHeight="1" x14ac:dyDescent="0.25">
      <c r="A56" s="44" t="s">
        <v>231</v>
      </c>
      <c r="B56" s="50" t="s">
        <v>228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233</v>
      </c>
      <c r="AR56" s="6"/>
      <c r="AS56" s="18" t="s">
        <v>324</v>
      </c>
      <c r="AT56" s="6"/>
    </row>
    <row r="57" spans="1:46" ht="30" customHeight="1" x14ac:dyDescent="0.25">
      <c r="A57" s="44" t="s">
        <v>232</v>
      </c>
      <c r="B57" s="50" t="s">
        <v>229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233</v>
      </c>
      <c r="AR57" s="6"/>
      <c r="AS57" s="18" t="s">
        <v>324</v>
      </c>
      <c r="AT57" s="6"/>
    </row>
    <row r="58" spans="1:46" ht="30" customHeight="1" x14ac:dyDescent="0.25">
      <c r="A58" s="44" t="s">
        <v>296</v>
      </c>
      <c r="B58" s="50" t="s">
        <v>234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323</v>
      </c>
      <c r="AR58" s="6"/>
      <c r="AS58" s="18" t="s">
        <v>324</v>
      </c>
      <c r="AT58" s="6"/>
    </row>
    <row r="59" spans="1:46" ht="30" customHeight="1" x14ac:dyDescent="0.25">
      <c r="A59" s="44" t="s">
        <v>299</v>
      </c>
      <c r="B59" s="50" t="s">
        <v>258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323</v>
      </c>
      <c r="AR59" s="6"/>
      <c r="AS59" s="18" t="s">
        <v>324</v>
      </c>
      <c r="AT59" s="6"/>
    </row>
    <row r="60" spans="1:46" ht="30" customHeight="1" x14ac:dyDescent="0.25">
      <c r="A60" s="44" t="s">
        <v>300</v>
      </c>
      <c r="B60" s="50" t="s">
        <v>259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323</v>
      </c>
      <c r="AR60" s="6"/>
      <c r="AS60" s="18" t="s">
        <v>324</v>
      </c>
      <c r="AT60" s="6"/>
    </row>
    <row r="61" spans="1:46" ht="30" customHeight="1" x14ac:dyDescent="0.25">
      <c r="A61" s="44" t="s">
        <v>301</v>
      </c>
      <c r="B61" s="50" t="s">
        <v>260</v>
      </c>
      <c r="C61" s="44" t="s">
        <v>64</v>
      </c>
      <c r="D61" s="7">
        <v>42</v>
      </c>
      <c r="E61" s="23" t="s">
        <v>121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323</v>
      </c>
      <c r="AR61" s="6"/>
      <c r="AS61" s="18" t="s">
        <v>324</v>
      </c>
      <c r="AT61" s="6"/>
    </row>
    <row r="62" spans="1:46" ht="30" customHeight="1" x14ac:dyDescent="0.25">
      <c r="A62" s="44" t="s">
        <v>302</v>
      </c>
      <c r="B62" s="50" t="s">
        <v>261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323</v>
      </c>
      <c r="AR62" s="6"/>
      <c r="AS62" s="18" t="s">
        <v>324</v>
      </c>
      <c r="AT62" s="6"/>
    </row>
    <row r="63" spans="1:46" ht="30" customHeight="1" x14ac:dyDescent="0.25">
      <c r="A63" s="44" t="s">
        <v>303</v>
      </c>
      <c r="B63" s="50" t="s">
        <v>262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323</v>
      </c>
      <c r="AR63" s="6"/>
      <c r="AS63" s="18" t="s">
        <v>324</v>
      </c>
      <c r="AT63" s="6"/>
    </row>
    <row r="64" spans="1:46" ht="30" customHeight="1" x14ac:dyDescent="0.25">
      <c r="A64" s="44" t="s">
        <v>304</v>
      </c>
      <c r="B64" s="50" t="s">
        <v>263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323</v>
      </c>
      <c r="AR64" s="6"/>
      <c r="AS64" s="18" t="s">
        <v>324</v>
      </c>
      <c r="AT64" s="6"/>
    </row>
    <row r="65" spans="1:46" ht="30" customHeight="1" x14ac:dyDescent="0.25">
      <c r="A65" s="44" t="s">
        <v>305</v>
      </c>
      <c r="B65" s="50" t="s">
        <v>264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323</v>
      </c>
      <c r="AR65" s="6"/>
      <c r="AS65" s="18" t="s">
        <v>324</v>
      </c>
      <c r="AT65" s="6"/>
    </row>
    <row r="66" spans="1:46" ht="30" customHeight="1" x14ac:dyDescent="0.25">
      <c r="A66" s="44" t="s">
        <v>306</v>
      </c>
      <c r="B66" s="50" t="s">
        <v>265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323</v>
      </c>
      <c r="AR66" s="6"/>
      <c r="AS66" s="18" t="s">
        <v>324</v>
      </c>
      <c r="AT66" s="6"/>
    </row>
    <row r="67" spans="1:46" ht="30" customHeight="1" x14ac:dyDescent="0.25">
      <c r="A67" s="44" t="s">
        <v>307</v>
      </c>
      <c r="B67" s="50" t="s">
        <v>266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323</v>
      </c>
      <c r="AR67" s="6"/>
      <c r="AS67" s="18" t="s">
        <v>324</v>
      </c>
      <c r="AT67" s="6"/>
    </row>
    <row r="68" spans="1:46" ht="30" customHeight="1" x14ac:dyDescent="0.25">
      <c r="A68" s="44" t="s">
        <v>308</v>
      </c>
      <c r="B68" s="50" t="s">
        <v>267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323</v>
      </c>
      <c r="AR68" s="6"/>
      <c r="AS68" s="18" t="s">
        <v>324</v>
      </c>
      <c r="AT68" s="6"/>
    </row>
    <row r="69" spans="1:46" ht="30" customHeight="1" x14ac:dyDescent="0.25">
      <c r="A69" s="44" t="s">
        <v>309</v>
      </c>
      <c r="B69" s="50" t="s">
        <v>268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323</v>
      </c>
      <c r="AR69" s="6"/>
      <c r="AS69" s="18" t="s">
        <v>324</v>
      </c>
      <c r="AT69" s="6"/>
    </row>
    <row r="70" spans="1:46" ht="30" customHeight="1" x14ac:dyDescent="0.25">
      <c r="A70" s="44" t="s">
        <v>310</v>
      </c>
      <c r="B70" s="50" t="s">
        <v>269</v>
      </c>
      <c r="C70" s="44" t="s">
        <v>64</v>
      </c>
      <c r="D70" s="7">
        <v>43</v>
      </c>
      <c r="E70" s="23" t="s">
        <v>121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323</v>
      </c>
      <c r="AR70" s="6"/>
      <c r="AS70" s="18" t="s">
        <v>324</v>
      </c>
      <c r="AT70" s="6"/>
    </row>
    <row r="71" spans="1:46" ht="30" customHeight="1" x14ac:dyDescent="0.25">
      <c r="A71" s="44" t="s">
        <v>311</v>
      </c>
      <c r="B71" s="50" t="s">
        <v>270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323</v>
      </c>
      <c r="AR71" s="6"/>
      <c r="AS71" s="18" t="s">
        <v>324</v>
      </c>
      <c r="AT71" s="6"/>
    </row>
    <row r="72" spans="1:46" ht="30" customHeight="1" x14ac:dyDescent="0.25">
      <c r="A72" s="44" t="s">
        <v>312</v>
      </c>
      <c r="B72" s="50" t="s">
        <v>271</v>
      </c>
      <c r="C72" s="44" t="s">
        <v>64</v>
      </c>
      <c r="D72" s="7">
        <v>44</v>
      </c>
      <c r="E72" s="23" t="s">
        <v>121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323</v>
      </c>
      <c r="AR72" s="6"/>
      <c r="AS72" s="18" t="s">
        <v>324</v>
      </c>
      <c r="AT72" s="6"/>
    </row>
    <row r="73" spans="1:46" ht="30" customHeight="1" x14ac:dyDescent="0.25">
      <c r="A73" s="44" t="s">
        <v>313</v>
      </c>
      <c r="B73" s="50" t="s">
        <v>272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323</v>
      </c>
      <c r="AR73" s="6"/>
      <c r="AS73" s="18" t="s">
        <v>324</v>
      </c>
      <c r="AT73" s="6"/>
    </row>
    <row r="74" spans="1:46" ht="30" customHeight="1" x14ac:dyDescent="0.25">
      <c r="A74" s="44" t="s">
        <v>314</v>
      </c>
      <c r="B74" s="50" t="s">
        <v>273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323</v>
      </c>
      <c r="AR74" s="6"/>
      <c r="AS74" s="18" t="s">
        <v>324</v>
      </c>
      <c r="AT74" s="6"/>
    </row>
    <row r="75" spans="1:46" ht="30" customHeight="1" x14ac:dyDescent="0.25">
      <c r="A75" s="44" t="s">
        <v>315</v>
      </c>
      <c r="B75" s="50" t="s">
        <v>274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323</v>
      </c>
      <c r="AR75" s="6"/>
      <c r="AS75" s="18" t="s">
        <v>324</v>
      </c>
      <c r="AT75" s="6"/>
    </row>
    <row r="76" spans="1:46" ht="30" customHeight="1" x14ac:dyDescent="0.25">
      <c r="A76" s="44" t="s">
        <v>316</v>
      </c>
      <c r="B76" s="50" t="s">
        <v>275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323</v>
      </c>
      <c r="AR76" s="6"/>
      <c r="AS76" s="18" t="s">
        <v>324</v>
      </c>
      <c r="AT76" s="6"/>
    </row>
    <row r="77" spans="1:46" ht="30" customHeight="1" x14ac:dyDescent="0.25">
      <c r="A77" s="44" t="s">
        <v>317</v>
      </c>
      <c r="B77" s="50" t="s">
        <v>276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323</v>
      </c>
      <c r="AR77" s="6"/>
      <c r="AS77" s="18" t="s">
        <v>324</v>
      </c>
      <c r="AT77" s="6"/>
    </row>
    <row r="78" spans="1:46" ht="30" customHeight="1" x14ac:dyDescent="0.25">
      <c r="A78" s="44" t="s">
        <v>318</v>
      </c>
      <c r="B78" s="50" t="s">
        <v>277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323</v>
      </c>
      <c r="AR78" s="6"/>
      <c r="AS78" s="18" t="s">
        <v>324</v>
      </c>
      <c r="AT78" s="6"/>
    </row>
    <row r="79" spans="1:46" ht="30" customHeight="1" x14ac:dyDescent="0.25">
      <c r="A79" s="44" t="s">
        <v>319</v>
      </c>
      <c r="B79" s="50" t="s">
        <v>278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323</v>
      </c>
      <c r="AR79" s="6"/>
      <c r="AS79" s="18" t="s">
        <v>324</v>
      </c>
      <c r="AT79" s="6"/>
    </row>
    <row r="80" spans="1:46" ht="30" customHeight="1" x14ac:dyDescent="0.25">
      <c r="A80" s="44" t="s">
        <v>320</v>
      </c>
      <c r="B80" s="50" t="s">
        <v>279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323</v>
      </c>
      <c r="AR80" s="6"/>
      <c r="AS80" s="18" t="s">
        <v>324</v>
      </c>
      <c r="AT80" s="6"/>
    </row>
    <row r="81" spans="1:46" ht="30" customHeight="1" x14ac:dyDescent="0.25">
      <c r="A81" s="44" t="s">
        <v>321</v>
      </c>
      <c r="B81" s="50" t="s">
        <v>280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323</v>
      </c>
      <c r="AR81" s="6"/>
      <c r="AS81" s="18" t="s">
        <v>324</v>
      </c>
      <c r="AT81" s="6"/>
    </row>
    <row r="82" spans="1:46" ht="30" customHeight="1" x14ac:dyDescent="0.25">
      <c r="A82" s="44" t="s">
        <v>322</v>
      </c>
      <c r="B82" s="50" t="s">
        <v>281</v>
      </c>
      <c r="C82" s="44" t="s">
        <v>64</v>
      </c>
      <c r="D82" s="7">
        <v>43</v>
      </c>
      <c r="E82" s="23" t="s">
        <v>121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323</v>
      </c>
      <c r="AR82" s="6"/>
      <c r="AS82" s="18" t="s">
        <v>324</v>
      </c>
      <c r="AT82" s="6"/>
    </row>
    <row r="83" spans="1:46" ht="30" customHeight="1" x14ac:dyDescent="0.25">
      <c r="A83" s="44" t="s">
        <v>297</v>
      </c>
      <c r="B83" s="50" t="s">
        <v>282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323</v>
      </c>
      <c r="AR83" s="6"/>
      <c r="AS83" s="18" t="s">
        <v>324</v>
      </c>
      <c r="AT83" s="6"/>
    </row>
    <row r="84" spans="1:46" ht="30" customHeight="1" x14ac:dyDescent="0.25">
      <c r="A84" s="44" t="s">
        <v>298</v>
      </c>
      <c r="B84" s="50" t="s">
        <v>283</v>
      </c>
      <c r="C84" s="44" t="s">
        <v>64</v>
      </c>
      <c r="D84" s="7">
        <v>42</v>
      </c>
      <c r="E84" s="23" t="s">
        <v>121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323</v>
      </c>
      <c r="AR84" s="6"/>
      <c r="AS84" s="18" t="s">
        <v>324</v>
      </c>
      <c r="AT84" s="6"/>
    </row>
    <row r="85" spans="1:46" ht="30" customHeight="1" x14ac:dyDescent="0.25">
      <c r="A85" s="44" t="s">
        <v>339</v>
      </c>
      <c r="B85" s="50" t="s">
        <v>336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338</v>
      </c>
      <c r="AR85" s="6"/>
      <c r="AS85" s="18"/>
      <c r="AT85" s="6"/>
    </row>
    <row r="86" spans="1:46" ht="30" customHeight="1" x14ac:dyDescent="0.25">
      <c r="A86" s="44" t="s">
        <v>340</v>
      </c>
      <c r="B86" s="50" t="s">
        <v>337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338</v>
      </c>
      <c r="AR86" s="6"/>
      <c r="AS86" s="18"/>
      <c r="AT86" s="6"/>
    </row>
    <row r="87" spans="1:46" ht="30" customHeight="1" x14ac:dyDescent="0.25">
      <c r="A87" s="21" t="s">
        <v>56</v>
      </c>
      <c r="B87" s="37" t="s">
        <v>67</v>
      </c>
      <c r="C87" s="21" t="s">
        <v>66</v>
      </c>
      <c r="D87" s="7">
        <v>42</v>
      </c>
      <c r="E87" s="23" t="s">
        <v>32</v>
      </c>
      <c r="F87" s="7">
        <v>57</v>
      </c>
      <c r="G87" s="10" t="s">
        <v>65</v>
      </c>
      <c r="H87" s="10" t="s">
        <v>51</v>
      </c>
      <c r="I87" s="10">
        <v>45</v>
      </c>
      <c r="J87" s="22">
        <v>63</v>
      </c>
      <c r="K87" s="22">
        <v>20</v>
      </c>
      <c r="L87" s="10">
        <v>15</v>
      </c>
      <c r="M87" s="10">
        <v>111</v>
      </c>
      <c r="N87" s="22">
        <v>106</v>
      </c>
      <c r="O87" s="22">
        <v>116</v>
      </c>
      <c r="P87" s="22">
        <v>74</v>
      </c>
      <c r="Q87" s="22">
        <v>43</v>
      </c>
      <c r="R87" s="10"/>
      <c r="S87" s="10"/>
      <c r="T87" s="10"/>
      <c r="U87" s="10"/>
      <c r="V87" s="10"/>
      <c r="W87" s="10"/>
      <c r="X87" s="10"/>
      <c r="Y87" s="10"/>
      <c r="Z87" s="10"/>
      <c r="AA87" s="22">
        <v>45</v>
      </c>
      <c r="AB87" s="22">
        <v>25</v>
      </c>
      <c r="AC87" s="22">
        <v>20</v>
      </c>
      <c r="AD87" s="22">
        <v>29</v>
      </c>
      <c r="AE87" s="22">
        <v>28</v>
      </c>
      <c r="AF87" s="22">
        <v>29</v>
      </c>
      <c r="AG87" s="6">
        <v>74</v>
      </c>
      <c r="AH87" s="22">
        <v>43</v>
      </c>
      <c r="AI87" s="20">
        <v>94</v>
      </c>
      <c r="AJ87" s="20">
        <v>113</v>
      </c>
      <c r="AK87" s="20">
        <v>72</v>
      </c>
      <c r="AL87" s="6">
        <v>35</v>
      </c>
      <c r="AM87" s="6">
        <v>25</v>
      </c>
      <c r="AN87" s="6">
        <v>20</v>
      </c>
      <c r="AO87" s="6">
        <v>98</v>
      </c>
      <c r="AP87" s="3">
        <v>1</v>
      </c>
      <c r="AQ87" s="18" t="s">
        <v>71</v>
      </c>
      <c r="AR87" s="6"/>
      <c r="AS87" s="18" t="s">
        <v>324</v>
      </c>
      <c r="AT87" s="6"/>
    </row>
    <row r="88" spans="1:46" ht="30" customHeight="1" x14ac:dyDescent="0.25">
      <c r="A88" s="21" t="s">
        <v>57</v>
      </c>
      <c r="B88" s="37" t="s">
        <v>68</v>
      </c>
      <c r="C88" s="21" t="s">
        <v>66</v>
      </c>
      <c r="D88" s="7">
        <v>42</v>
      </c>
      <c r="E88" s="23" t="s">
        <v>31</v>
      </c>
      <c r="F88" s="7">
        <v>57</v>
      </c>
      <c r="G88" s="10" t="s">
        <v>65</v>
      </c>
      <c r="H88" s="10" t="s">
        <v>51</v>
      </c>
      <c r="I88" s="10">
        <v>42</v>
      </c>
      <c r="J88" s="22">
        <v>61</v>
      </c>
      <c r="K88" s="22">
        <v>18</v>
      </c>
      <c r="L88" s="10">
        <v>15</v>
      </c>
      <c r="M88" s="10">
        <v>99</v>
      </c>
      <c r="N88" s="22">
        <v>97</v>
      </c>
      <c r="O88" s="22">
        <v>109</v>
      </c>
      <c r="P88" s="22">
        <v>75</v>
      </c>
      <c r="Q88" s="22">
        <v>42</v>
      </c>
      <c r="R88" s="10"/>
      <c r="S88" s="10"/>
      <c r="T88" s="10"/>
      <c r="U88" s="10"/>
      <c r="V88" s="10"/>
      <c r="W88" s="10"/>
      <c r="X88" s="10"/>
      <c r="Y88" s="10"/>
      <c r="Z88" s="10"/>
      <c r="AA88" s="22">
        <v>42</v>
      </c>
      <c r="AB88" s="22">
        <v>26</v>
      </c>
      <c r="AC88" s="22">
        <v>19</v>
      </c>
      <c r="AD88" s="22">
        <v>28</v>
      </c>
      <c r="AE88" s="22">
        <v>27</v>
      </c>
      <c r="AF88" s="22">
        <v>28</v>
      </c>
      <c r="AG88" s="6">
        <v>74</v>
      </c>
      <c r="AH88" s="22">
        <v>42</v>
      </c>
      <c r="AI88" s="20">
        <v>83</v>
      </c>
      <c r="AJ88" s="20">
        <v>104</v>
      </c>
      <c r="AK88" s="20">
        <v>66</v>
      </c>
      <c r="AL88" s="6">
        <v>33</v>
      </c>
      <c r="AM88" s="6">
        <v>24</v>
      </c>
      <c r="AN88" s="6">
        <v>20</v>
      </c>
      <c r="AO88" s="6">
        <v>103</v>
      </c>
      <c r="AP88" s="3">
        <v>1</v>
      </c>
      <c r="AQ88" s="18" t="s">
        <v>71</v>
      </c>
      <c r="AR88" s="6"/>
      <c r="AS88" s="18" t="s">
        <v>324</v>
      </c>
      <c r="AT88" s="6"/>
    </row>
    <row r="89" spans="1:46" ht="30" customHeight="1" x14ac:dyDescent="0.25">
      <c r="A89" s="21" t="s">
        <v>58</v>
      </c>
      <c r="B89" s="37" t="s">
        <v>69</v>
      </c>
      <c r="C89" s="21" t="s">
        <v>66</v>
      </c>
      <c r="D89" s="7">
        <v>42</v>
      </c>
      <c r="E89" s="23" t="s">
        <v>31</v>
      </c>
      <c r="F89" s="7">
        <v>58</v>
      </c>
      <c r="G89" s="10" t="s">
        <v>65</v>
      </c>
      <c r="H89" s="10" t="s">
        <v>51</v>
      </c>
      <c r="I89" s="10">
        <v>44</v>
      </c>
      <c r="J89" s="22">
        <v>62</v>
      </c>
      <c r="K89" s="22">
        <v>19</v>
      </c>
      <c r="L89" s="10">
        <v>15</v>
      </c>
      <c r="M89" s="10">
        <v>104</v>
      </c>
      <c r="N89" s="22">
        <v>103</v>
      </c>
      <c r="O89" s="22">
        <v>111</v>
      </c>
      <c r="P89" s="22">
        <v>75</v>
      </c>
      <c r="Q89" s="22">
        <v>42</v>
      </c>
      <c r="R89" s="10"/>
      <c r="S89" s="10"/>
      <c r="T89" s="10"/>
      <c r="U89" s="10"/>
      <c r="V89" s="10"/>
      <c r="W89" s="10"/>
      <c r="X89" s="10"/>
      <c r="Y89" s="10"/>
      <c r="Z89" s="10"/>
      <c r="AA89" s="22">
        <v>44</v>
      </c>
      <c r="AB89" s="22">
        <v>25</v>
      </c>
      <c r="AC89" s="22">
        <v>19</v>
      </c>
      <c r="AD89" s="22">
        <v>30</v>
      </c>
      <c r="AE89" s="22">
        <v>29</v>
      </c>
      <c r="AF89" s="22">
        <v>30</v>
      </c>
      <c r="AG89" s="6">
        <v>75</v>
      </c>
      <c r="AH89" s="22">
        <v>42</v>
      </c>
      <c r="AI89" s="20">
        <v>92</v>
      </c>
      <c r="AJ89" s="20">
        <v>108</v>
      </c>
      <c r="AK89" s="20">
        <v>64</v>
      </c>
      <c r="AL89" s="6">
        <v>33</v>
      </c>
      <c r="AM89" s="6">
        <v>24</v>
      </c>
      <c r="AN89" s="6">
        <v>19</v>
      </c>
      <c r="AO89" s="6">
        <v>94</v>
      </c>
      <c r="AP89" s="3">
        <v>1</v>
      </c>
      <c r="AQ89" s="18" t="s">
        <v>71</v>
      </c>
      <c r="AR89" s="6"/>
      <c r="AS89" s="18" t="s">
        <v>324</v>
      </c>
      <c r="AT89" s="6"/>
    </row>
    <row r="90" spans="1:46" ht="30" customHeight="1" x14ac:dyDescent="0.25">
      <c r="A90" s="21" t="s">
        <v>59</v>
      </c>
      <c r="B90" s="37" t="s">
        <v>70</v>
      </c>
      <c r="C90" s="21" t="s">
        <v>66</v>
      </c>
      <c r="D90" s="7">
        <v>41</v>
      </c>
      <c r="E90" s="23" t="s">
        <v>32</v>
      </c>
      <c r="F90" s="7">
        <v>56</v>
      </c>
      <c r="G90" s="10" t="s">
        <v>65</v>
      </c>
      <c r="H90" s="10" t="s">
        <v>51</v>
      </c>
      <c r="I90" s="10">
        <v>43</v>
      </c>
      <c r="J90" s="22" t="s">
        <v>82</v>
      </c>
      <c r="K90" s="22">
        <v>20</v>
      </c>
      <c r="L90" s="10">
        <v>15</v>
      </c>
      <c r="M90" s="10">
        <v>100</v>
      </c>
      <c r="N90" s="22">
        <v>91</v>
      </c>
      <c r="O90" s="22">
        <v>108</v>
      </c>
      <c r="P90" s="22">
        <v>75</v>
      </c>
      <c r="Q90" s="22">
        <v>40</v>
      </c>
      <c r="R90" s="10"/>
      <c r="S90" s="10"/>
      <c r="T90" s="10"/>
      <c r="U90" s="10"/>
      <c r="V90" s="10"/>
      <c r="W90" s="10"/>
      <c r="X90" s="10"/>
      <c r="Y90" s="10"/>
      <c r="Z90" s="10"/>
      <c r="AA90" s="22">
        <v>43</v>
      </c>
      <c r="AB90" s="22">
        <v>25</v>
      </c>
      <c r="AC90" s="22">
        <v>20</v>
      </c>
      <c r="AD90" s="22">
        <v>28</v>
      </c>
      <c r="AE90" s="22">
        <v>27</v>
      </c>
      <c r="AF90" s="22">
        <v>28</v>
      </c>
      <c r="AG90" s="6">
        <v>75</v>
      </c>
      <c r="AH90" s="22">
        <v>40</v>
      </c>
      <c r="AI90" s="20">
        <v>83</v>
      </c>
      <c r="AJ90" s="20">
        <v>104</v>
      </c>
      <c r="AK90" s="20">
        <v>66</v>
      </c>
      <c r="AL90" s="6">
        <v>34</v>
      </c>
      <c r="AM90" s="6">
        <v>25</v>
      </c>
      <c r="AN90" s="6">
        <v>20</v>
      </c>
      <c r="AO90" s="6">
        <v>97</v>
      </c>
      <c r="AP90" s="3">
        <v>1</v>
      </c>
      <c r="AQ90" s="18" t="s">
        <v>71</v>
      </c>
      <c r="AR90" s="6"/>
      <c r="AS90" s="18" t="s">
        <v>324</v>
      </c>
      <c r="AT90" s="6"/>
    </row>
    <row r="91" spans="1:46" ht="30" customHeight="1" x14ac:dyDescent="0.25">
      <c r="A91" s="21" t="s">
        <v>96</v>
      </c>
      <c r="B91" s="37" t="s">
        <v>79</v>
      </c>
      <c r="C91" s="21" t="s">
        <v>66</v>
      </c>
      <c r="D91" s="7">
        <v>44</v>
      </c>
      <c r="E91" s="23" t="s">
        <v>35</v>
      </c>
      <c r="F91" s="7">
        <v>59</v>
      </c>
      <c r="G91" s="10" t="s">
        <v>65</v>
      </c>
      <c r="H91" s="10" t="s">
        <v>51</v>
      </c>
      <c r="I91" s="10">
        <v>49</v>
      </c>
      <c r="J91" s="22">
        <v>64</v>
      </c>
      <c r="K91" s="22">
        <v>19</v>
      </c>
      <c r="L91" s="10">
        <v>15</v>
      </c>
      <c r="M91" s="10">
        <v>116</v>
      </c>
      <c r="N91" s="22">
        <v>110</v>
      </c>
      <c r="O91" s="22">
        <v>120</v>
      </c>
      <c r="P91" s="22">
        <v>76</v>
      </c>
      <c r="Q91" s="22">
        <v>43</v>
      </c>
      <c r="R91" s="10">
        <v>49</v>
      </c>
      <c r="S91" s="10">
        <v>65</v>
      </c>
      <c r="T91" s="10">
        <v>42</v>
      </c>
      <c r="U91" s="10">
        <v>32</v>
      </c>
      <c r="V91" s="39">
        <v>31</v>
      </c>
      <c r="W91" s="39">
        <v>30</v>
      </c>
      <c r="X91" s="39">
        <v>31</v>
      </c>
      <c r="Y91" s="10">
        <v>70</v>
      </c>
      <c r="Z91" s="10">
        <v>46</v>
      </c>
      <c r="AA91" s="22">
        <v>49</v>
      </c>
      <c r="AB91" s="22">
        <v>26</v>
      </c>
      <c r="AC91" s="22">
        <v>20</v>
      </c>
      <c r="AD91" s="22">
        <v>31</v>
      </c>
      <c r="AE91" s="22">
        <v>30</v>
      </c>
      <c r="AF91" s="22">
        <v>31</v>
      </c>
      <c r="AG91" s="6">
        <v>70</v>
      </c>
      <c r="AH91" s="22">
        <v>46</v>
      </c>
      <c r="AI91" s="20">
        <v>103</v>
      </c>
      <c r="AJ91" s="20">
        <v>118</v>
      </c>
      <c r="AK91" s="20">
        <v>73</v>
      </c>
      <c r="AL91" s="6">
        <v>38</v>
      </c>
      <c r="AM91" s="6">
        <v>30</v>
      </c>
      <c r="AN91" s="6">
        <v>23</v>
      </c>
      <c r="AO91" s="6">
        <v>99</v>
      </c>
      <c r="AP91" s="3">
        <v>2</v>
      </c>
      <c r="AQ91" s="18" t="s">
        <v>95</v>
      </c>
      <c r="AR91" s="6"/>
      <c r="AS91" s="18" t="s">
        <v>324</v>
      </c>
      <c r="AT91" s="6"/>
    </row>
    <row r="92" spans="1:46" ht="30" customHeight="1" x14ac:dyDescent="0.25">
      <c r="A92" s="21" t="s">
        <v>97</v>
      </c>
      <c r="B92" s="37" t="s">
        <v>83</v>
      </c>
      <c r="C92" s="21" t="s">
        <v>66</v>
      </c>
      <c r="D92" s="7">
        <v>42</v>
      </c>
      <c r="E92" s="23" t="s">
        <v>33</v>
      </c>
      <c r="F92" s="7">
        <v>57</v>
      </c>
      <c r="G92" s="10" t="s">
        <v>65</v>
      </c>
      <c r="H92" s="10" t="s">
        <v>51</v>
      </c>
      <c r="I92" s="10">
        <v>48</v>
      </c>
      <c r="J92" s="22">
        <v>61</v>
      </c>
      <c r="K92" s="22">
        <v>20</v>
      </c>
      <c r="L92" s="10">
        <v>15</v>
      </c>
      <c r="M92" s="10">
        <v>110</v>
      </c>
      <c r="N92" s="22">
        <v>108</v>
      </c>
      <c r="O92" s="22">
        <v>112</v>
      </c>
      <c r="P92" s="22">
        <v>74</v>
      </c>
      <c r="Q92" s="22">
        <v>41</v>
      </c>
      <c r="R92" s="10">
        <v>48</v>
      </c>
      <c r="S92" s="22">
        <v>62</v>
      </c>
      <c r="T92" s="10">
        <v>18</v>
      </c>
      <c r="U92" s="10">
        <v>13</v>
      </c>
      <c r="V92" s="10">
        <v>30</v>
      </c>
      <c r="W92" s="10">
        <v>28</v>
      </c>
      <c r="X92" s="10">
        <v>30</v>
      </c>
      <c r="Y92" s="10">
        <v>74</v>
      </c>
      <c r="Z92" s="10">
        <v>41</v>
      </c>
      <c r="AA92" s="22">
        <v>48</v>
      </c>
      <c r="AB92" s="22">
        <v>26</v>
      </c>
      <c r="AC92" s="22">
        <v>18</v>
      </c>
      <c r="AD92" s="22">
        <v>30</v>
      </c>
      <c r="AE92" s="22">
        <v>28</v>
      </c>
      <c r="AF92" s="22">
        <v>30</v>
      </c>
      <c r="AG92" s="6">
        <v>74</v>
      </c>
      <c r="AH92" s="22">
        <v>41</v>
      </c>
      <c r="AI92" s="20">
        <v>99</v>
      </c>
      <c r="AJ92" s="20">
        <v>107</v>
      </c>
      <c r="AK92" s="20">
        <v>69</v>
      </c>
      <c r="AL92" s="6">
        <v>36</v>
      </c>
      <c r="AM92" s="6">
        <v>26</v>
      </c>
      <c r="AN92" s="6">
        <v>20</v>
      </c>
      <c r="AO92" s="6">
        <v>98</v>
      </c>
      <c r="AP92" s="3">
        <v>2</v>
      </c>
      <c r="AQ92" s="18" t="s">
        <v>95</v>
      </c>
      <c r="AR92" s="6"/>
      <c r="AS92" s="18" t="s">
        <v>324</v>
      </c>
      <c r="AT92" s="6"/>
    </row>
    <row r="93" spans="1:46" ht="30" customHeight="1" x14ac:dyDescent="0.25">
      <c r="A93" s="21" t="s">
        <v>98</v>
      </c>
      <c r="B93" s="37" t="s">
        <v>84</v>
      </c>
      <c r="C93" s="21" t="s">
        <v>66</v>
      </c>
      <c r="D93" s="7">
        <v>42</v>
      </c>
      <c r="E93" s="23" t="s">
        <v>33</v>
      </c>
      <c r="F93" s="7">
        <v>56</v>
      </c>
      <c r="G93" s="10" t="s">
        <v>65</v>
      </c>
      <c r="H93" s="10" t="s">
        <v>51</v>
      </c>
      <c r="I93" s="10">
        <v>46</v>
      </c>
      <c r="J93" s="22">
        <v>62</v>
      </c>
      <c r="K93" s="22">
        <v>19</v>
      </c>
      <c r="L93" s="10">
        <v>14</v>
      </c>
      <c r="M93" s="10">
        <v>104</v>
      </c>
      <c r="N93" s="22">
        <v>96</v>
      </c>
      <c r="O93" s="22">
        <v>106</v>
      </c>
      <c r="P93" s="22">
        <v>74</v>
      </c>
      <c r="Q93" s="22">
        <v>40</v>
      </c>
      <c r="R93" s="10">
        <v>46</v>
      </c>
      <c r="S93" s="22">
        <v>63</v>
      </c>
      <c r="T93" s="10">
        <v>17</v>
      </c>
      <c r="U93" s="10">
        <v>13</v>
      </c>
      <c r="V93" s="10">
        <v>28</v>
      </c>
      <c r="W93" s="10">
        <v>26</v>
      </c>
      <c r="X93" s="10">
        <v>28</v>
      </c>
      <c r="Y93" s="10">
        <v>74</v>
      </c>
      <c r="Z93" s="10">
        <v>40</v>
      </c>
      <c r="AA93" s="22">
        <v>46</v>
      </c>
      <c r="AB93" s="22">
        <v>26</v>
      </c>
      <c r="AC93" s="22">
        <v>17</v>
      </c>
      <c r="AD93" s="22">
        <v>28</v>
      </c>
      <c r="AE93" s="22">
        <v>26</v>
      </c>
      <c r="AF93" s="22">
        <v>28</v>
      </c>
      <c r="AG93" s="6">
        <v>74</v>
      </c>
      <c r="AH93" s="22">
        <v>40</v>
      </c>
      <c r="AI93" s="20">
        <v>88</v>
      </c>
      <c r="AJ93" s="20">
        <v>104</v>
      </c>
      <c r="AK93" s="20">
        <v>66</v>
      </c>
      <c r="AL93" s="6">
        <v>33</v>
      </c>
      <c r="AM93" s="6">
        <v>26</v>
      </c>
      <c r="AN93" s="6">
        <v>21</v>
      </c>
      <c r="AO93" s="6">
        <v>98</v>
      </c>
      <c r="AP93" s="3">
        <v>2</v>
      </c>
      <c r="AQ93" s="18" t="s">
        <v>95</v>
      </c>
      <c r="AR93" s="6"/>
      <c r="AS93" s="18" t="s">
        <v>324</v>
      </c>
      <c r="AT93" s="6"/>
    </row>
    <row r="94" spans="1:46" ht="30" customHeight="1" x14ac:dyDescent="0.25">
      <c r="A94" s="21" t="s">
        <v>99</v>
      </c>
      <c r="B94" s="37" t="s">
        <v>85</v>
      </c>
      <c r="C94" s="21" t="s">
        <v>66</v>
      </c>
      <c r="D94" s="7">
        <v>41</v>
      </c>
      <c r="E94" s="23" t="s">
        <v>32</v>
      </c>
      <c r="F94" s="7">
        <v>57</v>
      </c>
      <c r="G94" s="10" t="s">
        <v>65</v>
      </c>
      <c r="H94" s="10" t="s">
        <v>51</v>
      </c>
      <c r="I94" s="10">
        <v>46</v>
      </c>
      <c r="J94" s="22">
        <v>61</v>
      </c>
      <c r="K94" s="22">
        <v>19</v>
      </c>
      <c r="L94" s="10">
        <v>14</v>
      </c>
      <c r="M94" s="10">
        <v>106</v>
      </c>
      <c r="N94" s="22">
        <v>100</v>
      </c>
      <c r="O94" s="22">
        <v>108</v>
      </c>
      <c r="P94" s="22">
        <v>73</v>
      </c>
      <c r="Q94" s="22">
        <v>41</v>
      </c>
      <c r="R94" s="10">
        <v>46</v>
      </c>
      <c r="S94" s="22">
        <v>62</v>
      </c>
      <c r="T94" s="10">
        <v>18</v>
      </c>
      <c r="U94" s="10">
        <v>13</v>
      </c>
      <c r="V94" s="10">
        <v>28</v>
      </c>
      <c r="W94" s="10">
        <v>27</v>
      </c>
      <c r="X94" s="10">
        <v>28</v>
      </c>
      <c r="Y94" s="10">
        <v>73</v>
      </c>
      <c r="Z94" s="10">
        <v>41</v>
      </c>
      <c r="AA94" s="22">
        <v>46</v>
      </c>
      <c r="AB94" s="22">
        <v>26</v>
      </c>
      <c r="AC94" s="22">
        <v>18</v>
      </c>
      <c r="AD94" s="22">
        <v>28</v>
      </c>
      <c r="AE94" s="22">
        <v>27</v>
      </c>
      <c r="AF94" s="22">
        <v>28</v>
      </c>
      <c r="AG94" s="6">
        <v>73</v>
      </c>
      <c r="AH94" s="22">
        <v>41</v>
      </c>
      <c r="AI94" s="20">
        <v>90</v>
      </c>
      <c r="AJ94" s="20">
        <v>104</v>
      </c>
      <c r="AK94" s="20">
        <v>69</v>
      </c>
      <c r="AL94" s="6">
        <v>34</v>
      </c>
      <c r="AM94" s="6">
        <v>25</v>
      </c>
      <c r="AN94" s="6">
        <v>21</v>
      </c>
      <c r="AO94" s="6">
        <v>94</v>
      </c>
      <c r="AP94" s="3">
        <v>2</v>
      </c>
      <c r="AQ94" s="18" t="s">
        <v>95</v>
      </c>
      <c r="AR94" s="6"/>
      <c r="AS94" s="18" t="s">
        <v>324</v>
      </c>
      <c r="AT94" s="6"/>
    </row>
    <row r="95" spans="1:46" ht="30" customHeight="1" x14ac:dyDescent="0.25">
      <c r="A95" s="21" t="s">
        <v>100</v>
      </c>
      <c r="B95" s="37" t="s">
        <v>86</v>
      </c>
      <c r="C95" s="21" t="s">
        <v>66</v>
      </c>
      <c r="D95" s="7">
        <v>42</v>
      </c>
      <c r="E95" s="23" t="s">
        <v>33</v>
      </c>
      <c r="F95" s="7">
        <v>57</v>
      </c>
      <c r="G95" s="10" t="s">
        <v>65</v>
      </c>
      <c r="H95" s="10" t="s">
        <v>51</v>
      </c>
      <c r="I95" s="10">
        <v>48</v>
      </c>
      <c r="J95" s="22">
        <v>62</v>
      </c>
      <c r="K95" s="22">
        <v>20</v>
      </c>
      <c r="L95" s="10">
        <v>15</v>
      </c>
      <c r="M95" s="10">
        <v>114</v>
      </c>
      <c r="N95" s="22">
        <v>110</v>
      </c>
      <c r="O95" s="22">
        <v>115</v>
      </c>
      <c r="P95" s="22">
        <v>74</v>
      </c>
      <c r="Q95" s="22">
        <v>43</v>
      </c>
      <c r="R95" s="10">
        <v>48</v>
      </c>
      <c r="S95" s="22">
        <v>63</v>
      </c>
      <c r="T95" s="10">
        <v>19</v>
      </c>
      <c r="U95" s="10">
        <v>13</v>
      </c>
      <c r="V95" s="10">
        <v>30</v>
      </c>
      <c r="W95" s="10">
        <v>28</v>
      </c>
      <c r="X95" s="10">
        <v>30</v>
      </c>
      <c r="Y95" s="10">
        <v>74</v>
      </c>
      <c r="Z95" s="10">
        <v>43</v>
      </c>
      <c r="AA95" s="22">
        <v>48</v>
      </c>
      <c r="AB95" s="22">
        <v>26</v>
      </c>
      <c r="AC95" s="22">
        <v>19</v>
      </c>
      <c r="AD95" s="22">
        <v>30</v>
      </c>
      <c r="AE95" s="22">
        <v>28</v>
      </c>
      <c r="AF95" s="22">
        <v>30</v>
      </c>
      <c r="AG95" s="6">
        <v>74</v>
      </c>
      <c r="AH95" s="22">
        <v>43</v>
      </c>
      <c r="AI95" s="20">
        <v>101</v>
      </c>
      <c r="AJ95" s="20">
        <v>113</v>
      </c>
      <c r="AK95" s="20">
        <v>72</v>
      </c>
      <c r="AL95" s="6">
        <v>36</v>
      </c>
      <c r="AM95" s="6">
        <v>26</v>
      </c>
      <c r="AN95" s="6">
        <v>22</v>
      </c>
      <c r="AO95" s="6">
        <v>99</v>
      </c>
      <c r="AP95" s="3">
        <v>2</v>
      </c>
      <c r="AQ95" s="18" t="s">
        <v>95</v>
      </c>
      <c r="AR95" s="6"/>
      <c r="AS95" s="18" t="s">
        <v>324</v>
      </c>
      <c r="AT95" s="6"/>
    </row>
    <row r="96" spans="1:46" ht="30" customHeight="1" x14ac:dyDescent="0.25">
      <c r="A96" s="21" t="s">
        <v>101</v>
      </c>
      <c r="B96" s="37" t="s">
        <v>87</v>
      </c>
      <c r="C96" s="21" t="s">
        <v>66</v>
      </c>
      <c r="D96" s="7">
        <v>43</v>
      </c>
      <c r="E96" s="23" t="s">
        <v>33</v>
      </c>
      <c r="F96" s="7">
        <v>59</v>
      </c>
      <c r="G96" s="10" t="s">
        <v>65</v>
      </c>
      <c r="H96" s="10" t="s">
        <v>51</v>
      </c>
      <c r="I96" s="10">
        <v>47</v>
      </c>
      <c r="J96" s="22">
        <v>58</v>
      </c>
      <c r="K96" s="22">
        <v>20</v>
      </c>
      <c r="L96" s="10">
        <v>14</v>
      </c>
      <c r="M96" s="10">
        <v>110</v>
      </c>
      <c r="N96" s="22">
        <v>106</v>
      </c>
      <c r="O96" s="22">
        <v>114</v>
      </c>
      <c r="P96" s="22">
        <v>70</v>
      </c>
      <c r="Q96" s="22">
        <v>42</v>
      </c>
      <c r="R96" s="10">
        <v>47</v>
      </c>
      <c r="S96" s="22">
        <v>59</v>
      </c>
      <c r="T96" s="10">
        <v>18</v>
      </c>
      <c r="U96" s="10">
        <v>13</v>
      </c>
      <c r="V96" s="10">
        <v>29</v>
      </c>
      <c r="W96" s="10">
        <v>27</v>
      </c>
      <c r="X96" s="10">
        <v>29</v>
      </c>
      <c r="Y96" s="10">
        <v>70</v>
      </c>
      <c r="Z96" s="10">
        <v>42</v>
      </c>
      <c r="AA96" s="22">
        <v>47</v>
      </c>
      <c r="AB96" s="22">
        <v>25</v>
      </c>
      <c r="AC96" s="22">
        <v>18</v>
      </c>
      <c r="AD96" s="22">
        <v>29</v>
      </c>
      <c r="AE96" s="22">
        <v>27</v>
      </c>
      <c r="AF96" s="22">
        <v>29</v>
      </c>
      <c r="AG96" s="6">
        <v>70</v>
      </c>
      <c r="AH96" s="22">
        <v>42</v>
      </c>
      <c r="AI96" s="20">
        <v>98</v>
      </c>
      <c r="AJ96" s="20">
        <v>112</v>
      </c>
      <c r="AK96" s="20">
        <v>68</v>
      </c>
      <c r="AL96" s="6">
        <v>36</v>
      </c>
      <c r="AM96" s="6">
        <v>26</v>
      </c>
      <c r="AN96" s="6">
        <v>21</v>
      </c>
      <c r="AO96" s="6">
        <v>101</v>
      </c>
      <c r="AP96" s="3">
        <v>2</v>
      </c>
      <c r="AQ96" s="18" t="s">
        <v>95</v>
      </c>
      <c r="AR96" s="6"/>
      <c r="AS96" s="18" t="s">
        <v>324</v>
      </c>
      <c r="AT96" s="6"/>
    </row>
    <row r="97" spans="1:46" ht="30" customHeight="1" x14ac:dyDescent="0.25">
      <c r="A97" s="21" t="s">
        <v>102</v>
      </c>
      <c r="B97" s="37" t="s">
        <v>88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60</v>
      </c>
      <c r="K97" s="22">
        <v>20</v>
      </c>
      <c r="L97" s="10">
        <v>15</v>
      </c>
      <c r="M97" s="10">
        <v>116</v>
      </c>
      <c r="N97" s="22">
        <v>110</v>
      </c>
      <c r="O97" s="22">
        <v>120</v>
      </c>
      <c r="P97" s="22">
        <v>75</v>
      </c>
      <c r="Q97" s="22">
        <v>43</v>
      </c>
      <c r="R97" s="10">
        <v>48</v>
      </c>
      <c r="S97" s="22">
        <v>61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75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75</v>
      </c>
      <c r="AH97" s="22">
        <v>43</v>
      </c>
      <c r="AI97" s="20">
        <v>100</v>
      </c>
      <c r="AJ97" s="20">
        <v>116</v>
      </c>
      <c r="AK97" s="20">
        <v>70</v>
      </c>
      <c r="AL97" s="6">
        <v>36</v>
      </c>
      <c r="AM97" s="6">
        <v>26</v>
      </c>
      <c r="AN97" s="6">
        <v>22</v>
      </c>
      <c r="AO97" s="6">
        <v>100</v>
      </c>
      <c r="AP97" s="3">
        <v>2</v>
      </c>
      <c r="AQ97" s="18" t="s">
        <v>95</v>
      </c>
      <c r="AR97" s="6"/>
      <c r="AS97" s="18" t="s">
        <v>324</v>
      </c>
      <c r="AT97" s="6"/>
    </row>
    <row r="98" spans="1:46" ht="30" customHeight="1" x14ac:dyDescent="0.25">
      <c r="A98" s="21" t="s">
        <v>103</v>
      </c>
      <c r="B98" s="37" t="s">
        <v>89</v>
      </c>
      <c r="C98" s="21" t="s">
        <v>66</v>
      </c>
      <c r="D98" s="7">
        <v>42</v>
      </c>
      <c r="E98" s="23" t="s">
        <v>32</v>
      </c>
      <c r="F98" s="7">
        <v>56</v>
      </c>
      <c r="G98" s="10" t="s">
        <v>65</v>
      </c>
      <c r="H98" s="10" t="s">
        <v>51</v>
      </c>
      <c r="I98" s="10">
        <v>46</v>
      </c>
      <c r="J98" s="22">
        <v>62</v>
      </c>
      <c r="K98" s="22">
        <v>19</v>
      </c>
      <c r="L98" s="10">
        <v>14</v>
      </c>
      <c r="M98" s="10">
        <v>104</v>
      </c>
      <c r="N98" s="22">
        <v>100</v>
      </c>
      <c r="O98" s="22">
        <v>108</v>
      </c>
      <c r="P98" s="22">
        <v>73</v>
      </c>
      <c r="Q98" s="22">
        <v>41</v>
      </c>
      <c r="R98" s="10">
        <v>46</v>
      </c>
      <c r="S98" s="22">
        <v>63</v>
      </c>
      <c r="T98" s="10">
        <v>18</v>
      </c>
      <c r="U98" s="10">
        <v>13</v>
      </c>
      <c r="V98" s="10">
        <v>28</v>
      </c>
      <c r="W98" s="10">
        <v>28</v>
      </c>
      <c r="X98" s="10">
        <v>28</v>
      </c>
      <c r="Y98" s="10">
        <v>73</v>
      </c>
      <c r="Z98" s="10">
        <v>41</v>
      </c>
      <c r="AA98" s="22">
        <v>46</v>
      </c>
      <c r="AB98" s="22">
        <v>27</v>
      </c>
      <c r="AC98" s="22">
        <v>18</v>
      </c>
      <c r="AD98" s="22">
        <v>28</v>
      </c>
      <c r="AE98" s="22">
        <v>28</v>
      </c>
      <c r="AF98" s="22">
        <v>28</v>
      </c>
      <c r="AG98" s="6">
        <v>73</v>
      </c>
      <c r="AH98" s="22">
        <v>41</v>
      </c>
      <c r="AI98" s="20">
        <v>92</v>
      </c>
      <c r="AJ98" s="20">
        <v>105</v>
      </c>
      <c r="AK98" s="20">
        <v>66</v>
      </c>
      <c r="AL98" s="6">
        <v>34</v>
      </c>
      <c r="AM98" s="6">
        <v>25</v>
      </c>
      <c r="AN98" s="6">
        <v>20</v>
      </c>
      <c r="AO98" s="6">
        <v>99</v>
      </c>
      <c r="AP98" s="3">
        <v>2</v>
      </c>
      <c r="AQ98" s="18" t="s">
        <v>95</v>
      </c>
      <c r="AR98" s="6"/>
      <c r="AS98" s="18" t="s">
        <v>324</v>
      </c>
      <c r="AT98" s="6"/>
    </row>
    <row r="99" spans="1:46" ht="30" customHeight="1" x14ac:dyDescent="0.25">
      <c r="A99" s="21" t="s">
        <v>104</v>
      </c>
      <c r="B99" s="37" t="s">
        <v>90</v>
      </c>
      <c r="C99" s="21" t="s">
        <v>66</v>
      </c>
      <c r="D99" s="7">
        <v>39</v>
      </c>
      <c r="E99" s="23" t="s">
        <v>32</v>
      </c>
      <c r="F99" s="7">
        <v>55</v>
      </c>
      <c r="G99" s="10" t="s">
        <v>65</v>
      </c>
      <c r="H99" s="10" t="s">
        <v>51</v>
      </c>
      <c r="I99" s="10">
        <v>46</v>
      </c>
      <c r="J99" s="22">
        <v>58</v>
      </c>
      <c r="K99" s="22">
        <v>19</v>
      </c>
      <c r="L99" s="10">
        <v>14</v>
      </c>
      <c r="M99" s="10">
        <v>102</v>
      </c>
      <c r="N99" s="22">
        <v>98</v>
      </c>
      <c r="O99" s="22">
        <v>105</v>
      </c>
      <c r="P99" s="22">
        <v>72</v>
      </c>
      <c r="Q99" s="22">
        <v>40</v>
      </c>
      <c r="R99" s="10">
        <v>46</v>
      </c>
      <c r="S99" s="22">
        <v>59</v>
      </c>
      <c r="T99" s="10">
        <v>17</v>
      </c>
      <c r="U99" s="10">
        <v>13</v>
      </c>
      <c r="V99" s="10">
        <v>28</v>
      </c>
      <c r="W99" s="10">
        <v>26</v>
      </c>
      <c r="X99" s="10">
        <v>28</v>
      </c>
      <c r="Y99" s="10">
        <v>72</v>
      </c>
      <c r="Z99" s="10">
        <v>40</v>
      </c>
      <c r="AA99" s="22">
        <v>46</v>
      </c>
      <c r="AB99" s="22">
        <v>25</v>
      </c>
      <c r="AC99" s="22">
        <v>17</v>
      </c>
      <c r="AD99" s="22">
        <v>28</v>
      </c>
      <c r="AE99" s="22">
        <v>26</v>
      </c>
      <c r="AF99" s="22">
        <v>28</v>
      </c>
      <c r="AG99" s="6">
        <v>72</v>
      </c>
      <c r="AH99" s="22">
        <v>40</v>
      </c>
      <c r="AI99" s="20">
        <v>88</v>
      </c>
      <c r="AJ99" s="20">
        <v>103</v>
      </c>
      <c r="AK99" s="20">
        <v>67</v>
      </c>
      <c r="AL99" s="6">
        <v>33</v>
      </c>
      <c r="AM99" s="6">
        <v>25</v>
      </c>
      <c r="AN99" s="6">
        <v>21</v>
      </c>
      <c r="AO99" s="6">
        <v>95</v>
      </c>
      <c r="AP99" s="3">
        <v>2</v>
      </c>
      <c r="AQ99" s="18" t="s">
        <v>95</v>
      </c>
      <c r="AR99" s="6"/>
      <c r="AS99" s="18" t="s">
        <v>324</v>
      </c>
      <c r="AT99" s="6"/>
    </row>
    <row r="100" spans="1:46" ht="30" customHeight="1" x14ac:dyDescent="0.25">
      <c r="A100" s="21" t="s">
        <v>105</v>
      </c>
      <c r="B100" s="37" t="s">
        <v>91</v>
      </c>
      <c r="C100" s="21" t="s">
        <v>66</v>
      </c>
      <c r="D100" s="7">
        <v>42</v>
      </c>
      <c r="E100" s="23" t="s">
        <v>33</v>
      </c>
      <c r="F100" s="7">
        <v>58</v>
      </c>
      <c r="G100" s="10" t="s">
        <v>65</v>
      </c>
      <c r="H100" s="10" t="s">
        <v>51</v>
      </c>
      <c r="I100" s="10">
        <v>47</v>
      </c>
      <c r="J100" s="22">
        <v>61</v>
      </c>
      <c r="K100" s="22">
        <v>19</v>
      </c>
      <c r="L100" s="10">
        <v>14</v>
      </c>
      <c r="M100" s="10">
        <v>106</v>
      </c>
      <c r="N100" s="22">
        <v>100</v>
      </c>
      <c r="O100" s="22">
        <v>114</v>
      </c>
      <c r="P100" s="22">
        <v>73</v>
      </c>
      <c r="Q100" s="22">
        <v>42</v>
      </c>
      <c r="R100" s="10">
        <v>47</v>
      </c>
      <c r="S100" s="22">
        <v>62</v>
      </c>
      <c r="T100" s="10">
        <v>17</v>
      </c>
      <c r="U100" s="10">
        <v>13</v>
      </c>
      <c r="V100" s="10">
        <v>28</v>
      </c>
      <c r="W100" s="10">
        <v>27</v>
      </c>
      <c r="X100" s="10">
        <v>28</v>
      </c>
      <c r="Y100" s="10">
        <v>73</v>
      </c>
      <c r="Z100" s="10">
        <v>42</v>
      </c>
      <c r="AA100" s="22">
        <v>47</v>
      </c>
      <c r="AB100" s="22">
        <v>26</v>
      </c>
      <c r="AC100" s="22">
        <v>17</v>
      </c>
      <c r="AD100" s="22">
        <v>28</v>
      </c>
      <c r="AE100" s="22">
        <v>27</v>
      </c>
      <c r="AF100" s="22">
        <v>28</v>
      </c>
      <c r="AG100" s="6">
        <v>73</v>
      </c>
      <c r="AH100" s="22">
        <v>42</v>
      </c>
      <c r="AI100" s="20">
        <v>90</v>
      </c>
      <c r="AJ100" s="20">
        <v>112</v>
      </c>
      <c r="AK100" s="20">
        <v>70</v>
      </c>
      <c r="AL100" s="6">
        <v>35</v>
      </c>
      <c r="AM100" s="6">
        <v>26</v>
      </c>
      <c r="AN100" s="6">
        <v>20</v>
      </c>
      <c r="AO100" s="6">
        <v>101</v>
      </c>
      <c r="AP100" s="3">
        <v>2</v>
      </c>
      <c r="AQ100" s="18" t="s">
        <v>95</v>
      </c>
      <c r="AR100" s="6"/>
      <c r="AS100" s="18" t="s">
        <v>324</v>
      </c>
      <c r="AT100" s="6"/>
    </row>
    <row r="101" spans="1:46" ht="30" customHeight="1" x14ac:dyDescent="0.25">
      <c r="A101" s="21" t="s">
        <v>106</v>
      </c>
      <c r="B101" s="37" t="s">
        <v>92</v>
      </c>
      <c r="C101" s="21" t="s">
        <v>66</v>
      </c>
      <c r="D101" s="7">
        <v>41</v>
      </c>
      <c r="E101" s="23" t="s">
        <v>33</v>
      </c>
      <c r="F101" s="7">
        <v>57</v>
      </c>
      <c r="G101" s="10" t="s">
        <v>65</v>
      </c>
      <c r="H101" s="10" t="s">
        <v>51</v>
      </c>
      <c r="I101" s="10">
        <v>47</v>
      </c>
      <c r="J101" s="22">
        <v>61</v>
      </c>
      <c r="K101" s="22">
        <v>19</v>
      </c>
      <c r="L101" s="10">
        <v>14</v>
      </c>
      <c r="M101" s="10">
        <v>112</v>
      </c>
      <c r="N101" s="22">
        <v>106</v>
      </c>
      <c r="O101" s="22">
        <v>114</v>
      </c>
      <c r="P101" s="22">
        <v>72</v>
      </c>
      <c r="Q101" s="22">
        <v>42</v>
      </c>
      <c r="R101" s="10">
        <v>47</v>
      </c>
      <c r="S101" s="22">
        <v>62</v>
      </c>
      <c r="T101" s="10">
        <v>18</v>
      </c>
      <c r="U101" s="10">
        <v>13</v>
      </c>
      <c r="V101" s="10">
        <v>28</v>
      </c>
      <c r="W101" s="10">
        <v>28</v>
      </c>
      <c r="X101" s="10">
        <v>28</v>
      </c>
      <c r="Y101" s="10">
        <v>72</v>
      </c>
      <c r="Z101" s="10">
        <v>42</v>
      </c>
      <c r="AA101" s="22">
        <v>47</v>
      </c>
      <c r="AB101" s="22">
        <v>26</v>
      </c>
      <c r="AC101" s="22">
        <v>18</v>
      </c>
      <c r="AD101" s="22">
        <v>28</v>
      </c>
      <c r="AE101" s="22">
        <v>28</v>
      </c>
      <c r="AF101" s="22">
        <v>28</v>
      </c>
      <c r="AG101" s="6">
        <v>72</v>
      </c>
      <c r="AH101" s="22">
        <v>42</v>
      </c>
      <c r="AI101" s="20">
        <v>92</v>
      </c>
      <c r="AJ101" s="20">
        <v>112</v>
      </c>
      <c r="AK101" s="20">
        <v>71</v>
      </c>
      <c r="AL101" s="6">
        <v>35</v>
      </c>
      <c r="AM101" s="6">
        <v>26</v>
      </c>
      <c r="AN101" s="6">
        <v>22</v>
      </c>
      <c r="AO101" s="6">
        <v>93</v>
      </c>
      <c r="AP101" s="3">
        <v>2</v>
      </c>
      <c r="AQ101" s="18" t="s">
        <v>95</v>
      </c>
      <c r="AR101" s="6"/>
      <c r="AS101" s="18" t="s">
        <v>324</v>
      </c>
      <c r="AT101" s="6"/>
    </row>
    <row r="102" spans="1:46" ht="30" customHeight="1" x14ac:dyDescent="0.25">
      <c r="A102" s="21" t="s">
        <v>107</v>
      </c>
      <c r="B102" s="37" t="s">
        <v>93</v>
      </c>
      <c r="C102" s="21" t="s">
        <v>66</v>
      </c>
      <c r="D102" s="7">
        <v>41</v>
      </c>
      <c r="E102" s="23" t="s">
        <v>31</v>
      </c>
      <c r="F102" s="7">
        <v>56</v>
      </c>
      <c r="G102" s="10" t="s">
        <v>65</v>
      </c>
      <c r="H102" s="10" t="s">
        <v>51</v>
      </c>
      <c r="I102" s="10">
        <v>44</v>
      </c>
      <c r="J102" s="29">
        <v>60</v>
      </c>
      <c r="K102" s="29">
        <v>18</v>
      </c>
      <c r="L102" s="28">
        <v>14</v>
      </c>
      <c r="M102" s="28">
        <v>94</v>
      </c>
      <c r="N102" s="29">
        <v>86</v>
      </c>
      <c r="O102" s="29">
        <v>100</v>
      </c>
      <c r="P102" s="29">
        <v>70</v>
      </c>
      <c r="Q102" s="29">
        <v>39</v>
      </c>
      <c r="R102" s="28">
        <v>44</v>
      </c>
      <c r="S102" s="28">
        <v>61</v>
      </c>
      <c r="T102" s="28">
        <v>16</v>
      </c>
      <c r="U102" s="28">
        <v>12</v>
      </c>
      <c r="V102" s="28">
        <v>26</v>
      </c>
      <c r="W102" s="28">
        <v>24</v>
      </c>
      <c r="X102" s="28">
        <v>26</v>
      </c>
      <c r="Y102" s="28">
        <v>70</v>
      </c>
      <c r="Z102" s="28">
        <v>39</v>
      </c>
      <c r="AA102" s="29">
        <v>44</v>
      </c>
      <c r="AB102" s="29">
        <v>26</v>
      </c>
      <c r="AC102" s="29">
        <v>16</v>
      </c>
      <c r="AD102" s="29">
        <v>26</v>
      </c>
      <c r="AE102" s="29">
        <v>24</v>
      </c>
      <c r="AF102" s="29">
        <v>26</v>
      </c>
      <c r="AG102" s="6">
        <v>70</v>
      </c>
      <c r="AH102" s="29">
        <v>39</v>
      </c>
      <c r="AI102" s="30">
        <v>76</v>
      </c>
      <c r="AJ102" s="30">
        <v>94</v>
      </c>
      <c r="AK102" s="30">
        <v>66</v>
      </c>
      <c r="AL102" s="6">
        <v>31</v>
      </c>
      <c r="AM102" s="6">
        <v>24</v>
      </c>
      <c r="AN102" s="6">
        <v>19</v>
      </c>
      <c r="AO102" s="6">
        <v>95</v>
      </c>
      <c r="AP102" s="3">
        <v>2</v>
      </c>
      <c r="AQ102" s="18" t="s">
        <v>95</v>
      </c>
      <c r="AR102" s="6"/>
      <c r="AS102" s="18" t="s">
        <v>324</v>
      </c>
      <c r="AT102" s="6"/>
    </row>
    <row r="103" spans="1:46" ht="30" customHeight="1" x14ac:dyDescent="0.25">
      <c r="A103" s="21" t="s">
        <v>108</v>
      </c>
      <c r="B103" s="37" t="s">
        <v>94</v>
      </c>
      <c r="C103" s="21" t="s">
        <v>66</v>
      </c>
      <c r="D103" s="7">
        <v>41</v>
      </c>
      <c r="E103" s="23" t="s">
        <v>33</v>
      </c>
      <c r="F103" s="7">
        <v>56</v>
      </c>
      <c r="G103" s="10" t="s">
        <v>65</v>
      </c>
      <c r="H103" s="10" t="s">
        <v>51</v>
      </c>
      <c r="I103" s="10">
        <v>46</v>
      </c>
      <c r="J103" s="29">
        <v>60</v>
      </c>
      <c r="K103" s="29">
        <v>19</v>
      </c>
      <c r="L103" s="28">
        <v>14</v>
      </c>
      <c r="M103" s="28">
        <v>106</v>
      </c>
      <c r="N103" s="29">
        <v>100</v>
      </c>
      <c r="O103" s="29">
        <v>112</v>
      </c>
      <c r="P103" s="29">
        <v>71</v>
      </c>
      <c r="Q103" s="29">
        <v>41</v>
      </c>
      <c r="R103" s="28">
        <v>46</v>
      </c>
      <c r="S103" s="28">
        <v>61</v>
      </c>
      <c r="T103" s="28">
        <v>18</v>
      </c>
      <c r="U103" s="28">
        <v>13</v>
      </c>
      <c r="V103" s="28">
        <v>28</v>
      </c>
      <c r="W103" s="28">
        <v>27</v>
      </c>
      <c r="X103" s="28">
        <v>28</v>
      </c>
      <c r="Y103" s="28">
        <v>71</v>
      </c>
      <c r="Z103" s="28">
        <v>41</v>
      </c>
      <c r="AA103" s="29">
        <v>46</v>
      </c>
      <c r="AB103" s="29">
        <v>26</v>
      </c>
      <c r="AC103" s="29">
        <v>18</v>
      </c>
      <c r="AD103" s="29">
        <v>28</v>
      </c>
      <c r="AE103" s="29">
        <v>27</v>
      </c>
      <c r="AF103" s="29">
        <v>28</v>
      </c>
      <c r="AG103" s="6">
        <v>71</v>
      </c>
      <c r="AH103" s="29">
        <v>41</v>
      </c>
      <c r="AI103" s="30">
        <v>90</v>
      </c>
      <c r="AJ103" s="30">
        <v>108</v>
      </c>
      <c r="AK103" s="30">
        <v>66</v>
      </c>
      <c r="AL103" s="6">
        <v>34</v>
      </c>
      <c r="AM103" s="6">
        <v>26</v>
      </c>
      <c r="AN103" s="6">
        <v>20</v>
      </c>
      <c r="AO103" s="6">
        <v>95</v>
      </c>
      <c r="AP103" s="3">
        <v>2</v>
      </c>
      <c r="AQ103" s="18" t="s">
        <v>95</v>
      </c>
      <c r="AR103" s="6"/>
      <c r="AS103" s="18" t="s">
        <v>324</v>
      </c>
      <c r="AT103" s="6"/>
    </row>
    <row r="104" spans="1:46" ht="30" customHeight="1" x14ac:dyDescent="0.25">
      <c r="A104" s="44" t="s">
        <v>142</v>
      </c>
      <c r="B104" s="49" t="s">
        <v>138</v>
      </c>
      <c r="C104" s="21" t="s">
        <v>66</v>
      </c>
      <c r="D104" s="7">
        <v>43</v>
      </c>
      <c r="E104" s="23" t="s">
        <v>35</v>
      </c>
      <c r="F104" s="7">
        <v>57</v>
      </c>
      <c r="G104" s="10" t="s">
        <v>65</v>
      </c>
      <c r="H104" s="10" t="s">
        <v>51</v>
      </c>
      <c r="I104" s="40">
        <v>50</v>
      </c>
      <c r="J104" s="29">
        <v>63</v>
      </c>
      <c r="K104" s="29">
        <v>21</v>
      </c>
      <c r="L104" s="40">
        <v>15</v>
      </c>
      <c r="M104" s="40">
        <v>120</v>
      </c>
      <c r="N104" s="29">
        <v>117</v>
      </c>
      <c r="O104" s="29">
        <v>125</v>
      </c>
      <c r="P104" s="29">
        <v>76</v>
      </c>
      <c r="Q104" s="29">
        <v>45</v>
      </c>
      <c r="R104" s="40">
        <v>50</v>
      </c>
      <c r="S104" s="40">
        <v>64</v>
      </c>
      <c r="T104" s="40">
        <v>20</v>
      </c>
      <c r="U104" s="40">
        <v>13</v>
      </c>
      <c r="V104" s="40">
        <v>31</v>
      </c>
      <c r="W104" s="40">
        <v>29</v>
      </c>
      <c r="X104" s="40">
        <v>31</v>
      </c>
      <c r="Y104" s="40">
        <v>76</v>
      </c>
      <c r="Z104" s="40">
        <v>45</v>
      </c>
      <c r="AA104" s="29">
        <v>50</v>
      </c>
      <c r="AB104" s="29">
        <v>27</v>
      </c>
      <c r="AC104" s="29">
        <v>20</v>
      </c>
      <c r="AD104" s="29">
        <v>31</v>
      </c>
      <c r="AE104" s="29">
        <v>29</v>
      </c>
      <c r="AF104" s="29">
        <v>31</v>
      </c>
      <c r="AG104" s="6">
        <v>76</v>
      </c>
      <c r="AH104" s="29">
        <v>45</v>
      </c>
      <c r="AI104" s="30">
        <v>107</v>
      </c>
      <c r="AJ104" s="30">
        <v>118</v>
      </c>
      <c r="AK104" s="30">
        <v>75</v>
      </c>
      <c r="AL104" s="6">
        <v>38</v>
      </c>
      <c r="AM104" s="6">
        <v>28</v>
      </c>
      <c r="AN104" s="6">
        <v>22</v>
      </c>
      <c r="AO104" s="6">
        <v>98</v>
      </c>
      <c r="AP104" s="3">
        <v>2</v>
      </c>
      <c r="AQ104" s="42" t="s">
        <v>136</v>
      </c>
      <c r="AR104" s="6"/>
      <c r="AS104" s="18" t="s">
        <v>324</v>
      </c>
      <c r="AT104" s="6"/>
    </row>
    <row r="105" spans="1:46" ht="30" customHeight="1" x14ac:dyDescent="0.25">
      <c r="A105" s="44" t="s">
        <v>143</v>
      </c>
      <c r="B105" s="49" t="s">
        <v>139</v>
      </c>
      <c r="C105" s="21" t="s">
        <v>66</v>
      </c>
      <c r="D105" s="7">
        <v>43</v>
      </c>
      <c r="E105" s="23" t="s">
        <v>121</v>
      </c>
      <c r="F105" s="7">
        <v>58</v>
      </c>
      <c r="G105" s="10" t="s">
        <v>65</v>
      </c>
      <c r="H105" s="10" t="s">
        <v>51</v>
      </c>
      <c r="I105" s="40">
        <v>50</v>
      </c>
      <c r="J105" s="29">
        <v>63</v>
      </c>
      <c r="K105" s="29">
        <v>21</v>
      </c>
      <c r="L105" s="40">
        <v>15</v>
      </c>
      <c r="M105" s="40">
        <v>118</v>
      </c>
      <c r="N105" s="29">
        <v>114</v>
      </c>
      <c r="O105" s="29">
        <v>124</v>
      </c>
      <c r="P105" s="29">
        <v>77</v>
      </c>
      <c r="Q105" s="29">
        <v>45</v>
      </c>
      <c r="R105" s="40">
        <v>50</v>
      </c>
      <c r="S105" s="40">
        <v>64</v>
      </c>
      <c r="T105" s="40">
        <v>20</v>
      </c>
      <c r="U105" s="40">
        <v>13</v>
      </c>
      <c r="V105" s="40">
        <v>30</v>
      </c>
      <c r="W105" s="40">
        <v>29</v>
      </c>
      <c r="X105" s="40">
        <v>30</v>
      </c>
      <c r="Y105" s="40">
        <v>77</v>
      </c>
      <c r="Z105" s="40">
        <v>45</v>
      </c>
      <c r="AA105" s="29">
        <v>50</v>
      </c>
      <c r="AB105" s="29">
        <v>27</v>
      </c>
      <c r="AC105" s="29">
        <v>20</v>
      </c>
      <c r="AD105" s="29">
        <v>30</v>
      </c>
      <c r="AE105" s="29">
        <v>29</v>
      </c>
      <c r="AF105" s="29">
        <v>30</v>
      </c>
      <c r="AG105" s="6">
        <v>77</v>
      </c>
      <c r="AH105" s="29">
        <v>45</v>
      </c>
      <c r="AI105" s="30">
        <v>106</v>
      </c>
      <c r="AJ105" s="30">
        <v>124</v>
      </c>
      <c r="AK105" s="30">
        <v>72</v>
      </c>
      <c r="AL105" s="6">
        <v>37</v>
      </c>
      <c r="AM105" s="6">
        <v>24</v>
      </c>
      <c r="AN105" s="6">
        <v>22</v>
      </c>
      <c r="AO105" s="6">
        <v>97</v>
      </c>
      <c r="AP105" s="3">
        <v>2</v>
      </c>
      <c r="AQ105" s="42" t="s">
        <v>136</v>
      </c>
      <c r="AR105" s="6"/>
      <c r="AS105" s="18" t="s">
        <v>324</v>
      </c>
      <c r="AT105" s="6"/>
    </row>
    <row r="106" spans="1:46" ht="30" customHeight="1" x14ac:dyDescent="0.25">
      <c r="A106" s="44" t="s">
        <v>150</v>
      </c>
      <c r="B106" s="49" t="s">
        <v>140</v>
      </c>
      <c r="C106" s="21" t="s">
        <v>66</v>
      </c>
      <c r="D106" s="7">
        <v>42</v>
      </c>
      <c r="E106" s="23" t="s">
        <v>32</v>
      </c>
      <c r="F106" s="7">
        <v>55</v>
      </c>
      <c r="G106" s="10" t="s">
        <v>65</v>
      </c>
      <c r="H106" s="10" t="s">
        <v>51</v>
      </c>
      <c r="I106" s="40">
        <v>45</v>
      </c>
      <c r="J106" s="29">
        <v>60</v>
      </c>
      <c r="K106" s="29">
        <v>19</v>
      </c>
      <c r="L106" s="40">
        <v>14</v>
      </c>
      <c r="M106" s="40">
        <v>104</v>
      </c>
      <c r="N106" s="29">
        <v>100</v>
      </c>
      <c r="O106" s="29">
        <v>110</v>
      </c>
      <c r="P106" s="29">
        <v>70</v>
      </c>
      <c r="Q106" s="29">
        <v>41</v>
      </c>
      <c r="R106" s="40">
        <v>45</v>
      </c>
      <c r="S106" s="40">
        <v>61</v>
      </c>
      <c r="T106" s="40">
        <v>18</v>
      </c>
      <c r="U106" s="40">
        <v>13</v>
      </c>
      <c r="V106" s="40">
        <v>28</v>
      </c>
      <c r="W106" s="40">
        <v>28</v>
      </c>
      <c r="X106" s="40">
        <v>28</v>
      </c>
      <c r="Y106" s="40">
        <v>70</v>
      </c>
      <c r="Z106" s="40">
        <v>41</v>
      </c>
      <c r="AA106" s="29">
        <v>45</v>
      </c>
      <c r="AB106" s="29">
        <v>25</v>
      </c>
      <c r="AC106" s="29">
        <v>18</v>
      </c>
      <c r="AD106" s="29">
        <v>28</v>
      </c>
      <c r="AE106" s="29">
        <v>28</v>
      </c>
      <c r="AF106" s="29">
        <v>28</v>
      </c>
      <c r="AG106" s="6">
        <v>70</v>
      </c>
      <c r="AH106" s="29">
        <v>41</v>
      </c>
      <c r="AI106" s="30">
        <v>90</v>
      </c>
      <c r="AJ106" s="30">
        <v>108</v>
      </c>
      <c r="AK106" s="30">
        <v>67</v>
      </c>
      <c r="AL106" s="6">
        <v>34</v>
      </c>
      <c r="AM106" s="6">
        <v>26</v>
      </c>
      <c r="AN106" s="6">
        <v>21</v>
      </c>
      <c r="AO106" s="6">
        <v>94</v>
      </c>
      <c r="AP106" s="3">
        <v>2</v>
      </c>
      <c r="AQ106" s="42" t="s">
        <v>136</v>
      </c>
      <c r="AR106" s="6"/>
      <c r="AS106" s="18" t="s">
        <v>324</v>
      </c>
      <c r="AT106" s="6"/>
    </row>
    <row r="107" spans="1:46" ht="30" customHeight="1" x14ac:dyDescent="0.25">
      <c r="A107" s="44" t="s">
        <v>144</v>
      </c>
      <c r="B107" s="43" t="s">
        <v>141</v>
      </c>
      <c r="C107" s="21" t="s">
        <v>66</v>
      </c>
      <c r="D107" s="7">
        <v>42</v>
      </c>
      <c r="E107" s="23" t="s">
        <v>32</v>
      </c>
      <c r="F107" s="7">
        <v>58</v>
      </c>
      <c r="G107" s="10" t="s">
        <v>65</v>
      </c>
      <c r="H107" s="10" t="s">
        <v>51</v>
      </c>
      <c r="I107" s="40">
        <v>46</v>
      </c>
      <c r="J107" s="29">
        <v>58</v>
      </c>
      <c r="K107" s="29">
        <v>19</v>
      </c>
      <c r="L107" s="40">
        <v>14</v>
      </c>
      <c r="M107" s="40">
        <v>106</v>
      </c>
      <c r="N107" s="29">
        <v>102</v>
      </c>
      <c r="O107" s="29">
        <v>110</v>
      </c>
      <c r="P107" s="29">
        <v>71</v>
      </c>
      <c r="Q107" s="29">
        <v>43</v>
      </c>
      <c r="R107" s="40">
        <v>46</v>
      </c>
      <c r="S107" s="40">
        <v>59</v>
      </c>
      <c r="T107" s="40">
        <v>18</v>
      </c>
      <c r="U107" s="40">
        <v>13</v>
      </c>
      <c r="V107" s="40">
        <v>29</v>
      </c>
      <c r="W107" s="40">
        <v>27</v>
      </c>
      <c r="X107" s="40">
        <v>29</v>
      </c>
      <c r="Y107" s="40">
        <v>71</v>
      </c>
      <c r="Z107" s="40">
        <v>43</v>
      </c>
      <c r="AA107" s="29">
        <v>46</v>
      </c>
      <c r="AB107" s="29">
        <v>25</v>
      </c>
      <c r="AC107" s="29">
        <v>18</v>
      </c>
      <c r="AD107" s="29">
        <v>29</v>
      </c>
      <c r="AE107" s="29">
        <v>27</v>
      </c>
      <c r="AF107" s="29">
        <v>29</v>
      </c>
      <c r="AG107" s="6">
        <v>71</v>
      </c>
      <c r="AH107" s="29">
        <v>43</v>
      </c>
      <c r="AI107" s="30">
        <v>94</v>
      </c>
      <c r="AJ107" s="30">
        <v>106</v>
      </c>
      <c r="AK107" s="30">
        <v>69</v>
      </c>
      <c r="AL107" s="6">
        <v>35</v>
      </c>
      <c r="AM107" s="6">
        <v>26</v>
      </c>
      <c r="AN107" s="6">
        <v>20</v>
      </c>
      <c r="AO107" s="6">
        <v>94</v>
      </c>
      <c r="AP107" s="3">
        <v>2</v>
      </c>
      <c r="AQ107" s="42" t="s">
        <v>136</v>
      </c>
      <c r="AR107" s="6"/>
      <c r="AS107" s="18" t="s">
        <v>324</v>
      </c>
      <c r="AT107" s="6"/>
    </row>
    <row r="108" spans="1:46" ht="30" customHeight="1" x14ac:dyDescent="0.25">
      <c r="A108" s="44" t="s">
        <v>151</v>
      </c>
      <c r="B108" s="43" t="s">
        <v>146</v>
      </c>
      <c r="C108" s="21" t="s">
        <v>66</v>
      </c>
      <c r="D108" s="7">
        <v>43</v>
      </c>
      <c r="E108" s="23" t="s">
        <v>33</v>
      </c>
      <c r="F108" s="7">
        <v>60</v>
      </c>
      <c r="G108" s="10" t="s">
        <v>65</v>
      </c>
      <c r="H108" s="10" t="s">
        <v>51</v>
      </c>
      <c r="I108" s="40">
        <v>47</v>
      </c>
      <c r="J108" s="29">
        <v>63</v>
      </c>
      <c r="K108" s="29">
        <v>19</v>
      </c>
      <c r="L108" s="40">
        <v>14</v>
      </c>
      <c r="M108" s="40">
        <v>114</v>
      </c>
      <c r="N108" s="29">
        <v>107</v>
      </c>
      <c r="O108" s="29">
        <v>118</v>
      </c>
      <c r="P108" s="29">
        <v>74</v>
      </c>
      <c r="Q108" s="29">
        <v>43</v>
      </c>
      <c r="R108" s="40">
        <v>47</v>
      </c>
      <c r="S108" s="40">
        <v>64</v>
      </c>
      <c r="T108" s="40">
        <v>18</v>
      </c>
      <c r="U108" s="40">
        <v>13</v>
      </c>
      <c r="V108" s="40">
        <v>29</v>
      </c>
      <c r="W108" s="40">
        <v>27</v>
      </c>
      <c r="X108" s="40">
        <v>29</v>
      </c>
      <c r="Y108" s="40">
        <v>74</v>
      </c>
      <c r="Z108" s="40">
        <v>43</v>
      </c>
      <c r="AA108" s="29">
        <v>47</v>
      </c>
      <c r="AB108" s="29">
        <v>26</v>
      </c>
      <c r="AC108" s="29">
        <v>18</v>
      </c>
      <c r="AD108" s="29">
        <v>29</v>
      </c>
      <c r="AE108" s="29">
        <v>27</v>
      </c>
      <c r="AF108" s="29">
        <v>29</v>
      </c>
      <c r="AG108" s="6">
        <v>74</v>
      </c>
      <c r="AH108" s="29">
        <v>43</v>
      </c>
      <c r="AI108" s="30">
        <v>97</v>
      </c>
      <c r="AJ108" s="30">
        <v>116</v>
      </c>
      <c r="AK108" s="30">
        <v>73</v>
      </c>
      <c r="AL108" s="6">
        <v>35</v>
      </c>
      <c r="AM108" s="6">
        <v>25</v>
      </c>
      <c r="AN108" s="6">
        <v>22</v>
      </c>
      <c r="AO108" s="6">
        <v>103</v>
      </c>
      <c r="AP108" s="3">
        <v>2</v>
      </c>
      <c r="AQ108" s="42" t="s">
        <v>216</v>
      </c>
      <c r="AR108" s="6"/>
      <c r="AS108" s="18" t="s">
        <v>324</v>
      </c>
      <c r="AT108" s="6"/>
    </row>
    <row r="109" spans="1:46" ht="30" customHeight="1" x14ac:dyDescent="0.25">
      <c r="A109" s="44" t="s">
        <v>152</v>
      </c>
      <c r="B109" s="43" t="s">
        <v>147</v>
      </c>
      <c r="C109" s="21" t="s">
        <v>66</v>
      </c>
      <c r="D109" s="7">
        <v>42</v>
      </c>
      <c r="E109" s="23" t="s">
        <v>33</v>
      </c>
      <c r="F109" s="7">
        <v>56</v>
      </c>
      <c r="G109" s="10" t="s">
        <v>65</v>
      </c>
      <c r="H109" s="10" t="s">
        <v>51</v>
      </c>
      <c r="I109" s="40">
        <v>47</v>
      </c>
      <c r="J109" s="29">
        <v>63</v>
      </c>
      <c r="K109" s="29">
        <v>20</v>
      </c>
      <c r="L109" s="40">
        <v>15</v>
      </c>
      <c r="M109" s="40">
        <v>110</v>
      </c>
      <c r="N109" s="29">
        <v>106</v>
      </c>
      <c r="O109" s="29">
        <v>114</v>
      </c>
      <c r="P109" s="29">
        <v>73</v>
      </c>
      <c r="Q109" s="29">
        <v>43</v>
      </c>
      <c r="R109" s="40">
        <v>47</v>
      </c>
      <c r="S109" s="40">
        <v>64</v>
      </c>
      <c r="T109" s="40">
        <v>19</v>
      </c>
      <c r="U109" s="40">
        <v>13</v>
      </c>
      <c r="V109" s="40">
        <v>29</v>
      </c>
      <c r="W109" s="40">
        <v>27</v>
      </c>
      <c r="X109" s="40">
        <v>29</v>
      </c>
      <c r="Y109" s="40">
        <v>73</v>
      </c>
      <c r="Z109" s="40">
        <v>43</v>
      </c>
      <c r="AA109" s="29">
        <v>47</v>
      </c>
      <c r="AB109" s="29">
        <v>26</v>
      </c>
      <c r="AC109" s="29">
        <v>19</v>
      </c>
      <c r="AD109" s="29">
        <v>29</v>
      </c>
      <c r="AE109" s="29">
        <v>27</v>
      </c>
      <c r="AF109" s="29">
        <v>29</v>
      </c>
      <c r="AG109" s="6">
        <v>73</v>
      </c>
      <c r="AH109" s="29">
        <v>43</v>
      </c>
      <c r="AI109" s="30">
        <v>98</v>
      </c>
      <c r="AJ109" s="30">
        <v>112</v>
      </c>
      <c r="AK109" s="30">
        <v>68</v>
      </c>
      <c r="AL109" s="6">
        <v>36</v>
      </c>
      <c r="AM109" s="6">
        <v>26</v>
      </c>
      <c r="AN109" s="6">
        <v>22</v>
      </c>
      <c r="AO109" s="6">
        <v>102</v>
      </c>
      <c r="AP109" s="3">
        <v>2</v>
      </c>
      <c r="AQ109" s="42" t="s">
        <v>216</v>
      </c>
      <c r="AR109" s="6"/>
      <c r="AS109" s="18" t="s">
        <v>324</v>
      </c>
      <c r="AT109" s="6"/>
    </row>
    <row r="110" spans="1:46" ht="30" customHeight="1" x14ac:dyDescent="0.25">
      <c r="A110" s="44" t="s">
        <v>153</v>
      </c>
      <c r="B110" s="43" t="s">
        <v>148</v>
      </c>
      <c r="C110" s="21" t="s">
        <v>66</v>
      </c>
      <c r="D110" s="7">
        <v>43</v>
      </c>
      <c r="E110" s="23" t="s">
        <v>32</v>
      </c>
      <c r="F110" s="7">
        <v>58</v>
      </c>
      <c r="G110" s="10" t="s">
        <v>65</v>
      </c>
      <c r="H110" s="10" t="s">
        <v>51</v>
      </c>
      <c r="I110" s="40">
        <v>44</v>
      </c>
      <c r="J110" s="29">
        <v>61</v>
      </c>
      <c r="K110" s="29">
        <v>18</v>
      </c>
      <c r="L110" s="40">
        <v>14</v>
      </c>
      <c r="M110" s="40">
        <v>98</v>
      </c>
      <c r="N110" s="29">
        <v>90</v>
      </c>
      <c r="O110" s="29">
        <v>102</v>
      </c>
      <c r="P110" s="29">
        <v>73</v>
      </c>
      <c r="Q110" s="29">
        <v>39</v>
      </c>
      <c r="R110" s="40">
        <v>44</v>
      </c>
      <c r="S110" s="40">
        <v>62</v>
      </c>
      <c r="T110" s="40">
        <v>16</v>
      </c>
      <c r="U110" s="40">
        <v>12</v>
      </c>
      <c r="V110" s="40">
        <v>27</v>
      </c>
      <c r="W110" s="40">
        <v>24</v>
      </c>
      <c r="X110" s="40">
        <v>27</v>
      </c>
      <c r="Y110" s="40">
        <v>73</v>
      </c>
      <c r="Z110" s="40">
        <v>39</v>
      </c>
      <c r="AA110" s="29">
        <v>44</v>
      </c>
      <c r="AB110" s="29">
        <v>24</v>
      </c>
      <c r="AC110" s="29">
        <v>16</v>
      </c>
      <c r="AD110" s="29">
        <v>27</v>
      </c>
      <c r="AE110" s="29">
        <v>24</v>
      </c>
      <c r="AF110" s="29">
        <v>27</v>
      </c>
      <c r="AG110" s="6">
        <v>73</v>
      </c>
      <c r="AH110" s="29">
        <v>39</v>
      </c>
      <c r="AI110" s="30">
        <v>80</v>
      </c>
      <c r="AJ110" s="30">
        <v>98</v>
      </c>
      <c r="AK110" s="30">
        <v>66</v>
      </c>
      <c r="AL110" s="6">
        <v>31</v>
      </c>
      <c r="AM110" s="6">
        <v>24</v>
      </c>
      <c r="AN110" s="6">
        <v>19</v>
      </c>
      <c r="AO110" s="6">
        <v>96</v>
      </c>
      <c r="AP110" s="3">
        <v>2</v>
      </c>
      <c r="AQ110" s="42" t="s">
        <v>216</v>
      </c>
      <c r="AR110" s="6"/>
      <c r="AS110" s="18" t="s">
        <v>324</v>
      </c>
      <c r="AT110" s="6"/>
    </row>
    <row r="111" spans="1:46" ht="30" customHeight="1" x14ac:dyDescent="0.25">
      <c r="A111" s="44" t="s">
        <v>154</v>
      </c>
      <c r="B111" s="43" t="s">
        <v>149</v>
      </c>
      <c r="C111" s="21" t="s">
        <v>66</v>
      </c>
      <c r="D111" s="7">
        <v>41</v>
      </c>
      <c r="E111" s="23" t="s">
        <v>33</v>
      </c>
      <c r="F111" s="7">
        <v>55</v>
      </c>
      <c r="G111" s="10" t="s">
        <v>65</v>
      </c>
      <c r="H111" s="10" t="s">
        <v>51</v>
      </c>
      <c r="I111" s="40">
        <v>46</v>
      </c>
      <c r="J111" s="29">
        <v>58</v>
      </c>
      <c r="K111" s="29">
        <v>20</v>
      </c>
      <c r="L111" s="40">
        <v>15</v>
      </c>
      <c r="M111" s="40">
        <v>112</v>
      </c>
      <c r="N111" s="29">
        <v>108</v>
      </c>
      <c r="O111" s="29">
        <v>116</v>
      </c>
      <c r="P111" s="29">
        <v>70</v>
      </c>
      <c r="Q111" s="29">
        <v>43</v>
      </c>
      <c r="R111" s="40">
        <v>46</v>
      </c>
      <c r="S111" s="40">
        <v>59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70</v>
      </c>
      <c r="Z111" s="40">
        <v>43</v>
      </c>
      <c r="AA111" s="29">
        <v>46</v>
      </c>
      <c r="AB111" s="29">
        <v>25</v>
      </c>
      <c r="AC111" s="29">
        <v>19</v>
      </c>
      <c r="AD111" s="29">
        <v>29</v>
      </c>
      <c r="AE111" s="29">
        <v>27</v>
      </c>
      <c r="AF111" s="29">
        <v>29</v>
      </c>
      <c r="AG111" s="6">
        <v>70</v>
      </c>
      <c r="AH111" s="29">
        <v>43</v>
      </c>
      <c r="AI111" s="30">
        <v>98</v>
      </c>
      <c r="AJ111" s="30">
        <v>114</v>
      </c>
      <c r="AK111" s="30">
        <v>68</v>
      </c>
      <c r="AL111" s="6">
        <v>36</v>
      </c>
      <c r="AM111" s="6">
        <v>26</v>
      </c>
      <c r="AN111" s="6">
        <v>22</v>
      </c>
      <c r="AO111" s="6">
        <v>103</v>
      </c>
      <c r="AP111" s="3">
        <v>2</v>
      </c>
      <c r="AQ111" s="42" t="s">
        <v>216</v>
      </c>
      <c r="AR111" s="6"/>
      <c r="AS111" s="18" t="s">
        <v>324</v>
      </c>
      <c r="AT111" s="6"/>
    </row>
    <row r="112" spans="1:46" ht="30" customHeight="1" x14ac:dyDescent="0.25">
      <c r="A112" s="40" t="s">
        <v>290</v>
      </c>
      <c r="B112" s="51" t="s">
        <v>284</v>
      </c>
      <c r="C112" s="21" t="s">
        <v>66</v>
      </c>
      <c r="D112" s="3">
        <v>41</v>
      </c>
      <c r="E112" s="24" t="s">
        <v>121</v>
      </c>
      <c r="F112" s="3">
        <v>59</v>
      </c>
      <c r="G112" s="10" t="s">
        <v>65</v>
      </c>
      <c r="H112" s="10" t="s">
        <v>51</v>
      </c>
      <c r="I112" s="40">
        <v>52</v>
      </c>
      <c r="J112" s="29">
        <v>55</v>
      </c>
      <c r="K112" s="29">
        <v>22</v>
      </c>
      <c r="L112" s="40">
        <v>16</v>
      </c>
      <c r="M112" s="40">
        <v>125</v>
      </c>
      <c r="N112" s="29">
        <v>120</v>
      </c>
      <c r="O112" s="29">
        <v>125</v>
      </c>
      <c r="P112" s="29">
        <v>74</v>
      </c>
      <c r="Q112" s="29">
        <v>46</v>
      </c>
      <c r="R112" s="40">
        <v>52</v>
      </c>
      <c r="S112" s="40">
        <v>56</v>
      </c>
      <c r="T112" s="40">
        <v>21</v>
      </c>
      <c r="U112" s="40">
        <v>13</v>
      </c>
      <c r="V112" s="40">
        <v>33</v>
      </c>
      <c r="W112" s="40">
        <v>33</v>
      </c>
      <c r="X112" s="40">
        <v>33</v>
      </c>
      <c r="Y112" s="40">
        <v>74</v>
      </c>
      <c r="Z112" s="40">
        <v>46</v>
      </c>
      <c r="AA112" s="29">
        <v>52</v>
      </c>
      <c r="AB112" s="29">
        <v>25</v>
      </c>
      <c r="AC112" s="29">
        <v>21</v>
      </c>
      <c r="AD112" s="29">
        <v>33</v>
      </c>
      <c r="AE112" s="29">
        <v>33</v>
      </c>
      <c r="AF112" s="29">
        <v>33</v>
      </c>
      <c r="AG112" s="6">
        <v>74</v>
      </c>
      <c r="AH112" s="29">
        <v>46</v>
      </c>
      <c r="AI112" s="30">
        <v>110</v>
      </c>
      <c r="AJ112" s="30">
        <v>124</v>
      </c>
      <c r="AK112" s="30">
        <v>74</v>
      </c>
      <c r="AL112" s="6">
        <v>39</v>
      </c>
      <c r="AM112" s="6">
        <v>29</v>
      </c>
      <c r="AN112" s="6">
        <v>23</v>
      </c>
      <c r="AO112" s="6">
        <v>92</v>
      </c>
      <c r="AP112" s="3">
        <v>2</v>
      </c>
      <c r="AQ112" s="18" t="s">
        <v>323</v>
      </c>
      <c r="AR112" s="6"/>
      <c r="AS112" s="18" t="s">
        <v>324</v>
      </c>
      <c r="AT112" s="6"/>
    </row>
    <row r="113" spans="1:46" ht="30" customHeight="1" x14ac:dyDescent="0.25">
      <c r="A113" s="40" t="s">
        <v>291</v>
      </c>
      <c r="B113" s="51" t="s">
        <v>285</v>
      </c>
      <c r="C113" s="21" t="s">
        <v>66</v>
      </c>
      <c r="D113" s="3">
        <v>44</v>
      </c>
      <c r="E113" s="24" t="s">
        <v>121</v>
      </c>
      <c r="F113" s="3">
        <v>58</v>
      </c>
      <c r="G113" s="10" t="s">
        <v>65</v>
      </c>
      <c r="H113" s="10" t="s">
        <v>51</v>
      </c>
      <c r="I113" s="40">
        <v>50</v>
      </c>
      <c r="J113" s="29">
        <v>64</v>
      </c>
      <c r="K113" s="29">
        <v>21</v>
      </c>
      <c r="L113" s="40">
        <v>15</v>
      </c>
      <c r="M113" s="40">
        <v>118</v>
      </c>
      <c r="N113" s="29">
        <v>114</v>
      </c>
      <c r="O113" s="29">
        <v>120</v>
      </c>
      <c r="P113" s="29">
        <v>75</v>
      </c>
      <c r="Q113" s="29">
        <v>45</v>
      </c>
      <c r="R113" s="40">
        <v>50</v>
      </c>
      <c r="S113" s="40">
        <v>65</v>
      </c>
      <c r="T113" s="40">
        <v>21</v>
      </c>
      <c r="U113" s="40">
        <v>13</v>
      </c>
      <c r="V113" s="40">
        <v>30</v>
      </c>
      <c r="W113" s="40">
        <v>28</v>
      </c>
      <c r="X113" s="40">
        <v>30</v>
      </c>
      <c r="Y113" s="40">
        <v>75</v>
      </c>
      <c r="Z113" s="40">
        <v>45</v>
      </c>
      <c r="AA113" s="29">
        <v>50</v>
      </c>
      <c r="AB113" s="29">
        <v>27</v>
      </c>
      <c r="AC113" s="29">
        <v>21</v>
      </c>
      <c r="AD113" s="29">
        <v>30</v>
      </c>
      <c r="AE113" s="29">
        <v>28</v>
      </c>
      <c r="AF113" s="29">
        <v>30</v>
      </c>
      <c r="AG113" s="6">
        <v>75</v>
      </c>
      <c r="AH113" s="29">
        <v>45</v>
      </c>
      <c r="AI113" s="30">
        <v>104</v>
      </c>
      <c r="AJ113" s="30">
        <v>116</v>
      </c>
      <c r="AK113" s="30">
        <v>70</v>
      </c>
      <c r="AL113" s="6">
        <v>37</v>
      </c>
      <c r="AM113" s="6">
        <v>27</v>
      </c>
      <c r="AN113" s="6">
        <v>22</v>
      </c>
      <c r="AO113" s="6">
        <v>107</v>
      </c>
      <c r="AP113" s="3">
        <v>2</v>
      </c>
      <c r="AQ113" s="18" t="s">
        <v>323</v>
      </c>
      <c r="AR113" s="6"/>
      <c r="AS113" s="18" t="s">
        <v>324</v>
      </c>
      <c r="AT113" s="6"/>
    </row>
    <row r="114" spans="1:46" ht="30" customHeight="1" x14ac:dyDescent="0.25">
      <c r="A114" s="40" t="s">
        <v>292</v>
      </c>
      <c r="B114" s="51" t="s">
        <v>286</v>
      </c>
      <c r="C114" s="21" t="s">
        <v>66</v>
      </c>
      <c r="D114" s="3">
        <v>41</v>
      </c>
      <c r="E114" s="24" t="s">
        <v>32</v>
      </c>
      <c r="F114" s="3">
        <v>55</v>
      </c>
      <c r="G114" s="10" t="s">
        <v>65</v>
      </c>
      <c r="H114" s="10" t="s">
        <v>51</v>
      </c>
      <c r="I114" s="40">
        <v>45</v>
      </c>
      <c r="J114" s="29">
        <v>60</v>
      </c>
      <c r="K114" s="29">
        <v>19</v>
      </c>
      <c r="L114" s="40">
        <v>14</v>
      </c>
      <c r="M114" s="40">
        <v>108</v>
      </c>
      <c r="N114" s="29">
        <v>100</v>
      </c>
      <c r="O114" s="29">
        <v>112</v>
      </c>
      <c r="P114" s="29">
        <v>73</v>
      </c>
      <c r="Q114" s="29">
        <v>41</v>
      </c>
      <c r="R114" s="40">
        <v>45</v>
      </c>
      <c r="S114" s="40">
        <v>61</v>
      </c>
      <c r="T114" s="40">
        <v>18</v>
      </c>
      <c r="U114" s="40">
        <v>13</v>
      </c>
      <c r="V114" s="40">
        <v>28</v>
      </c>
      <c r="W114" s="40">
        <v>27</v>
      </c>
      <c r="X114" s="40">
        <v>28</v>
      </c>
      <c r="Y114" s="40">
        <v>73</v>
      </c>
      <c r="Z114" s="40">
        <v>41</v>
      </c>
      <c r="AA114" s="29">
        <v>45</v>
      </c>
      <c r="AB114" s="29">
        <v>24</v>
      </c>
      <c r="AC114" s="29">
        <v>18</v>
      </c>
      <c r="AD114" s="29">
        <v>28</v>
      </c>
      <c r="AE114" s="29">
        <v>27</v>
      </c>
      <c r="AF114" s="29">
        <v>28</v>
      </c>
      <c r="AG114" s="6">
        <v>73</v>
      </c>
      <c r="AH114" s="29">
        <v>41</v>
      </c>
      <c r="AI114" s="30">
        <v>90</v>
      </c>
      <c r="AJ114" s="30">
        <v>108</v>
      </c>
      <c r="AK114" s="30">
        <v>68</v>
      </c>
      <c r="AL114" s="6">
        <v>34</v>
      </c>
      <c r="AM114" s="6">
        <v>25</v>
      </c>
      <c r="AN114" s="6">
        <v>20</v>
      </c>
      <c r="AO114" s="6">
        <v>94</v>
      </c>
      <c r="AP114" s="3">
        <v>2</v>
      </c>
      <c r="AQ114" s="18" t="s">
        <v>323</v>
      </c>
      <c r="AR114" s="6"/>
      <c r="AS114" s="18" t="s">
        <v>324</v>
      </c>
      <c r="AT114" s="6"/>
    </row>
    <row r="115" spans="1:46" ht="30" customHeight="1" x14ac:dyDescent="0.25">
      <c r="A115" s="40" t="s">
        <v>293</v>
      </c>
      <c r="B115" s="51" t="s">
        <v>287</v>
      </c>
      <c r="C115" s="21" t="s">
        <v>66</v>
      </c>
      <c r="D115" s="3">
        <v>42</v>
      </c>
      <c r="E115" s="24" t="s">
        <v>33</v>
      </c>
      <c r="F115" s="3">
        <v>59</v>
      </c>
      <c r="G115" s="10" t="s">
        <v>65</v>
      </c>
      <c r="H115" s="10" t="s">
        <v>51</v>
      </c>
      <c r="I115" s="40">
        <v>46</v>
      </c>
      <c r="J115" s="29">
        <v>61</v>
      </c>
      <c r="K115" s="29">
        <v>20</v>
      </c>
      <c r="L115" s="40">
        <v>15</v>
      </c>
      <c r="M115" s="40">
        <v>110</v>
      </c>
      <c r="N115" s="29">
        <v>106</v>
      </c>
      <c r="O115" s="29">
        <v>114</v>
      </c>
      <c r="P115" s="29">
        <v>72</v>
      </c>
      <c r="Q115" s="29">
        <v>43</v>
      </c>
      <c r="R115" s="40">
        <v>46</v>
      </c>
      <c r="S115" s="40">
        <v>62</v>
      </c>
      <c r="T115" s="40">
        <v>19</v>
      </c>
      <c r="U115" s="40">
        <v>13</v>
      </c>
      <c r="V115" s="40">
        <v>29</v>
      </c>
      <c r="W115" s="40">
        <v>27</v>
      </c>
      <c r="X115" s="40">
        <v>29</v>
      </c>
      <c r="Y115" s="40">
        <v>72</v>
      </c>
      <c r="Z115" s="40">
        <v>43</v>
      </c>
      <c r="AA115" s="29">
        <v>46</v>
      </c>
      <c r="AB115" s="29">
        <v>26</v>
      </c>
      <c r="AC115" s="29">
        <v>19</v>
      </c>
      <c r="AD115" s="29">
        <v>29</v>
      </c>
      <c r="AE115" s="29">
        <v>27</v>
      </c>
      <c r="AF115" s="29">
        <v>29</v>
      </c>
      <c r="AG115" s="6">
        <v>72</v>
      </c>
      <c r="AH115" s="29">
        <v>43</v>
      </c>
      <c r="AI115" s="30">
        <v>96</v>
      </c>
      <c r="AJ115" s="30">
        <v>110</v>
      </c>
      <c r="AK115" s="30">
        <v>68</v>
      </c>
      <c r="AL115" s="6">
        <v>35</v>
      </c>
      <c r="AM115" s="6">
        <v>25</v>
      </c>
      <c r="AN115" s="6">
        <v>22</v>
      </c>
      <c r="AO115" s="6">
        <v>103</v>
      </c>
      <c r="AP115" s="3">
        <v>2</v>
      </c>
      <c r="AQ115" s="18" t="s">
        <v>323</v>
      </c>
      <c r="AR115" s="6"/>
      <c r="AS115" s="18" t="s">
        <v>324</v>
      </c>
      <c r="AT115" s="6"/>
    </row>
    <row r="116" spans="1:46" ht="30" customHeight="1" x14ac:dyDescent="0.25">
      <c r="A116" s="40" t="s">
        <v>294</v>
      </c>
      <c r="B116" s="48" t="s">
        <v>288</v>
      </c>
      <c r="C116" s="21" t="s">
        <v>66</v>
      </c>
      <c r="D116" s="3">
        <v>43</v>
      </c>
      <c r="E116" s="24" t="s">
        <v>33</v>
      </c>
      <c r="F116" s="3">
        <v>56</v>
      </c>
      <c r="G116" s="10" t="s">
        <v>65</v>
      </c>
      <c r="H116" s="10" t="s">
        <v>51</v>
      </c>
      <c r="I116" s="40">
        <v>46</v>
      </c>
      <c r="J116" s="29">
        <v>58</v>
      </c>
      <c r="K116" s="29">
        <v>19</v>
      </c>
      <c r="L116" s="40">
        <v>14</v>
      </c>
      <c r="M116" s="40">
        <v>108</v>
      </c>
      <c r="N116" s="29">
        <v>104</v>
      </c>
      <c r="O116" s="29">
        <v>112</v>
      </c>
      <c r="P116" s="29">
        <v>73</v>
      </c>
      <c r="Q116" s="29">
        <v>42</v>
      </c>
      <c r="R116" s="40">
        <v>46</v>
      </c>
      <c r="S116" s="40">
        <v>59</v>
      </c>
      <c r="T116" s="40">
        <v>18</v>
      </c>
      <c r="U116" s="40">
        <v>13</v>
      </c>
      <c r="V116" s="40">
        <v>29</v>
      </c>
      <c r="W116" s="40">
        <v>27</v>
      </c>
      <c r="X116" s="40">
        <v>29</v>
      </c>
      <c r="Y116" s="40">
        <v>73</v>
      </c>
      <c r="Z116" s="40">
        <v>42</v>
      </c>
      <c r="AA116" s="29">
        <v>46</v>
      </c>
      <c r="AB116" s="29">
        <v>25</v>
      </c>
      <c r="AC116" s="29">
        <v>18</v>
      </c>
      <c r="AD116" s="29">
        <v>29</v>
      </c>
      <c r="AE116" s="29">
        <v>27</v>
      </c>
      <c r="AF116" s="29">
        <v>29</v>
      </c>
      <c r="AG116" s="6">
        <v>73</v>
      </c>
      <c r="AH116" s="29">
        <v>42</v>
      </c>
      <c r="AI116" s="30">
        <v>94</v>
      </c>
      <c r="AJ116" s="30">
        <v>108</v>
      </c>
      <c r="AK116" s="30">
        <v>68</v>
      </c>
      <c r="AL116" s="6">
        <v>34</v>
      </c>
      <c r="AM116" s="6">
        <v>25</v>
      </c>
      <c r="AN116" s="6">
        <v>21</v>
      </c>
      <c r="AO116" s="6">
        <v>98</v>
      </c>
      <c r="AP116" s="3">
        <v>2</v>
      </c>
      <c r="AQ116" s="18" t="s">
        <v>323</v>
      </c>
      <c r="AR116" s="6"/>
      <c r="AS116" s="18" t="s">
        <v>324</v>
      </c>
      <c r="AT116" s="6"/>
    </row>
    <row r="117" spans="1:46" ht="30" customHeight="1" x14ac:dyDescent="0.25">
      <c r="A117" s="40" t="s">
        <v>295</v>
      </c>
      <c r="B117" s="38" t="s">
        <v>289</v>
      </c>
      <c r="C117" s="21" t="s">
        <v>66</v>
      </c>
      <c r="D117" s="31">
        <v>43</v>
      </c>
      <c r="E117" s="32" t="s">
        <v>33</v>
      </c>
      <c r="F117" s="31">
        <v>57</v>
      </c>
      <c r="G117" s="10" t="s">
        <v>65</v>
      </c>
      <c r="H117" s="10" t="s">
        <v>51</v>
      </c>
      <c r="I117" s="40">
        <v>50</v>
      </c>
      <c r="J117" s="29">
        <v>60</v>
      </c>
      <c r="K117" s="29">
        <v>19</v>
      </c>
      <c r="L117" s="40">
        <v>14</v>
      </c>
      <c r="M117" s="40">
        <v>110</v>
      </c>
      <c r="N117" s="29">
        <v>110</v>
      </c>
      <c r="O117" s="29">
        <v>112</v>
      </c>
      <c r="P117" s="29">
        <v>76</v>
      </c>
      <c r="Q117" s="29">
        <v>40</v>
      </c>
      <c r="R117" s="40"/>
      <c r="S117" s="40"/>
      <c r="T117" s="40"/>
      <c r="U117" s="40"/>
      <c r="V117" s="40"/>
      <c r="W117" s="40"/>
      <c r="X117" s="40"/>
      <c r="Y117" s="40"/>
      <c r="Z117" s="40"/>
      <c r="AA117" s="29">
        <v>50</v>
      </c>
      <c r="AB117" s="29">
        <v>25</v>
      </c>
      <c r="AC117" s="29">
        <v>19</v>
      </c>
      <c r="AD117" s="29">
        <v>33</v>
      </c>
      <c r="AE117" s="29">
        <v>33</v>
      </c>
      <c r="AF117" s="29">
        <v>33</v>
      </c>
      <c r="AG117" s="6">
        <v>40</v>
      </c>
      <c r="AH117" s="29">
        <v>76</v>
      </c>
      <c r="AI117" s="30">
        <v>98</v>
      </c>
      <c r="AJ117" s="30">
        <v>108</v>
      </c>
      <c r="AK117" s="30">
        <v>70</v>
      </c>
      <c r="AL117" s="6">
        <v>35</v>
      </c>
      <c r="AM117" s="6">
        <v>27</v>
      </c>
      <c r="AN117" s="6">
        <v>22</v>
      </c>
      <c r="AO117" s="6">
        <v>99</v>
      </c>
      <c r="AP117" s="3">
        <v>2</v>
      </c>
      <c r="AQ117" s="18" t="s">
        <v>323</v>
      </c>
      <c r="AR117" s="6"/>
      <c r="AS117" s="18" t="s">
        <v>324</v>
      </c>
      <c r="AT117" s="6"/>
    </row>
    <row r="118" spans="1:46" ht="30" customHeight="1" x14ac:dyDescent="0.25">
      <c r="A118" s="40" t="s">
        <v>330</v>
      </c>
      <c r="B118" s="38" t="s">
        <v>325</v>
      </c>
      <c r="C118" s="21" t="s">
        <v>66</v>
      </c>
      <c r="D118" s="31">
        <v>42</v>
      </c>
      <c r="E118" s="32" t="s">
        <v>32</v>
      </c>
      <c r="F118" s="31">
        <v>56</v>
      </c>
      <c r="G118" s="10" t="s">
        <v>65</v>
      </c>
      <c r="H118" s="10" t="s">
        <v>51</v>
      </c>
      <c r="I118" s="40">
        <v>46</v>
      </c>
      <c r="J118" s="29">
        <v>59</v>
      </c>
      <c r="K118" s="29">
        <v>20</v>
      </c>
      <c r="L118" s="40">
        <v>15</v>
      </c>
      <c r="M118" s="40">
        <v>106</v>
      </c>
      <c r="N118" s="29">
        <v>102</v>
      </c>
      <c r="O118" s="29">
        <v>112</v>
      </c>
      <c r="P118" s="29">
        <v>70</v>
      </c>
      <c r="Q118" s="29">
        <v>42</v>
      </c>
      <c r="R118" s="40">
        <v>46</v>
      </c>
      <c r="S118" s="40">
        <v>60</v>
      </c>
      <c r="T118" s="40">
        <v>19</v>
      </c>
      <c r="U118" s="40">
        <v>13</v>
      </c>
      <c r="V118" s="40">
        <v>29</v>
      </c>
      <c r="W118" s="40">
        <v>27</v>
      </c>
      <c r="X118" s="40">
        <v>29</v>
      </c>
      <c r="Y118" s="40">
        <v>70</v>
      </c>
      <c r="Z118" s="40">
        <v>42</v>
      </c>
      <c r="AA118" s="29">
        <v>46</v>
      </c>
      <c r="AB118" s="29">
        <v>26</v>
      </c>
      <c r="AC118" s="29">
        <v>19</v>
      </c>
      <c r="AD118" s="29">
        <v>29</v>
      </c>
      <c r="AE118" s="29">
        <v>27</v>
      </c>
      <c r="AF118" s="29">
        <v>29</v>
      </c>
      <c r="AG118" s="6">
        <v>70</v>
      </c>
      <c r="AH118" s="29">
        <v>42</v>
      </c>
      <c r="AI118" s="30">
        <v>95</v>
      </c>
      <c r="AJ118" s="30">
        <v>110</v>
      </c>
      <c r="AK118" s="30">
        <v>68</v>
      </c>
      <c r="AL118" s="6">
        <v>35</v>
      </c>
      <c r="AM118" s="6">
        <v>27</v>
      </c>
      <c r="AN118" s="6">
        <v>20</v>
      </c>
      <c r="AO118" s="6">
        <v>102</v>
      </c>
      <c r="AP118" s="3">
        <v>2</v>
      </c>
      <c r="AQ118" s="18" t="s">
        <v>335</v>
      </c>
      <c r="AR118" s="6"/>
      <c r="AS118" s="18"/>
      <c r="AT118" s="6"/>
    </row>
    <row r="119" spans="1:46" ht="30" customHeight="1" x14ac:dyDescent="0.25">
      <c r="A119" s="40" t="s">
        <v>331</v>
      </c>
      <c r="B119" s="38" t="s">
        <v>326</v>
      </c>
      <c r="C119" s="21" t="s">
        <v>66</v>
      </c>
      <c r="D119" s="31">
        <v>42</v>
      </c>
      <c r="E119" s="32" t="s">
        <v>33</v>
      </c>
      <c r="F119" s="31">
        <v>60</v>
      </c>
      <c r="G119" s="10" t="s">
        <v>65</v>
      </c>
      <c r="H119" s="10" t="s">
        <v>51</v>
      </c>
      <c r="I119" s="40">
        <v>46</v>
      </c>
      <c r="J119" s="29">
        <v>64</v>
      </c>
      <c r="K119" s="29">
        <v>20</v>
      </c>
      <c r="L119" s="40">
        <v>15</v>
      </c>
      <c r="M119" s="40">
        <v>104</v>
      </c>
      <c r="N119" s="29">
        <v>98</v>
      </c>
      <c r="O119" s="29">
        <v>108</v>
      </c>
      <c r="P119" s="29">
        <v>77</v>
      </c>
      <c r="Q119" s="29">
        <v>42</v>
      </c>
      <c r="R119" s="40">
        <v>46</v>
      </c>
      <c r="S119" s="40">
        <v>65</v>
      </c>
      <c r="T119" s="40">
        <v>19</v>
      </c>
      <c r="U119" s="40">
        <v>14</v>
      </c>
      <c r="V119" s="40">
        <v>28</v>
      </c>
      <c r="W119" s="40">
        <v>27</v>
      </c>
      <c r="X119" s="40">
        <v>28</v>
      </c>
      <c r="Y119" s="40">
        <v>77</v>
      </c>
      <c r="Z119" s="40">
        <v>42</v>
      </c>
      <c r="AA119" s="29">
        <v>46</v>
      </c>
      <c r="AB119" s="29">
        <v>27</v>
      </c>
      <c r="AC119" s="29">
        <v>19</v>
      </c>
      <c r="AD119" s="29">
        <v>28</v>
      </c>
      <c r="AE119" s="29">
        <v>27</v>
      </c>
      <c r="AF119" s="29">
        <v>28</v>
      </c>
      <c r="AG119" s="6">
        <v>77</v>
      </c>
      <c r="AH119" s="29">
        <v>42</v>
      </c>
      <c r="AI119" s="30">
        <v>90</v>
      </c>
      <c r="AJ119" s="30">
        <v>106</v>
      </c>
      <c r="AK119" s="30">
        <v>68</v>
      </c>
      <c r="AL119" s="6">
        <v>34</v>
      </c>
      <c r="AM119" s="6">
        <v>25</v>
      </c>
      <c r="AN119" s="6">
        <v>21</v>
      </c>
      <c r="AO119" s="6">
        <v>106</v>
      </c>
      <c r="AP119" s="3">
        <v>2</v>
      </c>
      <c r="AQ119" s="18" t="s">
        <v>335</v>
      </c>
      <c r="AR119" s="6"/>
      <c r="AS119" s="18"/>
      <c r="AT119" s="6"/>
    </row>
    <row r="120" spans="1:46" ht="30" customHeight="1" x14ac:dyDescent="0.25">
      <c r="A120" s="40" t="s">
        <v>332</v>
      </c>
      <c r="B120" s="38" t="s">
        <v>327</v>
      </c>
      <c r="C120" s="21" t="s">
        <v>66</v>
      </c>
      <c r="D120" s="31">
        <v>42</v>
      </c>
      <c r="E120" s="32" t="s">
        <v>33</v>
      </c>
      <c r="F120" s="31">
        <v>56</v>
      </c>
      <c r="G120" s="10" t="s">
        <v>65</v>
      </c>
      <c r="H120" s="10" t="s">
        <v>51</v>
      </c>
      <c r="I120" s="40">
        <v>46</v>
      </c>
      <c r="J120" s="29">
        <v>56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72</v>
      </c>
      <c r="Q120" s="29">
        <v>42</v>
      </c>
      <c r="R120" s="40">
        <v>46</v>
      </c>
      <c r="S120" s="40">
        <v>57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72</v>
      </c>
      <c r="Z120" s="40">
        <v>42</v>
      </c>
      <c r="AA120" s="29">
        <v>46</v>
      </c>
      <c r="AB120" s="29">
        <v>25</v>
      </c>
      <c r="AC120" s="29">
        <v>19</v>
      </c>
      <c r="AD120" s="29">
        <v>29</v>
      </c>
      <c r="AE120" s="29">
        <v>27</v>
      </c>
      <c r="AF120" s="29">
        <v>29</v>
      </c>
      <c r="AG120" s="6">
        <v>72</v>
      </c>
      <c r="AH120" s="29">
        <v>42</v>
      </c>
      <c r="AI120" s="30">
        <v>94</v>
      </c>
      <c r="AJ120" s="30">
        <v>110</v>
      </c>
      <c r="AK120" s="30">
        <v>68</v>
      </c>
      <c r="AL120" s="6">
        <v>35</v>
      </c>
      <c r="AM120" s="6">
        <v>26</v>
      </c>
      <c r="AN120" s="6">
        <v>21</v>
      </c>
      <c r="AO120" s="6">
        <v>95</v>
      </c>
      <c r="AP120" s="3">
        <v>2</v>
      </c>
      <c r="AQ120" s="18" t="s">
        <v>335</v>
      </c>
      <c r="AR120" s="6"/>
      <c r="AS120" s="18"/>
      <c r="AT120" s="6"/>
    </row>
    <row r="121" spans="1:46" ht="30" customHeight="1" x14ac:dyDescent="0.25">
      <c r="A121" s="40" t="s">
        <v>333</v>
      </c>
      <c r="B121" s="38" t="s">
        <v>328</v>
      </c>
      <c r="C121" s="21" t="s">
        <v>66</v>
      </c>
      <c r="D121" s="31">
        <v>39</v>
      </c>
      <c r="E121" s="32" t="s">
        <v>31</v>
      </c>
      <c r="F121" s="31">
        <v>55</v>
      </c>
      <c r="G121" s="10" t="s">
        <v>65</v>
      </c>
      <c r="H121" s="10" t="s">
        <v>51</v>
      </c>
      <c r="I121" s="40">
        <v>43</v>
      </c>
      <c r="J121" s="29">
        <v>55</v>
      </c>
      <c r="K121" s="29">
        <v>18</v>
      </c>
      <c r="L121" s="40">
        <v>14</v>
      </c>
      <c r="M121" s="40">
        <v>92</v>
      </c>
      <c r="N121" s="29">
        <v>87</v>
      </c>
      <c r="O121" s="29">
        <v>100</v>
      </c>
      <c r="P121" s="29">
        <v>68</v>
      </c>
      <c r="Q121" s="29">
        <v>38</v>
      </c>
      <c r="R121" s="40">
        <v>43</v>
      </c>
      <c r="S121" s="40">
        <v>56</v>
      </c>
      <c r="T121" s="40">
        <v>16</v>
      </c>
      <c r="U121" s="40">
        <v>12</v>
      </c>
      <c r="V121" s="40">
        <v>26</v>
      </c>
      <c r="W121" s="40">
        <v>24</v>
      </c>
      <c r="X121" s="40">
        <v>26</v>
      </c>
      <c r="Y121" s="40">
        <v>68</v>
      </c>
      <c r="Z121" s="40">
        <v>38</v>
      </c>
      <c r="AA121" s="29">
        <v>43</v>
      </c>
      <c r="AB121" s="29">
        <v>24</v>
      </c>
      <c r="AC121" s="29">
        <v>16</v>
      </c>
      <c r="AD121" s="29">
        <v>26</v>
      </c>
      <c r="AE121" s="29">
        <v>24</v>
      </c>
      <c r="AF121" s="29">
        <v>26</v>
      </c>
      <c r="AG121" s="6">
        <v>68</v>
      </c>
      <c r="AH121" s="29">
        <v>38</v>
      </c>
      <c r="AI121" s="30">
        <v>78</v>
      </c>
      <c r="AJ121" s="30">
        <v>98</v>
      </c>
      <c r="AK121" s="30">
        <v>66</v>
      </c>
      <c r="AL121" s="6">
        <v>30</v>
      </c>
      <c r="AM121" s="6">
        <v>24</v>
      </c>
      <c r="AN121" s="6">
        <v>19</v>
      </c>
      <c r="AO121" s="6">
        <v>92</v>
      </c>
      <c r="AP121" s="3">
        <v>2</v>
      </c>
      <c r="AQ121" s="18" t="s">
        <v>335</v>
      </c>
      <c r="AR121" s="6"/>
      <c r="AS121" s="18"/>
      <c r="AT121" s="6"/>
    </row>
    <row r="122" spans="1:46" ht="30" customHeight="1" x14ac:dyDescent="0.25">
      <c r="A122" s="40" t="s">
        <v>334</v>
      </c>
      <c r="B122" s="38" t="s">
        <v>329</v>
      </c>
      <c r="C122" s="21" t="s">
        <v>66</v>
      </c>
      <c r="D122" s="31">
        <v>41</v>
      </c>
      <c r="E122" s="32" t="s">
        <v>32</v>
      </c>
      <c r="F122" s="31">
        <v>56</v>
      </c>
      <c r="G122" s="10" t="s">
        <v>65</v>
      </c>
      <c r="H122" s="10" t="s">
        <v>51</v>
      </c>
      <c r="I122" s="40">
        <v>45</v>
      </c>
      <c r="J122" s="29">
        <v>58</v>
      </c>
      <c r="K122" s="29">
        <v>19</v>
      </c>
      <c r="L122" s="40">
        <v>14</v>
      </c>
      <c r="M122" s="40">
        <v>98</v>
      </c>
      <c r="N122" s="29">
        <v>92</v>
      </c>
      <c r="O122" s="29">
        <v>102</v>
      </c>
      <c r="P122" s="29">
        <v>70</v>
      </c>
      <c r="Q122" s="29">
        <v>40</v>
      </c>
      <c r="R122" s="40">
        <v>45</v>
      </c>
      <c r="S122" s="40">
        <v>59</v>
      </c>
      <c r="T122" s="40">
        <v>17</v>
      </c>
      <c r="U122" s="40">
        <v>12</v>
      </c>
      <c r="V122" s="40">
        <v>27</v>
      </c>
      <c r="W122" s="40">
        <v>24</v>
      </c>
      <c r="X122" s="40">
        <v>27</v>
      </c>
      <c r="Y122" s="40">
        <v>70</v>
      </c>
      <c r="Z122" s="40">
        <v>40</v>
      </c>
      <c r="AA122" s="29">
        <v>45</v>
      </c>
      <c r="AB122" s="29">
        <v>26</v>
      </c>
      <c r="AC122" s="29">
        <v>17</v>
      </c>
      <c r="AD122" s="29">
        <v>27</v>
      </c>
      <c r="AE122" s="29">
        <v>24</v>
      </c>
      <c r="AF122" s="29">
        <v>27</v>
      </c>
      <c r="AG122" s="6">
        <v>70</v>
      </c>
      <c r="AH122" s="29">
        <v>40</v>
      </c>
      <c r="AI122" s="30">
        <v>82</v>
      </c>
      <c r="AJ122" s="30">
        <v>100</v>
      </c>
      <c r="AK122" s="30">
        <v>66</v>
      </c>
      <c r="AL122" s="6">
        <v>31</v>
      </c>
      <c r="AM122" s="6">
        <v>24</v>
      </c>
      <c r="AN122" s="6">
        <v>19</v>
      </c>
      <c r="AO122" s="6">
        <v>101</v>
      </c>
      <c r="AP122" s="3">
        <v>2</v>
      </c>
      <c r="AQ122" s="18" t="s">
        <v>335</v>
      </c>
      <c r="AR122" s="6"/>
      <c r="AS122" s="18"/>
      <c r="AT122" s="6"/>
    </row>
    <row r="123" spans="1:46" ht="30" customHeight="1" x14ac:dyDescent="0.25">
      <c r="A123" s="40"/>
      <c r="B123" s="38"/>
      <c r="C123" s="28"/>
      <c r="D123" s="31"/>
      <c r="E123" s="32"/>
      <c r="F123" s="31"/>
      <c r="G123" s="10"/>
      <c r="H123" s="10"/>
      <c r="I123" s="40"/>
      <c r="J123" s="29"/>
      <c r="K123" s="29"/>
      <c r="L123" s="40"/>
      <c r="M123" s="40"/>
      <c r="N123" s="29"/>
      <c r="O123" s="29"/>
      <c r="P123" s="29"/>
      <c r="Q123" s="29"/>
      <c r="R123" s="40"/>
      <c r="S123" s="40"/>
      <c r="T123" s="40"/>
      <c r="U123" s="40"/>
      <c r="V123" s="40"/>
      <c r="W123" s="40"/>
      <c r="X123" s="40"/>
      <c r="Y123" s="40"/>
      <c r="Z123" s="40"/>
      <c r="AA123" s="29"/>
      <c r="AB123" s="29"/>
      <c r="AC123" s="29"/>
      <c r="AD123" s="29"/>
      <c r="AE123" s="29"/>
      <c r="AF123" s="29"/>
      <c r="AG123" s="6"/>
      <c r="AH123" s="29"/>
      <c r="AI123" s="30"/>
      <c r="AJ123" s="30"/>
      <c r="AK123" s="30"/>
      <c r="AL123" s="6"/>
      <c r="AM123" s="6"/>
      <c r="AN123" s="6"/>
      <c r="AO123" s="6"/>
      <c r="AP123" s="3"/>
      <c r="AQ123" s="18"/>
      <c r="AR123" s="6"/>
      <c r="AS123" s="18"/>
      <c r="AT123" s="6"/>
    </row>
    <row r="124" spans="1:46" ht="30" customHeight="1" x14ac:dyDescent="0.25">
      <c r="A124" s="40"/>
      <c r="B124" s="38"/>
      <c r="C124" s="40"/>
      <c r="D124" s="31"/>
      <c r="E124" s="32"/>
      <c r="F124" s="31"/>
      <c r="G124" s="40"/>
      <c r="H124" s="40"/>
      <c r="I124" s="40"/>
      <c r="J124" s="29"/>
      <c r="K124" s="29"/>
      <c r="L124" s="40"/>
      <c r="M124" s="40"/>
      <c r="N124" s="29"/>
      <c r="O124" s="29"/>
      <c r="P124" s="29"/>
      <c r="Q124" s="29"/>
      <c r="R124" s="40"/>
      <c r="S124" s="40"/>
      <c r="T124" s="40"/>
      <c r="U124" s="40"/>
      <c r="V124" s="40"/>
      <c r="W124" s="40"/>
      <c r="X124" s="40"/>
      <c r="Y124" s="40"/>
      <c r="Z124" s="40"/>
      <c r="AA124" s="29"/>
      <c r="AB124" s="29"/>
      <c r="AC124" s="29"/>
      <c r="AD124" s="29"/>
      <c r="AE124" s="29"/>
      <c r="AF124" s="29"/>
      <c r="AG124" s="6"/>
      <c r="AH124" s="29"/>
      <c r="AI124" s="30"/>
      <c r="AJ124" s="30"/>
      <c r="AK124" s="30"/>
      <c r="AL124" s="6"/>
      <c r="AM124" s="6"/>
      <c r="AN124" s="6"/>
      <c r="AO124" s="6"/>
      <c r="AP124" s="3"/>
      <c r="AQ124" s="42"/>
      <c r="AR124" s="6"/>
      <c r="AS124" s="6"/>
      <c r="AT124" s="6"/>
    </row>
    <row r="125" spans="1:46" ht="30" customHeight="1" x14ac:dyDescent="0.25">
      <c r="A125" s="14"/>
      <c r="B125" s="43"/>
      <c r="C125" s="14"/>
      <c r="D125" s="7"/>
      <c r="E125" s="23"/>
      <c r="F125" s="7"/>
      <c r="G125" s="10"/>
      <c r="H125" s="10" t="s">
        <v>80</v>
      </c>
      <c r="I125" s="33">
        <f>SUBTOTAL(105,Table1[UBN_1])</f>
        <v>40</v>
      </c>
      <c r="J125" s="33">
        <f>SUBTOTAL(105,Table1[UBN_2])</f>
        <v>54</v>
      </c>
      <c r="K125" s="33">
        <f>SUBTOTAL(105,Table1[UBN_3])</f>
        <v>17</v>
      </c>
      <c r="L125" s="33">
        <f>SUBTOTAL(105,Table1[UBN_4])</f>
        <v>14</v>
      </c>
      <c r="M125" s="33">
        <f>SUBTOTAL(105,Table1[UBN_5])</f>
        <v>86</v>
      </c>
      <c r="N125" s="33">
        <f>SUBTOTAL(105,Table1[UBN_6])</f>
        <v>76</v>
      </c>
      <c r="O125" s="33">
        <f>SUBTOTAL(105,Table1[UBN_7])</f>
        <v>96</v>
      </c>
      <c r="P125" s="33">
        <f>SUBTOTAL(105,Table1[UBN_8])</f>
        <v>42</v>
      </c>
      <c r="Q125" s="33">
        <f>SUBTOTAL(105,Table1[UBN_9])</f>
        <v>36</v>
      </c>
      <c r="R125" s="33">
        <f>SUBTOTAL(105,Table1[UH_1])</f>
        <v>42</v>
      </c>
      <c r="S125" s="33">
        <f>SUBTOTAL(105,Table1[UH_2])</f>
        <v>55</v>
      </c>
      <c r="T125" s="33">
        <f>SUBTOTAL(105,Table1[UH_3])</f>
        <v>16</v>
      </c>
      <c r="U125" s="33">
        <f>SUBTOTAL(105,Table1[UH_4])</f>
        <v>12</v>
      </c>
      <c r="V125" s="33">
        <f>SUBTOTAL(105,Table1[UH_5])</f>
        <v>26</v>
      </c>
      <c r="W125" s="33">
        <f>SUBTOTAL(105,Table1[UH_6])</f>
        <v>24</v>
      </c>
      <c r="X125" s="33">
        <f>SUBTOTAL(105,Table1[UH_7])</f>
        <v>26</v>
      </c>
      <c r="Y125" s="33">
        <f>SUBTOTAL(105,Table1[UH_8])</f>
        <v>67</v>
      </c>
      <c r="Z125" s="33">
        <f>SUBTOTAL(105,Table1[UH_9])</f>
        <v>38</v>
      </c>
      <c r="AA125" s="33">
        <f>SUBTOTAL(105,Table1[UB_1])</f>
        <v>40</v>
      </c>
      <c r="AB125" s="33">
        <f>SUBTOTAL(105,Table1[UB_2])</f>
        <v>23</v>
      </c>
      <c r="AC125" s="33">
        <f>SUBTOTAL(105,Table1[UB_3])</f>
        <v>16</v>
      </c>
      <c r="AD125" s="33">
        <f>SUBTOTAL(105,Table1[UB_4])</f>
        <v>26</v>
      </c>
      <c r="AE125" s="33">
        <f>SUBTOTAL(105,Table1[UB_5])</f>
        <v>24</v>
      </c>
      <c r="AF125" s="33">
        <f>SUBTOTAL(105,Table1[UB_6])</f>
        <v>26</v>
      </c>
      <c r="AG125" s="33">
        <f>SUBTOTAL(105,Table1[UB_7])</f>
        <v>40</v>
      </c>
      <c r="AH125" s="33">
        <f>SUBTOTAL(105,Table1[UB_8])</f>
        <v>36</v>
      </c>
      <c r="AI125" s="33">
        <f>SUBTOTAL(105,Table1[UC_1])</f>
        <v>72</v>
      </c>
      <c r="AJ125" s="33">
        <f>SUBTOTAL(105,Table1[UC_2])</f>
        <v>90</v>
      </c>
      <c r="AK125" s="33">
        <f>SUBTOTAL(105,Table1[UC_3])</f>
        <v>60</v>
      </c>
      <c r="AL125" s="33">
        <f>SUBTOTAL(105,Table1[UC_4])</f>
        <v>29</v>
      </c>
      <c r="AM125" s="33">
        <f>SUBTOTAL(105,Table1[UC_5])</f>
        <v>23</v>
      </c>
      <c r="AN125" s="33">
        <f>SUBTOTAL(105,Table1[UC_6])</f>
        <v>18</v>
      </c>
      <c r="AO125" s="33">
        <f>SUBTOTAL(105,Table1[UC_7])</f>
        <v>89</v>
      </c>
      <c r="AQ125" s="19"/>
    </row>
    <row r="126" spans="1:46" ht="30" customHeight="1" x14ac:dyDescent="0.25">
      <c r="A126" s="8"/>
      <c r="B126" s="11"/>
      <c r="C126" s="14"/>
      <c r="D126" s="7"/>
      <c r="E126" s="23"/>
      <c r="F126" s="7"/>
      <c r="G126" s="10"/>
      <c r="H126" s="10" t="s">
        <v>81</v>
      </c>
      <c r="I126" s="33">
        <f>SUBTOTAL(104,Table1[UBN_1])</f>
        <v>53</v>
      </c>
      <c r="J126" s="33">
        <f>SUBTOTAL(104,Table1[UBN_2])</f>
        <v>65</v>
      </c>
      <c r="K126" s="33">
        <f>SUBTOTAL(104,Table1[UBN_3])</f>
        <v>23</v>
      </c>
      <c r="L126" s="33">
        <f>SUBTOTAL(104,Table1[UBN_4])</f>
        <v>16</v>
      </c>
      <c r="M126" s="33">
        <f>SUBTOTAL(104,Table1[UBN_5])</f>
        <v>125</v>
      </c>
      <c r="N126" s="33">
        <f>SUBTOTAL(104,Table1[UBN_6])</f>
        <v>125</v>
      </c>
      <c r="O126" s="33">
        <f>SUBTOTAL(104,Table1[UBN_7])</f>
        <v>135</v>
      </c>
      <c r="P126" s="33">
        <f>SUBTOTAL(104,Table1[UBN_8])</f>
        <v>78</v>
      </c>
      <c r="Q126" s="33">
        <f>SUBTOTAL(104,Table1[UBN_9])</f>
        <v>72</v>
      </c>
      <c r="R126" s="33">
        <f>SUBTOTAL(104,Table1[UH_1])</f>
        <v>53</v>
      </c>
      <c r="S126" s="33">
        <f>SUBTOTAL(104,Table1[UH_2])</f>
        <v>66</v>
      </c>
      <c r="T126" s="33">
        <f>SUBTOTAL(104,Table1[UH_3])</f>
        <v>42</v>
      </c>
      <c r="U126" s="33">
        <f>SUBTOTAL(104,Table1[UH_4])</f>
        <v>32</v>
      </c>
      <c r="V126" s="33">
        <f>SUBTOTAL(104,Table1[UH_5])</f>
        <v>35</v>
      </c>
      <c r="W126" s="33">
        <f>SUBTOTAL(104,Table1[UH_6])</f>
        <v>35</v>
      </c>
      <c r="X126" s="33">
        <f>SUBTOTAL(104,Table1[UH_7])</f>
        <v>35</v>
      </c>
      <c r="Y126" s="33">
        <f>SUBTOTAL(104,Table1[UH_8])</f>
        <v>78</v>
      </c>
      <c r="Z126" s="33">
        <f>SUBTOTAL(104,Table1[UH_9])</f>
        <v>72</v>
      </c>
      <c r="AA126" s="33">
        <f>SUBTOTAL(104,Table1[UB_1])</f>
        <v>53</v>
      </c>
      <c r="AB126" s="33">
        <f>SUBTOTAL(104,Table1[UB_2])</f>
        <v>29</v>
      </c>
      <c r="AC126" s="33">
        <f>SUBTOTAL(104,Table1[UB_3])</f>
        <v>22</v>
      </c>
      <c r="AD126" s="33">
        <f>SUBTOTAL(104,Table1[UB_4])</f>
        <v>292</v>
      </c>
      <c r="AE126" s="33">
        <f>SUBTOTAL(104,Table1[UB_5])</f>
        <v>35</v>
      </c>
      <c r="AF126" s="33">
        <f>SUBTOTAL(104,Table1[UB_6])</f>
        <v>35</v>
      </c>
      <c r="AG126" s="33">
        <f>SUBTOTAL(104,Table1[UB_7])</f>
        <v>78</v>
      </c>
      <c r="AH126" s="33">
        <f>SUBTOTAL(104,Table1[UB_8])</f>
        <v>76</v>
      </c>
      <c r="AI126" s="33">
        <f>SUBTOTAL(104,Table1[UC_1])</f>
        <v>117</v>
      </c>
      <c r="AJ126" s="33">
        <f>SUBTOTAL(104,Table1[UC_2])</f>
        <v>130</v>
      </c>
      <c r="AK126" s="33">
        <f>SUBTOTAL(104,Table1[UC_3])</f>
        <v>80</v>
      </c>
      <c r="AL126" s="33">
        <f>SUBTOTAL(104,Table1[UC_4])</f>
        <v>40</v>
      </c>
      <c r="AM126" s="33">
        <f>SUBTOTAL(104,Table1[UC_5])</f>
        <v>30</v>
      </c>
      <c r="AN126" s="33">
        <f>SUBTOTAL(104,Table1[UC_6])</f>
        <v>24</v>
      </c>
      <c r="AO126" s="33">
        <f>SUBTOTAL(104,Table1[UC_7])</f>
        <v>107</v>
      </c>
      <c r="AQ126" s="19"/>
    </row>
    <row r="127" spans="1:46" ht="30" customHeight="1" x14ac:dyDescent="0.25">
      <c r="A127" s="8"/>
      <c r="B127" s="11"/>
      <c r="C127" s="8"/>
      <c r="D127" s="7"/>
      <c r="E127" s="23"/>
      <c r="F127" s="7"/>
      <c r="G127" s="10"/>
      <c r="H127" s="10"/>
    </row>
    <row r="128" spans="1:46" ht="30" customHeight="1" x14ac:dyDescent="0.25">
      <c r="A128" s="8"/>
      <c r="B128" s="11"/>
      <c r="C128" s="8"/>
      <c r="D128" s="7"/>
      <c r="E128" s="23"/>
      <c r="F128" s="7"/>
      <c r="G128" s="10"/>
      <c r="H128" s="10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  <c r="AQ131" s="9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  <c r="AQ132" s="9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4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4"/>
    </row>
    <row r="135" spans="1:43" ht="30" customHeight="1" x14ac:dyDescent="0.25">
      <c r="A135" s="8"/>
      <c r="B135" s="12"/>
      <c r="C135" s="8"/>
      <c r="D135" s="7"/>
      <c r="E135" s="23"/>
      <c r="F135" s="7"/>
      <c r="G135" s="10"/>
      <c r="H135" s="10"/>
      <c r="AO135" s="6"/>
      <c r="AQ135" s="4"/>
    </row>
    <row r="136" spans="1:43" ht="30" customHeight="1" x14ac:dyDescent="0.25">
      <c r="A136" s="8"/>
      <c r="B136" s="12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F10" sqref="F10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83</v>
      </c>
      <c r="D4" s="25" t="s">
        <v>72</v>
      </c>
      <c r="E4" t="s">
        <v>51</v>
      </c>
      <c r="F4" t="s">
        <v>145</v>
      </c>
      <c r="G4" t="s">
        <v>73</v>
      </c>
      <c r="I4" s="25" t="s">
        <v>72</v>
      </c>
      <c r="J4" t="s">
        <v>51</v>
      </c>
      <c r="K4" t="s">
        <v>145</v>
      </c>
      <c r="L4" t="s">
        <v>73</v>
      </c>
    </row>
    <row r="5" spans="1:12" x14ac:dyDescent="0.25">
      <c r="A5" s="26" t="s">
        <v>66</v>
      </c>
      <c r="B5" s="27">
        <v>31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145</v>
      </c>
      <c r="B6" s="27"/>
      <c r="D6" s="26">
        <v>40</v>
      </c>
      <c r="E6" s="27">
        <v>16</v>
      </c>
      <c r="F6" s="27"/>
      <c r="G6" s="27">
        <v>16</v>
      </c>
      <c r="I6" s="26">
        <v>56</v>
      </c>
      <c r="J6" s="27">
        <v>32</v>
      </c>
      <c r="K6" s="27"/>
      <c r="L6" s="27">
        <v>32</v>
      </c>
    </row>
    <row r="7" spans="1:12" x14ac:dyDescent="0.25">
      <c r="A7" s="26" t="s">
        <v>73</v>
      </c>
      <c r="B7" s="27">
        <v>114</v>
      </c>
      <c r="D7" s="26">
        <v>41</v>
      </c>
      <c r="E7" s="27">
        <v>25</v>
      </c>
      <c r="F7" s="27"/>
      <c r="G7" s="27">
        <v>25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32</v>
      </c>
      <c r="F8" s="27"/>
      <c r="G8" s="27">
        <v>32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37</v>
      </c>
      <c r="D10" s="26">
        <v>43</v>
      </c>
      <c r="E10" s="27">
        <v>25</v>
      </c>
      <c r="F10" s="27"/>
      <c r="G10" s="27">
        <v>25</v>
      </c>
      <c r="I10" s="26">
        <v>55</v>
      </c>
      <c r="J10" s="27">
        <v>11</v>
      </c>
      <c r="K10" s="27"/>
      <c r="L10" s="27">
        <v>11</v>
      </c>
    </row>
    <row r="11" spans="1:12" x14ac:dyDescent="0.25">
      <c r="A11" s="26" t="s">
        <v>31</v>
      </c>
      <c r="B11" s="27">
        <v>13</v>
      </c>
      <c r="D11" s="26">
        <v>39</v>
      </c>
      <c r="E11" s="27">
        <v>8</v>
      </c>
      <c r="F11" s="27"/>
      <c r="G11" s="27">
        <v>8</v>
      </c>
      <c r="I11" s="26">
        <v>54</v>
      </c>
      <c r="J11" s="27">
        <v>3</v>
      </c>
      <c r="K11" s="27"/>
      <c r="L11" s="27">
        <v>3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145</v>
      </c>
      <c r="J12" s="27"/>
      <c r="K12" s="27"/>
      <c r="L12" s="27"/>
    </row>
    <row r="13" spans="1:12" x14ac:dyDescent="0.25">
      <c r="A13" s="26" t="s">
        <v>33</v>
      </c>
      <c r="B13" s="27">
        <v>45</v>
      </c>
      <c r="D13" s="26" t="s">
        <v>145</v>
      </c>
      <c r="E13" s="27"/>
      <c r="F13" s="27"/>
      <c r="G13" s="27"/>
      <c r="I13" s="26">
        <v>60</v>
      </c>
      <c r="J13" s="27">
        <v>5</v>
      </c>
      <c r="K13" s="27"/>
      <c r="L13" s="27">
        <v>5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114</v>
      </c>
      <c r="F14" s="27"/>
      <c r="G14" s="27">
        <v>114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145</v>
      </c>
      <c r="B15" s="27"/>
      <c r="I15" s="26" t="s">
        <v>73</v>
      </c>
      <c r="J15" s="27">
        <v>114</v>
      </c>
      <c r="K15" s="27"/>
      <c r="L15" s="27">
        <v>114</v>
      </c>
    </row>
    <row r="16" spans="1:12" x14ac:dyDescent="0.25">
      <c r="A16" s="26" t="s">
        <v>121</v>
      </c>
      <c r="B16" s="27">
        <v>12</v>
      </c>
    </row>
    <row r="17" spans="1:2" x14ac:dyDescent="0.25">
      <c r="A17" s="26" t="s">
        <v>73</v>
      </c>
      <c r="B17" s="27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2021-12-01T06:57:22Z</cp:lastPrinted>
  <dcterms:created xsi:type="dcterms:W3CDTF">2016-10-31T03:59:44Z</dcterms:created>
  <dcterms:modified xsi:type="dcterms:W3CDTF">2021-12-18T04:15:50Z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