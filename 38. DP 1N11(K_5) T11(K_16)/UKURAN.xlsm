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19940198-8A5F-4EC1-9548-42FBD44B122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SEMUA!$A$1:$AT$96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6" i="1" l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I87" i="1"/>
  <c r="I86" i="1"/>
</calcChain>
</file>

<file path=xl/sharedStrings.xml><?xml version="1.0" encoding="utf-8"?>
<sst xmlns="http://schemas.openxmlformats.org/spreadsheetml/2006/main" count="648" uniqueCount="234">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</sst>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1.524720138892" createdVersion="7" refreshedVersion="7" minRefreshableVersion="3" recordCount="84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String="0" containsBlank="1" containsNumber="1" containsInteger="1" minValue="40" maxValue="52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String="0" containsBlank="1" containsNumber="1" containsInteger="1" minValue="17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6" maxValue="125"/>
    </cacheField>
    <cacheField name="UBN_6" numFmtId="49">
      <sharedItems containsString="0" containsBlank="1" containsNumber="1" containsInteger="1" minValue="76" maxValue="122"/>
    </cacheField>
    <cacheField name="UBN_7" numFmtId="49">
      <sharedItems containsString="0" containsBlank="1" containsNumber="1" containsInteger="1" minValue="96" maxValue="128"/>
    </cacheField>
    <cacheField name="UBN_8" numFmtId="49">
      <sharedItems containsString="0" containsBlank="1" containsNumber="1" containsInteger="1" minValue="67" maxValue="78"/>
    </cacheField>
    <cacheField name="UBN_9" numFmtId="49">
      <sharedItems containsString="0" containsBlank="1" containsNumber="1" containsInteger="1" minValue="36" maxValue="46"/>
    </cacheField>
    <cacheField name="UH_1" numFmtId="49">
      <sharedItems containsString="0" containsBlank="1" containsNumber="1" containsInteger="1" minValue="42" maxValue="52"/>
    </cacheField>
    <cacheField name="UH_2" numFmtId="49">
      <sharedItems containsString="0" containsBlank="1" containsNumber="1" containsInteger="1" minValue="55" maxValue="66"/>
    </cacheField>
    <cacheField name="UH_3" numFmtId="49">
      <sharedItems containsString="0" containsBlank="1" containsNumber="1" containsInteger="1" minValue="16" maxValue="42"/>
    </cacheField>
    <cacheField name="UH_4" numFmtId="49">
      <sharedItems containsString="0" containsBlank="1" containsNumber="1" containsInteger="1" minValue="12" maxValue="32"/>
    </cacheField>
    <cacheField name="UH_5" numFmtId="49">
      <sharedItems containsString="0" containsBlank="1" containsNumber="1" containsInteger="1" minValue="26" maxValue="33"/>
    </cacheField>
    <cacheField name="UH_6" numFmtId="49">
      <sharedItems containsString="0" containsBlank="1" containsNumber="1" containsInteger="1" minValue="24" maxValue="33"/>
    </cacheField>
    <cacheField name="UH_7" numFmtId="49">
      <sharedItems containsString="0" containsBlank="1" containsNumber="1" containsInteger="1" minValue="26" maxValue="33"/>
    </cacheField>
    <cacheField name="UH_8" numFmtId="49">
      <sharedItems containsString="0" containsBlank="1" containsNumber="1" containsInteger="1" minValue="67" maxValue="78"/>
    </cacheField>
    <cacheField name="UH_9" numFmtId="49">
      <sharedItems containsString="0" containsBlank="1" containsNumber="1" containsInteger="1" minValue="39" maxValue="46"/>
    </cacheField>
    <cacheField name="UB_1" numFmtId="49">
      <sharedItems containsString="0" containsBlank="1" containsNumber="1" containsInteger="1" minValue="40" maxValue="52"/>
    </cacheField>
    <cacheField name="UB_2" numFmtId="49">
      <sharedItems containsString="0" containsBlank="1" containsNumber="1" containsInteger="1" minValue="23" maxValue="29"/>
    </cacheField>
    <cacheField name="UB_3" numFmtId="49">
      <sharedItems containsString="0" containsBlank="1" containsNumber="1" containsInteger="1" minValue="16" maxValue="21"/>
    </cacheField>
    <cacheField name="UB_4" numFmtId="49">
      <sharedItems containsString="0" containsBlank="1" containsNumber="1" containsInteger="1" minValue="26" maxValue="33"/>
    </cacheField>
    <cacheField name="UB_5" numFmtId="49">
      <sharedItems containsString="0" containsBlank="1" containsNumber="1" containsInteger="1" minValue="24" maxValue="33"/>
    </cacheField>
    <cacheField name="UB_6" numFmtId="49">
      <sharedItems containsString="0" containsBlank="1" containsNumber="1" containsInteger="1" minValue="26" maxValue="33"/>
    </cacheField>
    <cacheField name="UB_7" numFmtId="49">
      <sharedItems containsString="0" containsBlank="1" containsNumber="1" containsInteger="1" minValue="67" maxValue="78"/>
    </cacheField>
    <cacheField name="UB_8" numFmtId="49">
      <sharedItems containsString="0" containsBlank="1" containsNumber="1" containsInteger="1" minValue="36" maxValue="46"/>
    </cacheField>
    <cacheField name="UC_1" numFmtId="49">
      <sharedItems containsString="0" containsBlank="1" containsNumber="1" containsInteger="1" minValue="72" maxValue="115"/>
    </cacheField>
    <cacheField name="UC_2" numFmtId="49">
      <sharedItems containsString="0" containsBlank="1" containsNumber="1" containsInteger="1" minValue="90" maxValue="126"/>
    </cacheField>
    <cacheField name="UC_3" numFmtId="49">
      <sharedItems containsString="0" containsBlank="1" containsNumber="1" containsInteger="1" minValue="60" maxValue="77"/>
    </cacheField>
    <cacheField name="UC_4" numFmtId="49">
      <sharedItems containsString="0" containsBlank="1" containsNumber="1" containsInteger="1" minValue="29" maxValue="39"/>
    </cacheField>
    <cacheField name="UC_5" numFmtId="49">
      <sharedItems containsString="0" containsBlank="1" containsNumber="1" containsInteger="1" minValue="23" maxValue="30"/>
    </cacheField>
    <cacheField name="UC_6" numFmtId="49">
      <sharedItems containsString="0" containsBlank="1" containsNumber="1" containsInteger="1" minValue="18" maxValue="23"/>
    </cacheField>
    <cacheField name="UC_7" numFmtId="49">
      <sharedItems containsString="0" containsBlank="1" containsNumber="1" containsInteger="1" minValue="89" maxValue="105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n v="46"/>
    <n v="57"/>
    <n v="19"/>
    <n v="14"/>
    <n v="105"/>
    <n v="102"/>
    <n v="110"/>
    <n v="72"/>
    <n v="42"/>
    <n v="46"/>
    <n v="58"/>
    <n v="18"/>
    <n v="13"/>
    <n v="29"/>
    <n v="26"/>
    <n v="29"/>
    <n v="72"/>
    <n v="42"/>
    <n v="46"/>
    <n v="25"/>
    <n v="18"/>
    <n v="29"/>
    <n v="26"/>
    <n v="29"/>
    <n v="72"/>
    <n v="42"/>
    <n v="94"/>
    <n v="108"/>
    <n v="68"/>
    <n v="35"/>
    <n v="26"/>
    <n v="22"/>
    <n v="95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85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3"/>
  <sheetViews>
    <sheetView tabSelected="1" zoomScale="55" zoomScaleNormal="55" workbookViewId="0">
      <pane ySplit="1" topLeftCell="A54" activePane="bottomLeft" state="frozen"/>
      <selection pane="bottomLeft" activeCell="A58" sqref="A58:F82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6"/>
      <c r="AT6" s="6"/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6"/>
      <c r="AT7" s="6"/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6"/>
      <c r="AT8" s="6"/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6"/>
      <c r="AT9" s="6"/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6"/>
      <c r="AT10" s="6"/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6"/>
      <c r="AT11" s="6"/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6"/>
      <c r="AT12" s="6"/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6"/>
      <c r="AT13" s="6"/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6"/>
      <c r="AT14" s="6"/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6"/>
      <c r="AT15" s="6"/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6"/>
      <c r="AT16" s="6"/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6"/>
      <c r="AT17" s="6"/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6"/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6"/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6"/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6"/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6"/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6"/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6"/>
      <c r="AT24" s="6"/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6"/>
      <c r="AT25" s="6"/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6"/>
      <c r="AT26" s="6"/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6"/>
      <c r="AT27" s="6"/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6"/>
      <c r="AT28" s="6"/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6"/>
      <c r="AT29" s="6"/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6"/>
      <c r="AT30" s="6"/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6"/>
      <c r="AT31" s="6"/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6"/>
      <c r="AT32" s="6"/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6"/>
      <c r="AT33" s="6"/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6"/>
      <c r="AT34" s="6"/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6"/>
      <c r="AT35" s="6"/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6"/>
      <c r="AT36" s="6"/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6"/>
      <c r="AT37" s="6"/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6"/>
      <c r="AT38" s="6"/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46</v>
      </c>
      <c r="J39" s="29">
        <v>57</v>
      </c>
      <c r="K39" s="29">
        <v>19</v>
      </c>
      <c r="L39" s="40">
        <v>14</v>
      </c>
      <c r="M39" s="40">
        <v>105</v>
      </c>
      <c r="N39" s="29">
        <v>102</v>
      </c>
      <c r="O39" s="29">
        <v>110</v>
      </c>
      <c r="P39" s="29">
        <v>72</v>
      </c>
      <c r="Q39" s="29">
        <v>42</v>
      </c>
      <c r="R39" s="40">
        <v>46</v>
      </c>
      <c r="S39" s="40">
        <v>58</v>
      </c>
      <c r="T39" s="40">
        <v>18</v>
      </c>
      <c r="U39" s="40">
        <v>13</v>
      </c>
      <c r="V39" s="40">
        <v>29</v>
      </c>
      <c r="W39" s="40">
        <v>26</v>
      </c>
      <c r="X39" s="40">
        <v>29</v>
      </c>
      <c r="Y39" s="40">
        <v>72</v>
      </c>
      <c r="Z39" s="40">
        <v>42</v>
      </c>
      <c r="AA39" s="29">
        <v>46</v>
      </c>
      <c r="AB39" s="29">
        <v>25</v>
      </c>
      <c r="AC39" s="29">
        <v>18</v>
      </c>
      <c r="AD39" s="29">
        <v>29</v>
      </c>
      <c r="AE39" s="29">
        <v>26</v>
      </c>
      <c r="AF39" s="29">
        <v>29</v>
      </c>
      <c r="AG39" s="6">
        <v>72</v>
      </c>
      <c r="AH39" s="29">
        <v>42</v>
      </c>
      <c r="AI39" s="41">
        <v>94</v>
      </c>
      <c r="AJ39" s="30">
        <v>108</v>
      </c>
      <c r="AK39" s="30">
        <v>68</v>
      </c>
      <c r="AL39" s="6">
        <v>35</v>
      </c>
      <c r="AM39" s="6">
        <v>26</v>
      </c>
      <c r="AN39" s="6">
        <v>22</v>
      </c>
      <c r="AO39" s="6">
        <v>95</v>
      </c>
      <c r="AP39" s="3">
        <v>2</v>
      </c>
      <c r="AQ39" s="18" t="s">
        <v>216</v>
      </c>
      <c r="AR39" s="6"/>
      <c r="AS39" s="6"/>
      <c r="AT39" s="6"/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6"/>
      <c r="AT40" s="6"/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6"/>
      <c r="AT41" s="6"/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6"/>
      <c r="AT42" s="6"/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6"/>
      <c r="AT43" s="6"/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6"/>
      <c r="AT44" s="6"/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6"/>
      <c r="AT45" s="6"/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6"/>
      <c r="AT46" s="6"/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6"/>
      <c r="AT47" s="6"/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6"/>
      <c r="AT48" s="6"/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6"/>
      <c r="AT49" s="6"/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6"/>
      <c r="AT50" s="6"/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6"/>
      <c r="AT51" s="6"/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6"/>
      <c r="AT52" s="6"/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6"/>
      <c r="AT53" s="6"/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6"/>
      <c r="AT54" s="6"/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6"/>
      <c r="AT55" s="6"/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6"/>
      <c r="AT56" s="6"/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6"/>
      <c r="AT57" s="6"/>
    </row>
    <row r="58" spans="1:46" ht="30" customHeight="1" x14ac:dyDescent="0.25">
      <c r="A58" s="21" t="s">
        <v>56</v>
      </c>
      <c r="B58" s="37" t="s">
        <v>67</v>
      </c>
      <c r="C58" s="21" t="s">
        <v>66</v>
      </c>
      <c r="D58" s="7">
        <v>42</v>
      </c>
      <c r="E58" s="23" t="s">
        <v>32</v>
      </c>
      <c r="F58" s="7">
        <v>57</v>
      </c>
      <c r="G58" s="10" t="s">
        <v>65</v>
      </c>
      <c r="H58" s="10" t="s">
        <v>51</v>
      </c>
      <c r="I58" s="10">
        <v>45</v>
      </c>
      <c r="J58" s="22">
        <v>63</v>
      </c>
      <c r="K58" s="22">
        <v>20</v>
      </c>
      <c r="L58" s="10">
        <v>15</v>
      </c>
      <c r="M58" s="10">
        <v>111</v>
      </c>
      <c r="N58" s="22">
        <v>106</v>
      </c>
      <c r="O58" s="22">
        <v>116</v>
      </c>
      <c r="P58" s="22">
        <v>74</v>
      </c>
      <c r="Q58" s="22">
        <v>43</v>
      </c>
      <c r="R58" s="10"/>
      <c r="S58" s="10"/>
      <c r="T58" s="10"/>
      <c r="U58" s="10"/>
      <c r="V58" s="10"/>
      <c r="W58" s="10"/>
      <c r="X58" s="10"/>
      <c r="Y58" s="10"/>
      <c r="Z58" s="10"/>
      <c r="AA58" s="22">
        <v>45</v>
      </c>
      <c r="AB58" s="22">
        <v>25</v>
      </c>
      <c r="AC58" s="22">
        <v>20</v>
      </c>
      <c r="AD58" s="22">
        <v>29</v>
      </c>
      <c r="AE58" s="22">
        <v>28</v>
      </c>
      <c r="AF58" s="22">
        <v>29</v>
      </c>
      <c r="AG58" s="6">
        <v>74</v>
      </c>
      <c r="AH58" s="22">
        <v>43</v>
      </c>
      <c r="AI58" s="20">
        <v>94</v>
      </c>
      <c r="AJ58" s="20">
        <v>113</v>
      </c>
      <c r="AK58" s="20">
        <v>72</v>
      </c>
      <c r="AL58" s="6">
        <v>35</v>
      </c>
      <c r="AM58" s="6">
        <v>25</v>
      </c>
      <c r="AN58" s="6">
        <v>20</v>
      </c>
      <c r="AO58" s="6">
        <v>98</v>
      </c>
      <c r="AP58" s="3">
        <v>1</v>
      </c>
      <c r="AQ58" s="18" t="s">
        <v>71</v>
      </c>
      <c r="AR58" s="6"/>
      <c r="AS58" s="6"/>
      <c r="AT58" s="6"/>
    </row>
    <row r="59" spans="1:46" ht="30" customHeight="1" x14ac:dyDescent="0.25">
      <c r="A59" s="21" t="s">
        <v>57</v>
      </c>
      <c r="B59" s="37" t="s">
        <v>68</v>
      </c>
      <c r="C59" s="21" t="s">
        <v>66</v>
      </c>
      <c r="D59" s="7">
        <v>42</v>
      </c>
      <c r="E59" s="23" t="s">
        <v>31</v>
      </c>
      <c r="F59" s="7">
        <v>57</v>
      </c>
      <c r="G59" s="10" t="s">
        <v>65</v>
      </c>
      <c r="H59" s="10" t="s">
        <v>51</v>
      </c>
      <c r="I59" s="10">
        <v>42</v>
      </c>
      <c r="J59" s="22">
        <v>61</v>
      </c>
      <c r="K59" s="22">
        <v>18</v>
      </c>
      <c r="L59" s="10">
        <v>15</v>
      </c>
      <c r="M59" s="10">
        <v>99</v>
      </c>
      <c r="N59" s="22">
        <v>97</v>
      </c>
      <c r="O59" s="22">
        <v>109</v>
      </c>
      <c r="P59" s="22">
        <v>75</v>
      </c>
      <c r="Q59" s="22">
        <v>42</v>
      </c>
      <c r="R59" s="10"/>
      <c r="S59" s="10"/>
      <c r="T59" s="10"/>
      <c r="U59" s="10"/>
      <c r="V59" s="10"/>
      <c r="W59" s="10"/>
      <c r="X59" s="10"/>
      <c r="Y59" s="10"/>
      <c r="Z59" s="10"/>
      <c r="AA59" s="22">
        <v>42</v>
      </c>
      <c r="AB59" s="22">
        <v>26</v>
      </c>
      <c r="AC59" s="22">
        <v>19</v>
      </c>
      <c r="AD59" s="22">
        <v>28</v>
      </c>
      <c r="AE59" s="22">
        <v>27</v>
      </c>
      <c r="AF59" s="22">
        <v>28</v>
      </c>
      <c r="AG59" s="6">
        <v>74</v>
      </c>
      <c r="AH59" s="22">
        <v>42</v>
      </c>
      <c r="AI59" s="20">
        <v>83</v>
      </c>
      <c r="AJ59" s="20">
        <v>104</v>
      </c>
      <c r="AK59" s="20">
        <v>66</v>
      </c>
      <c r="AL59" s="6">
        <v>33</v>
      </c>
      <c r="AM59" s="6">
        <v>24</v>
      </c>
      <c r="AN59" s="6">
        <v>20</v>
      </c>
      <c r="AO59" s="6">
        <v>103</v>
      </c>
      <c r="AP59" s="3">
        <v>1</v>
      </c>
      <c r="AQ59" s="18" t="s">
        <v>71</v>
      </c>
      <c r="AR59" s="6"/>
      <c r="AS59" s="6"/>
      <c r="AT59" s="6"/>
    </row>
    <row r="60" spans="1:46" ht="30" customHeight="1" x14ac:dyDescent="0.25">
      <c r="A60" s="21" t="s">
        <v>58</v>
      </c>
      <c r="B60" s="37" t="s">
        <v>69</v>
      </c>
      <c r="C60" s="21" t="s">
        <v>66</v>
      </c>
      <c r="D60" s="7">
        <v>42</v>
      </c>
      <c r="E60" s="23" t="s">
        <v>31</v>
      </c>
      <c r="F60" s="7">
        <v>58</v>
      </c>
      <c r="G60" s="10" t="s">
        <v>65</v>
      </c>
      <c r="H60" s="10" t="s">
        <v>51</v>
      </c>
      <c r="I60" s="10">
        <v>44</v>
      </c>
      <c r="J60" s="22">
        <v>62</v>
      </c>
      <c r="K60" s="22">
        <v>19</v>
      </c>
      <c r="L60" s="10">
        <v>15</v>
      </c>
      <c r="M60" s="10">
        <v>104</v>
      </c>
      <c r="N60" s="22">
        <v>103</v>
      </c>
      <c r="O60" s="22">
        <v>111</v>
      </c>
      <c r="P60" s="22">
        <v>75</v>
      </c>
      <c r="Q60" s="22">
        <v>42</v>
      </c>
      <c r="R60" s="10"/>
      <c r="S60" s="10"/>
      <c r="T60" s="10"/>
      <c r="U60" s="10"/>
      <c r="V60" s="10"/>
      <c r="W60" s="10"/>
      <c r="X60" s="10"/>
      <c r="Y60" s="10"/>
      <c r="Z60" s="10"/>
      <c r="AA60" s="22">
        <v>44</v>
      </c>
      <c r="AB60" s="22">
        <v>25</v>
      </c>
      <c r="AC60" s="22">
        <v>19</v>
      </c>
      <c r="AD60" s="22">
        <v>30</v>
      </c>
      <c r="AE60" s="22">
        <v>29</v>
      </c>
      <c r="AF60" s="22">
        <v>30</v>
      </c>
      <c r="AG60" s="6">
        <v>75</v>
      </c>
      <c r="AH60" s="22">
        <v>42</v>
      </c>
      <c r="AI60" s="20">
        <v>92</v>
      </c>
      <c r="AJ60" s="20">
        <v>108</v>
      </c>
      <c r="AK60" s="20">
        <v>64</v>
      </c>
      <c r="AL60" s="6">
        <v>33</v>
      </c>
      <c r="AM60" s="6">
        <v>24</v>
      </c>
      <c r="AN60" s="6">
        <v>19</v>
      </c>
      <c r="AO60" s="6">
        <v>94</v>
      </c>
      <c r="AP60" s="3">
        <v>1</v>
      </c>
      <c r="AQ60" s="18" t="s">
        <v>71</v>
      </c>
      <c r="AR60" s="6"/>
      <c r="AS60" s="6"/>
      <c r="AT60" s="6"/>
    </row>
    <row r="61" spans="1:46" ht="30" customHeight="1" x14ac:dyDescent="0.25">
      <c r="A61" s="21" t="s">
        <v>59</v>
      </c>
      <c r="B61" s="37" t="s">
        <v>70</v>
      </c>
      <c r="C61" s="21" t="s">
        <v>66</v>
      </c>
      <c r="D61" s="7">
        <v>41</v>
      </c>
      <c r="E61" s="23" t="s">
        <v>32</v>
      </c>
      <c r="F61" s="7">
        <v>56</v>
      </c>
      <c r="G61" s="10" t="s">
        <v>65</v>
      </c>
      <c r="H61" s="10" t="s">
        <v>51</v>
      </c>
      <c r="I61" s="10">
        <v>43</v>
      </c>
      <c r="J61" s="22" t="s">
        <v>82</v>
      </c>
      <c r="K61" s="22">
        <v>20</v>
      </c>
      <c r="L61" s="10">
        <v>15</v>
      </c>
      <c r="M61" s="10">
        <v>100</v>
      </c>
      <c r="N61" s="22">
        <v>91</v>
      </c>
      <c r="O61" s="22">
        <v>108</v>
      </c>
      <c r="P61" s="22">
        <v>75</v>
      </c>
      <c r="Q61" s="22">
        <v>40</v>
      </c>
      <c r="R61" s="10"/>
      <c r="S61" s="10"/>
      <c r="T61" s="10"/>
      <c r="U61" s="10"/>
      <c r="V61" s="10"/>
      <c r="W61" s="10"/>
      <c r="X61" s="10"/>
      <c r="Y61" s="10"/>
      <c r="Z61" s="10"/>
      <c r="AA61" s="22">
        <v>43</v>
      </c>
      <c r="AB61" s="22">
        <v>25</v>
      </c>
      <c r="AC61" s="22">
        <v>20</v>
      </c>
      <c r="AD61" s="22">
        <v>28</v>
      </c>
      <c r="AE61" s="22">
        <v>27</v>
      </c>
      <c r="AF61" s="22">
        <v>28</v>
      </c>
      <c r="AG61" s="6">
        <v>75</v>
      </c>
      <c r="AH61" s="22">
        <v>40</v>
      </c>
      <c r="AI61" s="20">
        <v>83</v>
      </c>
      <c r="AJ61" s="20">
        <v>104</v>
      </c>
      <c r="AK61" s="20">
        <v>66</v>
      </c>
      <c r="AL61" s="6">
        <v>34</v>
      </c>
      <c r="AM61" s="6">
        <v>25</v>
      </c>
      <c r="AN61" s="6">
        <v>20</v>
      </c>
      <c r="AO61" s="6">
        <v>97</v>
      </c>
      <c r="AP61" s="3">
        <v>1</v>
      </c>
      <c r="AQ61" s="18" t="s">
        <v>71</v>
      </c>
      <c r="AR61" s="6"/>
      <c r="AS61" s="6"/>
      <c r="AT61" s="6"/>
    </row>
    <row r="62" spans="1:46" ht="30" customHeight="1" x14ac:dyDescent="0.25">
      <c r="A62" s="21" t="s">
        <v>96</v>
      </c>
      <c r="B62" s="37" t="s">
        <v>79</v>
      </c>
      <c r="C62" s="21" t="s">
        <v>66</v>
      </c>
      <c r="D62" s="7">
        <v>44</v>
      </c>
      <c r="E62" s="23" t="s">
        <v>35</v>
      </c>
      <c r="F62" s="7">
        <v>59</v>
      </c>
      <c r="G62" s="10" t="s">
        <v>65</v>
      </c>
      <c r="H62" s="10" t="s">
        <v>51</v>
      </c>
      <c r="I62" s="10">
        <v>49</v>
      </c>
      <c r="J62" s="22">
        <v>64</v>
      </c>
      <c r="K62" s="22">
        <v>19</v>
      </c>
      <c r="L62" s="10">
        <v>15</v>
      </c>
      <c r="M62" s="10">
        <v>116</v>
      </c>
      <c r="N62" s="22">
        <v>110</v>
      </c>
      <c r="O62" s="22">
        <v>120</v>
      </c>
      <c r="P62" s="22">
        <v>76</v>
      </c>
      <c r="Q62" s="22">
        <v>43</v>
      </c>
      <c r="R62" s="10">
        <v>49</v>
      </c>
      <c r="S62" s="10">
        <v>65</v>
      </c>
      <c r="T62" s="10">
        <v>42</v>
      </c>
      <c r="U62" s="10">
        <v>32</v>
      </c>
      <c r="V62" s="39">
        <v>31</v>
      </c>
      <c r="W62" s="39">
        <v>30</v>
      </c>
      <c r="X62" s="39">
        <v>31</v>
      </c>
      <c r="Y62" s="10">
        <v>70</v>
      </c>
      <c r="Z62" s="10">
        <v>46</v>
      </c>
      <c r="AA62" s="22">
        <v>49</v>
      </c>
      <c r="AB62" s="22">
        <v>26</v>
      </c>
      <c r="AC62" s="22">
        <v>20</v>
      </c>
      <c r="AD62" s="22">
        <v>31</v>
      </c>
      <c r="AE62" s="22">
        <v>30</v>
      </c>
      <c r="AF62" s="22">
        <v>31</v>
      </c>
      <c r="AG62" s="6">
        <v>70</v>
      </c>
      <c r="AH62" s="22">
        <v>46</v>
      </c>
      <c r="AI62" s="20">
        <v>103</v>
      </c>
      <c r="AJ62" s="20">
        <v>118</v>
      </c>
      <c r="AK62" s="20">
        <v>73</v>
      </c>
      <c r="AL62" s="6">
        <v>38</v>
      </c>
      <c r="AM62" s="6">
        <v>30</v>
      </c>
      <c r="AN62" s="6">
        <v>23</v>
      </c>
      <c r="AO62" s="6">
        <v>99</v>
      </c>
      <c r="AP62" s="3">
        <v>2</v>
      </c>
      <c r="AQ62" s="18" t="s">
        <v>95</v>
      </c>
      <c r="AR62" s="6"/>
      <c r="AS62" s="6"/>
      <c r="AT62" s="6"/>
    </row>
    <row r="63" spans="1:46" ht="30" customHeight="1" x14ac:dyDescent="0.25">
      <c r="A63" s="21" t="s">
        <v>97</v>
      </c>
      <c r="B63" s="37" t="s">
        <v>83</v>
      </c>
      <c r="C63" s="21" t="s">
        <v>66</v>
      </c>
      <c r="D63" s="7">
        <v>42</v>
      </c>
      <c r="E63" s="23" t="s">
        <v>33</v>
      </c>
      <c r="F63" s="7">
        <v>57</v>
      </c>
      <c r="G63" s="10" t="s">
        <v>65</v>
      </c>
      <c r="H63" s="10" t="s">
        <v>51</v>
      </c>
      <c r="I63" s="10">
        <v>48</v>
      </c>
      <c r="J63" s="22">
        <v>61</v>
      </c>
      <c r="K63" s="22">
        <v>20</v>
      </c>
      <c r="L63" s="10">
        <v>15</v>
      </c>
      <c r="M63" s="10">
        <v>110</v>
      </c>
      <c r="N63" s="22">
        <v>108</v>
      </c>
      <c r="O63" s="22">
        <v>112</v>
      </c>
      <c r="P63" s="22">
        <v>74</v>
      </c>
      <c r="Q63" s="22">
        <v>41</v>
      </c>
      <c r="R63" s="10">
        <v>48</v>
      </c>
      <c r="S63" s="22">
        <v>62</v>
      </c>
      <c r="T63" s="10">
        <v>18</v>
      </c>
      <c r="U63" s="10">
        <v>13</v>
      </c>
      <c r="V63" s="10">
        <v>30</v>
      </c>
      <c r="W63" s="10">
        <v>28</v>
      </c>
      <c r="X63" s="10">
        <v>30</v>
      </c>
      <c r="Y63" s="10">
        <v>74</v>
      </c>
      <c r="Z63" s="10">
        <v>41</v>
      </c>
      <c r="AA63" s="22">
        <v>48</v>
      </c>
      <c r="AB63" s="22">
        <v>26</v>
      </c>
      <c r="AC63" s="22">
        <v>18</v>
      </c>
      <c r="AD63" s="22">
        <v>30</v>
      </c>
      <c r="AE63" s="22">
        <v>28</v>
      </c>
      <c r="AF63" s="22">
        <v>30</v>
      </c>
      <c r="AG63" s="6">
        <v>74</v>
      </c>
      <c r="AH63" s="22">
        <v>41</v>
      </c>
      <c r="AI63" s="20">
        <v>99</v>
      </c>
      <c r="AJ63" s="20">
        <v>107</v>
      </c>
      <c r="AK63" s="20">
        <v>69</v>
      </c>
      <c r="AL63" s="6">
        <v>36</v>
      </c>
      <c r="AM63" s="6">
        <v>26</v>
      </c>
      <c r="AN63" s="6">
        <v>20</v>
      </c>
      <c r="AO63" s="6">
        <v>98</v>
      </c>
      <c r="AP63" s="3">
        <v>2</v>
      </c>
      <c r="AQ63" s="18" t="s">
        <v>95</v>
      </c>
      <c r="AR63" s="6"/>
      <c r="AS63" s="6"/>
      <c r="AT63" s="6"/>
    </row>
    <row r="64" spans="1:46" ht="30" customHeight="1" x14ac:dyDescent="0.25">
      <c r="A64" s="21" t="s">
        <v>98</v>
      </c>
      <c r="B64" s="37" t="s">
        <v>84</v>
      </c>
      <c r="C64" s="21" t="s">
        <v>66</v>
      </c>
      <c r="D64" s="7">
        <v>42</v>
      </c>
      <c r="E64" s="23" t="s">
        <v>33</v>
      </c>
      <c r="F64" s="7">
        <v>56</v>
      </c>
      <c r="G64" s="10" t="s">
        <v>65</v>
      </c>
      <c r="H64" s="10" t="s">
        <v>51</v>
      </c>
      <c r="I64" s="10">
        <v>46</v>
      </c>
      <c r="J64" s="22">
        <v>62</v>
      </c>
      <c r="K64" s="22">
        <v>19</v>
      </c>
      <c r="L64" s="10">
        <v>14</v>
      </c>
      <c r="M64" s="10">
        <v>104</v>
      </c>
      <c r="N64" s="22">
        <v>96</v>
      </c>
      <c r="O64" s="22">
        <v>106</v>
      </c>
      <c r="P64" s="22">
        <v>74</v>
      </c>
      <c r="Q64" s="22">
        <v>40</v>
      </c>
      <c r="R64" s="10">
        <v>46</v>
      </c>
      <c r="S64" s="22">
        <v>63</v>
      </c>
      <c r="T64" s="10">
        <v>17</v>
      </c>
      <c r="U64" s="10">
        <v>13</v>
      </c>
      <c r="V64" s="10">
        <v>28</v>
      </c>
      <c r="W64" s="10">
        <v>26</v>
      </c>
      <c r="X64" s="10">
        <v>28</v>
      </c>
      <c r="Y64" s="10">
        <v>74</v>
      </c>
      <c r="Z64" s="10">
        <v>40</v>
      </c>
      <c r="AA64" s="22">
        <v>46</v>
      </c>
      <c r="AB64" s="22">
        <v>26</v>
      </c>
      <c r="AC64" s="22">
        <v>17</v>
      </c>
      <c r="AD64" s="22">
        <v>28</v>
      </c>
      <c r="AE64" s="22">
        <v>26</v>
      </c>
      <c r="AF64" s="22">
        <v>28</v>
      </c>
      <c r="AG64" s="6">
        <v>74</v>
      </c>
      <c r="AH64" s="22">
        <v>40</v>
      </c>
      <c r="AI64" s="20">
        <v>88</v>
      </c>
      <c r="AJ64" s="20">
        <v>104</v>
      </c>
      <c r="AK64" s="20">
        <v>66</v>
      </c>
      <c r="AL64" s="6">
        <v>33</v>
      </c>
      <c r="AM64" s="6">
        <v>26</v>
      </c>
      <c r="AN64" s="6">
        <v>21</v>
      </c>
      <c r="AO64" s="6">
        <v>98</v>
      </c>
      <c r="AP64" s="3">
        <v>2</v>
      </c>
      <c r="AQ64" s="18" t="s">
        <v>95</v>
      </c>
      <c r="AR64" s="6"/>
      <c r="AS64" s="6"/>
      <c r="AT64" s="6"/>
    </row>
    <row r="65" spans="1:46" ht="30" customHeight="1" x14ac:dyDescent="0.25">
      <c r="A65" s="21" t="s">
        <v>99</v>
      </c>
      <c r="B65" s="37" t="s">
        <v>85</v>
      </c>
      <c r="C65" s="21" t="s">
        <v>66</v>
      </c>
      <c r="D65" s="7">
        <v>41</v>
      </c>
      <c r="E65" s="23" t="s">
        <v>32</v>
      </c>
      <c r="F65" s="7">
        <v>57</v>
      </c>
      <c r="G65" s="10" t="s">
        <v>65</v>
      </c>
      <c r="H65" s="10" t="s">
        <v>51</v>
      </c>
      <c r="I65" s="10">
        <v>46</v>
      </c>
      <c r="J65" s="22">
        <v>61</v>
      </c>
      <c r="K65" s="22">
        <v>19</v>
      </c>
      <c r="L65" s="10">
        <v>14</v>
      </c>
      <c r="M65" s="10">
        <v>106</v>
      </c>
      <c r="N65" s="22">
        <v>100</v>
      </c>
      <c r="O65" s="22">
        <v>108</v>
      </c>
      <c r="P65" s="22">
        <v>73</v>
      </c>
      <c r="Q65" s="22">
        <v>41</v>
      </c>
      <c r="R65" s="10">
        <v>46</v>
      </c>
      <c r="S65" s="22">
        <v>62</v>
      </c>
      <c r="T65" s="10">
        <v>18</v>
      </c>
      <c r="U65" s="10">
        <v>13</v>
      </c>
      <c r="V65" s="10">
        <v>28</v>
      </c>
      <c r="W65" s="10">
        <v>27</v>
      </c>
      <c r="X65" s="10">
        <v>28</v>
      </c>
      <c r="Y65" s="10">
        <v>73</v>
      </c>
      <c r="Z65" s="10">
        <v>41</v>
      </c>
      <c r="AA65" s="22">
        <v>46</v>
      </c>
      <c r="AB65" s="22">
        <v>26</v>
      </c>
      <c r="AC65" s="22">
        <v>18</v>
      </c>
      <c r="AD65" s="22">
        <v>28</v>
      </c>
      <c r="AE65" s="22">
        <v>27</v>
      </c>
      <c r="AF65" s="22">
        <v>28</v>
      </c>
      <c r="AG65" s="6">
        <v>73</v>
      </c>
      <c r="AH65" s="22">
        <v>41</v>
      </c>
      <c r="AI65" s="20">
        <v>90</v>
      </c>
      <c r="AJ65" s="20">
        <v>104</v>
      </c>
      <c r="AK65" s="20">
        <v>69</v>
      </c>
      <c r="AL65" s="6">
        <v>34</v>
      </c>
      <c r="AM65" s="6">
        <v>25</v>
      </c>
      <c r="AN65" s="6">
        <v>21</v>
      </c>
      <c r="AO65" s="6">
        <v>94</v>
      </c>
      <c r="AP65" s="3">
        <v>2</v>
      </c>
      <c r="AQ65" s="18" t="s">
        <v>95</v>
      </c>
      <c r="AR65" s="6"/>
      <c r="AS65" s="6"/>
      <c r="AT65" s="6"/>
    </row>
    <row r="66" spans="1:46" ht="30" customHeight="1" x14ac:dyDescent="0.25">
      <c r="A66" s="21" t="s">
        <v>100</v>
      </c>
      <c r="B66" s="37" t="s">
        <v>86</v>
      </c>
      <c r="C66" s="21" t="s">
        <v>66</v>
      </c>
      <c r="D66" s="7">
        <v>42</v>
      </c>
      <c r="E66" s="23" t="s">
        <v>33</v>
      </c>
      <c r="F66" s="7">
        <v>57</v>
      </c>
      <c r="G66" s="10" t="s">
        <v>65</v>
      </c>
      <c r="H66" s="10" t="s">
        <v>51</v>
      </c>
      <c r="I66" s="10">
        <v>48</v>
      </c>
      <c r="J66" s="22">
        <v>62</v>
      </c>
      <c r="K66" s="22">
        <v>20</v>
      </c>
      <c r="L66" s="10">
        <v>15</v>
      </c>
      <c r="M66" s="10">
        <v>114</v>
      </c>
      <c r="N66" s="22">
        <v>110</v>
      </c>
      <c r="O66" s="22">
        <v>115</v>
      </c>
      <c r="P66" s="22">
        <v>74</v>
      </c>
      <c r="Q66" s="22">
        <v>43</v>
      </c>
      <c r="R66" s="10">
        <v>48</v>
      </c>
      <c r="S66" s="22">
        <v>63</v>
      </c>
      <c r="T66" s="10">
        <v>19</v>
      </c>
      <c r="U66" s="10">
        <v>13</v>
      </c>
      <c r="V66" s="10">
        <v>30</v>
      </c>
      <c r="W66" s="10">
        <v>28</v>
      </c>
      <c r="X66" s="10">
        <v>30</v>
      </c>
      <c r="Y66" s="10">
        <v>74</v>
      </c>
      <c r="Z66" s="10">
        <v>43</v>
      </c>
      <c r="AA66" s="22">
        <v>48</v>
      </c>
      <c r="AB66" s="22">
        <v>26</v>
      </c>
      <c r="AC66" s="22">
        <v>19</v>
      </c>
      <c r="AD66" s="22">
        <v>30</v>
      </c>
      <c r="AE66" s="22">
        <v>28</v>
      </c>
      <c r="AF66" s="22">
        <v>30</v>
      </c>
      <c r="AG66" s="6">
        <v>74</v>
      </c>
      <c r="AH66" s="22">
        <v>43</v>
      </c>
      <c r="AI66" s="20">
        <v>101</v>
      </c>
      <c r="AJ66" s="20">
        <v>113</v>
      </c>
      <c r="AK66" s="20">
        <v>72</v>
      </c>
      <c r="AL66" s="6">
        <v>36</v>
      </c>
      <c r="AM66" s="6">
        <v>26</v>
      </c>
      <c r="AN66" s="6">
        <v>22</v>
      </c>
      <c r="AO66" s="6">
        <v>99</v>
      </c>
      <c r="AP66" s="3">
        <v>2</v>
      </c>
      <c r="AQ66" s="18" t="s">
        <v>95</v>
      </c>
      <c r="AR66" s="6"/>
      <c r="AS66" s="6"/>
      <c r="AT66" s="6"/>
    </row>
    <row r="67" spans="1:46" ht="30" customHeight="1" x14ac:dyDescent="0.25">
      <c r="A67" s="21" t="s">
        <v>101</v>
      </c>
      <c r="B67" s="37" t="s">
        <v>87</v>
      </c>
      <c r="C67" s="21" t="s">
        <v>66</v>
      </c>
      <c r="D67" s="7">
        <v>43</v>
      </c>
      <c r="E67" s="23" t="s">
        <v>33</v>
      </c>
      <c r="F67" s="7">
        <v>59</v>
      </c>
      <c r="G67" s="10" t="s">
        <v>65</v>
      </c>
      <c r="H67" s="10" t="s">
        <v>51</v>
      </c>
      <c r="I67" s="10">
        <v>47</v>
      </c>
      <c r="J67" s="22">
        <v>58</v>
      </c>
      <c r="K67" s="22">
        <v>20</v>
      </c>
      <c r="L67" s="10">
        <v>14</v>
      </c>
      <c r="M67" s="10">
        <v>110</v>
      </c>
      <c r="N67" s="22">
        <v>106</v>
      </c>
      <c r="O67" s="22">
        <v>114</v>
      </c>
      <c r="P67" s="22">
        <v>70</v>
      </c>
      <c r="Q67" s="22">
        <v>42</v>
      </c>
      <c r="R67" s="10">
        <v>47</v>
      </c>
      <c r="S67" s="22">
        <v>59</v>
      </c>
      <c r="T67" s="10">
        <v>18</v>
      </c>
      <c r="U67" s="10">
        <v>13</v>
      </c>
      <c r="V67" s="10">
        <v>29</v>
      </c>
      <c r="W67" s="10">
        <v>27</v>
      </c>
      <c r="X67" s="10">
        <v>29</v>
      </c>
      <c r="Y67" s="10">
        <v>70</v>
      </c>
      <c r="Z67" s="10">
        <v>42</v>
      </c>
      <c r="AA67" s="22">
        <v>47</v>
      </c>
      <c r="AB67" s="22">
        <v>25</v>
      </c>
      <c r="AC67" s="22">
        <v>18</v>
      </c>
      <c r="AD67" s="22">
        <v>29</v>
      </c>
      <c r="AE67" s="22">
        <v>27</v>
      </c>
      <c r="AF67" s="22">
        <v>29</v>
      </c>
      <c r="AG67" s="6">
        <v>70</v>
      </c>
      <c r="AH67" s="22">
        <v>42</v>
      </c>
      <c r="AI67" s="20">
        <v>98</v>
      </c>
      <c r="AJ67" s="20">
        <v>112</v>
      </c>
      <c r="AK67" s="20">
        <v>68</v>
      </c>
      <c r="AL67" s="6">
        <v>36</v>
      </c>
      <c r="AM67" s="6">
        <v>26</v>
      </c>
      <c r="AN67" s="6">
        <v>21</v>
      </c>
      <c r="AO67" s="6">
        <v>101</v>
      </c>
      <c r="AP67" s="3">
        <v>2</v>
      </c>
      <c r="AQ67" s="18" t="s">
        <v>95</v>
      </c>
      <c r="AR67" s="6"/>
      <c r="AS67" s="6"/>
      <c r="AT67" s="6"/>
    </row>
    <row r="68" spans="1:46" ht="30" customHeight="1" x14ac:dyDescent="0.25">
      <c r="A68" s="21" t="s">
        <v>102</v>
      </c>
      <c r="B68" s="37" t="s">
        <v>88</v>
      </c>
      <c r="C68" s="21" t="s">
        <v>66</v>
      </c>
      <c r="D68" s="7">
        <v>42</v>
      </c>
      <c r="E68" s="23" t="s">
        <v>33</v>
      </c>
      <c r="F68" s="7">
        <v>57</v>
      </c>
      <c r="G68" s="10" t="s">
        <v>65</v>
      </c>
      <c r="H68" s="10" t="s">
        <v>51</v>
      </c>
      <c r="I68" s="10">
        <v>48</v>
      </c>
      <c r="J68" s="22">
        <v>60</v>
      </c>
      <c r="K68" s="22">
        <v>20</v>
      </c>
      <c r="L68" s="10">
        <v>15</v>
      </c>
      <c r="M68" s="10">
        <v>116</v>
      </c>
      <c r="N68" s="22">
        <v>110</v>
      </c>
      <c r="O68" s="22">
        <v>120</v>
      </c>
      <c r="P68" s="22">
        <v>75</v>
      </c>
      <c r="Q68" s="22">
        <v>43</v>
      </c>
      <c r="R68" s="10">
        <v>48</v>
      </c>
      <c r="S68" s="22">
        <v>61</v>
      </c>
      <c r="T68" s="10">
        <v>19</v>
      </c>
      <c r="U68" s="10">
        <v>13</v>
      </c>
      <c r="V68" s="10">
        <v>30</v>
      </c>
      <c r="W68" s="10">
        <v>28</v>
      </c>
      <c r="X68" s="10">
        <v>30</v>
      </c>
      <c r="Y68" s="10">
        <v>75</v>
      </c>
      <c r="Z68" s="10">
        <v>43</v>
      </c>
      <c r="AA68" s="22">
        <v>48</v>
      </c>
      <c r="AB68" s="22">
        <v>26</v>
      </c>
      <c r="AC68" s="22">
        <v>19</v>
      </c>
      <c r="AD68" s="22">
        <v>30</v>
      </c>
      <c r="AE68" s="22">
        <v>28</v>
      </c>
      <c r="AF68" s="22">
        <v>30</v>
      </c>
      <c r="AG68" s="6">
        <v>75</v>
      </c>
      <c r="AH68" s="22">
        <v>43</v>
      </c>
      <c r="AI68" s="20">
        <v>100</v>
      </c>
      <c r="AJ68" s="20">
        <v>116</v>
      </c>
      <c r="AK68" s="20">
        <v>70</v>
      </c>
      <c r="AL68" s="6">
        <v>36</v>
      </c>
      <c r="AM68" s="6">
        <v>26</v>
      </c>
      <c r="AN68" s="6">
        <v>22</v>
      </c>
      <c r="AO68" s="6">
        <v>100</v>
      </c>
      <c r="AP68" s="3">
        <v>2</v>
      </c>
      <c r="AQ68" s="18" t="s">
        <v>95</v>
      </c>
      <c r="AR68" s="6"/>
      <c r="AS68" s="6"/>
      <c r="AT68" s="6"/>
    </row>
    <row r="69" spans="1:46" ht="30" customHeight="1" x14ac:dyDescent="0.25">
      <c r="A69" s="21" t="s">
        <v>103</v>
      </c>
      <c r="B69" s="37" t="s">
        <v>89</v>
      </c>
      <c r="C69" s="21" t="s">
        <v>66</v>
      </c>
      <c r="D69" s="7">
        <v>42</v>
      </c>
      <c r="E69" s="23" t="s">
        <v>32</v>
      </c>
      <c r="F69" s="7">
        <v>56</v>
      </c>
      <c r="G69" s="10" t="s">
        <v>65</v>
      </c>
      <c r="H69" s="10" t="s">
        <v>51</v>
      </c>
      <c r="I69" s="10">
        <v>46</v>
      </c>
      <c r="J69" s="22">
        <v>62</v>
      </c>
      <c r="K69" s="22">
        <v>19</v>
      </c>
      <c r="L69" s="10">
        <v>14</v>
      </c>
      <c r="M69" s="10">
        <v>104</v>
      </c>
      <c r="N69" s="22">
        <v>100</v>
      </c>
      <c r="O69" s="22">
        <v>108</v>
      </c>
      <c r="P69" s="22">
        <v>73</v>
      </c>
      <c r="Q69" s="22">
        <v>41</v>
      </c>
      <c r="R69" s="10">
        <v>46</v>
      </c>
      <c r="S69" s="22">
        <v>63</v>
      </c>
      <c r="T69" s="10">
        <v>18</v>
      </c>
      <c r="U69" s="10">
        <v>13</v>
      </c>
      <c r="V69" s="10">
        <v>28</v>
      </c>
      <c r="W69" s="10">
        <v>28</v>
      </c>
      <c r="X69" s="10">
        <v>28</v>
      </c>
      <c r="Y69" s="10">
        <v>73</v>
      </c>
      <c r="Z69" s="10">
        <v>41</v>
      </c>
      <c r="AA69" s="22">
        <v>46</v>
      </c>
      <c r="AB69" s="22">
        <v>27</v>
      </c>
      <c r="AC69" s="22">
        <v>18</v>
      </c>
      <c r="AD69" s="22">
        <v>28</v>
      </c>
      <c r="AE69" s="22">
        <v>28</v>
      </c>
      <c r="AF69" s="22">
        <v>28</v>
      </c>
      <c r="AG69" s="6">
        <v>73</v>
      </c>
      <c r="AH69" s="22">
        <v>41</v>
      </c>
      <c r="AI69" s="20">
        <v>92</v>
      </c>
      <c r="AJ69" s="20">
        <v>105</v>
      </c>
      <c r="AK69" s="20">
        <v>66</v>
      </c>
      <c r="AL69" s="6">
        <v>34</v>
      </c>
      <c r="AM69" s="6">
        <v>25</v>
      </c>
      <c r="AN69" s="6">
        <v>20</v>
      </c>
      <c r="AO69" s="6">
        <v>99</v>
      </c>
      <c r="AP69" s="3">
        <v>2</v>
      </c>
      <c r="AQ69" s="18" t="s">
        <v>95</v>
      </c>
      <c r="AR69" s="6"/>
      <c r="AS69" s="6"/>
      <c r="AT69" s="6"/>
    </row>
    <row r="70" spans="1:46" ht="30" customHeight="1" x14ac:dyDescent="0.25">
      <c r="A70" s="21" t="s">
        <v>104</v>
      </c>
      <c r="B70" s="37" t="s">
        <v>90</v>
      </c>
      <c r="C70" s="21" t="s">
        <v>66</v>
      </c>
      <c r="D70" s="7">
        <v>39</v>
      </c>
      <c r="E70" s="23" t="s">
        <v>32</v>
      </c>
      <c r="F70" s="7">
        <v>55</v>
      </c>
      <c r="G70" s="10" t="s">
        <v>65</v>
      </c>
      <c r="H70" s="10" t="s">
        <v>51</v>
      </c>
      <c r="I70" s="10">
        <v>46</v>
      </c>
      <c r="J70" s="22">
        <v>58</v>
      </c>
      <c r="K70" s="22">
        <v>19</v>
      </c>
      <c r="L70" s="10">
        <v>14</v>
      </c>
      <c r="M70" s="10">
        <v>102</v>
      </c>
      <c r="N70" s="22">
        <v>98</v>
      </c>
      <c r="O70" s="22">
        <v>105</v>
      </c>
      <c r="P70" s="22">
        <v>72</v>
      </c>
      <c r="Q70" s="22">
        <v>40</v>
      </c>
      <c r="R70" s="10">
        <v>46</v>
      </c>
      <c r="S70" s="22">
        <v>59</v>
      </c>
      <c r="T70" s="10">
        <v>17</v>
      </c>
      <c r="U70" s="10">
        <v>13</v>
      </c>
      <c r="V70" s="10">
        <v>28</v>
      </c>
      <c r="W70" s="10">
        <v>26</v>
      </c>
      <c r="X70" s="10">
        <v>28</v>
      </c>
      <c r="Y70" s="10">
        <v>72</v>
      </c>
      <c r="Z70" s="10">
        <v>40</v>
      </c>
      <c r="AA70" s="22">
        <v>46</v>
      </c>
      <c r="AB70" s="22">
        <v>25</v>
      </c>
      <c r="AC70" s="22">
        <v>17</v>
      </c>
      <c r="AD70" s="22">
        <v>28</v>
      </c>
      <c r="AE70" s="22">
        <v>26</v>
      </c>
      <c r="AF70" s="22">
        <v>28</v>
      </c>
      <c r="AG70" s="6">
        <v>72</v>
      </c>
      <c r="AH70" s="22">
        <v>40</v>
      </c>
      <c r="AI70" s="20">
        <v>88</v>
      </c>
      <c r="AJ70" s="20">
        <v>103</v>
      </c>
      <c r="AK70" s="20">
        <v>67</v>
      </c>
      <c r="AL70" s="6">
        <v>33</v>
      </c>
      <c r="AM70" s="6">
        <v>25</v>
      </c>
      <c r="AN70" s="6">
        <v>21</v>
      </c>
      <c r="AO70" s="6">
        <v>95</v>
      </c>
      <c r="AP70" s="3">
        <v>2</v>
      </c>
      <c r="AQ70" s="18" t="s">
        <v>95</v>
      </c>
      <c r="AR70" s="6"/>
      <c r="AS70" s="6"/>
      <c r="AT70" s="6"/>
    </row>
    <row r="71" spans="1:46" ht="30" customHeight="1" x14ac:dyDescent="0.25">
      <c r="A71" s="21" t="s">
        <v>105</v>
      </c>
      <c r="B71" s="37" t="s">
        <v>91</v>
      </c>
      <c r="C71" s="21" t="s">
        <v>66</v>
      </c>
      <c r="D71" s="7">
        <v>42</v>
      </c>
      <c r="E71" s="23" t="s">
        <v>33</v>
      </c>
      <c r="F71" s="7">
        <v>58</v>
      </c>
      <c r="G71" s="10" t="s">
        <v>65</v>
      </c>
      <c r="H71" s="10" t="s">
        <v>51</v>
      </c>
      <c r="I71" s="10">
        <v>47</v>
      </c>
      <c r="J71" s="22">
        <v>61</v>
      </c>
      <c r="K71" s="22">
        <v>19</v>
      </c>
      <c r="L71" s="10">
        <v>14</v>
      </c>
      <c r="M71" s="10">
        <v>106</v>
      </c>
      <c r="N71" s="22">
        <v>100</v>
      </c>
      <c r="O71" s="22">
        <v>114</v>
      </c>
      <c r="P71" s="22">
        <v>73</v>
      </c>
      <c r="Q71" s="22">
        <v>42</v>
      </c>
      <c r="R71" s="10">
        <v>47</v>
      </c>
      <c r="S71" s="22">
        <v>62</v>
      </c>
      <c r="T71" s="10">
        <v>17</v>
      </c>
      <c r="U71" s="10">
        <v>13</v>
      </c>
      <c r="V71" s="10">
        <v>28</v>
      </c>
      <c r="W71" s="10">
        <v>27</v>
      </c>
      <c r="X71" s="10">
        <v>28</v>
      </c>
      <c r="Y71" s="10">
        <v>73</v>
      </c>
      <c r="Z71" s="10">
        <v>42</v>
      </c>
      <c r="AA71" s="22">
        <v>47</v>
      </c>
      <c r="AB71" s="22">
        <v>26</v>
      </c>
      <c r="AC71" s="22">
        <v>17</v>
      </c>
      <c r="AD71" s="22">
        <v>28</v>
      </c>
      <c r="AE71" s="22">
        <v>27</v>
      </c>
      <c r="AF71" s="22">
        <v>28</v>
      </c>
      <c r="AG71" s="6">
        <v>73</v>
      </c>
      <c r="AH71" s="22">
        <v>42</v>
      </c>
      <c r="AI71" s="20">
        <v>90</v>
      </c>
      <c r="AJ71" s="20">
        <v>112</v>
      </c>
      <c r="AK71" s="20">
        <v>70</v>
      </c>
      <c r="AL71" s="6">
        <v>35</v>
      </c>
      <c r="AM71" s="6">
        <v>26</v>
      </c>
      <c r="AN71" s="6">
        <v>20</v>
      </c>
      <c r="AO71" s="6">
        <v>101</v>
      </c>
      <c r="AP71" s="3">
        <v>2</v>
      </c>
      <c r="AQ71" s="18" t="s">
        <v>95</v>
      </c>
      <c r="AR71" s="6"/>
      <c r="AS71" s="6"/>
      <c r="AT71" s="6"/>
    </row>
    <row r="72" spans="1:46" ht="30" customHeight="1" x14ac:dyDescent="0.25">
      <c r="A72" s="21" t="s">
        <v>106</v>
      </c>
      <c r="B72" s="37" t="s">
        <v>92</v>
      </c>
      <c r="C72" s="21" t="s">
        <v>66</v>
      </c>
      <c r="D72" s="7">
        <v>41</v>
      </c>
      <c r="E72" s="23" t="s">
        <v>33</v>
      </c>
      <c r="F72" s="7">
        <v>57</v>
      </c>
      <c r="G72" s="10" t="s">
        <v>65</v>
      </c>
      <c r="H72" s="10" t="s">
        <v>51</v>
      </c>
      <c r="I72" s="10">
        <v>47</v>
      </c>
      <c r="J72" s="22">
        <v>61</v>
      </c>
      <c r="K72" s="22">
        <v>19</v>
      </c>
      <c r="L72" s="10">
        <v>14</v>
      </c>
      <c r="M72" s="10">
        <v>112</v>
      </c>
      <c r="N72" s="22">
        <v>106</v>
      </c>
      <c r="O72" s="22">
        <v>114</v>
      </c>
      <c r="P72" s="22">
        <v>72</v>
      </c>
      <c r="Q72" s="22">
        <v>42</v>
      </c>
      <c r="R72" s="10">
        <v>47</v>
      </c>
      <c r="S72" s="22">
        <v>62</v>
      </c>
      <c r="T72" s="10">
        <v>18</v>
      </c>
      <c r="U72" s="10">
        <v>13</v>
      </c>
      <c r="V72" s="10">
        <v>28</v>
      </c>
      <c r="W72" s="10">
        <v>28</v>
      </c>
      <c r="X72" s="10">
        <v>28</v>
      </c>
      <c r="Y72" s="10">
        <v>72</v>
      </c>
      <c r="Z72" s="10">
        <v>42</v>
      </c>
      <c r="AA72" s="22">
        <v>47</v>
      </c>
      <c r="AB72" s="22">
        <v>26</v>
      </c>
      <c r="AC72" s="22">
        <v>18</v>
      </c>
      <c r="AD72" s="22">
        <v>28</v>
      </c>
      <c r="AE72" s="22">
        <v>28</v>
      </c>
      <c r="AF72" s="22">
        <v>28</v>
      </c>
      <c r="AG72" s="6">
        <v>72</v>
      </c>
      <c r="AH72" s="22">
        <v>42</v>
      </c>
      <c r="AI72" s="20">
        <v>92</v>
      </c>
      <c r="AJ72" s="20">
        <v>112</v>
      </c>
      <c r="AK72" s="20">
        <v>71</v>
      </c>
      <c r="AL72" s="6">
        <v>35</v>
      </c>
      <c r="AM72" s="6">
        <v>26</v>
      </c>
      <c r="AN72" s="6">
        <v>22</v>
      </c>
      <c r="AO72" s="6">
        <v>93</v>
      </c>
      <c r="AP72" s="3">
        <v>2</v>
      </c>
      <c r="AQ72" s="18" t="s">
        <v>95</v>
      </c>
      <c r="AR72" s="6"/>
      <c r="AS72" s="6"/>
      <c r="AT72" s="6"/>
    </row>
    <row r="73" spans="1:46" ht="30" customHeight="1" x14ac:dyDescent="0.25">
      <c r="A73" s="21" t="s">
        <v>107</v>
      </c>
      <c r="B73" s="37" t="s">
        <v>93</v>
      </c>
      <c r="C73" s="21" t="s">
        <v>66</v>
      </c>
      <c r="D73" s="7">
        <v>41</v>
      </c>
      <c r="E73" s="23" t="s">
        <v>31</v>
      </c>
      <c r="F73" s="7">
        <v>56</v>
      </c>
      <c r="G73" s="10" t="s">
        <v>65</v>
      </c>
      <c r="H73" s="10" t="s">
        <v>51</v>
      </c>
      <c r="I73" s="10">
        <v>44</v>
      </c>
      <c r="J73" s="29">
        <v>60</v>
      </c>
      <c r="K73" s="29">
        <v>18</v>
      </c>
      <c r="L73" s="28">
        <v>14</v>
      </c>
      <c r="M73" s="28">
        <v>94</v>
      </c>
      <c r="N73" s="29">
        <v>86</v>
      </c>
      <c r="O73" s="29">
        <v>100</v>
      </c>
      <c r="P73" s="29">
        <v>70</v>
      </c>
      <c r="Q73" s="29">
        <v>39</v>
      </c>
      <c r="R73" s="28">
        <v>44</v>
      </c>
      <c r="S73" s="28">
        <v>61</v>
      </c>
      <c r="T73" s="28">
        <v>16</v>
      </c>
      <c r="U73" s="28">
        <v>12</v>
      </c>
      <c r="V73" s="28">
        <v>26</v>
      </c>
      <c r="W73" s="28">
        <v>24</v>
      </c>
      <c r="X73" s="28">
        <v>26</v>
      </c>
      <c r="Y73" s="28">
        <v>70</v>
      </c>
      <c r="Z73" s="28">
        <v>39</v>
      </c>
      <c r="AA73" s="29">
        <v>44</v>
      </c>
      <c r="AB73" s="29">
        <v>26</v>
      </c>
      <c r="AC73" s="29">
        <v>16</v>
      </c>
      <c r="AD73" s="29">
        <v>26</v>
      </c>
      <c r="AE73" s="29">
        <v>24</v>
      </c>
      <c r="AF73" s="29">
        <v>26</v>
      </c>
      <c r="AG73" s="6">
        <v>70</v>
      </c>
      <c r="AH73" s="29">
        <v>39</v>
      </c>
      <c r="AI73" s="30">
        <v>76</v>
      </c>
      <c r="AJ73" s="30">
        <v>94</v>
      </c>
      <c r="AK73" s="30">
        <v>66</v>
      </c>
      <c r="AL73" s="6">
        <v>31</v>
      </c>
      <c r="AM73" s="6">
        <v>24</v>
      </c>
      <c r="AN73" s="6">
        <v>19</v>
      </c>
      <c r="AO73" s="6">
        <v>95</v>
      </c>
      <c r="AP73" s="3">
        <v>2</v>
      </c>
      <c r="AQ73" s="18" t="s">
        <v>95</v>
      </c>
      <c r="AR73" s="6"/>
      <c r="AS73" s="6"/>
      <c r="AT73" s="6"/>
    </row>
    <row r="74" spans="1:46" ht="30" customHeight="1" x14ac:dyDescent="0.25">
      <c r="A74" s="21" t="s">
        <v>108</v>
      </c>
      <c r="B74" s="37" t="s">
        <v>94</v>
      </c>
      <c r="C74" s="21" t="s">
        <v>66</v>
      </c>
      <c r="D74" s="7">
        <v>41</v>
      </c>
      <c r="E74" s="23" t="s">
        <v>33</v>
      </c>
      <c r="F74" s="7">
        <v>56</v>
      </c>
      <c r="G74" s="10" t="s">
        <v>65</v>
      </c>
      <c r="H74" s="10" t="s">
        <v>51</v>
      </c>
      <c r="I74" s="10">
        <v>46</v>
      </c>
      <c r="J74" s="29">
        <v>60</v>
      </c>
      <c r="K74" s="29">
        <v>19</v>
      </c>
      <c r="L74" s="28">
        <v>14</v>
      </c>
      <c r="M74" s="28">
        <v>106</v>
      </c>
      <c r="N74" s="29">
        <v>100</v>
      </c>
      <c r="O74" s="29">
        <v>112</v>
      </c>
      <c r="P74" s="29">
        <v>71</v>
      </c>
      <c r="Q74" s="29">
        <v>41</v>
      </c>
      <c r="R74" s="28">
        <v>46</v>
      </c>
      <c r="S74" s="28">
        <v>61</v>
      </c>
      <c r="T74" s="28">
        <v>18</v>
      </c>
      <c r="U74" s="28">
        <v>13</v>
      </c>
      <c r="V74" s="28">
        <v>28</v>
      </c>
      <c r="W74" s="28">
        <v>27</v>
      </c>
      <c r="X74" s="28">
        <v>28</v>
      </c>
      <c r="Y74" s="28">
        <v>71</v>
      </c>
      <c r="Z74" s="28">
        <v>41</v>
      </c>
      <c r="AA74" s="29">
        <v>46</v>
      </c>
      <c r="AB74" s="29">
        <v>26</v>
      </c>
      <c r="AC74" s="29">
        <v>18</v>
      </c>
      <c r="AD74" s="29">
        <v>28</v>
      </c>
      <c r="AE74" s="29">
        <v>27</v>
      </c>
      <c r="AF74" s="29">
        <v>28</v>
      </c>
      <c r="AG74" s="6">
        <v>71</v>
      </c>
      <c r="AH74" s="29">
        <v>41</v>
      </c>
      <c r="AI74" s="30">
        <v>90</v>
      </c>
      <c r="AJ74" s="30">
        <v>108</v>
      </c>
      <c r="AK74" s="30">
        <v>66</v>
      </c>
      <c r="AL74" s="6">
        <v>34</v>
      </c>
      <c r="AM74" s="6">
        <v>26</v>
      </c>
      <c r="AN74" s="6">
        <v>20</v>
      </c>
      <c r="AO74" s="6">
        <v>95</v>
      </c>
      <c r="AP74" s="3">
        <v>2</v>
      </c>
      <c r="AQ74" s="18" t="s">
        <v>95</v>
      </c>
      <c r="AR74" s="6"/>
      <c r="AS74" s="6"/>
      <c r="AT74" s="6"/>
    </row>
    <row r="75" spans="1:46" ht="30" customHeight="1" x14ac:dyDescent="0.25">
      <c r="A75" s="44" t="s">
        <v>142</v>
      </c>
      <c r="B75" s="49" t="s">
        <v>138</v>
      </c>
      <c r="C75" s="21" t="s">
        <v>66</v>
      </c>
      <c r="D75" s="7">
        <v>43</v>
      </c>
      <c r="E75" s="23" t="s">
        <v>35</v>
      </c>
      <c r="F75" s="7">
        <v>57</v>
      </c>
      <c r="G75" s="10" t="s">
        <v>65</v>
      </c>
      <c r="H75" s="10" t="s">
        <v>51</v>
      </c>
      <c r="I75" s="40">
        <v>50</v>
      </c>
      <c r="J75" s="29">
        <v>63</v>
      </c>
      <c r="K75" s="29">
        <v>21</v>
      </c>
      <c r="L75" s="40">
        <v>15</v>
      </c>
      <c r="M75" s="40">
        <v>120</v>
      </c>
      <c r="N75" s="29">
        <v>117</v>
      </c>
      <c r="O75" s="29">
        <v>125</v>
      </c>
      <c r="P75" s="29">
        <v>76</v>
      </c>
      <c r="Q75" s="29">
        <v>45</v>
      </c>
      <c r="R75" s="40">
        <v>50</v>
      </c>
      <c r="S75" s="40">
        <v>64</v>
      </c>
      <c r="T75" s="40">
        <v>20</v>
      </c>
      <c r="U75" s="40">
        <v>13</v>
      </c>
      <c r="V75" s="40">
        <v>31</v>
      </c>
      <c r="W75" s="40">
        <v>29</v>
      </c>
      <c r="X75" s="40">
        <v>31</v>
      </c>
      <c r="Y75" s="40">
        <v>76</v>
      </c>
      <c r="Z75" s="40">
        <v>45</v>
      </c>
      <c r="AA75" s="29">
        <v>50</v>
      </c>
      <c r="AB75" s="29">
        <v>27</v>
      </c>
      <c r="AC75" s="29">
        <v>20</v>
      </c>
      <c r="AD75" s="29">
        <v>31</v>
      </c>
      <c r="AE75" s="29">
        <v>29</v>
      </c>
      <c r="AF75" s="29">
        <v>31</v>
      </c>
      <c r="AG75" s="6">
        <v>76</v>
      </c>
      <c r="AH75" s="29">
        <v>45</v>
      </c>
      <c r="AI75" s="30">
        <v>107</v>
      </c>
      <c r="AJ75" s="30">
        <v>118</v>
      </c>
      <c r="AK75" s="30">
        <v>75</v>
      </c>
      <c r="AL75" s="6">
        <v>38</v>
      </c>
      <c r="AM75" s="6">
        <v>28</v>
      </c>
      <c r="AN75" s="6">
        <v>22</v>
      </c>
      <c r="AO75" s="6">
        <v>98</v>
      </c>
      <c r="AP75" s="3">
        <v>2</v>
      </c>
      <c r="AQ75" s="42" t="s">
        <v>136</v>
      </c>
      <c r="AR75" s="6"/>
      <c r="AS75" s="6"/>
      <c r="AT75" s="6"/>
    </row>
    <row r="76" spans="1:46" ht="30" customHeight="1" x14ac:dyDescent="0.25">
      <c r="A76" s="44" t="s">
        <v>143</v>
      </c>
      <c r="B76" s="49" t="s">
        <v>139</v>
      </c>
      <c r="C76" s="21" t="s">
        <v>66</v>
      </c>
      <c r="D76" s="7">
        <v>43</v>
      </c>
      <c r="E76" s="23" t="s">
        <v>121</v>
      </c>
      <c r="F76" s="7">
        <v>58</v>
      </c>
      <c r="G76" s="10" t="s">
        <v>65</v>
      </c>
      <c r="H76" s="10" t="s">
        <v>51</v>
      </c>
      <c r="I76" s="40">
        <v>50</v>
      </c>
      <c r="J76" s="29">
        <v>63</v>
      </c>
      <c r="K76" s="29">
        <v>21</v>
      </c>
      <c r="L76" s="40">
        <v>15</v>
      </c>
      <c r="M76" s="40">
        <v>118</v>
      </c>
      <c r="N76" s="29">
        <v>114</v>
      </c>
      <c r="O76" s="29">
        <v>124</v>
      </c>
      <c r="P76" s="29">
        <v>77</v>
      </c>
      <c r="Q76" s="29">
        <v>45</v>
      </c>
      <c r="R76" s="40">
        <v>50</v>
      </c>
      <c r="S76" s="40">
        <v>64</v>
      </c>
      <c r="T76" s="40">
        <v>20</v>
      </c>
      <c r="U76" s="40">
        <v>13</v>
      </c>
      <c r="V76" s="40">
        <v>30</v>
      </c>
      <c r="W76" s="40">
        <v>29</v>
      </c>
      <c r="X76" s="40">
        <v>30</v>
      </c>
      <c r="Y76" s="40">
        <v>77</v>
      </c>
      <c r="Z76" s="40">
        <v>45</v>
      </c>
      <c r="AA76" s="29">
        <v>50</v>
      </c>
      <c r="AB76" s="29">
        <v>27</v>
      </c>
      <c r="AC76" s="29">
        <v>20</v>
      </c>
      <c r="AD76" s="29">
        <v>30</v>
      </c>
      <c r="AE76" s="29">
        <v>29</v>
      </c>
      <c r="AF76" s="29">
        <v>30</v>
      </c>
      <c r="AG76" s="6">
        <v>77</v>
      </c>
      <c r="AH76" s="29">
        <v>45</v>
      </c>
      <c r="AI76" s="30">
        <v>106</v>
      </c>
      <c r="AJ76" s="30">
        <v>124</v>
      </c>
      <c r="AK76" s="30">
        <v>72</v>
      </c>
      <c r="AL76" s="6">
        <v>37</v>
      </c>
      <c r="AM76" s="6">
        <v>24</v>
      </c>
      <c r="AN76" s="6">
        <v>22</v>
      </c>
      <c r="AO76" s="6">
        <v>97</v>
      </c>
      <c r="AP76" s="3">
        <v>2</v>
      </c>
      <c r="AQ76" s="42" t="s">
        <v>136</v>
      </c>
      <c r="AR76" s="6"/>
      <c r="AS76" s="6"/>
      <c r="AT76" s="6"/>
    </row>
    <row r="77" spans="1:46" ht="30" customHeight="1" x14ac:dyDescent="0.25">
      <c r="A77" s="44" t="s">
        <v>150</v>
      </c>
      <c r="B77" s="49" t="s">
        <v>140</v>
      </c>
      <c r="C77" s="21" t="s">
        <v>66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45</v>
      </c>
      <c r="J77" s="29">
        <v>60</v>
      </c>
      <c r="K77" s="29">
        <v>19</v>
      </c>
      <c r="L77" s="40">
        <v>14</v>
      </c>
      <c r="M77" s="40">
        <v>104</v>
      </c>
      <c r="N77" s="29">
        <v>100</v>
      </c>
      <c r="O77" s="29">
        <v>110</v>
      </c>
      <c r="P77" s="29">
        <v>70</v>
      </c>
      <c r="Q77" s="29">
        <v>41</v>
      </c>
      <c r="R77" s="40">
        <v>45</v>
      </c>
      <c r="S77" s="40">
        <v>61</v>
      </c>
      <c r="T77" s="40">
        <v>18</v>
      </c>
      <c r="U77" s="40">
        <v>13</v>
      </c>
      <c r="V77" s="40">
        <v>28</v>
      </c>
      <c r="W77" s="40">
        <v>28</v>
      </c>
      <c r="X77" s="40">
        <v>28</v>
      </c>
      <c r="Y77" s="40">
        <v>70</v>
      </c>
      <c r="Z77" s="40">
        <v>41</v>
      </c>
      <c r="AA77" s="29">
        <v>45</v>
      </c>
      <c r="AB77" s="29">
        <v>25</v>
      </c>
      <c r="AC77" s="29">
        <v>18</v>
      </c>
      <c r="AD77" s="29">
        <v>28</v>
      </c>
      <c r="AE77" s="29">
        <v>28</v>
      </c>
      <c r="AF77" s="29">
        <v>28</v>
      </c>
      <c r="AG77" s="6">
        <v>70</v>
      </c>
      <c r="AH77" s="29">
        <v>41</v>
      </c>
      <c r="AI77" s="30">
        <v>90</v>
      </c>
      <c r="AJ77" s="30">
        <v>108</v>
      </c>
      <c r="AK77" s="30">
        <v>67</v>
      </c>
      <c r="AL77" s="6">
        <v>34</v>
      </c>
      <c r="AM77" s="6">
        <v>26</v>
      </c>
      <c r="AN77" s="6">
        <v>21</v>
      </c>
      <c r="AO77" s="6">
        <v>94</v>
      </c>
      <c r="AP77" s="3">
        <v>2</v>
      </c>
      <c r="AQ77" s="42" t="s">
        <v>136</v>
      </c>
      <c r="AR77" s="6"/>
      <c r="AS77" s="6"/>
      <c r="AT77" s="6"/>
    </row>
    <row r="78" spans="1:46" ht="30" customHeight="1" x14ac:dyDescent="0.25">
      <c r="A78" s="44" t="s">
        <v>144</v>
      </c>
      <c r="B78" s="43" t="s">
        <v>141</v>
      </c>
      <c r="C78" s="21" t="s">
        <v>66</v>
      </c>
      <c r="D78" s="7">
        <v>42</v>
      </c>
      <c r="E78" s="23" t="s">
        <v>32</v>
      </c>
      <c r="F78" s="7">
        <v>58</v>
      </c>
      <c r="G78" s="10" t="s">
        <v>65</v>
      </c>
      <c r="H78" s="10" t="s">
        <v>51</v>
      </c>
      <c r="I78" s="40">
        <v>46</v>
      </c>
      <c r="J78" s="29">
        <v>58</v>
      </c>
      <c r="K78" s="29">
        <v>19</v>
      </c>
      <c r="L78" s="40">
        <v>14</v>
      </c>
      <c r="M78" s="40">
        <v>106</v>
      </c>
      <c r="N78" s="29">
        <v>102</v>
      </c>
      <c r="O78" s="29">
        <v>110</v>
      </c>
      <c r="P78" s="29">
        <v>71</v>
      </c>
      <c r="Q78" s="29">
        <v>43</v>
      </c>
      <c r="R78" s="40">
        <v>46</v>
      </c>
      <c r="S78" s="40">
        <v>59</v>
      </c>
      <c r="T78" s="40">
        <v>18</v>
      </c>
      <c r="U78" s="40">
        <v>13</v>
      </c>
      <c r="V78" s="40">
        <v>29</v>
      </c>
      <c r="W78" s="40">
        <v>27</v>
      </c>
      <c r="X78" s="40">
        <v>29</v>
      </c>
      <c r="Y78" s="40">
        <v>71</v>
      </c>
      <c r="Z78" s="40">
        <v>43</v>
      </c>
      <c r="AA78" s="29">
        <v>46</v>
      </c>
      <c r="AB78" s="29">
        <v>25</v>
      </c>
      <c r="AC78" s="29">
        <v>18</v>
      </c>
      <c r="AD78" s="29">
        <v>29</v>
      </c>
      <c r="AE78" s="29">
        <v>27</v>
      </c>
      <c r="AF78" s="29">
        <v>29</v>
      </c>
      <c r="AG78" s="6">
        <v>71</v>
      </c>
      <c r="AH78" s="29">
        <v>43</v>
      </c>
      <c r="AI78" s="30">
        <v>94</v>
      </c>
      <c r="AJ78" s="30">
        <v>106</v>
      </c>
      <c r="AK78" s="30">
        <v>69</v>
      </c>
      <c r="AL78" s="6">
        <v>35</v>
      </c>
      <c r="AM78" s="6">
        <v>26</v>
      </c>
      <c r="AN78" s="6">
        <v>20</v>
      </c>
      <c r="AO78" s="6">
        <v>94</v>
      </c>
      <c r="AP78" s="3">
        <v>2</v>
      </c>
      <c r="AQ78" s="42" t="s">
        <v>136</v>
      </c>
      <c r="AR78" s="6"/>
      <c r="AS78" s="6"/>
      <c r="AT78" s="6"/>
    </row>
    <row r="79" spans="1:46" ht="30" customHeight="1" x14ac:dyDescent="0.25">
      <c r="A79" s="44" t="s">
        <v>151</v>
      </c>
      <c r="B79" s="43" t="s">
        <v>146</v>
      </c>
      <c r="C79" s="21" t="s">
        <v>66</v>
      </c>
      <c r="D79" s="7">
        <v>43</v>
      </c>
      <c r="E79" s="23" t="s">
        <v>33</v>
      </c>
      <c r="F79" s="7">
        <v>60</v>
      </c>
      <c r="G79" s="10" t="s">
        <v>65</v>
      </c>
      <c r="H79" s="10" t="s">
        <v>51</v>
      </c>
      <c r="I79" s="40">
        <v>47</v>
      </c>
      <c r="J79" s="29">
        <v>63</v>
      </c>
      <c r="K79" s="29">
        <v>19</v>
      </c>
      <c r="L79" s="40">
        <v>14</v>
      </c>
      <c r="M79" s="40">
        <v>114</v>
      </c>
      <c r="N79" s="29">
        <v>107</v>
      </c>
      <c r="O79" s="29">
        <v>118</v>
      </c>
      <c r="P79" s="29">
        <v>74</v>
      </c>
      <c r="Q79" s="29">
        <v>43</v>
      </c>
      <c r="R79" s="40">
        <v>47</v>
      </c>
      <c r="S79" s="40">
        <v>64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74</v>
      </c>
      <c r="Z79" s="40">
        <v>43</v>
      </c>
      <c r="AA79" s="29">
        <v>47</v>
      </c>
      <c r="AB79" s="29">
        <v>26</v>
      </c>
      <c r="AC79" s="29">
        <v>18</v>
      </c>
      <c r="AD79" s="29">
        <v>29</v>
      </c>
      <c r="AE79" s="29">
        <v>27</v>
      </c>
      <c r="AF79" s="29">
        <v>29</v>
      </c>
      <c r="AG79" s="6">
        <v>74</v>
      </c>
      <c r="AH79" s="29">
        <v>43</v>
      </c>
      <c r="AI79" s="30">
        <v>97</v>
      </c>
      <c r="AJ79" s="30">
        <v>116</v>
      </c>
      <c r="AK79" s="30">
        <v>73</v>
      </c>
      <c r="AL79" s="6">
        <v>35</v>
      </c>
      <c r="AM79" s="6">
        <v>25</v>
      </c>
      <c r="AN79" s="6">
        <v>22</v>
      </c>
      <c r="AO79" s="6">
        <v>103</v>
      </c>
      <c r="AP79" s="3">
        <v>2</v>
      </c>
      <c r="AQ79" s="42" t="s">
        <v>216</v>
      </c>
      <c r="AR79" s="6"/>
      <c r="AS79" s="6"/>
      <c r="AT79" s="6"/>
    </row>
    <row r="80" spans="1:46" ht="30" customHeight="1" x14ac:dyDescent="0.25">
      <c r="A80" s="44" t="s">
        <v>152</v>
      </c>
      <c r="B80" s="43" t="s">
        <v>147</v>
      </c>
      <c r="C80" s="21" t="s">
        <v>66</v>
      </c>
      <c r="D80" s="7">
        <v>42</v>
      </c>
      <c r="E80" s="23" t="s">
        <v>33</v>
      </c>
      <c r="F80" s="7">
        <v>56</v>
      </c>
      <c r="G80" s="10" t="s">
        <v>65</v>
      </c>
      <c r="H80" s="10" t="s">
        <v>51</v>
      </c>
      <c r="I80" s="40">
        <v>47</v>
      </c>
      <c r="J80" s="29">
        <v>63</v>
      </c>
      <c r="K80" s="29">
        <v>20</v>
      </c>
      <c r="L80" s="40">
        <v>15</v>
      </c>
      <c r="M80" s="40">
        <v>110</v>
      </c>
      <c r="N80" s="29">
        <v>106</v>
      </c>
      <c r="O80" s="29">
        <v>114</v>
      </c>
      <c r="P80" s="29">
        <v>73</v>
      </c>
      <c r="Q80" s="29">
        <v>43</v>
      </c>
      <c r="R80" s="40">
        <v>47</v>
      </c>
      <c r="S80" s="40">
        <v>64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73</v>
      </c>
      <c r="Z80" s="40">
        <v>43</v>
      </c>
      <c r="AA80" s="29">
        <v>47</v>
      </c>
      <c r="AB80" s="29">
        <v>26</v>
      </c>
      <c r="AC80" s="29">
        <v>19</v>
      </c>
      <c r="AD80" s="29">
        <v>29</v>
      </c>
      <c r="AE80" s="29">
        <v>27</v>
      </c>
      <c r="AF80" s="29">
        <v>29</v>
      </c>
      <c r="AG80" s="6">
        <v>73</v>
      </c>
      <c r="AH80" s="29">
        <v>43</v>
      </c>
      <c r="AI80" s="30">
        <v>98</v>
      </c>
      <c r="AJ80" s="30">
        <v>112</v>
      </c>
      <c r="AK80" s="30">
        <v>68</v>
      </c>
      <c r="AL80" s="6">
        <v>36</v>
      </c>
      <c r="AM80" s="6">
        <v>26</v>
      </c>
      <c r="AN80" s="6">
        <v>22</v>
      </c>
      <c r="AO80" s="6">
        <v>102</v>
      </c>
      <c r="AP80" s="3">
        <v>2</v>
      </c>
      <c r="AQ80" s="42" t="s">
        <v>216</v>
      </c>
      <c r="AR80" s="6"/>
      <c r="AS80" s="6"/>
      <c r="AT80" s="6"/>
    </row>
    <row r="81" spans="1:46" ht="30" customHeight="1" x14ac:dyDescent="0.25">
      <c r="A81" s="44" t="s">
        <v>153</v>
      </c>
      <c r="B81" s="43" t="s">
        <v>148</v>
      </c>
      <c r="C81" s="21" t="s">
        <v>66</v>
      </c>
      <c r="D81" s="7">
        <v>43</v>
      </c>
      <c r="E81" s="23" t="s">
        <v>32</v>
      </c>
      <c r="F81" s="7">
        <v>58</v>
      </c>
      <c r="G81" s="10" t="s">
        <v>65</v>
      </c>
      <c r="H81" s="10" t="s">
        <v>51</v>
      </c>
      <c r="I81" s="40">
        <v>44</v>
      </c>
      <c r="J81" s="29">
        <v>61</v>
      </c>
      <c r="K81" s="29">
        <v>18</v>
      </c>
      <c r="L81" s="40">
        <v>14</v>
      </c>
      <c r="M81" s="40">
        <v>98</v>
      </c>
      <c r="N81" s="29">
        <v>90</v>
      </c>
      <c r="O81" s="29">
        <v>102</v>
      </c>
      <c r="P81" s="29">
        <v>73</v>
      </c>
      <c r="Q81" s="29">
        <v>39</v>
      </c>
      <c r="R81" s="40">
        <v>44</v>
      </c>
      <c r="S81" s="40">
        <v>62</v>
      </c>
      <c r="T81" s="40">
        <v>16</v>
      </c>
      <c r="U81" s="40">
        <v>12</v>
      </c>
      <c r="V81" s="40">
        <v>27</v>
      </c>
      <c r="W81" s="40">
        <v>24</v>
      </c>
      <c r="X81" s="40">
        <v>27</v>
      </c>
      <c r="Y81" s="40">
        <v>73</v>
      </c>
      <c r="Z81" s="40">
        <v>39</v>
      </c>
      <c r="AA81" s="29">
        <v>44</v>
      </c>
      <c r="AB81" s="29">
        <v>24</v>
      </c>
      <c r="AC81" s="29">
        <v>16</v>
      </c>
      <c r="AD81" s="29">
        <v>27</v>
      </c>
      <c r="AE81" s="29">
        <v>24</v>
      </c>
      <c r="AF81" s="29">
        <v>27</v>
      </c>
      <c r="AG81" s="6">
        <v>73</v>
      </c>
      <c r="AH81" s="29">
        <v>39</v>
      </c>
      <c r="AI81" s="30">
        <v>80</v>
      </c>
      <c r="AJ81" s="30">
        <v>98</v>
      </c>
      <c r="AK81" s="30">
        <v>66</v>
      </c>
      <c r="AL81" s="6">
        <v>31</v>
      </c>
      <c r="AM81" s="6">
        <v>24</v>
      </c>
      <c r="AN81" s="6">
        <v>19</v>
      </c>
      <c r="AO81" s="6">
        <v>96</v>
      </c>
      <c r="AP81" s="3">
        <v>2</v>
      </c>
      <c r="AQ81" s="42" t="s">
        <v>216</v>
      </c>
      <c r="AR81" s="6"/>
      <c r="AS81" s="6"/>
      <c r="AT81" s="6"/>
    </row>
    <row r="82" spans="1:46" ht="30" customHeight="1" x14ac:dyDescent="0.25">
      <c r="A82" s="44" t="s">
        <v>154</v>
      </c>
      <c r="B82" s="43" t="s">
        <v>149</v>
      </c>
      <c r="C82" s="21" t="s">
        <v>66</v>
      </c>
      <c r="D82" s="7">
        <v>41</v>
      </c>
      <c r="E82" s="23" t="s">
        <v>33</v>
      </c>
      <c r="F82" s="7">
        <v>55</v>
      </c>
      <c r="G82" s="10" t="s">
        <v>65</v>
      </c>
      <c r="H82" s="10" t="s">
        <v>51</v>
      </c>
      <c r="I82" s="40">
        <v>46</v>
      </c>
      <c r="J82" s="29">
        <v>58</v>
      </c>
      <c r="K82" s="29">
        <v>20</v>
      </c>
      <c r="L82" s="40">
        <v>15</v>
      </c>
      <c r="M82" s="40">
        <v>112</v>
      </c>
      <c r="N82" s="29">
        <v>108</v>
      </c>
      <c r="O82" s="29">
        <v>116</v>
      </c>
      <c r="P82" s="29">
        <v>70</v>
      </c>
      <c r="Q82" s="29">
        <v>43</v>
      </c>
      <c r="R82" s="40">
        <v>46</v>
      </c>
      <c r="S82" s="40">
        <v>59</v>
      </c>
      <c r="T82" s="40">
        <v>19</v>
      </c>
      <c r="U82" s="40">
        <v>13</v>
      </c>
      <c r="V82" s="40">
        <v>29</v>
      </c>
      <c r="W82" s="40">
        <v>27</v>
      </c>
      <c r="X82" s="40">
        <v>29</v>
      </c>
      <c r="Y82" s="40">
        <v>70</v>
      </c>
      <c r="Z82" s="40">
        <v>43</v>
      </c>
      <c r="AA82" s="29">
        <v>46</v>
      </c>
      <c r="AB82" s="29">
        <v>25</v>
      </c>
      <c r="AC82" s="29">
        <v>19</v>
      </c>
      <c r="AD82" s="29">
        <v>29</v>
      </c>
      <c r="AE82" s="29">
        <v>27</v>
      </c>
      <c r="AF82" s="29">
        <v>29</v>
      </c>
      <c r="AG82" s="6">
        <v>70</v>
      </c>
      <c r="AH82" s="29">
        <v>43</v>
      </c>
      <c r="AI82" s="30">
        <v>98</v>
      </c>
      <c r="AJ82" s="30">
        <v>114</v>
      </c>
      <c r="AK82" s="30">
        <v>68</v>
      </c>
      <c r="AL82" s="6">
        <v>36</v>
      </c>
      <c r="AM82" s="6">
        <v>26</v>
      </c>
      <c r="AN82" s="6">
        <v>22</v>
      </c>
      <c r="AO82" s="6">
        <v>103</v>
      </c>
      <c r="AP82" s="3">
        <v>2</v>
      </c>
      <c r="AQ82" s="42" t="s">
        <v>216</v>
      </c>
      <c r="AR82" s="6"/>
      <c r="AS82" s="6"/>
      <c r="AT82" s="6"/>
    </row>
    <row r="83" spans="1:46" ht="30" customHeight="1" x14ac:dyDescent="0.25">
      <c r="A83" s="40"/>
      <c r="B83" s="48"/>
      <c r="C83" s="35"/>
      <c r="G83" s="40"/>
      <c r="H83" s="40"/>
      <c r="I83" s="40"/>
      <c r="J83" s="29"/>
      <c r="K83" s="29"/>
      <c r="L83" s="40"/>
      <c r="M83" s="40"/>
      <c r="N83" s="29"/>
      <c r="O83" s="29"/>
      <c r="P83" s="29"/>
      <c r="Q83" s="29"/>
      <c r="R83" s="40"/>
      <c r="S83" s="40"/>
      <c r="T83" s="40"/>
      <c r="U83" s="40"/>
      <c r="V83" s="40"/>
      <c r="W83" s="40"/>
      <c r="X83" s="40"/>
      <c r="Y83" s="40"/>
      <c r="Z83" s="40"/>
      <c r="AA83" s="29"/>
      <c r="AB83" s="29"/>
      <c r="AC83" s="29"/>
      <c r="AD83" s="29"/>
      <c r="AE83" s="29"/>
      <c r="AF83" s="29"/>
      <c r="AG83" s="6"/>
      <c r="AH83" s="29"/>
      <c r="AI83" s="30"/>
      <c r="AJ83" s="30"/>
      <c r="AK83" s="30"/>
      <c r="AL83" s="6"/>
      <c r="AM83" s="6"/>
      <c r="AN83" s="6"/>
      <c r="AO83" s="6"/>
      <c r="AP83" s="3"/>
      <c r="AQ83" s="42"/>
      <c r="AR83" s="6"/>
      <c r="AS83" s="6"/>
      <c r="AT83" s="6"/>
    </row>
    <row r="84" spans="1:46" ht="30" customHeight="1" x14ac:dyDescent="0.25">
      <c r="A84" s="40"/>
      <c r="B84" s="38"/>
      <c r="C84" s="35"/>
      <c r="D84" s="31"/>
      <c r="E84" s="32"/>
      <c r="F84" s="31"/>
      <c r="G84" s="40"/>
      <c r="H84" s="40"/>
      <c r="I84" s="40"/>
      <c r="J84" s="29"/>
      <c r="K84" s="29"/>
      <c r="L84" s="40"/>
      <c r="M84" s="40"/>
      <c r="N84" s="29"/>
      <c r="O84" s="29"/>
      <c r="P84" s="29"/>
      <c r="Q84" s="29"/>
      <c r="R84" s="40"/>
      <c r="S84" s="40"/>
      <c r="T84" s="40"/>
      <c r="U84" s="40"/>
      <c r="V84" s="40"/>
      <c r="W84" s="40"/>
      <c r="X84" s="40"/>
      <c r="Y84" s="40"/>
      <c r="Z84" s="40"/>
      <c r="AA84" s="29"/>
      <c r="AB84" s="29"/>
      <c r="AC84" s="29"/>
      <c r="AD84" s="29"/>
      <c r="AE84" s="29"/>
      <c r="AF84" s="29"/>
      <c r="AG84" s="6"/>
      <c r="AH84" s="29"/>
      <c r="AI84" s="30"/>
      <c r="AJ84" s="30"/>
      <c r="AK84" s="30"/>
      <c r="AL84" s="6"/>
      <c r="AM84" s="6"/>
      <c r="AN84" s="6"/>
      <c r="AO84" s="6"/>
      <c r="AP84" s="3"/>
      <c r="AQ84" s="42"/>
      <c r="AR84" s="6"/>
      <c r="AS84" s="6"/>
      <c r="AT84" s="6"/>
    </row>
    <row r="85" spans="1:46" ht="30" customHeight="1" x14ac:dyDescent="0.25">
      <c r="A85" s="40"/>
      <c r="B85" s="38"/>
      <c r="C85" s="40"/>
      <c r="D85" s="31"/>
      <c r="E85" s="32"/>
      <c r="F85" s="31"/>
      <c r="G85" s="40"/>
      <c r="H85" s="40"/>
      <c r="I85" s="40"/>
      <c r="J85" s="29"/>
      <c r="K85" s="29"/>
      <c r="L85" s="40"/>
      <c r="M85" s="40"/>
      <c r="N85" s="29"/>
      <c r="O85" s="29"/>
      <c r="P85" s="29"/>
      <c r="Q85" s="29"/>
      <c r="R85" s="40"/>
      <c r="S85" s="40"/>
      <c r="T85" s="40"/>
      <c r="U85" s="40"/>
      <c r="V85" s="40"/>
      <c r="W85" s="40"/>
      <c r="X85" s="40"/>
      <c r="Y85" s="40"/>
      <c r="Z85" s="40"/>
      <c r="AA85" s="29"/>
      <c r="AB85" s="29"/>
      <c r="AC85" s="29"/>
      <c r="AD85" s="29"/>
      <c r="AE85" s="29"/>
      <c r="AF85" s="29"/>
      <c r="AG85" s="6"/>
      <c r="AH85" s="29"/>
      <c r="AI85" s="30"/>
      <c r="AJ85" s="30"/>
      <c r="AK85" s="30"/>
      <c r="AL85" s="6"/>
      <c r="AM85" s="6"/>
      <c r="AN85" s="6"/>
      <c r="AO85" s="6"/>
      <c r="AP85" s="3"/>
      <c r="AQ85" s="42"/>
      <c r="AR85" s="6"/>
      <c r="AS85" s="6"/>
      <c r="AT85" s="6"/>
    </row>
    <row r="86" spans="1:46" ht="30" customHeight="1" x14ac:dyDescent="0.25">
      <c r="A86" s="14"/>
      <c r="B86" s="43"/>
      <c r="C86" s="14"/>
      <c r="D86" s="7"/>
      <c r="E86" s="23"/>
      <c r="F86" s="7"/>
      <c r="G86" s="10"/>
      <c r="H86" s="10" t="s">
        <v>80</v>
      </c>
      <c r="I86" s="33">
        <f>SUBTOTAL(105,Table1[UBN_1])</f>
        <v>40</v>
      </c>
      <c r="J86" s="33">
        <f>SUBTOTAL(105,Table1[UBN_2])</f>
        <v>54</v>
      </c>
      <c r="K86" s="33">
        <f>SUBTOTAL(105,Table1[UBN_3])</f>
        <v>17</v>
      </c>
      <c r="L86" s="33">
        <f>SUBTOTAL(105,Table1[UBN_4])</f>
        <v>14</v>
      </c>
      <c r="M86" s="33">
        <f>SUBTOTAL(105,Table1[UBN_5])</f>
        <v>86</v>
      </c>
      <c r="N86" s="33">
        <f>SUBTOTAL(105,Table1[UBN_6])</f>
        <v>76</v>
      </c>
      <c r="O86" s="33">
        <f>SUBTOTAL(105,Table1[UBN_7])</f>
        <v>96</v>
      </c>
      <c r="P86" s="33">
        <f>SUBTOTAL(105,Table1[UBN_8])</f>
        <v>67</v>
      </c>
      <c r="Q86" s="33">
        <f>SUBTOTAL(105,Table1[UBN_9])</f>
        <v>36</v>
      </c>
      <c r="R86" s="33">
        <f>SUBTOTAL(105,Table1[UH_1])</f>
        <v>42</v>
      </c>
      <c r="S86" s="33">
        <f>SUBTOTAL(105,Table1[UH_2])</f>
        <v>55</v>
      </c>
      <c r="T86" s="33">
        <f>SUBTOTAL(105,Table1[UH_3])</f>
        <v>16</v>
      </c>
      <c r="U86" s="33">
        <f>SUBTOTAL(105,Table1[UH_4])</f>
        <v>12</v>
      </c>
      <c r="V86" s="33">
        <f>SUBTOTAL(105,Table1[UH_5])</f>
        <v>26</v>
      </c>
      <c r="W86" s="33">
        <f>SUBTOTAL(105,Table1[UH_6])</f>
        <v>24</v>
      </c>
      <c r="X86" s="33">
        <f>SUBTOTAL(105,Table1[UH_7])</f>
        <v>26</v>
      </c>
      <c r="Y86" s="33">
        <f>SUBTOTAL(105,Table1[UH_8])</f>
        <v>67</v>
      </c>
      <c r="Z86" s="33">
        <f>SUBTOTAL(105,Table1[UH_9])</f>
        <v>39</v>
      </c>
      <c r="AA86" s="33">
        <f>SUBTOTAL(105,Table1[UB_1])</f>
        <v>40</v>
      </c>
      <c r="AB86" s="33">
        <f>SUBTOTAL(105,Table1[UB_2])</f>
        <v>23</v>
      </c>
      <c r="AC86" s="33">
        <f>SUBTOTAL(105,Table1[UB_3])</f>
        <v>16</v>
      </c>
      <c r="AD86" s="33">
        <f>SUBTOTAL(105,Table1[UB_4])</f>
        <v>26</v>
      </c>
      <c r="AE86" s="33">
        <f>SUBTOTAL(105,Table1[UB_5])</f>
        <v>24</v>
      </c>
      <c r="AF86" s="33">
        <f>SUBTOTAL(105,Table1[UB_6])</f>
        <v>26</v>
      </c>
      <c r="AG86" s="33">
        <f>SUBTOTAL(105,Table1[UB_7])</f>
        <v>67</v>
      </c>
      <c r="AH86" s="33">
        <f>SUBTOTAL(105,Table1[UB_8])</f>
        <v>36</v>
      </c>
      <c r="AI86" s="33">
        <f>SUBTOTAL(105,Table1[UC_1])</f>
        <v>72</v>
      </c>
      <c r="AJ86" s="33">
        <f>SUBTOTAL(105,Table1[UC_2])</f>
        <v>90</v>
      </c>
      <c r="AK86" s="33">
        <f>SUBTOTAL(105,Table1[UC_3])</f>
        <v>60</v>
      </c>
      <c r="AL86" s="33">
        <f>SUBTOTAL(105,Table1[UC_4])</f>
        <v>29</v>
      </c>
      <c r="AM86" s="33">
        <f>SUBTOTAL(105,Table1[UC_5])</f>
        <v>23</v>
      </c>
      <c r="AN86" s="33">
        <f>SUBTOTAL(105,Table1[UC_6])</f>
        <v>18</v>
      </c>
      <c r="AO86" s="33">
        <f>SUBTOTAL(105,Table1[UC_7])</f>
        <v>89</v>
      </c>
      <c r="AQ86" s="19"/>
    </row>
    <row r="87" spans="1:46" ht="30" customHeight="1" x14ac:dyDescent="0.25">
      <c r="A87" s="8"/>
      <c r="B87" s="11"/>
      <c r="C87" s="14"/>
      <c r="D87" s="7"/>
      <c r="E87" s="23"/>
      <c r="F87" s="7"/>
      <c r="G87" s="10"/>
      <c r="H87" s="10" t="s">
        <v>81</v>
      </c>
      <c r="I87" s="33">
        <f>SUBTOTAL(104,Table1[UBN_1])</f>
        <v>52</v>
      </c>
      <c r="J87" s="33">
        <f>SUBTOTAL(104,Table1[UBN_2])</f>
        <v>65</v>
      </c>
      <c r="K87" s="33">
        <f>SUBTOTAL(104,Table1[UBN_3])</f>
        <v>21</v>
      </c>
      <c r="L87" s="33">
        <f>SUBTOTAL(104,Table1[UBN_4])</f>
        <v>16</v>
      </c>
      <c r="M87" s="33">
        <f>SUBTOTAL(104,Table1[UBN_5])</f>
        <v>125</v>
      </c>
      <c r="N87" s="33">
        <f>SUBTOTAL(104,Table1[UBN_6])</f>
        <v>122</v>
      </c>
      <c r="O87" s="33">
        <f>SUBTOTAL(104,Table1[UBN_7])</f>
        <v>128</v>
      </c>
      <c r="P87" s="33">
        <f>SUBTOTAL(104,Table1[UBN_8])</f>
        <v>78</v>
      </c>
      <c r="Q87" s="33">
        <f>SUBTOTAL(104,Table1[UBN_9])</f>
        <v>46</v>
      </c>
      <c r="R87" s="33">
        <f>SUBTOTAL(104,Table1[UH_1])</f>
        <v>52</v>
      </c>
      <c r="S87" s="33">
        <f>SUBTOTAL(104,Table1[UH_2])</f>
        <v>66</v>
      </c>
      <c r="T87" s="33">
        <f>SUBTOTAL(104,Table1[UH_3])</f>
        <v>42</v>
      </c>
      <c r="U87" s="33">
        <f>SUBTOTAL(104,Table1[UH_4])</f>
        <v>32</v>
      </c>
      <c r="V87" s="33">
        <f>SUBTOTAL(104,Table1[UH_5])</f>
        <v>33</v>
      </c>
      <c r="W87" s="33">
        <f>SUBTOTAL(104,Table1[UH_6])</f>
        <v>33</v>
      </c>
      <c r="X87" s="33">
        <f>SUBTOTAL(104,Table1[UH_7])</f>
        <v>33</v>
      </c>
      <c r="Y87" s="33">
        <f>SUBTOTAL(104,Table1[UH_8])</f>
        <v>78</v>
      </c>
      <c r="Z87" s="33">
        <f>SUBTOTAL(104,Table1[UH_9])</f>
        <v>46</v>
      </c>
      <c r="AA87" s="33">
        <f>SUBTOTAL(104,Table1[UB_1])</f>
        <v>52</v>
      </c>
      <c r="AB87" s="33">
        <f>SUBTOTAL(104,Table1[UB_2])</f>
        <v>29</v>
      </c>
      <c r="AC87" s="33">
        <f>SUBTOTAL(104,Table1[UB_3])</f>
        <v>21</v>
      </c>
      <c r="AD87" s="33">
        <f>SUBTOTAL(104,Table1[UB_4])</f>
        <v>33</v>
      </c>
      <c r="AE87" s="33">
        <f>SUBTOTAL(104,Table1[UB_5])</f>
        <v>33</v>
      </c>
      <c r="AF87" s="33">
        <f>SUBTOTAL(104,Table1[UB_6])</f>
        <v>33</v>
      </c>
      <c r="AG87" s="33">
        <f>SUBTOTAL(104,Table1[UB_7])</f>
        <v>78</v>
      </c>
      <c r="AH87" s="33">
        <f>SUBTOTAL(104,Table1[UB_8])</f>
        <v>46</v>
      </c>
      <c r="AI87" s="33">
        <f>SUBTOTAL(104,Table1[UC_1])</f>
        <v>115</v>
      </c>
      <c r="AJ87" s="33">
        <f>SUBTOTAL(104,Table1[UC_2])</f>
        <v>126</v>
      </c>
      <c r="AK87" s="33">
        <f>SUBTOTAL(104,Table1[UC_3])</f>
        <v>77</v>
      </c>
      <c r="AL87" s="33">
        <f>SUBTOTAL(104,Table1[UC_4])</f>
        <v>39</v>
      </c>
      <c r="AM87" s="33">
        <f>SUBTOTAL(104,Table1[UC_5])</f>
        <v>30</v>
      </c>
      <c r="AN87" s="33">
        <f>SUBTOTAL(104,Table1[UC_6])</f>
        <v>23</v>
      </c>
      <c r="AO87" s="33">
        <f>SUBTOTAL(104,Table1[UC_7])</f>
        <v>105</v>
      </c>
      <c r="AQ87" s="19"/>
    </row>
    <row r="88" spans="1:46" ht="30" customHeight="1" x14ac:dyDescent="0.25">
      <c r="A88" s="8"/>
      <c r="B88" s="11"/>
      <c r="C88" s="8"/>
      <c r="D88" s="7"/>
      <c r="E88" s="23"/>
      <c r="F88" s="7"/>
      <c r="G88" s="10"/>
      <c r="H88" s="10"/>
    </row>
    <row r="89" spans="1:46" ht="30" customHeight="1" x14ac:dyDescent="0.25">
      <c r="A89" s="8"/>
      <c r="B89" s="11"/>
      <c r="C89" s="8"/>
      <c r="D89" s="7"/>
      <c r="E89" s="23"/>
      <c r="F89" s="7"/>
      <c r="G89" s="10"/>
      <c r="H89" s="10"/>
    </row>
    <row r="90" spans="1:46" ht="30" customHeight="1" x14ac:dyDescent="0.25">
      <c r="A90" s="8"/>
      <c r="B90" s="11"/>
      <c r="C90" s="8"/>
      <c r="D90" s="7"/>
      <c r="E90" s="23"/>
      <c r="F90" s="7"/>
      <c r="G90" s="10"/>
      <c r="H90" s="10"/>
    </row>
    <row r="91" spans="1:46" ht="30" customHeight="1" x14ac:dyDescent="0.25">
      <c r="A91" s="8"/>
      <c r="B91" s="11"/>
      <c r="C91" s="8"/>
      <c r="D91" s="7"/>
      <c r="E91" s="23"/>
      <c r="F91" s="7"/>
      <c r="G91" s="10"/>
      <c r="H91" s="10"/>
    </row>
    <row r="92" spans="1:46" ht="30" customHeight="1" x14ac:dyDescent="0.25">
      <c r="A92" s="8"/>
      <c r="B92" s="11"/>
      <c r="C92" s="8"/>
      <c r="D92" s="7"/>
      <c r="E92" s="23"/>
      <c r="F92" s="7"/>
      <c r="G92" s="10"/>
      <c r="H92" s="10"/>
      <c r="AQ92" s="9"/>
    </row>
    <row r="93" spans="1:46" ht="30" customHeight="1" x14ac:dyDescent="0.25">
      <c r="A93" s="8"/>
      <c r="B93" s="11"/>
      <c r="C93" s="8"/>
      <c r="D93" s="7"/>
      <c r="E93" s="23"/>
      <c r="F93" s="7"/>
      <c r="G93" s="10"/>
      <c r="H93" s="10"/>
      <c r="AQ93" s="9"/>
    </row>
    <row r="94" spans="1:46" ht="30" customHeight="1" x14ac:dyDescent="0.25">
      <c r="A94" s="8"/>
      <c r="B94" s="11"/>
      <c r="C94" s="8"/>
      <c r="D94" s="7"/>
      <c r="E94" s="23"/>
      <c r="F94" s="7"/>
      <c r="G94" s="10"/>
      <c r="H94" s="10"/>
      <c r="AQ94" s="4"/>
    </row>
    <row r="95" spans="1:46" ht="30" customHeight="1" x14ac:dyDescent="0.25">
      <c r="A95" s="8"/>
      <c r="B95" s="11"/>
      <c r="C95" s="8"/>
      <c r="D95" s="7"/>
      <c r="E95" s="23"/>
      <c r="F95" s="7"/>
      <c r="G95" s="10"/>
      <c r="H95" s="10"/>
      <c r="AQ95" s="4"/>
    </row>
    <row r="96" spans="1:46" ht="30" customHeight="1" x14ac:dyDescent="0.25">
      <c r="A96" s="8"/>
      <c r="B96" s="12"/>
      <c r="C96" s="8"/>
      <c r="D96" s="7"/>
      <c r="E96" s="23"/>
      <c r="F96" s="7"/>
      <c r="G96" s="10"/>
      <c r="H96" s="10"/>
      <c r="AO96" s="6"/>
      <c r="AQ96" s="4"/>
    </row>
    <row r="97" spans="1:43" ht="30" customHeight="1" x14ac:dyDescent="0.25">
      <c r="A97" s="8"/>
      <c r="B97" s="12"/>
      <c r="C97" s="8"/>
      <c r="D97" s="7"/>
      <c r="E97" s="23"/>
      <c r="F97" s="7"/>
      <c r="G97" s="10"/>
      <c r="H97" s="10"/>
      <c r="AQ97" s="4"/>
    </row>
    <row r="98" spans="1:43" ht="30" customHeight="1" x14ac:dyDescent="0.25">
      <c r="A98" s="8"/>
      <c r="B98" s="12"/>
      <c r="C98" s="8"/>
      <c r="D98" s="7"/>
      <c r="E98" s="23"/>
      <c r="F98" s="7"/>
      <c r="G98" s="10"/>
      <c r="H98" s="10"/>
      <c r="AQ98" s="4"/>
    </row>
    <row r="99" spans="1:43" ht="30" customHeight="1" x14ac:dyDescent="0.25">
      <c r="A99" s="8"/>
      <c r="B99" s="12"/>
      <c r="C99" s="8"/>
      <c r="D99" s="7"/>
      <c r="E99" s="23"/>
      <c r="F99" s="7"/>
      <c r="G99" s="10"/>
      <c r="H99" s="10"/>
      <c r="AQ99" s="4"/>
    </row>
    <row r="100" spans="1:43" ht="30" customHeight="1" x14ac:dyDescent="0.25">
      <c r="A100" s="8"/>
      <c r="B100" s="12"/>
      <c r="C100" s="8"/>
      <c r="D100" s="7"/>
      <c r="E100" s="23"/>
      <c r="F100" s="7"/>
      <c r="G100" s="10"/>
      <c r="H100" s="10"/>
      <c r="AQ100" s="4"/>
    </row>
    <row r="101" spans="1:43" ht="30" customHeight="1" x14ac:dyDescent="0.25">
      <c r="A101" s="8"/>
      <c r="B101" s="12"/>
      <c r="C101" s="8"/>
      <c r="D101" s="7"/>
      <c r="E101" s="23"/>
      <c r="F101" s="7"/>
      <c r="G101" s="10"/>
      <c r="H101" s="10"/>
      <c r="AQ101" s="4"/>
    </row>
    <row r="102" spans="1:43" ht="30" customHeight="1" x14ac:dyDescent="0.25">
      <c r="A102" s="8"/>
      <c r="B102" s="12"/>
      <c r="C102" s="8"/>
      <c r="D102" s="7"/>
      <c r="E102" s="23"/>
      <c r="F102" s="7"/>
      <c r="G102" s="10"/>
      <c r="H102" s="10"/>
      <c r="AQ102" s="4"/>
    </row>
    <row r="103" spans="1:43" ht="30" customHeight="1" x14ac:dyDescent="0.25">
      <c r="A103" s="8"/>
      <c r="B103" s="12"/>
      <c r="C103" s="8"/>
      <c r="D103" s="7"/>
      <c r="E103" s="23"/>
      <c r="F103" s="7"/>
      <c r="G103" s="10"/>
      <c r="H103" s="10"/>
      <c r="AQ103" s="4"/>
    </row>
    <row r="104" spans="1:43" ht="30" customHeight="1" x14ac:dyDescent="0.25">
      <c r="A104" s="8"/>
      <c r="B104" s="12"/>
      <c r="C104" s="8"/>
      <c r="D104" s="7"/>
      <c r="E104" s="23"/>
      <c r="F104" s="7"/>
      <c r="G104" s="10"/>
      <c r="H104" s="10"/>
      <c r="AQ104" s="4"/>
    </row>
    <row r="105" spans="1:43" ht="30" customHeight="1" x14ac:dyDescent="0.25">
      <c r="A105" s="8"/>
      <c r="B105" s="12"/>
      <c r="C105" s="8"/>
      <c r="D105" s="7"/>
      <c r="E105" s="23"/>
      <c r="F105" s="7"/>
      <c r="G105" s="10"/>
      <c r="H105" s="10"/>
      <c r="AQ105" s="4"/>
    </row>
    <row r="106" spans="1:43" ht="30" customHeight="1" x14ac:dyDescent="0.25">
      <c r="A106" s="8"/>
      <c r="B106" s="12"/>
      <c r="C106" s="8"/>
      <c r="D106" s="7"/>
      <c r="E106" s="23"/>
      <c r="F106" s="7"/>
      <c r="G106" s="10"/>
      <c r="H106" s="10"/>
      <c r="AQ106" s="4"/>
    </row>
    <row r="107" spans="1:43" ht="30" customHeight="1" x14ac:dyDescent="0.25">
      <c r="A107" s="8"/>
      <c r="B107" s="12"/>
      <c r="C107" s="8"/>
      <c r="D107" s="7"/>
      <c r="E107" s="23"/>
      <c r="F107" s="7"/>
      <c r="G107" s="10"/>
      <c r="H107" s="10"/>
      <c r="AQ107" s="4"/>
    </row>
    <row r="108" spans="1:43" ht="30" customHeight="1" x14ac:dyDescent="0.25">
      <c r="A108" s="8"/>
      <c r="B108" s="12"/>
      <c r="C108" s="8"/>
      <c r="D108" s="7"/>
      <c r="E108" s="23"/>
      <c r="F108" s="7"/>
      <c r="G108" s="10"/>
      <c r="H108" s="10"/>
      <c r="AQ108" s="4"/>
    </row>
    <row r="109" spans="1:43" ht="30" customHeight="1" x14ac:dyDescent="0.25">
      <c r="A109" s="8"/>
      <c r="B109" s="12"/>
      <c r="C109" s="8"/>
      <c r="D109" s="7"/>
      <c r="E109" s="23"/>
      <c r="F109" s="7"/>
      <c r="G109" s="10"/>
      <c r="H109" s="10"/>
      <c r="AQ109" s="4"/>
    </row>
    <row r="110" spans="1:43" ht="30" customHeight="1" x14ac:dyDescent="0.25">
      <c r="A110" s="8"/>
      <c r="B110" s="12"/>
      <c r="C110" s="8"/>
      <c r="D110" s="7"/>
      <c r="E110" s="23"/>
      <c r="F110" s="7"/>
      <c r="G110" s="10"/>
      <c r="H110" s="10"/>
      <c r="AQ110" s="4"/>
    </row>
    <row r="111" spans="1:43" ht="30" customHeight="1" x14ac:dyDescent="0.25">
      <c r="A111" s="8"/>
      <c r="B111" s="12"/>
      <c r="C111" s="8"/>
      <c r="D111" s="7"/>
      <c r="E111" s="23"/>
      <c r="F111" s="7"/>
      <c r="G111" s="10"/>
      <c r="H111" s="10"/>
      <c r="AQ111" s="4"/>
    </row>
    <row r="112" spans="1:43" ht="30" customHeight="1" x14ac:dyDescent="0.25">
      <c r="A112" s="8"/>
      <c r="B112" s="12"/>
      <c r="C112" s="8"/>
      <c r="D112" s="7"/>
      <c r="E112" s="23"/>
      <c r="F112" s="7"/>
      <c r="G112" s="10"/>
      <c r="H112" s="10"/>
      <c r="AQ112" s="4"/>
    </row>
    <row r="113" spans="1:43" ht="30" customHeight="1" x14ac:dyDescent="0.25">
      <c r="A113" s="8"/>
      <c r="B113" s="12"/>
      <c r="C113" s="8"/>
      <c r="D113" s="7"/>
      <c r="E113" s="23"/>
      <c r="F113" s="7"/>
      <c r="G113" s="10"/>
      <c r="H113" s="10"/>
      <c r="AQ113" s="4"/>
    </row>
    <row r="114" spans="1:43" ht="30" customHeight="1" x14ac:dyDescent="0.25">
      <c r="A114" s="8"/>
      <c r="B114" s="12"/>
      <c r="C114" s="8"/>
      <c r="D114" s="7"/>
      <c r="E114" s="23"/>
      <c r="F114" s="7"/>
      <c r="G114" s="10"/>
      <c r="H114" s="10"/>
      <c r="AQ114" s="4"/>
    </row>
    <row r="115" spans="1:43" ht="30" customHeight="1" x14ac:dyDescent="0.25">
      <c r="A115" s="8"/>
      <c r="B115" s="12"/>
      <c r="C115" s="8"/>
      <c r="D115" s="7"/>
      <c r="E115" s="23"/>
      <c r="F115" s="7"/>
      <c r="G115" s="10"/>
      <c r="H115" s="10"/>
      <c r="AQ115" s="4"/>
    </row>
    <row r="116" spans="1:43" ht="30" customHeight="1" x14ac:dyDescent="0.25">
      <c r="A116" s="8"/>
      <c r="B116" s="12"/>
      <c r="C116" s="8"/>
      <c r="D116" s="7"/>
      <c r="E116" s="23"/>
      <c r="F116" s="7"/>
      <c r="G116" s="10"/>
      <c r="H116" s="10"/>
      <c r="AQ116" s="4"/>
    </row>
    <row r="117" spans="1:43" ht="30" customHeight="1" x14ac:dyDescent="0.25">
      <c r="A117" s="8"/>
      <c r="B117" s="12"/>
      <c r="C117" s="8"/>
      <c r="D117" s="7"/>
      <c r="E117" s="23"/>
      <c r="F117" s="7"/>
      <c r="G117" s="10"/>
      <c r="H117" s="10"/>
      <c r="AQ117" s="4"/>
    </row>
    <row r="118" spans="1:43" ht="30" customHeight="1" x14ac:dyDescent="0.25">
      <c r="A118" s="8"/>
      <c r="B118" s="12"/>
      <c r="C118" s="8"/>
      <c r="D118" s="7"/>
      <c r="E118" s="23"/>
      <c r="F118" s="7"/>
      <c r="G118" s="10"/>
      <c r="H118" s="10"/>
      <c r="AQ118" s="4"/>
    </row>
    <row r="119" spans="1:43" ht="30" customHeight="1" x14ac:dyDescent="0.25">
      <c r="A119" s="8"/>
      <c r="B119" s="12"/>
      <c r="C119" s="8"/>
      <c r="D119" s="7"/>
      <c r="E119" s="23"/>
      <c r="F119" s="7"/>
      <c r="G119" s="10"/>
      <c r="H119" s="10"/>
      <c r="AQ119" s="4"/>
    </row>
    <row r="120" spans="1:43" ht="30" customHeight="1" x14ac:dyDescent="0.25">
      <c r="A120" s="8"/>
      <c r="B120" s="12"/>
      <c r="C120" s="8"/>
      <c r="D120" s="7"/>
      <c r="E120" s="23"/>
      <c r="F120" s="7"/>
      <c r="G120" s="10"/>
      <c r="H120" s="10"/>
      <c r="AQ120" s="4"/>
    </row>
    <row r="121" spans="1:43" ht="30" customHeight="1" x14ac:dyDescent="0.25">
      <c r="A121" s="8"/>
      <c r="B121" s="12"/>
      <c r="C121" s="8"/>
      <c r="D121" s="7"/>
      <c r="E121" s="23"/>
      <c r="F121" s="7"/>
      <c r="G121" s="10"/>
      <c r="H121" s="10"/>
      <c r="AQ121" s="4"/>
    </row>
    <row r="122" spans="1:43" ht="30" customHeight="1" x14ac:dyDescent="0.25">
      <c r="A122" s="8"/>
      <c r="B122" s="12"/>
      <c r="C122" s="8"/>
      <c r="D122" s="7"/>
      <c r="E122" s="23"/>
      <c r="F122" s="7"/>
      <c r="G122" s="10"/>
      <c r="H122" s="10"/>
    </row>
    <row r="123" spans="1:43" ht="30" customHeight="1" x14ac:dyDescent="0.25">
      <c r="A123" s="8"/>
      <c r="B123" s="12"/>
      <c r="C123" s="8"/>
      <c r="D123" s="7"/>
      <c r="E123" s="23"/>
      <c r="F123" s="7"/>
      <c r="G123" s="10"/>
      <c r="H123" s="10"/>
      <c r="AQ123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E8" sqref="E8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56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25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2</v>
      </c>
      <c r="K5" s="27"/>
      <c r="L5" s="27">
        <v>2</v>
      </c>
    </row>
    <row r="6" spans="1:12" x14ac:dyDescent="0.25">
      <c r="A6" s="26" t="s">
        <v>145</v>
      </c>
      <c r="B6" s="27"/>
      <c r="D6" s="26">
        <v>40</v>
      </c>
      <c r="E6" s="27">
        <v>9</v>
      </c>
      <c r="F6" s="27"/>
      <c r="G6" s="27">
        <v>9</v>
      </c>
      <c r="I6" s="26">
        <v>56</v>
      </c>
      <c r="J6" s="27">
        <v>23</v>
      </c>
      <c r="K6" s="27"/>
      <c r="L6" s="27">
        <v>23</v>
      </c>
    </row>
    <row r="7" spans="1:12" x14ac:dyDescent="0.25">
      <c r="A7" s="26" t="s">
        <v>73</v>
      </c>
      <c r="B7" s="27">
        <v>81</v>
      </c>
      <c r="D7" s="26">
        <v>41</v>
      </c>
      <c r="E7" s="27">
        <v>19</v>
      </c>
      <c r="F7" s="27"/>
      <c r="G7" s="27">
        <v>19</v>
      </c>
      <c r="I7" s="26">
        <v>57</v>
      </c>
      <c r="J7" s="27">
        <v>13</v>
      </c>
      <c r="K7" s="27"/>
      <c r="L7" s="27">
        <v>13</v>
      </c>
    </row>
    <row r="8" spans="1:12" x14ac:dyDescent="0.25">
      <c r="D8" s="26">
        <v>42</v>
      </c>
      <c r="E8" s="27">
        <v>24</v>
      </c>
      <c r="F8" s="27"/>
      <c r="G8" s="27">
        <v>24</v>
      </c>
      <c r="I8" s="26">
        <v>58</v>
      </c>
      <c r="J8" s="27">
        <v>27</v>
      </c>
      <c r="K8" s="27"/>
      <c r="L8" s="27">
        <v>27</v>
      </c>
    </row>
    <row r="9" spans="1:12" x14ac:dyDescent="0.25">
      <c r="A9" s="25" t="s">
        <v>72</v>
      </c>
      <c r="B9" t="s">
        <v>77</v>
      </c>
      <c r="D9" s="26">
        <v>44</v>
      </c>
      <c r="E9" s="27">
        <v>4</v>
      </c>
      <c r="F9" s="27"/>
      <c r="G9" s="27">
        <v>4</v>
      </c>
      <c r="I9" s="26">
        <v>59</v>
      </c>
      <c r="J9" s="27">
        <v>5</v>
      </c>
      <c r="K9" s="27"/>
      <c r="L9" s="27">
        <v>5</v>
      </c>
    </row>
    <row r="10" spans="1:12" x14ac:dyDescent="0.25">
      <c r="A10" s="26" t="s">
        <v>32</v>
      </c>
      <c r="B10" s="27">
        <v>28</v>
      </c>
      <c r="D10" s="26">
        <v>43</v>
      </c>
      <c r="E10" s="27">
        <v>17</v>
      </c>
      <c r="F10" s="27"/>
      <c r="G10" s="27">
        <v>17</v>
      </c>
      <c r="I10" s="26">
        <v>55</v>
      </c>
      <c r="J10" s="27">
        <v>6</v>
      </c>
      <c r="K10" s="27"/>
      <c r="L10" s="27">
        <v>6</v>
      </c>
    </row>
    <row r="11" spans="1:12" x14ac:dyDescent="0.25">
      <c r="A11" s="26" t="s">
        <v>31</v>
      </c>
      <c r="B11" s="27">
        <v>11</v>
      </c>
      <c r="D11" s="26">
        <v>39</v>
      </c>
      <c r="E11" s="27">
        <v>6</v>
      </c>
      <c r="F11" s="27"/>
      <c r="G11" s="27">
        <v>6</v>
      </c>
      <c r="I11" s="26">
        <v>54</v>
      </c>
      <c r="J11" s="27">
        <v>2</v>
      </c>
      <c r="K11" s="27"/>
      <c r="L11" s="27">
        <v>2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31</v>
      </c>
      <c r="D13" s="26" t="s">
        <v>145</v>
      </c>
      <c r="E13" s="27"/>
      <c r="F13" s="27"/>
      <c r="G13" s="27"/>
      <c r="I13" s="26">
        <v>60</v>
      </c>
      <c r="J13" s="27">
        <v>2</v>
      </c>
      <c r="K13" s="27"/>
      <c r="L13" s="27">
        <v>2</v>
      </c>
    </row>
    <row r="14" spans="1:12" x14ac:dyDescent="0.25">
      <c r="A14" s="26" t="s">
        <v>35</v>
      </c>
      <c r="B14" s="27">
        <v>4</v>
      </c>
      <c r="D14" s="26" t="s">
        <v>73</v>
      </c>
      <c r="E14" s="27">
        <v>81</v>
      </c>
      <c r="F14" s="27"/>
      <c r="G14" s="27">
        <v>81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81</v>
      </c>
      <c r="K15" s="27"/>
      <c r="L15" s="27">
        <v>81</v>
      </c>
    </row>
    <row r="16" spans="1:12" x14ac:dyDescent="0.25">
      <c r="A16" s="26" t="s">
        <v>121</v>
      </c>
      <c r="B16" s="27">
        <v>5</v>
      </c>
    </row>
    <row r="17" spans="1:2" x14ac:dyDescent="0.25">
      <c r="A17" s="26" t="s">
        <v>73</v>
      </c>
      <c r="B17" s="27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2021-12-01T06:58:46Z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