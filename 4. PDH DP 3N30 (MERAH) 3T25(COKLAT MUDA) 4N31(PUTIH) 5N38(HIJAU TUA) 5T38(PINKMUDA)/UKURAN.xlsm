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. PDH DP 3N30 (MERAH) 3T25(COKLAT MUDA) 4N31(PUTIH) 5N38(HIJAU TUA) 5T38(PINKMUDA)\"/>
    </mc:Choice>
  </mc:AlternateContent>
  <xr:revisionPtr revIDLastSave="0" documentId="13_ncr:1_{FECF8601-535A-4150-9711-3CC0E4EC7F6D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SEMUA!$A$1:$AZ$43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<sst xmlns="http://schemas.openxmlformats.org/spreadsheetml/2006/main" count="88" uniqueCount="73">
  <si>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</si>
  <si>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</si>
  <si>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</si>
  <si>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</si>
  <si>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</si>
  <si>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</si>
  <si>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</si>
  <si>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</si>
  <si>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</si>
  <si>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</si>
  <si>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</si>
  <si>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</si>
  <si>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</si>
  <si>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</si>
  <si>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</si>
  <si>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</si>
  <si>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</si>
  <si>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</si>
  <si>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</si>
  <si>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</si>
  <si>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</si>
  <si>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</si>
  <si>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</si>
  <si>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</si>
  <si>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</si>
  <si>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</si>
  <si>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</si>
  <si>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</si>
  <si>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</si>
  <si>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</si>
  <si>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</si>
  <si>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</si>
  <si>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</si>
  <si>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</si>
  <si>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</si>
  <si>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</si>
  <si>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</si>
  <si>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</si>
  <si>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</si>
  <si>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</si>
  <si>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</si>
  <si>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</si>
  <si>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</si>
  <si>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</si>
  <si>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</si>
  <si>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</si>
  <si>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</si>
  <si>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</si>
  <si>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</si>
  <si>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</si>
  <si>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</si>
  <si>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</si>
  <si>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</si>
  <si>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</si>
  <si>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</si>
  <si>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</si>
  <si>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31</t>
  </si>
  <si>
    <t>CETAK BN</t>
  </si>
  <si>
    <t>STREP</t>
  </si>
  <si>
    <t>CETAK  PDH</t>
  </si>
  <si>
    <t>S2</t>
  </si>
  <si>
    <t>S32</t>
  </si>
  <si>
    <t>S33</t>
  </si>
  <si>
    <t>S34</t>
  </si>
  <si>
    <t>S35</t>
  </si>
  <si>
    <t>ACHMAD UBAIDILLAH</t>
  </si>
  <si>
    <t>MARCOS CORTE</t>
  </si>
  <si>
    <t>MARLION</t>
  </si>
  <si>
    <t>NOVRIANUS L</t>
  </si>
  <si>
    <t>DP 4 NAUTIKA / 31</t>
  </si>
  <si>
    <t>PRIA</t>
  </si>
  <si>
    <t>STREP 1</t>
  </si>
  <si>
    <t>IBRAHIM ERNAS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</si>
</sst>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/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F16" sqref="F1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1.2851562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47</v>
      </c>
      <c r="S1" s="2" t="s">
        <v>48</v>
      </c>
      <c r="T1" s="2" t="s">
        <v>49</v>
      </c>
      <c r="U1" s="2" t="s">
        <v>50</v>
      </c>
      <c r="V1" s="2" t="s">
        <v>51</v>
      </c>
      <c r="W1" s="2" t="s">
        <v>52</v>
      </c>
      <c r="X1" s="2" t="s">
        <v>53</v>
      </c>
      <c r="Y1" s="2" t="s">
        <v>54</v>
      </c>
      <c r="Z1" s="2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59</v>
      </c>
      <c r="AR1" s="2" t="s">
        <v>57</v>
      </c>
    </row>
    <row r="2" spans="1:1014" ht="28.15" customHeight="1" x14ac:dyDescent="0.25">
      <c r="A2" s="7" t="s">
        <v>60</v>
      </c>
      <c r="B2" s="14" t="s">
        <v>65</v>
      </c>
      <c r="C2" s="14" t="s">
        <v>69</v>
      </c>
      <c r="D2" s="15" t="s">
        <v>70</v>
      </c>
      <c r="E2" s="15">
        <v>43</v>
      </c>
      <c r="F2" s="15">
        <v>57</v>
      </c>
      <c r="G2" s="15" t="s">
        <v>71</v>
      </c>
      <c r="H2" s="15"/>
      <c r="I2" s="15">
        <v>49</v>
      </c>
      <c r="J2" s="15">
        <v>58</v>
      </c>
      <c r="K2" s="15">
        <v>20</v>
      </c>
      <c r="L2" s="15">
        <v>15</v>
      </c>
      <c r="M2" s="15">
        <v>108</v>
      </c>
      <c r="N2" s="15">
        <v>101</v>
      </c>
      <c r="O2" s="15">
        <v>116</v>
      </c>
      <c r="P2" s="15">
        <v>76</v>
      </c>
      <c r="Q2" s="15">
        <v>40</v>
      </c>
      <c r="R2" s="22">
        <v>47</v>
      </c>
      <c r="S2" s="22">
        <v>19</v>
      </c>
      <c r="T2" s="22">
        <v>14</v>
      </c>
      <c r="U2" s="22">
        <v>14</v>
      </c>
      <c r="V2" s="22">
        <v>28</v>
      </c>
      <c r="W2" s="22">
        <v>26</v>
      </c>
      <c r="X2" s="22">
        <v>28</v>
      </c>
      <c r="Y2" s="22">
        <v>75</v>
      </c>
      <c r="Z2" s="15">
        <v>40</v>
      </c>
      <c r="AA2" s="19"/>
      <c r="AB2" s="19"/>
      <c r="AC2" s="19"/>
      <c r="AD2" s="19"/>
      <c r="AE2" s="19"/>
      <c r="AF2" s="19"/>
      <c r="AG2" s="19"/>
      <c r="AH2" s="19"/>
      <c r="AI2" s="19">
        <v>89</v>
      </c>
      <c r="AJ2" s="19">
        <v>114</v>
      </c>
      <c r="AK2" s="19">
        <v>67</v>
      </c>
      <c r="AL2" s="19">
        <v>35</v>
      </c>
      <c r="AM2" s="19">
        <v>27</v>
      </c>
      <c r="AN2" s="19">
        <v>21</v>
      </c>
      <c r="AO2" s="19">
        <v>100</v>
      </c>
      <c r="AQ2" s="18"/>
    </row>
    <row r="3" spans="1:1014" ht="28.15" customHeight="1" x14ac:dyDescent="0.25">
      <c r="A3" s="7" t="s">
        <v>61</v>
      </c>
      <c r="B3" s="14" t="s">
        <v>66</v>
      </c>
      <c r="C3" s="14" t="s">
        <v>69</v>
      </c>
      <c r="D3" s="15" t="s">
        <v>70</v>
      </c>
      <c r="E3" s="15">
        <v>41</v>
      </c>
      <c r="F3" s="15">
        <v>55</v>
      </c>
      <c r="G3" s="15" t="s">
        <v>71</v>
      </c>
      <c r="H3" s="15"/>
      <c r="I3" s="15">
        <v>42</v>
      </c>
      <c r="J3" s="15">
        <v>56</v>
      </c>
      <c r="K3" s="15">
        <v>18</v>
      </c>
      <c r="L3" s="15">
        <v>14</v>
      </c>
      <c r="M3" s="15">
        <v>94</v>
      </c>
      <c r="N3" s="15">
        <v>87</v>
      </c>
      <c r="O3" s="15">
        <v>100</v>
      </c>
      <c r="P3" s="15">
        <v>72</v>
      </c>
      <c r="Q3" s="15">
        <v>38</v>
      </c>
      <c r="R3" s="22">
        <v>40</v>
      </c>
      <c r="S3" s="22">
        <v>17</v>
      </c>
      <c r="T3" s="22">
        <v>13</v>
      </c>
      <c r="U3" s="22">
        <v>13</v>
      </c>
      <c r="V3" s="15">
        <v>27</v>
      </c>
      <c r="W3" s="15">
        <v>25</v>
      </c>
      <c r="X3" s="15">
        <v>27</v>
      </c>
      <c r="Y3" s="15">
        <v>71</v>
      </c>
      <c r="Z3" s="15">
        <v>38</v>
      </c>
      <c r="AA3" s="19"/>
      <c r="AB3" s="19"/>
      <c r="AC3" s="19"/>
      <c r="AD3" s="19"/>
      <c r="AE3" s="19"/>
      <c r="AF3" s="19"/>
      <c r="AG3" s="19"/>
      <c r="AH3" s="19"/>
      <c r="AI3" s="19">
        <v>79</v>
      </c>
      <c r="AJ3" s="19">
        <v>98</v>
      </c>
      <c r="AK3" s="19">
        <v>70</v>
      </c>
      <c r="AL3" s="19">
        <v>32</v>
      </c>
      <c r="AM3" s="19">
        <v>24</v>
      </c>
      <c r="AN3" s="19">
        <v>19</v>
      </c>
      <c r="AO3" s="19">
        <v>95</v>
      </c>
      <c r="AQ3" s="18"/>
    </row>
    <row r="4" spans="1:1014" ht="28.15" customHeight="1" x14ac:dyDescent="0.25">
      <c r="A4" s="7" t="s">
        <v>62</v>
      </c>
      <c r="B4" s="14" t="s">
        <v>67</v>
      </c>
      <c r="C4" s="14" t="s">
        <v>69</v>
      </c>
      <c r="D4" s="15" t="s">
        <v>70</v>
      </c>
      <c r="E4" s="15"/>
      <c r="F4" s="15"/>
      <c r="G4" s="15" t="s">
        <v>71</v>
      </c>
      <c r="H4" s="15"/>
      <c r="AQ4" s="18"/>
    </row>
    <row r="5" spans="1:1014" ht="28.15" customHeight="1" x14ac:dyDescent="0.25">
      <c r="A5" s="7" t="s">
        <v>63</v>
      </c>
      <c r="B5" s="14" t="s">
        <v>68</v>
      </c>
      <c r="C5" s="14" t="s">
        <v>69</v>
      </c>
      <c r="D5" s="15" t="s">
        <v>70</v>
      </c>
      <c r="E5" s="15">
        <v>43</v>
      </c>
      <c r="F5" s="15">
        <v>60</v>
      </c>
      <c r="G5" s="15" t="s">
        <v>71</v>
      </c>
      <c r="H5" s="15"/>
      <c r="I5" s="15">
        <v>46</v>
      </c>
      <c r="J5" s="15">
        <v>61</v>
      </c>
      <c r="K5" s="15">
        <v>20</v>
      </c>
      <c r="L5" s="15">
        <v>15</v>
      </c>
      <c r="M5" s="15">
        <v>106</v>
      </c>
      <c r="N5" s="15">
        <v>106</v>
      </c>
      <c r="O5" s="15">
        <v>106</v>
      </c>
      <c r="P5" s="15">
        <v>75</v>
      </c>
      <c r="Q5" s="15">
        <v>43</v>
      </c>
      <c r="R5" s="15">
        <v>46</v>
      </c>
      <c r="S5" s="15">
        <v>61</v>
      </c>
      <c r="T5" s="15">
        <v>19</v>
      </c>
      <c r="U5" s="15">
        <v>13</v>
      </c>
      <c r="V5" s="15">
        <v>28</v>
      </c>
      <c r="W5" s="15">
        <v>27</v>
      </c>
      <c r="X5" s="15">
        <v>28</v>
      </c>
      <c r="Y5" s="15">
        <v>74</v>
      </c>
      <c r="Z5" s="15">
        <v>45</v>
      </c>
      <c r="AA5" s="19"/>
      <c r="AB5" s="19"/>
      <c r="AC5" s="19"/>
      <c r="AD5" s="19"/>
      <c r="AE5" s="19"/>
      <c r="AF5" s="19"/>
      <c r="AG5" s="19"/>
      <c r="AH5" s="19"/>
      <c r="AI5" s="19">
        <v>89</v>
      </c>
      <c r="AJ5" s="19">
        <v>100</v>
      </c>
      <c r="AK5" s="19">
        <v>68</v>
      </c>
      <c r="AL5" s="19">
        <v>34</v>
      </c>
      <c r="AM5" s="19">
        <v>26</v>
      </c>
      <c r="AN5" s="19">
        <v>21</v>
      </c>
      <c r="AO5" s="19">
        <v>101</v>
      </c>
      <c r="AQ5" s="18"/>
    </row>
    <row r="6" spans="1:1014" ht="28.15" customHeight="1" x14ac:dyDescent="0.25">
      <c r="A6" s="7" t="s">
        <v>64</v>
      </c>
      <c r="B6" s="14" t="s">
        <v>72</v>
      </c>
      <c r="C6" s="14" t="s">
        <v>69</v>
      </c>
      <c r="D6" s="15" t="s">
        <v>70</v>
      </c>
      <c r="E6" s="15">
        <v>45</v>
      </c>
      <c r="F6" s="15">
        <v>58</v>
      </c>
      <c r="G6" s="15" t="s">
        <v>71</v>
      </c>
      <c r="H6" s="15"/>
      <c r="I6" s="15">
        <v>50</v>
      </c>
      <c r="J6" s="15">
        <v>53</v>
      </c>
      <c r="K6" s="15">
        <v>22</v>
      </c>
      <c r="L6" s="15">
        <v>16</v>
      </c>
      <c r="M6" s="15">
        <v>126</v>
      </c>
      <c r="N6" s="15">
        <v>130</v>
      </c>
      <c r="O6" s="15">
        <v>132</v>
      </c>
      <c r="P6" s="15">
        <v>83</v>
      </c>
      <c r="Q6" s="15">
        <v>48</v>
      </c>
      <c r="R6" s="15">
        <v>50</v>
      </c>
      <c r="S6" s="15">
        <v>53</v>
      </c>
      <c r="T6" s="15">
        <v>21</v>
      </c>
      <c r="U6" s="15">
        <v>13</v>
      </c>
      <c r="V6" s="15">
        <v>34</v>
      </c>
      <c r="W6" s="15">
        <v>34</v>
      </c>
      <c r="X6" s="15">
        <v>34</v>
      </c>
      <c r="Y6" s="15">
        <v>83</v>
      </c>
      <c r="Z6" s="15">
        <v>48</v>
      </c>
      <c r="AA6" s="19"/>
      <c r="AB6" s="19"/>
      <c r="AC6" s="19"/>
      <c r="AD6" s="19"/>
      <c r="AE6" s="19"/>
      <c r="AF6" s="19"/>
      <c r="AG6" s="19"/>
      <c r="AH6" s="19"/>
      <c r="AI6" s="19">
        <v>119</v>
      </c>
      <c r="AJ6" s="19">
        <v>124</v>
      </c>
      <c r="AK6" s="19">
        <v>76</v>
      </c>
      <c r="AL6" s="19">
        <v>39</v>
      </c>
      <c r="AM6" s="19">
        <v>28</v>
      </c>
      <c r="AN6" s="19">
        <v>23</v>
      </c>
      <c r="AO6" s="19">
        <v>96</v>
      </c>
      <c r="AQ6" s="18"/>
    </row>
    <row r="7" spans="1:1014" ht="28.15" customHeight="1" x14ac:dyDescent="0.25">
      <c r="A7" s="7"/>
      <c r="B7" s="14"/>
      <c r="C7" s="14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Q7" s="18"/>
    </row>
    <row r="8" spans="1:1014" ht="28.15" customHeight="1" x14ac:dyDescent="0.25">
      <c r="A8" s="7"/>
      <c r="B8" s="14"/>
      <c r="C8" s="14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Q8" s="18"/>
    </row>
    <row r="9" spans="1:1014" ht="28.15" customHeight="1" x14ac:dyDescent="0.25">
      <c r="A9" s="7"/>
      <c r="B9" s="14"/>
      <c r="C9" s="14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Q9" s="18"/>
    </row>
    <row r="10" spans="1:1014" ht="28.15" customHeight="1" x14ac:dyDescent="0.25">
      <c r="A10" s="7"/>
      <c r="B10" s="14"/>
      <c r="C10" s="14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Q10" s="18"/>
    </row>
    <row r="11" spans="1:1014" ht="28.15" customHeight="1" x14ac:dyDescent="0.25">
      <c r="A11" s="7"/>
      <c r="B11" s="14"/>
      <c r="C11" s="14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V11" s="15"/>
      <c r="W11" s="15"/>
      <c r="X11" s="15"/>
      <c r="Y11" s="15"/>
      <c r="Z11" s="15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Q11" s="18"/>
    </row>
    <row r="12" spans="1:1014" ht="28.15" customHeight="1" x14ac:dyDescent="0.25">
      <c r="A12" s="7"/>
      <c r="B12" s="21"/>
      <c r="C12" s="14"/>
      <c r="D12" s="20"/>
      <c r="E12" s="20"/>
      <c r="F12" s="20"/>
      <c r="G12" s="1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7"/>
      <c r="B13" s="21"/>
      <c r="C13" s="14"/>
      <c r="D13" s="20"/>
      <c r="E13" s="20"/>
      <c r="F13" s="20"/>
      <c r="G13" s="15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7"/>
      <c r="B14" s="21"/>
      <c r="C14" s="14"/>
      <c r="D14" s="20"/>
      <c r="E14" s="20"/>
      <c r="F14" s="20"/>
      <c r="G14" s="15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7"/>
      <c r="B15" s="21"/>
      <c r="C15" s="14"/>
      <c r="D15" s="20"/>
      <c r="E15" s="20"/>
      <c r="F15" s="20"/>
      <c r="G15" s="15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7"/>
      <c r="B16" s="21"/>
      <c r="C16" s="14"/>
      <c r="D16" s="20"/>
      <c r="E16" s="20"/>
      <c r="F16" s="20"/>
      <c r="G16" s="15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7"/>
      <c r="B17" s="21"/>
      <c r="C17" s="14"/>
      <c r="D17" s="20"/>
      <c r="E17" s="20"/>
      <c r="F17" s="20"/>
      <c r="G17" s="15"/>
      <c r="H17" s="20"/>
      <c r="I17" s="20"/>
      <c r="J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7"/>
      <c r="B18" s="14"/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Q18" s="18"/>
    </row>
    <row r="19" spans="1:1014" ht="28.15" customHeight="1" x14ac:dyDescent="0.25">
      <c r="A19" s="7"/>
      <c r="B19" s="14"/>
      <c r="C19" s="1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Q19" s="18"/>
    </row>
    <row r="20" spans="1:1014" ht="28.15" customHeight="1" x14ac:dyDescent="0.25">
      <c r="A20" s="7"/>
      <c r="B20" s="14"/>
      <c r="C20" s="14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Q20" s="18"/>
    </row>
    <row r="21" spans="1:1014" ht="28.15" customHeight="1" x14ac:dyDescent="0.25">
      <c r="A21" s="7"/>
      <c r="B21" s="14"/>
      <c r="C21" s="14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Q21" s="18"/>
      <c r="AR21" s="15"/>
      <c r="AS21" s="15"/>
      <c r="AT21" s="15"/>
      <c r="AU21" s="15"/>
      <c r="AV21" s="15"/>
      <c r="AW21" s="15"/>
      <c r="AX21" s="15"/>
      <c r="AY21" s="15"/>
      <c r="AZ21" s="15"/>
    </row>
    <row r="22" spans="1:1014" ht="15.75" x14ac:dyDescent="0.25">
      <c r="A22" s="7"/>
      <c r="B22" s="14"/>
      <c r="C22" s="14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2"/>
      <c r="AR22" s="15"/>
      <c r="AS22" s="15"/>
      <c r="AT22" s="15"/>
      <c r="AU22" s="15"/>
      <c r="AV22" s="15"/>
      <c r="AW22" s="15"/>
      <c r="AX22" s="15"/>
      <c r="AY22" s="15"/>
      <c r="AZ22" s="15"/>
    </row>
    <row r="23" spans="1:1014" ht="28.15" customHeight="1" x14ac:dyDescent="0.25">
      <c r="A23" s="7"/>
      <c r="B23" s="14"/>
      <c r="C23" s="14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2"/>
      <c r="AR23" s="15"/>
      <c r="AS23" s="15"/>
      <c r="AT23" s="15"/>
      <c r="AU23" s="15"/>
      <c r="AV23" s="15"/>
      <c r="AW23" s="15"/>
      <c r="AX23" s="15"/>
      <c r="AY23" s="15"/>
      <c r="AZ23" s="15"/>
    </row>
    <row r="24" spans="1:1014" ht="28.15" customHeight="1" x14ac:dyDescent="0.25">
      <c r="A24" s="7"/>
      <c r="B24" s="14"/>
      <c r="C24" s="14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2"/>
      <c r="AR24" s="15"/>
      <c r="AS24" s="15"/>
      <c r="AT24" s="15"/>
      <c r="AU24" s="15"/>
      <c r="AV24" s="15"/>
      <c r="AW24" s="15"/>
      <c r="AX24" s="15"/>
      <c r="AY24" s="15"/>
      <c r="AZ24" s="15"/>
    </row>
    <row r="25" spans="1:1014" ht="28.15" customHeight="1" x14ac:dyDescent="0.25">
      <c r="A25" s="7"/>
      <c r="B25" s="14"/>
      <c r="C25" s="14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2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1014" ht="28.15" customHeight="1" x14ac:dyDescent="0.25">
      <c r="A26" s="7"/>
      <c r="B26" s="14"/>
      <c r="C26" s="14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2"/>
      <c r="AR26" s="15"/>
      <c r="AS26" s="15"/>
      <c r="AT26" s="15"/>
      <c r="AU26" s="15"/>
      <c r="AV26" s="15"/>
      <c r="AW26" s="15"/>
      <c r="AX26" s="15"/>
      <c r="AY26" s="15"/>
      <c r="AZ26" s="15"/>
    </row>
    <row r="27" spans="1:1014" ht="28.15" customHeight="1" x14ac:dyDescent="0.25">
      <c r="A27" s="7"/>
      <c r="B27" s="14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2"/>
      <c r="AR27" s="15"/>
      <c r="AS27" s="15"/>
      <c r="AT27" s="15"/>
      <c r="AU27" s="15"/>
      <c r="AV27" s="15"/>
      <c r="AW27" s="15"/>
      <c r="AX27" s="15"/>
      <c r="AY27" s="15"/>
      <c r="AZ27" s="15"/>
    </row>
    <row r="28" spans="1:1014" ht="28.15" customHeight="1" x14ac:dyDescent="0.25">
      <c r="A28" s="7"/>
      <c r="B28" s="14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2"/>
      <c r="AR28" s="15"/>
      <c r="AS28" s="15"/>
      <c r="AT28" s="15"/>
      <c r="AU28" s="15"/>
      <c r="AV28" s="15"/>
      <c r="AW28" s="15"/>
      <c r="AX28" s="15"/>
      <c r="AY28" s="15"/>
      <c r="AZ28" s="15"/>
    </row>
    <row r="29" spans="1:1014" ht="28.15" customHeight="1" x14ac:dyDescent="0.25">
      <c r="A29" s="7"/>
      <c r="B29" s="14"/>
      <c r="C29" s="14"/>
      <c r="D29" s="15"/>
      <c r="E29" s="15"/>
      <c r="F29" s="15"/>
      <c r="G29" s="15"/>
      <c r="H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</row>
    <row r="30" spans="1:1014" ht="28.15" customHeight="1" x14ac:dyDescent="0.25">
      <c r="A30" s="7"/>
      <c r="B30" s="14"/>
      <c r="C30" s="14"/>
      <c r="D30" s="15"/>
      <c r="E30" s="15"/>
      <c r="F30" s="15"/>
      <c r="G30" s="15"/>
      <c r="H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</row>
    <row r="31" spans="1:1014" ht="28.15" customHeight="1" x14ac:dyDescent="0.25">
      <c r="A31" s="7"/>
      <c r="B31" s="14"/>
      <c r="C31" s="14"/>
      <c r="D31" s="15"/>
      <c r="E31" s="15"/>
      <c r="F31" s="15"/>
      <c r="G31" s="15"/>
      <c r="H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</row>
    <row r="32" spans="1:1014" ht="28.15" customHeight="1" x14ac:dyDescent="0.25">
      <c r="A32" s="7"/>
      <c r="B32" s="14"/>
      <c r="C32" s="14"/>
      <c r="D32" s="15"/>
      <c r="E32" s="15"/>
      <c r="F32" s="15"/>
      <c r="G32" s="15"/>
      <c r="H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</row>
    <row r="33" spans="1:41" ht="28.15" customHeight="1" x14ac:dyDescent="0.25">
      <c r="A33" s="7"/>
      <c r="B33" s="14"/>
      <c r="C33" s="14"/>
      <c r="D33" s="15"/>
      <c r="E33" s="15"/>
      <c r="F33" s="15"/>
      <c r="G33" s="15"/>
      <c r="H33" s="17"/>
      <c r="AG33" s="3"/>
      <c r="AH33" s="17"/>
      <c r="AI33" s="17"/>
      <c r="AJ33" s="17"/>
      <c r="AK33" s="17"/>
      <c r="AL33" s="17"/>
      <c r="AM33" s="17"/>
      <c r="AN33" s="17"/>
      <c r="AO33" s="16"/>
    </row>
    <row r="34" spans="1:41" ht="28.15" customHeight="1" x14ac:dyDescent="0.25">
      <c r="A34" s="7"/>
      <c r="B34" s="14"/>
      <c r="C34" s="14"/>
      <c r="D34" s="15"/>
      <c r="E34" s="15"/>
      <c r="F34" s="15"/>
      <c r="G34" s="15"/>
      <c r="H34" s="17"/>
      <c r="AG34" s="3"/>
      <c r="AH34" s="3"/>
      <c r="AI34" s="17"/>
      <c r="AJ34" s="17"/>
      <c r="AK34" s="17"/>
      <c r="AL34" s="17"/>
      <c r="AM34" s="17"/>
      <c r="AN34" s="17"/>
      <c r="AO34" s="17"/>
    </row>
    <row r="35" spans="1:41" ht="28.15" customHeight="1" x14ac:dyDescent="0.25">
      <c r="A35" s="7"/>
      <c r="B35" s="14"/>
      <c r="C35" s="14"/>
      <c r="D35" s="15"/>
      <c r="E35" s="15"/>
      <c r="F35" s="15"/>
      <c r="G35" s="15"/>
      <c r="H35" s="17"/>
      <c r="AG35" s="3"/>
      <c r="AH35" s="16"/>
      <c r="AI35" s="16"/>
      <c r="AJ35" s="16"/>
      <c r="AK35" s="16"/>
      <c r="AL35" s="16"/>
      <c r="AM35" s="16"/>
      <c r="AN35" s="16"/>
      <c r="AO35" s="16"/>
    </row>
    <row r="36" spans="1:41" ht="28.15" customHeight="1" x14ac:dyDescent="0.25">
      <c r="A36" s="7"/>
      <c r="B36" s="14"/>
      <c r="C36" s="14"/>
      <c r="D36" s="15"/>
      <c r="E36" s="15"/>
      <c r="F36" s="15"/>
      <c r="G36" s="15"/>
      <c r="H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</row>
    <row r="37" spans="1:41" ht="28.15" customHeight="1" x14ac:dyDescent="0.25">
      <c r="A37" s="7"/>
      <c r="B37" s="14"/>
      <c r="C37" s="14"/>
      <c r="D37" s="15"/>
      <c r="E37" s="15"/>
      <c r="F37" s="15"/>
      <c r="G37" s="15"/>
      <c r="H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</row>
    <row r="38" spans="1:41" ht="28.15" customHeight="1" x14ac:dyDescent="0.25">
      <c r="A38" s="7"/>
      <c r="B38" s="14"/>
      <c r="C38" s="14"/>
      <c r="D38" s="15"/>
      <c r="E38" s="15"/>
      <c r="F38" s="15"/>
      <c r="G38" s="15"/>
      <c r="H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1:41" ht="28.15" customHeight="1" x14ac:dyDescent="0.25">
      <c r="A39" s="7"/>
      <c r="B39" s="14"/>
      <c r="C39" s="14"/>
      <c r="D39" s="15"/>
      <c r="E39" s="15"/>
      <c r="F39" s="15"/>
      <c r="G39" s="15"/>
      <c r="H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1:41" ht="28.15" customHeight="1" x14ac:dyDescent="0.25">
      <c r="A40" s="7"/>
      <c r="B40" s="14"/>
      <c r="C40" s="14"/>
      <c r="D40" s="15"/>
      <c r="E40" s="15"/>
      <c r="F40" s="15"/>
      <c r="G40" s="15"/>
      <c r="H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1:41" ht="28.15" customHeight="1" x14ac:dyDescent="0.25">
      <c r="A41" s="7"/>
      <c r="B41" s="14"/>
      <c r="C41" s="14"/>
      <c r="D41" s="15"/>
      <c r="E41" s="15"/>
      <c r="F41" s="15"/>
      <c r="G41" s="15"/>
      <c r="H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1:41" ht="28.15" customHeight="1" x14ac:dyDescent="0.25">
      <c r="A42" s="7"/>
      <c r="B42" s="14"/>
      <c r="C42" s="14"/>
      <c r="D42" s="15"/>
      <c r="E42" s="15"/>
      <c r="F42" s="15"/>
      <c r="G42" s="15"/>
      <c r="H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1" ht="28.15" customHeight="1" x14ac:dyDescent="0.25">
      <c r="A43" s="7"/>
      <c r="B43" s="14"/>
      <c r="C43" s="14"/>
      <c r="D43" s="15"/>
      <c r="E43" s="15"/>
      <c r="F43" s="15"/>
      <c r="G43" s="15"/>
      <c r="H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COUNTIF(SEMUA!$H$2:$H$43,REKAP!A4)</f>
        <v>0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56</v>
      </c>
      <c r="L4">
        <f>COUNTIF(SEMUA!$C$1:$C$43,REKAP!K4)</f>
        <v>0</v>
      </c>
    </row>
    <row r="5" spans="1:12" ht="15.75" x14ac:dyDescent="0.25">
      <c r="A5" s="8" t="s">
        <v>31</v>
      </c>
      <c r="B5">
        <f>COUNTIF(SEMUA!$H$2:$H$43,REKAP!A5)</f>
        <v>0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 x14ac:dyDescent="0.2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1</v>
      </c>
      <c r="J6" s="8"/>
      <c r="K6" s="8"/>
    </row>
    <row r="7" spans="1:12" ht="15.75" x14ac:dyDescent="0.25">
      <c r="A7" s="8" t="s">
        <v>34</v>
      </c>
      <c r="B7">
        <f>COUNTIF(SEMUA!$H$2:$H$43,REKAP!A7)</f>
        <v>0</v>
      </c>
      <c r="D7" s="9">
        <v>40</v>
      </c>
      <c r="E7">
        <f>COUNTIF(SEMUA!$E$2:$E$43,D7)</f>
        <v>0</v>
      </c>
      <c r="G7" s="9">
        <v>56</v>
      </c>
      <c r="H7">
        <f>COUNTIF(SEMUA!$F$2:$F$43,G7)</f>
        <v>0</v>
      </c>
      <c r="J7" s="8"/>
      <c r="K7" s="8"/>
    </row>
    <row r="8" spans="1:12" ht="15.75" x14ac:dyDescent="0.25">
      <c r="A8" s="8" t="s">
        <v>33</v>
      </c>
      <c r="B8">
        <f>COUNTIF(SEMUA!$H$2:$H$43,REKAP!A8)</f>
        <v>0</v>
      </c>
      <c r="D8" s="9">
        <v>41</v>
      </c>
      <c r="E8">
        <f>COUNTIF(SEMUA!$E$2:$E$43,D8)</f>
        <v>1</v>
      </c>
      <c r="G8" s="9">
        <v>57</v>
      </c>
      <c r="H8">
        <f>COUNTIF(SEMUA!$F$2:$F$43,G8)</f>
        <v>1</v>
      </c>
      <c r="J8" s="8"/>
      <c r="K8" s="8"/>
    </row>
    <row r="9" spans="1:12" ht="15.75" x14ac:dyDescent="0.2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0</v>
      </c>
      <c r="G9" s="9">
        <v>58</v>
      </c>
      <c r="H9">
        <f>COUNTIF(SEMUA!$F$2:$F$43,G9)</f>
        <v>1</v>
      </c>
      <c r="J9" s="8"/>
    </row>
    <row r="10" spans="1:12" ht="15.75" x14ac:dyDescent="0.2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2</v>
      </c>
      <c r="G10" s="9">
        <v>59</v>
      </c>
      <c r="H10">
        <f>COUNTIF(SEMUA!$F$2:$F$43,G10)</f>
        <v>0</v>
      </c>
      <c r="J10" s="8"/>
    </row>
    <row r="11" spans="1:12" ht="15.75" x14ac:dyDescent="0.25">
      <c r="A11" s="10" t="s">
        <v>44</v>
      </c>
      <c r="B11" s="11">
        <f>SUM(B4:B10)</f>
        <v>0</v>
      </c>
      <c r="C11" s="11"/>
      <c r="D11" s="9">
        <v>44</v>
      </c>
      <c r="E11">
        <f>COUNTIF(SEMUA!$E$2:$E$43,D11)</f>
        <v>0</v>
      </c>
      <c r="G11" s="1">
        <v>60</v>
      </c>
      <c r="H11">
        <f>COUNTIF(SEMUA!$F$2:$F$43,G11)</f>
        <v>1</v>
      </c>
      <c r="J11" s="8"/>
    </row>
    <row r="12" spans="1:12" ht="15.75" x14ac:dyDescent="0.25">
      <c r="D12" s="9">
        <v>45</v>
      </c>
      <c r="E12">
        <f>COUNTIF(SEMUA!$E$2:$E$43,D12)</f>
        <v>1</v>
      </c>
      <c r="H12">
        <f>SUM(H4:H11)</f>
        <v>4</v>
      </c>
      <c r="J12" s="8"/>
    </row>
    <row r="13" spans="1:12" ht="15.75" x14ac:dyDescent="0.25">
      <c r="D13" s="9">
        <v>46</v>
      </c>
      <c r="E13">
        <f>COUNTIF(SEMUA!$E$2:$E$43,D13)</f>
        <v>0</v>
      </c>
    </row>
    <row r="14" spans="1:12" ht="15.75" x14ac:dyDescent="0.25">
      <c r="D14" s="9"/>
      <c r="E14">
        <f>SUM(E5:E13)</f>
        <v>4</v>
      </c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ht="15.75" x14ac:dyDescent="0.25">
      <c r="D77" s="9"/>
    </row>
    <row r="78" spans="4:4" ht="15.75" x14ac:dyDescent="0.25">
      <c r="D78" s="9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2021-05-09T22:31:22Z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