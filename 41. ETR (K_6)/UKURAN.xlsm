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1. ETR (K_6)\"/>
    </mc:Choice>
  </mc:AlternateContent>
  <xr:revisionPtr revIDLastSave="0" documentId="13_ncr:1_{23063688-63CA-47F8-8C88-E127766EB328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SEMUA!$A$1:$AU$44</definedName>
    <definedName name="_xlnm.Print_Titles" localSheetId="0">SEMUA!$1:$1</definedName>
  </definedNames>
  <calcPr calcId="191029"/>
  <pivotCaches>
    <pivotCache cacheId="1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52" i="1" l="1"/>
</calcChain>
</file>

<file path=xl/sharedStrings.xml><?xml version="1.0" encoding="utf-8"?>
<sst xmlns="http://schemas.openxmlformats.org/spreadsheetml/2006/main" count="193" uniqueCount="97">
  <si>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</si>
  <si>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</si>
  <si>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</si>
  <si>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</si>
  <si>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</si>
  <si>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</si>
  <si>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</si>
  <si>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</si>
  <si>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</si>
  <si>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</si>
  <si>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</si>
  <si>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</si>
  <si>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</si>
  <si>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</si>
  <si>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</si>
  <si>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</si>
  <si>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</si>
  <si>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</si>
  <si>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</si>
  <si>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</si>
  <si>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</si>
  <si>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</si>
  <si>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</si>
  <si>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</si>
  <si>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</si>
  <si>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</si>
  <si>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</si>
  <si>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</si>
  <si>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</si>
  <si>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</si>
  <si>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</si>
  <si>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</si>
  <si>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</si>
  <si>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</si>
  <si>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</si>
  <si>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</si>
  <si>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</si>
  <si>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</si>
  <si>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</si>
  <si>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</si>
  <si>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</si>
  <si>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</si>
  <si>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</si>
  <si>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</si>
  <si>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</si>
  <si>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</si>
  <si>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</si>
  <si>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</si>
  <si>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</si>
  <si>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</si>
  <si>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</si>
  <si>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</si>
  <si>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</si>
  <si>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</si>
  <si>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</si>
  <si>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</si>
  <si>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</si>
  <si>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</si>
  <si>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DP 3 NAUTIKA/34</t>
  </si>
  <si>
    <t>(blank)</t>
  </si>
  <si>
    <t>SUPARDI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</si>
  <si>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</si>
  <si>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</si>
  <si>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</si>
  <si>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</si>
  <si>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</si>
  <si>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</si>
  <si>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</si>
  <si>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</si>
  <si>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</si>
  <si>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</si>
  <si>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</si>
  <si>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</si>
  <si>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</si>
  <si>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</si>
  <si>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</si>
  <si>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</si>
  <si>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</si>
  <si>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AGUS MAWARDI</t>
  </si>
  <si>
    <t>DIKLAT ETR</t>
  </si>
  <si>
    <t>AGUS SUPRIYANTO</t>
  </si>
  <si>
    <t>AHMAD IRFAN JAELANI</t>
  </si>
  <si>
    <t>AMRIYANTO</t>
  </si>
  <si>
    <t>DENI FEBRIO PUTRA</t>
  </si>
  <si>
    <t>DIDIK SUPRIYANTO</t>
  </si>
  <si>
    <t>HURIANTO</t>
  </si>
  <si>
    <t>MARTIN HANDOYO</t>
  </si>
  <si>
    <t>MUJI HARTONO</t>
  </si>
  <si>
    <t>MOH.SUBHAN GHORIB</t>
  </si>
  <si>
    <t>NURDIN LANDIN</t>
  </si>
  <si>
    <t>SEGA SUWANDA</t>
  </si>
  <si>
    <t>SEPTIYAN ADI NUGROHO</t>
  </si>
  <si>
    <t>SULARTO</t>
  </si>
  <si>
    <t>WIJI PUJI NUGROHO</t>
  </si>
  <si>
    <t>STREP 1</t>
  </si>
  <si>
    <t>08 JAN</t>
  </si>
  <si>
    <t>M. CAREZLA GILANG AM.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</si>
</sst>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1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15" fillId="0" borderId="2" xfId="0" applyNumberFormat="1" applyFont="1" applyBorder="1" applyAlignment="1">
      <alignment horizontal="center" vertical="center" wrapText="1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49.465357870373" createdVersion="7" refreshedVersion="7" minRefreshableVersion="3" recordCount="50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 containsBlank="1"/>
    </cacheField>
    <cacheField name="KELAS" numFmtId="49">
      <sharedItems containsBlank="1" count="3">
        <s v="DP 3 NAUTIKA/34"/>
        <m u="1"/>
        <s v="DP 4 TEKNIKA / 29" u="1"/>
      </sharedItems>
    </cacheField>
    <cacheField name="SEPATU" numFmtId="0">
      <sharedItems containsString="0" containsBlank="1" containsNumber="1" containsInteger="1" minValue="38" maxValue="95" count="10">
        <n v="41"/>
        <n v="38"/>
        <n v="42"/>
        <n v="43"/>
        <n v="39"/>
        <n v="40"/>
        <n v="44"/>
        <m/>
        <n v="95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0">
      <sharedItems containsString="0" containsBlank="1" containsNumber="1" containsInteger="1" minValue="53" maxValue="60" count="9">
        <n v="58"/>
        <n v="57"/>
        <n v="54"/>
        <n v="55"/>
        <n v="53"/>
        <n v="56"/>
        <n v="59"/>
        <n v="60"/>
        <m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7" maxValue="22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88" maxValue="120"/>
    </cacheField>
    <cacheField name="UBN_6" numFmtId="49">
      <sharedItems containsString="0" containsBlank="1" containsNumber="1" containsInteger="1" minValue="81" maxValue="116"/>
    </cacheField>
    <cacheField name="UBN_7" numFmtId="49">
      <sharedItems containsString="0" containsBlank="1" containsNumber="1" containsInteger="1" minValue="95" maxValue="122"/>
    </cacheField>
    <cacheField name="UBN_8" numFmtId="49">
      <sharedItems containsString="0" containsBlank="1" containsNumber="1" containsInteger="1" minValue="37" maxValue="75"/>
    </cacheField>
    <cacheField name="UBN_9" numFmtId="49">
      <sharedItems containsString="0" containsBlank="1" containsNumber="1" containsInteger="1" minValue="37" maxValue="70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1"/>
    </cacheField>
    <cacheField name="UH_4" numFmtId="49">
      <sharedItems containsString="0" containsBlank="1" containsNumber="1" containsInteger="1" minValue="12" maxValue="29"/>
    </cacheField>
    <cacheField name="UH_5" numFmtId="49">
      <sharedItems containsString="0" containsBlank="1" containsNumber="1" containsInteger="1" minValue="26" maxValue="31"/>
    </cacheField>
    <cacheField name="UH_6" numFmtId="49">
      <sharedItems containsString="0" containsBlank="1" containsNumber="1" containsInteger="1" minValue="24" maxValue="30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42" maxValue="75"/>
    </cacheField>
    <cacheField name="UH_9" numFmtId="49">
      <sharedItems containsString="0" containsBlank="1" containsNumber="1" containsInteger="1" minValue="37" maxValue="46"/>
    </cacheField>
    <cacheField name="UB_1" numFmtId="49">
      <sharedItems containsString="0" containsBlank="1" containsNumber="1" containsInteger="1" minValue="42" maxValue="50"/>
    </cacheField>
    <cacheField name="UB_2" numFmtId="49">
      <sharedItems containsString="0" containsBlank="1" containsNumber="1" containsInteger="1" minValue="23" maxValue="27"/>
    </cacheField>
    <cacheField name="UB_3" numFmtId="49">
      <sharedItems containsString="0" containsBlank="1" containsNumber="1" minValue="16" maxValue="21"/>
    </cacheField>
    <cacheField name="UB_4" numFmtId="49">
      <sharedItems containsString="0" containsBlank="1" containsNumber="1" containsInteger="1" minValue="26" maxValue="31"/>
    </cacheField>
    <cacheField name="UB_5" numFmtId="49">
      <sharedItems containsString="0" containsBlank="1" containsNumber="1" containsInteger="1" minValue="24" maxValue="30"/>
    </cacheField>
    <cacheField name="UB_6" numFmtId="49">
      <sharedItems containsString="0" containsBlank="1" containsNumber="1" containsInteger="1" minValue="8" maxValue="31"/>
    </cacheField>
    <cacheField name="UB_7" numFmtId="49">
      <sharedItems containsString="0" containsBlank="1" containsNumber="1" containsInteger="1" minValue="67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3" maxValue="109"/>
    </cacheField>
    <cacheField name="UC_2" numFmtId="49">
      <sharedItems containsString="0" containsBlank="1" containsNumber="1" containsInteger="1" minValue="94" maxValue="118"/>
    </cacheField>
    <cacheField name="UC_3" numFmtId="49">
      <sharedItems containsString="0" containsBlank="1" containsNumber="1" containsInteger="1" minValue="64" maxValue="78"/>
    </cacheField>
    <cacheField name="UC_4" numFmtId="49">
      <sharedItems containsString="0" containsBlank="1" containsNumber="1" containsInteger="1" minValue="29" maxValue="55"/>
    </cacheField>
    <cacheField name="UC_5" numFmtId="49">
      <sharedItems containsString="0" containsBlank="1" containsNumber="1" containsInteger="1" minValue="23" maxValue="27"/>
    </cacheField>
    <cacheField name="UC_6" numFmtId="49">
      <sharedItems containsString="0" containsBlank="1" containsNumber="1" containsInteger="1" minValue="18" maxValue="97"/>
    </cacheField>
    <cacheField name="UC_7" numFmtId="49">
      <sharedItems containsString="0" containsBlank="1" containsNumber="1" containsInteger="1" minValue="87" maxValue="106"/>
    </cacheField>
    <cacheField name="CETAK KE" numFmtId="49">
      <sharedItems containsBlank="1" containsMixedTypes="1" containsNumber="1" containsInteger="1" minValue="2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T1"/>
    <s v="EKO YULI P"/>
    <x v="0"/>
    <x v="0"/>
    <x v="0"/>
    <x v="0"/>
    <s v="STREP 2"/>
    <x v="0"/>
    <n v="42"/>
    <n v="58"/>
    <n v="19"/>
    <n v="14"/>
    <n v="101"/>
    <n v="97"/>
    <n v="109"/>
    <n v="68"/>
    <n v="38"/>
    <n v="42"/>
    <n v="59"/>
    <n v="18"/>
    <n v="13"/>
    <n v="28"/>
    <n v="26"/>
    <n v="28"/>
    <n v="68"/>
    <n v="38"/>
    <n v="42"/>
    <n v="23"/>
    <n v="18"/>
    <n v="28"/>
    <n v="26"/>
    <n v="28"/>
    <n v="68"/>
    <n v="38"/>
    <n v="90"/>
    <n v="105"/>
    <n v="70"/>
    <n v="34"/>
    <n v="24"/>
    <n v="20"/>
    <n v="93"/>
    <m/>
    <m/>
    <m/>
    <m/>
    <m/>
  </r>
  <r>
    <s v="T2"/>
    <s v="HAMID OLA"/>
    <x v="0"/>
    <x v="1"/>
    <x v="0"/>
    <x v="1"/>
    <s v="STREP 2"/>
    <x v="0"/>
    <n v="45"/>
    <n v="56"/>
    <n v="17"/>
    <n v="14"/>
    <n v="99"/>
    <n v="97"/>
    <n v="105"/>
    <n v="68"/>
    <n v="40"/>
    <n v="45"/>
    <n v="56"/>
    <n v="17"/>
    <n v="13"/>
    <n v="28"/>
    <n v="28"/>
    <n v="28"/>
    <n v="68"/>
    <n v="40"/>
    <n v="45"/>
    <n v="25"/>
    <n v="17"/>
    <n v="28"/>
    <n v="28"/>
    <n v="28"/>
    <n v="68"/>
    <n v="40"/>
    <n v="91"/>
    <n v="104"/>
    <n v="65"/>
    <n v="34"/>
    <n v="25"/>
    <n v="20"/>
    <n v="95"/>
    <m/>
    <m/>
    <m/>
    <m/>
    <m/>
  </r>
  <r>
    <s v="T3"/>
    <s v="CHOIRU MUNFARID"/>
    <x v="0"/>
    <x v="2"/>
    <x v="1"/>
    <x v="1"/>
    <s v="STREP 2"/>
    <x v="0"/>
    <n v="47"/>
    <n v="61"/>
    <n v="20"/>
    <n v="15"/>
    <n v="108"/>
    <n v="108"/>
    <n v="115"/>
    <n v="72"/>
    <n v="40"/>
    <n v="47"/>
    <n v="62"/>
    <n v="18"/>
    <n v="13"/>
    <n v="29"/>
    <n v="28"/>
    <n v="29"/>
    <n v="72"/>
    <n v="40"/>
    <n v="47"/>
    <n v="26"/>
    <n v="18"/>
    <n v="28"/>
    <n v="28"/>
    <n v="29"/>
    <n v="72"/>
    <n v="40"/>
    <n v="98"/>
    <n v="113"/>
    <n v="70"/>
    <n v="35"/>
    <n v="27"/>
    <n v="97"/>
    <m/>
    <m/>
    <m/>
    <m/>
    <m/>
    <m/>
  </r>
  <r>
    <s v="T4"/>
    <s v="ABDUL AZIZ"/>
    <x v="0"/>
    <x v="3"/>
    <x v="0"/>
    <x v="2"/>
    <s v="STREP 2"/>
    <x v="0"/>
    <n v="44"/>
    <n v="63"/>
    <n v="19"/>
    <n v="15"/>
    <n v="96"/>
    <n v="93"/>
    <n v="107"/>
    <n v="73"/>
    <n v="40"/>
    <n v="44"/>
    <n v="64"/>
    <n v="17"/>
    <n v="12"/>
    <n v="27"/>
    <n v="25"/>
    <n v="27"/>
    <n v="73"/>
    <n v="40"/>
    <n v="44"/>
    <n v="26"/>
    <n v="17"/>
    <n v="27"/>
    <n v="25"/>
    <n v="27"/>
    <n v="73"/>
    <n v="40"/>
    <n v="82"/>
    <n v="104"/>
    <n v="68"/>
    <n v="33"/>
    <n v="24"/>
    <n v="20"/>
    <n v="102"/>
    <s v="1"/>
    <s v="03 ES"/>
    <m/>
    <m/>
    <m/>
  </r>
  <r>
    <s v="T5"/>
    <s v="OKI PRISTIWANTO"/>
    <x v="0"/>
    <x v="0"/>
    <x v="0"/>
    <x v="0"/>
    <s v="STREP 2"/>
    <x v="0"/>
    <n v="42"/>
    <n v="59"/>
    <n v="18"/>
    <n v="15"/>
    <n v="99"/>
    <n v="91"/>
    <n v="106"/>
    <n v="71"/>
    <n v="40"/>
    <n v="42"/>
    <n v="60"/>
    <n v="16"/>
    <n v="12"/>
    <n v="27"/>
    <n v="24"/>
    <n v="27"/>
    <n v="71"/>
    <n v="40"/>
    <n v="42"/>
    <n v="25"/>
    <n v="18"/>
    <n v="27"/>
    <n v="25"/>
    <n v="27"/>
    <n v="71"/>
    <n v="40"/>
    <n v="79"/>
    <n v="103"/>
    <n v="67"/>
    <n v="33"/>
    <n v="24"/>
    <n v="20"/>
    <n v="98"/>
    <s v="1"/>
    <s v="03 ES"/>
    <m/>
    <m/>
    <m/>
  </r>
  <r>
    <s v="T6"/>
    <s v="ARMADY SUBAGIO"/>
    <x v="0"/>
    <x v="4"/>
    <x v="2"/>
    <x v="2"/>
    <s v="STREP 2"/>
    <x v="0"/>
    <n v="42"/>
    <n v="54"/>
    <n v="17"/>
    <n v="14"/>
    <n v="93"/>
    <n v="85"/>
    <n v="103"/>
    <n v="67"/>
    <n v="39"/>
    <n v="42"/>
    <n v="55"/>
    <n v="16"/>
    <n v="12"/>
    <n v="26"/>
    <n v="24"/>
    <n v="26"/>
    <n v="67"/>
    <n v="39"/>
    <n v="42"/>
    <n v="23"/>
    <n v="17"/>
    <n v="26"/>
    <n v="24"/>
    <n v="26"/>
    <n v="67"/>
    <n v="39"/>
    <n v="75"/>
    <n v="98"/>
    <n v="64"/>
    <n v="32"/>
    <n v="24"/>
    <n v="19"/>
    <n v="89"/>
    <s v="1"/>
    <s v="03 ES"/>
    <m/>
    <m/>
    <m/>
  </r>
  <r>
    <s v="T7"/>
    <s v="HUSIEN"/>
    <x v="0"/>
    <x v="2"/>
    <x v="1"/>
    <x v="1"/>
    <s v="STREP 2"/>
    <x v="0"/>
    <n v="45"/>
    <n v="60"/>
    <n v="19"/>
    <n v="15"/>
    <n v="114"/>
    <n v="111"/>
    <n v="118"/>
    <n v="72"/>
    <n v="44"/>
    <n v="45"/>
    <n v="61"/>
    <n v="18"/>
    <n v="13"/>
    <n v="29"/>
    <n v="27"/>
    <n v="29"/>
    <n v="72"/>
    <n v="44"/>
    <n v="45"/>
    <n v="25"/>
    <n v="18"/>
    <n v="29"/>
    <n v="27"/>
    <n v="29"/>
    <n v="72"/>
    <n v="44"/>
    <n v="95"/>
    <n v="112"/>
    <n v="70"/>
    <n v="55"/>
    <n v="25"/>
    <n v="20"/>
    <n v="94"/>
    <s v="1"/>
    <s v="03 ES"/>
    <m/>
    <m/>
    <m/>
  </r>
  <r>
    <s v="T8"/>
    <s v="HANAFI"/>
    <x v="0"/>
    <x v="5"/>
    <x v="0"/>
    <x v="1"/>
    <s v="STREP 2"/>
    <x v="0"/>
    <n v="44"/>
    <n v="56"/>
    <n v="19"/>
    <n v="15"/>
    <n v="107"/>
    <n v="106"/>
    <n v="114"/>
    <n v="70"/>
    <n v="42"/>
    <n v="44"/>
    <n v="57"/>
    <n v="18"/>
    <n v="29"/>
    <n v="27"/>
    <n v="29"/>
    <n v="70"/>
    <n v="42"/>
    <m/>
    <n v="44"/>
    <n v="25"/>
    <n v="18.13"/>
    <n v="29"/>
    <n v="27"/>
    <n v="29"/>
    <n v="70"/>
    <n v="42"/>
    <n v="92"/>
    <n v="110"/>
    <n v="70"/>
    <n v="35"/>
    <n v="25"/>
    <n v="20"/>
    <n v="97"/>
    <s v="1"/>
    <s v="03 ES"/>
    <m/>
    <m/>
    <m/>
  </r>
  <r>
    <s v="T9"/>
    <s v="MUHAIMIN"/>
    <x v="0"/>
    <x v="4"/>
    <x v="2"/>
    <x v="2"/>
    <s v="STREP 2"/>
    <x v="0"/>
    <n v="43"/>
    <n v="58"/>
    <n v="18"/>
    <n v="15"/>
    <n v="99"/>
    <n v="96"/>
    <n v="107"/>
    <n v="70"/>
    <n v="39"/>
    <n v="43"/>
    <n v="59"/>
    <n v="17"/>
    <n v="13"/>
    <n v="28"/>
    <n v="26"/>
    <n v="28"/>
    <n v="70"/>
    <n v="39"/>
    <n v="43"/>
    <n v="25"/>
    <n v="17"/>
    <n v="28"/>
    <n v="26"/>
    <n v="28"/>
    <n v="70"/>
    <n v="39"/>
    <n v="86"/>
    <n v="105"/>
    <n v="66"/>
    <n v="32"/>
    <n v="24"/>
    <n v="19"/>
    <n v="92"/>
    <s v="1"/>
    <s v="03 ES"/>
    <m/>
    <m/>
    <m/>
  </r>
  <r>
    <s v="T10"/>
    <s v="MUH SAIFUL YADI"/>
    <x v="0"/>
    <x v="0"/>
    <x v="0"/>
    <x v="3"/>
    <s v="STREP 2"/>
    <x v="0"/>
    <n v="44"/>
    <n v="62"/>
    <n v="19"/>
    <n v="15"/>
    <n v="100"/>
    <n v="104"/>
    <n v="116"/>
    <n v="72"/>
    <n v="40"/>
    <n v="44"/>
    <n v="63"/>
    <n v="18"/>
    <n v="13"/>
    <n v="28"/>
    <n v="28"/>
    <n v="28"/>
    <n v="72"/>
    <n v="40"/>
    <n v="44"/>
    <n v="25"/>
    <n v="18"/>
    <n v="28"/>
    <n v="28"/>
    <n v="8"/>
    <n v="72"/>
    <n v="40"/>
    <n v="92"/>
    <n v="110"/>
    <n v="68"/>
    <n v="34"/>
    <n v="25"/>
    <n v="20"/>
    <n v="95"/>
    <s v="1"/>
    <s v="03 ES"/>
    <m/>
    <m/>
    <m/>
  </r>
  <r>
    <s v="T11"/>
    <s v="DEDIK S"/>
    <x v="0"/>
    <x v="4"/>
    <x v="0"/>
    <x v="4"/>
    <s v="STREP 2"/>
    <x v="0"/>
    <n v="43"/>
    <n v="58"/>
    <n v="18"/>
    <n v="15"/>
    <n v="98"/>
    <n v="91"/>
    <n v="106"/>
    <n v="72"/>
    <n v="40"/>
    <n v="43"/>
    <n v="59"/>
    <n v="17"/>
    <n v="13"/>
    <n v="27"/>
    <n v="25"/>
    <n v="27"/>
    <n v="72"/>
    <n v="40"/>
    <n v="43"/>
    <n v="24"/>
    <n v="17"/>
    <n v="27"/>
    <n v="25"/>
    <n v="27"/>
    <n v="72"/>
    <n v="40"/>
    <n v="84"/>
    <n v="103"/>
    <n v="65"/>
    <n v="32"/>
    <n v="24"/>
    <n v="20"/>
    <n v="94"/>
    <s v="1"/>
    <s v="03 ES"/>
    <m/>
    <m/>
    <m/>
  </r>
  <r>
    <s v="T12"/>
    <s v="ALIF OKTAFIDE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1"/>
    <s v="03 ES"/>
    <m/>
    <m/>
    <m/>
  </r>
  <r>
    <s v="T13"/>
    <s v="EKO NURHADI"/>
    <x v="0"/>
    <x v="3"/>
    <x v="0"/>
    <x v="2"/>
    <s v="STREP 2"/>
    <x v="0"/>
    <n v="42"/>
    <n v="64"/>
    <n v="18"/>
    <n v="15"/>
    <n v="100"/>
    <n v="93"/>
    <n v="111"/>
    <n v="73"/>
    <n v="40"/>
    <n v="42"/>
    <n v="65"/>
    <n v="17"/>
    <n v="13"/>
    <n v="28"/>
    <n v="26"/>
    <n v="28"/>
    <n v="73"/>
    <n v="40"/>
    <n v="42"/>
    <n v="25"/>
    <n v="17"/>
    <n v="28"/>
    <n v="26"/>
    <n v="28"/>
    <n v="73"/>
    <n v="40"/>
    <n v="86"/>
    <n v="106"/>
    <n v="67"/>
    <n v="33"/>
    <n v="24"/>
    <n v="19"/>
    <n v="101"/>
    <s v="1"/>
    <s v="03 ES"/>
    <m/>
    <m/>
    <m/>
  </r>
  <r>
    <s v="T14"/>
    <s v="DAVID"/>
    <x v="0"/>
    <x v="2"/>
    <x v="0"/>
    <x v="1"/>
    <s v="STREP 2"/>
    <x v="0"/>
    <n v="45"/>
    <n v="58"/>
    <n v="20"/>
    <n v="15"/>
    <n v="110"/>
    <n v="108"/>
    <n v="116"/>
    <n v="72"/>
    <n v="41"/>
    <n v="44"/>
    <n v="59"/>
    <n v="19"/>
    <n v="13"/>
    <n v="29"/>
    <n v="27"/>
    <n v="29"/>
    <n v="72"/>
    <n v="41"/>
    <n v="44"/>
    <n v="25"/>
    <n v="19"/>
    <n v="29"/>
    <n v="27"/>
    <n v="29"/>
    <n v="72"/>
    <n v="41"/>
    <n v="96"/>
    <n v="113"/>
    <n v="71"/>
    <n v="36"/>
    <n v="25"/>
    <n v="20"/>
    <n v="95"/>
    <s v="1"/>
    <s v="03 ES"/>
    <m/>
    <m/>
    <m/>
  </r>
  <r>
    <s v="T15"/>
    <s v="NURKHOLIS"/>
    <x v="0"/>
    <x v="2"/>
    <x v="1"/>
    <x v="5"/>
    <s v="STREP 2"/>
    <x v="0"/>
    <n v="46"/>
    <n v="61"/>
    <n v="20"/>
    <n v="15"/>
    <n v="111"/>
    <n v="107"/>
    <n v="116"/>
    <n v="74"/>
    <n v="43"/>
    <n v="44"/>
    <n v="62"/>
    <n v="19"/>
    <n v="13"/>
    <n v="30"/>
    <n v="28"/>
    <n v="30"/>
    <n v="74"/>
    <n v="43"/>
    <n v="44"/>
    <n v="26"/>
    <n v="19"/>
    <n v="30"/>
    <n v="28"/>
    <n v="30"/>
    <n v="74"/>
    <n v="42"/>
    <n v="100"/>
    <n v="113"/>
    <n v="70"/>
    <n v="36"/>
    <n v="26"/>
    <n v="21"/>
    <n v="98"/>
    <s v="1"/>
    <s v="03 ES"/>
    <m/>
    <m/>
    <m/>
  </r>
  <r>
    <s v="T16"/>
    <s v="HERMAN SANTOSO"/>
    <x v="0"/>
    <x v="2"/>
    <x v="1"/>
    <x v="6"/>
    <s v="STREP 2"/>
    <x v="0"/>
    <n v="48"/>
    <n v="60"/>
    <n v="21"/>
    <n v="16"/>
    <n v="117"/>
    <n v="112"/>
    <n v="120"/>
    <n v="75"/>
    <n v="45"/>
    <n v="48"/>
    <n v="61"/>
    <n v="20"/>
    <n v="13"/>
    <n v="30"/>
    <n v="28"/>
    <n v="30"/>
    <n v="75"/>
    <n v="45"/>
    <n v="48"/>
    <n v="26"/>
    <n v="20"/>
    <n v="30"/>
    <n v="28"/>
    <n v="30"/>
    <n v="75"/>
    <n v="45"/>
    <n v="98"/>
    <n v="115"/>
    <n v="72"/>
    <n v="35"/>
    <n v="27"/>
    <n v="21"/>
    <n v="100"/>
    <s v="1"/>
    <s v="03 ES"/>
    <m/>
    <m/>
    <m/>
  </r>
  <r>
    <s v="T17"/>
    <s v="HENDRIK RULI SA"/>
    <x v="0"/>
    <x v="2"/>
    <x v="3"/>
    <x v="0"/>
    <s v="STREP 2"/>
    <x v="0"/>
    <n v="44"/>
    <n v="59"/>
    <n v="20"/>
    <n v="15"/>
    <n v="113"/>
    <n v="109"/>
    <n v="117"/>
    <n v="72"/>
    <n v="41"/>
    <n v="44"/>
    <n v="60"/>
    <n v="19"/>
    <n v="13"/>
    <n v="30"/>
    <n v="28"/>
    <n v="30"/>
    <n v="72"/>
    <n v="41"/>
    <n v="44"/>
    <n v="25"/>
    <n v="19"/>
    <n v="30"/>
    <n v="28"/>
    <n v="30"/>
    <n v="72"/>
    <n v="41"/>
    <n v="100"/>
    <n v="116"/>
    <n v="70"/>
    <n v="35"/>
    <n v="24"/>
    <n v="20"/>
    <n v="94"/>
    <s v="1"/>
    <s v="03 ES"/>
    <m/>
    <m/>
    <m/>
  </r>
  <r>
    <s v="T18"/>
    <s v="TARMUJI"/>
    <x v="0"/>
    <x v="0"/>
    <x v="1"/>
    <x v="1"/>
    <s v="STREP 2"/>
    <x v="0"/>
    <n v="45"/>
    <n v="59"/>
    <n v="20"/>
    <n v="15"/>
    <n v="106"/>
    <n v="103"/>
    <n v="113"/>
    <n v="68"/>
    <n v="43"/>
    <n v="45"/>
    <n v="60"/>
    <n v="19"/>
    <n v="13"/>
    <n v="30"/>
    <n v="28"/>
    <n v="30"/>
    <n v="68"/>
    <n v="43"/>
    <n v="45"/>
    <n v="24"/>
    <n v="19"/>
    <n v="30"/>
    <n v="28"/>
    <n v="30"/>
    <n v="68"/>
    <n v="43"/>
    <n v="97"/>
    <n v="110"/>
    <n v="69"/>
    <n v="35"/>
    <n v="27"/>
    <n v="21"/>
    <n v="91"/>
    <s v="1"/>
    <s v="03 ES"/>
    <m/>
    <m/>
    <m/>
  </r>
  <r>
    <s v="T19a"/>
    <s v="SALAMAT"/>
    <x v="0"/>
    <x v="5"/>
    <x v="0"/>
    <x v="3"/>
    <s v="STREP 2"/>
    <x v="0"/>
    <n v="46"/>
    <n v="56"/>
    <n v="19"/>
    <n v="14"/>
    <n v="104"/>
    <n v="98"/>
    <n v="106"/>
    <n v="68"/>
    <n v="41"/>
    <n v="46"/>
    <n v="57"/>
    <n v="18"/>
    <n v="13"/>
    <n v="28"/>
    <n v="28"/>
    <n v="28"/>
    <n v="68"/>
    <n v="46"/>
    <n v="46"/>
    <n v="23"/>
    <n v="18"/>
    <n v="28"/>
    <n v="28"/>
    <n v="28"/>
    <n v="68"/>
    <n v="41"/>
    <n v="91"/>
    <n v="104"/>
    <n v="68"/>
    <n v="34"/>
    <n v="26"/>
    <n v="20"/>
    <n v="90"/>
    <s v="1"/>
    <s v="03 ES"/>
    <m/>
    <m/>
    <m/>
  </r>
  <r>
    <s v="T20a"/>
    <s v="DODIT EKO PRASETYO"/>
    <x v="0"/>
    <x v="5"/>
    <x v="1"/>
    <x v="5"/>
    <s v="STREP 2"/>
    <x v="0"/>
    <n v="47"/>
    <n v="56"/>
    <n v="21"/>
    <n v="15"/>
    <n v="114"/>
    <n v="112"/>
    <n v="116"/>
    <n v="72"/>
    <n v="44"/>
    <n v="47"/>
    <n v="57"/>
    <n v="20"/>
    <n v="13"/>
    <n v="30"/>
    <n v="28"/>
    <n v="30"/>
    <n v="72"/>
    <n v="44"/>
    <n v="47"/>
    <n v="25"/>
    <n v="20"/>
    <n v="30"/>
    <n v="28"/>
    <n v="30"/>
    <n v="72"/>
    <n v="44"/>
    <n v="104"/>
    <n v="114"/>
    <n v="72"/>
    <n v="37"/>
    <n v="27"/>
    <n v="22"/>
    <n v="94"/>
    <s v="1"/>
    <s v="03 ES"/>
    <m/>
    <m/>
    <m/>
  </r>
  <r>
    <s v="T21a"/>
    <s v="NUGRAHA ARDYAN P"/>
    <x v="0"/>
    <x v="5"/>
    <x v="2"/>
    <x v="2"/>
    <s v="STREP 2"/>
    <x v="0"/>
    <n v="45"/>
    <n v="56"/>
    <n v="19"/>
    <n v="14"/>
    <n v="101"/>
    <n v="95"/>
    <n v="105"/>
    <n v="68"/>
    <n v="40"/>
    <n v="46"/>
    <n v="57"/>
    <n v="18"/>
    <n v="13"/>
    <n v="28"/>
    <n v="26"/>
    <n v="28"/>
    <n v="68"/>
    <n v="40"/>
    <n v="46"/>
    <n v="24"/>
    <n v="18"/>
    <n v="28"/>
    <n v="26"/>
    <n v="28"/>
    <n v="68"/>
    <n v="40"/>
    <n v="88"/>
    <n v="102"/>
    <n v="66"/>
    <n v="34"/>
    <n v="24"/>
    <n v="19"/>
    <n v="91"/>
    <s v="1"/>
    <s v="03 ES"/>
    <m/>
    <m/>
    <m/>
  </r>
  <r>
    <s v="T22a"/>
    <s v="AKHMAD NOVANDI"/>
    <x v="0"/>
    <x v="2"/>
    <x v="1"/>
    <x v="0"/>
    <s v="STREP 2"/>
    <x v="0"/>
    <n v="50"/>
    <n v="59"/>
    <n v="21"/>
    <n v="15"/>
    <n v="112"/>
    <n v="108"/>
    <n v="116"/>
    <n v="71"/>
    <n v="43"/>
    <n v="50"/>
    <n v="60"/>
    <n v="20"/>
    <n v="13"/>
    <n v="30"/>
    <n v="28"/>
    <n v="30"/>
    <n v="71"/>
    <n v="43"/>
    <n v="50"/>
    <n v="26"/>
    <n v="20"/>
    <n v="30"/>
    <n v="29"/>
    <n v="30"/>
    <n v="71"/>
    <n v="43"/>
    <n v="100"/>
    <n v="112"/>
    <n v="70"/>
    <n v="36"/>
    <n v="26"/>
    <n v="22"/>
    <n v="104"/>
    <s v="1"/>
    <s v="03 ES"/>
    <m/>
    <m/>
    <m/>
  </r>
  <r>
    <s v="T23a"/>
    <s v="AGUS SUWANDI"/>
    <x v="0"/>
    <x v="2"/>
    <x v="1"/>
    <x v="0"/>
    <s v="STREP 2"/>
    <x v="0"/>
    <n v="48"/>
    <n v="63"/>
    <n v="20"/>
    <n v="15"/>
    <n v="112"/>
    <n v="106"/>
    <n v="120"/>
    <n v="75"/>
    <n v="43"/>
    <n v="48"/>
    <n v="64"/>
    <n v="19"/>
    <n v="13"/>
    <n v="29"/>
    <n v="27"/>
    <n v="29"/>
    <n v="75"/>
    <n v="43"/>
    <n v="48"/>
    <n v="27"/>
    <n v="19"/>
    <n v="29"/>
    <n v="27"/>
    <n v="29"/>
    <n v="75"/>
    <n v="43"/>
    <n v="97"/>
    <n v="118"/>
    <n v="68"/>
    <n v="35"/>
    <n v="26"/>
    <n v="21"/>
    <n v="106"/>
    <s v="1"/>
    <s v="03 ES"/>
    <m/>
    <m/>
    <m/>
  </r>
  <r>
    <s v="T24a"/>
    <s v="M. IRWAN MUFTI"/>
    <x v="0"/>
    <x v="6"/>
    <x v="1"/>
    <x v="0"/>
    <s v="STREP 2"/>
    <x v="0"/>
    <n v="48"/>
    <n v="64"/>
    <n v="20"/>
    <n v="15"/>
    <n v="114"/>
    <n v="108"/>
    <n v="116"/>
    <n v="74"/>
    <n v="43"/>
    <n v="48"/>
    <n v="65"/>
    <n v="19"/>
    <n v="14"/>
    <n v="29"/>
    <n v="27"/>
    <n v="29"/>
    <n v="75"/>
    <n v="43"/>
    <n v="48"/>
    <n v="27"/>
    <n v="19"/>
    <n v="29"/>
    <n v="27"/>
    <n v="29"/>
    <n v="75"/>
    <n v="43"/>
    <n v="98"/>
    <n v="114"/>
    <n v="70"/>
    <n v="36"/>
    <n v="26"/>
    <n v="21"/>
    <n v="106"/>
    <s v="1"/>
    <s v="03 ES"/>
    <m/>
    <m/>
    <m/>
  </r>
  <r>
    <s v="T25a"/>
    <s v="NURUL IMAN"/>
    <x v="0"/>
    <x v="5"/>
    <x v="1"/>
    <x v="5"/>
    <s v="STREP 2"/>
    <x v="0"/>
    <n v="46"/>
    <n v="60"/>
    <n v="19"/>
    <n v="14"/>
    <n v="118"/>
    <n v="103"/>
    <n v="114"/>
    <n v="71"/>
    <n v="42"/>
    <n v="46"/>
    <n v="61"/>
    <n v="18"/>
    <n v="13"/>
    <n v="29"/>
    <n v="27"/>
    <n v="29"/>
    <n v="71"/>
    <n v="42"/>
    <n v="46"/>
    <n v="26"/>
    <n v="18"/>
    <n v="29"/>
    <n v="27"/>
    <n v="29"/>
    <n v="71"/>
    <n v="42"/>
    <n v="93"/>
    <n v="110"/>
    <n v="68"/>
    <n v="34"/>
    <n v="26"/>
    <n v="22"/>
    <n v="100"/>
    <s v="1"/>
    <s v="03 ES"/>
    <m/>
    <m/>
    <m/>
  </r>
  <r>
    <s v="T26a"/>
    <s v="PRAKOSO BUDI NURCAHYO"/>
    <x v="0"/>
    <x v="0"/>
    <x v="0"/>
    <x v="1"/>
    <s v="STREP 2"/>
    <x v="0"/>
    <n v="47"/>
    <n v="58"/>
    <n v="19"/>
    <n v="14"/>
    <n v="108"/>
    <n v="102"/>
    <n v="114"/>
    <n v="72"/>
    <n v="41"/>
    <n v="47"/>
    <n v="59"/>
    <n v="18"/>
    <n v="13"/>
    <n v="29"/>
    <n v="27"/>
    <n v="29"/>
    <n v="72"/>
    <n v="41"/>
    <n v="47"/>
    <n v="24"/>
    <n v="18"/>
    <n v="29"/>
    <n v="27"/>
    <n v="29"/>
    <n v="72"/>
    <n v="41"/>
    <n v="93"/>
    <n v="112"/>
    <n v="72"/>
    <n v="35"/>
    <n v="26"/>
    <n v="20"/>
    <n v="93"/>
    <s v="1"/>
    <s v="03 ES"/>
    <m/>
    <m/>
    <m/>
  </r>
  <r>
    <s v="T27a"/>
    <s v="M. ARIF WIBOWO"/>
    <x v="0"/>
    <x v="2"/>
    <x v="0"/>
    <x v="1"/>
    <s v="STREP 2"/>
    <x v="0"/>
    <n v="46"/>
    <n v="59"/>
    <n v="19"/>
    <n v="14"/>
    <n v="105"/>
    <n v="99"/>
    <n v="108"/>
    <n v="74"/>
    <n v="42"/>
    <n v="46"/>
    <n v="60"/>
    <n v="18"/>
    <n v="13"/>
    <n v="29"/>
    <n v="27"/>
    <n v="29"/>
    <n v="74"/>
    <n v="41"/>
    <n v="46"/>
    <n v="26"/>
    <n v="18"/>
    <n v="29"/>
    <n v="27"/>
    <n v="29"/>
    <n v="74"/>
    <n v="41"/>
    <n v="93"/>
    <n v="106"/>
    <n v="68"/>
    <n v="34"/>
    <n v="25"/>
    <n v="21"/>
    <n v="98"/>
    <s v="1"/>
    <s v="03 ES"/>
    <m/>
    <m/>
    <m/>
  </r>
  <r>
    <s v="T28a"/>
    <s v="SAHIT"/>
    <x v="0"/>
    <x v="2"/>
    <x v="1"/>
    <x v="7"/>
    <s v="STREP 2"/>
    <x v="0"/>
    <n v="48"/>
    <n v="58"/>
    <n v="20"/>
    <n v="15"/>
    <n v="112"/>
    <n v="108"/>
    <n v="116"/>
    <n v="69"/>
    <n v="44"/>
    <n v="48"/>
    <n v="59"/>
    <n v="19"/>
    <n v="13"/>
    <n v="30"/>
    <n v="28"/>
    <n v="30"/>
    <n v="69"/>
    <n v="44"/>
    <n v="48"/>
    <n v="24"/>
    <n v="19"/>
    <n v="30"/>
    <n v="28"/>
    <n v="30"/>
    <n v="69"/>
    <n v="44"/>
    <n v="100"/>
    <n v="112"/>
    <n v="70"/>
    <n v="36"/>
    <n v="26"/>
    <n v="22"/>
    <n v="95"/>
    <s v="1"/>
    <s v="03 ES"/>
    <m/>
    <m/>
    <m/>
  </r>
  <r>
    <s v="T29a"/>
    <s v="AGUS TRIWAHYUDI"/>
    <x v="0"/>
    <x v="2"/>
    <x v="1"/>
    <x v="0"/>
    <s v="STREP 2"/>
    <x v="0"/>
    <n v="47"/>
    <n v="60"/>
    <n v="20"/>
    <n v="15"/>
    <n v="110"/>
    <n v="106"/>
    <n v="116"/>
    <n v="75"/>
    <n v="43"/>
    <n v="47"/>
    <n v="61"/>
    <n v="19"/>
    <n v="13"/>
    <n v="29"/>
    <n v="27"/>
    <n v="29"/>
    <n v="75"/>
    <n v="43"/>
    <n v="47"/>
    <n v="26"/>
    <n v="19"/>
    <n v="29"/>
    <n v="27"/>
    <n v="29"/>
    <n v="75"/>
    <n v="43"/>
    <n v="97"/>
    <n v="114"/>
    <n v="70"/>
    <n v="35"/>
    <n v="27"/>
    <n v="22"/>
    <n v="100"/>
    <s v="1"/>
    <s v="03 ES"/>
    <m/>
    <m/>
    <m/>
  </r>
  <r>
    <s v="T30a"/>
    <s v="SANDY"/>
    <x v="0"/>
    <x v="0"/>
    <x v="2"/>
    <x v="7"/>
    <s v="STREP 2"/>
    <x v="0"/>
    <n v="46"/>
    <n v="54"/>
    <n v="19"/>
    <n v="14"/>
    <n v="96"/>
    <n v="90"/>
    <n v="99"/>
    <n v="68"/>
    <n v="39"/>
    <n v="46"/>
    <n v="55"/>
    <n v="16"/>
    <n v="12"/>
    <n v="27"/>
    <n v="24"/>
    <n v="27"/>
    <n v="68"/>
    <n v="39"/>
    <n v="46"/>
    <n v="23"/>
    <n v="16"/>
    <n v="27"/>
    <n v="24"/>
    <n v="27"/>
    <n v="68"/>
    <n v="39"/>
    <n v="80"/>
    <n v="96"/>
    <n v="68"/>
    <n v="32"/>
    <n v="24"/>
    <n v="19"/>
    <n v="88"/>
    <s v="1"/>
    <s v="03 ES"/>
    <m/>
    <m/>
    <m/>
  </r>
  <r>
    <s v="T31a"/>
    <s v="AZIZ ANDREASYAH"/>
    <x v="0"/>
    <x v="6"/>
    <x v="1"/>
    <x v="1"/>
    <s v="STREP 2"/>
    <x v="0"/>
    <n v="49"/>
    <n v="60"/>
    <n v="22"/>
    <n v="16"/>
    <n v="120"/>
    <n v="116"/>
    <n v="122"/>
    <n v="72"/>
    <n v="45"/>
    <n v="49"/>
    <n v="61"/>
    <n v="21"/>
    <n v="13"/>
    <n v="31"/>
    <n v="29"/>
    <n v="31"/>
    <n v="72"/>
    <n v="45"/>
    <n v="49"/>
    <n v="25"/>
    <n v="21"/>
    <n v="31"/>
    <n v="29"/>
    <n v="31"/>
    <n v="72"/>
    <n v="45"/>
    <n v="109"/>
    <n v="118"/>
    <n v="78"/>
    <n v="38"/>
    <n v="27"/>
    <n v="23"/>
    <n v="96"/>
    <s v="1"/>
    <s v="03 ES"/>
    <m/>
    <m/>
    <m/>
  </r>
  <r>
    <s v="T32a"/>
    <s v="FAISOL ANWAR"/>
    <x v="0"/>
    <x v="3"/>
    <x v="2"/>
    <x v="0"/>
    <s v="STREP 2"/>
    <x v="0"/>
    <n v="44"/>
    <n v="64"/>
    <n v="18"/>
    <n v="14"/>
    <n v="96"/>
    <n v="90"/>
    <n v="104"/>
    <n v="75"/>
    <n v="39"/>
    <n v="44"/>
    <n v="65"/>
    <n v="16"/>
    <n v="12"/>
    <n v="27"/>
    <n v="24"/>
    <n v="27"/>
    <n v="75"/>
    <n v="39"/>
    <n v="44"/>
    <n v="27"/>
    <n v="16"/>
    <n v="27"/>
    <n v="24"/>
    <n v="27"/>
    <n v="75"/>
    <n v="39"/>
    <n v="83"/>
    <n v="102"/>
    <n v="64"/>
    <n v="32"/>
    <n v="24"/>
    <n v="19"/>
    <n v="105"/>
    <s v="1"/>
    <s v="03 ES"/>
    <m/>
    <m/>
    <m/>
  </r>
  <r>
    <s v="T33a"/>
    <s v="SUPARDI"/>
    <x v="0"/>
    <x v="2"/>
    <x v="0"/>
    <x v="7"/>
    <s v="STREP 2"/>
    <x v="0"/>
    <n v="48"/>
    <n v="60"/>
    <n v="20"/>
    <n v="15"/>
    <n v="116"/>
    <n v="110"/>
    <n v="120"/>
    <n v="72"/>
    <n v="44"/>
    <n v="48"/>
    <n v="61"/>
    <n v="19"/>
    <n v="13"/>
    <n v="30"/>
    <n v="28"/>
    <n v="30"/>
    <n v="72"/>
    <n v="44"/>
    <n v="48"/>
    <n v="26"/>
    <n v="19"/>
    <n v="30"/>
    <n v="28"/>
    <n v="30"/>
    <n v="72"/>
    <n v="44"/>
    <n v="100"/>
    <n v="118"/>
    <n v="71"/>
    <n v="37"/>
    <n v="27"/>
    <n v="22"/>
    <n v="100"/>
    <s v="1"/>
    <s v="03 ES"/>
    <m/>
    <m/>
    <m/>
  </r>
  <r>
    <s v="T34a"/>
    <s v="PRASETYO GILI AJI"/>
    <x v="0"/>
    <x v="5"/>
    <x v="0"/>
    <x v="4"/>
    <s v="STREP 2"/>
    <x v="0"/>
    <n v="46"/>
    <n v="58"/>
    <n v="19"/>
    <n v="14"/>
    <n v="106"/>
    <n v="99"/>
    <n v="108"/>
    <n v="70"/>
    <n v="41"/>
    <n v="46"/>
    <n v="59"/>
    <n v="18"/>
    <n v="13"/>
    <n v="29"/>
    <n v="27"/>
    <n v="29"/>
    <n v="70"/>
    <n v="41"/>
    <n v="46"/>
    <n v="26"/>
    <n v="18"/>
    <n v="29"/>
    <n v="27"/>
    <n v="29"/>
    <n v="70"/>
    <n v="41"/>
    <n v="93"/>
    <n v="106"/>
    <n v="68"/>
    <n v="34"/>
    <n v="25"/>
    <n v="21"/>
    <n v="97"/>
    <s v="1"/>
    <s v="03 ES"/>
    <m/>
    <m/>
    <m/>
  </r>
  <r>
    <s v="T35a"/>
    <s v="WIDODO"/>
    <x v="0"/>
    <x v="0"/>
    <x v="1"/>
    <x v="5"/>
    <s v="STREP 2"/>
    <x v="0"/>
    <n v="45"/>
    <n v="60"/>
    <n v="19"/>
    <n v="14"/>
    <n v="99"/>
    <n v="96"/>
    <n v="103"/>
    <n v="68"/>
    <n v="38"/>
    <n v="45"/>
    <n v="61"/>
    <n v="17"/>
    <n v="13"/>
    <n v="27"/>
    <n v="26"/>
    <n v="27"/>
    <n v="68"/>
    <n v="38"/>
    <n v="45"/>
    <n v="25"/>
    <n v="17"/>
    <n v="27"/>
    <n v="26"/>
    <n v="27"/>
    <n v="68"/>
    <n v="38"/>
    <n v="86"/>
    <n v="100"/>
    <n v="67"/>
    <n v="33"/>
    <n v="27"/>
    <n v="22"/>
    <n v="92"/>
    <s v="1"/>
    <s v="03 ES"/>
    <m/>
    <m/>
    <m/>
  </r>
  <r>
    <s v="T36a"/>
    <s v="FEBRIAN ADI PAMUNGKAS"/>
    <x v="0"/>
    <x v="5"/>
    <x v="0"/>
    <x v="3"/>
    <s v="STREP 2"/>
    <x v="0"/>
    <n v="46"/>
    <n v="56"/>
    <n v="17"/>
    <n v="14"/>
    <n v="94"/>
    <n v="82"/>
    <n v="106"/>
    <n v="37"/>
    <n v="70"/>
    <n v="46"/>
    <n v="57"/>
    <n v="17"/>
    <n v="12"/>
    <n v="27"/>
    <n v="25"/>
    <n v="27"/>
    <n v="70"/>
    <n v="37"/>
    <n v="46"/>
    <n v="25"/>
    <n v="17"/>
    <n v="27"/>
    <n v="25"/>
    <n v="27"/>
    <n v="70"/>
    <n v="37"/>
    <n v="82"/>
    <n v="104"/>
    <n v="66"/>
    <n v="33"/>
    <n v="25"/>
    <n v="20"/>
    <n v="97"/>
    <s v="1"/>
    <s v="03 ES"/>
    <m/>
    <m/>
    <m/>
  </r>
  <r>
    <s v="T37a"/>
    <s v="MANGRUWITO"/>
    <x v="0"/>
    <x v="5"/>
    <x v="0"/>
    <x v="3"/>
    <s v="STREP 2"/>
    <x v="0"/>
    <n v="43"/>
    <n v="58"/>
    <n v="19"/>
    <n v="14"/>
    <n v="101"/>
    <n v="100"/>
    <n v="106"/>
    <n v="70"/>
    <n v="42"/>
    <n v="43"/>
    <n v="59"/>
    <n v="17"/>
    <n v="13"/>
    <n v="28"/>
    <n v="27"/>
    <n v="28"/>
    <n v="70"/>
    <n v="42"/>
    <n v="43"/>
    <n v="25"/>
    <n v="17"/>
    <n v="28"/>
    <n v="27"/>
    <n v="28"/>
    <n v="70"/>
    <n v="42"/>
    <n v="89"/>
    <n v="103"/>
    <n v="66"/>
    <n v="33"/>
    <n v="25"/>
    <n v="20"/>
    <n v="93"/>
    <s v="1"/>
    <s v="03 ES"/>
    <m/>
    <m/>
    <m/>
  </r>
  <r>
    <s v="T38a"/>
    <s v="ISWAHYUDI"/>
    <x v="0"/>
    <x v="0"/>
    <x v="0"/>
    <x v="1"/>
    <s v="STREP 2"/>
    <x v="0"/>
    <n v="45"/>
    <n v="57"/>
    <n v="19"/>
    <n v="14"/>
    <n v="101"/>
    <n v="99"/>
    <n v="111"/>
    <n v="69"/>
    <n v="39"/>
    <n v="45"/>
    <n v="58"/>
    <n v="18"/>
    <n v="13"/>
    <n v="28"/>
    <n v="27"/>
    <n v="28"/>
    <n v="69"/>
    <n v="39"/>
    <n v="45"/>
    <n v="24"/>
    <n v="18"/>
    <n v="28"/>
    <n v="27"/>
    <n v="28"/>
    <n v="69"/>
    <n v="39"/>
    <n v="88"/>
    <n v="106"/>
    <n v="67"/>
    <n v="33"/>
    <n v="24"/>
    <n v="20"/>
    <n v="95"/>
    <s v="1"/>
    <s v="03 ES"/>
    <m/>
    <m/>
    <m/>
  </r>
  <r>
    <s v="T40a"/>
    <s v="M. RUDI HERMAWAN"/>
    <x v="0"/>
    <x v="0"/>
    <x v="2"/>
    <x v="2"/>
    <s v="STREP 2"/>
    <x v="0"/>
    <n v="44"/>
    <n v="58"/>
    <n v="18"/>
    <n v="14"/>
    <n v="88"/>
    <n v="81"/>
    <n v="95"/>
    <n v="68"/>
    <n v="38"/>
    <n v="44"/>
    <n v="59"/>
    <n v="16"/>
    <n v="12"/>
    <n v="26"/>
    <n v="24"/>
    <n v="26"/>
    <n v="68"/>
    <n v="38"/>
    <n v="44"/>
    <n v="24"/>
    <n v="16"/>
    <n v="26"/>
    <n v="24"/>
    <n v="26"/>
    <n v="68"/>
    <n v="38"/>
    <n v="73"/>
    <n v="94"/>
    <n v="66"/>
    <n v="29"/>
    <n v="23"/>
    <n v="18"/>
    <n v="92"/>
    <s v="1"/>
    <s v="03 ES"/>
    <m/>
    <m/>
    <m/>
  </r>
  <r>
    <s v="T41a"/>
    <s v="DEDEN SANJAYA"/>
    <x v="0"/>
    <x v="6"/>
    <x v="1"/>
    <x v="0"/>
    <s v="STREP 2"/>
    <x v="0"/>
    <n v="45"/>
    <n v="60"/>
    <n v="19"/>
    <n v="14"/>
    <n v="98"/>
    <n v="94"/>
    <n v="102"/>
    <n v="73"/>
    <n v="41"/>
    <n v="45"/>
    <n v="62"/>
    <n v="17"/>
    <n v="13"/>
    <n v="27"/>
    <n v="25"/>
    <n v="27"/>
    <n v="73"/>
    <n v="41"/>
    <n v="45"/>
    <n v="26"/>
    <n v="17"/>
    <n v="27"/>
    <n v="25"/>
    <n v="27"/>
    <n v="73"/>
    <n v="41"/>
    <n v="86"/>
    <n v="100"/>
    <n v="68"/>
    <n v="33"/>
    <n v="25"/>
    <n v="19"/>
    <n v="98"/>
    <n v="2"/>
    <s v="12 DES"/>
    <m/>
    <m/>
    <m/>
  </r>
  <r>
    <s v="T42a"/>
    <s v="DICKY HERMAN P"/>
    <x v="0"/>
    <x v="4"/>
    <x v="2"/>
    <x v="3"/>
    <s v="STREP 2"/>
    <x v="0"/>
    <n v="45"/>
    <n v="55"/>
    <n v="19"/>
    <n v="14"/>
    <n v="100"/>
    <n v="96"/>
    <n v="106"/>
    <n v="68"/>
    <n v="40"/>
    <n v="45"/>
    <n v="56"/>
    <n v="17"/>
    <n v="13"/>
    <n v="28"/>
    <n v="26"/>
    <n v="28"/>
    <n v="68"/>
    <n v="40"/>
    <n v="45"/>
    <n v="23"/>
    <n v="17"/>
    <n v="28"/>
    <n v="26"/>
    <n v="28"/>
    <n v="68"/>
    <n v="40"/>
    <n v="88"/>
    <n v="105"/>
    <n v="66"/>
    <n v="33"/>
    <n v="24"/>
    <n v="19"/>
    <n v="92"/>
    <n v="2"/>
    <s v="12 DES"/>
    <m/>
    <m/>
    <m/>
  </r>
  <r>
    <s v="T43"/>
    <s v="BAYU ABDUL MALIK"/>
    <x v="0"/>
    <x v="3"/>
    <x v="0"/>
    <x v="5"/>
    <s v="STREP 2"/>
    <x v="0"/>
    <n v="45"/>
    <n v="61"/>
    <n v="19"/>
    <n v="14"/>
    <n v="99"/>
    <n v="92"/>
    <n v="105"/>
    <n v="73"/>
    <n v="40"/>
    <n v="45"/>
    <n v="62"/>
    <n v="17"/>
    <n v="12"/>
    <n v="27"/>
    <n v="26"/>
    <n v="27"/>
    <n v="73"/>
    <n v="40"/>
    <n v="45"/>
    <n v="27"/>
    <n v="17"/>
    <n v="27"/>
    <n v="26"/>
    <n v="27"/>
    <n v="73"/>
    <n v="40"/>
    <n v="82"/>
    <n v="102"/>
    <n v="66"/>
    <n v="31"/>
    <n v="24"/>
    <n v="19"/>
    <n v="101"/>
    <n v="2"/>
    <s v="12 DES"/>
    <m/>
    <m/>
    <m/>
  </r>
  <r>
    <s v="T44"/>
    <s v="MOCHAMMAD FARICH"/>
    <x v="0"/>
    <x v="5"/>
    <x v="2"/>
    <x v="5"/>
    <s v="STREP 2"/>
    <x v="0"/>
    <n v="44"/>
    <n v="58"/>
    <n v="18"/>
    <n v="14"/>
    <n v="95"/>
    <n v="87"/>
    <n v="99"/>
    <n v="69"/>
    <n v="37"/>
    <n v="44"/>
    <n v="59"/>
    <n v="17"/>
    <n v="12"/>
    <n v="27"/>
    <n v="24"/>
    <n v="27"/>
    <n v="69"/>
    <n v="37"/>
    <n v="44"/>
    <n v="24"/>
    <n v="17"/>
    <n v="27"/>
    <n v="24"/>
    <n v="27"/>
    <n v="69"/>
    <n v="37"/>
    <n v="78"/>
    <n v="96"/>
    <n v="64"/>
    <n v="31"/>
    <n v="24"/>
    <n v="20"/>
    <n v="94"/>
    <n v="2"/>
    <s v="15 DES"/>
    <m/>
    <m/>
    <m/>
  </r>
  <r>
    <s v="T45"/>
    <s v="ABDUL SAFII"/>
    <x v="0"/>
    <x v="0"/>
    <x v="0"/>
    <x v="2"/>
    <s v="STREP 2"/>
    <x v="0"/>
    <n v="47"/>
    <n v="57"/>
    <n v="20"/>
    <n v="15"/>
    <n v="107"/>
    <n v="102"/>
    <n v="112"/>
    <n v="70"/>
    <n v="42"/>
    <n v="47"/>
    <n v="58"/>
    <n v="19"/>
    <n v="13"/>
    <n v="29"/>
    <n v="27"/>
    <n v="29"/>
    <n v="70"/>
    <n v="42"/>
    <n v="47"/>
    <n v="25"/>
    <n v="19"/>
    <n v="29"/>
    <n v="27"/>
    <n v="29"/>
    <n v="70"/>
    <n v="42"/>
    <n v="95"/>
    <n v="108"/>
    <n v="68"/>
    <n v="34"/>
    <n v="25"/>
    <n v="22"/>
    <n v="95"/>
    <n v="2"/>
    <s v="15 DES"/>
    <m/>
    <m/>
    <m/>
  </r>
  <r>
    <s v="T46"/>
    <s v="ANDRIANUS"/>
    <x v="0"/>
    <x v="3"/>
    <x v="3"/>
    <x v="3"/>
    <s v="STREP 2"/>
    <x v="0"/>
    <n v="47"/>
    <n v="60"/>
    <n v="20"/>
    <n v="15"/>
    <n v="108"/>
    <n v="104"/>
    <n v="114"/>
    <n v="75"/>
    <n v="42"/>
    <n v="47"/>
    <n v="61"/>
    <n v="19"/>
    <n v="13"/>
    <n v="29"/>
    <n v="27"/>
    <n v="29"/>
    <n v="75"/>
    <n v="42"/>
    <n v="47"/>
    <n v="26"/>
    <n v="19"/>
    <n v="29"/>
    <n v="27"/>
    <n v="29"/>
    <n v="75"/>
    <n v="42"/>
    <n v="95"/>
    <n v="112"/>
    <n v="70"/>
    <n v="35"/>
    <n v="27"/>
    <n v="20"/>
    <n v="102"/>
    <n v="2"/>
    <s v="15 DES"/>
    <m/>
    <m/>
    <m/>
  </r>
  <r>
    <s v="T47"/>
    <s v="LINGGA ANGGARA"/>
    <x v="0"/>
    <x v="2"/>
    <x v="1"/>
    <x v="5"/>
    <s v="STREP 2"/>
    <x v="0"/>
    <n v="49"/>
    <n v="56"/>
    <n v="20"/>
    <n v="15"/>
    <n v="114"/>
    <n v="108"/>
    <n v="118"/>
    <n v="68"/>
    <n v="44"/>
    <n v="49"/>
    <n v="57"/>
    <n v="19"/>
    <n v="13"/>
    <n v="30"/>
    <n v="28"/>
    <n v="30"/>
    <n v="68"/>
    <n v="44"/>
    <n v="49"/>
    <n v="24"/>
    <n v="19"/>
    <n v="30"/>
    <n v="28"/>
    <n v="30"/>
    <n v="68"/>
    <n v="44"/>
    <n v="100"/>
    <n v="115"/>
    <n v="70"/>
    <n v="36"/>
    <n v="27"/>
    <n v="22"/>
    <n v="89"/>
    <n v="2"/>
    <s v="15 DES"/>
    <m/>
    <m/>
    <m/>
  </r>
  <r>
    <s v="T48"/>
    <s v="MOH. ARIF"/>
    <x v="0"/>
    <x v="0"/>
    <x v="0"/>
    <x v="5"/>
    <s v="STREP 2"/>
    <x v="0"/>
    <n v="45"/>
    <n v="60"/>
    <n v="19"/>
    <n v="14"/>
    <n v="104"/>
    <n v="104"/>
    <n v="107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91"/>
    <n v="105"/>
    <n v="66"/>
    <n v="34"/>
    <n v="24"/>
    <n v="20"/>
    <n v="95"/>
    <n v="2"/>
    <s v="17 DES"/>
    <m/>
    <m/>
    <m/>
  </r>
  <r>
    <s v="T50"/>
    <s v="AFRIDIYANTO"/>
    <x v="0"/>
    <x v="0"/>
    <x v="1"/>
    <x v="5"/>
    <s v="STREP 2"/>
    <x v="0"/>
    <n v="46"/>
    <n v="60"/>
    <n v="20"/>
    <n v="15"/>
    <n v="113"/>
    <n v="109"/>
    <n v="121"/>
    <n v="73"/>
    <n v="43"/>
    <n v="46"/>
    <n v="61"/>
    <n v="19"/>
    <n v="13"/>
    <n v="30"/>
    <n v="30"/>
    <n v="30"/>
    <n v="73"/>
    <n v="43"/>
    <n v="46"/>
    <n v="26"/>
    <n v="19"/>
    <n v="30"/>
    <n v="30"/>
    <n v="30"/>
    <n v="73"/>
    <n v="43"/>
    <n v="98"/>
    <n v="116"/>
    <n v="73"/>
    <n v="36"/>
    <n v="27"/>
    <n v="22"/>
    <n v="87"/>
    <n v="2"/>
    <s v="17 DES"/>
    <m/>
    <m/>
    <m/>
  </r>
  <r>
    <s v="T51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52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3" firstHeaderRow="1" firstDataRow="2" firstDataCol="1"/>
  <pivotFields count="46">
    <pivotField showAll="0"/>
    <pivotField showAll="0"/>
    <pivotField showAll="0"/>
    <pivotField axis="axisRow" dataField="1" showAll="0">
      <items count="11">
        <item x="4"/>
        <item x="5"/>
        <item x="0"/>
        <item x="2"/>
        <item x="3"/>
        <item x="6"/>
        <item m="1" x="9"/>
        <item x="7"/>
        <item x="1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 v="1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4"/>
        <item x="3"/>
        <item x="5"/>
        <item x="1"/>
        <item x="0"/>
        <item x="6"/>
        <item x="8"/>
        <item x="2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52" totalsRowCount="1" headerRowDxfId="93" dataDxfId="92">
  <tableColumns count="46">
    <tableColumn id="1" xr3:uid="{05AD891D-D818-40CC-98F7-C3A9ADF56877}" name="NO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82"/>
  <sheetViews>
    <sheetView tabSelected="1" zoomScaleNormal="100" workbookViewId="0">
      <pane ySplit="1" topLeftCell="A2" activePane="bottomLeft" state="frozen"/>
      <selection pane="bottomLeft" activeCell="B11" sqref="B11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4" customWidth="1"/>
    <col min="4" max="4" width="9.28515625" style="1" bestFit="1" customWidth="1"/>
    <col min="5" max="5" width="11.42578125" style="1" customWidth="1"/>
    <col min="6" max="6" width="9.28515625" style="11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7"/>
  </cols>
  <sheetData>
    <row r="1" spans="1:1014" ht="30" customHeight="1" x14ac:dyDescent="0.25">
      <c r="A1" s="2" t="s">
        <v>0</v>
      </c>
      <c r="B1" s="28" t="s">
        <v>1</v>
      </c>
      <c r="C1" s="2" t="s">
        <v>2</v>
      </c>
      <c r="D1" s="2" t="s">
        <v>4</v>
      </c>
      <c r="E1" s="29" t="s">
        <v>6</v>
      </c>
      <c r="F1" s="2" t="s">
        <v>5</v>
      </c>
      <c r="G1" s="2" t="s">
        <v>36</v>
      </c>
      <c r="H1" s="2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9" t="s">
        <v>42</v>
      </c>
      <c r="S1" s="9" t="s">
        <v>43</v>
      </c>
      <c r="T1" s="9" t="s">
        <v>44</v>
      </c>
      <c r="U1" s="9" t="s">
        <v>45</v>
      </c>
      <c r="V1" s="9" t="s">
        <v>46</v>
      </c>
      <c r="W1" s="9" t="s">
        <v>47</v>
      </c>
      <c r="X1" s="9" t="s">
        <v>48</v>
      </c>
      <c r="Y1" s="9" t="s">
        <v>49</v>
      </c>
      <c r="Z1" s="9" t="s">
        <v>50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7"/>
    </row>
    <row r="2" spans="1:1014" ht="30" customHeight="1" x14ac:dyDescent="0.25">
      <c r="A2" s="8" t="s">
        <v>61</v>
      </c>
      <c r="B2" t="s">
        <v>78</v>
      </c>
      <c r="C2" s="30" t="s">
        <v>79</v>
      </c>
      <c r="D2" s="30">
        <v>42</v>
      </c>
      <c r="E2" s="30">
        <v>56</v>
      </c>
      <c r="F2" s="30" t="s">
        <v>34</v>
      </c>
      <c r="G2" s="5" t="s">
        <v>94</v>
      </c>
      <c r="H2" s="5" t="s">
        <v>41</v>
      </c>
      <c r="I2" s="26">
        <v>43</v>
      </c>
      <c r="J2" s="26">
        <v>58</v>
      </c>
      <c r="K2" s="26">
        <v>19</v>
      </c>
      <c r="L2" s="26">
        <v>15</v>
      </c>
      <c r="M2" s="26">
        <v>104</v>
      </c>
      <c r="N2" s="26">
        <v>103</v>
      </c>
      <c r="O2" s="26">
        <v>114</v>
      </c>
      <c r="P2" s="26">
        <v>72</v>
      </c>
      <c r="Q2" s="26">
        <v>42</v>
      </c>
      <c r="R2" s="25"/>
      <c r="S2" s="25"/>
      <c r="T2" s="25"/>
      <c r="U2" s="25"/>
      <c r="V2" s="25"/>
      <c r="W2" s="25"/>
      <c r="X2" s="25"/>
      <c r="Y2" s="25"/>
      <c r="Z2" s="25"/>
      <c r="AA2" s="26">
        <v>43</v>
      </c>
      <c r="AB2" s="26">
        <v>25</v>
      </c>
      <c r="AC2" s="26">
        <v>20</v>
      </c>
      <c r="AD2" s="26">
        <v>29</v>
      </c>
      <c r="AE2" s="26">
        <v>28</v>
      </c>
      <c r="AF2" s="26">
        <v>29</v>
      </c>
      <c r="AG2" s="26">
        <v>72</v>
      </c>
      <c r="AH2" s="26">
        <v>42</v>
      </c>
      <c r="AI2" s="26">
        <v>92</v>
      </c>
      <c r="AJ2" s="26">
        <v>112</v>
      </c>
      <c r="AK2" s="26">
        <v>69</v>
      </c>
      <c r="AL2" s="26">
        <v>34</v>
      </c>
      <c r="AM2" s="26">
        <v>26</v>
      </c>
      <c r="AN2" s="26">
        <v>21</v>
      </c>
      <c r="AO2" s="26">
        <v>95</v>
      </c>
      <c r="AP2" s="3"/>
      <c r="AQ2" s="6" t="s">
        <v>95</v>
      </c>
      <c r="AR2" s="7"/>
      <c r="AS2" s="6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  <c r="AAA2" s="7"/>
      <c r="AAB2" s="7"/>
      <c r="AAC2" s="7"/>
      <c r="AAD2" s="7"/>
      <c r="AAE2" s="7"/>
      <c r="AAF2" s="7"/>
      <c r="AAG2" s="7"/>
      <c r="AAH2" s="7"/>
      <c r="AAI2" s="7"/>
      <c r="AAJ2" s="7"/>
      <c r="AAK2" s="7"/>
      <c r="AAL2" s="7"/>
      <c r="AAM2" s="7"/>
      <c r="AAN2" s="7"/>
      <c r="AAO2" s="7"/>
      <c r="AAP2" s="7"/>
      <c r="AAQ2" s="7"/>
      <c r="AAR2" s="7"/>
      <c r="AAS2" s="7"/>
      <c r="AAT2" s="7"/>
      <c r="AAU2" s="7"/>
      <c r="AAV2" s="7"/>
      <c r="AAW2" s="7"/>
      <c r="AAX2" s="7"/>
      <c r="AAY2" s="7"/>
      <c r="AAZ2" s="7"/>
      <c r="ABA2" s="7"/>
      <c r="ABB2" s="7"/>
      <c r="ABC2" s="7"/>
      <c r="ABD2" s="7"/>
      <c r="ABE2" s="7"/>
      <c r="ABF2" s="7"/>
      <c r="ABG2" s="7"/>
      <c r="ABH2" s="7"/>
      <c r="ABI2" s="7"/>
      <c r="ABJ2" s="7"/>
      <c r="ABK2" s="7"/>
      <c r="ABL2" s="7"/>
      <c r="ABM2" s="7"/>
      <c r="ABN2" s="7"/>
      <c r="ABO2" s="7"/>
      <c r="ABP2" s="7"/>
      <c r="ABQ2" s="7"/>
      <c r="ABR2" s="7"/>
      <c r="ABS2" s="7"/>
      <c r="ABT2" s="7"/>
      <c r="ABU2" s="7"/>
      <c r="ABV2" s="7"/>
      <c r="ABW2" s="7"/>
      <c r="ABX2" s="7"/>
      <c r="ABY2" s="7"/>
      <c r="ABZ2" s="7"/>
      <c r="ACA2" s="7"/>
      <c r="ACB2" s="7"/>
      <c r="ACC2" s="7"/>
      <c r="ACD2" s="7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7"/>
      <c r="ACS2" s="7"/>
      <c r="ACT2" s="7"/>
      <c r="ACU2" s="7"/>
      <c r="ACV2" s="7"/>
      <c r="ACW2" s="7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7"/>
      <c r="ADI2" s="7"/>
      <c r="ADJ2" s="7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7"/>
      <c r="ADZ2" s="7"/>
      <c r="AEA2" s="7"/>
      <c r="AEB2" s="7"/>
      <c r="AEC2" s="7"/>
      <c r="AED2" s="7"/>
      <c r="AEE2" s="7"/>
      <c r="AEF2" s="7"/>
      <c r="AEG2" s="7"/>
      <c r="AEH2" s="7"/>
      <c r="AEI2" s="7"/>
      <c r="AEJ2" s="7"/>
      <c r="AEK2" s="7"/>
      <c r="AEL2" s="7"/>
      <c r="AEM2" s="7"/>
      <c r="AEN2" s="7"/>
      <c r="AEO2" s="7"/>
      <c r="AEP2" s="7"/>
      <c r="AEQ2" s="7"/>
      <c r="AER2" s="7"/>
      <c r="AES2" s="7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7"/>
      <c r="AFH2" s="7"/>
      <c r="AFI2" s="7"/>
      <c r="AFJ2" s="7"/>
      <c r="AFK2" s="7"/>
      <c r="AFL2" s="7"/>
      <c r="AFM2" s="7"/>
      <c r="AFN2" s="7"/>
      <c r="AFO2" s="7"/>
      <c r="AFP2" s="7"/>
      <c r="AFQ2" s="7"/>
      <c r="AFR2" s="7"/>
      <c r="AFS2" s="7"/>
      <c r="AFT2" s="7"/>
      <c r="AFU2" s="7"/>
      <c r="AFV2" s="7"/>
      <c r="AFW2" s="7"/>
      <c r="AFX2" s="7"/>
      <c r="AFY2" s="7"/>
      <c r="AFZ2" s="7"/>
      <c r="AGA2" s="7"/>
      <c r="AGB2" s="7"/>
      <c r="AGC2" s="7"/>
      <c r="AGD2" s="7"/>
      <c r="AGE2" s="7"/>
      <c r="AGF2" s="7"/>
      <c r="AGG2" s="7"/>
      <c r="AGH2" s="7"/>
      <c r="AGI2" s="7"/>
      <c r="AGJ2" s="7"/>
      <c r="AGK2" s="7"/>
      <c r="AGL2" s="7"/>
      <c r="AGM2" s="7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7"/>
      <c r="AGY2" s="7"/>
      <c r="AGZ2" s="7"/>
      <c r="AHA2" s="7"/>
      <c r="AHB2" s="7"/>
      <c r="AHC2" s="7"/>
      <c r="AHD2" s="7"/>
      <c r="AHE2" s="7"/>
      <c r="AHF2" s="7"/>
      <c r="AHG2" s="7"/>
      <c r="AHH2" s="7"/>
      <c r="AHI2" s="7"/>
      <c r="AHJ2" s="7"/>
      <c r="AHK2" s="7"/>
      <c r="AHL2" s="7"/>
      <c r="AHM2" s="7"/>
      <c r="AHN2" s="7"/>
      <c r="AHO2" s="7"/>
      <c r="AHP2" s="7"/>
      <c r="AHQ2" s="7"/>
      <c r="AHR2" s="7"/>
      <c r="AHS2" s="7"/>
      <c r="AHT2" s="7"/>
      <c r="AHU2" s="7"/>
      <c r="AHV2" s="7"/>
      <c r="AHW2" s="7"/>
      <c r="AHX2" s="7"/>
      <c r="AHY2" s="7"/>
      <c r="AHZ2" s="7"/>
      <c r="AIA2" s="7"/>
      <c r="AIB2" s="7"/>
      <c r="AIC2" s="7"/>
      <c r="AID2" s="7"/>
      <c r="AIE2" s="7"/>
      <c r="AIF2" s="7"/>
      <c r="AIG2" s="7"/>
      <c r="AIH2" s="7"/>
      <c r="AII2" s="7"/>
      <c r="AIJ2" s="7"/>
      <c r="AIK2" s="7"/>
      <c r="AIL2" s="7"/>
      <c r="AIM2" s="7"/>
      <c r="AIN2" s="7"/>
      <c r="AIO2" s="7"/>
      <c r="AIP2" s="7"/>
      <c r="AIQ2" s="7"/>
      <c r="AIR2" s="7"/>
      <c r="AIS2" s="7"/>
      <c r="AIT2" s="7"/>
      <c r="AIU2" s="7"/>
      <c r="AIV2" s="7"/>
      <c r="AIW2" s="7"/>
      <c r="AIX2" s="7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7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7"/>
      <c r="AKA2" s="7"/>
      <c r="AKB2" s="7"/>
      <c r="AKC2" s="7"/>
      <c r="AKD2" s="7"/>
      <c r="AKE2" s="7"/>
      <c r="AKF2" s="7"/>
      <c r="AKG2" s="7"/>
      <c r="AKH2" s="7"/>
      <c r="AKI2" s="7"/>
      <c r="AKJ2" s="7"/>
      <c r="AKK2" s="7"/>
      <c r="AKL2" s="7"/>
      <c r="AKM2" s="7"/>
      <c r="AKN2" s="7"/>
      <c r="AKO2" s="7"/>
      <c r="AKP2" s="7"/>
      <c r="AKQ2" s="7"/>
      <c r="AKR2" s="7"/>
      <c r="AKS2" s="7"/>
      <c r="AKT2" s="7"/>
      <c r="AKU2" s="7"/>
      <c r="AKV2" s="7"/>
      <c r="AKW2" s="7"/>
      <c r="AKX2" s="7"/>
      <c r="AKY2" s="7"/>
      <c r="AKZ2" s="7"/>
      <c r="ALA2" s="7"/>
      <c r="ALB2" s="7"/>
      <c r="ALC2" s="7"/>
      <c r="ALD2" s="7"/>
      <c r="ALE2" s="7"/>
      <c r="ALF2" s="7"/>
      <c r="ALG2" s="7"/>
      <c r="ALH2" s="7"/>
      <c r="ALI2" s="7"/>
      <c r="ALJ2" s="7"/>
      <c r="ALK2" s="7"/>
      <c r="ALL2" s="7"/>
      <c r="ALM2" s="7"/>
      <c r="ALN2" s="7"/>
      <c r="ALO2" s="7"/>
      <c r="ALP2" s="7"/>
      <c r="ALQ2" s="7"/>
      <c r="ALR2" s="7"/>
      <c r="ALS2" s="7"/>
      <c r="ALT2" s="7"/>
      <c r="ALU2" s="7"/>
      <c r="ALV2" s="7"/>
      <c r="ALW2" s="7"/>
      <c r="ALX2" s="7"/>
      <c r="ALY2" s="7"/>
      <c r="ALZ2" s="7"/>
    </row>
    <row r="3" spans="1:1014" ht="30" customHeight="1" x14ac:dyDescent="0.25">
      <c r="A3" s="8" t="s">
        <v>62</v>
      </c>
      <c r="B3" t="s">
        <v>80</v>
      </c>
      <c r="C3" s="30" t="s">
        <v>79</v>
      </c>
      <c r="D3" s="30">
        <v>40</v>
      </c>
      <c r="E3" s="30">
        <v>56</v>
      </c>
      <c r="F3" s="30" t="s">
        <v>31</v>
      </c>
      <c r="G3" s="5" t="s">
        <v>94</v>
      </c>
      <c r="H3" s="5" t="s">
        <v>41</v>
      </c>
      <c r="I3" s="26">
        <v>41</v>
      </c>
      <c r="J3" s="26">
        <v>59</v>
      </c>
      <c r="K3" s="26">
        <v>18</v>
      </c>
      <c r="L3" s="26">
        <v>14</v>
      </c>
      <c r="M3" s="26">
        <v>93</v>
      </c>
      <c r="N3" s="26">
        <v>90</v>
      </c>
      <c r="O3" s="26">
        <v>107</v>
      </c>
      <c r="P3" s="26">
        <v>72</v>
      </c>
      <c r="Q3" s="26">
        <v>39</v>
      </c>
      <c r="R3" s="25"/>
      <c r="S3" s="25"/>
      <c r="T3" s="25"/>
      <c r="U3" s="25"/>
      <c r="V3" s="25"/>
      <c r="W3" s="25"/>
      <c r="X3" s="25"/>
      <c r="Y3" s="25"/>
      <c r="Z3" s="25"/>
      <c r="AA3" s="26">
        <v>41</v>
      </c>
      <c r="AB3" s="26">
        <v>24</v>
      </c>
      <c r="AC3" s="26">
        <v>19</v>
      </c>
      <c r="AD3" s="26">
        <v>27</v>
      </c>
      <c r="AE3" s="26">
        <v>26</v>
      </c>
      <c r="AF3" s="26">
        <v>27</v>
      </c>
      <c r="AG3" s="26">
        <v>72</v>
      </c>
      <c r="AH3" s="26">
        <v>39</v>
      </c>
      <c r="AI3" s="26">
        <v>82</v>
      </c>
      <c r="AJ3" s="26">
        <v>104</v>
      </c>
      <c r="AK3" s="26">
        <v>67</v>
      </c>
      <c r="AL3" s="26">
        <v>32</v>
      </c>
      <c r="AM3" s="26">
        <v>25</v>
      </c>
      <c r="AN3" s="26">
        <v>19</v>
      </c>
      <c r="AO3" s="26">
        <v>97</v>
      </c>
      <c r="AP3" s="3"/>
      <c r="AQ3" s="6" t="s">
        <v>95</v>
      </c>
      <c r="AR3" s="7"/>
      <c r="AS3" s="6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  <c r="AAA3" s="7"/>
      <c r="AAB3" s="7"/>
      <c r="AAC3" s="7"/>
      <c r="AAD3" s="7"/>
      <c r="AAE3" s="7"/>
      <c r="AAF3" s="7"/>
      <c r="AAG3" s="7"/>
      <c r="AAH3" s="7"/>
      <c r="AAI3" s="7"/>
      <c r="AAJ3" s="7"/>
      <c r="AAK3" s="7"/>
      <c r="AAL3" s="7"/>
      <c r="AAM3" s="7"/>
      <c r="AAN3" s="7"/>
      <c r="AAO3" s="7"/>
      <c r="AAP3" s="7"/>
      <c r="AAQ3" s="7"/>
      <c r="AAR3" s="7"/>
      <c r="AAS3" s="7"/>
      <c r="AAT3" s="7"/>
      <c r="AAU3" s="7"/>
      <c r="AAV3" s="7"/>
      <c r="AAW3" s="7"/>
      <c r="AAX3" s="7"/>
      <c r="AAY3" s="7"/>
      <c r="AAZ3" s="7"/>
      <c r="ABA3" s="7"/>
      <c r="ABB3" s="7"/>
      <c r="ABC3" s="7"/>
      <c r="ABD3" s="7"/>
      <c r="ABE3" s="7"/>
      <c r="ABF3" s="7"/>
      <c r="ABG3" s="7"/>
      <c r="ABH3" s="7"/>
      <c r="ABI3" s="7"/>
      <c r="ABJ3" s="7"/>
      <c r="ABK3" s="7"/>
      <c r="ABL3" s="7"/>
      <c r="ABM3" s="7"/>
      <c r="ABN3" s="7"/>
      <c r="ABO3" s="7"/>
      <c r="ABP3" s="7"/>
      <c r="ABQ3" s="7"/>
      <c r="ABR3" s="7"/>
      <c r="ABS3" s="7"/>
      <c r="ABT3" s="7"/>
      <c r="ABU3" s="7"/>
      <c r="ABV3" s="7"/>
      <c r="ABW3" s="7"/>
      <c r="ABX3" s="7"/>
      <c r="ABY3" s="7"/>
      <c r="ABZ3" s="7"/>
      <c r="ACA3" s="7"/>
      <c r="ACB3" s="7"/>
      <c r="ACC3" s="7"/>
      <c r="ACD3" s="7"/>
      <c r="ACE3" s="7"/>
      <c r="ACF3" s="7"/>
      <c r="ACG3" s="7"/>
      <c r="ACH3" s="7"/>
      <c r="ACI3" s="7"/>
      <c r="ACJ3" s="7"/>
      <c r="ACK3" s="7"/>
      <c r="ACL3" s="7"/>
      <c r="ACM3" s="7"/>
      <c r="ACN3" s="7"/>
      <c r="ACO3" s="7"/>
      <c r="ACP3" s="7"/>
      <c r="ACQ3" s="7"/>
      <c r="ACR3" s="7"/>
      <c r="ACS3" s="7"/>
      <c r="ACT3" s="7"/>
      <c r="ACU3" s="7"/>
      <c r="ACV3" s="7"/>
      <c r="ACW3" s="7"/>
      <c r="ACX3" s="7"/>
      <c r="ACY3" s="7"/>
      <c r="ACZ3" s="7"/>
      <c r="ADA3" s="7"/>
      <c r="ADB3" s="7"/>
      <c r="ADC3" s="7"/>
      <c r="ADD3" s="7"/>
      <c r="ADE3" s="7"/>
      <c r="ADF3" s="7"/>
      <c r="ADG3" s="7"/>
      <c r="ADH3" s="7"/>
      <c r="ADI3" s="7"/>
      <c r="ADJ3" s="7"/>
      <c r="ADK3" s="7"/>
      <c r="ADL3" s="7"/>
      <c r="ADM3" s="7"/>
      <c r="ADN3" s="7"/>
      <c r="ADO3" s="7"/>
      <c r="ADP3" s="7"/>
      <c r="ADQ3" s="7"/>
      <c r="ADR3" s="7"/>
      <c r="ADS3" s="7"/>
      <c r="ADT3" s="7"/>
      <c r="ADU3" s="7"/>
      <c r="ADV3" s="7"/>
      <c r="ADW3" s="7"/>
      <c r="ADX3" s="7"/>
      <c r="ADY3" s="7"/>
      <c r="ADZ3" s="7"/>
      <c r="AEA3" s="7"/>
      <c r="AEB3" s="7"/>
      <c r="AEC3" s="7"/>
      <c r="AED3" s="7"/>
      <c r="AEE3" s="7"/>
      <c r="AEF3" s="7"/>
      <c r="AEG3" s="7"/>
      <c r="AEH3" s="7"/>
      <c r="AEI3" s="7"/>
      <c r="AEJ3" s="7"/>
      <c r="AEK3" s="7"/>
      <c r="AEL3" s="7"/>
      <c r="AEM3" s="7"/>
      <c r="AEN3" s="7"/>
      <c r="AEO3" s="7"/>
      <c r="AEP3" s="7"/>
      <c r="AEQ3" s="7"/>
      <c r="AER3" s="7"/>
      <c r="AES3" s="7"/>
      <c r="AET3" s="7"/>
      <c r="AEU3" s="7"/>
      <c r="AEV3" s="7"/>
      <c r="AEW3" s="7"/>
      <c r="AEX3" s="7"/>
      <c r="AEY3" s="7"/>
      <c r="AEZ3" s="7"/>
      <c r="AFA3" s="7"/>
      <c r="AFB3" s="7"/>
      <c r="AFC3" s="7"/>
      <c r="AFD3" s="7"/>
      <c r="AFE3" s="7"/>
      <c r="AFF3" s="7"/>
      <c r="AFG3" s="7"/>
      <c r="AFH3" s="7"/>
      <c r="AFI3" s="7"/>
      <c r="AFJ3" s="7"/>
      <c r="AFK3" s="7"/>
      <c r="AFL3" s="7"/>
      <c r="AFM3" s="7"/>
      <c r="AFN3" s="7"/>
      <c r="AFO3" s="7"/>
      <c r="AFP3" s="7"/>
      <c r="AFQ3" s="7"/>
      <c r="AFR3" s="7"/>
      <c r="AFS3" s="7"/>
      <c r="AFT3" s="7"/>
      <c r="AFU3" s="7"/>
      <c r="AFV3" s="7"/>
      <c r="AFW3" s="7"/>
      <c r="AFX3" s="7"/>
      <c r="AFY3" s="7"/>
      <c r="AFZ3" s="7"/>
      <c r="AGA3" s="7"/>
      <c r="AGB3" s="7"/>
      <c r="AGC3" s="7"/>
      <c r="AGD3" s="7"/>
      <c r="AGE3" s="7"/>
      <c r="AGF3" s="7"/>
      <c r="AGG3" s="7"/>
      <c r="AGH3" s="7"/>
      <c r="AGI3" s="7"/>
      <c r="AGJ3" s="7"/>
      <c r="AGK3" s="7"/>
      <c r="AGL3" s="7"/>
      <c r="AGM3" s="7"/>
      <c r="AGN3" s="7"/>
      <c r="AGO3" s="7"/>
      <c r="AGP3" s="7"/>
      <c r="AGQ3" s="7"/>
      <c r="AGR3" s="7"/>
      <c r="AGS3" s="7"/>
      <c r="AGT3" s="7"/>
      <c r="AGU3" s="7"/>
      <c r="AGV3" s="7"/>
      <c r="AGW3" s="7"/>
      <c r="AGX3" s="7"/>
      <c r="AGY3" s="7"/>
      <c r="AGZ3" s="7"/>
      <c r="AHA3" s="7"/>
      <c r="AHB3" s="7"/>
      <c r="AHC3" s="7"/>
      <c r="AHD3" s="7"/>
      <c r="AHE3" s="7"/>
      <c r="AHF3" s="7"/>
      <c r="AHG3" s="7"/>
      <c r="AHH3" s="7"/>
      <c r="AHI3" s="7"/>
      <c r="AHJ3" s="7"/>
      <c r="AHK3" s="7"/>
      <c r="AHL3" s="7"/>
      <c r="AHM3" s="7"/>
      <c r="AHN3" s="7"/>
      <c r="AHO3" s="7"/>
      <c r="AHP3" s="7"/>
      <c r="AHQ3" s="7"/>
      <c r="AHR3" s="7"/>
      <c r="AHS3" s="7"/>
      <c r="AHT3" s="7"/>
      <c r="AHU3" s="7"/>
      <c r="AHV3" s="7"/>
      <c r="AHW3" s="7"/>
      <c r="AHX3" s="7"/>
      <c r="AHY3" s="7"/>
      <c r="AHZ3" s="7"/>
      <c r="AIA3" s="7"/>
      <c r="AIB3" s="7"/>
      <c r="AIC3" s="7"/>
      <c r="AID3" s="7"/>
      <c r="AIE3" s="7"/>
      <c r="AIF3" s="7"/>
      <c r="AIG3" s="7"/>
      <c r="AIH3" s="7"/>
      <c r="AII3" s="7"/>
      <c r="AIJ3" s="7"/>
      <c r="AIK3" s="7"/>
      <c r="AIL3" s="7"/>
      <c r="AIM3" s="7"/>
      <c r="AIN3" s="7"/>
      <c r="AIO3" s="7"/>
      <c r="AIP3" s="7"/>
      <c r="AIQ3" s="7"/>
      <c r="AIR3" s="7"/>
      <c r="AIS3" s="7"/>
      <c r="AIT3" s="7"/>
      <c r="AIU3" s="7"/>
      <c r="AIV3" s="7"/>
      <c r="AIW3" s="7"/>
      <c r="AIX3" s="7"/>
      <c r="AIY3" s="7"/>
      <c r="AIZ3" s="7"/>
      <c r="AJA3" s="7"/>
      <c r="AJB3" s="7"/>
      <c r="AJC3" s="7"/>
      <c r="AJD3" s="7"/>
      <c r="AJE3" s="7"/>
      <c r="AJF3" s="7"/>
      <c r="AJG3" s="7"/>
      <c r="AJH3" s="7"/>
      <c r="AJI3" s="7"/>
      <c r="AJJ3" s="7"/>
      <c r="AJK3" s="7"/>
      <c r="AJL3" s="7"/>
      <c r="AJM3" s="7"/>
      <c r="AJN3" s="7"/>
      <c r="AJO3" s="7"/>
      <c r="AJP3" s="7"/>
      <c r="AJQ3" s="7"/>
      <c r="AJR3" s="7"/>
      <c r="AJS3" s="7"/>
      <c r="AJT3" s="7"/>
      <c r="AJU3" s="7"/>
      <c r="AJV3" s="7"/>
      <c r="AJW3" s="7"/>
      <c r="AJX3" s="7"/>
      <c r="AJY3" s="7"/>
      <c r="AJZ3" s="7"/>
      <c r="AKA3" s="7"/>
      <c r="AKB3" s="7"/>
      <c r="AKC3" s="7"/>
      <c r="AKD3" s="7"/>
      <c r="AKE3" s="7"/>
      <c r="AKF3" s="7"/>
      <c r="AKG3" s="7"/>
      <c r="AKH3" s="7"/>
      <c r="AKI3" s="7"/>
      <c r="AKJ3" s="7"/>
      <c r="AKK3" s="7"/>
      <c r="AKL3" s="7"/>
      <c r="AKM3" s="7"/>
      <c r="AKN3" s="7"/>
      <c r="AKO3" s="7"/>
      <c r="AKP3" s="7"/>
      <c r="AKQ3" s="7"/>
      <c r="AKR3" s="7"/>
      <c r="AKS3" s="7"/>
      <c r="AKT3" s="7"/>
      <c r="AKU3" s="7"/>
      <c r="AKV3" s="7"/>
      <c r="AKW3" s="7"/>
      <c r="AKX3" s="7"/>
      <c r="AKY3" s="7"/>
      <c r="AKZ3" s="7"/>
      <c r="ALA3" s="7"/>
      <c r="ALB3" s="7"/>
      <c r="ALC3" s="7"/>
      <c r="ALD3" s="7"/>
      <c r="ALE3" s="7"/>
      <c r="ALF3" s="7"/>
      <c r="ALG3" s="7"/>
      <c r="ALH3" s="7"/>
      <c r="ALI3" s="7"/>
      <c r="ALJ3" s="7"/>
      <c r="ALK3" s="7"/>
      <c r="ALL3" s="7"/>
      <c r="ALM3" s="7"/>
      <c r="ALN3" s="7"/>
      <c r="ALO3" s="7"/>
      <c r="ALP3" s="7"/>
      <c r="ALQ3" s="7"/>
      <c r="ALR3" s="7"/>
      <c r="ALS3" s="7"/>
      <c r="ALT3" s="7"/>
      <c r="ALU3" s="7"/>
      <c r="ALV3" s="7"/>
      <c r="ALW3" s="7"/>
      <c r="ALX3" s="7"/>
      <c r="ALY3" s="7"/>
      <c r="ALZ3" s="7"/>
    </row>
    <row r="4" spans="1:1014" ht="30" customHeight="1" x14ac:dyDescent="0.25">
      <c r="A4" s="8" t="s">
        <v>63</v>
      </c>
      <c r="B4" t="s">
        <v>81</v>
      </c>
      <c r="C4" s="30" t="s">
        <v>79</v>
      </c>
      <c r="D4" s="30">
        <v>42</v>
      </c>
      <c r="E4" s="30">
        <v>56</v>
      </c>
      <c r="F4" s="30" t="s">
        <v>34</v>
      </c>
      <c r="G4" s="5" t="s">
        <v>94</v>
      </c>
      <c r="H4" s="5" t="s">
        <v>41</v>
      </c>
      <c r="I4" s="26">
        <v>43</v>
      </c>
      <c r="J4" s="26">
        <v>58</v>
      </c>
      <c r="K4" s="26">
        <v>19</v>
      </c>
      <c r="L4" s="26">
        <v>15</v>
      </c>
      <c r="M4" s="26">
        <v>104</v>
      </c>
      <c r="N4" s="26">
        <v>103</v>
      </c>
      <c r="O4" s="26">
        <v>114</v>
      </c>
      <c r="P4" s="26">
        <v>72</v>
      </c>
      <c r="Q4" s="26">
        <v>42</v>
      </c>
      <c r="R4" s="25"/>
      <c r="S4" s="25"/>
      <c r="T4" s="25"/>
      <c r="U4" s="25"/>
      <c r="V4" s="25"/>
      <c r="W4" s="25"/>
      <c r="X4" s="25"/>
      <c r="Y4" s="25"/>
      <c r="Z4" s="25"/>
      <c r="AA4" s="26">
        <v>43</v>
      </c>
      <c r="AB4" s="26">
        <v>25</v>
      </c>
      <c r="AC4" s="26">
        <v>20</v>
      </c>
      <c r="AD4" s="26">
        <v>29</v>
      </c>
      <c r="AE4" s="26">
        <v>28</v>
      </c>
      <c r="AF4" s="26">
        <v>29</v>
      </c>
      <c r="AG4" s="26">
        <v>72</v>
      </c>
      <c r="AH4" s="26">
        <v>42</v>
      </c>
      <c r="AI4" s="26">
        <v>92</v>
      </c>
      <c r="AJ4" s="26">
        <v>112</v>
      </c>
      <c r="AK4" s="26">
        <v>69</v>
      </c>
      <c r="AL4" s="26">
        <v>34</v>
      </c>
      <c r="AM4" s="26">
        <v>26</v>
      </c>
      <c r="AN4" s="26">
        <v>21</v>
      </c>
      <c r="AO4" s="26">
        <v>95</v>
      </c>
      <c r="AP4" s="3"/>
      <c r="AQ4" s="6" t="s">
        <v>95</v>
      </c>
      <c r="AR4" s="7"/>
      <c r="AS4" s="6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</row>
    <row r="5" spans="1:1014" ht="30" customHeight="1" x14ac:dyDescent="0.25">
      <c r="A5" s="8" t="s">
        <v>64</v>
      </c>
      <c r="B5" t="s">
        <v>82</v>
      </c>
      <c r="C5" s="30" t="s">
        <v>79</v>
      </c>
      <c r="D5" s="30">
        <v>42</v>
      </c>
      <c r="E5" s="30">
        <v>55</v>
      </c>
      <c r="F5" s="30" t="s">
        <v>34</v>
      </c>
      <c r="G5" s="5" t="s">
        <v>94</v>
      </c>
      <c r="H5" s="5" t="s">
        <v>41</v>
      </c>
      <c r="I5" s="26">
        <v>44</v>
      </c>
      <c r="J5" s="26">
        <v>56</v>
      </c>
      <c r="K5" s="26">
        <v>20</v>
      </c>
      <c r="L5" s="26">
        <v>15</v>
      </c>
      <c r="M5" s="26">
        <v>106</v>
      </c>
      <c r="N5" s="26">
        <v>110</v>
      </c>
      <c r="O5" s="26">
        <v>117</v>
      </c>
      <c r="P5" s="26">
        <v>72</v>
      </c>
      <c r="Q5" s="26">
        <v>45</v>
      </c>
      <c r="R5" s="25"/>
      <c r="S5" s="25"/>
      <c r="T5" s="25"/>
      <c r="U5" s="25"/>
      <c r="V5" s="25"/>
      <c r="W5" s="25"/>
      <c r="X5" s="25"/>
      <c r="Y5" s="25"/>
      <c r="Z5" s="25"/>
      <c r="AA5" s="26">
        <v>44</v>
      </c>
      <c r="AB5" s="26">
        <v>25</v>
      </c>
      <c r="AC5" s="26">
        <v>20</v>
      </c>
      <c r="AD5" s="26">
        <v>29</v>
      </c>
      <c r="AE5" s="26">
        <v>28</v>
      </c>
      <c r="AF5" s="26">
        <v>29</v>
      </c>
      <c r="AG5" s="26">
        <v>72</v>
      </c>
      <c r="AH5" s="26">
        <v>445</v>
      </c>
      <c r="AI5" s="26">
        <v>96</v>
      </c>
      <c r="AJ5" s="26">
        <v>110</v>
      </c>
      <c r="AK5" s="26">
        <v>70</v>
      </c>
      <c r="AL5" s="26">
        <v>35</v>
      </c>
      <c r="AM5" s="26">
        <v>25</v>
      </c>
      <c r="AN5" s="26">
        <v>20</v>
      </c>
      <c r="AO5" s="26">
        <v>94</v>
      </c>
      <c r="AP5" s="3"/>
      <c r="AQ5" s="6" t="s">
        <v>95</v>
      </c>
      <c r="AR5" s="7"/>
      <c r="AS5" s="6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</row>
    <row r="6" spans="1:1014" ht="30" customHeight="1" x14ac:dyDescent="0.25">
      <c r="A6" s="8" t="s">
        <v>65</v>
      </c>
      <c r="B6" t="s">
        <v>83</v>
      </c>
      <c r="C6" s="30" t="s">
        <v>79</v>
      </c>
      <c r="D6" s="30">
        <v>40</v>
      </c>
      <c r="E6" s="30">
        <v>56</v>
      </c>
      <c r="F6" s="30" t="s">
        <v>34</v>
      </c>
      <c r="G6" s="5" t="s">
        <v>94</v>
      </c>
      <c r="H6" s="5" t="s">
        <v>41</v>
      </c>
      <c r="I6" s="26">
        <v>45</v>
      </c>
      <c r="J6" s="26">
        <v>54</v>
      </c>
      <c r="K6" s="26">
        <v>21</v>
      </c>
      <c r="L6" s="26">
        <v>16</v>
      </c>
      <c r="M6" s="26">
        <v>120</v>
      </c>
      <c r="N6" s="26">
        <v>116</v>
      </c>
      <c r="O6" s="26">
        <v>120</v>
      </c>
      <c r="P6" s="26">
        <v>71</v>
      </c>
      <c r="Q6" s="26">
        <v>44</v>
      </c>
      <c r="R6" s="25"/>
      <c r="S6" s="25"/>
      <c r="T6" s="25"/>
      <c r="U6" s="25"/>
      <c r="V6" s="25"/>
      <c r="W6" s="25"/>
      <c r="X6" s="25"/>
      <c r="Y6" s="25"/>
      <c r="Z6" s="25"/>
      <c r="AA6" s="26">
        <v>45</v>
      </c>
      <c r="AB6" s="26">
        <v>25</v>
      </c>
      <c r="AC6" s="26">
        <v>20</v>
      </c>
      <c r="AD6" s="26">
        <v>32</v>
      </c>
      <c r="AE6" s="26">
        <v>31</v>
      </c>
      <c r="AF6" s="26">
        <v>32</v>
      </c>
      <c r="AG6" s="26">
        <v>71</v>
      </c>
      <c r="AH6" s="26">
        <v>44</v>
      </c>
      <c r="AI6" s="26">
        <v>104</v>
      </c>
      <c r="AJ6" s="26">
        <v>115</v>
      </c>
      <c r="AK6" s="26">
        <v>69</v>
      </c>
      <c r="AL6" s="26">
        <v>37</v>
      </c>
      <c r="AM6" s="26">
        <v>26</v>
      </c>
      <c r="AN6" s="26">
        <v>21</v>
      </c>
      <c r="AO6" s="26">
        <v>88</v>
      </c>
      <c r="AP6" s="3"/>
      <c r="AQ6" s="6" t="s">
        <v>95</v>
      </c>
      <c r="AR6" s="7"/>
      <c r="AS6" s="6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</row>
    <row r="7" spans="1:1014" ht="30" customHeight="1" x14ac:dyDescent="0.25">
      <c r="A7" s="8" t="s">
        <v>66</v>
      </c>
      <c r="B7" t="s">
        <v>84</v>
      </c>
      <c r="C7" s="30" t="s">
        <v>79</v>
      </c>
      <c r="D7" s="30">
        <v>40</v>
      </c>
      <c r="E7" s="30">
        <v>54</v>
      </c>
      <c r="F7" s="30" t="s">
        <v>32</v>
      </c>
      <c r="G7" s="5" t="s">
        <v>94</v>
      </c>
      <c r="H7" s="5" t="s">
        <v>41</v>
      </c>
      <c r="I7" s="26">
        <v>41</v>
      </c>
      <c r="J7" s="26">
        <v>57</v>
      </c>
      <c r="K7" s="26">
        <v>19</v>
      </c>
      <c r="L7" s="26">
        <v>15</v>
      </c>
      <c r="M7" s="26">
        <v>106</v>
      </c>
      <c r="N7" s="26">
        <v>99</v>
      </c>
      <c r="O7" s="26">
        <v>114</v>
      </c>
      <c r="P7" s="26">
        <v>70</v>
      </c>
      <c r="Q7" s="26">
        <v>41</v>
      </c>
      <c r="R7" s="25"/>
      <c r="S7" s="25"/>
      <c r="T7" s="25"/>
      <c r="U7" s="25"/>
      <c r="V7" s="25"/>
      <c r="W7" s="25"/>
      <c r="X7" s="25"/>
      <c r="Y7" s="25"/>
      <c r="Z7" s="25"/>
      <c r="AA7" s="26">
        <v>41</v>
      </c>
      <c r="AB7" s="26">
        <v>25</v>
      </c>
      <c r="AC7" s="26">
        <v>19</v>
      </c>
      <c r="AD7" s="26">
        <v>28</v>
      </c>
      <c r="AE7" s="26">
        <v>27</v>
      </c>
      <c r="AF7" s="26">
        <v>28</v>
      </c>
      <c r="AG7" s="26">
        <v>70</v>
      </c>
      <c r="AH7" s="26">
        <v>41</v>
      </c>
      <c r="AI7" s="26">
        <v>89</v>
      </c>
      <c r="AJ7" s="26">
        <v>110</v>
      </c>
      <c r="AK7" s="26">
        <v>68</v>
      </c>
      <c r="AL7" s="26">
        <v>33</v>
      </c>
      <c r="AM7" s="26">
        <v>25</v>
      </c>
      <c r="AN7" s="26">
        <v>20</v>
      </c>
      <c r="AO7" s="26">
        <v>98</v>
      </c>
      <c r="AP7" s="3"/>
      <c r="AQ7" s="6" t="s">
        <v>95</v>
      </c>
      <c r="AR7" s="7"/>
      <c r="AS7" s="6"/>
      <c r="AT7" s="7"/>
      <c r="ALZ7" s="7"/>
    </row>
    <row r="8" spans="1:1014" ht="30" customHeight="1" x14ac:dyDescent="0.25">
      <c r="A8" s="8" t="s">
        <v>67</v>
      </c>
      <c r="B8" t="s">
        <v>85</v>
      </c>
      <c r="C8" s="30" t="s">
        <v>79</v>
      </c>
      <c r="D8" s="30">
        <v>41</v>
      </c>
      <c r="E8" s="30">
        <v>57</v>
      </c>
      <c r="F8" s="30" t="s">
        <v>32</v>
      </c>
      <c r="G8" s="5" t="s">
        <v>94</v>
      </c>
      <c r="H8" s="5" t="s">
        <v>41</v>
      </c>
      <c r="I8" s="26">
        <v>44</v>
      </c>
      <c r="J8" s="26">
        <v>57</v>
      </c>
      <c r="K8" s="26">
        <v>20</v>
      </c>
      <c r="L8" s="26">
        <v>15</v>
      </c>
      <c r="M8" s="26">
        <v>108</v>
      </c>
      <c r="N8" s="26">
        <v>104</v>
      </c>
      <c r="O8" s="26">
        <v>118</v>
      </c>
      <c r="P8" s="26">
        <v>72</v>
      </c>
      <c r="Q8" s="26">
        <v>42</v>
      </c>
      <c r="R8" s="25"/>
      <c r="S8" s="25"/>
      <c r="T8" s="25"/>
      <c r="U8" s="25"/>
      <c r="V8" s="25"/>
      <c r="W8" s="25"/>
      <c r="X8" s="25"/>
      <c r="Y8" s="25"/>
      <c r="Z8" s="25"/>
      <c r="AA8" s="26">
        <v>44</v>
      </c>
      <c r="AB8" s="26">
        <v>25</v>
      </c>
      <c r="AC8" s="26">
        <v>19</v>
      </c>
      <c r="AD8" s="26">
        <v>30</v>
      </c>
      <c r="AE8" s="26">
        <v>30</v>
      </c>
      <c r="AF8" s="26">
        <v>30</v>
      </c>
      <c r="AG8" s="26">
        <v>72</v>
      </c>
      <c r="AH8" s="26">
        <v>42</v>
      </c>
      <c r="AI8" s="26">
        <v>96</v>
      </c>
      <c r="AJ8" s="26">
        <v>112</v>
      </c>
      <c r="AK8" s="26">
        <v>69</v>
      </c>
      <c r="AL8" s="26">
        <v>34</v>
      </c>
      <c r="AM8" s="26">
        <v>26</v>
      </c>
      <c r="AN8" s="26">
        <v>20</v>
      </c>
      <c r="AO8" s="26">
        <v>97</v>
      </c>
      <c r="AP8" s="3"/>
      <c r="AQ8" s="6" t="s">
        <v>95</v>
      </c>
      <c r="AR8" s="7"/>
      <c r="AS8" s="6"/>
      <c r="AT8" s="7"/>
      <c r="ALZ8" s="7"/>
    </row>
    <row r="9" spans="1:1014" ht="30" customHeight="1" x14ac:dyDescent="0.25">
      <c r="A9" s="8" t="s">
        <v>68</v>
      </c>
      <c r="B9" t="s">
        <v>86</v>
      </c>
      <c r="C9" s="30" t="s">
        <v>79</v>
      </c>
      <c r="D9" s="30">
        <v>42</v>
      </c>
      <c r="E9" s="30">
        <v>56</v>
      </c>
      <c r="F9" s="30" t="s">
        <v>32</v>
      </c>
      <c r="G9" s="5" t="s">
        <v>94</v>
      </c>
      <c r="H9" s="5" t="s">
        <v>41</v>
      </c>
      <c r="I9" s="26">
        <v>42</v>
      </c>
      <c r="J9" s="26">
        <v>61</v>
      </c>
      <c r="K9" s="26">
        <v>19</v>
      </c>
      <c r="L9" s="26">
        <v>15</v>
      </c>
      <c r="M9" s="26">
        <v>100</v>
      </c>
      <c r="N9" s="26">
        <v>88</v>
      </c>
      <c r="O9" s="26">
        <v>107</v>
      </c>
      <c r="P9" s="26">
        <v>72</v>
      </c>
      <c r="Q9" s="26">
        <v>39</v>
      </c>
      <c r="R9" s="25"/>
      <c r="S9" s="25"/>
      <c r="T9" s="25"/>
      <c r="U9" s="25"/>
      <c r="V9" s="25"/>
      <c r="W9" s="25"/>
      <c r="X9" s="25"/>
      <c r="Y9" s="25"/>
      <c r="Z9" s="25"/>
      <c r="AA9" s="26">
        <v>42</v>
      </c>
      <c r="AB9" s="26">
        <v>27</v>
      </c>
      <c r="AC9" s="26">
        <v>19</v>
      </c>
      <c r="AD9" s="26">
        <v>28</v>
      </c>
      <c r="AE9" s="26">
        <v>27</v>
      </c>
      <c r="AF9" s="26">
        <v>28</v>
      </c>
      <c r="AG9" s="26">
        <v>72</v>
      </c>
      <c r="AH9" s="26">
        <v>39</v>
      </c>
      <c r="AI9" s="26">
        <v>79</v>
      </c>
      <c r="AJ9" s="26">
        <v>101</v>
      </c>
      <c r="AK9" s="26">
        <v>67</v>
      </c>
      <c r="AL9" s="26">
        <v>33</v>
      </c>
      <c r="AM9" s="26">
        <v>25</v>
      </c>
      <c r="AN9" s="26">
        <v>20</v>
      </c>
      <c r="AO9" s="26">
        <v>102</v>
      </c>
      <c r="AP9" s="3"/>
      <c r="AQ9" s="6" t="s">
        <v>95</v>
      </c>
      <c r="AS9" s="6"/>
      <c r="ALZ9" s="7"/>
    </row>
    <row r="10" spans="1:1014" ht="30" customHeight="1" x14ac:dyDescent="0.25">
      <c r="A10" s="8" t="s">
        <v>69</v>
      </c>
      <c r="B10" t="s">
        <v>96</v>
      </c>
      <c r="C10" s="30" t="s">
        <v>79</v>
      </c>
      <c r="D10" s="30">
        <v>45</v>
      </c>
      <c r="E10" s="30">
        <v>57</v>
      </c>
      <c r="F10" s="30" t="s">
        <v>33</v>
      </c>
      <c r="G10" s="5" t="s">
        <v>94</v>
      </c>
      <c r="H10" s="5" t="s">
        <v>41</v>
      </c>
      <c r="I10" s="26">
        <v>46</v>
      </c>
      <c r="J10" s="26">
        <v>60</v>
      </c>
      <c r="K10" s="26">
        <v>21</v>
      </c>
      <c r="L10" s="26">
        <v>16</v>
      </c>
      <c r="M10" s="26">
        <v>123</v>
      </c>
      <c r="N10" s="26">
        <v>122</v>
      </c>
      <c r="O10" s="26">
        <v>135</v>
      </c>
      <c r="P10" s="26">
        <v>77</v>
      </c>
      <c r="Q10" s="26">
        <v>43</v>
      </c>
      <c r="R10" s="25"/>
      <c r="S10" s="25"/>
      <c r="T10" s="25"/>
      <c r="U10" s="25"/>
      <c r="V10" s="25"/>
      <c r="W10" s="25"/>
      <c r="X10" s="25"/>
      <c r="Y10" s="25"/>
      <c r="Z10" s="25"/>
      <c r="AA10" s="26">
        <v>46</v>
      </c>
      <c r="AB10" s="26">
        <v>25</v>
      </c>
      <c r="AC10" s="26">
        <v>20</v>
      </c>
      <c r="AD10" s="26">
        <v>33</v>
      </c>
      <c r="AE10" s="26">
        <v>32</v>
      </c>
      <c r="AF10" s="26">
        <v>33</v>
      </c>
      <c r="AG10" s="26">
        <v>77</v>
      </c>
      <c r="AH10" s="26">
        <v>43</v>
      </c>
      <c r="AI10" s="26">
        <v>112</v>
      </c>
      <c r="AJ10" s="26">
        <v>128</v>
      </c>
      <c r="AK10" s="26">
        <v>72</v>
      </c>
      <c r="AL10" s="26">
        <v>40</v>
      </c>
      <c r="AM10" s="26">
        <v>29</v>
      </c>
      <c r="AN10" s="26">
        <v>21</v>
      </c>
      <c r="AO10" s="26">
        <v>101</v>
      </c>
      <c r="AP10" s="3"/>
      <c r="AQ10" s="6" t="s">
        <v>95</v>
      </c>
      <c r="AR10" s="7"/>
      <c r="AS10" s="6"/>
      <c r="AT10" s="7"/>
      <c r="ALZ10" s="7"/>
    </row>
    <row r="11" spans="1:1014" ht="30" customHeight="1" x14ac:dyDescent="0.25">
      <c r="A11" s="8" t="s">
        <v>70</v>
      </c>
      <c r="B11" t="s">
        <v>87</v>
      </c>
      <c r="C11" s="30" t="s">
        <v>79</v>
      </c>
      <c r="D11" s="30">
        <v>41</v>
      </c>
      <c r="E11" s="30">
        <v>57</v>
      </c>
      <c r="F11" s="30" t="s">
        <v>34</v>
      </c>
      <c r="G11" s="5" t="s">
        <v>94</v>
      </c>
      <c r="H11" s="5" t="s">
        <v>41</v>
      </c>
      <c r="I11" s="26">
        <v>44</v>
      </c>
      <c r="J11" s="26">
        <v>60</v>
      </c>
      <c r="K11" s="26">
        <v>19</v>
      </c>
      <c r="L11" s="26">
        <v>15</v>
      </c>
      <c r="M11" s="26">
        <v>105</v>
      </c>
      <c r="N11" s="26">
        <v>103</v>
      </c>
      <c r="O11" s="26">
        <v>112</v>
      </c>
      <c r="P11" s="26">
        <v>74</v>
      </c>
      <c r="Q11" s="26">
        <v>42</v>
      </c>
      <c r="R11" s="25"/>
      <c r="S11" s="25"/>
      <c r="T11" s="25"/>
      <c r="U11" s="25"/>
      <c r="V11" s="25"/>
      <c r="W11" s="25"/>
      <c r="X11" s="25"/>
      <c r="Y11" s="25"/>
      <c r="Z11" s="25"/>
      <c r="AA11" s="26">
        <v>44</v>
      </c>
      <c r="AB11" s="26">
        <v>26</v>
      </c>
      <c r="AC11" s="26">
        <v>20</v>
      </c>
      <c r="AD11" s="26">
        <v>30</v>
      </c>
      <c r="AE11" s="26">
        <v>29</v>
      </c>
      <c r="AF11" s="26">
        <v>30</v>
      </c>
      <c r="AG11" s="26">
        <v>74</v>
      </c>
      <c r="AH11" s="26">
        <v>42</v>
      </c>
      <c r="AI11" s="26">
        <v>94</v>
      </c>
      <c r="AJ11" s="26">
        <v>108</v>
      </c>
      <c r="AK11" s="26">
        <v>68</v>
      </c>
      <c r="AL11" s="26">
        <v>34</v>
      </c>
      <c r="AM11" s="26">
        <v>25</v>
      </c>
      <c r="AN11" s="26">
        <v>20</v>
      </c>
      <c r="AO11" s="26">
        <v>97</v>
      </c>
      <c r="AP11" s="3"/>
      <c r="AQ11" s="6" t="s">
        <v>95</v>
      </c>
      <c r="AR11" s="7"/>
      <c r="AS11" s="6"/>
      <c r="AT11" s="7"/>
      <c r="ALZ11" s="7"/>
    </row>
    <row r="12" spans="1:1014" ht="30" customHeight="1" x14ac:dyDescent="0.25">
      <c r="A12" s="8" t="s">
        <v>71</v>
      </c>
      <c r="B12" t="s">
        <v>88</v>
      </c>
      <c r="C12" s="30" t="s">
        <v>79</v>
      </c>
      <c r="D12" s="30">
        <v>40</v>
      </c>
      <c r="E12" s="30">
        <v>53</v>
      </c>
      <c r="F12" s="30" t="s">
        <v>32</v>
      </c>
      <c r="G12" s="5" t="s">
        <v>94</v>
      </c>
      <c r="H12" s="5" t="s">
        <v>41</v>
      </c>
      <c r="I12" s="26">
        <v>44</v>
      </c>
      <c r="J12" s="26">
        <v>56</v>
      </c>
      <c r="K12" s="26">
        <v>19</v>
      </c>
      <c r="L12" s="26">
        <v>15</v>
      </c>
      <c r="M12" s="26">
        <v>110</v>
      </c>
      <c r="N12" s="26">
        <v>102</v>
      </c>
      <c r="O12" s="26">
        <v>108</v>
      </c>
      <c r="P12" s="26">
        <v>70</v>
      </c>
      <c r="Q12" s="26">
        <v>39</v>
      </c>
      <c r="R12" s="25"/>
      <c r="S12" s="25"/>
      <c r="T12" s="25"/>
      <c r="U12" s="25"/>
      <c r="V12" s="25"/>
      <c r="W12" s="25"/>
      <c r="X12" s="25"/>
      <c r="Y12" s="25"/>
      <c r="Z12" s="25"/>
      <c r="AA12" s="26">
        <v>44</v>
      </c>
      <c r="AB12" s="26">
        <v>25</v>
      </c>
      <c r="AC12" s="26">
        <v>19</v>
      </c>
      <c r="AD12" s="26">
        <v>29</v>
      </c>
      <c r="AE12" s="26">
        <v>28</v>
      </c>
      <c r="AF12" s="26">
        <v>29</v>
      </c>
      <c r="AG12" s="26">
        <v>70</v>
      </c>
      <c r="AH12" s="26">
        <v>39</v>
      </c>
      <c r="AI12" s="26">
        <v>90</v>
      </c>
      <c r="AJ12" s="26">
        <v>104</v>
      </c>
      <c r="AK12" s="26">
        <v>67</v>
      </c>
      <c r="AL12" s="26">
        <v>33</v>
      </c>
      <c r="AM12" s="26">
        <v>24</v>
      </c>
      <c r="AN12" s="26">
        <v>20</v>
      </c>
      <c r="AO12" s="26">
        <v>89</v>
      </c>
      <c r="AP12" s="3"/>
      <c r="AQ12" s="6" t="s">
        <v>95</v>
      </c>
      <c r="AR12" s="7"/>
      <c r="AS12" s="6"/>
      <c r="AT12" s="7"/>
      <c r="ALZ12" s="7"/>
    </row>
    <row r="13" spans="1:1014" ht="30" customHeight="1" x14ac:dyDescent="0.25">
      <c r="A13" s="8" t="s">
        <v>72</v>
      </c>
      <c r="B13" t="s">
        <v>89</v>
      </c>
      <c r="C13" s="30" t="s">
        <v>79</v>
      </c>
      <c r="D13" s="30">
        <v>41</v>
      </c>
      <c r="E13" s="30">
        <v>54</v>
      </c>
      <c r="F13" s="30" t="s">
        <v>32</v>
      </c>
      <c r="G13" s="5" t="s">
        <v>94</v>
      </c>
      <c r="H13" s="5" t="s">
        <v>41</v>
      </c>
      <c r="I13" s="26">
        <v>42</v>
      </c>
      <c r="J13" s="26">
        <v>58</v>
      </c>
      <c r="K13" s="26">
        <v>19</v>
      </c>
      <c r="L13" s="26">
        <v>15</v>
      </c>
      <c r="M13" s="26">
        <v>100</v>
      </c>
      <c r="N13" s="26">
        <v>96</v>
      </c>
      <c r="O13" s="26">
        <v>106</v>
      </c>
      <c r="P13" s="26">
        <v>71</v>
      </c>
      <c r="Q13" s="26">
        <v>39</v>
      </c>
      <c r="R13" s="25"/>
      <c r="S13" s="25"/>
      <c r="T13" s="25"/>
      <c r="U13" s="25"/>
      <c r="V13" s="25"/>
      <c r="W13" s="25"/>
      <c r="X13" s="25"/>
      <c r="Y13" s="25"/>
      <c r="Z13" s="25"/>
      <c r="AA13" s="26">
        <v>42</v>
      </c>
      <c r="AB13" s="26">
        <v>24</v>
      </c>
      <c r="AC13" s="26">
        <v>19</v>
      </c>
      <c r="AD13" s="26">
        <v>28</v>
      </c>
      <c r="AE13" s="26">
        <v>27</v>
      </c>
      <c r="AF13" s="26">
        <v>28</v>
      </c>
      <c r="AG13" s="26">
        <v>71</v>
      </c>
      <c r="AH13" s="26">
        <v>39</v>
      </c>
      <c r="AI13" s="26">
        <v>90</v>
      </c>
      <c r="AJ13" s="26">
        <v>105</v>
      </c>
      <c r="AK13" s="26">
        <v>67</v>
      </c>
      <c r="AL13" s="26">
        <v>33</v>
      </c>
      <c r="AM13" s="26">
        <v>24</v>
      </c>
      <c r="AN13" s="26">
        <v>20</v>
      </c>
      <c r="AO13" s="26">
        <v>97</v>
      </c>
      <c r="AP13" s="3"/>
      <c r="AQ13" s="6" t="s">
        <v>95</v>
      </c>
      <c r="AS13" s="6"/>
      <c r="AT13" s="7"/>
      <c r="ALZ13" s="7"/>
    </row>
    <row r="14" spans="1:1014" ht="30" customHeight="1" x14ac:dyDescent="0.25">
      <c r="A14" s="8" t="s">
        <v>73</v>
      </c>
      <c r="B14" t="s">
        <v>90</v>
      </c>
      <c r="C14" s="30" t="s">
        <v>79</v>
      </c>
      <c r="D14" s="30">
        <v>41</v>
      </c>
      <c r="E14" s="30">
        <v>58</v>
      </c>
      <c r="F14" s="30" t="s">
        <v>32</v>
      </c>
      <c r="G14" s="5" t="s">
        <v>94</v>
      </c>
      <c r="H14" s="5" t="s">
        <v>41</v>
      </c>
      <c r="I14" s="26">
        <v>42</v>
      </c>
      <c r="J14" s="26">
        <v>63</v>
      </c>
      <c r="K14" s="26">
        <v>19</v>
      </c>
      <c r="L14" s="26">
        <v>15</v>
      </c>
      <c r="M14" s="26">
        <v>103</v>
      </c>
      <c r="N14" s="26">
        <v>100</v>
      </c>
      <c r="O14" s="26">
        <v>115</v>
      </c>
      <c r="P14" s="26">
        <v>73</v>
      </c>
      <c r="Q14" s="26">
        <v>42</v>
      </c>
      <c r="R14" s="25"/>
      <c r="S14" s="25"/>
      <c r="T14" s="25"/>
      <c r="U14" s="25"/>
      <c r="V14" s="25"/>
      <c r="W14" s="25"/>
      <c r="X14" s="25"/>
      <c r="Y14" s="25"/>
      <c r="Z14" s="25"/>
      <c r="AA14" s="26">
        <v>42</v>
      </c>
      <c r="AB14" s="26">
        <v>26</v>
      </c>
      <c r="AC14" s="26">
        <v>19</v>
      </c>
      <c r="AD14" s="26">
        <v>28</v>
      </c>
      <c r="AE14" s="26">
        <v>27</v>
      </c>
      <c r="AF14" s="26">
        <v>28</v>
      </c>
      <c r="AG14" s="26">
        <v>73</v>
      </c>
      <c r="AH14" s="26">
        <v>42</v>
      </c>
      <c r="AI14" s="26">
        <v>87</v>
      </c>
      <c r="AJ14" s="26">
        <v>107</v>
      </c>
      <c r="AK14" s="26">
        <v>67</v>
      </c>
      <c r="AL14" s="26">
        <v>32</v>
      </c>
      <c r="AM14" s="26">
        <v>25</v>
      </c>
      <c r="AN14" s="26">
        <v>20</v>
      </c>
      <c r="AO14" s="26">
        <v>101</v>
      </c>
      <c r="AP14" s="3"/>
      <c r="AQ14" s="6" t="s">
        <v>95</v>
      </c>
      <c r="AS14" s="6"/>
      <c r="AT14" s="7"/>
      <c r="ALZ14" s="7"/>
    </row>
    <row r="15" spans="1:1014" ht="30" customHeight="1" x14ac:dyDescent="0.25">
      <c r="A15" s="8" t="s">
        <v>74</v>
      </c>
      <c r="B15" t="s">
        <v>91</v>
      </c>
      <c r="C15" s="30" t="s">
        <v>79</v>
      </c>
      <c r="D15" s="30">
        <v>40</v>
      </c>
      <c r="E15" s="30">
        <v>55</v>
      </c>
      <c r="F15" s="30" t="s">
        <v>32</v>
      </c>
      <c r="G15" s="5" t="s">
        <v>94</v>
      </c>
      <c r="H15" s="5" t="s">
        <v>41</v>
      </c>
      <c r="I15" s="26">
        <v>42</v>
      </c>
      <c r="J15" s="26">
        <v>62</v>
      </c>
      <c r="K15" s="26">
        <v>18</v>
      </c>
      <c r="L15" s="26">
        <v>14</v>
      </c>
      <c r="M15" s="26">
        <v>97</v>
      </c>
      <c r="N15" s="26">
        <v>90</v>
      </c>
      <c r="O15" s="26">
        <v>110</v>
      </c>
      <c r="P15" s="26">
        <v>72</v>
      </c>
      <c r="Q15" s="26">
        <v>39</v>
      </c>
      <c r="R15" s="25"/>
      <c r="S15" s="25"/>
      <c r="T15" s="25"/>
      <c r="U15" s="25"/>
      <c r="V15" s="25"/>
      <c r="W15" s="25"/>
      <c r="X15" s="25"/>
      <c r="Y15" s="25"/>
      <c r="Z15" s="25"/>
      <c r="AA15" s="26">
        <v>42</v>
      </c>
      <c r="AB15" s="26">
        <v>25</v>
      </c>
      <c r="AC15" s="26">
        <v>18</v>
      </c>
      <c r="AD15" s="26">
        <v>27</v>
      </c>
      <c r="AE15" s="26">
        <v>26</v>
      </c>
      <c r="AF15" s="26">
        <v>27</v>
      </c>
      <c r="AG15" s="26">
        <v>72</v>
      </c>
      <c r="AH15" s="26">
        <v>39</v>
      </c>
      <c r="AI15" s="26">
        <v>79</v>
      </c>
      <c r="AJ15" s="26">
        <v>104</v>
      </c>
      <c r="AK15" s="26">
        <v>65</v>
      </c>
      <c r="AL15" s="26">
        <v>32</v>
      </c>
      <c r="AM15" s="26">
        <v>24</v>
      </c>
      <c r="AN15" s="26">
        <v>19</v>
      </c>
      <c r="AO15" s="26">
        <v>100</v>
      </c>
      <c r="AP15" s="3"/>
      <c r="AQ15" s="6" t="s">
        <v>95</v>
      </c>
      <c r="AS15" s="6"/>
      <c r="ALZ15" s="7"/>
    </row>
    <row r="16" spans="1:1014" ht="30" customHeight="1" x14ac:dyDescent="0.25">
      <c r="A16" s="8" t="s">
        <v>75</v>
      </c>
      <c r="B16" t="s">
        <v>92</v>
      </c>
      <c r="C16" s="30" t="s">
        <v>79</v>
      </c>
      <c r="D16" s="30">
        <v>42</v>
      </c>
      <c r="E16" s="30">
        <v>56</v>
      </c>
      <c r="F16" s="30" t="s">
        <v>32</v>
      </c>
      <c r="G16" s="5" t="s">
        <v>94</v>
      </c>
      <c r="H16" s="5" t="s">
        <v>41</v>
      </c>
      <c r="I16" s="26">
        <v>42</v>
      </c>
      <c r="J16" s="26">
        <v>58</v>
      </c>
      <c r="K16" s="26">
        <v>19</v>
      </c>
      <c r="L16" s="26">
        <v>15</v>
      </c>
      <c r="M16" s="26">
        <v>103</v>
      </c>
      <c r="N16" s="26">
        <v>96</v>
      </c>
      <c r="O16" s="26">
        <v>112</v>
      </c>
      <c r="P16" s="26">
        <v>73</v>
      </c>
      <c r="Q16" s="26">
        <v>41</v>
      </c>
      <c r="R16" s="25"/>
      <c r="S16" s="25"/>
      <c r="T16" s="25"/>
      <c r="U16" s="25"/>
      <c r="V16" s="25"/>
      <c r="W16" s="25"/>
      <c r="X16" s="25"/>
      <c r="Y16" s="25"/>
      <c r="Z16" s="25"/>
      <c r="AA16" s="26">
        <v>42</v>
      </c>
      <c r="AB16" s="26">
        <v>24</v>
      </c>
      <c r="AC16" s="26">
        <v>19</v>
      </c>
      <c r="AD16" s="26">
        <v>28</v>
      </c>
      <c r="AE16" s="26">
        <v>27</v>
      </c>
      <c r="AF16" s="26">
        <v>28</v>
      </c>
      <c r="AG16" s="26">
        <v>73</v>
      </c>
      <c r="AH16" s="26">
        <v>41</v>
      </c>
      <c r="AI16" s="26">
        <v>92</v>
      </c>
      <c r="AJ16" s="26">
        <v>108</v>
      </c>
      <c r="AK16" s="26">
        <v>67</v>
      </c>
      <c r="AL16" s="26">
        <v>34</v>
      </c>
      <c r="AM16" s="26">
        <v>24</v>
      </c>
      <c r="AN16" s="26">
        <v>19</v>
      </c>
      <c r="AO16" s="26">
        <v>95</v>
      </c>
      <c r="AP16" s="3"/>
      <c r="AQ16" s="6" t="s">
        <v>95</v>
      </c>
      <c r="AS16" s="6"/>
      <c r="ALZ16" s="7"/>
    </row>
    <row r="17" spans="1:1014" ht="30" customHeight="1" x14ac:dyDescent="0.25">
      <c r="A17" s="8" t="s">
        <v>76</v>
      </c>
      <c r="B17" t="s">
        <v>60</v>
      </c>
      <c r="C17" s="30" t="s">
        <v>79</v>
      </c>
      <c r="D17" s="30">
        <v>42</v>
      </c>
      <c r="E17" s="30">
        <v>56</v>
      </c>
      <c r="F17" s="30" t="s">
        <v>34</v>
      </c>
      <c r="G17" s="5" t="s">
        <v>94</v>
      </c>
      <c r="H17" s="5" t="s">
        <v>41</v>
      </c>
      <c r="I17" s="26">
        <v>45</v>
      </c>
      <c r="J17" s="26">
        <v>57</v>
      </c>
      <c r="K17" s="26">
        <v>21</v>
      </c>
      <c r="L17" s="26">
        <v>16</v>
      </c>
      <c r="M17" s="26">
        <v>117</v>
      </c>
      <c r="N17" s="26">
        <v>119</v>
      </c>
      <c r="O17" s="26">
        <v>124</v>
      </c>
      <c r="P17" s="26">
        <v>71</v>
      </c>
      <c r="Q17" s="26">
        <v>44</v>
      </c>
      <c r="R17" s="25"/>
      <c r="S17" s="25"/>
      <c r="T17" s="25"/>
      <c r="U17" s="25"/>
      <c r="V17" s="25"/>
      <c r="W17" s="25"/>
      <c r="X17" s="25"/>
      <c r="Y17" s="25"/>
      <c r="Z17" s="25"/>
      <c r="AA17" s="26">
        <v>45</v>
      </c>
      <c r="AB17" s="26">
        <v>25</v>
      </c>
      <c r="AC17" s="26">
        <v>21</v>
      </c>
      <c r="AD17" s="26">
        <v>31</v>
      </c>
      <c r="AE17" s="26">
        <v>30</v>
      </c>
      <c r="AF17" s="26">
        <v>31</v>
      </c>
      <c r="AG17" s="26">
        <v>71</v>
      </c>
      <c r="AH17" s="26">
        <v>44</v>
      </c>
      <c r="AI17" s="26">
        <v>109</v>
      </c>
      <c r="AJ17" s="26">
        <v>120</v>
      </c>
      <c r="AK17" s="26">
        <v>71</v>
      </c>
      <c r="AL17" s="26">
        <v>37</v>
      </c>
      <c r="AM17" s="26">
        <v>27</v>
      </c>
      <c r="AN17" s="26">
        <v>21</v>
      </c>
      <c r="AO17" s="26">
        <v>91</v>
      </c>
      <c r="AP17" s="3"/>
      <c r="AQ17" s="6" t="s">
        <v>95</v>
      </c>
      <c r="AS17" s="6"/>
      <c r="ALZ17" s="7"/>
    </row>
    <row r="18" spans="1:1014" ht="30" customHeight="1" x14ac:dyDescent="0.25">
      <c r="A18" s="8" t="s">
        <v>77</v>
      </c>
      <c r="B18" t="s">
        <v>93</v>
      </c>
      <c r="C18" s="30" t="s">
        <v>79</v>
      </c>
      <c r="D18" s="30">
        <v>42</v>
      </c>
      <c r="E18" s="30">
        <v>57</v>
      </c>
      <c r="F18" s="30" t="s">
        <v>33</v>
      </c>
      <c r="G18" s="5" t="s">
        <v>94</v>
      </c>
      <c r="H18" s="5" t="s">
        <v>41</v>
      </c>
      <c r="I18" s="26">
        <v>43</v>
      </c>
      <c r="J18" s="26">
        <v>63</v>
      </c>
      <c r="K18" s="26">
        <v>20</v>
      </c>
      <c r="L18" s="26">
        <v>16</v>
      </c>
      <c r="M18" s="26">
        <v>116</v>
      </c>
      <c r="N18" s="26">
        <v>114</v>
      </c>
      <c r="O18" s="26">
        <v>129</v>
      </c>
      <c r="P18" s="26">
        <v>77</v>
      </c>
      <c r="Q18" s="26">
        <v>43</v>
      </c>
      <c r="R18" s="25"/>
      <c r="S18" s="25"/>
      <c r="T18" s="25"/>
      <c r="U18" s="25"/>
      <c r="V18" s="25"/>
      <c r="W18" s="25"/>
      <c r="X18" s="25"/>
      <c r="Y18" s="25"/>
      <c r="Z18" s="25"/>
      <c r="AA18" s="26">
        <v>43</v>
      </c>
      <c r="AB18" s="26">
        <v>25</v>
      </c>
      <c r="AC18" s="26">
        <v>20</v>
      </c>
      <c r="AD18" s="26">
        <v>31</v>
      </c>
      <c r="AE18" s="26">
        <v>30</v>
      </c>
      <c r="AF18" s="26">
        <v>31</v>
      </c>
      <c r="AG18" s="26">
        <v>77</v>
      </c>
      <c r="AH18" s="26">
        <v>43</v>
      </c>
      <c r="AI18" s="26">
        <v>106</v>
      </c>
      <c r="AJ18" s="26">
        <v>123</v>
      </c>
      <c r="AK18" s="26">
        <v>72</v>
      </c>
      <c r="AL18" s="26">
        <v>37</v>
      </c>
      <c r="AM18" s="26">
        <v>27</v>
      </c>
      <c r="AN18" s="26">
        <v>21</v>
      </c>
      <c r="AO18" s="26">
        <v>94</v>
      </c>
      <c r="AP18" s="3"/>
      <c r="AQ18" s="6" t="s">
        <v>95</v>
      </c>
      <c r="AS18" s="6"/>
      <c r="ALZ18" s="7"/>
    </row>
    <row r="19" spans="1:1014" ht="30" customHeight="1" x14ac:dyDescent="0.25">
      <c r="A19" s="8"/>
      <c r="B19" s="12"/>
      <c r="C19" s="8"/>
      <c r="D19" s="8"/>
      <c r="E19" s="10"/>
      <c r="F19" s="4"/>
      <c r="G19" s="5"/>
      <c r="H19" s="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6"/>
      <c r="AP19" s="3"/>
      <c r="AQ19" s="6"/>
      <c r="AS19" s="6"/>
      <c r="ALZ19" s="7"/>
    </row>
    <row r="20" spans="1:1014" ht="30" customHeight="1" x14ac:dyDescent="0.25">
      <c r="A20" s="8"/>
      <c r="B20" s="12"/>
      <c r="C20" s="8"/>
      <c r="D20" s="8"/>
      <c r="E20" s="10"/>
      <c r="F20" s="4"/>
      <c r="G20" s="5"/>
      <c r="H20" s="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6"/>
      <c r="AP20" s="3"/>
      <c r="AQ20" s="6"/>
      <c r="AS20" s="6"/>
      <c r="ALZ20" s="7"/>
    </row>
    <row r="21" spans="1:1014" ht="30" customHeight="1" x14ac:dyDescent="0.25">
      <c r="A21" s="8"/>
      <c r="B21" s="12"/>
      <c r="C21" s="8"/>
      <c r="D21" s="8"/>
      <c r="E21" s="10"/>
      <c r="F21" s="4"/>
      <c r="G21" s="5"/>
      <c r="H21" s="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6"/>
      <c r="AP21" s="3"/>
      <c r="AQ21" s="6"/>
      <c r="AS21" s="6"/>
      <c r="ALZ21" s="7"/>
    </row>
    <row r="22" spans="1:1014" ht="30" customHeight="1" x14ac:dyDescent="0.25">
      <c r="A22" s="8"/>
      <c r="B22" s="12"/>
      <c r="C22" s="8"/>
      <c r="D22" s="8"/>
      <c r="E22" s="10"/>
      <c r="F22" s="4"/>
      <c r="G22" s="5"/>
      <c r="H22" s="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6"/>
      <c r="AP22" s="3"/>
      <c r="AQ22" s="6"/>
      <c r="AS22" s="6"/>
      <c r="ALZ22" s="7"/>
    </row>
    <row r="23" spans="1:1014" ht="30" customHeight="1" x14ac:dyDescent="0.25">
      <c r="A23" s="8"/>
      <c r="B23" s="12"/>
      <c r="C23" s="8"/>
      <c r="D23" s="8"/>
      <c r="E23" s="10"/>
      <c r="F23" s="4"/>
      <c r="G23" s="5"/>
      <c r="H23" s="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6"/>
      <c r="AP23" s="3"/>
      <c r="AQ23" s="6"/>
      <c r="AS23" s="6"/>
      <c r="ALZ23" s="7"/>
    </row>
    <row r="24" spans="1:1014" ht="30" customHeight="1" x14ac:dyDescent="0.25">
      <c r="A24" s="8"/>
      <c r="B24" s="12"/>
      <c r="C24" s="8"/>
      <c r="D24" s="8"/>
      <c r="E24" s="10"/>
      <c r="F24" s="4"/>
      <c r="G24" s="5"/>
      <c r="H24" s="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6"/>
      <c r="AP24" s="3"/>
      <c r="AQ24" s="6"/>
      <c r="AS24" s="6"/>
      <c r="ALZ24" s="7"/>
    </row>
    <row r="25" spans="1:1014" ht="30" customHeight="1" x14ac:dyDescent="0.25">
      <c r="A25" s="8"/>
      <c r="B25" s="12"/>
      <c r="C25" s="8"/>
      <c r="D25" s="8"/>
      <c r="E25" s="10"/>
      <c r="F25" s="4"/>
      <c r="G25" s="5"/>
      <c r="H25" s="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6"/>
      <c r="AP25" s="3"/>
      <c r="AQ25" s="6"/>
      <c r="AS25" s="6"/>
      <c r="ALZ25" s="7"/>
    </row>
    <row r="26" spans="1:1014" ht="30" customHeight="1" x14ac:dyDescent="0.25">
      <c r="A26" s="8"/>
      <c r="B26" s="12"/>
      <c r="C26" s="8"/>
      <c r="D26" s="8"/>
      <c r="E26" s="10"/>
      <c r="F26" s="4"/>
      <c r="G26" s="5"/>
      <c r="H26" s="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6"/>
      <c r="AP26" s="3"/>
      <c r="AQ26" s="6"/>
      <c r="AS26" s="6"/>
      <c r="ALZ26" s="7"/>
    </row>
    <row r="27" spans="1:1014" ht="30" customHeight="1" x14ac:dyDescent="0.25">
      <c r="A27" s="8"/>
      <c r="B27" s="12"/>
      <c r="C27" s="8"/>
      <c r="D27" s="8"/>
      <c r="E27" s="10"/>
      <c r="F27" s="4"/>
      <c r="G27" s="5"/>
      <c r="H27" s="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6"/>
      <c r="AP27" s="3"/>
      <c r="AQ27" s="6"/>
      <c r="AS27" s="6"/>
      <c r="ALZ27" s="7"/>
    </row>
    <row r="28" spans="1:1014" ht="30" customHeight="1" x14ac:dyDescent="0.25">
      <c r="A28" s="8"/>
      <c r="B28" s="12"/>
      <c r="C28" s="8"/>
      <c r="D28" s="8"/>
      <c r="E28" s="10"/>
      <c r="F28" s="4"/>
      <c r="G28" s="5"/>
      <c r="H28" s="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6"/>
      <c r="AP28" s="3"/>
      <c r="AQ28" s="6"/>
      <c r="AS28" s="6"/>
      <c r="ALZ28" s="7"/>
    </row>
    <row r="29" spans="1:1014" ht="30" customHeight="1" x14ac:dyDescent="0.25">
      <c r="A29" s="8"/>
      <c r="B29" s="12"/>
      <c r="C29" s="8"/>
      <c r="D29" s="4"/>
      <c r="E29" s="10"/>
      <c r="F29" s="4"/>
      <c r="G29" s="5"/>
      <c r="H29" s="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6"/>
      <c r="AP29" s="3"/>
      <c r="AQ29" s="6"/>
      <c r="AS29" s="6"/>
      <c r="ALZ29" s="7"/>
    </row>
    <row r="30" spans="1:1014" ht="30" customHeight="1" x14ac:dyDescent="0.25">
      <c r="A30" s="8"/>
      <c r="B30" s="12"/>
      <c r="C30" s="8"/>
      <c r="D30" s="4"/>
      <c r="E30" s="10"/>
      <c r="F30" s="4"/>
      <c r="G30" s="5"/>
      <c r="H30" s="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6"/>
      <c r="AP30" s="3"/>
      <c r="AQ30" s="6"/>
      <c r="AS30" s="6"/>
      <c r="ALZ30" s="7"/>
    </row>
    <row r="31" spans="1:1014" ht="30" customHeight="1" x14ac:dyDescent="0.25">
      <c r="A31" s="8"/>
      <c r="B31" s="12"/>
      <c r="C31" s="8"/>
      <c r="D31" s="4"/>
      <c r="E31" s="10"/>
      <c r="F31" s="4"/>
      <c r="G31" s="5"/>
      <c r="H31" s="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6"/>
      <c r="AP31" s="3"/>
      <c r="AQ31" s="6"/>
      <c r="AS31" s="6"/>
      <c r="ALZ31" s="7"/>
    </row>
    <row r="32" spans="1:1014" ht="30" customHeight="1" x14ac:dyDescent="0.25">
      <c r="A32" s="8"/>
      <c r="B32" s="12"/>
      <c r="C32" s="8"/>
      <c r="D32" s="4"/>
      <c r="E32" s="10"/>
      <c r="F32" s="4"/>
      <c r="G32" s="5"/>
      <c r="H32" s="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6"/>
      <c r="AP32" s="3"/>
      <c r="AQ32" s="6"/>
      <c r="AS32" s="6"/>
      <c r="ALZ32" s="7"/>
    </row>
    <row r="33" spans="1:1014" ht="30" customHeight="1" x14ac:dyDescent="0.25">
      <c r="A33" s="8"/>
      <c r="B33" s="12"/>
      <c r="C33" s="8"/>
      <c r="D33" s="4"/>
      <c r="E33" s="10"/>
      <c r="F33" s="4"/>
      <c r="G33" s="5"/>
      <c r="H33" s="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6"/>
      <c r="AP33" s="3"/>
      <c r="AQ33" s="6"/>
      <c r="AS33" s="6"/>
      <c r="ALZ33" s="7"/>
    </row>
    <row r="34" spans="1:1014" ht="30" customHeight="1" x14ac:dyDescent="0.25">
      <c r="A34" s="8"/>
      <c r="B34" s="12"/>
      <c r="C34" s="8"/>
      <c r="D34" s="4"/>
      <c r="E34" s="10"/>
      <c r="F34" s="4"/>
      <c r="G34" s="5"/>
      <c r="H34" s="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6"/>
      <c r="AP34" s="3"/>
      <c r="AQ34" s="6"/>
      <c r="AS34" s="6"/>
      <c r="ALZ34" s="7"/>
    </row>
    <row r="35" spans="1:1014" ht="30" customHeight="1" x14ac:dyDescent="0.25">
      <c r="A35" s="8"/>
      <c r="B35" s="12"/>
      <c r="C35" s="8"/>
      <c r="D35" s="4"/>
      <c r="E35" s="10"/>
      <c r="F35" s="4"/>
      <c r="G35" s="5"/>
      <c r="H35" s="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6"/>
      <c r="AP35" s="3"/>
      <c r="AQ35" s="6"/>
      <c r="AS35" s="6"/>
      <c r="ALZ35" s="7"/>
    </row>
    <row r="36" spans="1:1014" ht="30" customHeight="1" x14ac:dyDescent="0.25">
      <c r="A36" s="8"/>
      <c r="B36" s="12"/>
      <c r="C36" s="8"/>
      <c r="D36" s="4"/>
      <c r="E36" s="10"/>
      <c r="F36" s="4"/>
      <c r="G36" s="5"/>
      <c r="H36" s="5"/>
      <c r="AP36" s="3"/>
      <c r="AQ36" s="6"/>
      <c r="AS36" s="6"/>
      <c r="ALZ36" s="7"/>
    </row>
    <row r="37" spans="1:1014" ht="30" customHeight="1" x14ac:dyDescent="0.25">
      <c r="A37" s="8"/>
      <c r="B37" s="12"/>
      <c r="C37" s="8"/>
      <c r="D37" s="4"/>
      <c r="E37" s="10"/>
      <c r="F37" s="4"/>
      <c r="G37" s="5"/>
      <c r="H37" s="5"/>
      <c r="AP37" s="3"/>
      <c r="AQ37" s="6"/>
      <c r="AS37" s="6"/>
      <c r="ALZ37" s="7"/>
    </row>
    <row r="38" spans="1:1014" ht="30" customHeight="1" x14ac:dyDescent="0.25">
      <c r="A38" s="8"/>
      <c r="B38" s="12"/>
      <c r="C38" s="8"/>
      <c r="D38" s="4"/>
      <c r="E38" s="10"/>
      <c r="F38" s="4"/>
      <c r="G38" s="5"/>
      <c r="H38" s="5"/>
      <c r="AP38" s="3"/>
      <c r="AQ38" s="6"/>
      <c r="AS38" s="6"/>
      <c r="ALZ38" s="7"/>
    </row>
    <row r="39" spans="1:1014" ht="30" customHeight="1" x14ac:dyDescent="0.25">
      <c r="A39" s="8"/>
      <c r="B39" s="12"/>
      <c r="C39" s="8"/>
      <c r="D39" s="4"/>
      <c r="E39" s="10"/>
      <c r="F39" s="4"/>
      <c r="G39" s="5"/>
      <c r="H39" s="5"/>
      <c r="AP39" s="3"/>
      <c r="AQ39" s="6"/>
      <c r="AS39" s="6"/>
      <c r="ALZ39" s="7"/>
    </row>
    <row r="40" spans="1:1014" ht="30" customHeight="1" x14ac:dyDescent="0.25">
      <c r="A40" s="8"/>
      <c r="B40" s="12"/>
      <c r="C40" s="8"/>
      <c r="D40" s="4"/>
      <c r="E40" s="10"/>
      <c r="F40" s="4"/>
      <c r="G40" s="5"/>
      <c r="H40" s="5"/>
      <c r="AP40" s="3"/>
      <c r="AQ40" s="6"/>
      <c r="AS40" s="6"/>
      <c r="ALZ40" s="7"/>
    </row>
    <row r="41" spans="1:1014" ht="30" customHeight="1" x14ac:dyDescent="0.25">
      <c r="A41" s="8"/>
      <c r="B41" s="12"/>
      <c r="C41" s="8"/>
      <c r="D41" s="4"/>
      <c r="E41" s="10"/>
      <c r="F41" s="4"/>
      <c r="G41" s="5"/>
      <c r="H41" s="5"/>
      <c r="AP41" s="3"/>
      <c r="AQ41" s="6"/>
      <c r="AS41" s="6"/>
      <c r="ALZ41" s="7"/>
    </row>
    <row r="42" spans="1:1014" ht="30" customHeight="1" x14ac:dyDescent="0.25">
      <c r="A42" s="8"/>
      <c r="B42" s="12"/>
      <c r="C42" s="8"/>
      <c r="D42" s="4"/>
      <c r="E42" s="10"/>
      <c r="F42" s="4"/>
      <c r="G42" s="5"/>
      <c r="H42" s="5"/>
      <c r="AP42" s="3"/>
      <c r="AQ42" s="6"/>
      <c r="AS42" s="6"/>
    </row>
    <row r="43" spans="1:1014" ht="30" customHeight="1" x14ac:dyDescent="0.25">
      <c r="A43" s="8"/>
      <c r="B43" s="12"/>
      <c r="C43" s="8"/>
      <c r="D43" s="4"/>
      <c r="E43" s="10"/>
      <c r="F43" s="4"/>
      <c r="G43" s="5"/>
      <c r="H43" s="5"/>
      <c r="AP43" s="3"/>
      <c r="AQ43" s="6"/>
      <c r="AS43" s="6"/>
    </row>
    <row r="44" spans="1:1014" ht="30" customHeight="1" x14ac:dyDescent="0.25">
      <c r="A44" s="8"/>
      <c r="B44" s="12"/>
      <c r="C44" s="8"/>
      <c r="D44" s="4"/>
      <c r="E44" s="10"/>
      <c r="F44" s="4"/>
      <c r="G44" s="5"/>
      <c r="H44" s="5"/>
      <c r="AP44" s="3"/>
      <c r="AQ44" s="6"/>
      <c r="AS44" s="6"/>
    </row>
    <row r="45" spans="1:1014" ht="30" customHeight="1" x14ac:dyDescent="0.25">
      <c r="A45" s="8"/>
      <c r="B45" s="12"/>
      <c r="C45" s="8"/>
      <c r="D45" s="4"/>
      <c r="E45" s="10"/>
      <c r="F45" s="4"/>
      <c r="G45" s="5"/>
      <c r="H45" s="5"/>
      <c r="AP45" s="3"/>
      <c r="AQ45" s="6"/>
      <c r="AS45" s="6"/>
    </row>
    <row r="46" spans="1:1014" ht="30" customHeight="1" x14ac:dyDescent="0.25">
      <c r="A46" s="8"/>
      <c r="B46" s="12"/>
      <c r="C46" s="8"/>
      <c r="D46" s="4"/>
      <c r="E46" s="10"/>
      <c r="F46" s="4"/>
      <c r="G46" s="5"/>
      <c r="H46" s="5"/>
      <c r="AP46" s="3"/>
      <c r="AQ46" s="6"/>
      <c r="AS46" s="6"/>
    </row>
    <row r="47" spans="1:1014" ht="30" customHeight="1" x14ac:dyDescent="0.25">
      <c r="A47" s="8"/>
      <c r="B47" s="12"/>
      <c r="C47" s="8"/>
      <c r="D47" s="4"/>
      <c r="E47" s="10"/>
      <c r="F47" s="4"/>
      <c r="G47" s="5"/>
      <c r="H47" s="5"/>
      <c r="AP47" s="3"/>
      <c r="AQ47" s="6"/>
      <c r="AS47" s="6"/>
    </row>
    <row r="48" spans="1:1014" ht="30" customHeight="1" x14ac:dyDescent="0.25">
      <c r="A48" s="8"/>
      <c r="B48" s="12"/>
      <c r="C48" s="8"/>
      <c r="D48" s="27"/>
      <c r="E48" s="10"/>
      <c r="F48" s="27"/>
      <c r="G48" s="5"/>
      <c r="H48" s="5"/>
      <c r="AP48" s="3"/>
      <c r="AQ48" s="6"/>
      <c r="AS48" s="6"/>
    </row>
    <row r="49" spans="1:46" ht="30" customHeight="1" x14ac:dyDescent="0.25">
      <c r="A49" s="8"/>
      <c r="B49" s="12"/>
      <c r="C49" s="8"/>
      <c r="D49" s="27"/>
      <c r="E49" s="10"/>
      <c r="F49" s="27"/>
      <c r="G49" s="5"/>
      <c r="H49" s="5"/>
      <c r="AP49" s="3"/>
      <c r="AQ49" s="6"/>
      <c r="AS49" s="6"/>
    </row>
    <row r="50" spans="1:46" ht="30" customHeight="1" x14ac:dyDescent="0.25">
      <c r="A50" s="8"/>
      <c r="B50" s="12"/>
      <c r="C50" s="8"/>
      <c r="D50" s="27"/>
      <c r="E50" s="10"/>
      <c r="F50" s="27"/>
      <c r="G50" s="5"/>
      <c r="H50" s="5"/>
      <c r="AP50" s="3"/>
      <c r="AQ50" s="6"/>
      <c r="AS50" s="6"/>
    </row>
    <row r="51" spans="1:46" ht="30" customHeight="1" x14ac:dyDescent="0.25">
      <c r="A51" s="8"/>
      <c r="B51" s="12"/>
      <c r="C51" s="8"/>
      <c r="D51" s="27"/>
      <c r="E51" s="10"/>
      <c r="F51" s="27"/>
      <c r="G51" s="5"/>
      <c r="H51" s="5"/>
      <c r="AP51" s="3"/>
      <c r="AQ51" s="6"/>
      <c r="AS51" s="6"/>
    </row>
    <row r="52" spans="1:46" ht="30" customHeight="1" x14ac:dyDescent="0.25">
      <c r="A52" s="18"/>
      <c r="B52" s="19"/>
      <c r="C52" s="18"/>
      <c r="D52" s="20"/>
      <c r="E52" s="21"/>
      <c r="F52" s="20"/>
      <c r="G52" s="22"/>
      <c r="H52" s="22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4"/>
      <c r="AQ52" s="24"/>
      <c r="AR52" s="24"/>
      <c r="AS52" s="24"/>
      <c r="AT52" s="24">
        <f>SUBTOTAL(103,Table1[CETAK SEPATU])</f>
        <v>0</v>
      </c>
    </row>
    <row r="53" spans="1:46" ht="30" customHeight="1" x14ac:dyDescent="0.25">
      <c r="A53" s="8"/>
      <c r="B53" s="8"/>
      <c r="C53" s="12"/>
      <c r="D53" s="8"/>
      <c r="E53" s="4"/>
      <c r="F53" s="10"/>
      <c r="G53" s="4"/>
      <c r="H53" s="5"/>
      <c r="I53" s="5"/>
      <c r="AR53" s="7"/>
    </row>
    <row r="54" spans="1:46" ht="30" customHeight="1" x14ac:dyDescent="0.25">
      <c r="A54" s="8"/>
      <c r="B54" s="8"/>
      <c r="C54" s="12"/>
      <c r="D54" s="8"/>
      <c r="E54" s="4"/>
      <c r="F54" s="10"/>
      <c r="G54" s="4"/>
      <c r="H54" s="5"/>
      <c r="I54" s="5"/>
      <c r="AR54" s="7"/>
    </row>
    <row r="55" spans="1:46" ht="30" customHeight="1" x14ac:dyDescent="0.25">
      <c r="A55" s="8"/>
      <c r="B55" s="8"/>
      <c r="C55" s="13"/>
      <c r="D55" s="8"/>
      <c r="E55" s="4"/>
      <c r="F55" s="10"/>
      <c r="G55" s="4"/>
      <c r="H55" s="5"/>
      <c r="I55" s="5"/>
      <c r="AP55" s="3"/>
      <c r="AR55" s="7"/>
    </row>
    <row r="56" spans="1:46" ht="30" customHeight="1" x14ac:dyDescent="0.25">
      <c r="A56" s="8"/>
      <c r="B56" s="8"/>
      <c r="C56" s="13"/>
      <c r="D56" s="8"/>
      <c r="E56" s="4"/>
      <c r="F56" s="10"/>
      <c r="G56" s="4"/>
      <c r="H56" s="5"/>
      <c r="I56" s="5"/>
      <c r="AR56" s="7"/>
    </row>
    <row r="57" spans="1:46" ht="30" customHeight="1" x14ac:dyDescent="0.25">
      <c r="A57" s="8"/>
      <c r="B57" s="8"/>
      <c r="C57" s="13"/>
      <c r="D57" s="8"/>
      <c r="E57" s="4"/>
      <c r="F57" s="10"/>
      <c r="G57" s="4"/>
      <c r="H57" s="5"/>
      <c r="I57" s="5"/>
      <c r="AR57" s="7"/>
    </row>
    <row r="58" spans="1:46" ht="30" customHeight="1" x14ac:dyDescent="0.25">
      <c r="A58" s="8"/>
      <c r="B58" s="8"/>
      <c r="C58" s="13"/>
      <c r="D58" s="8"/>
      <c r="E58" s="4"/>
      <c r="F58" s="10"/>
      <c r="G58" s="4"/>
      <c r="H58" s="5"/>
      <c r="I58" s="5"/>
      <c r="AR58" s="7"/>
    </row>
    <row r="59" spans="1:46" ht="30" customHeight="1" x14ac:dyDescent="0.25">
      <c r="A59" s="8"/>
      <c r="B59" s="8"/>
      <c r="C59" s="13"/>
      <c r="D59" s="8"/>
      <c r="E59" s="4"/>
      <c r="F59" s="10"/>
      <c r="G59" s="4"/>
      <c r="H59" s="5"/>
      <c r="I59" s="5"/>
      <c r="AR59" s="7"/>
    </row>
    <row r="60" spans="1:46" ht="30" customHeight="1" x14ac:dyDescent="0.25">
      <c r="A60" s="8"/>
      <c r="B60" s="8"/>
      <c r="C60" s="13"/>
      <c r="D60" s="8"/>
      <c r="E60" s="4"/>
      <c r="F60" s="10"/>
      <c r="G60" s="4"/>
      <c r="H60" s="5"/>
      <c r="I60" s="5"/>
      <c r="AR60" s="7"/>
    </row>
    <row r="61" spans="1:46" ht="30" customHeight="1" x14ac:dyDescent="0.25">
      <c r="A61" s="8"/>
      <c r="B61" s="8"/>
      <c r="C61" s="13"/>
      <c r="D61" s="8"/>
      <c r="E61" s="4"/>
      <c r="F61" s="10"/>
      <c r="G61" s="4"/>
      <c r="H61" s="5"/>
      <c r="I61" s="5"/>
      <c r="AR61" s="7"/>
    </row>
    <row r="62" spans="1:46" ht="30" customHeight="1" x14ac:dyDescent="0.25">
      <c r="A62" s="8"/>
      <c r="B62" s="8"/>
      <c r="C62" s="13"/>
      <c r="D62" s="8"/>
      <c r="E62" s="4"/>
      <c r="F62" s="10"/>
      <c r="G62" s="4"/>
      <c r="H62" s="5"/>
      <c r="I62" s="5"/>
      <c r="AR62" s="7"/>
    </row>
    <row r="63" spans="1:46" ht="30" customHeight="1" x14ac:dyDescent="0.25">
      <c r="A63" s="8"/>
      <c r="B63" s="8"/>
      <c r="C63" s="13"/>
      <c r="D63" s="8"/>
      <c r="E63" s="4"/>
      <c r="F63" s="10"/>
      <c r="G63" s="4"/>
      <c r="H63" s="5"/>
      <c r="I63" s="5"/>
      <c r="AR63" s="7"/>
    </row>
    <row r="64" spans="1:46" ht="30" customHeight="1" x14ac:dyDescent="0.25">
      <c r="A64" s="8"/>
      <c r="B64" s="8"/>
      <c r="C64" s="13"/>
      <c r="D64" s="8"/>
      <c r="E64" s="4"/>
      <c r="F64" s="10"/>
      <c r="G64" s="4"/>
      <c r="H64" s="5"/>
      <c r="I64" s="5"/>
      <c r="AR64" s="7"/>
    </row>
    <row r="65" spans="1:44" ht="30" customHeight="1" x14ac:dyDescent="0.25">
      <c r="A65" s="8"/>
      <c r="B65" s="8"/>
      <c r="C65" s="13"/>
      <c r="D65" s="8"/>
      <c r="E65" s="4"/>
      <c r="F65" s="10"/>
      <c r="G65" s="4"/>
      <c r="H65" s="5"/>
      <c r="I65" s="5"/>
      <c r="AR65" s="7"/>
    </row>
    <row r="66" spans="1:44" ht="30" customHeight="1" x14ac:dyDescent="0.25">
      <c r="A66" s="8"/>
      <c r="B66" s="8"/>
      <c r="C66" s="13"/>
      <c r="D66" s="8"/>
      <c r="E66" s="4"/>
      <c r="F66" s="10"/>
      <c r="G66" s="4"/>
      <c r="H66" s="5"/>
      <c r="I66" s="5"/>
      <c r="AR66" s="7"/>
    </row>
    <row r="67" spans="1:44" ht="30" customHeight="1" x14ac:dyDescent="0.25">
      <c r="A67" s="8"/>
      <c r="B67" s="8"/>
      <c r="C67" s="13"/>
      <c r="D67" s="8"/>
      <c r="E67" s="4"/>
      <c r="F67" s="10"/>
      <c r="G67" s="4"/>
      <c r="H67" s="5"/>
      <c r="I67" s="5"/>
      <c r="AR67" s="7"/>
    </row>
    <row r="68" spans="1:44" ht="30" customHeight="1" x14ac:dyDescent="0.25">
      <c r="A68" s="8"/>
      <c r="B68" s="8"/>
      <c r="C68" s="13"/>
      <c r="D68" s="8"/>
      <c r="E68" s="4"/>
      <c r="F68" s="10"/>
      <c r="G68" s="4"/>
      <c r="H68" s="5"/>
      <c r="I68" s="5"/>
      <c r="AR68" s="7"/>
    </row>
    <row r="69" spans="1:44" ht="30" customHeight="1" x14ac:dyDescent="0.25">
      <c r="A69" s="8"/>
      <c r="B69" s="8"/>
      <c r="C69" s="13"/>
      <c r="D69" s="8"/>
      <c r="E69" s="4"/>
      <c r="F69" s="10"/>
      <c r="G69" s="4"/>
      <c r="H69" s="5"/>
      <c r="I69" s="5"/>
      <c r="AR69" s="7"/>
    </row>
    <row r="70" spans="1:44" ht="30" customHeight="1" x14ac:dyDescent="0.25">
      <c r="A70" s="8"/>
      <c r="B70" s="8"/>
      <c r="C70" s="13"/>
      <c r="D70" s="8"/>
      <c r="E70" s="4"/>
      <c r="F70" s="10"/>
      <c r="G70" s="4"/>
      <c r="H70" s="5"/>
      <c r="I70" s="5"/>
      <c r="AR70" s="7"/>
    </row>
    <row r="71" spans="1:44" ht="30" customHeight="1" x14ac:dyDescent="0.25">
      <c r="A71" s="8"/>
      <c r="B71" s="8"/>
      <c r="C71" s="13"/>
      <c r="D71" s="8"/>
      <c r="E71" s="4"/>
      <c r="F71" s="10"/>
      <c r="G71" s="4"/>
      <c r="H71" s="5"/>
      <c r="I71" s="5"/>
      <c r="AR71" s="7"/>
    </row>
    <row r="72" spans="1:44" ht="30" customHeight="1" x14ac:dyDescent="0.25">
      <c r="A72" s="8"/>
      <c r="B72" s="8"/>
      <c r="C72" s="13"/>
      <c r="D72" s="8"/>
      <c r="E72" s="4"/>
      <c r="F72" s="10"/>
      <c r="G72" s="4"/>
      <c r="H72" s="5"/>
      <c r="I72" s="5"/>
      <c r="AR72" s="7"/>
    </row>
    <row r="73" spans="1:44" ht="30" customHeight="1" x14ac:dyDescent="0.25">
      <c r="A73" s="8"/>
      <c r="B73" s="8"/>
      <c r="C73" s="13"/>
      <c r="D73" s="8"/>
      <c r="E73" s="4"/>
      <c r="F73" s="10"/>
      <c r="G73" s="4"/>
      <c r="H73" s="5"/>
      <c r="I73" s="5"/>
      <c r="AR73" s="7"/>
    </row>
    <row r="74" spans="1:44" ht="30" customHeight="1" x14ac:dyDescent="0.25">
      <c r="A74" s="8"/>
      <c r="B74" s="8"/>
      <c r="C74" s="13"/>
      <c r="D74" s="8"/>
      <c r="E74" s="4"/>
      <c r="F74" s="10"/>
      <c r="G74" s="4"/>
      <c r="H74" s="5"/>
      <c r="I74" s="5"/>
      <c r="AR74" s="7"/>
    </row>
    <row r="75" spans="1:44" ht="30" customHeight="1" x14ac:dyDescent="0.25">
      <c r="A75" s="8"/>
      <c r="B75" s="8"/>
      <c r="C75" s="13"/>
      <c r="D75" s="8"/>
      <c r="E75" s="4"/>
      <c r="F75" s="10"/>
      <c r="G75" s="4"/>
      <c r="H75" s="5"/>
      <c r="I75" s="5"/>
      <c r="AR75" s="7"/>
    </row>
    <row r="76" spans="1:44" ht="30" customHeight="1" x14ac:dyDescent="0.25">
      <c r="A76" s="8"/>
      <c r="B76" s="8"/>
      <c r="C76" s="13"/>
      <c r="D76" s="8"/>
      <c r="E76" s="4"/>
      <c r="F76" s="10"/>
      <c r="G76" s="4"/>
      <c r="H76" s="5"/>
      <c r="I76" s="5"/>
      <c r="AR76" s="7"/>
    </row>
    <row r="77" spans="1:44" ht="30" customHeight="1" x14ac:dyDescent="0.25">
      <c r="A77" s="8"/>
      <c r="B77" s="8"/>
      <c r="C77" s="13"/>
      <c r="D77" s="8"/>
      <c r="E77" s="4"/>
      <c r="F77" s="10"/>
      <c r="G77" s="4"/>
      <c r="H77" s="5"/>
      <c r="I77" s="5"/>
      <c r="AR77" s="7"/>
    </row>
    <row r="78" spans="1:44" ht="30" customHeight="1" x14ac:dyDescent="0.25">
      <c r="A78" s="8"/>
      <c r="B78" s="8"/>
      <c r="C78" s="13"/>
      <c r="D78" s="8"/>
      <c r="E78" s="4"/>
      <c r="F78" s="10"/>
      <c r="G78" s="4"/>
      <c r="H78" s="5"/>
      <c r="I78" s="5"/>
      <c r="AR78" s="7"/>
    </row>
    <row r="79" spans="1:44" ht="30" customHeight="1" x14ac:dyDescent="0.25">
      <c r="A79" s="8"/>
      <c r="B79" s="8"/>
      <c r="C79" s="13"/>
      <c r="D79" s="8"/>
      <c r="E79" s="4"/>
      <c r="F79" s="10"/>
      <c r="G79" s="4"/>
      <c r="H79" s="5"/>
      <c r="I79" s="5"/>
      <c r="AR79" s="7"/>
    </row>
    <row r="80" spans="1:44" ht="30" customHeight="1" x14ac:dyDescent="0.25">
      <c r="A80" s="8"/>
      <c r="B80" s="8"/>
      <c r="C80" s="13"/>
      <c r="D80" s="8"/>
      <c r="E80" s="4"/>
      <c r="F80" s="10"/>
      <c r="G80" s="4"/>
      <c r="H80" s="5"/>
      <c r="I80" s="5"/>
      <c r="AR80" s="7"/>
    </row>
    <row r="81" spans="1:9" ht="30" customHeight="1" x14ac:dyDescent="0.25">
      <c r="A81" s="8"/>
      <c r="B81" s="8"/>
      <c r="C81" s="13"/>
      <c r="D81" s="8"/>
      <c r="E81" s="4"/>
      <c r="F81" s="10"/>
      <c r="G81" s="4"/>
      <c r="H81" s="5"/>
      <c r="I81" s="5"/>
    </row>
    <row r="82" spans="1:9" ht="30" customHeight="1" x14ac:dyDescent="0.25">
      <c r="A82" s="8"/>
      <c r="B82" s="8"/>
      <c r="C82" s="13"/>
      <c r="D82" s="8"/>
      <c r="E82" s="4"/>
      <c r="F82" s="10"/>
      <c r="G82" s="4"/>
      <c r="H82" s="5"/>
      <c r="I82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L14"/>
  <sheetViews>
    <sheetView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14" bestFit="1" customWidth="1"/>
    <col min="3" max="3" width="11.28515625" bestFit="1" customWidth="1"/>
    <col min="4" max="4" width="10.7109375" customWidth="1"/>
    <col min="5" max="5" width="16.28515625" customWidth="1"/>
    <col min="6" max="6" width="7.28515625" customWidth="1"/>
    <col min="7" max="8" width="11.28515625" customWidth="1"/>
    <col min="9" max="9" width="13.28515625" bestFit="1" customWidth="1"/>
    <col min="10" max="10" width="16.28515625" customWidth="1"/>
    <col min="11" max="11" width="7.28515625" customWidth="1"/>
    <col min="12" max="12" width="11.28515625" customWidth="1"/>
  </cols>
  <sheetData>
    <row r="3" spans="1:12" x14ac:dyDescent="0.25">
      <c r="A3" s="15" t="s">
        <v>51</v>
      </c>
      <c r="B3" t="s">
        <v>53</v>
      </c>
      <c r="D3" s="15" t="s">
        <v>54</v>
      </c>
      <c r="E3" s="15" t="s">
        <v>56</v>
      </c>
      <c r="I3" s="15" t="s">
        <v>57</v>
      </c>
      <c r="J3" s="15" t="s">
        <v>56</v>
      </c>
    </row>
    <row r="4" spans="1:12" x14ac:dyDescent="0.25">
      <c r="A4" s="16" t="s">
        <v>58</v>
      </c>
      <c r="B4" s="17">
        <v>50</v>
      </c>
      <c r="D4" s="15" t="s">
        <v>51</v>
      </c>
      <c r="E4" t="s">
        <v>41</v>
      </c>
      <c r="F4" t="s">
        <v>59</v>
      </c>
      <c r="G4" t="s">
        <v>52</v>
      </c>
      <c r="I4" s="15" t="s">
        <v>51</v>
      </c>
      <c r="J4" t="s">
        <v>41</v>
      </c>
      <c r="K4" t="s">
        <v>59</v>
      </c>
      <c r="L4" t="s">
        <v>52</v>
      </c>
    </row>
    <row r="5" spans="1:12" x14ac:dyDescent="0.25">
      <c r="A5" s="16" t="s">
        <v>52</v>
      </c>
      <c r="B5" s="17">
        <v>50</v>
      </c>
      <c r="D5" s="16">
        <v>39</v>
      </c>
      <c r="E5" s="17">
        <v>4</v>
      </c>
      <c r="F5" s="17"/>
      <c r="G5" s="17">
        <v>4</v>
      </c>
      <c r="H5" s="17"/>
      <c r="I5" s="16">
        <v>53</v>
      </c>
      <c r="J5" s="17">
        <v>2</v>
      </c>
      <c r="K5" s="17"/>
      <c r="L5" s="17">
        <v>2</v>
      </c>
    </row>
    <row r="6" spans="1:12" x14ac:dyDescent="0.25">
      <c r="D6" s="16">
        <v>40</v>
      </c>
      <c r="E6" s="17">
        <v>9</v>
      </c>
      <c r="F6" s="17"/>
      <c r="G6" s="17">
        <v>9</v>
      </c>
      <c r="H6" s="17"/>
      <c r="I6" s="16">
        <v>55</v>
      </c>
      <c r="J6" s="17">
        <v>7</v>
      </c>
      <c r="K6" s="17"/>
      <c r="L6" s="17">
        <v>7</v>
      </c>
    </row>
    <row r="7" spans="1:12" x14ac:dyDescent="0.25">
      <c r="A7" s="15" t="s">
        <v>51</v>
      </c>
      <c r="B7" t="s">
        <v>55</v>
      </c>
      <c r="D7" s="16">
        <v>41</v>
      </c>
      <c r="E7" s="17">
        <v>12</v>
      </c>
      <c r="F7" s="17"/>
      <c r="G7" s="17">
        <v>12</v>
      </c>
      <c r="H7" s="17"/>
      <c r="I7" s="16">
        <v>56</v>
      </c>
      <c r="J7" s="17">
        <v>9</v>
      </c>
      <c r="K7" s="17"/>
      <c r="L7" s="17">
        <v>9</v>
      </c>
    </row>
    <row r="8" spans="1:12" x14ac:dyDescent="0.25">
      <c r="A8" s="16" t="s">
        <v>32</v>
      </c>
      <c r="B8" s="17">
        <v>20</v>
      </c>
      <c r="D8" s="16">
        <v>42</v>
      </c>
      <c r="E8" s="17">
        <v>14</v>
      </c>
      <c r="F8" s="17"/>
      <c r="G8" s="17">
        <v>14</v>
      </c>
      <c r="H8" s="17"/>
      <c r="I8" s="16">
        <v>57</v>
      </c>
      <c r="J8" s="17">
        <v>10</v>
      </c>
      <c r="K8" s="17"/>
      <c r="L8" s="17">
        <v>10</v>
      </c>
    </row>
    <row r="9" spans="1:12" x14ac:dyDescent="0.25">
      <c r="A9" s="16" t="s">
        <v>31</v>
      </c>
      <c r="B9" s="17">
        <v>9</v>
      </c>
      <c r="D9" s="16">
        <v>43</v>
      </c>
      <c r="E9" s="17">
        <v>5</v>
      </c>
      <c r="F9" s="17"/>
      <c r="G9" s="17">
        <v>5</v>
      </c>
      <c r="H9" s="17"/>
      <c r="I9" s="16">
        <v>58</v>
      </c>
      <c r="J9" s="17">
        <v>9</v>
      </c>
      <c r="K9" s="17"/>
      <c r="L9" s="17">
        <v>9</v>
      </c>
    </row>
    <row r="10" spans="1:12" x14ac:dyDescent="0.25">
      <c r="A10" s="16" t="s">
        <v>34</v>
      </c>
      <c r="B10" s="17">
        <v>17</v>
      </c>
      <c r="D10" s="16">
        <v>44</v>
      </c>
      <c r="E10" s="17">
        <v>3</v>
      </c>
      <c r="F10" s="17"/>
      <c r="G10" s="17">
        <v>3</v>
      </c>
      <c r="H10" s="17"/>
      <c r="I10" s="16">
        <v>59</v>
      </c>
      <c r="J10" s="17">
        <v>1</v>
      </c>
      <c r="K10" s="17"/>
      <c r="L10" s="17">
        <v>1</v>
      </c>
    </row>
    <row r="11" spans="1:12" x14ac:dyDescent="0.25">
      <c r="A11" s="16" t="s">
        <v>33</v>
      </c>
      <c r="B11" s="17">
        <v>2</v>
      </c>
      <c r="D11" s="16" t="s">
        <v>59</v>
      </c>
      <c r="E11" s="17"/>
      <c r="F11" s="17"/>
      <c r="G11" s="17"/>
      <c r="H11" s="17"/>
      <c r="I11" s="16" t="s">
        <v>59</v>
      </c>
      <c r="J11" s="17"/>
      <c r="K11" s="17"/>
      <c r="L11" s="17"/>
    </row>
    <row r="12" spans="1:12" x14ac:dyDescent="0.25">
      <c r="A12" s="16" t="s">
        <v>59</v>
      </c>
      <c r="B12" s="17"/>
      <c r="D12" s="16">
        <v>38</v>
      </c>
      <c r="E12" s="17">
        <v>1</v>
      </c>
      <c r="F12" s="17"/>
      <c r="G12" s="17">
        <v>1</v>
      </c>
      <c r="H12" s="17"/>
      <c r="I12" s="16">
        <v>54</v>
      </c>
      <c r="J12" s="17">
        <v>7</v>
      </c>
      <c r="K12" s="17"/>
      <c r="L12" s="17">
        <v>7</v>
      </c>
    </row>
    <row r="13" spans="1:12" x14ac:dyDescent="0.25">
      <c r="A13" s="16" t="s">
        <v>52</v>
      </c>
      <c r="B13" s="17">
        <v>48</v>
      </c>
      <c r="D13" s="16" t="s">
        <v>52</v>
      </c>
      <c r="E13" s="17">
        <v>48</v>
      </c>
      <c r="F13" s="17"/>
      <c r="G13" s="17">
        <v>48</v>
      </c>
      <c r="H13" s="17"/>
      <c r="I13" s="16">
        <v>60</v>
      </c>
      <c r="J13" s="17">
        <v>3</v>
      </c>
      <c r="K13" s="17"/>
      <c r="L13" s="17">
        <v>3</v>
      </c>
    </row>
    <row r="14" spans="1:12" x14ac:dyDescent="0.25">
      <c r="I14" s="16" t="s">
        <v>52</v>
      </c>
      <c r="J14" s="17">
        <v>48</v>
      </c>
      <c r="K14" s="17"/>
      <c r="L14" s="17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2022-01-07T21:56:02Z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