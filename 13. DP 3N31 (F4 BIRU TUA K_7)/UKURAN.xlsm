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3. DP 3N31 (F4 BIRU TUA K_7)\"/>
    </mc:Choice>
  </mc:AlternateContent>
  <xr:revisionPtr revIDLastSave="0" documentId="13_ncr:1_{4BBC8F06-14C3-4CAE-BCAA-DEF4809C295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8" r:id="rId4"/>
  </sheets>
  <definedNames>
    <definedName name="_xlnm._FilterDatabase" localSheetId="3" hidden="1">CETAK!$A$1:$Q$43</definedName>
    <definedName name="_xlnm._FilterDatabase" localSheetId="0" hidden="1">SEMUA!$A$1:$AZ$43</definedName>
    <definedName name="_xlnm.Print_Titles" localSheetId="3">CETAK!$1:$1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E12" i="3"/>
  <c r="E13" i="3"/>
  <c r="L4" i="3"/>
  <c r="E14" i="3" l="1"/>
  <c r="H12" i="3"/>
  <c r="B11" i="3"/>
</calcChain>
</file>

<file path=xl/sharedStrings.xml><?xml version="1.0" encoding="utf-8"?>
<sst xmlns="http://schemas.openxmlformats.org/spreadsheetml/2006/main" count="548" uniqueCount="129">
  <si>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</si>
  <si>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</si>
  <si>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</si>
  <si>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</si>
  <si>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</si>
  <si>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</si>
  <si>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</si>
  <si>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</si>
  <si>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</si>
  <si>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</si>
  <si>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</si>
  <si>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</si>
  <si>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</si>
  <si>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</si>
  <si>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</si>
  <si>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</si>
  <si>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</si>
  <si>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</si>
  <si>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</si>
  <si>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</si>
  <si>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</si>
  <si>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</si>
  <si>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</si>
  <si>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</si>
  <si>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</si>
  <si>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</si>
  <si>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</si>
  <si>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</si>
  <si>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</si>
  <si>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</si>
  <si>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</si>
  <si>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</si>
  <si>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</si>
  <si>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</si>
  <si>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</si>
  <si>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</si>
  <si>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</si>
  <si>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</si>
  <si>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</si>
  <si>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</si>
  <si>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</si>
  <si>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</si>
  <si>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</si>
  <si>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</si>
  <si>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</si>
  <si>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</si>
  <si>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</si>
  <si>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</si>
  <si>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</si>
  <si>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</si>
  <si>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</si>
  <si>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</si>
  <si>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</si>
  <si>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</si>
  <si>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</si>
  <si>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</si>
  <si>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</si>
  <si>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</si>
  <si>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</si>
  <si>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</si>
  <si>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</si>
  <si>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</si>
  <si>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</si>
  <si>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</si>
  <si>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</si>
  <si>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</si>
  <si>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</si>
  <si>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</si>
  <si>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DANI KRISTIAN</t>
  </si>
  <si>
    <t>SUWANDI</t>
  </si>
  <si>
    <t>ANDRE SUPRAPTO</t>
  </si>
  <si>
    <t>SONY R</t>
  </si>
  <si>
    <t>DAVID GUNTOR</t>
  </si>
  <si>
    <t>DP 3 NAUTIKA / 31</t>
  </si>
  <si>
    <t>RAYMOND PETTEPANE</t>
  </si>
  <si>
    <t>EFENDI SETIAWAN</t>
  </si>
  <si>
    <t>SULISTYO BAYU AJI</t>
  </si>
  <si>
    <t>IMRON SAROFI</t>
  </si>
  <si>
    <t>YUDHA SUJATMIKO</t>
  </si>
  <si>
    <t>CETAK BN</t>
  </si>
  <si>
    <t>WANITA</t>
  </si>
  <si>
    <t>CHANDRI MAHARANI</t>
  </si>
  <si>
    <t>RAFI SINATRYA</t>
  </si>
  <si>
    <t>MOHAMMAD NASOKA</t>
  </si>
  <si>
    <t>MOHAMMAD HASAN</t>
  </si>
  <si>
    <t>DARWIS MUSOLLIN IMRON</t>
  </si>
  <si>
    <t>DOMINGGUS RADJA</t>
  </si>
  <si>
    <t>H11</t>
  </si>
  <si>
    <t>H12</t>
  </si>
  <si>
    <t>H13</t>
  </si>
  <si>
    <t>H14</t>
  </si>
  <si>
    <t>H15</t>
  </si>
  <si>
    <t>H16</t>
  </si>
  <si>
    <t>STREP</t>
  </si>
  <si>
    <t>STREP 2</t>
  </si>
  <si>
    <t>08 mei</t>
  </si>
  <si>
    <t>CETAK  PDH</t>
  </si>
  <si>
    <t>CETAK KLAOS</t>
  </si>
  <si>
    <t>10 MEI</t>
  </si>
  <si>
    <t>CETAK SEPATU</t>
  </si>
  <si>
    <t>11 MEI</t>
  </si>
  <si>
    <t>SPT</t>
  </si>
  <si>
    <t>HENDRI RUSMAWARDANA</t>
  </si>
  <si>
    <t>30 MEI</t>
  </si>
  <si>
    <t>GANDIS AGUS S.</t>
  </si>
  <si>
    <t>M. ADI WIDAYANTO</t>
  </si>
  <si>
    <t>HENDRI TRIYULIANTO</t>
  </si>
  <si>
    <t>AGUS SANTOSO</t>
  </si>
  <si>
    <t>DARTO</t>
  </si>
  <si>
    <t>H17</t>
  </si>
  <si>
    <t>H18</t>
  </si>
  <si>
    <t>H19</t>
  </si>
  <si>
    <t>H20</t>
  </si>
  <si>
    <t>H21</t>
  </si>
  <si>
    <t>H22</t>
  </si>
  <si>
    <t>FIRDAUS AKBAR</t>
  </si>
  <si>
    <t>KAMIL BUDIA</t>
  </si>
  <si>
    <t>ARIK CAHYADI</t>
  </si>
  <si>
    <t>H23</t>
  </si>
  <si>
    <t>H24</t>
  </si>
  <si>
    <t>H25</t>
  </si>
  <si>
    <t>BAJU PDH</t>
  </si>
  <si>
    <t>CELANA</t>
  </si>
  <si>
    <t>BLACKNAVY</t>
  </si>
  <si>
    <t>BAJU PUTIH</t>
  </si>
  <si>
    <t>UB_9</t>
  </si>
  <si>
    <t>KET</t>
  </si>
  <si>
    <t>P/W</t>
  </si>
  <si>
    <t>21 AGUST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</si>
</sst>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1"/>
      <color rgb="FF000000"/>
      <name val="Arial"/>
      <family val="2"/>
      <charset val="1"/>
    </font>
    <font>
      <b/>
      <sz val="12"/>
      <color theme="1"/>
      <name val="Arial"/>
      <family val="2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0" fontId="21" fillId="0" borderId="0" xfId="0" applyNumberFormat="1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6" fillId="0" borderId="0" xfId="15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21" fillId="9" borderId="3" xfId="0" applyFont="1" applyFill="1" applyBorder="1" applyAlignment="1">
      <alignment horizontal="center" vertical="center"/>
    </xf>
    <xf numFmtId="49" fontId="19" fillId="0" borderId="2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16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2" xfId="15" applyFont="1" applyBorder="1" applyAlignment="1">
      <alignment horizontal="center" vertical="center"/>
    </xf>
    <xf numFmtId="0" fontId="16" fillId="0" borderId="0" xfId="15" applyFont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49" fontId="23" fillId="0" borderId="4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left" vertical="center"/>
    </xf>
    <xf numFmtId="49" fontId="21" fillId="0" borderId="2" xfId="0" applyNumberFormat="1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43"/>
  <sheetViews>
    <sheetView tabSelected="1" zoomScale="55" zoomScaleNormal="55" workbookViewId="0">
      <pane ySplit="1" topLeftCell="A2" activePane="bottomLeft" state="frozen"/>
      <selection pane="bottomLeft" sqref="A1:F26"/>
    </sheetView>
  </sheetViews>
  <sheetFormatPr defaultColWidth="8.7109375" defaultRowHeight="27.75" customHeight="1" x14ac:dyDescent="0.25"/>
  <cols>
    <col min="1" max="1" width="6.140625" style="1" bestFit="1" customWidth="1"/>
    <col min="2" max="2" width="35" style="2" bestFit="1" customWidth="1"/>
    <col min="3" max="3" width="22.7109375" style="1" bestFit="1" customWidth="1"/>
    <col min="4" max="4" width="9.28515625" style="1" customWidth="1"/>
    <col min="5" max="5" width="11.28515625" style="1" bestFit="1" customWidth="1"/>
    <col min="6" max="6" width="5.85546875" style="3" bestFit="1" customWidth="1"/>
    <col min="7" max="7" width="6.85546875" style="11" bestFit="1" customWidth="1"/>
    <col min="8" max="8" width="7.140625" style="3" bestFit="1" customWidth="1"/>
    <col min="9" max="13" width="7.7109375" style="3" customWidth="1"/>
    <col min="14" max="14" width="7.7109375" style="1" bestFit="1" customWidth="1"/>
    <col min="15" max="15" width="7.7109375" style="2" bestFit="1" customWidth="1"/>
    <col min="16" max="16" width="7.140625" style="2" bestFit="1" customWidth="1"/>
    <col min="17" max="22" width="7.7109375" style="2" bestFit="1" customWidth="1"/>
    <col min="23" max="23" width="11.85546875" style="3" bestFit="1" customWidth="1"/>
    <col min="24" max="24" width="9" style="3" bestFit="1" customWidth="1"/>
    <col min="25" max="32" width="9.42578125" style="3" bestFit="1" customWidth="1"/>
    <col min="33" max="41" width="6.42578125" style="3" bestFit="1" customWidth="1"/>
    <col min="42" max="42" width="11.42578125" style="2" bestFit="1" customWidth="1"/>
    <col min="43" max="43" width="13.7109375" style="1" bestFit="1" customWidth="1"/>
    <col min="44" max="44" width="11.42578125" style="2" bestFit="1" customWidth="1"/>
    <col min="45" max="45" width="15.7109375" style="2" bestFit="1" customWidth="1"/>
    <col min="46" max="46" width="17" style="2" bestFit="1" customWidth="1"/>
    <col min="47" max="1013" width="8.7109375" style="2"/>
    <col min="1014" max="16384" width="8.7109375" style="4"/>
  </cols>
  <sheetData>
    <row r="1" spans="1:1013" ht="27.75" customHeight="1" thickBot="1" x14ac:dyDescent="0.3">
      <c r="A1" s="48" t="s">
        <v>0</v>
      </c>
      <c r="B1" s="49" t="s">
        <v>1</v>
      </c>
      <c r="C1" s="48" t="s">
        <v>2</v>
      </c>
      <c r="D1" s="48" t="s">
        <v>4</v>
      </c>
      <c r="E1" s="48" t="s">
        <v>3</v>
      </c>
      <c r="F1" s="48" t="s">
        <v>5</v>
      </c>
      <c r="G1" s="10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1" t="s">
        <v>14</v>
      </c>
      <c r="P1" s="31" t="s">
        <v>15</v>
      </c>
      <c r="Q1" s="31" t="s">
        <v>16</v>
      </c>
      <c r="R1" s="31" t="s">
        <v>17</v>
      </c>
      <c r="S1" s="31" t="s">
        <v>18</v>
      </c>
      <c r="T1" s="31" t="s">
        <v>19</v>
      </c>
      <c r="U1" s="31" t="s">
        <v>20</v>
      </c>
      <c r="V1" s="31" t="s">
        <v>21</v>
      </c>
      <c r="W1" s="5" t="s">
        <v>93</v>
      </c>
      <c r="X1" s="31" t="s">
        <v>22</v>
      </c>
      <c r="Y1" s="31" t="s">
        <v>23</v>
      </c>
      <c r="Z1" s="31" t="s">
        <v>24</v>
      </c>
      <c r="AA1" s="31" t="s">
        <v>25</v>
      </c>
      <c r="AB1" s="31" t="s">
        <v>26</v>
      </c>
      <c r="AC1" s="31" t="s">
        <v>27</v>
      </c>
      <c r="AD1" s="31" t="s">
        <v>28</v>
      </c>
      <c r="AE1" s="31" t="s">
        <v>29</v>
      </c>
      <c r="AF1" s="31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1" t="s">
        <v>96</v>
      </c>
      <c r="AR1" s="2" t="s">
        <v>79</v>
      </c>
      <c r="AS1" s="2" t="s">
        <v>97</v>
      </c>
      <c r="AT1" s="2" t="s">
        <v>99</v>
      </c>
    </row>
    <row r="2" spans="1:1013" ht="27.75" customHeight="1" thickTop="1" x14ac:dyDescent="0.25">
      <c r="A2" s="45" t="s">
        <v>58</v>
      </c>
      <c r="B2" s="46" t="s">
        <v>68</v>
      </c>
      <c r="C2" s="46" t="s">
        <v>73</v>
      </c>
      <c r="D2" s="47">
        <v>42</v>
      </c>
      <c r="E2" s="47" t="s">
        <v>46</v>
      </c>
      <c r="F2" s="47">
        <v>58</v>
      </c>
      <c r="G2" s="33" t="s">
        <v>33</v>
      </c>
      <c r="H2" s="34">
        <v>50</v>
      </c>
      <c r="I2" s="34">
        <v>26</v>
      </c>
      <c r="J2" s="34">
        <v>20</v>
      </c>
      <c r="K2" s="34">
        <v>32</v>
      </c>
      <c r="L2" s="34">
        <v>32</v>
      </c>
      <c r="M2" s="34">
        <v>32</v>
      </c>
      <c r="N2" s="34">
        <v>74</v>
      </c>
      <c r="O2" s="34">
        <v>47</v>
      </c>
      <c r="P2" s="34">
        <v>104</v>
      </c>
      <c r="Q2" s="34">
        <v>120</v>
      </c>
      <c r="R2" s="34">
        <v>75</v>
      </c>
      <c r="S2" s="34">
        <v>36</v>
      </c>
      <c r="T2" s="34">
        <v>28</v>
      </c>
      <c r="U2" s="34">
        <v>20</v>
      </c>
      <c r="V2" s="34">
        <v>95</v>
      </c>
      <c r="W2" s="31" t="s">
        <v>94</v>
      </c>
      <c r="X2" s="31">
        <v>50</v>
      </c>
      <c r="Y2" s="31">
        <v>60</v>
      </c>
      <c r="Z2" s="31">
        <v>20</v>
      </c>
      <c r="AA2" s="31">
        <v>16</v>
      </c>
      <c r="AB2" s="31">
        <v>110</v>
      </c>
      <c r="AC2" s="31">
        <v>110</v>
      </c>
      <c r="AD2" s="31">
        <v>120</v>
      </c>
      <c r="AE2" s="31">
        <v>74</v>
      </c>
      <c r="AF2" s="31">
        <v>47</v>
      </c>
      <c r="AG2" s="35">
        <v>50</v>
      </c>
      <c r="AH2" s="35">
        <v>61</v>
      </c>
      <c r="AI2" s="35">
        <v>19</v>
      </c>
      <c r="AJ2" s="35">
        <v>13</v>
      </c>
      <c r="AK2" s="35">
        <v>32</v>
      </c>
      <c r="AL2" s="35">
        <v>30</v>
      </c>
      <c r="AM2" s="35">
        <v>32</v>
      </c>
      <c r="AN2" s="35">
        <v>73</v>
      </c>
      <c r="AO2" s="35">
        <v>47</v>
      </c>
      <c r="AP2" s="2">
        <v>1</v>
      </c>
      <c r="AQ2" s="41">
        <v>44300</v>
      </c>
      <c r="AR2" s="2" t="s">
        <v>128</v>
      </c>
      <c r="AS2" s="2" t="s">
        <v>98</v>
      </c>
      <c r="AT2" s="2" t="s">
        <v>100</v>
      </c>
    </row>
    <row r="3" spans="1:1013" ht="27.75" customHeight="1" x14ac:dyDescent="0.25">
      <c r="A3" s="43" t="s">
        <v>59</v>
      </c>
      <c r="B3" s="32" t="s">
        <v>69</v>
      </c>
      <c r="C3" s="32" t="s">
        <v>73</v>
      </c>
      <c r="D3" s="33">
        <v>40</v>
      </c>
      <c r="E3" s="33" t="s">
        <v>46</v>
      </c>
      <c r="F3" s="33">
        <v>56</v>
      </c>
      <c r="G3" s="33" t="s">
        <v>34</v>
      </c>
      <c r="H3" s="34">
        <v>46</v>
      </c>
      <c r="I3" s="34">
        <v>25</v>
      </c>
      <c r="J3" s="34">
        <v>18</v>
      </c>
      <c r="K3" s="34">
        <v>30</v>
      </c>
      <c r="L3" s="34">
        <v>29</v>
      </c>
      <c r="M3" s="34">
        <v>30</v>
      </c>
      <c r="N3" s="34">
        <v>70</v>
      </c>
      <c r="O3" s="34">
        <v>44</v>
      </c>
      <c r="P3" s="2">
        <v>98</v>
      </c>
      <c r="Q3" s="34">
        <v>108</v>
      </c>
      <c r="R3" s="34">
        <v>68</v>
      </c>
      <c r="S3" s="34">
        <v>33</v>
      </c>
      <c r="T3" s="34">
        <v>27</v>
      </c>
      <c r="U3" s="34">
        <v>20</v>
      </c>
      <c r="V3" s="34">
        <v>94</v>
      </c>
      <c r="W3" s="31" t="s">
        <v>94</v>
      </c>
      <c r="X3" s="31">
        <v>466</v>
      </c>
      <c r="Y3" s="31">
        <v>57</v>
      </c>
      <c r="Z3" s="31">
        <v>18</v>
      </c>
      <c r="AA3" s="31">
        <v>15</v>
      </c>
      <c r="AB3" s="31">
        <v>100</v>
      </c>
      <c r="AC3" s="31">
        <v>95</v>
      </c>
      <c r="AD3" s="31">
        <v>110</v>
      </c>
      <c r="AE3" s="31">
        <v>70</v>
      </c>
      <c r="AF3" s="31">
        <v>44</v>
      </c>
      <c r="AG3" s="35">
        <v>46</v>
      </c>
      <c r="AH3" s="35">
        <v>58</v>
      </c>
      <c r="AI3" s="35">
        <v>18</v>
      </c>
      <c r="AJ3" s="35">
        <v>13</v>
      </c>
      <c r="AK3" s="35">
        <v>29</v>
      </c>
      <c r="AL3" s="35">
        <v>27</v>
      </c>
      <c r="AM3" s="35">
        <v>29</v>
      </c>
      <c r="AN3" s="35">
        <v>69</v>
      </c>
      <c r="AO3" s="35">
        <v>44</v>
      </c>
      <c r="AP3" s="2">
        <v>1</v>
      </c>
      <c r="AQ3" s="41">
        <v>44300</v>
      </c>
      <c r="AR3" s="2" t="s">
        <v>128</v>
      </c>
      <c r="AS3" s="2" t="s">
        <v>98</v>
      </c>
      <c r="AT3" s="2" t="s">
        <v>100</v>
      </c>
    </row>
    <row r="4" spans="1:1013" ht="27.75" customHeight="1" x14ac:dyDescent="0.25">
      <c r="A4" s="43" t="s">
        <v>60</v>
      </c>
      <c r="B4" s="32" t="s">
        <v>70</v>
      </c>
      <c r="C4" s="32" t="s">
        <v>73</v>
      </c>
      <c r="D4" s="33">
        <v>42</v>
      </c>
      <c r="E4" s="33" t="s">
        <v>46</v>
      </c>
      <c r="F4" s="33">
        <v>58</v>
      </c>
      <c r="G4" s="33" t="s">
        <v>33</v>
      </c>
      <c r="H4" s="34">
        <v>50</v>
      </c>
      <c r="I4" s="34">
        <v>26</v>
      </c>
      <c r="J4" s="34">
        <v>19</v>
      </c>
      <c r="K4" s="34">
        <v>32</v>
      </c>
      <c r="L4" s="34">
        <v>32</v>
      </c>
      <c r="M4" s="34">
        <v>32</v>
      </c>
      <c r="N4" s="34">
        <v>76</v>
      </c>
      <c r="O4" s="34">
        <v>46</v>
      </c>
      <c r="P4" s="34">
        <v>104</v>
      </c>
      <c r="Q4" s="34">
        <v>120</v>
      </c>
      <c r="R4" s="34">
        <v>80</v>
      </c>
      <c r="S4" s="34">
        <v>40</v>
      </c>
      <c r="T4" s="34">
        <v>28</v>
      </c>
      <c r="U4" s="34">
        <v>22</v>
      </c>
      <c r="V4" s="34">
        <v>97</v>
      </c>
      <c r="W4" s="31" t="s">
        <v>94</v>
      </c>
      <c r="X4" s="31">
        <v>50</v>
      </c>
      <c r="Y4" s="31">
        <v>60</v>
      </c>
      <c r="Z4" s="31">
        <v>19</v>
      </c>
      <c r="AA4" s="31">
        <v>15</v>
      </c>
      <c r="AB4" s="31">
        <v>118</v>
      </c>
      <c r="AC4" s="31">
        <v>110</v>
      </c>
      <c r="AD4" s="31">
        <v>120</v>
      </c>
      <c r="AE4" s="31">
        <v>76</v>
      </c>
      <c r="AF4" s="31">
        <v>46</v>
      </c>
      <c r="AG4" s="3">
        <v>50</v>
      </c>
      <c r="AH4" s="3">
        <v>61</v>
      </c>
      <c r="AI4" s="3">
        <v>19</v>
      </c>
      <c r="AJ4" s="3">
        <v>13</v>
      </c>
      <c r="AK4" s="35">
        <v>32</v>
      </c>
      <c r="AL4" s="35">
        <v>31</v>
      </c>
      <c r="AM4" s="35">
        <v>32</v>
      </c>
      <c r="AN4" s="35">
        <v>75</v>
      </c>
      <c r="AO4" s="35">
        <v>46</v>
      </c>
      <c r="AP4" s="2">
        <v>1</v>
      </c>
      <c r="AQ4" s="41">
        <v>44300</v>
      </c>
      <c r="AR4" s="2" t="s">
        <v>128</v>
      </c>
      <c r="AS4" s="2" t="s">
        <v>98</v>
      </c>
      <c r="AT4" s="2" t="s">
        <v>100</v>
      </c>
    </row>
    <row r="5" spans="1:1013" ht="27.75" customHeight="1" x14ac:dyDescent="0.25">
      <c r="A5" s="43" t="s">
        <v>61</v>
      </c>
      <c r="B5" s="32" t="s">
        <v>71</v>
      </c>
      <c r="C5" s="32" t="s">
        <v>73</v>
      </c>
      <c r="D5" s="33">
        <v>41</v>
      </c>
      <c r="E5" s="33" t="s">
        <v>46</v>
      </c>
      <c r="F5" s="33">
        <v>56</v>
      </c>
      <c r="G5" s="33" t="s">
        <v>32</v>
      </c>
      <c r="H5" s="34">
        <v>46</v>
      </c>
      <c r="I5" s="34">
        <v>24</v>
      </c>
      <c r="J5" s="34">
        <v>18</v>
      </c>
      <c r="K5" s="34">
        <v>27</v>
      </c>
      <c r="L5" s="34">
        <v>26</v>
      </c>
      <c r="M5" s="34">
        <v>27</v>
      </c>
      <c r="N5" s="34">
        <v>70</v>
      </c>
      <c r="O5" s="34">
        <v>40</v>
      </c>
      <c r="P5" s="34">
        <v>82</v>
      </c>
      <c r="Q5" s="34">
        <v>105</v>
      </c>
      <c r="R5" s="34">
        <v>65</v>
      </c>
      <c r="S5" s="34">
        <v>30</v>
      </c>
      <c r="T5" s="34">
        <v>24</v>
      </c>
      <c r="U5" s="34">
        <v>18</v>
      </c>
      <c r="V5" s="34">
        <v>97</v>
      </c>
      <c r="W5" s="31" t="s">
        <v>94</v>
      </c>
      <c r="X5" s="31">
        <v>46</v>
      </c>
      <c r="Y5" s="31">
        <v>63</v>
      </c>
      <c r="Z5" s="31">
        <v>18</v>
      </c>
      <c r="AA5" s="31">
        <v>15</v>
      </c>
      <c r="AB5" s="31">
        <v>95</v>
      </c>
      <c r="AC5" s="31">
        <v>85</v>
      </c>
      <c r="AD5" s="31">
        <v>105</v>
      </c>
      <c r="AE5" s="31">
        <v>70</v>
      </c>
      <c r="AF5" s="31">
        <v>40</v>
      </c>
      <c r="AG5" s="35">
        <v>44</v>
      </c>
      <c r="AH5" s="35">
        <v>64</v>
      </c>
      <c r="AI5" s="35">
        <v>16</v>
      </c>
      <c r="AJ5" s="35">
        <v>12</v>
      </c>
      <c r="AK5" s="35">
        <v>27</v>
      </c>
      <c r="AL5" s="35">
        <v>26</v>
      </c>
      <c r="AM5" s="35">
        <v>27</v>
      </c>
      <c r="AN5" s="35">
        <v>69</v>
      </c>
      <c r="AO5" s="35">
        <v>40</v>
      </c>
      <c r="AP5" s="2">
        <v>1</v>
      </c>
      <c r="AQ5" s="41">
        <v>44300</v>
      </c>
      <c r="AR5" s="2" t="s">
        <v>128</v>
      </c>
      <c r="AS5" s="2" t="s">
        <v>98</v>
      </c>
      <c r="AT5" s="2" t="s">
        <v>100</v>
      </c>
    </row>
    <row r="6" spans="1:1013" ht="27.75" customHeight="1" x14ac:dyDescent="0.25">
      <c r="A6" s="43" t="s">
        <v>62</v>
      </c>
      <c r="B6" s="32" t="s">
        <v>72</v>
      </c>
      <c r="C6" s="32" t="s">
        <v>73</v>
      </c>
      <c r="D6" s="33">
        <v>41</v>
      </c>
      <c r="E6" s="33" t="s">
        <v>46</v>
      </c>
      <c r="F6" s="33">
        <v>57</v>
      </c>
      <c r="G6" s="33" t="s">
        <v>32</v>
      </c>
      <c r="H6" s="34">
        <v>47</v>
      </c>
      <c r="I6" s="34">
        <v>25</v>
      </c>
      <c r="J6" s="34">
        <v>18</v>
      </c>
      <c r="K6" s="34">
        <v>28</v>
      </c>
      <c r="L6" s="34">
        <v>27</v>
      </c>
      <c r="M6" s="34">
        <v>28</v>
      </c>
      <c r="N6" s="34">
        <v>71</v>
      </c>
      <c r="O6" s="34">
        <v>44</v>
      </c>
      <c r="P6" s="34">
        <v>85</v>
      </c>
      <c r="Q6" s="34">
        <v>105</v>
      </c>
      <c r="R6" s="34">
        <v>68</v>
      </c>
      <c r="S6" s="34">
        <v>32</v>
      </c>
      <c r="T6" s="34">
        <v>26</v>
      </c>
      <c r="U6" s="34">
        <v>18</v>
      </c>
      <c r="V6" s="34">
        <v>96</v>
      </c>
      <c r="W6" s="31" t="s">
        <v>94</v>
      </c>
      <c r="X6" s="31">
        <v>47</v>
      </c>
      <c r="Y6" s="31">
        <v>60</v>
      </c>
      <c r="Z6" s="31">
        <v>18</v>
      </c>
      <c r="AA6" s="31">
        <v>15</v>
      </c>
      <c r="AB6" s="31">
        <v>95</v>
      </c>
      <c r="AC6" s="31">
        <v>90</v>
      </c>
      <c r="AD6" s="31">
        <v>105</v>
      </c>
      <c r="AE6" s="31">
        <v>71</v>
      </c>
      <c r="AF6" s="31">
        <v>44</v>
      </c>
      <c r="AG6" s="35">
        <v>47</v>
      </c>
      <c r="AH6" s="35">
        <v>61</v>
      </c>
      <c r="AI6" s="35">
        <v>17</v>
      </c>
      <c r="AJ6" s="35">
        <v>12</v>
      </c>
      <c r="AK6" s="35">
        <v>28</v>
      </c>
      <c r="AL6" s="35">
        <v>26</v>
      </c>
      <c r="AM6" s="35">
        <v>28</v>
      </c>
      <c r="AN6" s="35">
        <v>70</v>
      </c>
      <c r="AO6" s="35">
        <v>44</v>
      </c>
      <c r="AP6" s="2">
        <v>1</v>
      </c>
      <c r="AQ6" s="41">
        <v>44300</v>
      </c>
      <c r="AR6" s="2" t="s">
        <v>128</v>
      </c>
      <c r="AS6" s="2" t="s">
        <v>98</v>
      </c>
      <c r="AT6" s="2" t="s">
        <v>100</v>
      </c>
    </row>
    <row r="7" spans="1:1013" ht="27.75" customHeight="1" x14ac:dyDescent="0.25">
      <c r="A7" s="43" t="s">
        <v>63</v>
      </c>
      <c r="B7" s="32" t="s">
        <v>74</v>
      </c>
      <c r="C7" s="32" t="s">
        <v>73</v>
      </c>
      <c r="D7" s="33">
        <v>41</v>
      </c>
      <c r="E7" s="33" t="s">
        <v>46</v>
      </c>
      <c r="F7" s="33">
        <v>58</v>
      </c>
      <c r="G7" s="33" t="s">
        <v>32</v>
      </c>
      <c r="H7" s="34">
        <v>47</v>
      </c>
      <c r="I7" s="34">
        <v>25</v>
      </c>
      <c r="J7" s="34">
        <v>18</v>
      </c>
      <c r="K7" s="34">
        <v>28</v>
      </c>
      <c r="L7" s="34">
        <v>27</v>
      </c>
      <c r="M7" s="34">
        <v>28</v>
      </c>
      <c r="N7" s="34">
        <v>71</v>
      </c>
      <c r="O7" s="34">
        <v>44</v>
      </c>
      <c r="P7" s="34">
        <v>85</v>
      </c>
      <c r="Q7" s="34">
        <v>105</v>
      </c>
      <c r="R7" s="34">
        <v>68</v>
      </c>
      <c r="S7" s="34">
        <v>32</v>
      </c>
      <c r="T7" s="34">
        <v>26</v>
      </c>
      <c r="U7" s="34">
        <v>18</v>
      </c>
      <c r="V7" s="34">
        <v>96</v>
      </c>
      <c r="W7" s="31" t="s">
        <v>94</v>
      </c>
      <c r="X7" s="31">
        <v>47</v>
      </c>
      <c r="Y7" s="31">
        <v>60</v>
      </c>
      <c r="Z7" s="31">
        <v>19</v>
      </c>
      <c r="AA7" s="31">
        <v>15</v>
      </c>
      <c r="AB7" s="31">
        <v>95</v>
      </c>
      <c r="AC7" s="31">
        <v>90</v>
      </c>
      <c r="AD7" s="31">
        <v>105</v>
      </c>
      <c r="AE7" s="31">
        <v>71</v>
      </c>
      <c r="AF7" s="31">
        <v>44</v>
      </c>
      <c r="AG7" s="35">
        <v>47</v>
      </c>
      <c r="AH7" s="35">
        <v>61</v>
      </c>
      <c r="AI7" s="35">
        <v>18</v>
      </c>
      <c r="AJ7" s="35">
        <v>13</v>
      </c>
      <c r="AK7" s="35">
        <v>28</v>
      </c>
      <c r="AL7" s="35">
        <v>27</v>
      </c>
      <c r="AM7" s="35">
        <v>28</v>
      </c>
      <c r="AN7" s="35">
        <v>70</v>
      </c>
      <c r="AO7" s="35">
        <v>44</v>
      </c>
      <c r="AP7" s="2">
        <v>1</v>
      </c>
      <c r="AQ7" s="41">
        <v>44300</v>
      </c>
      <c r="AR7" s="2" t="s">
        <v>128</v>
      </c>
      <c r="AS7" s="2" t="s">
        <v>98</v>
      </c>
      <c r="AT7" s="2" t="s">
        <v>100</v>
      </c>
    </row>
    <row r="8" spans="1:1013" ht="27.75" customHeight="1" x14ac:dyDescent="0.25">
      <c r="A8" s="43" t="s">
        <v>64</v>
      </c>
      <c r="B8" s="32" t="s">
        <v>75</v>
      </c>
      <c r="C8" s="32" t="s">
        <v>73</v>
      </c>
      <c r="D8" s="33">
        <v>42</v>
      </c>
      <c r="E8" s="33" t="s">
        <v>46</v>
      </c>
      <c r="F8" s="33">
        <v>56</v>
      </c>
      <c r="G8" s="33" t="s">
        <v>34</v>
      </c>
      <c r="H8" s="34">
        <v>46</v>
      </c>
      <c r="I8" s="34">
        <v>26</v>
      </c>
      <c r="J8" s="34">
        <v>18</v>
      </c>
      <c r="K8" s="34">
        <v>29</v>
      </c>
      <c r="L8" s="34">
        <v>27</v>
      </c>
      <c r="M8" s="34">
        <v>29</v>
      </c>
      <c r="N8" s="34">
        <v>72</v>
      </c>
      <c r="O8" s="34">
        <v>40</v>
      </c>
      <c r="P8" s="34">
        <v>94</v>
      </c>
      <c r="Q8" s="34">
        <v>110</v>
      </c>
      <c r="R8" s="34">
        <v>66</v>
      </c>
      <c r="S8" s="34">
        <v>34</v>
      </c>
      <c r="T8" s="34">
        <v>25</v>
      </c>
      <c r="U8" s="34">
        <v>21</v>
      </c>
      <c r="V8" s="34">
        <v>100</v>
      </c>
      <c r="W8" s="31" t="s">
        <v>94</v>
      </c>
      <c r="X8" s="31">
        <v>46</v>
      </c>
      <c r="Y8" s="31">
        <v>60</v>
      </c>
      <c r="Z8" s="31">
        <v>19</v>
      </c>
      <c r="AA8" s="31">
        <v>15</v>
      </c>
      <c r="AB8" s="31">
        <v>110</v>
      </c>
      <c r="AC8" s="31">
        <v>104</v>
      </c>
      <c r="AD8" s="31">
        <v>117</v>
      </c>
      <c r="AE8" s="31">
        <v>72</v>
      </c>
      <c r="AF8" s="31">
        <v>40</v>
      </c>
      <c r="AG8" s="35">
        <v>46</v>
      </c>
      <c r="AH8" s="35">
        <v>61</v>
      </c>
      <c r="AI8" s="35">
        <v>18</v>
      </c>
      <c r="AJ8" s="35">
        <v>13</v>
      </c>
      <c r="AK8" s="35">
        <v>29</v>
      </c>
      <c r="AL8" s="35">
        <v>27</v>
      </c>
      <c r="AM8" s="35">
        <v>29</v>
      </c>
      <c r="AN8" s="35">
        <v>71</v>
      </c>
      <c r="AO8" s="35">
        <v>40</v>
      </c>
      <c r="AP8" s="2">
        <v>1</v>
      </c>
      <c r="AQ8" s="41">
        <v>44300</v>
      </c>
      <c r="AR8" s="2" t="s">
        <v>128</v>
      </c>
      <c r="AS8" s="2" t="s">
        <v>98</v>
      </c>
      <c r="AT8" s="2" t="s">
        <v>100</v>
      </c>
    </row>
    <row r="9" spans="1:1013" ht="27.75" customHeight="1" x14ac:dyDescent="0.25">
      <c r="A9" s="43" t="s">
        <v>65</v>
      </c>
      <c r="B9" s="32" t="s">
        <v>76</v>
      </c>
      <c r="C9" s="32" t="s">
        <v>73</v>
      </c>
      <c r="D9" s="33">
        <v>44</v>
      </c>
      <c r="E9" s="33" t="s">
        <v>46</v>
      </c>
      <c r="F9" s="33">
        <v>59</v>
      </c>
      <c r="G9" s="33" t="s">
        <v>34</v>
      </c>
      <c r="H9" s="34">
        <v>47</v>
      </c>
      <c r="I9" s="34">
        <v>27</v>
      </c>
      <c r="J9" s="34">
        <v>19</v>
      </c>
      <c r="K9" s="34">
        <v>30</v>
      </c>
      <c r="L9" s="34">
        <v>28</v>
      </c>
      <c r="M9" s="34">
        <v>30</v>
      </c>
      <c r="N9" s="34">
        <v>73</v>
      </c>
      <c r="O9" s="34">
        <v>44</v>
      </c>
      <c r="P9" s="34">
        <v>100</v>
      </c>
      <c r="Q9" s="34">
        <v>120</v>
      </c>
      <c r="R9" s="34">
        <v>70</v>
      </c>
      <c r="S9" s="34">
        <v>37</v>
      </c>
      <c r="T9" s="34">
        <v>28</v>
      </c>
      <c r="U9" s="34">
        <v>22</v>
      </c>
      <c r="V9" s="34">
        <v>102</v>
      </c>
      <c r="W9" s="31" t="s">
        <v>94</v>
      </c>
      <c r="X9" s="31">
        <v>47</v>
      </c>
      <c r="Y9" s="31">
        <v>63</v>
      </c>
      <c r="Z9" s="31">
        <v>20</v>
      </c>
      <c r="AA9" s="31">
        <v>15</v>
      </c>
      <c r="AB9" s="31">
        <v>116</v>
      </c>
      <c r="AC9" s="31">
        <v>110</v>
      </c>
      <c r="AD9" s="31">
        <v>124</v>
      </c>
      <c r="AE9" s="31">
        <v>74</v>
      </c>
      <c r="AF9" s="31">
        <v>44</v>
      </c>
      <c r="AG9" s="35">
        <v>47</v>
      </c>
      <c r="AH9" s="35">
        <v>64</v>
      </c>
      <c r="AI9" s="35">
        <v>19</v>
      </c>
      <c r="AJ9" s="35">
        <v>13</v>
      </c>
      <c r="AK9" s="35">
        <v>30</v>
      </c>
      <c r="AL9" s="35">
        <v>28</v>
      </c>
      <c r="AM9" s="35">
        <v>30</v>
      </c>
      <c r="AN9" s="35">
        <v>73</v>
      </c>
      <c r="AO9" s="35">
        <v>44</v>
      </c>
      <c r="AP9" s="2">
        <v>1</v>
      </c>
      <c r="AQ9" s="41">
        <v>44300</v>
      </c>
      <c r="AR9" s="2" t="s">
        <v>128</v>
      </c>
      <c r="AS9" s="2" t="s">
        <v>98</v>
      </c>
      <c r="AT9" s="2" t="s">
        <v>100</v>
      </c>
    </row>
    <row r="10" spans="1:1013" ht="27.75" customHeight="1" x14ac:dyDescent="0.25">
      <c r="A10" s="43" t="s">
        <v>66</v>
      </c>
      <c r="B10" s="32" t="s">
        <v>77</v>
      </c>
      <c r="C10" s="32" t="s">
        <v>73</v>
      </c>
      <c r="D10" s="33">
        <v>43</v>
      </c>
      <c r="E10" s="33" t="s">
        <v>46</v>
      </c>
      <c r="F10" s="33">
        <v>58</v>
      </c>
      <c r="G10" s="33" t="s">
        <v>32</v>
      </c>
      <c r="H10" s="34">
        <v>47</v>
      </c>
      <c r="I10" s="34">
        <v>23</v>
      </c>
      <c r="J10" s="34">
        <v>18</v>
      </c>
      <c r="K10" s="34">
        <v>29</v>
      </c>
      <c r="L10" s="34">
        <v>27</v>
      </c>
      <c r="M10" s="34">
        <v>29</v>
      </c>
      <c r="N10" s="34">
        <v>70</v>
      </c>
      <c r="O10" s="34">
        <v>39</v>
      </c>
      <c r="P10" s="34">
        <v>93</v>
      </c>
      <c r="Q10" s="34">
        <v>115</v>
      </c>
      <c r="R10" s="34">
        <v>67</v>
      </c>
      <c r="S10" s="34">
        <v>34</v>
      </c>
      <c r="T10" s="34">
        <v>24</v>
      </c>
      <c r="U10" s="34">
        <v>19</v>
      </c>
      <c r="V10" s="34">
        <v>97</v>
      </c>
      <c r="W10" s="31" t="s">
        <v>94</v>
      </c>
      <c r="X10" s="31">
        <v>47</v>
      </c>
      <c r="Y10" s="31">
        <v>59</v>
      </c>
      <c r="Z10" s="31">
        <v>19</v>
      </c>
      <c r="AA10" s="31">
        <v>14</v>
      </c>
      <c r="AB10" s="31">
        <v>107</v>
      </c>
      <c r="AC10" s="31">
        <v>104</v>
      </c>
      <c r="AD10" s="31">
        <v>119</v>
      </c>
      <c r="AE10" s="31">
        <v>71</v>
      </c>
      <c r="AF10" s="31">
        <v>39</v>
      </c>
      <c r="AG10" s="35">
        <v>47</v>
      </c>
      <c r="AH10" s="35">
        <v>60</v>
      </c>
      <c r="AI10" s="35">
        <v>18</v>
      </c>
      <c r="AJ10" s="35">
        <v>13</v>
      </c>
      <c r="AK10" s="35">
        <v>29</v>
      </c>
      <c r="AL10" s="35">
        <v>27</v>
      </c>
      <c r="AM10" s="35">
        <v>29</v>
      </c>
      <c r="AN10" s="35">
        <v>70</v>
      </c>
      <c r="AO10" s="35">
        <v>39</v>
      </c>
      <c r="AP10" s="2">
        <v>1</v>
      </c>
      <c r="AQ10" s="41">
        <v>44300</v>
      </c>
      <c r="AR10" s="2" t="s">
        <v>128</v>
      </c>
      <c r="AS10" s="2" t="s">
        <v>98</v>
      </c>
      <c r="AT10" s="2" t="s">
        <v>100</v>
      </c>
    </row>
    <row r="11" spans="1:1013" ht="27.75" customHeight="1" x14ac:dyDescent="0.25">
      <c r="A11" s="43" t="s">
        <v>67</v>
      </c>
      <c r="B11" s="32" t="s">
        <v>78</v>
      </c>
      <c r="C11" s="32" t="s">
        <v>73</v>
      </c>
      <c r="D11" s="33">
        <v>43</v>
      </c>
      <c r="E11" s="33" t="s">
        <v>46</v>
      </c>
      <c r="F11" s="33">
        <v>59</v>
      </c>
      <c r="G11" s="33" t="s">
        <v>34</v>
      </c>
      <c r="H11" s="34">
        <v>50</v>
      </c>
      <c r="I11" s="34">
        <v>27</v>
      </c>
      <c r="J11" s="34">
        <v>19</v>
      </c>
      <c r="K11" s="34">
        <v>29</v>
      </c>
      <c r="L11" s="34">
        <v>28</v>
      </c>
      <c r="M11" s="34">
        <v>29</v>
      </c>
      <c r="N11" s="34">
        <v>75</v>
      </c>
      <c r="O11" s="34">
        <v>43</v>
      </c>
      <c r="P11" s="34">
        <v>93</v>
      </c>
      <c r="Q11" s="34">
        <v>116</v>
      </c>
      <c r="R11" s="34">
        <v>70</v>
      </c>
      <c r="S11" s="34">
        <v>35</v>
      </c>
      <c r="T11" s="34">
        <v>26</v>
      </c>
      <c r="U11" s="34">
        <v>22</v>
      </c>
      <c r="V11" s="34">
        <v>102</v>
      </c>
      <c r="W11" s="31" t="s">
        <v>94</v>
      </c>
      <c r="X11" s="31">
        <v>50</v>
      </c>
      <c r="Y11" s="31">
        <v>65</v>
      </c>
      <c r="Z11" s="31">
        <v>20</v>
      </c>
      <c r="AA11" s="31">
        <v>16</v>
      </c>
      <c r="AB11" s="31">
        <v>112</v>
      </c>
      <c r="AC11" s="31">
        <v>105</v>
      </c>
      <c r="AD11" s="31">
        <v>117</v>
      </c>
      <c r="AE11" s="31">
        <v>76</v>
      </c>
      <c r="AF11" s="31">
        <v>43</v>
      </c>
      <c r="AG11" s="35">
        <v>50</v>
      </c>
      <c r="AH11" s="35">
        <v>66</v>
      </c>
      <c r="AI11" s="35">
        <v>19</v>
      </c>
      <c r="AJ11" s="3">
        <v>13</v>
      </c>
      <c r="AK11" s="35">
        <v>29</v>
      </c>
      <c r="AL11" s="35">
        <v>28</v>
      </c>
      <c r="AM11" s="35">
        <v>29</v>
      </c>
      <c r="AN11" s="35">
        <v>75</v>
      </c>
      <c r="AO11" s="35">
        <v>43</v>
      </c>
      <c r="AP11" s="2">
        <v>1</v>
      </c>
      <c r="AQ11" s="41">
        <v>44300</v>
      </c>
      <c r="AR11" s="2" t="s">
        <v>128</v>
      </c>
      <c r="AS11" s="2" t="s">
        <v>98</v>
      </c>
      <c r="AT11" s="2" t="s">
        <v>100</v>
      </c>
    </row>
    <row r="12" spans="1:1013" ht="27.75" customHeight="1" x14ac:dyDescent="0.25">
      <c r="A12" s="43" t="s">
        <v>87</v>
      </c>
      <c r="B12" s="36" t="s">
        <v>86</v>
      </c>
      <c r="C12" s="32" t="s">
        <v>73</v>
      </c>
      <c r="D12" s="37">
        <v>40</v>
      </c>
      <c r="E12" s="37" t="s">
        <v>46</v>
      </c>
      <c r="F12" s="37">
        <v>55</v>
      </c>
      <c r="G12" s="37" t="s">
        <v>31</v>
      </c>
      <c r="H12" s="38">
        <v>45</v>
      </c>
      <c r="I12" s="38">
        <v>24</v>
      </c>
      <c r="J12" s="38">
        <v>16</v>
      </c>
      <c r="K12" s="38">
        <v>26</v>
      </c>
      <c r="L12" s="38">
        <v>24</v>
      </c>
      <c r="M12" s="38">
        <v>26</v>
      </c>
      <c r="N12" s="38">
        <v>70</v>
      </c>
      <c r="O12" s="38">
        <v>41</v>
      </c>
      <c r="P12" s="38">
        <v>80</v>
      </c>
      <c r="Q12" s="38">
        <v>96</v>
      </c>
      <c r="R12" s="38">
        <v>62</v>
      </c>
      <c r="S12" s="38">
        <v>30</v>
      </c>
      <c r="T12" s="38">
        <v>23</v>
      </c>
      <c r="U12" s="38">
        <v>19</v>
      </c>
      <c r="V12" s="38">
        <v>93</v>
      </c>
      <c r="W12" s="31" t="s">
        <v>94</v>
      </c>
      <c r="X12" s="38">
        <v>45</v>
      </c>
      <c r="Y12" s="38">
        <v>59</v>
      </c>
      <c r="Z12" s="38">
        <v>18</v>
      </c>
      <c r="AA12" s="38">
        <v>14</v>
      </c>
      <c r="AB12" s="38">
        <v>95</v>
      </c>
      <c r="AC12" s="38">
        <v>90</v>
      </c>
      <c r="AD12" s="38">
        <v>100</v>
      </c>
      <c r="AE12" s="38">
        <v>72</v>
      </c>
      <c r="AF12" s="38">
        <v>41</v>
      </c>
      <c r="AG12" s="39">
        <v>45</v>
      </c>
      <c r="AH12" s="39">
        <v>60</v>
      </c>
      <c r="AI12" s="39">
        <v>16</v>
      </c>
      <c r="AJ12" s="39">
        <v>12</v>
      </c>
      <c r="AK12" s="39">
        <v>26</v>
      </c>
      <c r="AL12" s="39">
        <v>24</v>
      </c>
      <c r="AM12" s="39">
        <v>26</v>
      </c>
      <c r="AN12" s="39">
        <v>70</v>
      </c>
      <c r="AO12" s="39">
        <v>41</v>
      </c>
      <c r="AP12" s="2">
        <v>2</v>
      </c>
      <c r="AQ12" s="42" t="s">
        <v>95</v>
      </c>
      <c r="AR12" s="2" t="s">
        <v>128</v>
      </c>
      <c r="AS12" s="2" t="s">
        <v>98</v>
      </c>
      <c r="AT12" s="2" t="s">
        <v>100</v>
      </c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7.75" customHeight="1" x14ac:dyDescent="0.25">
      <c r="A13" s="43" t="s">
        <v>88</v>
      </c>
      <c r="B13" s="36" t="s">
        <v>85</v>
      </c>
      <c r="C13" s="32" t="s">
        <v>73</v>
      </c>
      <c r="D13" s="37">
        <v>46</v>
      </c>
      <c r="E13" s="37" t="s">
        <v>46</v>
      </c>
      <c r="F13" s="37">
        <v>58</v>
      </c>
      <c r="G13" s="37" t="s">
        <v>33</v>
      </c>
      <c r="H13" s="38">
        <v>51</v>
      </c>
      <c r="I13" s="38">
        <v>29</v>
      </c>
      <c r="J13" s="38">
        <v>20</v>
      </c>
      <c r="K13" s="38">
        <v>32</v>
      </c>
      <c r="L13" s="38">
        <v>30</v>
      </c>
      <c r="M13" s="38">
        <v>32</v>
      </c>
      <c r="N13" s="38">
        <v>79</v>
      </c>
      <c r="O13" s="38">
        <v>44</v>
      </c>
      <c r="P13" s="38">
        <v>112</v>
      </c>
      <c r="Q13" s="38">
        <v>134</v>
      </c>
      <c r="R13" s="38">
        <v>73</v>
      </c>
      <c r="S13" s="38">
        <v>38</v>
      </c>
      <c r="T13" s="38">
        <v>28</v>
      </c>
      <c r="U13" s="38">
        <v>23</v>
      </c>
      <c r="V13" s="38">
        <v>103</v>
      </c>
      <c r="W13" s="31" t="s">
        <v>94</v>
      </c>
      <c r="X13" s="38">
        <v>51</v>
      </c>
      <c r="Y13" s="38">
        <v>67</v>
      </c>
      <c r="Z13" s="38">
        <v>22</v>
      </c>
      <c r="AA13" s="38">
        <v>16</v>
      </c>
      <c r="AB13" s="38">
        <v>124</v>
      </c>
      <c r="AC13" s="38">
        <v>124</v>
      </c>
      <c r="AD13" s="38">
        <v>137</v>
      </c>
      <c r="AE13" s="38">
        <v>79</v>
      </c>
      <c r="AF13" s="38">
        <v>44</v>
      </c>
      <c r="AG13" s="39">
        <v>51</v>
      </c>
      <c r="AH13" s="39">
        <v>68</v>
      </c>
      <c r="AI13" s="39">
        <v>20</v>
      </c>
      <c r="AJ13" s="39">
        <v>13</v>
      </c>
      <c r="AK13" s="39">
        <v>32</v>
      </c>
      <c r="AL13" s="39">
        <v>30</v>
      </c>
      <c r="AM13" s="39">
        <v>32</v>
      </c>
      <c r="AN13" s="39">
        <v>78</v>
      </c>
      <c r="AO13" s="39">
        <v>44</v>
      </c>
      <c r="AP13" s="2">
        <v>2</v>
      </c>
      <c r="AQ13" s="42" t="s">
        <v>95</v>
      </c>
      <c r="AR13" s="2" t="s">
        <v>128</v>
      </c>
      <c r="AS13" s="2" t="s">
        <v>98</v>
      </c>
      <c r="AT13" s="2" t="s">
        <v>100</v>
      </c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  <c r="AKA13" s="4"/>
      <c r="AKB13" s="4"/>
      <c r="AKC13" s="4"/>
      <c r="AKD13" s="4"/>
      <c r="AKE13" s="4"/>
      <c r="AKF13" s="4"/>
      <c r="AKG13" s="4"/>
      <c r="AKH13" s="4"/>
      <c r="AKI13" s="4"/>
      <c r="AKJ13" s="4"/>
      <c r="AKK13" s="4"/>
      <c r="AKL13" s="4"/>
      <c r="AKM13" s="4"/>
      <c r="AKN13" s="4"/>
      <c r="AKO13" s="4"/>
      <c r="AKP13" s="4"/>
      <c r="AKQ13" s="4"/>
      <c r="AKR13" s="4"/>
      <c r="AKS13" s="4"/>
      <c r="AKT13" s="4"/>
      <c r="AKU13" s="4"/>
      <c r="AKV13" s="4"/>
      <c r="AKW13" s="4"/>
      <c r="AKX13" s="4"/>
      <c r="AKY13" s="4"/>
      <c r="AKZ13" s="4"/>
      <c r="ALA13" s="4"/>
      <c r="ALB13" s="4"/>
      <c r="ALC13" s="4"/>
      <c r="ALD13" s="4"/>
      <c r="ALE13" s="4"/>
      <c r="ALF13" s="4"/>
      <c r="ALG13" s="4"/>
      <c r="ALH13" s="4"/>
      <c r="ALI13" s="4"/>
      <c r="ALJ13" s="4"/>
      <c r="ALK13" s="4"/>
      <c r="ALL13" s="4"/>
      <c r="ALM13" s="4"/>
      <c r="ALN13" s="4"/>
      <c r="ALO13" s="4"/>
      <c r="ALP13" s="4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7.75" customHeight="1" x14ac:dyDescent="0.25">
      <c r="A14" s="43" t="s">
        <v>89</v>
      </c>
      <c r="B14" s="36" t="s">
        <v>84</v>
      </c>
      <c r="C14" s="32" t="s">
        <v>73</v>
      </c>
      <c r="D14" s="37">
        <v>41</v>
      </c>
      <c r="E14" s="37" t="s">
        <v>46</v>
      </c>
      <c r="F14" s="37">
        <v>55</v>
      </c>
      <c r="G14" s="37" t="s">
        <v>32</v>
      </c>
      <c r="H14" s="38">
        <v>46</v>
      </c>
      <c r="I14" s="38">
        <v>25</v>
      </c>
      <c r="J14" s="38">
        <v>17</v>
      </c>
      <c r="K14" s="38">
        <v>28</v>
      </c>
      <c r="L14" s="38">
        <v>26</v>
      </c>
      <c r="M14" s="38">
        <v>28</v>
      </c>
      <c r="N14" s="38">
        <v>71</v>
      </c>
      <c r="O14" s="38">
        <v>40</v>
      </c>
      <c r="P14" s="38">
        <v>85</v>
      </c>
      <c r="Q14" s="38">
        <v>105</v>
      </c>
      <c r="R14" s="38">
        <v>68</v>
      </c>
      <c r="S14" s="38">
        <v>32</v>
      </c>
      <c r="T14" s="38">
        <v>24</v>
      </c>
      <c r="U14" s="38">
        <v>19</v>
      </c>
      <c r="V14" s="38">
        <v>97</v>
      </c>
      <c r="W14" s="31" t="s">
        <v>94</v>
      </c>
      <c r="X14" s="38">
        <v>46</v>
      </c>
      <c r="Y14" s="38">
        <v>60</v>
      </c>
      <c r="Z14" s="38">
        <v>19</v>
      </c>
      <c r="AA14" s="38">
        <v>14</v>
      </c>
      <c r="AB14" s="38">
        <v>101</v>
      </c>
      <c r="AC14" s="38">
        <v>96</v>
      </c>
      <c r="AD14" s="38">
        <v>107</v>
      </c>
      <c r="AE14" s="38">
        <v>71</v>
      </c>
      <c r="AF14" s="38">
        <v>40</v>
      </c>
      <c r="AG14" s="39">
        <v>46</v>
      </c>
      <c r="AH14" s="39">
        <v>61</v>
      </c>
      <c r="AI14" s="39">
        <v>17</v>
      </c>
      <c r="AJ14" s="39">
        <v>12</v>
      </c>
      <c r="AK14" s="39">
        <v>28</v>
      </c>
      <c r="AL14" s="39">
        <v>26</v>
      </c>
      <c r="AM14" s="39">
        <v>28</v>
      </c>
      <c r="AN14" s="39">
        <v>70</v>
      </c>
      <c r="AO14" s="39">
        <v>40</v>
      </c>
      <c r="AP14" s="2">
        <v>2</v>
      </c>
      <c r="AQ14" s="42" t="s">
        <v>95</v>
      </c>
      <c r="AR14" s="2" t="s">
        <v>128</v>
      </c>
      <c r="AS14" s="2" t="s">
        <v>98</v>
      </c>
      <c r="AT14" s="2" t="s">
        <v>100</v>
      </c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  <c r="AKA14" s="4"/>
      <c r="AKB14" s="4"/>
      <c r="AKC14" s="4"/>
      <c r="AKD14" s="4"/>
      <c r="AKE14" s="4"/>
      <c r="AKF14" s="4"/>
      <c r="AKG14" s="4"/>
      <c r="AKH14" s="4"/>
      <c r="AKI14" s="4"/>
      <c r="AKJ14" s="4"/>
      <c r="AKK14" s="4"/>
      <c r="AKL14" s="4"/>
      <c r="AKM14" s="4"/>
      <c r="AKN14" s="4"/>
      <c r="AKO14" s="4"/>
      <c r="AKP14" s="4"/>
      <c r="AKQ14" s="4"/>
      <c r="AKR14" s="4"/>
      <c r="AKS14" s="4"/>
      <c r="AKT14" s="4"/>
      <c r="AKU14" s="4"/>
      <c r="AKV14" s="4"/>
      <c r="AKW14" s="4"/>
      <c r="AKX14" s="4"/>
      <c r="AKY14" s="4"/>
      <c r="AKZ14" s="4"/>
      <c r="ALA14" s="4"/>
      <c r="ALB14" s="4"/>
      <c r="ALC14" s="4"/>
      <c r="ALD14" s="4"/>
      <c r="ALE14" s="4"/>
      <c r="ALF14" s="4"/>
      <c r="ALG14" s="4"/>
      <c r="ALH14" s="4"/>
      <c r="ALI14" s="4"/>
      <c r="ALJ14" s="4"/>
      <c r="ALK14" s="4"/>
      <c r="ALL14" s="4"/>
      <c r="ALM14" s="4"/>
      <c r="ALN14" s="4"/>
      <c r="ALO14" s="4"/>
      <c r="ALP14" s="4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7.75" customHeight="1" x14ac:dyDescent="0.25">
      <c r="A15" s="43" t="s">
        <v>90</v>
      </c>
      <c r="B15" s="36" t="s">
        <v>83</v>
      </c>
      <c r="C15" s="32" t="s">
        <v>73</v>
      </c>
      <c r="D15" s="37">
        <v>42</v>
      </c>
      <c r="E15" s="37" t="s">
        <v>46</v>
      </c>
      <c r="F15" s="37">
        <v>56</v>
      </c>
      <c r="G15" s="37" t="s">
        <v>34</v>
      </c>
      <c r="H15" s="38">
        <v>48</v>
      </c>
      <c r="I15" s="38">
        <v>26</v>
      </c>
      <c r="J15" s="38">
        <v>19</v>
      </c>
      <c r="K15" s="38">
        <v>30</v>
      </c>
      <c r="L15" s="38">
        <v>28</v>
      </c>
      <c r="M15" s="38">
        <v>30</v>
      </c>
      <c r="N15" s="38">
        <v>73</v>
      </c>
      <c r="O15" s="38">
        <v>42</v>
      </c>
      <c r="P15" s="38">
        <v>98</v>
      </c>
      <c r="Q15" s="38">
        <v>108</v>
      </c>
      <c r="R15" s="38">
        <v>70</v>
      </c>
      <c r="S15" s="38">
        <v>66</v>
      </c>
      <c r="T15" s="38">
        <v>25</v>
      </c>
      <c r="U15" s="38">
        <v>20</v>
      </c>
      <c r="V15" s="38">
        <v>97</v>
      </c>
      <c r="W15" s="31" t="s">
        <v>94</v>
      </c>
      <c r="X15" s="38">
        <v>48</v>
      </c>
      <c r="Y15" s="38">
        <v>62</v>
      </c>
      <c r="Z15" s="38">
        <v>20</v>
      </c>
      <c r="AA15" s="38">
        <v>15</v>
      </c>
      <c r="AB15" s="38">
        <v>112</v>
      </c>
      <c r="AC15" s="38">
        <v>106</v>
      </c>
      <c r="AD15" s="38">
        <v>112</v>
      </c>
      <c r="AE15" s="38">
        <v>74</v>
      </c>
      <c r="AF15" s="38">
        <v>40</v>
      </c>
      <c r="AG15" s="39">
        <v>48</v>
      </c>
      <c r="AH15" s="39">
        <v>63</v>
      </c>
      <c r="AI15" s="39">
        <v>19</v>
      </c>
      <c r="AJ15" s="39">
        <v>13</v>
      </c>
      <c r="AK15" s="39">
        <v>30</v>
      </c>
      <c r="AL15" s="39">
        <v>28</v>
      </c>
      <c r="AM15" s="39">
        <v>30</v>
      </c>
      <c r="AN15" s="39">
        <v>73</v>
      </c>
      <c r="AO15" s="39">
        <v>42</v>
      </c>
      <c r="AP15" s="2">
        <v>2</v>
      </c>
      <c r="AQ15" s="42" t="s">
        <v>95</v>
      </c>
      <c r="AR15" s="2" t="s">
        <v>128</v>
      </c>
      <c r="AS15" s="2" t="s">
        <v>98</v>
      </c>
      <c r="AT15" s="2" t="s">
        <v>100</v>
      </c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  <c r="AKA15" s="4"/>
      <c r="AKB15" s="4"/>
      <c r="AKC15" s="4"/>
      <c r="AKD15" s="4"/>
      <c r="AKE15" s="4"/>
      <c r="AKF15" s="4"/>
      <c r="AKG15" s="4"/>
      <c r="AKH15" s="4"/>
      <c r="AKI15" s="4"/>
      <c r="AKJ15" s="4"/>
      <c r="AKK15" s="4"/>
      <c r="AKL15" s="4"/>
      <c r="AKM15" s="4"/>
      <c r="AKN15" s="4"/>
      <c r="AKO15" s="4"/>
      <c r="AKP15" s="4"/>
      <c r="AKQ15" s="4"/>
      <c r="AKR15" s="4"/>
      <c r="AKS15" s="4"/>
      <c r="AKT15" s="4"/>
      <c r="AKU15" s="4"/>
      <c r="AKV15" s="4"/>
      <c r="AKW15" s="4"/>
      <c r="AKX15" s="4"/>
      <c r="AKY15" s="4"/>
      <c r="AKZ15" s="4"/>
      <c r="ALA15" s="4"/>
      <c r="ALB15" s="4"/>
      <c r="ALC15" s="4"/>
      <c r="ALD15" s="4"/>
      <c r="ALE15" s="4"/>
      <c r="ALF15" s="4"/>
      <c r="ALG15" s="4"/>
      <c r="ALH15" s="4"/>
      <c r="ALI15" s="4"/>
      <c r="ALJ15" s="4"/>
      <c r="ALK15" s="4"/>
      <c r="ALL15" s="4"/>
      <c r="ALM15" s="4"/>
      <c r="ALN15" s="4"/>
      <c r="ALO15" s="4"/>
      <c r="ALP15" s="4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7.75" customHeight="1" x14ac:dyDescent="0.25">
      <c r="A16" s="43" t="s">
        <v>91</v>
      </c>
      <c r="B16" s="36" t="s">
        <v>82</v>
      </c>
      <c r="C16" s="32" t="s">
        <v>73</v>
      </c>
      <c r="D16" s="37">
        <v>40</v>
      </c>
      <c r="E16" s="37" t="s">
        <v>46</v>
      </c>
      <c r="F16" s="37">
        <v>56</v>
      </c>
      <c r="G16" s="37" t="s">
        <v>32</v>
      </c>
      <c r="H16" s="38">
        <v>46</v>
      </c>
      <c r="I16" s="38">
        <v>25</v>
      </c>
      <c r="J16" s="38">
        <v>18</v>
      </c>
      <c r="K16" s="38">
        <v>28</v>
      </c>
      <c r="L16" s="38">
        <v>27</v>
      </c>
      <c r="M16" s="38">
        <v>28</v>
      </c>
      <c r="N16" s="38">
        <v>71</v>
      </c>
      <c r="O16" s="38">
        <v>44</v>
      </c>
      <c r="P16" s="38">
        <v>85</v>
      </c>
      <c r="Q16" s="38">
        <v>105</v>
      </c>
      <c r="R16" s="38">
        <v>68</v>
      </c>
      <c r="S16" s="38">
        <v>32</v>
      </c>
      <c r="T16" s="38">
        <v>26</v>
      </c>
      <c r="U16" s="38">
        <v>18</v>
      </c>
      <c r="V16" s="38">
        <v>96</v>
      </c>
      <c r="W16" s="31" t="s">
        <v>94</v>
      </c>
      <c r="X16" s="38">
        <v>46</v>
      </c>
      <c r="Y16" s="38">
        <v>60</v>
      </c>
      <c r="Z16" s="38">
        <v>19</v>
      </c>
      <c r="AA16" s="38">
        <v>14</v>
      </c>
      <c r="AB16" s="38">
        <v>95</v>
      </c>
      <c r="AC16" s="38">
        <v>90</v>
      </c>
      <c r="AD16" s="38">
        <v>105</v>
      </c>
      <c r="AE16" s="38">
        <v>71</v>
      </c>
      <c r="AF16" s="38">
        <v>44</v>
      </c>
      <c r="AG16" s="39">
        <v>46</v>
      </c>
      <c r="AH16" s="39">
        <v>61</v>
      </c>
      <c r="AI16" s="39">
        <v>18</v>
      </c>
      <c r="AJ16" s="39">
        <v>12</v>
      </c>
      <c r="AK16" s="39">
        <v>28</v>
      </c>
      <c r="AL16" s="39">
        <v>27</v>
      </c>
      <c r="AM16" s="39">
        <v>28</v>
      </c>
      <c r="AN16" s="39">
        <v>71</v>
      </c>
      <c r="AO16" s="39">
        <v>44</v>
      </c>
      <c r="AP16" s="2">
        <v>2</v>
      </c>
      <c r="AQ16" s="42" t="s">
        <v>95</v>
      </c>
      <c r="AR16" s="2" t="s">
        <v>128</v>
      </c>
      <c r="AS16" s="2" t="s">
        <v>98</v>
      </c>
      <c r="AT16" s="2" t="s">
        <v>100</v>
      </c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  <c r="AKA16" s="4"/>
      <c r="AKB16" s="4"/>
      <c r="AKC16" s="4"/>
      <c r="AKD16" s="4"/>
      <c r="AKE16" s="4"/>
      <c r="AKF16" s="4"/>
      <c r="AKG16" s="4"/>
      <c r="AKH16" s="4"/>
      <c r="AKI16" s="4"/>
      <c r="AKJ16" s="4"/>
      <c r="AKK16" s="4"/>
      <c r="AKL16" s="4"/>
      <c r="AKM16" s="4"/>
      <c r="AKN16" s="4"/>
      <c r="AKO16" s="4"/>
      <c r="AKP16" s="4"/>
      <c r="AKQ16" s="4"/>
      <c r="AKR16" s="4"/>
      <c r="AKS16" s="4"/>
      <c r="AKT16" s="4"/>
      <c r="AKU16" s="4"/>
      <c r="AKV16" s="4"/>
      <c r="AKW16" s="4"/>
      <c r="AKX16" s="4"/>
      <c r="AKY16" s="4"/>
      <c r="AKZ16" s="4"/>
      <c r="ALA16" s="4"/>
      <c r="ALB16" s="4"/>
      <c r="ALC16" s="4"/>
      <c r="ALD16" s="4"/>
      <c r="ALE16" s="4"/>
      <c r="ALF16" s="4"/>
      <c r="ALG16" s="4"/>
      <c r="ALH16" s="4"/>
      <c r="ALI16" s="4"/>
      <c r="ALJ16" s="4"/>
      <c r="ALK16" s="4"/>
      <c r="ALL16" s="4"/>
      <c r="ALM16" s="4"/>
      <c r="ALN16" s="4"/>
      <c r="ALO16" s="4"/>
      <c r="ALP16" s="4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7.75" customHeight="1" x14ac:dyDescent="0.25">
      <c r="A17" s="43" t="s">
        <v>92</v>
      </c>
      <c r="B17" s="36" t="s">
        <v>81</v>
      </c>
      <c r="C17" s="32" t="s">
        <v>73</v>
      </c>
      <c r="D17" s="37">
        <v>41</v>
      </c>
      <c r="E17" s="37" t="s">
        <v>80</v>
      </c>
      <c r="F17" s="37">
        <v>57</v>
      </c>
      <c r="G17" s="37" t="s">
        <v>32</v>
      </c>
      <c r="H17" s="38">
        <v>45</v>
      </c>
      <c r="I17" s="38">
        <v>25</v>
      </c>
      <c r="J17" s="38">
        <v>17</v>
      </c>
      <c r="K17" s="38">
        <v>29</v>
      </c>
      <c r="L17" s="38">
        <v>28</v>
      </c>
      <c r="M17" s="38">
        <v>31</v>
      </c>
      <c r="N17" s="38">
        <v>67</v>
      </c>
      <c r="O17" s="38">
        <v>38</v>
      </c>
      <c r="P17" s="38">
        <v>80</v>
      </c>
      <c r="Q17" s="38">
        <v>103</v>
      </c>
      <c r="R17" s="38">
        <v>67</v>
      </c>
      <c r="S17" s="38">
        <v>32</v>
      </c>
      <c r="T17" s="38">
        <v>24</v>
      </c>
      <c r="U17" s="38">
        <v>19</v>
      </c>
      <c r="V17" s="38">
        <v>95</v>
      </c>
      <c r="W17" s="31" t="s">
        <v>94</v>
      </c>
      <c r="X17" s="38">
        <v>45</v>
      </c>
      <c r="Y17" s="38">
        <v>57</v>
      </c>
      <c r="Z17" s="3">
        <v>18</v>
      </c>
      <c r="AA17" s="38">
        <v>15</v>
      </c>
      <c r="AB17" s="38">
        <v>96</v>
      </c>
      <c r="AC17" s="38">
        <v>98</v>
      </c>
      <c r="AD17" s="38">
        <v>111</v>
      </c>
      <c r="AE17" s="38">
        <v>67</v>
      </c>
      <c r="AF17" s="38">
        <v>38</v>
      </c>
      <c r="AG17" s="39">
        <v>45</v>
      </c>
      <c r="AH17" s="39">
        <v>58</v>
      </c>
      <c r="AI17" s="39">
        <v>16</v>
      </c>
      <c r="AJ17" s="39">
        <v>12</v>
      </c>
      <c r="AK17" s="39">
        <v>27</v>
      </c>
      <c r="AL17" s="39">
        <v>25</v>
      </c>
      <c r="AM17" s="39">
        <v>27</v>
      </c>
      <c r="AN17" s="39">
        <v>66</v>
      </c>
      <c r="AO17" s="39">
        <v>38</v>
      </c>
      <c r="AP17" s="2">
        <v>2</v>
      </c>
      <c r="AQ17" s="42" t="s">
        <v>95</v>
      </c>
      <c r="AR17" s="2" t="s">
        <v>128</v>
      </c>
      <c r="AS17" s="2" t="s">
        <v>98</v>
      </c>
      <c r="AT17" s="2" t="s">
        <v>100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  <c r="AKA17" s="4"/>
      <c r="AKB17" s="4"/>
      <c r="AKC17" s="4"/>
      <c r="AKD17" s="4"/>
      <c r="AKE17" s="4"/>
      <c r="AKF17" s="4"/>
      <c r="AKG17" s="4"/>
      <c r="AKH17" s="4"/>
      <c r="AKI17" s="4"/>
      <c r="AKJ17" s="4"/>
      <c r="AKK17" s="4"/>
      <c r="AKL17" s="4"/>
      <c r="AKM17" s="4"/>
      <c r="AKN17" s="4"/>
      <c r="AKO17" s="4"/>
      <c r="AKP17" s="4"/>
      <c r="AKQ17" s="4"/>
      <c r="AKR17" s="4"/>
      <c r="AKS17" s="4"/>
      <c r="AKT17" s="4"/>
      <c r="AKU17" s="4"/>
      <c r="AKV17" s="4"/>
      <c r="AKW17" s="4"/>
      <c r="AKX17" s="4"/>
      <c r="AKY17" s="4"/>
      <c r="AKZ17" s="4"/>
      <c r="ALA17" s="4"/>
      <c r="ALB17" s="4"/>
      <c r="ALC17" s="4"/>
      <c r="ALD17" s="4"/>
      <c r="ALE17" s="4"/>
      <c r="ALF17" s="4"/>
      <c r="ALG17" s="4"/>
      <c r="ALH17" s="4"/>
      <c r="ALI17" s="4"/>
      <c r="ALJ17" s="4"/>
      <c r="ALK17" s="4"/>
      <c r="ALL17" s="4"/>
      <c r="ALM17" s="4"/>
      <c r="ALN17" s="4"/>
      <c r="ALO17" s="4"/>
      <c r="ALP17" s="4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7.75" customHeight="1" x14ac:dyDescent="0.25">
      <c r="A18" s="43" t="s">
        <v>109</v>
      </c>
      <c r="B18" s="32" t="s">
        <v>102</v>
      </c>
      <c r="C18" s="32" t="s">
        <v>73</v>
      </c>
      <c r="D18" s="33">
        <v>42</v>
      </c>
      <c r="E18" s="50" t="s">
        <v>46</v>
      </c>
      <c r="F18" s="33">
        <v>58</v>
      </c>
      <c r="G18" s="33" t="s">
        <v>34</v>
      </c>
      <c r="H18" s="35">
        <v>46</v>
      </c>
      <c r="I18" s="35">
        <v>25</v>
      </c>
      <c r="J18" s="35">
        <v>18</v>
      </c>
      <c r="K18" s="35">
        <v>30</v>
      </c>
      <c r="L18" s="35">
        <v>30</v>
      </c>
      <c r="M18" s="35">
        <v>30</v>
      </c>
      <c r="N18" s="35">
        <v>73</v>
      </c>
      <c r="O18" s="35">
        <v>42</v>
      </c>
      <c r="P18" s="35">
        <v>99</v>
      </c>
      <c r="Q18" s="35">
        <v>115</v>
      </c>
      <c r="R18" s="35">
        <v>72</v>
      </c>
      <c r="S18" s="35">
        <v>36</v>
      </c>
      <c r="T18" s="35">
        <v>26</v>
      </c>
      <c r="U18" s="35">
        <v>21</v>
      </c>
      <c r="V18" s="35">
        <v>96</v>
      </c>
      <c r="W18" s="35" t="s">
        <v>94</v>
      </c>
      <c r="X18" s="35">
        <v>46</v>
      </c>
      <c r="Y18" s="35">
        <v>60</v>
      </c>
      <c r="Z18" s="35">
        <v>19</v>
      </c>
      <c r="AA18" s="35">
        <v>15</v>
      </c>
      <c r="AB18" s="35">
        <v>113</v>
      </c>
      <c r="AC18" s="35">
        <v>113</v>
      </c>
      <c r="AD18" s="35">
        <v>118</v>
      </c>
      <c r="AE18" s="35">
        <v>74</v>
      </c>
      <c r="AF18" s="35">
        <v>42</v>
      </c>
      <c r="AG18" s="35">
        <v>46</v>
      </c>
      <c r="AH18" s="35">
        <v>61</v>
      </c>
      <c r="AI18" s="35">
        <v>19</v>
      </c>
      <c r="AJ18" s="35">
        <v>13</v>
      </c>
      <c r="AK18" s="35">
        <v>30</v>
      </c>
      <c r="AL18" s="35">
        <v>28</v>
      </c>
      <c r="AM18" s="35">
        <v>30</v>
      </c>
      <c r="AN18" s="35">
        <v>72</v>
      </c>
      <c r="AO18" s="35">
        <v>42</v>
      </c>
      <c r="AP18" s="12">
        <v>3</v>
      </c>
      <c r="AQ18" s="3" t="s">
        <v>103</v>
      </c>
      <c r="AR18" s="2" t="s">
        <v>128</v>
      </c>
      <c r="AS18" s="12" t="s">
        <v>103</v>
      </c>
      <c r="AT18" s="12" t="s">
        <v>103</v>
      </c>
    </row>
    <row r="19" spans="1:1013" ht="27.75" customHeight="1" x14ac:dyDescent="0.25">
      <c r="A19" s="43" t="s">
        <v>110</v>
      </c>
      <c r="B19" s="32" t="s">
        <v>104</v>
      </c>
      <c r="C19" s="32" t="s">
        <v>73</v>
      </c>
      <c r="D19" s="33">
        <v>43</v>
      </c>
      <c r="E19" s="50" t="s">
        <v>46</v>
      </c>
      <c r="F19" s="33">
        <v>58</v>
      </c>
      <c r="G19" s="33" t="s">
        <v>34</v>
      </c>
      <c r="H19" s="35">
        <v>48</v>
      </c>
      <c r="I19" s="35">
        <v>25</v>
      </c>
      <c r="J19" s="35">
        <v>19</v>
      </c>
      <c r="K19" s="35">
        <v>29</v>
      </c>
      <c r="L19" s="35">
        <v>28</v>
      </c>
      <c r="M19" s="35">
        <v>29</v>
      </c>
      <c r="N19" s="35">
        <v>40</v>
      </c>
      <c r="O19" s="35">
        <v>75</v>
      </c>
      <c r="P19" s="35">
        <v>95</v>
      </c>
      <c r="Q19" s="35">
        <v>109</v>
      </c>
      <c r="R19" s="35">
        <v>72</v>
      </c>
      <c r="S19" s="35">
        <v>35</v>
      </c>
      <c r="T19" s="35">
        <v>27</v>
      </c>
      <c r="U19" s="35">
        <v>22</v>
      </c>
      <c r="V19" s="35">
        <v>104</v>
      </c>
      <c r="W19" s="35" t="s">
        <v>94</v>
      </c>
      <c r="X19" s="35">
        <v>50</v>
      </c>
      <c r="Y19" s="35">
        <v>59</v>
      </c>
      <c r="Z19" s="35">
        <v>20</v>
      </c>
      <c r="AA19" s="35">
        <v>16</v>
      </c>
      <c r="AB19" s="35">
        <v>104</v>
      </c>
      <c r="AC19" s="35">
        <v>99</v>
      </c>
      <c r="AD19" s="35">
        <v>114</v>
      </c>
      <c r="AE19" s="35">
        <v>40</v>
      </c>
      <c r="AF19" s="35">
        <v>75</v>
      </c>
      <c r="AG19" s="35">
        <v>50</v>
      </c>
      <c r="AH19" s="35">
        <v>60</v>
      </c>
      <c r="AI19" s="35">
        <v>20</v>
      </c>
      <c r="AJ19" s="35">
        <v>13</v>
      </c>
      <c r="AK19" s="35">
        <v>29</v>
      </c>
      <c r="AL19" s="35">
        <v>28</v>
      </c>
      <c r="AM19" s="35">
        <v>29</v>
      </c>
      <c r="AN19" s="35">
        <v>74</v>
      </c>
      <c r="AO19" s="35">
        <v>40</v>
      </c>
      <c r="AP19" s="12">
        <v>3</v>
      </c>
      <c r="AQ19" s="3" t="s">
        <v>103</v>
      </c>
      <c r="AR19" s="2" t="s">
        <v>128</v>
      </c>
      <c r="AS19" s="12" t="s">
        <v>103</v>
      </c>
      <c r="AT19" s="12" t="s">
        <v>103</v>
      </c>
    </row>
    <row r="20" spans="1:1013" ht="27.75" customHeight="1" x14ac:dyDescent="0.25">
      <c r="A20" s="43" t="s">
        <v>111</v>
      </c>
      <c r="B20" s="32" t="s">
        <v>105</v>
      </c>
      <c r="C20" s="32" t="s">
        <v>73</v>
      </c>
      <c r="D20" s="33">
        <v>42</v>
      </c>
      <c r="E20" s="50" t="s">
        <v>46</v>
      </c>
      <c r="F20" s="33">
        <v>57</v>
      </c>
      <c r="G20" s="33" t="s">
        <v>34</v>
      </c>
      <c r="H20" s="35">
        <v>48</v>
      </c>
      <c r="I20" s="35">
        <v>24</v>
      </c>
      <c r="J20" s="35">
        <v>18</v>
      </c>
      <c r="K20" s="35">
        <v>29</v>
      </c>
      <c r="L20" s="35">
        <v>28</v>
      </c>
      <c r="M20" s="35">
        <v>29</v>
      </c>
      <c r="N20" s="35">
        <v>40</v>
      </c>
      <c r="O20" s="35">
        <v>73</v>
      </c>
      <c r="P20" s="35">
        <v>92</v>
      </c>
      <c r="Q20" s="35">
        <v>108</v>
      </c>
      <c r="R20" s="35">
        <v>70</v>
      </c>
      <c r="S20" s="35">
        <v>34</v>
      </c>
      <c r="T20" s="35">
        <v>27</v>
      </c>
      <c r="U20" s="35">
        <v>22</v>
      </c>
      <c r="V20" s="35">
        <v>99</v>
      </c>
      <c r="W20" s="35" t="s">
        <v>94</v>
      </c>
      <c r="X20" s="35">
        <v>48</v>
      </c>
      <c r="Y20" s="35">
        <v>56</v>
      </c>
      <c r="Z20" s="35">
        <v>19</v>
      </c>
      <c r="AA20" s="35">
        <v>16</v>
      </c>
      <c r="AB20" s="35">
        <v>104</v>
      </c>
      <c r="AC20" s="35">
        <v>98</v>
      </c>
      <c r="AD20" s="35">
        <v>114</v>
      </c>
      <c r="AE20" s="35">
        <v>40</v>
      </c>
      <c r="AF20" s="35">
        <v>73</v>
      </c>
      <c r="AG20" s="35">
        <v>48</v>
      </c>
      <c r="AH20" s="35">
        <v>57</v>
      </c>
      <c r="AI20" s="35">
        <v>19</v>
      </c>
      <c r="AJ20" s="35">
        <v>15</v>
      </c>
      <c r="AK20" s="35">
        <v>29</v>
      </c>
      <c r="AL20" s="35">
        <v>28</v>
      </c>
      <c r="AM20" s="35">
        <v>29</v>
      </c>
      <c r="AN20" s="35">
        <v>72</v>
      </c>
      <c r="AO20" s="35">
        <v>40</v>
      </c>
      <c r="AP20" s="12">
        <v>3</v>
      </c>
      <c r="AQ20" s="3" t="s">
        <v>103</v>
      </c>
      <c r="AR20" s="2" t="s">
        <v>128</v>
      </c>
      <c r="AS20" s="12" t="s">
        <v>103</v>
      </c>
      <c r="AT20" s="12" t="s">
        <v>103</v>
      </c>
    </row>
    <row r="21" spans="1:1013" ht="27.75" customHeight="1" x14ac:dyDescent="0.25">
      <c r="A21" s="43" t="s">
        <v>112</v>
      </c>
      <c r="B21" s="32" t="s">
        <v>106</v>
      </c>
      <c r="C21" s="32" t="s">
        <v>73</v>
      </c>
      <c r="D21" s="33">
        <v>42</v>
      </c>
      <c r="E21" s="50" t="s">
        <v>46</v>
      </c>
      <c r="F21" s="33">
        <v>56</v>
      </c>
      <c r="G21" s="33" t="s">
        <v>34</v>
      </c>
      <c r="H21" s="35">
        <v>46</v>
      </c>
      <c r="I21" s="35">
        <v>25</v>
      </c>
      <c r="J21" s="35">
        <v>17</v>
      </c>
      <c r="K21" s="35">
        <v>29</v>
      </c>
      <c r="L21" s="35">
        <v>27</v>
      </c>
      <c r="M21" s="35">
        <v>29</v>
      </c>
      <c r="N21" s="35">
        <v>70</v>
      </c>
      <c r="O21" s="35">
        <v>42</v>
      </c>
      <c r="P21" s="35">
        <v>94</v>
      </c>
      <c r="Q21" s="35">
        <v>112</v>
      </c>
      <c r="R21" s="35">
        <v>67</v>
      </c>
      <c r="S21" s="35">
        <v>34</v>
      </c>
      <c r="T21" s="35">
        <v>25</v>
      </c>
      <c r="U21" s="35">
        <v>20</v>
      </c>
      <c r="V21" s="35">
        <v>96</v>
      </c>
      <c r="W21" s="35" t="s">
        <v>94</v>
      </c>
      <c r="X21" s="35">
        <v>46</v>
      </c>
      <c r="Y21" s="35">
        <v>58</v>
      </c>
      <c r="Z21" s="35">
        <v>19</v>
      </c>
      <c r="AA21" s="35">
        <v>14</v>
      </c>
      <c r="AB21" s="35">
        <v>106</v>
      </c>
      <c r="AC21" s="35">
        <v>106</v>
      </c>
      <c r="AD21" s="35">
        <v>115</v>
      </c>
      <c r="AE21" s="35">
        <v>71</v>
      </c>
      <c r="AF21" s="35">
        <v>42</v>
      </c>
      <c r="AG21" s="35">
        <v>46</v>
      </c>
      <c r="AH21" s="35">
        <v>50</v>
      </c>
      <c r="AI21" s="35">
        <v>18</v>
      </c>
      <c r="AJ21" s="35">
        <v>13</v>
      </c>
      <c r="AK21" s="35">
        <v>29</v>
      </c>
      <c r="AL21" s="35">
        <v>27</v>
      </c>
      <c r="AM21" s="35">
        <v>29</v>
      </c>
      <c r="AN21" s="35">
        <v>71</v>
      </c>
      <c r="AO21" s="35">
        <v>42</v>
      </c>
      <c r="AP21" s="12">
        <v>3</v>
      </c>
      <c r="AQ21" s="3" t="s">
        <v>103</v>
      </c>
      <c r="AR21" s="2" t="s">
        <v>128</v>
      </c>
      <c r="AS21" s="12" t="s">
        <v>103</v>
      </c>
      <c r="AT21" s="12" t="s">
        <v>103</v>
      </c>
      <c r="AU21" s="31"/>
      <c r="AV21" s="31"/>
      <c r="AW21" s="31"/>
      <c r="AX21" s="31"/>
      <c r="AY21" s="31"/>
      <c r="AZ21" s="31"/>
    </row>
    <row r="22" spans="1:1013" ht="27.75" customHeight="1" x14ac:dyDescent="0.25">
      <c r="A22" s="43" t="s">
        <v>113</v>
      </c>
      <c r="B22" s="32" t="s">
        <v>107</v>
      </c>
      <c r="C22" s="32" t="s">
        <v>73</v>
      </c>
      <c r="D22" s="33">
        <v>41</v>
      </c>
      <c r="E22" s="50" t="s">
        <v>46</v>
      </c>
      <c r="F22" s="33">
        <v>57</v>
      </c>
      <c r="G22" s="33" t="s">
        <v>32</v>
      </c>
      <c r="H22" s="35">
        <v>48</v>
      </c>
      <c r="I22" s="35">
        <v>24</v>
      </c>
      <c r="J22" s="35">
        <v>19</v>
      </c>
      <c r="K22" s="35">
        <v>30</v>
      </c>
      <c r="L22" s="35">
        <v>28</v>
      </c>
      <c r="M22" s="35">
        <v>30</v>
      </c>
      <c r="N22" s="12">
        <v>70</v>
      </c>
      <c r="O22" s="12">
        <v>40</v>
      </c>
      <c r="P22" s="12">
        <v>95</v>
      </c>
      <c r="Q22" s="12">
        <v>116</v>
      </c>
      <c r="R22" s="12">
        <v>70</v>
      </c>
      <c r="S22" s="12">
        <v>35</v>
      </c>
      <c r="T22" s="12">
        <v>25</v>
      </c>
      <c r="U22" s="12">
        <v>21</v>
      </c>
      <c r="V22" s="12">
        <v>94</v>
      </c>
      <c r="W22" s="35" t="s">
        <v>94</v>
      </c>
      <c r="X22" s="35">
        <v>48</v>
      </c>
      <c r="Y22" s="35">
        <v>57</v>
      </c>
      <c r="Z22" s="35">
        <v>20</v>
      </c>
      <c r="AA22" s="35">
        <v>15</v>
      </c>
      <c r="AB22" s="35">
        <v>104</v>
      </c>
      <c r="AC22" s="35">
        <v>100</v>
      </c>
      <c r="AD22" s="35">
        <v>114</v>
      </c>
      <c r="AE22" s="35">
        <v>71</v>
      </c>
      <c r="AF22" s="35">
        <v>40</v>
      </c>
      <c r="AG22" s="35">
        <v>48</v>
      </c>
      <c r="AH22" s="35">
        <v>57</v>
      </c>
      <c r="AI22" s="35">
        <v>19</v>
      </c>
      <c r="AJ22" s="35">
        <v>13</v>
      </c>
      <c r="AK22" s="35">
        <v>30</v>
      </c>
      <c r="AL22" s="35">
        <v>28</v>
      </c>
      <c r="AM22" s="35">
        <v>30</v>
      </c>
      <c r="AN22" s="35">
        <v>70</v>
      </c>
      <c r="AO22" s="35">
        <v>40</v>
      </c>
      <c r="AP22" s="12">
        <v>3</v>
      </c>
      <c r="AQ22" s="3" t="s">
        <v>103</v>
      </c>
      <c r="AR22" s="2" t="s">
        <v>128</v>
      </c>
      <c r="AS22" s="12" t="s">
        <v>103</v>
      </c>
      <c r="AT22" s="12" t="s">
        <v>103</v>
      </c>
      <c r="AU22" s="31"/>
      <c r="AV22" s="31"/>
      <c r="AW22" s="31"/>
      <c r="AX22" s="31"/>
      <c r="AY22" s="31"/>
      <c r="AZ22" s="31"/>
    </row>
    <row r="23" spans="1:1013" ht="27.75" customHeight="1" x14ac:dyDescent="0.25">
      <c r="A23" s="43" t="s">
        <v>114</v>
      </c>
      <c r="B23" s="32" t="s">
        <v>108</v>
      </c>
      <c r="C23" s="32" t="s">
        <v>73</v>
      </c>
      <c r="D23" s="33">
        <v>41</v>
      </c>
      <c r="E23" s="50" t="s">
        <v>46</v>
      </c>
      <c r="F23" s="33">
        <v>55</v>
      </c>
      <c r="G23" s="33" t="s">
        <v>31</v>
      </c>
      <c r="H23" s="35">
        <v>44</v>
      </c>
      <c r="I23" s="35">
        <v>25</v>
      </c>
      <c r="J23" s="35">
        <v>17</v>
      </c>
      <c r="K23" s="35">
        <v>26</v>
      </c>
      <c r="L23" s="35">
        <v>24</v>
      </c>
      <c r="M23" s="35">
        <v>26</v>
      </c>
      <c r="N23" s="12">
        <v>70</v>
      </c>
      <c r="O23" s="12">
        <v>39</v>
      </c>
      <c r="P23" s="35">
        <v>77</v>
      </c>
      <c r="Q23" s="12">
        <v>97</v>
      </c>
      <c r="R23" s="12">
        <v>66</v>
      </c>
      <c r="S23" s="12">
        <v>32</v>
      </c>
      <c r="T23" s="12">
        <v>24</v>
      </c>
      <c r="U23" s="12">
        <v>19</v>
      </c>
      <c r="V23" s="12">
        <v>99</v>
      </c>
      <c r="W23" s="35" t="s">
        <v>94</v>
      </c>
      <c r="X23" s="35">
        <v>44</v>
      </c>
      <c r="Y23" s="35">
        <v>59</v>
      </c>
      <c r="Z23" s="35">
        <v>19</v>
      </c>
      <c r="AA23" s="35">
        <v>14</v>
      </c>
      <c r="AB23" s="35">
        <v>99</v>
      </c>
      <c r="AC23" s="35">
        <v>90</v>
      </c>
      <c r="AD23" s="35">
        <v>103</v>
      </c>
      <c r="AE23" s="35">
        <v>71</v>
      </c>
      <c r="AF23" s="35">
        <v>39</v>
      </c>
      <c r="AG23" s="35">
        <v>44</v>
      </c>
      <c r="AH23" s="35">
        <v>60</v>
      </c>
      <c r="AI23" s="35">
        <v>17</v>
      </c>
      <c r="AJ23" s="35">
        <v>12</v>
      </c>
      <c r="AK23" s="35">
        <v>26</v>
      </c>
      <c r="AL23" s="35">
        <v>24</v>
      </c>
      <c r="AM23" s="35">
        <v>26</v>
      </c>
      <c r="AN23" s="35">
        <v>70</v>
      </c>
      <c r="AO23" s="35">
        <v>39</v>
      </c>
      <c r="AP23" s="12">
        <v>3</v>
      </c>
      <c r="AQ23" s="3" t="s">
        <v>103</v>
      </c>
      <c r="AR23" s="2" t="s">
        <v>128</v>
      </c>
      <c r="AS23" s="12" t="s">
        <v>103</v>
      </c>
      <c r="AT23" s="12" t="s">
        <v>103</v>
      </c>
      <c r="AU23" s="31"/>
      <c r="AV23" s="31"/>
      <c r="AW23" s="31"/>
      <c r="AX23" s="31"/>
      <c r="AY23" s="31"/>
      <c r="AZ23" s="31"/>
    </row>
    <row r="24" spans="1:1013" ht="27.75" customHeight="1" x14ac:dyDescent="0.25">
      <c r="A24" s="43" t="s">
        <v>118</v>
      </c>
      <c r="B24" s="32" t="s">
        <v>115</v>
      </c>
      <c r="C24" s="32" t="s">
        <v>73</v>
      </c>
      <c r="D24" s="33">
        <v>43</v>
      </c>
      <c r="E24" s="50" t="s">
        <v>46</v>
      </c>
      <c r="F24" s="33">
        <v>60</v>
      </c>
      <c r="G24" s="33" t="s">
        <v>33</v>
      </c>
      <c r="H24" s="35">
        <v>50</v>
      </c>
      <c r="I24" s="35">
        <v>26</v>
      </c>
      <c r="J24" s="35">
        <v>20</v>
      </c>
      <c r="K24" s="35">
        <v>31</v>
      </c>
      <c r="L24" s="35">
        <v>30</v>
      </c>
      <c r="M24" s="35">
        <v>31</v>
      </c>
      <c r="N24" s="12">
        <v>73</v>
      </c>
      <c r="O24" s="12">
        <v>46</v>
      </c>
      <c r="P24" s="12">
        <v>108</v>
      </c>
      <c r="Q24" s="12">
        <v>120</v>
      </c>
      <c r="R24" s="12">
        <v>75</v>
      </c>
      <c r="S24" s="12">
        <v>37</v>
      </c>
      <c r="T24" s="12">
        <v>28</v>
      </c>
      <c r="U24" s="12">
        <v>23</v>
      </c>
      <c r="V24" s="12">
        <v>98</v>
      </c>
      <c r="W24" s="35" t="s">
        <v>94</v>
      </c>
      <c r="X24" s="35">
        <v>50</v>
      </c>
      <c r="Y24" s="35">
        <v>60</v>
      </c>
      <c r="Z24" s="35">
        <v>21</v>
      </c>
      <c r="AA24" s="35">
        <v>15</v>
      </c>
      <c r="AB24" s="35">
        <v>125</v>
      </c>
      <c r="AC24" s="35">
        <v>120</v>
      </c>
      <c r="AD24" s="35">
        <v>124</v>
      </c>
      <c r="AE24" s="35">
        <v>74</v>
      </c>
      <c r="AF24" s="35">
        <v>46</v>
      </c>
      <c r="AG24" s="35">
        <v>50</v>
      </c>
      <c r="AH24" s="35">
        <v>61</v>
      </c>
      <c r="AI24" s="35">
        <v>20</v>
      </c>
      <c r="AJ24" s="35">
        <v>13</v>
      </c>
      <c r="AK24" s="35">
        <v>31</v>
      </c>
      <c r="AL24" s="35">
        <v>30</v>
      </c>
      <c r="AM24" s="35">
        <v>31</v>
      </c>
      <c r="AN24" s="35">
        <v>73</v>
      </c>
      <c r="AO24" s="35">
        <v>46</v>
      </c>
      <c r="AP24" s="12">
        <v>3</v>
      </c>
      <c r="AQ24" s="3" t="s">
        <v>103</v>
      </c>
      <c r="AR24" s="2" t="s">
        <v>128</v>
      </c>
      <c r="AS24" s="12" t="s">
        <v>103</v>
      </c>
      <c r="AT24" s="12" t="s">
        <v>103</v>
      </c>
      <c r="AU24" s="31"/>
      <c r="AV24" s="31"/>
      <c r="AW24" s="31"/>
      <c r="AX24" s="31"/>
      <c r="AY24" s="31"/>
      <c r="AZ24" s="31"/>
    </row>
    <row r="25" spans="1:1013" ht="27.75" customHeight="1" x14ac:dyDescent="0.25">
      <c r="A25" s="43" t="s">
        <v>119</v>
      </c>
      <c r="B25" s="32" t="s">
        <v>116</v>
      </c>
      <c r="C25" s="32" t="s">
        <v>73</v>
      </c>
      <c r="D25" s="33">
        <v>41</v>
      </c>
      <c r="E25" s="50" t="s">
        <v>46</v>
      </c>
      <c r="F25" s="33">
        <v>57</v>
      </c>
      <c r="G25" s="33" t="s">
        <v>34</v>
      </c>
      <c r="H25" s="35">
        <v>46</v>
      </c>
      <c r="I25" s="35">
        <v>26</v>
      </c>
      <c r="J25" s="35">
        <v>17</v>
      </c>
      <c r="K25" s="35">
        <v>28</v>
      </c>
      <c r="L25" s="35">
        <v>26</v>
      </c>
      <c r="M25" s="35">
        <v>28</v>
      </c>
      <c r="N25" s="12">
        <v>72</v>
      </c>
      <c r="O25" s="12">
        <v>42</v>
      </c>
      <c r="P25" s="12">
        <v>88</v>
      </c>
      <c r="Q25" s="12">
        <v>104</v>
      </c>
      <c r="R25" s="12">
        <v>72</v>
      </c>
      <c r="S25" s="12">
        <v>34</v>
      </c>
      <c r="T25" s="12">
        <v>27</v>
      </c>
      <c r="U25" s="12">
        <v>22</v>
      </c>
      <c r="V25" s="12">
        <v>98</v>
      </c>
      <c r="W25" s="35" t="s">
        <v>94</v>
      </c>
      <c r="X25" s="35">
        <v>46</v>
      </c>
      <c r="Y25" s="35">
        <v>60</v>
      </c>
      <c r="Z25" s="35">
        <v>19</v>
      </c>
      <c r="AA25" s="35">
        <v>14</v>
      </c>
      <c r="AB25" s="35">
        <v>100</v>
      </c>
      <c r="AC25" s="35">
        <v>96</v>
      </c>
      <c r="AD25" s="35">
        <v>104</v>
      </c>
      <c r="AE25" s="35">
        <v>73</v>
      </c>
      <c r="AF25" s="35">
        <v>42</v>
      </c>
      <c r="AG25" s="35">
        <v>46</v>
      </c>
      <c r="AH25" s="35">
        <v>61</v>
      </c>
      <c r="AI25" s="35">
        <v>17</v>
      </c>
      <c r="AJ25" s="35">
        <v>12</v>
      </c>
      <c r="AK25" s="35">
        <v>28</v>
      </c>
      <c r="AL25" s="35">
        <v>26</v>
      </c>
      <c r="AM25" s="35">
        <v>28</v>
      </c>
      <c r="AN25" s="35">
        <v>72</v>
      </c>
      <c r="AO25" s="35">
        <v>42</v>
      </c>
      <c r="AP25" s="12">
        <v>3</v>
      </c>
      <c r="AQ25" s="3" t="s">
        <v>103</v>
      </c>
      <c r="AR25" s="2" t="s">
        <v>128</v>
      </c>
      <c r="AS25" s="12" t="s">
        <v>103</v>
      </c>
      <c r="AT25" s="12" t="s">
        <v>103</v>
      </c>
      <c r="AU25" s="31"/>
      <c r="AV25" s="31"/>
      <c r="AW25" s="31"/>
      <c r="AX25" s="31"/>
      <c r="AY25" s="31"/>
      <c r="AZ25" s="31"/>
    </row>
    <row r="26" spans="1:1013" ht="27.75" customHeight="1" x14ac:dyDescent="0.25">
      <c r="A26" s="43" t="s">
        <v>120</v>
      </c>
      <c r="B26" s="32" t="s">
        <v>117</v>
      </c>
      <c r="C26" s="32" t="s">
        <v>73</v>
      </c>
      <c r="D26" s="33">
        <v>42</v>
      </c>
      <c r="E26" s="50" t="s">
        <v>46</v>
      </c>
      <c r="F26" s="33">
        <v>59</v>
      </c>
      <c r="G26" s="33" t="s">
        <v>32</v>
      </c>
      <c r="H26" s="35">
        <v>48</v>
      </c>
      <c r="I26" s="35">
        <v>26</v>
      </c>
      <c r="J26" s="35">
        <v>19</v>
      </c>
      <c r="K26" s="35">
        <v>30</v>
      </c>
      <c r="L26" s="35">
        <v>28</v>
      </c>
      <c r="M26" s="35">
        <v>30</v>
      </c>
      <c r="N26" s="12">
        <v>71</v>
      </c>
      <c r="O26" s="12">
        <v>43</v>
      </c>
      <c r="P26" s="12">
        <v>97</v>
      </c>
      <c r="Q26" s="12">
        <v>121</v>
      </c>
      <c r="R26" s="12">
        <v>70</v>
      </c>
      <c r="S26" s="12">
        <v>36</v>
      </c>
      <c r="T26" s="12">
        <v>26</v>
      </c>
      <c r="U26" s="12">
        <v>21</v>
      </c>
      <c r="V26" s="12">
        <v>98</v>
      </c>
      <c r="W26" s="35" t="s">
        <v>94</v>
      </c>
      <c r="X26" s="35">
        <v>48</v>
      </c>
      <c r="Y26" s="35">
        <v>58</v>
      </c>
      <c r="Z26" s="35">
        <v>20</v>
      </c>
      <c r="AA26" s="35">
        <v>15</v>
      </c>
      <c r="AB26" s="35">
        <v>115</v>
      </c>
      <c r="AC26" s="35">
        <v>110</v>
      </c>
      <c r="AD26" s="35">
        <v>123</v>
      </c>
      <c r="AE26" s="35">
        <v>72</v>
      </c>
      <c r="AF26" s="35">
        <v>43</v>
      </c>
      <c r="AG26" s="35">
        <v>48</v>
      </c>
      <c r="AH26" s="35">
        <v>59</v>
      </c>
      <c r="AI26" s="35">
        <v>19</v>
      </c>
      <c r="AJ26" s="35">
        <v>13</v>
      </c>
      <c r="AK26" s="35">
        <v>30</v>
      </c>
      <c r="AL26" s="35">
        <v>28</v>
      </c>
      <c r="AM26" s="35">
        <v>30</v>
      </c>
      <c r="AN26" s="35">
        <v>71</v>
      </c>
      <c r="AO26" s="35">
        <v>43</v>
      </c>
      <c r="AP26" s="12">
        <v>3</v>
      </c>
      <c r="AQ26" s="3" t="s">
        <v>103</v>
      </c>
      <c r="AR26" s="2" t="s">
        <v>128</v>
      </c>
      <c r="AS26" s="12" t="s">
        <v>103</v>
      </c>
      <c r="AT26" s="12" t="s">
        <v>103</v>
      </c>
      <c r="AU26" s="31"/>
      <c r="AV26" s="31"/>
      <c r="AW26" s="31"/>
      <c r="AX26" s="31"/>
      <c r="AY26" s="31"/>
      <c r="AZ26" s="31"/>
    </row>
    <row r="27" spans="1:1013" ht="27.75" customHeight="1" x14ac:dyDescent="0.25">
      <c r="A27" s="44"/>
      <c r="B27" s="40"/>
      <c r="C27" s="40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2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5"/>
      <c r="AH27" s="35"/>
      <c r="AI27" s="35"/>
      <c r="AJ27" s="35"/>
      <c r="AK27" s="35"/>
      <c r="AL27" s="35"/>
      <c r="AM27" s="35"/>
      <c r="AN27" s="35"/>
      <c r="AO27" s="35"/>
      <c r="AR27" s="31"/>
      <c r="AS27" s="31"/>
      <c r="AT27" s="31"/>
      <c r="AU27" s="31"/>
      <c r="AV27" s="31"/>
      <c r="AW27" s="31"/>
      <c r="AX27" s="31"/>
      <c r="AY27" s="31"/>
      <c r="AZ27" s="31"/>
    </row>
    <row r="28" spans="1:1013" ht="27.75" customHeight="1" x14ac:dyDescent="0.25">
      <c r="A28" s="44"/>
      <c r="B28" s="40"/>
      <c r="C28" s="40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2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R28" s="31"/>
      <c r="AS28" s="31"/>
      <c r="AT28" s="31"/>
      <c r="AU28" s="31"/>
      <c r="AV28" s="31"/>
      <c r="AW28" s="31"/>
      <c r="AX28" s="31"/>
      <c r="AY28" s="31"/>
      <c r="AZ28" s="31"/>
    </row>
    <row r="29" spans="1:1013" ht="27.75" customHeight="1" x14ac:dyDescent="0.25">
      <c r="A29" s="44"/>
      <c r="B29" s="40"/>
      <c r="C29" s="40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</row>
    <row r="30" spans="1:1013" ht="27.75" customHeight="1" x14ac:dyDescent="0.25">
      <c r="A30" s="44"/>
      <c r="B30" s="40"/>
      <c r="C30" s="40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</row>
    <row r="31" spans="1:1013" ht="27.75" customHeight="1" x14ac:dyDescent="0.25">
      <c r="A31" s="44"/>
      <c r="B31" s="40"/>
      <c r="C31" s="40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</row>
    <row r="32" spans="1:1013" ht="27.75" customHeight="1" x14ac:dyDescent="0.25">
      <c r="A32" s="44"/>
      <c r="B32" s="40"/>
      <c r="C32" s="40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</row>
    <row r="33" spans="1:23" ht="27.75" customHeight="1" x14ac:dyDescent="0.25">
      <c r="A33" s="44"/>
      <c r="B33" s="40"/>
      <c r="C33" s="40"/>
      <c r="D33" s="31"/>
      <c r="E33" s="31"/>
      <c r="F33" s="31"/>
      <c r="G33" s="35"/>
      <c r="N33" s="3"/>
      <c r="O33" s="35"/>
      <c r="P33" s="35"/>
      <c r="Q33" s="35"/>
      <c r="R33" s="35"/>
      <c r="S33" s="35"/>
      <c r="T33" s="35"/>
      <c r="U33" s="35"/>
      <c r="V33" s="12"/>
      <c r="W33" s="31"/>
    </row>
    <row r="34" spans="1:23" ht="27.75" customHeight="1" x14ac:dyDescent="0.25">
      <c r="A34" s="44"/>
      <c r="B34" s="40"/>
      <c r="C34" s="40"/>
      <c r="D34" s="31"/>
      <c r="E34" s="31"/>
      <c r="F34" s="31"/>
      <c r="G34" s="35"/>
      <c r="N34" s="3"/>
      <c r="O34" s="3"/>
      <c r="P34" s="35"/>
      <c r="Q34" s="35"/>
      <c r="R34" s="35"/>
      <c r="S34" s="35"/>
      <c r="T34" s="35"/>
      <c r="U34" s="35"/>
      <c r="V34" s="35"/>
      <c r="W34" s="31"/>
    </row>
    <row r="35" spans="1:23" ht="27.75" customHeight="1" x14ac:dyDescent="0.25">
      <c r="A35" s="44"/>
      <c r="B35" s="40"/>
      <c r="C35" s="40"/>
      <c r="D35" s="31"/>
      <c r="E35" s="31"/>
      <c r="F35" s="31"/>
      <c r="G35" s="35"/>
      <c r="N35" s="3"/>
      <c r="O35" s="12"/>
      <c r="P35" s="12"/>
      <c r="Q35" s="12"/>
      <c r="R35" s="12"/>
      <c r="S35" s="12"/>
      <c r="T35" s="12"/>
      <c r="U35" s="12"/>
      <c r="V35" s="12"/>
      <c r="W35" s="31"/>
    </row>
    <row r="36" spans="1:23" ht="27.75" customHeight="1" x14ac:dyDescent="0.25">
      <c r="A36" s="44"/>
      <c r="B36" s="40"/>
      <c r="C36" s="40"/>
      <c r="D36" s="31"/>
      <c r="E36" s="31"/>
      <c r="F36" s="31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1"/>
    </row>
    <row r="37" spans="1:23" ht="27.75" customHeight="1" x14ac:dyDescent="0.25">
      <c r="A37" s="44"/>
      <c r="B37" s="40"/>
      <c r="C37" s="40"/>
      <c r="D37" s="31"/>
      <c r="E37" s="31"/>
      <c r="F37" s="31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1"/>
    </row>
    <row r="38" spans="1:23" ht="27.75" customHeight="1" x14ac:dyDescent="0.25">
      <c r="A38" s="44"/>
      <c r="B38" s="40"/>
      <c r="C38" s="40"/>
      <c r="D38" s="31"/>
      <c r="E38" s="31"/>
      <c r="F38" s="31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1"/>
    </row>
    <row r="39" spans="1:23" ht="27.75" customHeight="1" x14ac:dyDescent="0.25">
      <c r="A39" s="44"/>
      <c r="B39" s="40"/>
      <c r="C39" s="40"/>
      <c r="D39" s="31"/>
      <c r="E39" s="31"/>
      <c r="F39" s="31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1"/>
    </row>
    <row r="40" spans="1:23" ht="27.75" customHeight="1" x14ac:dyDescent="0.25">
      <c r="A40" s="44"/>
      <c r="B40" s="40"/>
      <c r="C40" s="40"/>
      <c r="D40" s="31"/>
      <c r="E40" s="31"/>
      <c r="F40" s="31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1"/>
    </row>
    <row r="41" spans="1:23" ht="27.75" customHeight="1" x14ac:dyDescent="0.25">
      <c r="A41" s="44"/>
      <c r="B41" s="40"/>
      <c r="C41" s="40"/>
      <c r="D41" s="31"/>
      <c r="E41" s="31"/>
      <c r="F41" s="31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1"/>
    </row>
    <row r="42" spans="1:23" ht="27.75" customHeight="1" x14ac:dyDescent="0.25">
      <c r="A42" s="44"/>
      <c r="B42" s="40"/>
      <c r="C42" s="40"/>
      <c r="D42" s="31"/>
      <c r="E42" s="31"/>
      <c r="F42" s="31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1"/>
    </row>
    <row r="43" spans="1:23" ht="27.75" customHeight="1" x14ac:dyDescent="0.25">
      <c r="A43" s="44"/>
      <c r="B43" s="40"/>
      <c r="C43" s="40"/>
      <c r="D43" s="31"/>
      <c r="E43" s="31"/>
      <c r="F43" s="31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1"/>
    </row>
  </sheetData>
  <phoneticPr fontId="20" type="noConversion"/>
  <pageMargins left="0.65" right="3.9583333333333297E-2" top="0.4" bottom="0.12986111111111101" header="0.22013888888888899" footer="0.51180555555555496"/>
  <pageSetup paperSize="9" firstPageNumber="0" orientation="portrait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3"/>
  <sheetViews>
    <sheetView zoomScale="115" zoomScaleNormal="115" workbookViewId="0">
      <selection activeCell="A7" sqref="A7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COUNTIF(SEMUA!$G$2:$G$43,REKAP!A4)</f>
        <v>9</v>
      </c>
      <c r="D4">
        <v>37</v>
      </c>
      <c r="G4" s="7">
        <v>53</v>
      </c>
      <c r="H4">
        <f>COUNTIF(SEMUA!$F$2:$F$43,G4)</f>
        <v>0</v>
      </c>
      <c r="J4" s="6">
        <v>1</v>
      </c>
      <c r="K4" s="6" t="s">
        <v>73</v>
      </c>
      <c r="L4">
        <f>COUNTIF(SEMUA!$C$1:$C$43,REKAP!K4)</f>
        <v>25</v>
      </c>
    </row>
    <row r="5" spans="1:12" ht="15.75" x14ac:dyDescent="0.25">
      <c r="A5" s="6" t="s">
        <v>31</v>
      </c>
      <c r="B5">
        <f>COUNTIF(SEMUA!$G$2:$G$43,REKAP!A5)</f>
        <v>2</v>
      </c>
      <c r="D5">
        <v>38</v>
      </c>
      <c r="E5">
        <f>COUNTIF(SEMUA!$D$2:$D$43,D5)</f>
        <v>0</v>
      </c>
      <c r="G5" s="7">
        <v>54</v>
      </c>
      <c r="H5">
        <f>COUNTIF(SEMUA!$F$2:$F$43,G5)</f>
        <v>0</v>
      </c>
      <c r="J5" s="6"/>
      <c r="K5" s="6"/>
    </row>
    <row r="6" spans="1:12" ht="15.75" x14ac:dyDescent="0.25">
      <c r="A6" s="6" t="s">
        <v>35</v>
      </c>
      <c r="B6">
        <f>COUNTIF(SEMUA!$G$2:$G$43,REKAP!A6)</f>
        <v>0</v>
      </c>
      <c r="D6" s="7">
        <v>39</v>
      </c>
      <c r="E6">
        <f>COUNTIF(SEMUA!$D$2:$D$43,D6)</f>
        <v>0</v>
      </c>
      <c r="G6" s="7">
        <v>55</v>
      </c>
      <c r="H6">
        <f>COUNTIF(SEMUA!$F$2:$F$43,G6)</f>
        <v>3</v>
      </c>
      <c r="J6" s="6"/>
      <c r="K6" s="6"/>
    </row>
    <row r="7" spans="1:12" ht="15.75" x14ac:dyDescent="0.25">
      <c r="A7" s="6" t="s">
        <v>34</v>
      </c>
      <c r="B7">
        <f>COUNTIF(SEMUA!$G$2:$G$43,REKAP!A7)</f>
        <v>10</v>
      </c>
      <c r="D7" s="7">
        <v>40</v>
      </c>
      <c r="E7">
        <f>COUNTIF(SEMUA!$D$2:$D$43,D7)</f>
        <v>3</v>
      </c>
      <c r="G7" s="7">
        <v>56</v>
      </c>
      <c r="H7">
        <f>COUNTIF(SEMUA!$F$2:$F$43,G7)</f>
        <v>6</v>
      </c>
      <c r="J7" s="6"/>
      <c r="K7" s="6"/>
    </row>
    <row r="8" spans="1:12" ht="15.75" x14ac:dyDescent="0.25">
      <c r="A8" s="6" t="s">
        <v>33</v>
      </c>
      <c r="B8">
        <f>COUNTIF(SEMUA!$G$2:$G$43,REKAP!A8)</f>
        <v>4</v>
      </c>
      <c r="D8" s="7">
        <v>41</v>
      </c>
      <c r="E8">
        <f>COUNTIF(SEMUA!$D$2:$D$43,D8)</f>
        <v>8</v>
      </c>
      <c r="G8" s="7">
        <v>57</v>
      </c>
      <c r="H8">
        <f>COUNTIF(SEMUA!$F$2:$F$43,G8)</f>
        <v>5</v>
      </c>
      <c r="J8" s="6"/>
      <c r="K8" s="6"/>
    </row>
    <row r="9" spans="1:12" ht="15.75" x14ac:dyDescent="0.25">
      <c r="A9" s="6" t="s">
        <v>36</v>
      </c>
      <c r="B9">
        <f>COUNTIF(SEMUA!$G$2:$G$43,REKAP!A9)</f>
        <v>0</v>
      </c>
      <c r="D9" s="7">
        <v>42</v>
      </c>
      <c r="E9">
        <f>COUNTIF(SEMUA!$D$2:$D$43,D9)</f>
        <v>8</v>
      </c>
      <c r="G9" s="7">
        <v>58</v>
      </c>
      <c r="H9">
        <f>COUNTIF(SEMUA!$F$2:$F$43,G9)</f>
        <v>7</v>
      </c>
      <c r="J9" s="6"/>
    </row>
    <row r="10" spans="1:12" ht="15.75" x14ac:dyDescent="0.25">
      <c r="A10" s="6" t="s">
        <v>37</v>
      </c>
      <c r="B10">
        <f>COUNTIF(SEMUA!$G$2:$G$43,REKAP!A10)</f>
        <v>0</v>
      </c>
      <c r="D10" s="7">
        <v>43</v>
      </c>
      <c r="E10">
        <f>COUNTIF(SEMUA!$D$2:$D$43,D10)</f>
        <v>4</v>
      </c>
      <c r="G10" s="7">
        <v>59</v>
      </c>
      <c r="H10">
        <f>COUNTIF(SEMUA!$F$2:$F$43,G10)</f>
        <v>3</v>
      </c>
      <c r="J10" s="6"/>
    </row>
    <row r="11" spans="1:12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COUNTIF(SEMUA!$D$2:$D$43,D11)</f>
        <v>1</v>
      </c>
      <c r="G11" s="1">
        <v>60</v>
      </c>
      <c r="H11">
        <f>COUNTIF(SEMUA!$F$2:$F$43,G11)</f>
        <v>1</v>
      </c>
      <c r="J11" s="6"/>
    </row>
    <row r="12" spans="1:12" ht="15.75" x14ac:dyDescent="0.25">
      <c r="D12" s="7">
        <v>45</v>
      </c>
      <c r="E12">
        <f>COUNTIF(SEMUA!$D$2:$D$43,D12)</f>
        <v>0</v>
      </c>
      <c r="H12">
        <f>SUM(H4:H11)</f>
        <v>25</v>
      </c>
      <c r="J12" s="6"/>
    </row>
    <row r="13" spans="1:12" ht="15.75" x14ac:dyDescent="0.25">
      <c r="D13" s="7">
        <v>46</v>
      </c>
      <c r="E13">
        <f>COUNTIF(SEMUA!$D$2:$D$43,D13)</f>
        <v>1</v>
      </c>
    </row>
    <row r="14" spans="1:12" ht="15.75" x14ac:dyDescent="0.25">
      <c r="D14" s="7"/>
      <c r="E14">
        <f>SUM(E5:E13)</f>
        <v>25</v>
      </c>
    </row>
    <row r="15" spans="1:12" ht="15.75" x14ac:dyDescent="0.25">
      <c r="D15" s="7"/>
    </row>
    <row r="16" spans="1:12" ht="15.75" x14ac:dyDescent="0.25">
      <c r="D16" s="7"/>
    </row>
    <row r="17" spans="4:4" ht="15.75" x14ac:dyDescent="0.25">
      <c r="D17" s="7"/>
    </row>
    <row r="18" spans="4:4" ht="15.75" x14ac:dyDescent="0.25">
      <c r="D18" s="7"/>
    </row>
    <row r="19" spans="4:4" ht="15.75" x14ac:dyDescent="0.25">
      <c r="D19" s="7"/>
    </row>
    <row r="20" spans="4:4" ht="15.75" x14ac:dyDescent="0.25">
      <c r="D20" s="7"/>
    </row>
    <row r="21" spans="4:4" ht="15.75" x14ac:dyDescent="0.25">
      <c r="D21" s="7"/>
    </row>
    <row r="22" spans="4:4" ht="15.75" x14ac:dyDescent="0.25">
      <c r="D22" s="7"/>
    </row>
    <row r="23" spans="4:4" ht="15.75" x14ac:dyDescent="0.25">
      <c r="D23" s="7"/>
    </row>
    <row r="24" spans="4:4" ht="15.75" x14ac:dyDescent="0.25">
      <c r="D24" s="7"/>
    </row>
    <row r="25" spans="4:4" ht="15.75" x14ac:dyDescent="0.25">
      <c r="D25" s="7"/>
    </row>
    <row r="26" spans="4:4" ht="15.75" x14ac:dyDescent="0.25">
      <c r="D26" s="7"/>
    </row>
    <row r="27" spans="4:4" ht="15.75" x14ac:dyDescent="0.25">
      <c r="D27" s="7"/>
    </row>
    <row r="28" spans="4:4" ht="15.75" x14ac:dyDescent="0.25">
      <c r="D28" s="7"/>
    </row>
    <row r="29" spans="4:4" ht="15.75" x14ac:dyDescent="0.25">
      <c r="D29" s="7"/>
    </row>
    <row r="30" spans="4:4" ht="15.75" x14ac:dyDescent="0.25">
      <c r="D30" s="7"/>
    </row>
    <row r="31" spans="4:4" ht="15.75" x14ac:dyDescent="0.25">
      <c r="D31" s="7"/>
    </row>
    <row r="32" spans="4:4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ht="15.75" x14ac:dyDescent="0.25">
      <c r="D77" s="7"/>
    </row>
    <row r="78" spans="4:4" ht="15.75" x14ac:dyDescent="0.25">
      <c r="D78" s="7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A615E-313F-47A2-8905-FF5EE98AC56C}">
  <sheetPr>
    <tabColor rgb="FF70AD47"/>
  </sheetPr>
  <dimension ref="A1:AMB101"/>
  <sheetViews>
    <sheetView zoomScale="55" zoomScaleNormal="55" workbookViewId="0">
      <pane ySplit="1" topLeftCell="A2" activePane="bottomLeft" state="frozen"/>
      <selection pane="bottomLeft" activeCell="G9" sqref="G9"/>
    </sheetView>
  </sheetViews>
  <sheetFormatPr defaultColWidth="8.7109375" defaultRowHeight="24.75" customHeight="1" x14ac:dyDescent="0.25"/>
  <cols>
    <col min="1" max="1" width="6.140625" style="1" bestFit="1" customWidth="1"/>
    <col min="2" max="2" width="31.5703125" style="2" customWidth="1"/>
    <col min="3" max="3" width="22.7109375" style="1" bestFit="1" customWidth="1"/>
    <col min="4" max="4" width="5.28515625" style="1" bestFit="1" customWidth="1"/>
    <col min="5" max="5" width="5.85546875" style="3" bestFit="1" customWidth="1"/>
    <col min="6" max="6" width="11.28515625" style="1" customWidth="1"/>
    <col min="7" max="7" width="6.85546875" style="11" bestFit="1" customWidth="1"/>
    <col min="8" max="13" width="6.42578125" style="3" bestFit="1" customWidth="1"/>
    <col min="14" max="16" width="6.42578125" style="1" bestFit="1" customWidth="1"/>
    <col min="17" max="17" width="13.28515625" style="29" bestFit="1" customWidth="1"/>
    <col min="18" max="962" width="8.7109375" style="2"/>
    <col min="963" max="16384" width="8.7109375" style="4"/>
  </cols>
  <sheetData>
    <row r="1" spans="1:962" s="17" customFormat="1" ht="24.75" customHeight="1" x14ac:dyDescent="0.25">
      <c r="A1" s="14" t="s">
        <v>0</v>
      </c>
      <c r="B1" s="26" t="s">
        <v>1</v>
      </c>
      <c r="C1" s="14" t="s">
        <v>2</v>
      </c>
      <c r="D1" s="14" t="s">
        <v>101</v>
      </c>
      <c r="E1" s="14" t="s">
        <v>5</v>
      </c>
      <c r="F1" s="14" t="s">
        <v>127</v>
      </c>
      <c r="G1" s="15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125</v>
      </c>
      <c r="Q1" s="28" t="s">
        <v>126</v>
      </c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  <c r="LR1" s="16"/>
      <c r="LS1" s="16"/>
      <c r="LT1" s="16"/>
      <c r="LU1" s="16"/>
      <c r="LV1" s="16"/>
      <c r="LW1" s="16"/>
      <c r="LX1" s="16"/>
      <c r="LY1" s="16"/>
      <c r="LZ1" s="16"/>
      <c r="MA1" s="16"/>
      <c r="MB1" s="16"/>
      <c r="MC1" s="16"/>
      <c r="MD1" s="16"/>
      <c r="ME1" s="16"/>
      <c r="MF1" s="16"/>
      <c r="MG1" s="16"/>
      <c r="MH1" s="16"/>
      <c r="MI1" s="16"/>
      <c r="MJ1" s="16"/>
      <c r="MK1" s="16"/>
      <c r="ML1" s="16"/>
      <c r="MM1" s="16"/>
      <c r="MN1" s="16"/>
      <c r="MO1" s="16"/>
      <c r="MP1" s="16"/>
      <c r="MQ1" s="16"/>
      <c r="MR1" s="16"/>
      <c r="MS1" s="16"/>
      <c r="MT1" s="16"/>
      <c r="MU1" s="16"/>
      <c r="MV1" s="16"/>
      <c r="MW1" s="16"/>
      <c r="MX1" s="16"/>
      <c r="MY1" s="16"/>
      <c r="MZ1" s="16"/>
      <c r="NA1" s="16"/>
      <c r="NB1" s="16"/>
      <c r="NC1" s="16"/>
      <c r="ND1" s="16"/>
      <c r="NE1" s="16"/>
      <c r="NF1" s="16"/>
      <c r="NG1" s="16"/>
      <c r="NH1" s="16"/>
      <c r="NI1" s="16"/>
      <c r="NJ1" s="16"/>
      <c r="NK1" s="16"/>
      <c r="NL1" s="16"/>
      <c r="NM1" s="16"/>
      <c r="NN1" s="16"/>
      <c r="NO1" s="16"/>
      <c r="NP1" s="16"/>
      <c r="NQ1" s="16"/>
      <c r="NR1" s="16"/>
      <c r="NS1" s="16"/>
      <c r="NT1" s="16"/>
      <c r="NU1" s="16"/>
      <c r="NV1" s="16"/>
      <c r="NW1" s="16"/>
      <c r="NX1" s="16"/>
      <c r="NY1" s="16"/>
      <c r="NZ1" s="16"/>
      <c r="OA1" s="16"/>
      <c r="OB1" s="16"/>
      <c r="OC1" s="16"/>
      <c r="OD1" s="16"/>
      <c r="OE1" s="16"/>
      <c r="OF1" s="16"/>
      <c r="OG1" s="16"/>
      <c r="OH1" s="16"/>
      <c r="OI1" s="16"/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6"/>
      <c r="OZ1" s="16"/>
      <c r="PA1" s="16"/>
      <c r="PB1" s="16"/>
      <c r="PC1" s="16"/>
      <c r="PD1" s="16"/>
      <c r="PE1" s="16"/>
      <c r="PF1" s="16"/>
      <c r="PG1" s="16"/>
      <c r="PH1" s="16"/>
      <c r="PI1" s="16"/>
      <c r="PJ1" s="16"/>
      <c r="PK1" s="16"/>
      <c r="PL1" s="16"/>
      <c r="PM1" s="16"/>
      <c r="PN1" s="16"/>
      <c r="PO1" s="16"/>
      <c r="PP1" s="16"/>
      <c r="PQ1" s="16"/>
      <c r="PR1" s="16"/>
      <c r="PS1" s="16"/>
      <c r="PT1" s="16"/>
      <c r="PU1" s="16"/>
      <c r="PV1" s="16"/>
      <c r="PW1" s="16"/>
      <c r="PX1" s="16"/>
      <c r="PY1" s="16"/>
      <c r="PZ1" s="16"/>
      <c r="QA1" s="16"/>
      <c r="QB1" s="16"/>
      <c r="QC1" s="16"/>
      <c r="QD1" s="16"/>
      <c r="QE1" s="16"/>
      <c r="QF1" s="16"/>
      <c r="QG1" s="16"/>
      <c r="QH1" s="16"/>
      <c r="QI1" s="16"/>
      <c r="QJ1" s="16"/>
      <c r="QK1" s="16"/>
      <c r="QL1" s="16"/>
      <c r="QM1" s="16"/>
      <c r="QN1" s="16"/>
      <c r="QO1" s="16"/>
      <c r="QP1" s="16"/>
      <c r="QQ1" s="16"/>
      <c r="QR1" s="16"/>
      <c r="QS1" s="16"/>
      <c r="QT1" s="16"/>
      <c r="QU1" s="16"/>
      <c r="QV1" s="16"/>
      <c r="QW1" s="16"/>
      <c r="QX1" s="16"/>
      <c r="QY1" s="16"/>
      <c r="QZ1" s="16"/>
      <c r="RA1" s="16"/>
      <c r="RB1" s="16"/>
      <c r="RC1" s="16"/>
      <c r="RD1" s="16"/>
      <c r="RE1" s="16"/>
      <c r="RF1" s="16"/>
      <c r="RG1" s="16"/>
      <c r="RH1" s="16"/>
      <c r="RI1" s="16"/>
      <c r="RJ1" s="16"/>
      <c r="RK1" s="16"/>
      <c r="RL1" s="16"/>
      <c r="RM1" s="16"/>
      <c r="RN1" s="16"/>
      <c r="RO1" s="16"/>
      <c r="RP1" s="16"/>
      <c r="RQ1" s="16"/>
      <c r="RR1" s="16"/>
      <c r="RS1" s="16"/>
      <c r="RT1" s="16"/>
      <c r="RU1" s="16"/>
      <c r="RV1" s="16"/>
      <c r="RW1" s="16"/>
      <c r="RX1" s="16"/>
      <c r="RY1" s="16"/>
      <c r="RZ1" s="16"/>
      <c r="SA1" s="16"/>
      <c r="SB1" s="16"/>
      <c r="SC1" s="16"/>
      <c r="SD1" s="16"/>
      <c r="SE1" s="16"/>
      <c r="SF1" s="16"/>
      <c r="SG1" s="16"/>
      <c r="SH1" s="16"/>
      <c r="SI1" s="16"/>
      <c r="SJ1" s="16"/>
      <c r="SK1" s="16"/>
      <c r="SL1" s="16"/>
      <c r="SM1" s="16"/>
      <c r="SN1" s="16"/>
      <c r="SO1" s="16"/>
      <c r="SP1" s="16"/>
      <c r="SQ1" s="16"/>
      <c r="SR1" s="16"/>
      <c r="SS1" s="16"/>
      <c r="ST1" s="16"/>
      <c r="SU1" s="16"/>
      <c r="SV1" s="16"/>
      <c r="SW1" s="16"/>
      <c r="SX1" s="16"/>
      <c r="SY1" s="16"/>
      <c r="SZ1" s="16"/>
      <c r="TA1" s="16"/>
      <c r="TB1" s="16"/>
      <c r="TC1" s="16"/>
      <c r="TD1" s="16"/>
      <c r="TE1" s="16"/>
      <c r="TF1" s="16"/>
      <c r="TG1" s="16"/>
      <c r="TH1" s="16"/>
      <c r="TI1" s="16"/>
      <c r="TJ1" s="16"/>
      <c r="TK1" s="16"/>
      <c r="TL1" s="16"/>
      <c r="TM1" s="16"/>
      <c r="TN1" s="16"/>
      <c r="TO1" s="16"/>
      <c r="TP1" s="16"/>
      <c r="TQ1" s="16"/>
      <c r="TR1" s="16"/>
      <c r="TS1" s="16"/>
      <c r="TT1" s="16"/>
      <c r="TU1" s="16"/>
      <c r="TV1" s="16"/>
      <c r="TW1" s="16"/>
      <c r="TX1" s="16"/>
      <c r="TY1" s="16"/>
      <c r="TZ1" s="16"/>
      <c r="UA1" s="16"/>
      <c r="UB1" s="16"/>
      <c r="UC1" s="16"/>
      <c r="UD1" s="16"/>
      <c r="UE1" s="16"/>
      <c r="UF1" s="16"/>
      <c r="UG1" s="16"/>
      <c r="UH1" s="16"/>
      <c r="UI1" s="16"/>
      <c r="UJ1" s="16"/>
      <c r="UK1" s="16"/>
      <c r="UL1" s="16"/>
      <c r="UM1" s="16"/>
      <c r="UN1" s="16"/>
      <c r="UO1" s="16"/>
      <c r="UP1" s="16"/>
      <c r="UQ1" s="16"/>
      <c r="UR1" s="16"/>
      <c r="US1" s="16"/>
      <c r="UT1" s="16"/>
      <c r="UU1" s="16"/>
      <c r="UV1" s="16"/>
      <c r="UW1" s="16"/>
      <c r="UX1" s="16"/>
      <c r="UY1" s="16"/>
      <c r="UZ1" s="16"/>
      <c r="VA1" s="16"/>
      <c r="VB1" s="16"/>
      <c r="VC1" s="16"/>
      <c r="VD1" s="16"/>
      <c r="VE1" s="16"/>
      <c r="VF1" s="16"/>
      <c r="VG1" s="16"/>
      <c r="VH1" s="16"/>
      <c r="VI1" s="16"/>
      <c r="VJ1" s="16"/>
      <c r="VK1" s="16"/>
      <c r="VL1" s="16"/>
      <c r="VM1" s="16"/>
      <c r="VN1" s="16"/>
      <c r="VO1" s="16"/>
      <c r="VP1" s="16"/>
      <c r="VQ1" s="16"/>
      <c r="VR1" s="16"/>
      <c r="VS1" s="16"/>
      <c r="VT1" s="16"/>
      <c r="VU1" s="16"/>
      <c r="VV1" s="16"/>
      <c r="VW1" s="16"/>
      <c r="VX1" s="16"/>
      <c r="VY1" s="16"/>
      <c r="VZ1" s="16"/>
      <c r="WA1" s="16"/>
      <c r="WB1" s="16"/>
      <c r="WC1" s="16"/>
      <c r="WD1" s="16"/>
      <c r="WE1" s="16"/>
      <c r="WF1" s="16"/>
      <c r="WG1" s="16"/>
      <c r="WH1" s="16"/>
      <c r="WI1" s="16"/>
      <c r="WJ1" s="16"/>
      <c r="WK1" s="16"/>
      <c r="WL1" s="16"/>
      <c r="WM1" s="16"/>
      <c r="WN1" s="16"/>
      <c r="WO1" s="16"/>
      <c r="WP1" s="16"/>
      <c r="WQ1" s="16"/>
      <c r="WR1" s="16"/>
      <c r="WS1" s="16"/>
      <c r="WT1" s="16"/>
      <c r="WU1" s="16"/>
      <c r="WV1" s="16"/>
      <c r="WW1" s="16"/>
      <c r="WX1" s="16"/>
      <c r="WY1" s="16"/>
      <c r="WZ1" s="16"/>
      <c r="XA1" s="16"/>
      <c r="XB1" s="16"/>
      <c r="XC1" s="16"/>
      <c r="XD1" s="16"/>
      <c r="XE1" s="16"/>
      <c r="XF1" s="16"/>
      <c r="XG1" s="16"/>
      <c r="XH1" s="16"/>
      <c r="XI1" s="16"/>
      <c r="XJ1" s="16"/>
      <c r="XK1" s="16"/>
      <c r="XL1" s="16"/>
      <c r="XM1" s="16"/>
      <c r="XN1" s="16"/>
      <c r="XO1" s="16"/>
      <c r="XP1" s="16"/>
      <c r="XQ1" s="16"/>
      <c r="XR1" s="16"/>
      <c r="XS1" s="16"/>
      <c r="XT1" s="16"/>
      <c r="XU1" s="16"/>
      <c r="XV1" s="16"/>
      <c r="XW1" s="16"/>
      <c r="XX1" s="16"/>
      <c r="XY1" s="16"/>
      <c r="XZ1" s="16"/>
      <c r="YA1" s="16"/>
      <c r="YB1" s="16"/>
      <c r="YC1" s="16"/>
      <c r="YD1" s="16"/>
      <c r="YE1" s="16"/>
      <c r="YF1" s="16"/>
      <c r="YG1" s="16"/>
      <c r="YH1" s="16"/>
      <c r="YI1" s="16"/>
      <c r="YJ1" s="16"/>
      <c r="YK1" s="16"/>
      <c r="YL1" s="16"/>
      <c r="YM1" s="16"/>
      <c r="YN1" s="16"/>
      <c r="YO1" s="16"/>
      <c r="YP1" s="16"/>
      <c r="YQ1" s="16"/>
      <c r="YR1" s="16"/>
      <c r="YS1" s="16"/>
      <c r="YT1" s="16"/>
      <c r="YU1" s="16"/>
      <c r="YV1" s="16"/>
      <c r="YW1" s="16"/>
      <c r="YX1" s="16"/>
      <c r="YY1" s="16"/>
      <c r="YZ1" s="16"/>
      <c r="ZA1" s="16"/>
      <c r="ZB1" s="16"/>
      <c r="ZC1" s="16"/>
      <c r="ZD1" s="16"/>
      <c r="ZE1" s="16"/>
      <c r="ZF1" s="16"/>
      <c r="ZG1" s="16"/>
      <c r="ZH1" s="16"/>
      <c r="ZI1" s="16"/>
      <c r="ZJ1" s="16"/>
      <c r="ZK1" s="16"/>
      <c r="ZL1" s="16"/>
      <c r="ZM1" s="16"/>
      <c r="ZN1" s="16"/>
      <c r="ZO1" s="16"/>
      <c r="ZP1" s="16"/>
      <c r="ZQ1" s="16"/>
      <c r="ZR1" s="16"/>
      <c r="ZS1" s="16"/>
      <c r="ZT1" s="16"/>
      <c r="ZU1" s="16"/>
      <c r="ZV1" s="16"/>
      <c r="ZW1" s="16"/>
      <c r="ZX1" s="16"/>
      <c r="ZY1" s="16"/>
      <c r="ZZ1" s="16"/>
      <c r="AAA1" s="16"/>
      <c r="AAB1" s="16"/>
      <c r="AAC1" s="16"/>
      <c r="AAD1" s="16"/>
      <c r="AAE1" s="16"/>
      <c r="AAF1" s="16"/>
      <c r="AAG1" s="16"/>
      <c r="AAH1" s="16"/>
      <c r="AAI1" s="16"/>
      <c r="AAJ1" s="16"/>
      <c r="AAK1" s="16"/>
      <c r="AAL1" s="16"/>
      <c r="AAM1" s="16"/>
      <c r="AAN1" s="16"/>
      <c r="AAO1" s="16"/>
      <c r="AAP1" s="16"/>
      <c r="AAQ1" s="16"/>
      <c r="AAR1" s="16"/>
      <c r="AAS1" s="16"/>
      <c r="AAT1" s="16"/>
      <c r="AAU1" s="16"/>
      <c r="AAV1" s="16"/>
      <c r="AAW1" s="16"/>
      <c r="AAX1" s="16"/>
      <c r="AAY1" s="16"/>
      <c r="AAZ1" s="16"/>
      <c r="ABA1" s="16"/>
      <c r="ABB1" s="16"/>
      <c r="ABC1" s="16"/>
      <c r="ABD1" s="16"/>
      <c r="ABE1" s="16"/>
      <c r="ABF1" s="16"/>
      <c r="ABG1" s="16"/>
      <c r="ABH1" s="16"/>
      <c r="ABI1" s="16"/>
      <c r="ABJ1" s="16"/>
      <c r="ABK1" s="16"/>
      <c r="ABL1" s="16"/>
      <c r="ABM1" s="16"/>
      <c r="ABN1" s="16"/>
      <c r="ABO1" s="16"/>
      <c r="ABP1" s="16"/>
      <c r="ABQ1" s="16"/>
      <c r="ABR1" s="16"/>
      <c r="ABS1" s="16"/>
      <c r="ABT1" s="16"/>
      <c r="ABU1" s="16"/>
      <c r="ABV1" s="16"/>
      <c r="ABW1" s="16"/>
      <c r="ABX1" s="16"/>
      <c r="ABY1" s="16"/>
      <c r="ABZ1" s="16"/>
      <c r="ACA1" s="16"/>
      <c r="ACB1" s="16"/>
      <c r="ACC1" s="16"/>
      <c r="ACD1" s="16"/>
      <c r="ACE1" s="16"/>
      <c r="ACF1" s="16"/>
      <c r="ACG1" s="16"/>
      <c r="ACH1" s="16"/>
      <c r="ACI1" s="16"/>
      <c r="ACJ1" s="16"/>
      <c r="ACK1" s="16"/>
      <c r="ACL1" s="16"/>
      <c r="ACM1" s="16"/>
      <c r="ACN1" s="16"/>
      <c r="ACO1" s="16"/>
      <c r="ACP1" s="16"/>
      <c r="ACQ1" s="16"/>
      <c r="ACR1" s="16"/>
      <c r="ACS1" s="16"/>
      <c r="ACT1" s="16"/>
      <c r="ACU1" s="16"/>
      <c r="ACV1" s="16"/>
      <c r="ACW1" s="16"/>
      <c r="ACX1" s="16"/>
      <c r="ACY1" s="16"/>
      <c r="ACZ1" s="16"/>
      <c r="ADA1" s="16"/>
      <c r="ADB1" s="16"/>
      <c r="ADC1" s="16"/>
      <c r="ADD1" s="16"/>
      <c r="ADE1" s="16"/>
      <c r="ADF1" s="16"/>
      <c r="ADG1" s="16"/>
      <c r="ADH1" s="16"/>
      <c r="ADI1" s="16"/>
      <c r="ADJ1" s="16"/>
      <c r="ADK1" s="16"/>
      <c r="ADL1" s="16"/>
      <c r="ADM1" s="16"/>
      <c r="ADN1" s="16"/>
      <c r="ADO1" s="16"/>
      <c r="ADP1" s="16"/>
      <c r="ADQ1" s="16"/>
      <c r="ADR1" s="16"/>
      <c r="ADS1" s="16"/>
      <c r="ADT1" s="16"/>
      <c r="ADU1" s="16"/>
      <c r="ADV1" s="16"/>
      <c r="ADW1" s="16"/>
      <c r="ADX1" s="16"/>
      <c r="ADY1" s="16"/>
      <c r="ADZ1" s="16"/>
      <c r="AEA1" s="16"/>
      <c r="AEB1" s="16"/>
      <c r="AEC1" s="16"/>
      <c r="AED1" s="16"/>
      <c r="AEE1" s="16"/>
      <c r="AEF1" s="16"/>
      <c r="AEG1" s="16"/>
      <c r="AEH1" s="16"/>
      <c r="AEI1" s="16"/>
      <c r="AEJ1" s="16"/>
      <c r="AEK1" s="16"/>
      <c r="AEL1" s="16"/>
      <c r="AEM1" s="16"/>
      <c r="AEN1" s="16"/>
      <c r="AEO1" s="16"/>
      <c r="AEP1" s="16"/>
      <c r="AEQ1" s="16"/>
      <c r="AER1" s="16"/>
      <c r="AES1" s="16"/>
      <c r="AET1" s="16"/>
      <c r="AEU1" s="16"/>
      <c r="AEV1" s="16"/>
      <c r="AEW1" s="16"/>
      <c r="AEX1" s="16"/>
      <c r="AEY1" s="16"/>
      <c r="AEZ1" s="16"/>
      <c r="AFA1" s="16"/>
      <c r="AFB1" s="16"/>
      <c r="AFC1" s="16"/>
      <c r="AFD1" s="16"/>
      <c r="AFE1" s="16"/>
      <c r="AFF1" s="16"/>
      <c r="AFG1" s="16"/>
      <c r="AFH1" s="16"/>
      <c r="AFI1" s="16"/>
      <c r="AFJ1" s="16"/>
      <c r="AFK1" s="16"/>
      <c r="AFL1" s="16"/>
      <c r="AFM1" s="16"/>
      <c r="AFN1" s="16"/>
      <c r="AFO1" s="16"/>
      <c r="AFP1" s="16"/>
      <c r="AFQ1" s="16"/>
      <c r="AFR1" s="16"/>
      <c r="AFS1" s="16"/>
      <c r="AFT1" s="16"/>
      <c r="AFU1" s="16"/>
      <c r="AFV1" s="16"/>
      <c r="AFW1" s="16"/>
      <c r="AFX1" s="16"/>
      <c r="AFY1" s="16"/>
      <c r="AFZ1" s="16"/>
      <c r="AGA1" s="16"/>
      <c r="AGB1" s="16"/>
      <c r="AGC1" s="16"/>
      <c r="AGD1" s="16"/>
      <c r="AGE1" s="16"/>
      <c r="AGF1" s="16"/>
      <c r="AGG1" s="16"/>
      <c r="AGH1" s="16"/>
      <c r="AGI1" s="16"/>
      <c r="AGJ1" s="16"/>
      <c r="AGK1" s="16"/>
      <c r="AGL1" s="16"/>
      <c r="AGM1" s="16"/>
      <c r="AGN1" s="16"/>
      <c r="AGO1" s="16"/>
      <c r="AGP1" s="16"/>
      <c r="AGQ1" s="16"/>
      <c r="AGR1" s="16"/>
      <c r="AGS1" s="16"/>
      <c r="AGT1" s="16"/>
      <c r="AGU1" s="16"/>
      <c r="AGV1" s="16"/>
      <c r="AGW1" s="16"/>
      <c r="AGX1" s="16"/>
      <c r="AGY1" s="16"/>
      <c r="AGZ1" s="16"/>
      <c r="AHA1" s="16"/>
      <c r="AHB1" s="16"/>
      <c r="AHC1" s="16"/>
      <c r="AHD1" s="16"/>
      <c r="AHE1" s="16"/>
      <c r="AHF1" s="16"/>
      <c r="AHG1" s="16"/>
      <c r="AHH1" s="16"/>
      <c r="AHI1" s="16"/>
      <c r="AHJ1" s="16"/>
      <c r="AHK1" s="16"/>
      <c r="AHL1" s="16"/>
      <c r="AHM1" s="16"/>
      <c r="AHN1" s="16"/>
      <c r="AHO1" s="16"/>
      <c r="AHP1" s="16"/>
      <c r="AHQ1" s="16"/>
      <c r="AHR1" s="16"/>
      <c r="AHS1" s="16"/>
      <c r="AHT1" s="16"/>
      <c r="AHU1" s="16"/>
      <c r="AHV1" s="16"/>
      <c r="AHW1" s="16"/>
      <c r="AHX1" s="16"/>
      <c r="AHY1" s="16"/>
      <c r="AHZ1" s="16"/>
      <c r="AIA1" s="16"/>
      <c r="AIB1" s="16"/>
      <c r="AIC1" s="16"/>
      <c r="AID1" s="16"/>
      <c r="AIE1" s="16"/>
      <c r="AIF1" s="16"/>
      <c r="AIG1" s="16"/>
      <c r="AIH1" s="16"/>
      <c r="AII1" s="16"/>
      <c r="AIJ1" s="16"/>
      <c r="AIK1" s="16"/>
      <c r="AIL1" s="16"/>
      <c r="AIM1" s="16"/>
      <c r="AIN1" s="16"/>
      <c r="AIO1" s="16"/>
      <c r="AIP1" s="16"/>
      <c r="AIQ1" s="16"/>
      <c r="AIR1" s="16"/>
      <c r="AIS1" s="16"/>
      <c r="AIT1" s="16"/>
      <c r="AIU1" s="16"/>
      <c r="AIV1" s="16"/>
      <c r="AIW1" s="16"/>
      <c r="AIX1" s="16"/>
      <c r="AIY1" s="16"/>
      <c r="AIZ1" s="16"/>
      <c r="AJA1" s="16"/>
      <c r="AJB1" s="16"/>
      <c r="AJC1" s="16"/>
      <c r="AJD1" s="16"/>
      <c r="AJE1" s="16"/>
      <c r="AJF1" s="16"/>
      <c r="AJG1" s="16"/>
      <c r="AJH1" s="16"/>
      <c r="AJI1" s="16"/>
      <c r="AJJ1" s="16"/>
      <c r="AJK1" s="16"/>
      <c r="AJL1" s="16"/>
      <c r="AJM1" s="16"/>
      <c r="AJN1" s="16"/>
      <c r="AJO1" s="16"/>
      <c r="AJP1" s="16"/>
      <c r="AJQ1" s="16"/>
      <c r="AJR1" s="16"/>
      <c r="AJS1" s="16"/>
      <c r="AJT1" s="16"/>
      <c r="AJU1" s="16"/>
      <c r="AJV1" s="16"/>
      <c r="AJW1" s="16"/>
      <c r="AJX1" s="16"/>
      <c r="AJY1" s="16"/>
      <c r="AJZ1" s="16"/>
    </row>
    <row r="2" spans="1:962" ht="24.75" customHeight="1" x14ac:dyDescent="0.25">
      <c r="A2" s="18" t="s">
        <v>58</v>
      </c>
      <c r="B2" s="19" t="s">
        <v>68</v>
      </c>
      <c r="C2" s="19" t="s">
        <v>73</v>
      </c>
      <c r="D2" s="20">
        <v>42</v>
      </c>
      <c r="E2" s="20">
        <v>58</v>
      </c>
      <c r="F2" s="20" t="s">
        <v>46</v>
      </c>
      <c r="G2" s="20" t="s">
        <v>33</v>
      </c>
      <c r="H2" s="13">
        <v>50</v>
      </c>
      <c r="I2" s="13">
        <v>26</v>
      </c>
      <c r="J2" s="13">
        <v>20</v>
      </c>
      <c r="K2" s="13">
        <v>32</v>
      </c>
      <c r="L2" s="13">
        <v>32</v>
      </c>
      <c r="M2" s="13">
        <v>32</v>
      </c>
      <c r="N2" s="13">
        <v>74</v>
      </c>
      <c r="O2" s="13">
        <v>47</v>
      </c>
      <c r="Q2" s="29" t="s">
        <v>121</v>
      </c>
    </row>
    <row r="3" spans="1:962" ht="24.75" customHeight="1" x14ac:dyDescent="0.25">
      <c r="A3" s="18"/>
      <c r="B3" s="19"/>
      <c r="C3" s="19"/>
      <c r="D3" s="20"/>
      <c r="E3" s="20"/>
      <c r="F3" s="20"/>
      <c r="G3" s="20"/>
      <c r="H3" s="13">
        <v>104</v>
      </c>
      <c r="I3" s="13">
        <v>120</v>
      </c>
      <c r="J3" s="13">
        <v>75</v>
      </c>
      <c r="K3" s="13">
        <v>36</v>
      </c>
      <c r="L3" s="13">
        <v>28</v>
      </c>
      <c r="M3" s="13">
        <v>20</v>
      </c>
      <c r="N3" s="13">
        <v>95</v>
      </c>
      <c r="Q3" s="29" t="s">
        <v>122</v>
      </c>
    </row>
    <row r="4" spans="1:962" ht="24.75" customHeight="1" x14ac:dyDescent="0.25">
      <c r="H4" s="20">
        <v>47</v>
      </c>
      <c r="I4" s="20">
        <v>50</v>
      </c>
      <c r="J4" s="20">
        <v>60</v>
      </c>
      <c r="K4" s="20">
        <v>20</v>
      </c>
      <c r="L4" s="20">
        <v>16</v>
      </c>
      <c r="M4" s="20">
        <v>110</v>
      </c>
      <c r="N4" s="20">
        <v>110</v>
      </c>
      <c r="O4" s="20">
        <v>120</v>
      </c>
      <c r="P4" s="20">
        <v>74</v>
      </c>
      <c r="Q4" s="29" t="s">
        <v>123</v>
      </c>
    </row>
    <row r="5" spans="1:962" ht="24.75" customHeight="1" x14ac:dyDescent="0.25">
      <c r="A5" s="21"/>
      <c r="B5" s="22"/>
      <c r="C5" s="21"/>
      <c r="D5" s="21"/>
      <c r="E5" s="23"/>
      <c r="F5" s="21"/>
      <c r="G5" s="24"/>
      <c r="H5" s="25"/>
      <c r="I5" s="25"/>
      <c r="J5" s="25"/>
      <c r="K5" s="25"/>
      <c r="L5" s="25"/>
      <c r="M5" s="25"/>
      <c r="N5" s="25"/>
      <c r="O5" s="25"/>
      <c r="P5" s="25"/>
      <c r="Q5" s="30" t="s">
        <v>124</v>
      </c>
    </row>
    <row r="6" spans="1:962" ht="24.75" customHeight="1" x14ac:dyDescent="0.25">
      <c r="A6" s="18" t="s">
        <v>59</v>
      </c>
      <c r="B6" s="19" t="s">
        <v>69</v>
      </c>
      <c r="C6" s="19" t="s">
        <v>73</v>
      </c>
      <c r="D6" s="20">
        <v>40</v>
      </c>
      <c r="E6" s="20">
        <v>56</v>
      </c>
      <c r="F6" s="20" t="s">
        <v>46</v>
      </c>
      <c r="G6" s="20" t="s">
        <v>34</v>
      </c>
      <c r="H6" s="13">
        <v>46</v>
      </c>
      <c r="I6" s="13">
        <v>25</v>
      </c>
      <c r="J6" s="13">
        <v>18</v>
      </c>
      <c r="K6" s="13">
        <v>30</v>
      </c>
      <c r="L6" s="13">
        <v>29</v>
      </c>
      <c r="M6" s="13">
        <v>30</v>
      </c>
      <c r="N6" s="13">
        <v>70</v>
      </c>
      <c r="O6" s="13">
        <v>44</v>
      </c>
      <c r="Q6" s="29" t="s">
        <v>121</v>
      </c>
    </row>
    <row r="7" spans="1:962" ht="24.75" customHeight="1" x14ac:dyDescent="0.25">
      <c r="A7" s="18"/>
      <c r="B7" s="19"/>
      <c r="C7" s="19"/>
      <c r="D7" s="20"/>
      <c r="E7" s="20"/>
      <c r="F7" s="20"/>
      <c r="G7" s="20"/>
      <c r="H7" s="13">
        <v>98</v>
      </c>
      <c r="I7" s="13">
        <v>108</v>
      </c>
      <c r="J7" s="13">
        <v>68</v>
      </c>
      <c r="K7" s="13">
        <v>33</v>
      </c>
      <c r="L7" s="13">
        <v>27</v>
      </c>
      <c r="M7" s="13">
        <v>20</v>
      </c>
      <c r="N7" s="13">
        <v>94</v>
      </c>
      <c r="Q7" s="29" t="s">
        <v>122</v>
      </c>
    </row>
    <row r="8" spans="1:962" ht="24.75" customHeight="1" x14ac:dyDescent="0.25">
      <c r="H8" s="20">
        <v>44</v>
      </c>
      <c r="I8" s="20">
        <v>466</v>
      </c>
      <c r="J8" s="20">
        <v>57</v>
      </c>
      <c r="K8" s="20">
        <v>18</v>
      </c>
      <c r="L8" s="20">
        <v>15</v>
      </c>
      <c r="M8" s="20">
        <v>100</v>
      </c>
      <c r="N8" s="20">
        <v>95</v>
      </c>
      <c r="O8" s="20">
        <v>110</v>
      </c>
      <c r="P8" s="20">
        <v>70</v>
      </c>
      <c r="Q8" s="29" t="s">
        <v>123</v>
      </c>
    </row>
    <row r="9" spans="1:962" ht="24.75" customHeight="1" x14ac:dyDescent="0.25">
      <c r="A9" s="21"/>
      <c r="B9" s="22"/>
      <c r="C9" s="21"/>
      <c r="D9" s="21"/>
      <c r="E9" s="23"/>
      <c r="F9" s="21"/>
      <c r="G9" s="24"/>
      <c r="H9" s="25"/>
      <c r="I9" s="25"/>
      <c r="J9" s="25"/>
      <c r="K9" s="25"/>
      <c r="L9" s="25"/>
      <c r="M9" s="25"/>
      <c r="N9" s="25"/>
      <c r="O9" s="25"/>
      <c r="P9" s="25"/>
      <c r="Q9" s="30" t="s">
        <v>124</v>
      </c>
    </row>
    <row r="10" spans="1:962" ht="24.75" customHeight="1" x14ac:dyDescent="0.25">
      <c r="A10" s="18" t="s">
        <v>60</v>
      </c>
      <c r="B10" s="19" t="s">
        <v>70</v>
      </c>
      <c r="C10" s="19" t="s">
        <v>73</v>
      </c>
      <c r="D10" s="20">
        <v>42</v>
      </c>
      <c r="E10" s="20">
        <v>58</v>
      </c>
      <c r="F10" s="20" t="s">
        <v>46</v>
      </c>
      <c r="G10" s="20" t="s">
        <v>33</v>
      </c>
      <c r="H10" s="13">
        <v>50</v>
      </c>
      <c r="I10" s="13">
        <v>26</v>
      </c>
      <c r="J10" s="13">
        <v>19</v>
      </c>
      <c r="K10" s="13">
        <v>32</v>
      </c>
      <c r="L10" s="13">
        <v>32</v>
      </c>
      <c r="M10" s="13">
        <v>32</v>
      </c>
      <c r="N10" s="13">
        <v>76</v>
      </c>
      <c r="O10" s="13">
        <v>46</v>
      </c>
      <c r="Q10" s="29" t="s">
        <v>121</v>
      </c>
    </row>
    <row r="11" spans="1:962" ht="24.75" customHeight="1" x14ac:dyDescent="0.25">
      <c r="A11" s="18"/>
      <c r="B11" s="19"/>
      <c r="C11" s="19"/>
      <c r="D11" s="20"/>
      <c r="E11" s="20"/>
      <c r="F11" s="20"/>
      <c r="G11" s="20"/>
      <c r="H11" s="13">
        <v>104</v>
      </c>
      <c r="I11" s="13">
        <v>120</v>
      </c>
      <c r="J11" s="13">
        <v>80</v>
      </c>
      <c r="K11" s="13">
        <v>40</v>
      </c>
      <c r="L11" s="13">
        <v>28</v>
      </c>
      <c r="M11" s="13">
        <v>22</v>
      </c>
      <c r="N11" s="13">
        <v>97</v>
      </c>
      <c r="Q11" s="29" t="s">
        <v>122</v>
      </c>
    </row>
    <row r="12" spans="1:962" ht="24.75" customHeight="1" x14ac:dyDescent="0.25">
      <c r="H12" s="20">
        <v>46</v>
      </c>
      <c r="I12" s="20">
        <v>50</v>
      </c>
      <c r="J12" s="20">
        <v>60</v>
      </c>
      <c r="K12" s="20">
        <v>19</v>
      </c>
      <c r="L12" s="20">
        <v>15</v>
      </c>
      <c r="M12" s="20">
        <v>118</v>
      </c>
      <c r="N12" s="20">
        <v>110</v>
      </c>
      <c r="O12" s="20">
        <v>120</v>
      </c>
      <c r="P12" s="20">
        <v>76</v>
      </c>
      <c r="Q12" s="29" t="s">
        <v>123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</row>
    <row r="13" spans="1:962" ht="24.75" customHeight="1" x14ac:dyDescent="0.25">
      <c r="A13" s="21"/>
      <c r="B13" s="22"/>
      <c r="C13" s="21"/>
      <c r="D13" s="21"/>
      <c r="E13" s="23"/>
      <c r="F13" s="21"/>
      <c r="G13" s="24"/>
      <c r="H13" s="25"/>
      <c r="I13" s="25"/>
      <c r="J13" s="25"/>
      <c r="K13" s="25"/>
      <c r="L13" s="25"/>
      <c r="M13" s="25"/>
      <c r="N13" s="25"/>
      <c r="O13" s="25"/>
      <c r="P13" s="25"/>
      <c r="Q13" s="30" t="s">
        <v>124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4"/>
      <c r="SB13" s="4"/>
      <c r="SC13" s="4"/>
      <c r="SD13" s="4"/>
      <c r="SE13" s="4"/>
      <c r="SF13" s="4"/>
      <c r="SG13" s="4"/>
      <c r="SH13" s="4"/>
      <c r="SI13" s="4"/>
      <c r="SJ13" s="4"/>
      <c r="SK13" s="4"/>
      <c r="SL13" s="4"/>
      <c r="SM13" s="4"/>
      <c r="SN13" s="4"/>
      <c r="SO13" s="4"/>
      <c r="SP13" s="4"/>
      <c r="SQ13" s="4"/>
      <c r="SR13" s="4"/>
      <c r="SS13" s="4"/>
      <c r="ST13" s="4"/>
      <c r="SU13" s="4"/>
      <c r="SV13" s="4"/>
      <c r="SW13" s="4"/>
      <c r="SX13" s="4"/>
      <c r="SY13" s="4"/>
      <c r="SZ13" s="4"/>
      <c r="TA13" s="4"/>
      <c r="TB13" s="4"/>
      <c r="TC13" s="4"/>
      <c r="TD13" s="4"/>
      <c r="TE13" s="4"/>
      <c r="TF13" s="4"/>
      <c r="TG13" s="4"/>
      <c r="TH13" s="4"/>
      <c r="TI13" s="4"/>
      <c r="TJ13" s="4"/>
      <c r="TK13" s="4"/>
      <c r="TL13" s="4"/>
      <c r="TM13" s="4"/>
      <c r="TN13" s="4"/>
      <c r="TO13" s="4"/>
      <c r="TP13" s="4"/>
      <c r="TQ13" s="4"/>
      <c r="TR13" s="4"/>
      <c r="TS13" s="4"/>
      <c r="TT13" s="4"/>
      <c r="TU13" s="4"/>
      <c r="TV13" s="4"/>
      <c r="TW13" s="4"/>
      <c r="TX13" s="4"/>
      <c r="TY13" s="4"/>
      <c r="TZ13" s="4"/>
      <c r="UA13" s="4"/>
      <c r="UB13" s="4"/>
      <c r="UC13" s="4"/>
      <c r="UD13" s="4"/>
      <c r="UE13" s="4"/>
      <c r="UF13" s="4"/>
      <c r="UG13" s="4"/>
      <c r="UH13" s="4"/>
      <c r="UI13" s="4"/>
      <c r="UJ13" s="4"/>
      <c r="UK13" s="4"/>
      <c r="UL13" s="4"/>
      <c r="UM13" s="4"/>
      <c r="UN13" s="4"/>
      <c r="UO13" s="4"/>
      <c r="UP13" s="4"/>
      <c r="UQ13" s="4"/>
      <c r="UR13" s="4"/>
      <c r="US13" s="4"/>
      <c r="UT13" s="4"/>
      <c r="UU13" s="4"/>
      <c r="UV13" s="4"/>
      <c r="UW13" s="4"/>
      <c r="UX13" s="4"/>
      <c r="UY13" s="4"/>
      <c r="UZ13" s="4"/>
      <c r="VA13" s="4"/>
      <c r="VB13" s="4"/>
      <c r="VC13" s="4"/>
      <c r="VD13" s="4"/>
      <c r="VE13" s="4"/>
      <c r="VF13" s="4"/>
      <c r="VG13" s="4"/>
      <c r="VH13" s="4"/>
      <c r="VI13" s="4"/>
      <c r="VJ13" s="4"/>
      <c r="VK13" s="4"/>
      <c r="VL13" s="4"/>
      <c r="VM13" s="4"/>
      <c r="VN13" s="4"/>
      <c r="VO13" s="4"/>
      <c r="VP13" s="4"/>
      <c r="VQ13" s="4"/>
      <c r="VR13" s="4"/>
      <c r="VS13" s="4"/>
      <c r="VT13" s="4"/>
      <c r="VU13" s="4"/>
      <c r="VV13" s="4"/>
      <c r="VW13" s="4"/>
      <c r="VX13" s="4"/>
      <c r="VY13" s="4"/>
      <c r="VZ13" s="4"/>
      <c r="WA13" s="4"/>
      <c r="WB13" s="4"/>
      <c r="WC13" s="4"/>
      <c r="WD13" s="4"/>
      <c r="WE13" s="4"/>
      <c r="WF13" s="4"/>
      <c r="WG13" s="4"/>
      <c r="WH13" s="4"/>
      <c r="WI13" s="4"/>
      <c r="WJ13" s="4"/>
      <c r="WK13" s="4"/>
      <c r="WL13" s="4"/>
      <c r="WM13" s="4"/>
      <c r="WN13" s="4"/>
      <c r="WO13" s="4"/>
      <c r="WP13" s="4"/>
      <c r="WQ13" s="4"/>
      <c r="WR13" s="4"/>
      <c r="WS13" s="4"/>
      <c r="WT13" s="4"/>
      <c r="WU13" s="4"/>
      <c r="WV13" s="4"/>
      <c r="WW13" s="4"/>
      <c r="WX13" s="4"/>
      <c r="WY13" s="4"/>
      <c r="WZ13" s="4"/>
      <c r="XA13" s="4"/>
      <c r="XB13" s="4"/>
      <c r="XC13" s="4"/>
      <c r="XD13" s="4"/>
      <c r="XE13" s="4"/>
      <c r="XF13" s="4"/>
      <c r="XG13" s="4"/>
      <c r="XH13" s="4"/>
      <c r="XI13" s="4"/>
      <c r="XJ13" s="4"/>
      <c r="XK13" s="4"/>
      <c r="XL13" s="4"/>
      <c r="XM13" s="4"/>
      <c r="XN13" s="4"/>
      <c r="XO13" s="4"/>
      <c r="XP13" s="4"/>
      <c r="XQ13" s="4"/>
      <c r="XR13" s="4"/>
      <c r="XS13" s="4"/>
      <c r="XT13" s="4"/>
      <c r="XU13" s="4"/>
      <c r="XV13" s="4"/>
      <c r="XW13" s="4"/>
      <c r="XX13" s="4"/>
      <c r="XY13" s="4"/>
      <c r="XZ13" s="4"/>
      <c r="YA13" s="4"/>
      <c r="YB13" s="4"/>
      <c r="YC13" s="4"/>
      <c r="YD13" s="4"/>
      <c r="YE13" s="4"/>
      <c r="YF13" s="4"/>
      <c r="YG13" s="4"/>
      <c r="YH13" s="4"/>
      <c r="YI13" s="4"/>
      <c r="YJ13" s="4"/>
      <c r="YK13" s="4"/>
      <c r="YL13" s="4"/>
      <c r="YM13" s="4"/>
      <c r="YN13" s="4"/>
      <c r="YO13" s="4"/>
      <c r="YP13" s="4"/>
      <c r="YQ13" s="4"/>
      <c r="YR13" s="4"/>
      <c r="YS13" s="4"/>
      <c r="YT13" s="4"/>
      <c r="YU13" s="4"/>
      <c r="YV13" s="4"/>
      <c r="YW13" s="4"/>
      <c r="YX13" s="4"/>
      <c r="YY13" s="4"/>
      <c r="YZ13" s="4"/>
      <c r="ZA13" s="4"/>
      <c r="ZB13" s="4"/>
      <c r="ZC13" s="4"/>
      <c r="ZD13" s="4"/>
      <c r="ZE13" s="4"/>
      <c r="ZF13" s="4"/>
      <c r="ZG13" s="4"/>
      <c r="ZH13" s="4"/>
      <c r="ZI13" s="4"/>
      <c r="ZJ13" s="4"/>
      <c r="ZK13" s="4"/>
      <c r="ZL13" s="4"/>
      <c r="ZM13" s="4"/>
      <c r="ZN13" s="4"/>
      <c r="ZO13" s="4"/>
      <c r="ZP13" s="4"/>
      <c r="ZQ13" s="4"/>
      <c r="ZR13" s="4"/>
      <c r="ZS13" s="4"/>
      <c r="ZT13" s="4"/>
      <c r="ZU13" s="4"/>
      <c r="ZV13" s="4"/>
      <c r="ZW13" s="4"/>
      <c r="ZX13" s="4"/>
      <c r="ZY13" s="4"/>
      <c r="ZZ13" s="4"/>
      <c r="AAA13" s="4"/>
      <c r="AAB13" s="4"/>
      <c r="AAC13" s="4"/>
      <c r="AAD13" s="4"/>
      <c r="AAE13" s="4"/>
      <c r="AAF13" s="4"/>
      <c r="AAG13" s="4"/>
      <c r="AAH13" s="4"/>
      <c r="AAI13" s="4"/>
      <c r="AAJ13" s="4"/>
      <c r="AAK13" s="4"/>
      <c r="AAL13" s="4"/>
      <c r="AAM13" s="4"/>
      <c r="AAN13" s="4"/>
      <c r="AAO13" s="4"/>
      <c r="AAP13" s="4"/>
      <c r="AAQ13" s="4"/>
      <c r="AAR13" s="4"/>
      <c r="AAS13" s="4"/>
      <c r="AAT13" s="4"/>
      <c r="AAU13" s="4"/>
      <c r="AAV13" s="4"/>
      <c r="AAW13" s="4"/>
      <c r="AAX13" s="4"/>
      <c r="AAY13" s="4"/>
      <c r="AAZ13" s="4"/>
      <c r="ABA13" s="4"/>
      <c r="ABB13" s="4"/>
      <c r="ABC13" s="4"/>
      <c r="ABD13" s="4"/>
      <c r="ABE13" s="4"/>
      <c r="ABF13" s="4"/>
      <c r="ABG13" s="4"/>
      <c r="ABH13" s="4"/>
      <c r="ABI13" s="4"/>
      <c r="ABJ13" s="4"/>
      <c r="ABK13" s="4"/>
      <c r="ABL13" s="4"/>
      <c r="ABM13" s="4"/>
      <c r="ABN13" s="4"/>
      <c r="ABO13" s="4"/>
      <c r="ABP13" s="4"/>
      <c r="ABQ13" s="4"/>
      <c r="ABR13" s="4"/>
      <c r="ABS13" s="4"/>
      <c r="ABT13" s="4"/>
      <c r="ABU13" s="4"/>
      <c r="ABV13" s="4"/>
      <c r="ABW13" s="4"/>
      <c r="ABX13" s="4"/>
      <c r="ABY13" s="4"/>
      <c r="ABZ13" s="4"/>
      <c r="ACA13" s="4"/>
      <c r="ACB13" s="4"/>
      <c r="ACC13" s="4"/>
      <c r="ACD13" s="4"/>
      <c r="ACE13" s="4"/>
      <c r="ACF13" s="4"/>
      <c r="ACG13" s="4"/>
      <c r="ACH13" s="4"/>
      <c r="ACI13" s="4"/>
      <c r="ACJ13" s="4"/>
      <c r="ACK13" s="4"/>
      <c r="ACL13" s="4"/>
      <c r="ACM13" s="4"/>
      <c r="ACN13" s="4"/>
      <c r="ACO13" s="4"/>
      <c r="ACP13" s="4"/>
      <c r="ACQ13" s="4"/>
      <c r="ACR13" s="4"/>
      <c r="ACS13" s="4"/>
      <c r="ACT13" s="4"/>
      <c r="ACU13" s="4"/>
      <c r="ACV13" s="4"/>
      <c r="ACW13" s="4"/>
      <c r="ACX13" s="4"/>
      <c r="ACY13" s="4"/>
      <c r="ACZ13" s="4"/>
      <c r="ADA13" s="4"/>
      <c r="ADB13" s="4"/>
      <c r="ADC13" s="4"/>
      <c r="ADD13" s="4"/>
      <c r="ADE13" s="4"/>
      <c r="ADF13" s="4"/>
      <c r="ADG13" s="4"/>
      <c r="ADH13" s="4"/>
      <c r="ADI13" s="4"/>
      <c r="ADJ13" s="4"/>
      <c r="ADK13" s="4"/>
      <c r="ADL13" s="4"/>
      <c r="ADM13" s="4"/>
      <c r="ADN13" s="4"/>
      <c r="ADO13" s="4"/>
      <c r="ADP13" s="4"/>
      <c r="ADQ13" s="4"/>
      <c r="ADR13" s="4"/>
      <c r="ADS13" s="4"/>
      <c r="ADT13" s="4"/>
      <c r="ADU13" s="4"/>
      <c r="ADV13" s="4"/>
      <c r="ADW13" s="4"/>
      <c r="ADX13" s="4"/>
      <c r="ADY13" s="4"/>
      <c r="ADZ13" s="4"/>
      <c r="AEA13" s="4"/>
      <c r="AEB13" s="4"/>
      <c r="AEC13" s="4"/>
      <c r="AED13" s="4"/>
      <c r="AEE13" s="4"/>
      <c r="AEF13" s="4"/>
      <c r="AEG13" s="4"/>
      <c r="AEH13" s="4"/>
      <c r="AEI13" s="4"/>
      <c r="AEJ13" s="4"/>
      <c r="AEK13" s="4"/>
      <c r="AEL13" s="4"/>
      <c r="AEM13" s="4"/>
      <c r="AEN13" s="4"/>
      <c r="AEO13" s="4"/>
      <c r="AEP13" s="4"/>
      <c r="AEQ13" s="4"/>
      <c r="AER13" s="4"/>
      <c r="AES13" s="4"/>
      <c r="AET13" s="4"/>
      <c r="AEU13" s="4"/>
      <c r="AEV13" s="4"/>
      <c r="AEW13" s="4"/>
      <c r="AEX13" s="4"/>
      <c r="AEY13" s="4"/>
      <c r="AEZ13" s="4"/>
      <c r="AFA13" s="4"/>
      <c r="AFB13" s="4"/>
      <c r="AFC13" s="4"/>
      <c r="AFD13" s="4"/>
      <c r="AFE13" s="4"/>
      <c r="AFF13" s="4"/>
      <c r="AFG13" s="4"/>
      <c r="AFH13" s="4"/>
      <c r="AFI13" s="4"/>
      <c r="AFJ13" s="4"/>
      <c r="AFK13" s="4"/>
      <c r="AFL13" s="4"/>
      <c r="AFM13" s="4"/>
      <c r="AFN13" s="4"/>
      <c r="AFO13" s="4"/>
      <c r="AFP13" s="4"/>
      <c r="AFQ13" s="4"/>
      <c r="AFR13" s="4"/>
      <c r="AFS13" s="4"/>
      <c r="AFT13" s="4"/>
      <c r="AFU13" s="4"/>
      <c r="AFV13" s="4"/>
      <c r="AFW13" s="4"/>
      <c r="AFX13" s="4"/>
      <c r="AFY13" s="4"/>
      <c r="AFZ13" s="4"/>
      <c r="AGA13" s="4"/>
      <c r="AGB13" s="4"/>
      <c r="AGC13" s="4"/>
      <c r="AGD13" s="4"/>
      <c r="AGE13" s="4"/>
      <c r="AGF13" s="4"/>
      <c r="AGG13" s="4"/>
      <c r="AGH13" s="4"/>
      <c r="AGI13" s="4"/>
      <c r="AGJ13" s="4"/>
      <c r="AGK13" s="4"/>
      <c r="AGL13" s="4"/>
      <c r="AGM13" s="4"/>
      <c r="AGN13" s="4"/>
      <c r="AGO13" s="4"/>
      <c r="AGP13" s="4"/>
      <c r="AGQ13" s="4"/>
      <c r="AGR13" s="4"/>
      <c r="AGS13" s="4"/>
      <c r="AGT13" s="4"/>
      <c r="AGU13" s="4"/>
      <c r="AGV13" s="4"/>
      <c r="AGW13" s="4"/>
      <c r="AGX13" s="4"/>
      <c r="AGY13" s="4"/>
      <c r="AGZ13" s="4"/>
      <c r="AHA13" s="4"/>
      <c r="AHB13" s="4"/>
      <c r="AHC13" s="4"/>
      <c r="AHD13" s="4"/>
      <c r="AHE13" s="4"/>
      <c r="AHF13" s="4"/>
      <c r="AHG13" s="4"/>
      <c r="AHH13" s="4"/>
      <c r="AHI13" s="4"/>
      <c r="AHJ13" s="4"/>
      <c r="AHK13" s="4"/>
      <c r="AHL13" s="4"/>
      <c r="AHM13" s="4"/>
      <c r="AHN13" s="4"/>
      <c r="AHO13" s="4"/>
      <c r="AHP13" s="4"/>
      <c r="AHQ13" s="4"/>
      <c r="AHR13" s="4"/>
      <c r="AHS13" s="4"/>
      <c r="AHT13" s="4"/>
      <c r="AHU13" s="4"/>
      <c r="AHV13" s="4"/>
      <c r="AHW13" s="4"/>
      <c r="AHX13" s="4"/>
      <c r="AHY13" s="4"/>
      <c r="AHZ13" s="4"/>
      <c r="AIA13" s="4"/>
      <c r="AIB13" s="4"/>
      <c r="AIC13" s="4"/>
      <c r="AID13" s="4"/>
      <c r="AIE13" s="4"/>
      <c r="AIF13" s="4"/>
      <c r="AIG13" s="4"/>
      <c r="AIH13" s="4"/>
      <c r="AII13" s="4"/>
      <c r="AIJ13" s="4"/>
      <c r="AIK13" s="4"/>
      <c r="AIL13" s="4"/>
      <c r="AIM13" s="4"/>
      <c r="AIN13" s="4"/>
      <c r="AIO13" s="4"/>
      <c r="AIP13" s="4"/>
      <c r="AIQ13" s="4"/>
      <c r="AIR13" s="4"/>
      <c r="AIS13" s="4"/>
      <c r="AIT13" s="4"/>
      <c r="AIU13" s="4"/>
      <c r="AIV13" s="4"/>
      <c r="AIW13" s="4"/>
      <c r="AIX13" s="4"/>
      <c r="AIY13" s="4"/>
      <c r="AIZ13" s="4"/>
      <c r="AJA13" s="4"/>
      <c r="AJB13" s="4"/>
      <c r="AJC13" s="4"/>
      <c r="AJD13" s="4"/>
      <c r="AJE13" s="4"/>
      <c r="AJF13" s="4"/>
      <c r="AJG13" s="4"/>
      <c r="AJH13" s="4"/>
      <c r="AJI13" s="4"/>
      <c r="AJJ13" s="4"/>
      <c r="AJK13" s="4"/>
      <c r="AJL13" s="4"/>
      <c r="AJM13" s="4"/>
      <c r="AJN13" s="4"/>
      <c r="AJO13" s="4"/>
      <c r="AJP13" s="4"/>
      <c r="AJQ13" s="4"/>
      <c r="AJR13" s="4"/>
      <c r="AJS13" s="4"/>
      <c r="AJT13" s="4"/>
      <c r="AJU13" s="4"/>
      <c r="AJV13" s="4"/>
      <c r="AJW13" s="4"/>
      <c r="AJX13" s="4"/>
      <c r="AJY13" s="4"/>
      <c r="AJZ13" s="4"/>
    </row>
    <row r="14" spans="1:962" ht="24.75" customHeight="1" x14ac:dyDescent="0.25">
      <c r="A14" s="18" t="s">
        <v>61</v>
      </c>
      <c r="B14" s="19" t="s">
        <v>71</v>
      </c>
      <c r="C14" s="19" t="s">
        <v>73</v>
      </c>
      <c r="D14" s="20">
        <v>41</v>
      </c>
      <c r="E14" s="20">
        <v>56</v>
      </c>
      <c r="F14" s="20" t="s">
        <v>46</v>
      </c>
      <c r="G14" s="20" t="s">
        <v>32</v>
      </c>
      <c r="H14" s="13">
        <v>46</v>
      </c>
      <c r="I14" s="13">
        <v>24</v>
      </c>
      <c r="J14" s="13">
        <v>18</v>
      </c>
      <c r="K14" s="13">
        <v>27</v>
      </c>
      <c r="L14" s="13">
        <v>26</v>
      </c>
      <c r="M14" s="13">
        <v>27</v>
      </c>
      <c r="N14" s="13">
        <v>70</v>
      </c>
      <c r="O14" s="13">
        <v>40</v>
      </c>
      <c r="Q14" s="29" t="s">
        <v>121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4"/>
      <c r="SB14" s="4"/>
      <c r="SC14" s="4"/>
      <c r="SD14" s="4"/>
      <c r="SE14" s="4"/>
      <c r="SF14" s="4"/>
      <c r="SG14" s="4"/>
      <c r="SH14" s="4"/>
      <c r="SI14" s="4"/>
      <c r="SJ14" s="4"/>
      <c r="SK14" s="4"/>
      <c r="SL14" s="4"/>
      <c r="SM14" s="4"/>
      <c r="SN14" s="4"/>
      <c r="SO14" s="4"/>
      <c r="SP14" s="4"/>
      <c r="SQ14" s="4"/>
      <c r="SR14" s="4"/>
      <c r="SS14" s="4"/>
      <c r="ST14" s="4"/>
      <c r="SU14" s="4"/>
      <c r="SV14" s="4"/>
      <c r="SW14" s="4"/>
      <c r="SX14" s="4"/>
      <c r="SY14" s="4"/>
      <c r="SZ14" s="4"/>
      <c r="TA14" s="4"/>
      <c r="TB14" s="4"/>
      <c r="TC14" s="4"/>
      <c r="TD14" s="4"/>
      <c r="TE14" s="4"/>
      <c r="TF14" s="4"/>
      <c r="TG14" s="4"/>
      <c r="TH14" s="4"/>
      <c r="TI14" s="4"/>
      <c r="TJ14" s="4"/>
      <c r="TK14" s="4"/>
      <c r="TL14" s="4"/>
      <c r="TM14" s="4"/>
      <c r="TN14" s="4"/>
      <c r="TO14" s="4"/>
      <c r="TP14" s="4"/>
      <c r="TQ14" s="4"/>
      <c r="TR14" s="4"/>
      <c r="TS14" s="4"/>
      <c r="TT14" s="4"/>
      <c r="TU14" s="4"/>
      <c r="TV14" s="4"/>
      <c r="TW14" s="4"/>
      <c r="TX14" s="4"/>
      <c r="TY14" s="4"/>
      <c r="TZ14" s="4"/>
      <c r="UA14" s="4"/>
      <c r="UB14" s="4"/>
      <c r="UC14" s="4"/>
      <c r="UD14" s="4"/>
      <c r="UE14" s="4"/>
      <c r="UF14" s="4"/>
      <c r="UG14" s="4"/>
      <c r="UH14" s="4"/>
      <c r="UI14" s="4"/>
      <c r="UJ14" s="4"/>
      <c r="UK14" s="4"/>
      <c r="UL14" s="4"/>
      <c r="UM14" s="4"/>
      <c r="UN14" s="4"/>
      <c r="UO14" s="4"/>
      <c r="UP14" s="4"/>
      <c r="UQ14" s="4"/>
      <c r="UR14" s="4"/>
      <c r="US14" s="4"/>
      <c r="UT14" s="4"/>
      <c r="UU14" s="4"/>
      <c r="UV14" s="4"/>
      <c r="UW14" s="4"/>
      <c r="UX14" s="4"/>
      <c r="UY14" s="4"/>
      <c r="UZ14" s="4"/>
      <c r="VA14" s="4"/>
      <c r="VB14" s="4"/>
      <c r="VC14" s="4"/>
      <c r="VD14" s="4"/>
      <c r="VE14" s="4"/>
      <c r="VF14" s="4"/>
      <c r="VG14" s="4"/>
      <c r="VH14" s="4"/>
      <c r="VI14" s="4"/>
      <c r="VJ14" s="4"/>
      <c r="VK14" s="4"/>
      <c r="VL14" s="4"/>
      <c r="VM14" s="4"/>
      <c r="VN14" s="4"/>
      <c r="VO14" s="4"/>
      <c r="VP14" s="4"/>
      <c r="VQ14" s="4"/>
      <c r="VR14" s="4"/>
      <c r="VS14" s="4"/>
      <c r="VT14" s="4"/>
      <c r="VU14" s="4"/>
      <c r="VV14" s="4"/>
      <c r="VW14" s="4"/>
      <c r="VX14" s="4"/>
      <c r="VY14" s="4"/>
      <c r="VZ14" s="4"/>
      <c r="WA14" s="4"/>
      <c r="WB14" s="4"/>
      <c r="WC14" s="4"/>
      <c r="WD14" s="4"/>
      <c r="WE14" s="4"/>
      <c r="WF14" s="4"/>
      <c r="WG14" s="4"/>
      <c r="WH14" s="4"/>
      <c r="WI14" s="4"/>
      <c r="WJ14" s="4"/>
      <c r="WK14" s="4"/>
      <c r="WL14" s="4"/>
      <c r="WM14" s="4"/>
      <c r="WN14" s="4"/>
      <c r="WO14" s="4"/>
      <c r="WP14" s="4"/>
      <c r="WQ14" s="4"/>
      <c r="WR14" s="4"/>
      <c r="WS14" s="4"/>
      <c r="WT14" s="4"/>
      <c r="WU14" s="4"/>
      <c r="WV14" s="4"/>
      <c r="WW14" s="4"/>
      <c r="WX14" s="4"/>
      <c r="WY14" s="4"/>
      <c r="WZ14" s="4"/>
      <c r="XA14" s="4"/>
      <c r="XB14" s="4"/>
      <c r="XC14" s="4"/>
      <c r="XD14" s="4"/>
      <c r="XE14" s="4"/>
      <c r="XF14" s="4"/>
      <c r="XG14" s="4"/>
      <c r="XH14" s="4"/>
      <c r="XI14" s="4"/>
      <c r="XJ14" s="4"/>
      <c r="XK14" s="4"/>
      <c r="XL14" s="4"/>
      <c r="XM14" s="4"/>
      <c r="XN14" s="4"/>
      <c r="XO14" s="4"/>
      <c r="XP14" s="4"/>
      <c r="XQ14" s="4"/>
      <c r="XR14" s="4"/>
      <c r="XS14" s="4"/>
      <c r="XT14" s="4"/>
      <c r="XU14" s="4"/>
      <c r="XV14" s="4"/>
      <c r="XW14" s="4"/>
      <c r="XX14" s="4"/>
      <c r="XY14" s="4"/>
      <c r="XZ14" s="4"/>
      <c r="YA14" s="4"/>
      <c r="YB14" s="4"/>
      <c r="YC14" s="4"/>
      <c r="YD14" s="4"/>
      <c r="YE14" s="4"/>
      <c r="YF14" s="4"/>
      <c r="YG14" s="4"/>
      <c r="YH14" s="4"/>
      <c r="YI14" s="4"/>
      <c r="YJ14" s="4"/>
      <c r="YK14" s="4"/>
      <c r="YL14" s="4"/>
      <c r="YM14" s="4"/>
      <c r="YN14" s="4"/>
      <c r="YO14" s="4"/>
      <c r="YP14" s="4"/>
      <c r="YQ14" s="4"/>
      <c r="YR14" s="4"/>
      <c r="YS14" s="4"/>
      <c r="YT14" s="4"/>
      <c r="YU14" s="4"/>
      <c r="YV14" s="4"/>
      <c r="YW14" s="4"/>
      <c r="YX14" s="4"/>
      <c r="YY14" s="4"/>
      <c r="YZ14" s="4"/>
      <c r="ZA14" s="4"/>
      <c r="ZB14" s="4"/>
      <c r="ZC14" s="4"/>
      <c r="ZD14" s="4"/>
      <c r="ZE14" s="4"/>
      <c r="ZF14" s="4"/>
      <c r="ZG14" s="4"/>
      <c r="ZH14" s="4"/>
      <c r="ZI14" s="4"/>
      <c r="ZJ14" s="4"/>
      <c r="ZK14" s="4"/>
      <c r="ZL14" s="4"/>
      <c r="ZM14" s="4"/>
      <c r="ZN14" s="4"/>
      <c r="ZO14" s="4"/>
      <c r="ZP14" s="4"/>
      <c r="ZQ14" s="4"/>
      <c r="ZR14" s="4"/>
      <c r="ZS14" s="4"/>
      <c r="ZT14" s="4"/>
      <c r="ZU14" s="4"/>
      <c r="ZV14" s="4"/>
      <c r="ZW14" s="4"/>
      <c r="ZX14" s="4"/>
      <c r="ZY14" s="4"/>
      <c r="ZZ14" s="4"/>
      <c r="AAA14" s="4"/>
      <c r="AAB14" s="4"/>
      <c r="AAC14" s="4"/>
      <c r="AAD14" s="4"/>
      <c r="AAE14" s="4"/>
      <c r="AAF14" s="4"/>
      <c r="AAG14" s="4"/>
      <c r="AAH14" s="4"/>
      <c r="AAI14" s="4"/>
      <c r="AAJ14" s="4"/>
      <c r="AAK14" s="4"/>
      <c r="AAL14" s="4"/>
      <c r="AAM14" s="4"/>
      <c r="AAN14" s="4"/>
      <c r="AAO14" s="4"/>
      <c r="AAP14" s="4"/>
      <c r="AAQ14" s="4"/>
      <c r="AAR14" s="4"/>
      <c r="AAS14" s="4"/>
      <c r="AAT14" s="4"/>
      <c r="AAU14" s="4"/>
      <c r="AAV14" s="4"/>
      <c r="AAW14" s="4"/>
      <c r="AAX14" s="4"/>
      <c r="AAY14" s="4"/>
      <c r="AAZ14" s="4"/>
      <c r="ABA14" s="4"/>
      <c r="ABB14" s="4"/>
      <c r="ABC14" s="4"/>
      <c r="ABD14" s="4"/>
      <c r="ABE14" s="4"/>
      <c r="ABF14" s="4"/>
      <c r="ABG14" s="4"/>
      <c r="ABH14" s="4"/>
      <c r="ABI14" s="4"/>
      <c r="ABJ14" s="4"/>
      <c r="ABK14" s="4"/>
      <c r="ABL14" s="4"/>
      <c r="ABM14" s="4"/>
      <c r="ABN14" s="4"/>
      <c r="ABO14" s="4"/>
      <c r="ABP14" s="4"/>
      <c r="ABQ14" s="4"/>
      <c r="ABR14" s="4"/>
      <c r="ABS14" s="4"/>
      <c r="ABT14" s="4"/>
      <c r="ABU14" s="4"/>
      <c r="ABV14" s="4"/>
      <c r="ABW14" s="4"/>
      <c r="ABX14" s="4"/>
      <c r="ABY14" s="4"/>
      <c r="ABZ14" s="4"/>
      <c r="ACA14" s="4"/>
      <c r="ACB14" s="4"/>
      <c r="ACC14" s="4"/>
      <c r="ACD14" s="4"/>
      <c r="ACE14" s="4"/>
      <c r="ACF14" s="4"/>
      <c r="ACG14" s="4"/>
      <c r="ACH14" s="4"/>
      <c r="ACI14" s="4"/>
      <c r="ACJ14" s="4"/>
      <c r="ACK14" s="4"/>
      <c r="ACL14" s="4"/>
      <c r="ACM14" s="4"/>
      <c r="ACN14" s="4"/>
      <c r="ACO14" s="4"/>
      <c r="ACP14" s="4"/>
      <c r="ACQ14" s="4"/>
      <c r="ACR14" s="4"/>
      <c r="ACS14" s="4"/>
      <c r="ACT14" s="4"/>
      <c r="ACU14" s="4"/>
      <c r="ACV14" s="4"/>
      <c r="ACW14" s="4"/>
      <c r="ACX14" s="4"/>
      <c r="ACY14" s="4"/>
      <c r="ACZ14" s="4"/>
      <c r="ADA14" s="4"/>
      <c r="ADB14" s="4"/>
      <c r="ADC14" s="4"/>
      <c r="ADD14" s="4"/>
      <c r="ADE14" s="4"/>
      <c r="ADF14" s="4"/>
      <c r="ADG14" s="4"/>
      <c r="ADH14" s="4"/>
      <c r="ADI14" s="4"/>
      <c r="ADJ14" s="4"/>
      <c r="ADK14" s="4"/>
      <c r="ADL14" s="4"/>
      <c r="ADM14" s="4"/>
      <c r="ADN14" s="4"/>
      <c r="ADO14" s="4"/>
      <c r="ADP14" s="4"/>
      <c r="ADQ14" s="4"/>
      <c r="ADR14" s="4"/>
      <c r="ADS14" s="4"/>
      <c r="ADT14" s="4"/>
      <c r="ADU14" s="4"/>
      <c r="ADV14" s="4"/>
      <c r="ADW14" s="4"/>
      <c r="ADX14" s="4"/>
      <c r="ADY14" s="4"/>
      <c r="ADZ14" s="4"/>
      <c r="AEA14" s="4"/>
      <c r="AEB14" s="4"/>
      <c r="AEC14" s="4"/>
      <c r="AED14" s="4"/>
      <c r="AEE14" s="4"/>
      <c r="AEF14" s="4"/>
      <c r="AEG14" s="4"/>
      <c r="AEH14" s="4"/>
      <c r="AEI14" s="4"/>
      <c r="AEJ14" s="4"/>
      <c r="AEK14" s="4"/>
      <c r="AEL14" s="4"/>
      <c r="AEM14" s="4"/>
      <c r="AEN14" s="4"/>
      <c r="AEO14" s="4"/>
      <c r="AEP14" s="4"/>
      <c r="AEQ14" s="4"/>
      <c r="AER14" s="4"/>
      <c r="AES14" s="4"/>
      <c r="AET14" s="4"/>
      <c r="AEU14" s="4"/>
      <c r="AEV14" s="4"/>
      <c r="AEW14" s="4"/>
      <c r="AEX14" s="4"/>
      <c r="AEY14" s="4"/>
      <c r="AEZ14" s="4"/>
      <c r="AFA14" s="4"/>
      <c r="AFB14" s="4"/>
      <c r="AFC14" s="4"/>
      <c r="AFD14" s="4"/>
      <c r="AFE14" s="4"/>
      <c r="AFF14" s="4"/>
      <c r="AFG14" s="4"/>
      <c r="AFH14" s="4"/>
      <c r="AFI14" s="4"/>
      <c r="AFJ14" s="4"/>
      <c r="AFK14" s="4"/>
      <c r="AFL14" s="4"/>
      <c r="AFM14" s="4"/>
      <c r="AFN14" s="4"/>
      <c r="AFO14" s="4"/>
      <c r="AFP14" s="4"/>
      <c r="AFQ14" s="4"/>
      <c r="AFR14" s="4"/>
      <c r="AFS14" s="4"/>
      <c r="AFT14" s="4"/>
      <c r="AFU14" s="4"/>
      <c r="AFV14" s="4"/>
      <c r="AFW14" s="4"/>
      <c r="AFX14" s="4"/>
      <c r="AFY14" s="4"/>
      <c r="AFZ14" s="4"/>
      <c r="AGA14" s="4"/>
      <c r="AGB14" s="4"/>
      <c r="AGC14" s="4"/>
      <c r="AGD14" s="4"/>
      <c r="AGE14" s="4"/>
      <c r="AGF14" s="4"/>
      <c r="AGG14" s="4"/>
      <c r="AGH14" s="4"/>
      <c r="AGI14" s="4"/>
      <c r="AGJ14" s="4"/>
      <c r="AGK14" s="4"/>
      <c r="AGL14" s="4"/>
      <c r="AGM14" s="4"/>
      <c r="AGN14" s="4"/>
      <c r="AGO14" s="4"/>
      <c r="AGP14" s="4"/>
      <c r="AGQ14" s="4"/>
      <c r="AGR14" s="4"/>
      <c r="AGS14" s="4"/>
      <c r="AGT14" s="4"/>
      <c r="AGU14" s="4"/>
      <c r="AGV14" s="4"/>
      <c r="AGW14" s="4"/>
      <c r="AGX14" s="4"/>
      <c r="AGY14" s="4"/>
      <c r="AGZ14" s="4"/>
      <c r="AHA14" s="4"/>
      <c r="AHB14" s="4"/>
      <c r="AHC14" s="4"/>
      <c r="AHD14" s="4"/>
      <c r="AHE14" s="4"/>
      <c r="AHF14" s="4"/>
      <c r="AHG14" s="4"/>
      <c r="AHH14" s="4"/>
      <c r="AHI14" s="4"/>
      <c r="AHJ14" s="4"/>
      <c r="AHK14" s="4"/>
      <c r="AHL14" s="4"/>
      <c r="AHM14" s="4"/>
      <c r="AHN14" s="4"/>
      <c r="AHO14" s="4"/>
      <c r="AHP14" s="4"/>
      <c r="AHQ14" s="4"/>
      <c r="AHR14" s="4"/>
      <c r="AHS14" s="4"/>
      <c r="AHT14" s="4"/>
      <c r="AHU14" s="4"/>
      <c r="AHV14" s="4"/>
      <c r="AHW14" s="4"/>
      <c r="AHX14" s="4"/>
      <c r="AHY14" s="4"/>
      <c r="AHZ14" s="4"/>
      <c r="AIA14" s="4"/>
      <c r="AIB14" s="4"/>
      <c r="AIC14" s="4"/>
      <c r="AID14" s="4"/>
      <c r="AIE14" s="4"/>
      <c r="AIF14" s="4"/>
      <c r="AIG14" s="4"/>
      <c r="AIH14" s="4"/>
      <c r="AII14" s="4"/>
      <c r="AIJ14" s="4"/>
      <c r="AIK14" s="4"/>
      <c r="AIL14" s="4"/>
      <c r="AIM14" s="4"/>
      <c r="AIN14" s="4"/>
      <c r="AIO14" s="4"/>
      <c r="AIP14" s="4"/>
      <c r="AIQ14" s="4"/>
      <c r="AIR14" s="4"/>
      <c r="AIS14" s="4"/>
      <c r="AIT14" s="4"/>
      <c r="AIU14" s="4"/>
      <c r="AIV14" s="4"/>
      <c r="AIW14" s="4"/>
      <c r="AIX14" s="4"/>
      <c r="AIY14" s="4"/>
      <c r="AIZ14" s="4"/>
      <c r="AJA14" s="4"/>
      <c r="AJB14" s="4"/>
      <c r="AJC14" s="4"/>
      <c r="AJD14" s="4"/>
      <c r="AJE14" s="4"/>
      <c r="AJF14" s="4"/>
      <c r="AJG14" s="4"/>
      <c r="AJH14" s="4"/>
      <c r="AJI14" s="4"/>
      <c r="AJJ14" s="4"/>
      <c r="AJK14" s="4"/>
      <c r="AJL14" s="4"/>
      <c r="AJM14" s="4"/>
      <c r="AJN14" s="4"/>
      <c r="AJO14" s="4"/>
      <c r="AJP14" s="4"/>
      <c r="AJQ14" s="4"/>
      <c r="AJR14" s="4"/>
      <c r="AJS14" s="4"/>
      <c r="AJT14" s="4"/>
      <c r="AJU14" s="4"/>
      <c r="AJV14" s="4"/>
      <c r="AJW14" s="4"/>
      <c r="AJX14" s="4"/>
      <c r="AJY14" s="4"/>
      <c r="AJZ14" s="4"/>
    </row>
    <row r="15" spans="1:962" ht="24.75" customHeight="1" x14ac:dyDescent="0.25">
      <c r="A15" s="18"/>
      <c r="B15" s="19"/>
      <c r="C15" s="19"/>
      <c r="D15" s="20"/>
      <c r="E15" s="20"/>
      <c r="F15" s="20"/>
      <c r="G15" s="20"/>
      <c r="H15" s="13">
        <v>82</v>
      </c>
      <c r="I15" s="13">
        <v>105</v>
      </c>
      <c r="J15" s="13">
        <v>65</v>
      </c>
      <c r="K15" s="13">
        <v>30</v>
      </c>
      <c r="L15" s="13">
        <v>24</v>
      </c>
      <c r="M15" s="13">
        <v>18</v>
      </c>
      <c r="N15" s="13">
        <v>97</v>
      </c>
      <c r="Q15" s="29" t="s">
        <v>122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4"/>
      <c r="SB15" s="4"/>
      <c r="SC15" s="4"/>
      <c r="SD15" s="4"/>
      <c r="SE15" s="4"/>
      <c r="SF15" s="4"/>
      <c r="SG15" s="4"/>
      <c r="SH15" s="4"/>
      <c r="SI15" s="4"/>
      <c r="SJ15" s="4"/>
      <c r="SK15" s="4"/>
      <c r="SL15" s="4"/>
      <c r="SM15" s="4"/>
      <c r="SN15" s="4"/>
      <c r="SO15" s="4"/>
      <c r="SP15" s="4"/>
      <c r="SQ15" s="4"/>
      <c r="SR15" s="4"/>
      <c r="SS15" s="4"/>
      <c r="ST15" s="4"/>
      <c r="SU15" s="4"/>
      <c r="SV15" s="4"/>
      <c r="SW15" s="4"/>
      <c r="SX15" s="4"/>
      <c r="SY15" s="4"/>
      <c r="SZ15" s="4"/>
      <c r="TA15" s="4"/>
      <c r="TB15" s="4"/>
      <c r="TC15" s="4"/>
      <c r="TD15" s="4"/>
      <c r="TE15" s="4"/>
      <c r="TF15" s="4"/>
      <c r="TG15" s="4"/>
      <c r="TH15" s="4"/>
      <c r="TI15" s="4"/>
      <c r="TJ15" s="4"/>
      <c r="TK15" s="4"/>
      <c r="TL15" s="4"/>
      <c r="TM15" s="4"/>
      <c r="TN15" s="4"/>
      <c r="TO15" s="4"/>
      <c r="TP15" s="4"/>
      <c r="TQ15" s="4"/>
      <c r="TR15" s="4"/>
      <c r="TS15" s="4"/>
      <c r="TT15" s="4"/>
      <c r="TU15" s="4"/>
      <c r="TV15" s="4"/>
      <c r="TW15" s="4"/>
      <c r="TX15" s="4"/>
      <c r="TY15" s="4"/>
      <c r="TZ15" s="4"/>
      <c r="UA15" s="4"/>
      <c r="UB15" s="4"/>
      <c r="UC15" s="4"/>
      <c r="UD15" s="4"/>
      <c r="UE15" s="4"/>
      <c r="UF15" s="4"/>
      <c r="UG15" s="4"/>
      <c r="UH15" s="4"/>
      <c r="UI15" s="4"/>
      <c r="UJ15" s="4"/>
      <c r="UK15" s="4"/>
      <c r="UL15" s="4"/>
      <c r="UM15" s="4"/>
      <c r="UN15" s="4"/>
      <c r="UO15" s="4"/>
      <c r="UP15" s="4"/>
      <c r="UQ15" s="4"/>
      <c r="UR15" s="4"/>
      <c r="US15" s="4"/>
      <c r="UT15" s="4"/>
      <c r="UU15" s="4"/>
      <c r="UV15" s="4"/>
      <c r="UW15" s="4"/>
      <c r="UX15" s="4"/>
      <c r="UY15" s="4"/>
      <c r="UZ15" s="4"/>
      <c r="VA15" s="4"/>
      <c r="VB15" s="4"/>
      <c r="VC15" s="4"/>
      <c r="VD15" s="4"/>
      <c r="VE15" s="4"/>
      <c r="VF15" s="4"/>
      <c r="VG15" s="4"/>
      <c r="VH15" s="4"/>
      <c r="VI15" s="4"/>
      <c r="VJ15" s="4"/>
      <c r="VK15" s="4"/>
      <c r="VL15" s="4"/>
      <c r="VM15" s="4"/>
      <c r="VN15" s="4"/>
      <c r="VO15" s="4"/>
      <c r="VP15" s="4"/>
      <c r="VQ15" s="4"/>
      <c r="VR15" s="4"/>
      <c r="VS15" s="4"/>
      <c r="VT15" s="4"/>
      <c r="VU15" s="4"/>
      <c r="VV15" s="4"/>
      <c r="VW15" s="4"/>
      <c r="VX15" s="4"/>
      <c r="VY15" s="4"/>
      <c r="VZ15" s="4"/>
      <c r="WA15" s="4"/>
      <c r="WB15" s="4"/>
      <c r="WC15" s="4"/>
      <c r="WD15" s="4"/>
      <c r="WE15" s="4"/>
      <c r="WF15" s="4"/>
      <c r="WG15" s="4"/>
      <c r="WH15" s="4"/>
      <c r="WI15" s="4"/>
      <c r="WJ15" s="4"/>
      <c r="WK15" s="4"/>
      <c r="WL15" s="4"/>
      <c r="WM15" s="4"/>
      <c r="WN15" s="4"/>
      <c r="WO15" s="4"/>
      <c r="WP15" s="4"/>
      <c r="WQ15" s="4"/>
      <c r="WR15" s="4"/>
      <c r="WS15" s="4"/>
      <c r="WT15" s="4"/>
      <c r="WU15" s="4"/>
      <c r="WV15" s="4"/>
      <c r="WW15" s="4"/>
      <c r="WX15" s="4"/>
      <c r="WY15" s="4"/>
      <c r="WZ15" s="4"/>
      <c r="XA15" s="4"/>
      <c r="XB15" s="4"/>
      <c r="XC15" s="4"/>
      <c r="XD15" s="4"/>
      <c r="XE15" s="4"/>
      <c r="XF15" s="4"/>
      <c r="XG15" s="4"/>
      <c r="XH15" s="4"/>
      <c r="XI15" s="4"/>
      <c r="XJ15" s="4"/>
      <c r="XK15" s="4"/>
      <c r="XL15" s="4"/>
      <c r="XM15" s="4"/>
      <c r="XN15" s="4"/>
      <c r="XO15" s="4"/>
      <c r="XP15" s="4"/>
      <c r="XQ15" s="4"/>
      <c r="XR15" s="4"/>
      <c r="XS15" s="4"/>
      <c r="XT15" s="4"/>
      <c r="XU15" s="4"/>
      <c r="XV15" s="4"/>
      <c r="XW15" s="4"/>
      <c r="XX15" s="4"/>
      <c r="XY15" s="4"/>
      <c r="XZ15" s="4"/>
      <c r="YA15" s="4"/>
      <c r="YB15" s="4"/>
      <c r="YC15" s="4"/>
      <c r="YD15" s="4"/>
      <c r="YE15" s="4"/>
      <c r="YF15" s="4"/>
      <c r="YG15" s="4"/>
      <c r="YH15" s="4"/>
      <c r="YI15" s="4"/>
      <c r="YJ15" s="4"/>
      <c r="YK15" s="4"/>
      <c r="YL15" s="4"/>
      <c r="YM15" s="4"/>
      <c r="YN15" s="4"/>
      <c r="YO15" s="4"/>
      <c r="YP15" s="4"/>
      <c r="YQ15" s="4"/>
      <c r="YR15" s="4"/>
      <c r="YS15" s="4"/>
      <c r="YT15" s="4"/>
      <c r="YU15" s="4"/>
      <c r="YV15" s="4"/>
      <c r="YW15" s="4"/>
      <c r="YX15" s="4"/>
      <c r="YY15" s="4"/>
      <c r="YZ15" s="4"/>
      <c r="ZA15" s="4"/>
      <c r="ZB15" s="4"/>
      <c r="ZC15" s="4"/>
      <c r="ZD15" s="4"/>
      <c r="ZE15" s="4"/>
      <c r="ZF15" s="4"/>
      <c r="ZG15" s="4"/>
      <c r="ZH15" s="4"/>
      <c r="ZI15" s="4"/>
      <c r="ZJ15" s="4"/>
      <c r="ZK15" s="4"/>
      <c r="ZL15" s="4"/>
      <c r="ZM15" s="4"/>
      <c r="ZN15" s="4"/>
      <c r="ZO15" s="4"/>
      <c r="ZP15" s="4"/>
      <c r="ZQ15" s="4"/>
      <c r="ZR15" s="4"/>
      <c r="ZS15" s="4"/>
      <c r="ZT15" s="4"/>
      <c r="ZU15" s="4"/>
      <c r="ZV15" s="4"/>
      <c r="ZW15" s="4"/>
      <c r="ZX15" s="4"/>
      <c r="ZY15" s="4"/>
      <c r="ZZ15" s="4"/>
      <c r="AAA15" s="4"/>
      <c r="AAB15" s="4"/>
      <c r="AAC15" s="4"/>
      <c r="AAD15" s="4"/>
      <c r="AAE15" s="4"/>
      <c r="AAF15" s="4"/>
      <c r="AAG15" s="4"/>
      <c r="AAH15" s="4"/>
      <c r="AAI15" s="4"/>
      <c r="AAJ15" s="4"/>
      <c r="AAK15" s="4"/>
      <c r="AAL15" s="4"/>
      <c r="AAM15" s="4"/>
      <c r="AAN15" s="4"/>
      <c r="AAO15" s="4"/>
      <c r="AAP15" s="4"/>
      <c r="AAQ15" s="4"/>
      <c r="AAR15" s="4"/>
      <c r="AAS15" s="4"/>
      <c r="AAT15" s="4"/>
      <c r="AAU15" s="4"/>
      <c r="AAV15" s="4"/>
      <c r="AAW15" s="4"/>
      <c r="AAX15" s="4"/>
      <c r="AAY15" s="4"/>
      <c r="AAZ15" s="4"/>
      <c r="ABA15" s="4"/>
      <c r="ABB15" s="4"/>
      <c r="ABC15" s="4"/>
      <c r="ABD15" s="4"/>
      <c r="ABE15" s="4"/>
      <c r="ABF15" s="4"/>
      <c r="ABG15" s="4"/>
      <c r="ABH15" s="4"/>
      <c r="ABI15" s="4"/>
      <c r="ABJ15" s="4"/>
      <c r="ABK15" s="4"/>
      <c r="ABL15" s="4"/>
      <c r="ABM15" s="4"/>
      <c r="ABN15" s="4"/>
      <c r="ABO15" s="4"/>
      <c r="ABP15" s="4"/>
      <c r="ABQ15" s="4"/>
      <c r="ABR15" s="4"/>
      <c r="ABS15" s="4"/>
      <c r="ABT15" s="4"/>
      <c r="ABU15" s="4"/>
      <c r="ABV15" s="4"/>
      <c r="ABW15" s="4"/>
      <c r="ABX15" s="4"/>
      <c r="ABY15" s="4"/>
      <c r="ABZ15" s="4"/>
      <c r="ACA15" s="4"/>
      <c r="ACB15" s="4"/>
      <c r="ACC15" s="4"/>
      <c r="ACD15" s="4"/>
      <c r="ACE15" s="4"/>
      <c r="ACF15" s="4"/>
      <c r="ACG15" s="4"/>
      <c r="ACH15" s="4"/>
      <c r="ACI15" s="4"/>
      <c r="ACJ15" s="4"/>
      <c r="ACK15" s="4"/>
      <c r="ACL15" s="4"/>
      <c r="ACM15" s="4"/>
      <c r="ACN15" s="4"/>
      <c r="ACO15" s="4"/>
      <c r="ACP15" s="4"/>
      <c r="ACQ15" s="4"/>
      <c r="ACR15" s="4"/>
      <c r="ACS15" s="4"/>
      <c r="ACT15" s="4"/>
      <c r="ACU15" s="4"/>
      <c r="ACV15" s="4"/>
      <c r="ACW15" s="4"/>
      <c r="ACX15" s="4"/>
      <c r="ACY15" s="4"/>
      <c r="ACZ15" s="4"/>
      <c r="ADA15" s="4"/>
      <c r="ADB15" s="4"/>
      <c r="ADC15" s="4"/>
      <c r="ADD15" s="4"/>
      <c r="ADE15" s="4"/>
      <c r="ADF15" s="4"/>
      <c r="ADG15" s="4"/>
      <c r="ADH15" s="4"/>
      <c r="ADI15" s="4"/>
      <c r="ADJ15" s="4"/>
      <c r="ADK15" s="4"/>
      <c r="ADL15" s="4"/>
      <c r="ADM15" s="4"/>
      <c r="ADN15" s="4"/>
      <c r="ADO15" s="4"/>
      <c r="ADP15" s="4"/>
      <c r="ADQ15" s="4"/>
      <c r="ADR15" s="4"/>
      <c r="ADS15" s="4"/>
      <c r="ADT15" s="4"/>
      <c r="ADU15" s="4"/>
      <c r="ADV15" s="4"/>
      <c r="ADW15" s="4"/>
      <c r="ADX15" s="4"/>
      <c r="ADY15" s="4"/>
      <c r="ADZ15" s="4"/>
      <c r="AEA15" s="4"/>
      <c r="AEB15" s="4"/>
      <c r="AEC15" s="4"/>
      <c r="AED15" s="4"/>
      <c r="AEE15" s="4"/>
      <c r="AEF15" s="4"/>
      <c r="AEG15" s="4"/>
      <c r="AEH15" s="4"/>
      <c r="AEI15" s="4"/>
      <c r="AEJ15" s="4"/>
      <c r="AEK15" s="4"/>
      <c r="AEL15" s="4"/>
      <c r="AEM15" s="4"/>
      <c r="AEN15" s="4"/>
      <c r="AEO15" s="4"/>
      <c r="AEP15" s="4"/>
      <c r="AEQ15" s="4"/>
      <c r="AER15" s="4"/>
      <c r="AES15" s="4"/>
      <c r="AET15" s="4"/>
      <c r="AEU15" s="4"/>
      <c r="AEV15" s="4"/>
      <c r="AEW15" s="4"/>
      <c r="AEX15" s="4"/>
      <c r="AEY15" s="4"/>
      <c r="AEZ15" s="4"/>
      <c r="AFA15" s="4"/>
      <c r="AFB15" s="4"/>
      <c r="AFC15" s="4"/>
      <c r="AFD15" s="4"/>
      <c r="AFE15" s="4"/>
      <c r="AFF15" s="4"/>
      <c r="AFG15" s="4"/>
      <c r="AFH15" s="4"/>
      <c r="AFI15" s="4"/>
      <c r="AFJ15" s="4"/>
      <c r="AFK15" s="4"/>
      <c r="AFL15" s="4"/>
      <c r="AFM15" s="4"/>
      <c r="AFN15" s="4"/>
      <c r="AFO15" s="4"/>
      <c r="AFP15" s="4"/>
      <c r="AFQ15" s="4"/>
      <c r="AFR15" s="4"/>
      <c r="AFS15" s="4"/>
      <c r="AFT15" s="4"/>
      <c r="AFU15" s="4"/>
      <c r="AFV15" s="4"/>
      <c r="AFW15" s="4"/>
      <c r="AFX15" s="4"/>
      <c r="AFY15" s="4"/>
      <c r="AFZ15" s="4"/>
      <c r="AGA15" s="4"/>
      <c r="AGB15" s="4"/>
      <c r="AGC15" s="4"/>
      <c r="AGD15" s="4"/>
      <c r="AGE15" s="4"/>
      <c r="AGF15" s="4"/>
      <c r="AGG15" s="4"/>
      <c r="AGH15" s="4"/>
      <c r="AGI15" s="4"/>
      <c r="AGJ15" s="4"/>
      <c r="AGK15" s="4"/>
      <c r="AGL15" s="4"/>
      <c r="AGM15" s="4"/>
      <c r="AGN15" s="4"/>
      <c r="AGO15" s="4"/>
      <c r="AGP15" s="4"/>
      <c r="AGQ15" s="4"/>
      <c r="AGR15" s="4"/>
      <c r="AGS15" s="4"/>
      <c r="AGT15" s="4"/>
      <c r="AGU15" s="4"/>
      <c r="AGV15" s="4"/>
      <c r="AGW15" s="4"/>
      <c r="AGX15" s="4"/>
      <c r="AGY15" s="4"/>
      <c r="AGZ15" s="4"/>
      <c r="AHA15" s="4"/>
      <c r="AHB15" s="4"/>
      <c r="AHC15" s="4"/>
      <c r="AHD15" s="4"/>
      <c r="AHE15" s="4"/>
      <c r="AHF15" s="4"/>
      <c r="AHG15" s="4"/>
      <c r="AHH15" s="4"/>
      <c r="AHI15" s="4"/>
      <c r="AHJ15" s="4"/>
      <c r="AHK15" s="4"/>
      <c r="AHL15" s="4"/>
      <c r="AHM15" s="4"/>
      <c r="AHN15" s="4"/>
      <c r="AHO15" s="4"/>
      <c r="AHP15" s="4"/>
      <c r="AHQ15" s="4"/>
      <c r="AHR15" s="4"/>
      <c r="AHS15" s="4"/>
      <c r="AHT15" s="4"/>
      <c r="AHU15" s="4"/>
      <c r="AHV15" s="4"/>
      <c r="AHW15" s="4"/>
      <c r="AHX15" s="4"/>
      <c r="AHY15" s="4"/>
      <c r="AHZ15" s="4"/>
      <c r="AIA15" s="4"/>
      <c r="AIB15" s="4"/>
      <c r="AIC15" s="4"/>
      <c r="AID15" s="4"/>
      <c r="AIE15" s="4"/>
      <c r="AIF15" s="4"/>
      <c r="AIG15" s="4"/>
      <c r="AIH15" s="4"/>
      <c r="AII15" s="4"/>
      <c r="AIJ15" s="4"/>
      <c r="AIK15" s="4"/>
      <c r="AIL15" s="4"/>
      <c r="AIM15" s="4"/>
      <c r="AIN15" s="4"/>
      <c r="AIO15" s="4"/>
      <c r="AIP15" s="4"/>
      <c r="AIQ15" s="4"/>
      <c r="AIR15" s="4"/>
      <c r="AIS15" s="4"/>
      <c r="AIT15" s="4"/>
      <c r="AIU15" s="4"/>
      <c r="AIV15" s="4"/>
      <c r="AIW15" s="4"/>
      <c r="AIX15" s="4"/>
      <c r="AIY15" s="4"/>
      <c r="AIZ15" s="4"/>
      <c r="AJA15" s="4"/>
      <c r="AJB15" s="4"/>
      <c r="AJC15" s="4"/>
      <c r="AJD15" s="4"/>
      <c r="AJE15" s="4"/>
      <c r="AJF15" s="4"/>
      <c r="AJG15" s="4"/>
      <c r="AJH15" s="4"/>
      <c r="AJI15" s="4"/>
      <c r="AJJ15" s="4"/>
      <c r="AJK15" s="4"/>
      <c r="AJL15" s="4"/>
      <c r="AJM15" s="4"/>
      <c r="AJN15" s="4"/>
      <c r="AJO15" s="4"/>
      <c r="AJP15" s="4"/>
      <c r="AJQ15" s="4"/>
      <c r="AJR15" s="4"/>
      <c r="AJS15" s="4"/>
      <c r="AJT15" s="4"/>
      <c r="AJU15" s="4"/>
      <c r="AJV15" s="4"/>
      <c r="AJW15" s="4"/>
      <c r="AJX15" s="4"/>
      <c r="AJY15" s="4"/>
      <c r="AJZ15" s="4"/>
    </row>
    <row r="16" spans="1:962" ht="24.75" customHeight="1" x14ac:dyDescent="0.25">
      <c r="H16" s="20">
        <v>40</v>
      </c>
      <c r="I16" s="20">
        <v>46</v>
      </c>
      <c r="J16" s="20">
        <v>63</v>
      </c>
      <c r="K16" s="20">
        <v>18</v>
      </c>
      <c r="L16" s="20">
        <v>15</v>
      </c>
      <c r="M16" s="20">
        <v>95</v>
      </c>
      <c r="N16" s="20">
        <v>85</v>
      </c>
      <c r="O16" s="20">
        <v>105</v>
      </c>
      <c r="P16" s="20">
        <v>70</v>
      </c>
      <c r="Q16" s="29" t="s">
        <v>123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4"/>
      <c r="SB16" s="4"/>
      <c r="SC16" s="4"/>
      <c r="SD16" s="4"/>
      <c r="SE16" s="4"/>
      <c r="SF16" s="4"/>
      <c r="SG16" s="4"/>
      <c r="SH16" s="4"/>
      <c r="SI16" s="4"/>
      <c r="SJ16" s="4"/>
      <c r="SK16" s="4"/>
      <c r="SL16" s="4"/>
      <c r="SM16" s="4"/>
      <c r="SN16" s="4"/>
      <c r="SO16" s="4"/>
      <c r="SP16" s="4"/>
      <c r="SQ16" s="4"/>
      <c r="SR16" s="4"/>
      <c r="SS16" s="4"/>
      <c r="ST16" s="4"/>
      <c r="SU16" s="4"/>
      <c r="SV16" s="4"/>
      <c r="SW16" s="4"/>
      <c r="SX16" s="4"/>
      <c r="SY16" s="4"/>
      <c r="SZ16" s="4"/>
      <c r="TA16" s="4"/>
      <c r="TB16" s="4"/>
      <c r="TC16" s="4"/>
      <c r="TD16" s="4"/>
      <c r="TE16" s="4"/>
      <c r="TF16" s="4"/>
      <c r="TG16" s="4"/>
      <c r="TH16" s="4"/>
      <c r="TI16" s="4"/>
      <c r="TJ16" s="4"/>
      <c r="TK16" s="4"/>
      <c r="TL16" s="4"/>
      <c r="TM16" s="4"/>
      <c r="TN16" s="4"/>
      <c r="TO16" s="4"/>
      <c r="TP16" s="4"/>
      <c r="TQ16" s="4"/>
      <c r="TR16" s="4"/>
      <c r="TS16" s="4"/>
      <c r="TT16" s="4"/>
      <c r="TU16" s="4"/>
      <c r="TV16" s="4"/>
      <c r="TW16" s="4"/>
      <c r="TX16" s="4"/>
      <c r="TY16" s="4"/>
      <c r="TZ16" s="4"/>
      <c r="UA16" s="4"/>
      <c r="UB16" s="4"/>
      <c r="UC16" s="4"/>
      <c r="UD16" s="4"/>
      <c r="UE16" s="4"/>
      <c r="UF16" s="4"/>
      <c r="UG16" s="4"/>
      <c r="UH16" s="4"/>
      <c r="UI16" s="4"/>
      <c r="UJ16" s="4"/>
      <c r="UK16" s="4"/>
      <c r="UL16" s="4"/>
      <c r="UM16" s="4"/>
      <c r="UN16" s="4"/>
      <c r="UO16" s="4"/>
      <c r="UP16" s="4"/>
      <c r="UQ16" s="4"/>
      <c r="UR16" s="4"/>
      <c r="US16" s="4"/>
      <c r="UT16" s="4"/>
      <c r="UU16" s="4"/>
      <c r="UV16" s="4"/>
      <c r="UW16" s="4"/>
      <c r="UX16" s="4"/>
      <c r="UY16" s="4"/>
      <c r="UZ16" s="4"/>
      <c r="VA16" s="4"/>
      <c r="VB16" s="4"/>
      <c r="VC16" s="4"/>
      <c r="VD16" s="4"/>
      <c r="VE16" s="4"/>
      <c r="VF16" s="4"/>
      <c r="VG16" s="4"/>
      <c r="VH16" s="4"/>
      <c r="VI16" s="4"/>
      <c r="VJ16" s="4"/>
      <c r="VK16" s="4"/>
      <c r="VL16" s="4"/>
      <c r="VM16" s="4"/>
      <c r="VN16" s="4"/>
      <c r="VO16" s="4"/>
      <c r="VP16" s="4"/>
      <c r="VQ16" s="4"/>
      <c r="VR16" s="4"/>
      <c r="VS16" s="4"/>
      <c r="VT16" s="4"/>
      <c r="VU16" s="4"/>
      <c r="VV16" s="4"/>
      <c r="VW16" s="4"/>
      <c r="VX16" s="4"/>
      <c r="VY16" s="4"/>
      <c r="VZ16" s="4"/>
      <c r="WA16" s="4"/>
      <c r="WB16" s="4"/>
      <c r="WC16" s="4"/>
      <c r="WD16" s="4"/>
      <c r="WE16" s="4"/>
      <c r="WF16" s="4"/>
      <c r="WG16" s="4"/>
      <c r="WH16" s="4"/>
      <c r="WI16" s="4"/>
      <c r="WJ16" s="4"/>
      <c r="WK16" s="4"/>
      <c r="WL16" s="4"/>
      <c r="WM16" s="4"/>
      <c r="WN16" s="4"/>
      <c r="WO16" s="4"/>
      <c r="WP16" s="4"/>
      <c r="WQ16" s="4"/>
      <c r="WR16" s="4"/>
      <c r="WS16" s="4"/>
      <c r="WT16" s="4"/>
      <c r="WU16" s="4"/>
      <c r="WV16" s="4"/>
      <c r="WW16" s="4"/>
      <c r="WX16" s="4"/>
      <c r="WY16" s="4"/>
      <c r="WZ16" s="4"/>
      <c r="XA16" s="4"/>
      <c r="XB16" s="4"/>
      <c r="XC16" s="4"/>
      <c r="XD16" s="4"/>
      <c r="XE16" s="4"/>
      <c r="XF16" s="4"/>
      <c r="XG16" s="4"/>
      <c r="XH16" s="4"/>
      <c r="XI16" s="4"/>
      <c r="XJ16" s="4"/>
      <c r="XK16" s="4"/>
      <c r="XL16" s="4"/>
      <c r="XM16" s="4"/>
      <c r="XN16" s="4"/>
      <c r="XO16" s="4"/>
      <c r="XP16" s="4"/>
      <c r="XQ16" s="4"/>
      <c r="XR16" s="4"/>
      <c r="XS16" s="4"/>
      <c r="XT16" s="4"/>
      <c r="XU16" s="4"/>
      <c r="XV16" s="4"/>
      <c r="XW16" s="4"/>
      <c r="XX16" s="4"/>
      <c r="XY16" s="4"/>
      <c r="XZ16" s="4"/>
      <c r="YA16" s="4"/>
      <c r="YB16" s="4"/>
      <c r="YC16" s="4"/>
      <c r="YD16" s="4"/>
      <c r="YE16" s="4"/>
      <c r="YF16" s="4"/>
      <c r="YG16" s="4"/>
      <c r="YH16" s="4"/>
      <c r="YI16" s="4"/>
      <c r="YJ16" s="4"/>
      <c r="YK16" s="4"/>
      <c r="YL16" s="4"/>
      <c r="YM16" s="4"/>
      <c r="YN16" s="4"/>
      <c r="YO16" s="4"/>
      <c r="YP16" s="4"/>
      <c r="YQ16" s="4"/>
      <c r="YR16" s="4"/>
      <c r="YS16" s="4"/>
      <c r="YT16" s="4"/>
      <c r="YU16" s="4"/>
      <c r="YV16" s="4"/>
      <c r="YW16" s="4"/>
      <c r="YX16" s="4"/>
      <c r="YY16" s="4"/>
      <c r="YZ16" s="4"/>
      <c r="ZA16" s="4"/>
      <c r="ZB16" s="4"/>
      <c r="ZC16" s="4"/>
      <c r="ZD16" s="4"/>
      <c r="ZE16" s="4"/>
      <c r="ZF16" s="4"/>
      <c r="ZG16" s="4"/>
      <c r="ZH16" s="4"/>
      <c r="ZI16" s="4"/>
      <c r="ZJ16" s="4"/>
      <c r="ZK16" s="4"/>
      <c r="ZL16" s="4"/>
      <c r="ZM16" s="4"/>
      <c r="ZN16" s="4"/>
      <c r="ZO16" s="4"/>
      <c r="ZP16" s="4"/>
      <c r="ZQ16" s="4"/>
      <c r="ZR16" s="4"/>
      <c r="ZS16" s="4"/>
      <c r="ZT16" s="4"/>
      <c r="ZU16" s="4"/>
      <c r="ZV16" s="4"/>
      <c r="ZW16" s="4"/>
      <c r="ZX16" s="4"/>
      <c r="ZY16" s="4"/>
      <c r="ZZ16" s="4"/>
      <c r="AAA16" s="4"/>
      <c r="AAB16" s="4"/>
      <c r="AAC16" s="4"/>
      <c r="AAD16" s="4"/>
      <c r="AAE16" s="4"/>
      <c r="AAF16" s="4"/>
      <c r="AAG16" s="4"/>
      <c r="AAH16" s="4"/>
      <c r="AAI16" s="4"/>
      <c r="AAJ16" s="4"/>
      <c r="AAK16" s="4"/>
      <c r="AAL16" s="4"/>
      <c r="AAM16" s="4"/>
      <c r="AAN16" s="4"/>
      <c r="AAO16" s="4"/>
      <c r="AAP16" s="4"/>
      <c r="AAQ16" s="4"/>
      <c r="AAR16" s="4"/>
      <c r="AAS16" s="4"/>
      <c r="AAT16" s="4"/>
      <c r="AAU16" s="4"/>
      <c r="AAV16" s="4"/>
      <c r="AAW16" s="4"/>
      <c r="AAX16" s="4"/>
      <c r="AAY16" s="4"/>
      <c r="AAZ16" s="4"/>
      <c r="ABA16" s="4"/>
      <c r="ABB16" s="4"/>
      <c r="ABC16" s="4"/>
      <c r="ABD16" s="4"/>
      <c r="ABE16" s="4"/>
      <c r="ABF16" s="4"/>
      <c r="ABG16" s="4"/>
      <c r="ABH16" s="4"/>
      <c r="ABI16" s="4"/>
      <c r="ABJ16" s="4"/>
      <c r="ABK16" s="4"/>
      <c r="ABL16" s="4"/>
      <c r="ABM16" s="4"/>
      <c r="ABN16" s="4"/>
      <c r="ABO16" s="4"/>
      <c r="ABP16" s="4"/>
      <c r="ABQ16" s="4"/>
      <c r="ABR16" s="4"/>
      <c r="ABS16" s="4"/>
      <c r="ABT16" s="4"/>
      <c r="ABU16" s="4"/>
      <c r="ABV16" s="4"/>
      <c r="ABW16" s="4"/>
      <c r="ABX16" s="4"/>
      <c r="ABY16" s="4"/>
      <c r="ABZ16" s="4"/>
      <c r="ACA16" s="4"/>
      <c r="ACB16" s="4"/>
      <c r="ACC16" s="4"/>
      <c r="ACD16" s="4"/>
      <c r="ACE16" s="4"/>
      <c r="ACF16" s="4"/>
      <c r="ACG16" s="4"/>
      <c r="ACH16" s="4"/>
      <c r="ACI16" s="4"/>
      <c r="ACJ16" s="4"/>
      <c r="ACK16" s="4"/>
      <c r="ACL16" s="4"/>
      <c r="ACM16" s="4"/>
      <c r="ACN16" s="4"/>
      <c r="ACO16" s="4"/>
      <c r="ACP16" s="4"/>
      <c r="ACQ16" s="4"/>
      <c r="ACR16" s="4"/>
      <c r="ACS16" s="4"/>
      <c r="ACT16" s="4"/>
      <c r="ACU16" s="4"/>
      <c r="ACV16" s="4"/>
      <c r="ACW16" s="4"/>
      <c r="ACX16" s="4"/>
      <c r="ACY16" s="4"/>
      <c r="ACZ16" s="4"/>
      <c r="ADA16" s="4"/>
      <c r="ADB16" s="4"/>
      <c r="ADC16" s="4"/>
      <c r="ADD16" s="4"/>
      <c r="ADE16" s="4"/>
      <c r="ADF16" s="4"/>
      <c r="ADG16" s="4"/>
      <c r="ADH16" s="4"/>
      <c r="ADI16" s="4"/>
      <c r="ADJ16" s="4"/>
      <c r="ADK16" s="4"/>
      <c r="ADL16" s="4"/>
      <c r="ADM16" s="4"/>
      <c r="ADN16" s="4"/>
      <c r="ADO16" s="4"/>
      <c r="ADP16" s="4"/>
      <c r="ADQ16" s="4"/>
      <c r="ADR16" s="4"/>
      <c r="ADS16" s="4"/>
      <c r="ADT16" s="4"/>
      <c r="ADU16" s="4"/>
      <c r="ADV16" s="4"/>
      <c r="ADW16" s="4"/>
      <c r="ADX16" s="4"/>
      <c r="ADY16" s="4"/>
      <c r="ADZ16" s="4"/>
      <c r="AEA16" s="4"/>
      <c r="AEB16" s="4"/>
      <c r="AEC16" s="4"/>
      <c r="AED16" s="4"/>
      <c r="AEE16" s="4"/>
      <c r="AEF16" s="4"/>
      <c r="AEG16" s="4"/>
      <c r="AEH16" s="4"/>
      <c r="AEI16" s="4"/>
      <c r="AEJ16" s="4"/>
      <c r="AEK16" s="4"/>
      <c r="AEL16" s="4"/>
      <c r="AEM16" s="4"/>
      <c r="AEN16" s="4"/>
      <c r="AEO16" s="4"/>
      <c r="AEP16" s="4"/>
      <c r="AEQ16" s="4"/>
      <c r="AER16" s="4"/>
      <c r="AES16" s="4"/>
      <c r="AET16" s="4"/>
      <c r="AEU16" s="4"/>
      <c r="AEV16" s="4"/>
      <c r="AEW16" s="4"/>
      <c r="AEX16" s="4"/>
      <c r="AEY16" s="4"/>
      <c r="AEZ16" s="4"/>
      <c r="AFA16" s="4"/>
      <c r="AFB16" s="4"/>
      <c r="AFC16" s="4"/>
      <c r="AFD16" s="4"/>
      <c r="AFE16" s="4"/>
      <c r="AFF16" s="4"/>
      <c r="AFG16" s="4"/>
      <c r="AFH16" s="4"/>
      <c r="AFI16" s="4"/>
      <c r="AFJ16" s="4"/>
      <c r="AFK16" s="4"/>
      <c r="AFL16" s="4"/>
      <c r="AFM16" s="4"/>
      <c r="AFN16" s="4"/>
      <c r="AFO16" s="4"/>
      <c r="AFP16" s="4"/>
      <c r="AFQ16" s="4"/>
      <c r="AFR16" s="4"/>
      <c r="AFS16" s="4"/>
      <c r="AFT16" s="4"/>
      <c r="AFU16" s="4"/>
      <c r="AFV16" s="4"/>
      <c r="AFW16" s="4"/>
      <c r="AFX16" s="4"/>
      <c r="AFY16" s="4"/>
      <c r="AFZ16" s="4"/>
      <c r="AGA16" s="4"/>
      <c r="AGB16" s="4"/>
      <c r="AGC16" s="4"/>
      <c r="AGD16" s="4"/>
      <c r="AGE16" s="4"/>
      <c r="AGF16" s="4"/>
      <c r="AGG16" s="4"/>
      <c r="AGH16" s="4"/>
      <c r="AGI16" s="4"/>
      <c r="AGJ16" s="4"/>
      <c r="AGK16" s="4"/>
      <c r="AGL16" s="4"/>
      <c r="AGM16" s="4"/>
      <c r="AGN16" s="4"/>
      <c r="AGO16" s="4"/>
      <c r="AGP16" s="4"/>
      <c r="AGQ16" s="4"/>
      <c r="AGR16" s="4"/>
      <c r="AGS16" s="4"/>
      <c r="AGT16" s="4"/>
      <c r="AGU16" s="4"/>
      <c r="AGV16" s="4"/>
      <c r="AGW16" s="4"/>
      <c r="AGX16" s="4"/>
      <c r="AGY16" s="4"/>
      <c r="AGZ16" s="4"/>
      <c r="AHA16" s="4"/>
      <c r="AHB16" s="4"/>
      <c r="AHC16" s="4"/>
      <c r="AHD16" s="4"/>
      <c r="AHE16" s="4"/>
      <c r="AHF16" s="4"/>
      <c r="AHG16" s="4"/>
      <c r="AHH16" s="4"/>
      <c r="AHI16" s="4"/>
      <c r="AHJ16" s="4"/>
      <c r="AHK16" s="4"/>
      <c r="AHL16" s="4"/>
      <c r="AHM16" s="4"/>
      <c r="AHN16" s="4"/>
      <c r="AHO16" s="4"/>
      <c r="AHP16" s="4"/>
      <c r="AHQ16" s="4"/>
      <c r="AHR16" s="4"/>
      <c r="AHS16" s="4"/>
      <c r="AHT16" s="4"/>
      <c r="AHU16" s="4"/>
      <c r="AHV16" s="4"/>
      <c r="AHW16" s="4"/>
      <c r="AHX16" s="4"/>
      <c r="AHY16" s="4"/>
      <c r="AHZ16" s="4"/>
      <c r="AIA16" s="4"/>
      <c r="AIB16" s="4"/>
      <c r="AIC16" s="4"/>
      <c r="AID16" s="4"/>
      <c r="AIE16" s="4"/>
      <c r="AIF16" s="4"/>
      <c r="AIG16" s="4"/>
      <c r="AIH16" s="4"/>
      <c r="AII16" s="4"/>
      <c r="AIJ16" s="4"/>
      <c r="AIK16" s="4"/>
      <c r="AIL16" s="4"/>
      <c r="AIM16" s="4"/>
      <c r="AIN16" s="4"/>
      <c r="AIO16" s="4"/>
      <c r="AIP16" s="4"/>
      <c r="AIQ16" s="4"/>
      <c r="AIR16" s="4"/>
      <c r="AIS16" s="4"/>
      <c r="AIT16" s="4"/>
      <c r="AIU16" s="4"/>
      <c r="AIV16" s="4"/>
      <c r="AIW16" s="4"/>
      <c r="AIX16" s="4"/>
      <c r="AIY16" s="4"/>
      <c r="AIZ16" s="4"/>
      <c r="AJA16" s="4"/>
      <c r="AJB16" s="4"/>
      <c r="AJC16" s="4"/>
      <c r="AJD16" s="4"/>
      <c r="AJE16" s="4"/>
      <c r="AJF16" s="4"/>
      <c r="AJG16" s="4"/>
      <c r="AJH16" s="4"/>
      <c r="AJI16" s="4"/>
      <c r="AJJ16" s="4"/>
      <c r="AJK16" s="4"/>
      <c r="AJL16" s="4"/>
      <c r="AJM16" s="4"/>
      <c r="AJN16" s="4"/>
      <c r="AJO16" s="4"/>
      <c r="AJP16" s="4"/>
      <c r="AJQ16" s="4"/>
      <c r="AJR16" s="4"/>
      <c r="AJS16" s="4"/>
      <c r="AJT16" s="4"/>
      <c r="AJU16" s="4"/>
      <c r="AJV16" s="4"/>
      <c r="AJW16" s="4"/>
      <c r="AJX16" s="4"/>
      <c r="AJY16" s="4"/>
      <c r="AJZ16" s="4"/>
    </row>
    <row r="17" spans="1:962" ht="24.75" customHeight="1" x14ac:dyDescent="0.25">
      <c r="A17" s="21"/>
      <c r="B17" s="22"/>
      <c r="C17" s="21"/>
      <c r="D17" s="21"/>
      <c r="E17" s="23"/>
      <c r="F17" s="21"/>
      <c r="G17" s="24"/>
      <c r="H17" s="25"/>
      <c r="I17" s="25"/>
      <c r="J17" s="25"/>
      <c r="K17" s="25"/>
      <c r="L17" s="25"/>
      <c r="M17" s="25"/>
      <c r="N17" s="25"/>
      <c r="O17" s="25"/>
      <c r="P17" s="25"/>
      <c r="Q17" s="30" t="s">
        <v>124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4"/>
      <c r="SB17" s="4"/>
      <c r="SC17" s="4"/>
      <c r="SD17" s="4"/>
      <c r="SE17" s="4"/>
      <c r="SF17" s="4"/>
      <c r="SG17" s="4"/>
      <c r="SH17" s="4"/>
      <c r="SI17" s="4"/>
      <c r="SJ17" s="4"/>
      <c r="SK17" s="4"/>
      <c r="SL17" s="4"/>
      <c r="SM17" s="4"/>
      <c r="SN17" s="4"/>
      <c r="SO17" s="4"/>
      <c r="SP17" s="4"/>
      <c r="SQ17" s="4"/>
      <c r="SR17" s="4"/>
      <c r="SS17" s="4"/>
      <c r="ST17" s="4"/>
      <c r="SU17" s="4"/>
      <c r="SV17" s="4"/>
      <c r="SW17" s="4"/>
      <c r="SX17" s="4"/>
      <c r="SY17" s="4"/>
      <c r="SZ17" s="4"/>
      <c r="TA17" s="4"/>
      <c r="TB17" s="4"/>
      <c r="TC17" s="4"/>
      <c r="TD17" s="4"/>
      <c r="TE17" s="4"/>
      <c r="TF17" s="4"/>
      <c r="TG17" s="4"/>
      <c r="TH17" s="4"/>
      <c r="TI17" s="4"/>
      <c r="TJ17" s="4"/>
      <c r="TK17" s="4"/>
      <c r="TL17" s="4"/>
      <c r="TM17" s="4"/>
      <c r="TN17" s="4"/>
      <c r="TO17" s="4"/>
      <c r="TP17" s="4"/>
      <c r="TQ17" s="4"/>
      <c r="TR17" s="4"/>
      <c r="TS17" s="4"/>
      <c r="TT17" s="4"/>
      <c r="TU17" s="4"/>
      <c r="TV17" s="4"/>
      <c r="TW17" s="4"/>
      <c r="TX17" s="4"/>
      <c r="TY17" s="4"/>
      <c r="TZ17" s="4"/>
      <c r="UA17" s="4"/>
      <c r="UB17" s="4"/>
      <c r="UC17" s="4"/>
      <c r="UD17" s="4"/>
      <c r="UE17" s="4"/>
      <c r="UF17" s="4"/>
      <c r="UG17" s="4"/>
      <c r="UH17" s="4"/>
      <c r="UI17" s="4"/>
      <c r="UJ17" s="4"/>
      <c r="UK17" s="4"/>
      <c r="UL17" s="4"/>
      <c r="UM17" s="4"/>
      <c r="UN17" s="4"/>
      <c r="UO17" s="4"/>
      <c r="UP17" s="4"/>
      <c r="UQ17" s="4"/>
      <c r="UR17" s="4"/>
      <c r="US17" s="4"/>
      <c r="UT17" s="4"/>
      <c r="UU17" s="4"/>
      <c r="UV17" s="4"/>
      <c r="UW17" s="4"/>
      <c r="UX17" s="4"/>
      <c r="UY17" s="4"/>
      <c r="UZ17" s="4"/>
      <c r="VA17" s="4"/>
      <c r="VB17" s="4"/>
      <c r="VC17" s="4"/>
      <c r="VD17" s="4"/>
      <c r="VE17" s="4"/>
      <c r="VF17" s="4"/>
      <c r="VG17" s="4"/>
      <c r="VH17" s="4"/>
      <c r="VI17" s="4"/>
      <c r="VJ17" s="4"/>
      <c r="VK17" s="4"/>
      <c r="VL17" s="4"/>
      <c r="VM17" s="4"/>
      <c r="VN17" s="4"/>
      <c r="VO17" s="4"/>
      <c r="VP17" s="4"/>
      <c r="VQ17" s="4"/>
      <c r="VR17" s="4"/>
      <c r="VS17" s="4"/>
      <c r="VT17" s="4"/>
      <c r="VU17" s="4"/>
      <c r="VV17" s="4"/>
      <c r="VW17" s="4"/>
      <c r="VX17" s="4"/>
      <c r="VY17" s="4"/>
      <c r="VZ17" s="4"/>
      <c r="WA17" s="4"/>
      <c r="WB17" s="4"/>
      <c r="WC17" s="4"/>
      <c r="WD17" s="4"/>
      <c r="WE17" s="4"/>
      <c r="WF17" s="4"/>
      <c r="WG17" s="4"/>
      <c r="WH17" s="4"/>
      <c r="WI17" s="4"/>
      <c r="WJ17" s="4"/>
      <c r="WK17" s="4"/>
      <c r="WL17" s="4"/>
      <c r="WM17" s="4"/>
      <c r="WN17" s="4"/>
      <c r="WO17" s="4"/>
      <c r="WP17" s="4"/>
      <c r="WQ17" s="4"/>
      <c r="WR17" s="4"/>
      <c r="WS17" s="4"/>
      <c r="WT17" s="4"/>
      <c r="WU17" s="4"/>
      <c r="WV17" s="4"/>
      <c r="WW17" s="4"/>
      <c r="WX17" s="4"/>
      <c r="WY17" s="4"/>
      <c r="WZ17" s="4"/>
      <c r="XA17" s="4"/>
      <c r="XB17" s="4"/>
      <c r="XC17" s="4"/>
      <c r="XD17" s="4"/>
      <c r="XE17" s="4"/>
      <c r="XF17" s="4"/>
      <c r="XG17" s="4"/>
      <c r="XH17" s="4"/>
      <c r="XI17" s="4"/>
      <c r="XJ17" s="4"/>
      <c r="XK17" s="4"/>
      <c r="XL17" s="4"/>
      <c r="XM17" s="4"/>
      <c r="XN17" s="4"/>
      <c r="XO17" s="4"/>
      <c r="XP17" s="4"/>
      <c r="XQ17" s="4"/>
      <c r="XR17" s="4"/>
      <c r="XS17" s="4"/>
      <c r="XT17" s="4"/>
      <c r="XU17" s="4"/>
      <c r="XV17" s="4"/>
      <c r="XW17" s="4"/>
      <c r="XX17" s="4"/>
      <c r="XY17" s="4"/>
      <c r="XZ17" s="4"/>
      <c r="YA17" s="4"/>
      <c r="YB17" s="4"/>
      <c r="YC17" s="4"/>
      <c r="YD17" s="4"/>
      <c r="YE17" s="4"/>
      <c r="YF17" s="4"/>
      <c r="YG17" s="4"/>
      <c r="YH17" s="4"/>
      <c r="YI17" s="4"/>
      <c r="YJ17" s="4"/>
      <c r="YK17" s="4"/>
      <c r="YL17" s="4"/>
      <c r="YM17" s="4"/>
      <c r="YN17" s="4"/>
      <c r="YO17" s="4"/>
      <c r="YP17" s="4"/>
      <c r="YQ17" s="4"/>
      <c r="YR17" s="4"/>
      <c r="YS17" s="4"/>
      <c r="YT17" s="4"/>
      <c r="YU17" s="4"/>
      <c r="YV17" s="4"/>
      <c r="YW17" s="4"/>
      <c r="YX17" s="4"/>
      <c r="YY17" s="4"/>
      <c r="YZ17" s="4"/>
      <c r="ZA17" s="4"/>
      <c r="ZB17" s="4"/>
      <c r="ZC17" s="4"/>
      <c r="ZD17" s="4"/>
      <c r="ZE17" s="4"/>
      <c r="ZF17" s="4"/>
      <c r="ZG17" s="4"/>
      <c r="ZH17" s="4"/>
      <c r="ZI17" s="4"/>
      <c r="ZJ17" s="4"/>
      <c r="ZK17" s="4"/>
      <c r="ZL17" s="4"/>
      <c r="ZM17" s="4"/>
      <c r="ZN17" s="4"/>
      <c r="ZO17" s="4"/>
      <c r="ZP17" s="4"/>
      <c r="ZQ17" s="4"/>
      <c r="ZR17" s="4"/>
      <c r="ZS17" s="4"/>
      <c r="ZT17" s="4"/>
      <c r="ZU17" s="4"/>
      <c r="ZV17" s="4"/>
      <c r="ZW17" s="4"/>
      <c r="ZX17" s="4"/>
      <c r="ZY17" s="4"/>
      <c r="ZZ17" s="4"/>
      <c r="AAA17" s="4"/>
      <c r="AAB17" s="4"/>
      <c r="AAC17" s="4"/>
      <c r="AAD17" s="4"/>
      <c r="AAE17" s="4"/>
      <c r="AAF17" s="4"/>
      <c r="AAG17" s="4"/>
      <c r="AAH17" s="4"/>
      <c r="AAI17" s="4"/>
      <c r="AAJ17" s="4"/>
      <c r="AAK17" s="4"/>
      <c r="AAL17" s="4"/>
      <c r="AAM17" s="4"/>
      <c r="AAN17" s="4"/>
      <c r="AAO17" s="4"/>
      <c r="AAP17" s="4"/>
      <c r="AAQ17" s="4"/>
      <c r="AAR17" s="4"/>
      <c r="AAS17" s="4"/>
      <c r="AAT17" s="4"/>
      <c r="AAU17" s="4"/>
      <c r="AAV17" s="4"/>
      <c r="AAW17" s="4"/>
      <c r="AAX17" s="4"/>
      <c r="AAY17" s="4"/>
      <c r="AAZ17" s="4"/>
      <c r="ABA17" s="4"/>
      <c r="ABB17" s="4"/>
      <c r="ABC17" s="4"/>
      <c r="ABD17" s="4"/>
      <c r="ABE17" s="4"/>
      <c r="ABF17" s="4"/>
      <c r="ABG17" s="4"/>
      <c r="ABH17" s="4"/>
      <c r="ABI17" s="4"/>
      <c r="ABJ17" s="4"/>
      <c r="ABK17" s="4"/>
      <c r="ABL17" s="4"/>
      <c r="ABM17" s="4"/>
      <c r="ABN17" s="4"/>
      <c r="ABO17" s="4"/>
      <c r="ABP17" s="4"/>
      <c r="ABQ17" s="4"/>
      <c r="ABR17" s="4"/>
      <c r="ABS17" s="4"/>
      <c r="ABT17" s="4"/>
      <c r="ABU17" s="4"/>
      <c r="ABV17" s="4"/>
      <c r="ABW17" s="4"/>
      <c r="ABX17" s="4"/>
      <c r="ABY17" s="4"/>
      <c r="ABZ17" s="4"/>
      <c r="ACA17" s="4"/>
      <c r="ACB17" s="4"/>
      <c r="ACC17" s="4"/>
      <c r="ACD17" s="4"/>
      <c r="ACE17" s="4"/>
      <c r="ACF17" s="4"/>
      <c r="ACG17" s="4"/>
      <c r="ACH17" s="4"/>
      <c r="ACI17" s="4"/>
      <c r="ACJ17" s="4"/>
      <c r="ACK17" s="4"/>
      <c r="ACL17" s="4"/>
      <c r="ACM17" s="4"/>
      <c r="ACN17" s="4"/>
      <c r="ACO17" s="4"/>
      <c r="ACP17" s="4"/>
      <c r="ACQ17" s="4"/>
      <c r="ACR17" s="4"/>
      <c r="ACS17" s="4"/>
      <c r="ACT17" s="4"/>
      <c r="ACU17" s="4"/>
      <c r="ACV17" s="4"/>
      <c r="ACW17" s="4"/>
      <c r="ACX17" s="4"/>
      <c r="ACY17" s="4"/>
      <c r="ACZ17" s="4"/>
      <c r="ADA17" s="4"/>
      <c r="ADB17" s="4"/>
      <c r="ADC17" s="4"/>
      <c r="ADD17" s="4"/>
      <c r="ADE17" s="4"/>
      <c r="ADF17" s="4"/>
      <c r="ADG17" s="4"/>
      <c r="ADH17" s="4"/>
      <c r="ADI17" s="4"/>
      <c r="ADJ17" s="4"/>
      <c r="ADK17" s="4"/>
      <c r="ADL17" s="4"/>
      <c r="ADM17" s="4"/>
      <c r="ADN17" s="4"/>
      <c r="ADO17" s="4"/>
      <c r="ADP17" s="4"/>
      <c r="ADQ17" s="4"/>
      <c r="ADR17" s="4"/>
      <c r="ADS17" s="4"/>
      <c r="ADT17" s="4"/>
      <c r="ADU17" s="4"/>
      <c r="ADV17" s="4"/>
      <c r="ADW17" s="4"/>
      <c r="ADX17" s="4"/>
      <c r="ADY17" s="4"/>
      <c r="ADZ17" s="4"/>
      <c r="AEA17" s="4"/>
      <c r="AEB17" s="4"/>
      <c r="AEC17" s="4"/>
      <c r="AED17" s="4"/>
      <c r="AEE17" s="4"/>
      <c r="AEF17" s="4"/>
      <c r="AEG17" s="4"/>
      <c r="AEH17" s="4"/>
      <c r="AEI17" s="4"/>
      <c r="AEJ17" s="4"/>
      <c r="AEK17" s="4"/>
      <c r="AEL17" s="4"/>
      <c r="AEM17" s="4"/>
      <c r="AEN17" s="4"/>
      <c r="AEO17" s="4"/>
      <c r="AEP17" s="4"/>
      <c r="AEQ17" s="4"/>
      <c r="AER17" s="4"/>
      <c r="AES17" s="4"/>
      <c r="AET17" s="4"/>
      <c r="AEU17" s="4"/>
      <c r="AEV17" s="4"/>
      <c r="AEW17" s="4"/>
      <c r="AEX17" s="4"/>
      <c r="AEY17" s="4"/>
      <c r="AEZ17" s="4"/>
      <c r="AFA17" s="4"/>
      <c r="AFB17" s="4"/>
      <c r="AFC17" s="4"/>
      <c r="AFD17" s="4"/>
      <c r="AFE17" s="4"/>
      <c r="AFF17" s="4"/>
      <c r="AFG17" s="4"/>
      <c r="AFH17" s="4"/>
      <c r="AFI17" s="4"/>
      <c r="AFJ17" s="4"/>
      <c r="AFK17" s="4"/>
      <c r="AFL17" s="4"/>
      <c r="AFM17" s="4"/>
      <c r="AFN17" s="4"/>
      <c r="AFO17" s="4"/>
      <c r="AFP17" s="4"/>
      <c r="AFQ17" s="4"/>
      <c r="AFR17" s="4"/>
      <c r="AFS17" s="4"/>
      <c r="AFT17" s="4"/>
      <c r="AFU17" s="4"/>
      <c r="AFV17" s="4"/>
      <c r="AFW17" s="4"/>
      <c r="AFX17" s="4"/>
      <c r="AFY17" s="4"/>
      <c r="AFZ17" s="4"/>
      <c r="AGA17" s="4"/>
      <c r="AGB17" s="4"/>
      <c r="AGC17" s="4"/>
      <c r="AGD17" s="4"/>
      <c r="AGE17" s="4"/>
      <c r="AGF17" s="4"/>
      <c r="AGG17" s="4"/>
      <c r="AGH17" s="4"/>
      <c r="AGI17" s="4"/>
      <c r="AGJ17" s="4"/>
      <c r="AGK17" s="4"/>
      <c r="AGL17" s="4"/>
      <c r="AGM17" s="4"/>
      <c r="AGN17" s="4"/>
      <c r="AGO17" s="4"/>
      <c r="AGP17" s="4"/>
      <c r="AGQ17" s="4"/>
      <c r="AGR17" s="4"/>
      <c r="AGS17" s="4"/>
      <c r="AGT17" s="4"/>
      <c r="AGU17" s="4"/>
      <c r="AGV17" s="4"/>
      <c r="AGW17" s="4"/>
      <c r="AGX17" s="4"/>
      <c r="AGY17" s="4"/>
      <c r="AGZ17" s="4"/>
      <c r="AHA17" s="4"/>
      <c r="AHB17" s="4"/>
      <c r="AHC17" s="4"/>
      <c r="AHD17" s="4"/>
      <c r="AHE17" s="4"/>
      <c r="AHF17" s="4"/>
      <c r="AHG17" s="4"/>
      <c r="AHH17" s="4"/>
      <c r="AHI17" s="4"/>
      <c r="AHJ17" s="4"/>
      <c r="AHK17" s="4"/>
      <c r="AHL17" s="4"/>
      <c r="AHM17" s="4"/>
      <c r="AHN17" s="4"/>
      <c r="AHO17" s="4"/>
      <c r="AHP17" s="4"/>
      <c r="AHQ17" s="4"/>
      <c r="AHR17" s="4"/>
      <c r="AHS17" s="4"/>
      <c r="AHT17" s="4"/>
      <c r="AHU17" s="4"/>
      <c r="AHV17" s="4"/>
      <c r="AHW17" s="4"/>
      <c r="AHX17" s="4"/>
      <c r="AHY17" s="4"/>
      <c r="AHZ17" s="4"/>
      <c r="AIA17" s="4"/>
      <c r="AIB17" s="4"/>
      <c r="AIC17" s="4"/>
      <c r="AID17" s="4"/>
      <c r="AIE17" s="4"/>
      <c r="AIF17" s="4"/>
      <c r="AIG17" s="4"/>
      <c r="AIH17" s="4"/>
      <c r="AII17" s="4"/>
      <c r="AIJ17" s="4"/>
      <c r="AIK17" s="4"/>
      <c r="AIL17" s="4"/>
      <c r="AIM17" s="4"/>
      <c r="AIN17" s="4"/>
      <c r="AIO17" s="4"/>
      <c r="AIP17" s="4"/>
      <c r="AIQ17" s="4"/>
      <c r="AIR17" s="4"/>
      <c r="AIS17" s="4"/>
      <c r="AIT17" s="4"/>
      <c r="AIU17" s="4"/>
      <c r="AIV17" s="4"/>
      <c r="AIW17" s="4"/>
      <c r="AIX17" s="4"/>
      <c r="AIY17" s="4"/>
      <c r="AIZ17" s="4"/>
      <c r="AJA17" s="4"/>
      <c r="AJB17" s="4"/>
      <c r="AJC17" s="4"/>
      <c r="AJD17" s="4"/>
      <c r="AJE17" s="4"/>
      <c r="AJF17" s="4"/>
      <c r="AJG17" s="4"/>
      <c r="AJH17" s="4"/>
      <c r="AJI17" s="4"/>
      <c r="AJJ17" s="4"/>
      <c r="AJK17" s="4"/>
      <c r="AJL17" s="4"/>
      <c r="AJM17" s="4"/>
      <c r="AJN17" s="4"/>
      <c r="AJO17" s="4"/>
      <c r="AJP17" s="4"/>
      <c r="AJQ17" s="4"/>
      <c r="AJR17" s="4"/>
      <c r="AJS17" s="4"/>
      <c r="AJT17" s="4"/>
      <c r="AJU17" s="4"/>
      <c r="AJV17" s="4"/>
      <c r="AJW17" s="4"/>
      <c r="AJX17" s="4"/>
      <c r="AJY17" s="4"/>
      <c r="AJZ17" s="4"/>
    </row>
    <row r="18" spans="1:962" ht="24.75" customHeight="1" x14ac:dyDescent="0.25">
      <c r="A18" s="18" t="s">
        <v>62</v>
      </c>
      <c r="B18" s="19" t="s">
        <v>72</v>
      </c>
      <c r="C18" s="19" t="s">
        <v>73</v>
      </c>
      <c r="D18" s="20">
        <v>41</v>
      </c>
      <c r="E18" s="20">
        <v>57</v>
      </c>
      <c r="F18" s="20" t="s">
        <v>46</v>
      </c>
      <c r="G18" s="20" t="s">
        <v>32</v>
      </c>
      <c r="H18" s="13">
        <v>47</v>
      </c>
      <c r="I18" s="13">
        <v>25</v>
      </c>
      <c r="J18" s="13">
        <v>18</v>
      </c>
      <c r="K18" s="13">
        <v>28</v>
      </c>
      <c r="L18" s="13">
        <v>27</v>
      </c>
      <c r="M18" s="13">
        <v>28</v>
      </c>
      <c r="N18" s="13">
        <v>71</v>
      </c>
      <c r="O18" s="13">
        <v>44</v>
      </c>
      <c r="Q18" s="29" t="s">
        <v>121</v>
      </c>
    </row>
    <row r="19" spans="1:962" ht="24.75" customHeight="1" x14ac:dyDescent="0.25">
      <c r="A19" s="18"/>
      <c r="B19" s="19"/>
      <c r="C19" s="19"/>
      <c r="D19" s="20"/>
      <c r="E19" s="20"/>
      <c r="F19" s="20"/>
      <c r="G19" s="20"/>
      <c r="H19" s="13">
        <v>85</v>
      </c>
      <c r="I19" s="13">
        <v>105</v>
      </c>
      <c r="J19" s="13">
        <v>68</v>
      </c>
      <c r="K19" s="13">
        <v>32</v>
      </c>
      <c r="L19" s="13">
        <v>26</v>
      </c>
      <c r="M19" s="13">
        <v>18</v>
      </c>
      <c r="N19" s="13">
        <v>96</v>
      </c>
      <c r="Q19" s="29" t="s">
        <v>122</v>
      </c>
    </row>
    <row r="20" spans="1:962" ht="24.75" customHeight="1" x14ac:dyDescent="0.25">
      <c r="H20" s="20">
        <v>44</v>
      </c>
      <c r="I20" s="20">
        <v>47</v>
      </c>
      <c r="J20" s="20">
        <v>60</v>
      </c>
      <c r="K20" s="20">
        <v>18</v>
      </c>
      <c r="L20" s="20">
        <v>15</v>
      </c>
      <c r="M20" s="20">
        <v>95</v>
      </c>
      <c r="N20" s="20">
        <v>90</v>
      </c>
      <c r="O20" s="20">
        <v>105</v>
      </c>
      <c r="P20" s="20">
        <v>71</v>
      </c>
      <c r="Q20" s="29" t="s">
        <v>123</v>
      </c>
    </row>
    <row r="21" spans="1:962" ht="24.75" customHeight="1" x14ac:dyDescent="0.25">
      <c r="A21" s="21"/>
      <c r="B21" s="22"/>
      <c r="C21" s="21"/>
      <c r="D21" s="21"/>
      <c r="E21" s="23"/>
      <c r="F21" s="21"/>
      <c r="G21" s="24"/>
      <c r="H21" s="25"/>
      <c r="I21" s="25"/>
      <c r="J21" s="25"/>
      <c r="K21" s="25"/>
      <c r="L21" s="25"/>
      <c r="M21" s="25"/>
      <c r="N21" s="25"/>
      <c r="O21" s="25"/>
      <c r="P21" s="25"/>
      <c r="Q21" s="30" t="s">
        <v>124</v>
      </c>
    </row>
    <row r="22" spans="1:962" ht="24.75" customHeight="1" x14ac:dyDescent="0.25">
      <c r="A22" s="18" t="s">
        <v>63</v>
      </c>
      <c r="B22" s="19" t="s">
        <v>74</v>
      </c>
      <c r="C22" s="19" t="s">
        <v>73</v>
      </c>
      <c r="D22" s="20">
        <v>41</v>
      </c>
      <c r="E22" s="20">
        <v>58</v>
      </c>
      <c r="F22" s="20" t="s">
        <v>46</v>
      </c>
      <c r="G22" s="20" t="s">
        <v>32</v>
      </c>
      <c r="H22" s="13">
        <v>47</v>
      </c>
      <c r="I22" s="13">
        <v>25</v>
      </c>
      <c r="J22" s="13">
        <v>18</v>
      </c>
      <c r="K22" s="13">
        <v>28</v>
      </c>
      <c r="L22" s="13">
        <v>27</v>
      </c>
      <c r="M22" s="13">
        <v>28</v>
      </c>
      <c r="N22" s="13">
        <v>71</v>
      </c>
      <c r="O22" s="13">
        <v>44</v>
      </c>
      <c r="Q22" s="29" t="s">
        <v>121</v>
      </c>
    </row>
    <row r="23" spans="1:962" ht="24.75" customHeight="1" x14ac:dyDescent="0.25">
      <c r="A23" s="18"/>
      <c r="B23" s="19"/>
      <c r="C23" s="19"/>
      <c r="D23" s="20"/>
      <c r="E23" s="20"/>
      <c r="F23" s="20"/>
      <c r="G23" s="20"/>
      <c r="H23" s="13">
        <v>85</v>
      </c>
      <c r="I23" s="13">
        <v>105</v>
      </c>
      <c r="J23" s="13">
        <v>68</v>
      </c>
      <c r="K23" s="13">
        <v>32</v>
      </c>
      <c r="L23" s="13">
        <v>26</v>
      </c>
      <c r="M23" s="13">
        <v>18</v>
      </c>
      <c r="N23" s="13">
        <v>96</v>
      </c>
      <c r="Q23" s="29" t="s">
        <v>122</v>
      </c>
    </row>
    <row r="24" spans="1:962" ht="24.75" customHeight="1" x14ac:dyDescent="0.25">
      <c r="H24" s="20">
        <v>44</v>
      </c>
      <c r="I24" s="20">
        <v>47</v>
      </c>
      <c r="J24" s="20">
        <v>60</v>
      </c>
      <c r="K24" s="20">
        <v>19</v>
      </c>
      <c r="L24" s="20">
        <v>15</v>
      </c>
      <c r="M24" s="20">
        <v>95</v>
      </c>
      <c r="N24" s="20">
        <v>90</v>
      </c>
      <c r="O24" s="20">
        <v>105</v>
      </c>
      <c r="P24" s="20">
        <v>71</v>
      </c>
      <c r="Q24" s="29" t="s">
        <v>123</v>
      </c>
    </row>
    <row r="25" spans="1:962" ht="24.75" customHeight="1" x14ac:dyDescent="0.25">
      <c r="A25" s="21"/>
      <c r="B25" s="22"/>
      <c r="C25" s="21"/>
      <c r="D25" s="21"/>
      <c r="E25" s="23"/>
      <c r="F25" s="21"/>
      <c r="G25" s="24"/>
      <c r="H25" s="25">
        <v>44</v>
      </c>
      <c r="I25" s="25">
        <v>47</v>
      </c>
      <c r="J25" s="25">
        <v>61</v>
      </c>
      <c r="K25" s="25">
        <v>18</v>
      </c>
      <c r="L25" s="25">
        <v>13</v>
      </c>
      <c r="M25" s="25">
        <v>28</v>
      </c>
      <c r="N25" s="25">
        <v>27</v>
      </c>
      <c r="O25" s="25">
        <v>28</v>
      </c>
      <c r="P25" s="25">
        <v>70</v>
      </c>
      <c r="Q25" s="30" t="s">
        <v>124</v>
      </c>
    </row>
    <row r="26" spans="1:962" ht="24.75" customHeight="1" x14ac:dyDescent="0.25">
      <c r="A26" s="18" t="s">
        <v>64</v>
      </c>
      <c r="B26" s="19" t="s">
        <v>75</v>
      </c>
      <c r="C26" s="19" t="s">
        <v>73</v>
      </c>
      <c r="D26" s="20">
        <v>42</v>
      </c>
      <c r="E26" s="20">
        <v>56</v>
      </c>
      <c r="F26" s="20" t="s">
        <v>46</v>
      </c>
      <c r="G26" s="20" t="s">
        <v>34</v>
      </c>
      <c r="H26" s="13">
        <v>46</v>
      </c>
      <c r="I26" s="13">
        <v>26</v>
      </c>
      <c r="J26" s="13">
        <v>18</v>
      </c>
      <c r="K26" s="13">
        <v>29</v>
      </c>
      <c r="L26" s="13">
        <v>27</v>
      </c>
      <c r="M26" s="13">
        <v>29</v>
      </c>
      <c r="N26" s="13">
        <v>72</v>
      </c>
      <c r="O26" s="13">
        <v>40</v>
      </c>
      <c r="Q26" s="29" t="s">
        <v>121</v>
      </c>
    </row>
    <row r="27" spans="1:962" ht="24.75" customHeight="1" x14ac:dyDescent="0.25">
      <c r="A27" s="18"/>
      <c r="B27" s="19"/>
      <c r="C27" s="19"/>
      <c r="D27" s="20"/>
      <c r="E27" s="20"/>
      <c r="F27" s="20"/>
      <c r="G27" s="20"/>
      <c r="H27" s="13">
        <v>94</v>
      </c>
      <c r="I27" s="13">
        <v>110</v>
      </c>
      <c r="J27" s="13">
        <v>66</v>
      </c>
      <c r="K27" s="13">
        <v>34</v>
      </c>
      <c r="L27" s="13">
        <v>25</v>
      </c>
      <c r="M27" s="13">
        <v>21</v>
      </c>
      <c r="N27" s="13">
        <v>100</v>
      </c>
      <c r="Q27" s="29" t="s">
        <v>122</v>
      </c>
    </row>
    <row r="28" spans="1:962" ht="24.75" customHeight="1" x14ac:dyDescent="0.25">
      <c r="H28" s="20">
        <v>40</v>
      </c>
      <c r="I28" s="20">
        <v>46</v>
      </c>
      <c r="J28" s="20">
        <v>60</v>
      </c>
      <c r="K28" s="20">
        <v>19</v>
      </c>
      <c r="L28" s="20">
        <v>15</v>
      </c>
      <c r="M28" s="20">
        <v>110</v>
      </c>
      <c r="N28" s="20">
        <v>104</v>
      </c>
      <c r="O28" s="20">
        <v>117</v>
      </c>
      <c r="P28" s="20">
        <v>72</v>
      </c>
      <c r="Q28" s="29" t="s">
        <v>123</v>
      </c>
    </row>
    <row r="29" spans="1:962" ht="24.75" customHeight="1" x14ac:dyDescent="0.25">
      <c r="A29" s="21"/>
      <c r="B29" s="22"/>
      <c r="C29" s="21"/>
      <c r="D29" s="21"/>
      <c r="E29" s="23"/>
      <c r="F29" s="21"/>
      <c r="G29" s="24"/>
      <c r="H29" s="25">
        <v>40</v>
      </c>
      <c r="I29" s="25">
        <v>46</v>
      </c>
      <c r="J29" s="25">
        <v>61</v>
      </c>
      <c r="K29" s="25">
        <v>18</v>
      </c>
      <c r="L29" s="25">
        <v>13</v>
      </c>
      <c r="M29" s="25">
        <v>29</v>
      </c>
      <c r="N29" s="25">
        <v>27</v>
      </c>
      <c r="O29" s="25">
        <v>29</v>
      </c>
      <c r="P29" s="25">
        <v>71</v>
      </c>
      <c r="Q29" s="30" t="s">
        <v>124</v>
      </c>
    </row>
    <row r="30" spans="1:962" ht="24.75" customHeight="1" x14ac:dyDescent="0.25">
      <c r="A30" s="18" t="s">
        <v>65</v>
      </c>
      <c r="B30" s="19" t="s">
        <v>76</v>
      </c>
      <c r="C30" s="19" t="s">
        <v>73</v>
      </c>
      <c r="D30" s="20">
        <v>44</v>
      </c>
      <c r="E30" s="20">
        <v>59</v>
      </c>
      <c r="F30" s="20" t="s">
        <v>46</v>
      </c>
      <c r="G30" s="20" t="s">
        <v>34</v>
      </c>
      <c r="H30" s="13">
        <v>47</v>
      </c>
      <c r="I30" s="13">
        <v>27</v>
      </c>
      <c r="J30" s="13">
        <v>19</v>
      </c>
      <c r="K30" s="13">
        <v>30</v>
      </c>
      <c r="L30" s="13">
        <v>28</v>
      </c>
      <c r="M30" s="13">
        <v>30</v>
      </c>
      <c r="N30" s="13">
        <v>73</v>
      </c>
      <c r="O30" s="13">
        <v>44</v>
      </c>
      <c r="Q30" s="29" t="s">
        <v>121</v>
      </c>
    </row>
    <row r="31" spans="1:962" ht="24.75" customHeight="1" x14ac:dyDescent="0.25">
      <c r="A31" s="18"/>
      <c r="B31" s="19"/>
      <c r="C31" s="19"/>
      <c r="D31" s="20"/>
      <c r="E31" s="20"/>
      <c r="F31" s="20"/>
      <c r="G31" s="20"/>
      <c r="H31" s="13">
        <v>100</v>
      </c>
      <c r="I31" s="13">
        <v>120</v>
      </c>
      <c r="J31" s="13">
        <v>70</v>
      </c>
      <c r="K31" s="13">
        <v>37</v>
      </c>
      <c r="L31" s="13">
        <v>28</v>
      </c>
      <c r="M31" s="13">
        <v>22</v>
      </c>
      <c r="N31" s="13">
        <v>102</v>
      </c>
      <c r="Q31" s="29" t="s">
        <v>122</v>
      </c>
    </row>
    <row r="32" spans="1:962" ht="24.75" customHeight="1" x14ac:dyDescent="0.25">
      <c r="H32" s="20">
        <v>44</v>
      </c>
      <c r="I32" s="20">
        <v>47</v>
      </c>
      <c r="J32" s="20">
        <v>63</v>
      </c>
      <c r="K32" s="20">
        <v>20</v>
      </c>
      <c r="L32" s="20">
        <v>15</v>
      </c>
      <c r="M32" s="20">
        <v>116</v>
      </c>
      <c r="N32" s="20">
        <v>110</v>
      </c>
      <c r="O32" s="20">
        <v>124</v>
      </c>
      <c r="P32" s="20">
        <v>74</v>
      </c>
      <c r="Q32" s="29" t="s">
        <v>123</v>
      </c>
    </row>
    <row r="33" spans="1:1016" s="3" customFormat="1" ht="24.75" customHeight="1" x14ac:dyDescent="0.25">
      <c r="A33" s="21"/>
      <c r="B33" s="22"/>
      <c r="C33" s="21"/>
      <c r="D33" s="21"/>
      <c r="E33" s="23"/>
      <c r="F33" s="21"/>
      <c r="G33" s="24"/>
      <c r="H33" s="25">
        <v>44</v>
      </c>
      <c r="I33" s="25">
        <v>47</v>
      </c>
      <c r="J33" s="25">
        <v>64</v>
      </c>
      <c r="K33" s="25">
        <v>19</v>
      </c>
      <c r="L33" s="25">
        <v>13</v>
      </c>
      <c r="M33" s="25">
        <v>30</v>
      </c>
      <c r="N33" s="25">
        <v>28</v>
      </c>
      <c r="O33" s="25">
        <v>30</v>
      </c>
      <c r="P33" s="25">
        <v>73</v>
      </c>
      <c r="Q33" s="30" t="s">
        <v>124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  <c r="AAA33" s="2"/>
      <c r="AAB33" s="2"/>
      <c r="AAC33" s="2"/>
      <c r="AAD33" s="2"/>
      <c r="AAE33" s="2"/>
      <c r="AAF33" s="2"/>
      <c r="AAG33" s="2"/>
      <c r="AAH33" s="2"/>
      <c r="AAI33" s="2"/>
      <c r="AAJ33" s="2"/>
      <c r="AAK33" s="2"/>
      <c r="AAL33" s="2"/>
      <c r="AAM33" s="2"/>
      <c r="AAN33" s="2"/>
      <c r="AAO33" s="2"/>
      <c r="AAP33" s="2"/>
      <c r="AAQ33" s="2"/>
      <c r="AAR33" s="2"/>
      <c r="AAS33" s="2"/>
      <c r="AAT33" s="2"/>
      <c r="AAU33" s="2"/>
      <c r="AAV33" s="2"/>
      <c r="AAW33" s="2"/>
      <c r="AAX33" s="2"/>
      <c r="AAY33" s="2"/>
      <c r="AAZ33" s="2"/>
      <c r="ABA33" s="2"/>
      <c r="ABB33" s="2"/>
      <c r="ABC33" s="2"/>
      <c r="ABD33" s="2"/>
      <c r="ABE33" s="2"/>
      <c r="ABF33" s="2"/>
      <c r="ABG33" s="2"/>
      <c r="ABH33" s="2"/>
      <c r="ABI33" s="2"/>
      <c r="ABJ33" s="2"/>
      <c r="ABK33" s="2"/>
      <c r="ABL33" s="2"/>
      <c r="ABM33" s="2"/>
      <c r="ABN33" s="2"/>
      <c r="ABO33" s="2"/>
      <c r="ABP33" s="2"/>
      <c r="ABQ33" s="2"/>
      <c r="ABR33" s="2"/>
      <c r="ABS33" s="2"/>
      <c r="ABT33" s="2"/>
      <c r="ABU33" s="2"/>
      <c r="ABV33" s="2"/>
      <c r="ABW33" s="2"/>
      <c r="ABX33" s="2"/>
      <c r="ABY33" s="2"/>
      <c r="ABZ33" s="2"/>
      <c r="ACA33" s="2"/>
      <c r="ACB33" s="2"/>
      <c r="ACC33" s="2"/>
      <c r="ACD33" s="2"/>
      <c r="ACE33" s="2"/>
      <c r="ACF33" s="2"/>
      <c r="ACG33" s="2"/>
      <c r="ACH33" s="2"/>
      <c r="ACI33" s="2"/>
      <c r="ACJ33" s="2"/>
      <c r="ACK33" s="2"/>
      <c r="ACL33" s="2"/>
      <c r="ACM33" s="2"/>
      <c r="ACN33" s="2"/>
      <c r="ACO33" s="2"/>
      <c r="ACP33" s="2"/>
      <c r="ACQ33" s="2"/>
      <c r="ACR33" s="2"/>
      <c r="ACS33" s="2"/>
      <c r="ACT33" s="2"/>
      <c r="ACU33" s="2"/>
      <c r="ACV33" s="2"/>
      <c r="ACW33" s="2"/>
      <c r="ACX33" s="2"/>
      <c r="ACY33" s="2"/>
      <c r="ACZ33" s="2"/>
      <c r="ADA33" s="2"/>
      <c r="ADB33" s="2"/>
      <c r="ADC33" s="2"/>
      <c r="ADD33" s="2"/>
      <c r="ADE33" s="2"/>
      <c r="ADF33" s="2"/>
      <c r="ADG33" s="2"/>
      <c r="ADH33" s="2"/>
      <c r="ADI33" s="2"/>
      <c r="ADJ33" s="2"/>
      <c r="ADK33" s="2"/>
      <c r="ADL33" s="2"/>
      <c r="ADM33" s="2"/>
      <c r="ADN33" s="2"/>
      <c r="ADO33" s="2"/>
      <c r="ADP33" s="2"/>
      <c r="ADQ33" s="2"/>
      <c r="ADR33" s="2"/>
      <c r="ADS33" s="2"/>
      <c r="ADT33" s="2"/>
      <c r="ADU33" s="2"/>
      <c r="ADV33" s="2"/>
      <c r="ADW33" s="2"/>
      <c r="ADX33" s="2"/>
      <c r="ADY33" s="2"/>
      <c r="ADZ33" s="2"/>
      <c r="AEA33" s="2"/>
      <c r="AEB33" s="2"/>
      <c r="AEC33" s="2"/>
      <c r="AED33" s="2"/>
      <c r="AEE33" s="2"/>
      <c r="AEF33" s="2"/>
      <c r="AEG33" s="2"/>
      <c r="AEH33" s="2"/>
      <c r="AEI33" s="2"/>
      <c r="AEJ33" s="2"/>
      <c r="AEK33" s="2"/>
      <c r="AEL33" s="2"/>
      <c r="AEM33" s="2"/>
      <c r="AEN33" s="2"/>
      <c r="AEO33" s="2"/>
      <c r="AEP33" s="2"/>
      <c r="AEQ33" s="2"/>
      <c r="AER33" s="2"/>
      <c r="AES33" s="2"/>
      <c r="AET33" s="2"/>
      <c r="AEU33" s="2"/>
      <c r="AEV33" s="2"/>
      <c r="AEW33" s="2"/>
      <c r="AEX33" s="2"/>
      <c r="AEY33" s="2"/>
      <c r="AEZ33" s="2"/>
      <c r="AFA33" s="2"/>
      <c r="AFB33" s="2"/>
      <c r="AFC33" s="2"/>
      <c r="AFD33" s="2"/>
      <c r="AFE33" s="2"/>
      <c r="AFF33" s="2"/>
      <c r="AFG33" s="2"/>
      <c r="AFH33" s="2"/>
      <c r="AFI33" s="2"/>
      <c r="AFJ33" s="2"/>
      <c r="AFK33" s="2"/>
      <c r="AFL33" s="2"/>
      <c r="AFM33" s="2"/>
      <c r="AFN33" s="2"/>
      <c r="AFO33" s="2"/>
      <c r="AFP33" s="2"/>
      <c r="AFQ33" s="2"/>
      <c r="AFR33" s="2"/>
      <c r="AFS33" s="2"/>
      <c r="AFT33" s="2"/>
      <c r="AFU33" s="2"/>
      <c r="AFV33" s="2"/>
      <c r="AFW33" s="2"/>
      <c r="AFX33" s="2"/>
      <c r="AFY33" s="2"/>
      <c r="AFZ33" s="2"/>
      <c r="AGA33" s="2"/>
      <c r="AGB33" s="2"/>
      <c r="AGC33" s="2"/>
      <c r="AGD33" s="2"/>
      <c r="AGE33" s="2"/>
      <c r="AGF33" s="2"/>
      <c r="AGG33" s="2"/>
      <c r="AGH33" s="2"/>
      <c r="AGI33" s="2"/>
      <c r="AGJ33" s="2"/>
      <c r="AGK33" s="2"/>
      <c r="AGL33" s="2"/>
      <c r="AGM33" s="2"/>
      <c r="AGN33" s="2"/>
      <c r="AGO33" s="2"/>
      <c r="AGP33" s="2"/>
      <c r="AGQ33" s="2"/>
      <c r="AGR33" s="2"/>
      <c r="AGS33" s="2"/>
      <c r="AGT33" s="2"/>
      <c r="AGU33" s="2"/>
      <c r="AGV33" s="2"/>
      <c r="AGW33" s="2"/>
      <c r="AGX33" s="2"/>
      <c r="AGY33" s="2"/>
      <c r="AGZ33" s="2"/>
      <c r="AHA33" s="2"/>
      <c r="AHB33" s="2"/>
      <c r="AHC33" s="2"/>
      <c r="AHD33" s="2"/>
      <c r="AHE33" s="2"/>
      <c r="AHF33" s="2"/>
      <c r="AHG33" s="2"/>
      <c r="AHH33" s="2"/>
      <c r="AHI33" s="2"/>
      <c r="AHJ33" s="2"/>
      <c r="AHK33" s="2"/>
      <c r="AHL33" s="2"/>
      <c r="AHM33" s="2"/>
      <c r="AHN33" s="2"/>
      <c r="AHO33" s="2"/>
      <c r="AHP33" s="2"/>
      <c r="AHQ33" s="2"/>
      <c r="AHR33" s="2"/>
      <c r="AHS33" s="2"/>
      <c r="AHT33" s="2"/>
      <c r="AHU33" s="2"/>
      <c r="AHV33" s="2"/>
      <c r="AHW33" s="2"/>
      <c r="AHX33" s="2"/>
      <c r="AHY33" s="2"/>
      <c r="AHZ33" s="2"/>
      <c r="AIA33" s="2"/>
      <c r="AIB33" s="2"/>
      <c r="AIC33" s="2"/>
      <c r="AID33" s="2"/>
      <c r="AIE33" s="2"/>
      <c r="AIF33" s="2"/>
      <c r="AIG33" s="2"/>
      <c r="AIH33" s="2"/>
      <c r="AII33" s="2"/>
      <c r="AIJ33" s="2"/>
      <c r="AIK33" s="2"/>
      <c r="AIL33" s="2"/>
      <c r="AIM33" s="2"/>
      <c r="AIN33" s="2"/>
      <c r="AIO33" s="2"/>
      <c r="AIP33" s="2"/>
      <c r="AIQ33" s="2"/>
      <c r="AIR33" s="2"/>
      <c r="AIS33" s="2"/>
      <c r="AIT33" s="2"/>
      <c r="AIU33" s="2"/>
      <c r="AIV33" s="2"/>
      <c r="AIW33" s="2"/>
      <c r="AIX33" s="2"/>
      <c r="AIY33" s="2"/>
      <c r="AIZ33" s="2"/>
      <c r="AJA33" s="2"/>
      <c r="AJB33" s="2"/>
      <c r="AJC33" s="2"/>
      <c r="AJD33" s="2"/>
      <c r="AJE33" s="2"/>
      <c r="AJF33" s="2"/>
      <c r="AJG33" s="2"/>
      <c r="AJH33" s="2"/>
      <c r="AJI33" s="2"/>
      <c r="AJJ33" s="2"/>
      <c r="AJK33" s="2"/>
      <c r="AJL33" s="2"/>
      <c r="AJM33" s="2"/>
      <c r="AJN33" s="2"/>
      <c r="AJO33" s="2"/>
      <c r="AJP33" s="2"/>
      <c r="AJQ33" s="2"/>
      <c r="AJR33" s="2"/>
      <c r="AJS33" s="2"/>
      <c r="AJT33" s="2"/>
      <c r="AJU33" s="2"/>
      <c r="AJV33" s="2"/>
      <c r="AJW33" s="2"/>
      <c r="AJX33" s="2"/>
      <c r="AJY33" s="2"/>
      <c r="AJZ33" s="2"/>
      <c r="AKA33" s="4"/>
      <c r="AKB33" s="4"/>
      <c r="AKC33" s="4"/>
      <c r="AKD33" s="4"/>
      <c r="AKE33" s="4"/>
      <c r="AKF33" s="4"/>
      <c r="AKG33" s="4"/>
      <c r="AKH33" s="4"/>
      <c r="AKI33" s="4"/>
      <c r="AKJ33" s="4"/>
      <c r="AKK33" s="4"/>
      <c r="AKL33" s="4"/>
      <c r="AKM33" s="4"/>
      <c r="AKN33" s="4"/>
      <c r="AKO33" s="4"/>
      <c r="AKP33" s="4"/>
      <c r="AKQ33" s="4"/>
      <c r="AKR33" s="4"/>
      <c r="AKS33" s="4"/>
      <c r="AKT33" s="4"/>
      <c r="AKU33" s="4"/>
      <c r="AKV33" s="4"/>
      <c r="AKW33" s="4"/>
      <c r="AKX33" s="4"/>
      <c r="AKY33" s="4"/>
      <c r="AKZ33" s="4"/>
      <c r="ALA33" s="4"/>
      <c r="ALB33" s="4"/>
      <c r="ALC33" s="4"/>
      <c r="ALD33" s="4"/>
      <c r="ALE33" s="4"/>
      <c r="ALF33" s="4"/>
      <c r="ALG33" s="4"/>
      <c r="ALH33" s="4"/>
      <c r="ALI33" s="4"/>
      <c r="ALJ33" s="4"/>
      <c r="ALK33" s="4"/>
      <c r="ALL33" s="4"/>
      <c r="ALM33" s="4"/>
      <c r="ALN33" s="4"/>
      <c r="ALO33" s="4"/>
      <c r="ALP33" s="4"/>
      <c r="ALQ33" s="4"/>
      <c r="ALR33" s="4"/>
      <c r="ALS33" s="4"/>
      <c r="ALT33" s="4"/>
      <c r="ALU33" s="4"/>
      <c r="ALV33" s="4"/>
      <c r="ALW33" s="4"/>
      <c r="ALX33" s="4"/>
      <c r="ALY33" s="4"/>
      <c r="ALZ33" s="4"/>
      <c r="AMA33" s="4"/>
      <c r="AMB33" s="4"/>
    </row>
    <row r="34" spans="1:1016" s="3" customFormat="1" ht="24.75" customHeight="1" x14ac:dyDescent="0.25">
      <c r="A34" s="18" t="s">
        <v>66</v>
      </c>
      <c r="B34" s="19" t="s">
        <v>77</v>
      </c>
      <c r="C34" s="19" t="s">
        <v>73</v>
      </c>
      <c r="D34" s="20">
        <v>43</v>
      </c>
      <c r="E34" s="20">
        <v>58</v>
      </c>
      <c r="F34" s="20" t="s">
        <v>46</v>
      </c>
      <c r="G34" s="20" t="s">
        <v>32</v>
      </c>
      <c r="H34" s="13">
        <v>47</v>
      </c>
      <c r="I34" s="13">
        <v>23</v>
      </c>
      <c r="J34" s="13">
        <v>18</v>
      </c>
      <c r="K34" s="13">
        <v>29</v>
      </c>
      <c r="L34" s="13">
        <v>27</v>
      </c>
      <c r="M34" s="13">
        <v>29</v>
      </c>
      <c r="N34" s="13">
        <v>70</v>
      </c>
      <c r="O34" s="13">
        <v>39</v>
      </c>
      <c r="P34" s="1"/>
      <c r="Q34" s="29" t="s">
        <v>121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  <c r="AAA34" s="2"/>
      <c r="AAB34" s="2"/>
      <c r="AAC34" s="2"/>
      <c r="AAD34" s="2"/>
      <c r="AAE34" s="2"/>
      <c r="AAF34" s="2"/>
      <c r="AAG34" s="2"/>
      <c r="AAH34" s="2"/>
      <c r="AAI34" s="2"/>
      <c r="AAJ34" s="2"/>
      <c r="AAK34" s="2"/>
      <c r="AAL34" s="2"/>
      <c r="AAM34" s="2"/>
      <c r="AAN34" s="2"/>
      <c r="AAO34" s="2"/>
      <c r="AAP34" s="2"/>
      <c r="AAQ34" s="2"/>
      <c r="AAR34" s="2"/>
      <c r="AAS34" s="2"/>
      <c r="AAT34" s="2"/>
      <c r="AAU34" s="2"/>
      <c r="AAV34" s="2"/>
      <c r="AAW34" s="2"/>
      <c r="AAX34" s="2"/>
      <c r="AAY34" s="2"/>
      <c r="AAZ34" s="2"/>
      <c r="ABA34" s="2"/>
      <c r="ABB34" s="2"/>
      <c r="ABC34" s="2"/>
      <c r="ABD34" s="2"/>
      <c r="ABE34" s="2"/>
      <c r="ABF34" s="2"/>
      <c r="ABG34" s="2"/>
      <c r="ABH34" s="2"/>
      <c r="ABI34" s="2"/>
      <c r="ABJ34" s="2"/>
      <c r="ABK34" s="2"/>
      <c r="ABL34" s="2"/>
      <c r="ABM34" s="2"/>
      <c r="ABN34" s="2"/>
      <c r="ABO34" s="2"/>
      <c r="ABP34" s="2"/>
      <c r="ABQ34" s="2"/>
      <c r="ABR34" s="2"/>
      <c r="ABS34" s="2"/>
      <c r="ABT34" s="2"/>
      <c r="ABU34" s="2"/>
      <c r="ABV34" s="2"/>
      <c r="ABW34" s="2"/>
      <c r="ABX34" s="2"/>
      <c r="ABY34" s="2"/>
      <c r="ABZ34" s="2"/>
      <c r="ACA34" s="2"/>
      <c r="ACB34" s="2"/>
      <c r="ACC34" s="2"/>
      <c r="ACD34" s="2"/>
      <c r="ACE34" s="2"/>
      <c r="ACF34" s="2"/>
      <c r="ACG34" s="2"/>
      <c r="ACH34" s="2"/>
      <c r="ACI34" s="2"/>
      <c r="ACJ34" s="2"/>
      <c r="ACK34" s="2"/>
      <c r="ACL34" s="2"/>
      <c r="ACM34" s="2"/>
      <c r="ACN34" s="2"/>
      <c r="ACO34" s="2"/>
      <c r="ACP34" s="2"/>
      <c r="ACQ34" s="2"/>
      <c r="ACR34" s="2"/>
      <c r="ACS34" s="2"/>
      <c r="ACT34" s="2"/>
      <c r="ACU34" s="2"/>
      <c r="ACV34" s="2"/>
      <c r="ACW34" s="2"/>
      <c r="ACX34" s="2"/>
      <c r="ACY34" s="2"/>
      <c r="ACZ34" s="2"/>
      <c r="ADA34" s="2"/>
      <c r="ADB34" s="2"/>
      <c r="ADC34" s="2"/>
      <c r="ADD34" s="2"/>
      <c r="ADE34" s="2"/>
      <c r="ADF34" s="2"/>
      <c r="ADG34" s="2"/>
      <c r="ADH34" s="2"/>
      <c r="ADI34" s="2"/>
      <c r="ADJ34" s="2"/>
      <c r="ADK34" s="2"/>
      <c r="ADL34" s="2"/>
      <c r="ADM34" s="2"/>
      <c r="ADN34" s="2"/>
      <c r="ADO34" s="2"/>
      <c r="ADP34" s="2"/>
      <c r="ADQ34" s="2"/>
      <c r="ADR34" s="2"/>
      <c r="ADS34" s="2"/>
      <c r="ADT34" s="2"/>
      <c r="ADU34" s="2"/>
      <c r="ADV34" s="2"/>
      <c r="ADW34" s="2"/>
      <c r="ADX34" s="2"/>
      <c r="ADY34" s="2"/>
      <c r="ADZ34" s="2"/>
      <c r="AEA34" s="2"/>
      <c r="AEB34" s="2"/>
      <c r="AEC34" s="2"/>
      <c r="AED34" s="2"/>
      <c r="AEE34" s="2"/>
      <c r="AEF34" s="2"/>
      <c r="AEG34" s="2"/>
      <c r="AEH34" s="2"/>
      <c r="AEI34" s="2"/>
      <c r="AEJ34" s="2"/>
      <c r="AEK34" s="2"/>
      <c r="AEL34" s="2"/>
      <c r="AEM34" s="2"/>
      <c r="AEN34" s="2"/>
      <c r="AEO34" s="2"/>
      <c r="AEP34" s="2"/>
      <c r="AEQ34" s="2"/>
      <c r="AER34" s="2"/>
      <c r="AES34" s="2"/>
      <c r="AET34" s="2"/>
      <c r="AEU34" s="2"/>
      <c r="AEV34" s="2"/>
      <c r="AEW34" s="2"/>
      <c r="AEX34" s="2"/>
      <c r="AEY34" s="2"/>
      <c r="AEZ34" s="2"/>
      <c r="AFA34" s="2"/>
      <c r="AFB34" s="2"/>
      <c r="AFC34" s="2"/>
      <c r="AFD34" s="2"/>
      <c r="AFE34" s="2"/>
      <c r="AFF34" s="2"/>
      <c r="AFG34" s="2"/>
      <c r="AFH34" s="2"/>
      <c r="AFI34" s="2"/>
      <c r="AFJ34" s="2"/>
      <c r="AFK34" s="2"/>
      <c r="AFL34" s="2"/>
      <c r="AFM34" s="2"/>
      <c r="AFN34" s="2"/>
      <c r="AFO34" s="2"/>
      <c r="AFP34" s="2"/>
      <c r="AFQ34" s="2"/>
      <c r="AFR34" s="2"/>
      <c r="AFS34" s="2"/>
      <c r="AFT34" s="2"/>
      <c r="AFU34" s="2"/>
      <c r="AFV34" s="2"/>
      <c r="AFW34" s="2"/>
      <c r="AFX34" s="2"/>
      <c r="AFY34" s="2"/>
      <c r="AFZ34" s="2"/>
      <c r="AGA34" s="2"/>
      <c r="AGB34" s="2"/>
      <c r="AGC34" s="2"/>
      <c r="AGD34" s="2"/>
      <c r="AGE34" s="2"/>
      <c r="AGF34" s="2"/>
      <c r="AGG34" s="2"/>
      <c r="AGH34" s="2"/>
      <c r="AGI34" s="2"/>
      <c r="AGJ34" s="2"/>
      <c r="AGK34" s="2"/>
      <c r="AGL34" s="2"/>
      <c r="AGM34" s="2"/>
      <c r="AGN34" s="2"/>
      <c r="AGO34" s="2"/>
      <c r="AGP34" s="2"/>
      <c r="AGQ34" s="2"/>
      <c r="AGR34" s="2"/>
      <c r="AGS34" s="2"/>
      <c r="AGT34" s="2"/>
      <c r="AGU34" s="2"/>
      <c r="AGV34" s="2"/>
      <c r="AGW34" s="2"/>
      <c r="AGX34" s="2"/>
      <c r="AGY34" s="2"/>
      <c r="AGZ34" s="2"/>
      <c r="AHA34" s="2"/>
      <c r="AHB34" s="2"/>
      <c r="AHC34" s="2"/>
      <c r="AHD34" s="2"/>
      <c r="AHE34" s="2"/>
      <c r="AHF34" s="2"/>
      <c r="AHG34" s="2"/>
      <c r="AHH34" s="2"/>
      <c r="AHI34" s="2"/>
      <c r="AHJ34" s="2"/>
      <c r="AHK34" s="2"/>
      <c r="AHL34" s="2"/>
      <c r="AHM34" s="2"/>
      <c r="AHN34" s="2"/>
      <c r="AHO34" s="2"/>
      <c r="AHP34" s="2"/>
      <c r="AHQ34" s="2"/>
      <c r="AHR34" s="2"/>
      <c r="AHS34" s="2"/>
      <c r="AHT34" s="2"/>
      <c r="AHU34" s="2"/>
      <c r="AHV34" s="2"/>
      <c r="AHW34" s="2"/>
      <c r="AHX34" s="2"/>
      <c r="AHY34" s="2"/>
      <c r="AHZ34" s="2"/>
      <c r="AIA34" s="2"/>
      <c r="AIB34" s="2"/>
      <c r="AIC34" s="2"/>
      <c r="AID34" s="2"/>
      <c r="AIE34" s="2"/>
      <c r="AIF34" s="2"/>
      <c r="AIG34" s="2"/>
      <c r="AIH34" s="2"/>
      <c r="AII34" s="2"/>
      <c r="AIJ34" s="2"/>
      <c r="AIK34" s="2"/>
      <c r="AIL34" s="2"/>
      <c r="AIM34" s="2"/>
      <c r="AIN34" s="2"/>
      <c r="AIO34" s="2"/>
      <c r="AIP34" s="2"/>
      <c r="AIQ34" s="2"/>
      <c r="AIR34" s="2"/>
      <c r="AIS34" s="2"/>
      <c r="AIT34" s="2"/>
      <c r="AIU34" s="2"/>
      <c r="AIV34" s="2"/>
      <c r="AIW34" s="2"/>
      <c r="AIX34" s="2"/>
      <c r="AIY34" s="2"/>
      <c r="AIZ34" s="2"/>
      <c r="AJA34" s="2"/>
      <c r="AJB34" s="2"/>
      <c r="AJC34" s="2"/>
      <c r="AJD34" s="2"/>
      <c r="AJE34" s="2"/>
      <c r="AJF34" s="2"/>
      <c r="AJG34" s="2"/>
      <c r="AJH34" s="2"/>
      <c r="AJI34" s="2"/>
      <c r="AJJ34" s="2"/>
      <c r="AJK34" s="2"/>
      <c r="AJL34" s="2"/>
      <c r="AJM34" s="2"/>
      <c r="AJN34" s="2"/>
      <c r="AJO34" s="2"/>
      <c r="AJP34" s="2"/>
      <c r="AJQ34" s="2"/>
      <c r="AJR34" s="2"/>
      <c r="AJS34" s="2"/>
      <c r="AJT34" s="2"/>
      <c r="AJU34" s="2"/>
      <c r="AJV34" s="2"/>
      <c r="AJW34" s="2"/>
      <c r="AJX34" s="2"/>
      <c r="AJY34" s="2"/>
      <c r="AJZ34" s="2"/>
      <c r="AKA34" s="4"/>
      <c r="AKB34" s="4"/>
      <c r="AKC34" s="4"/>
      <c r="AKD34" s="4"/>
      <c r="AKE34" s="4"/>
      <c r="AKF34" s="4"/>
      <c r="AKG34" s="4"/>
      <c r="AKH34" s="4"/>
      <c r="AKI34" s="4"/>
      <c r="AKJ34" s="4"/>
      <c r="AKK34" s="4"/>
      <c r="AKL34" s="4"/>
      <c r="AKM34" s="4"/>
      <c r="AKN34" s="4"/>
      <c r="AKO34" s="4"/>
      <c r="AKP34" s="4"/>
      <c r="AKQ34" s="4"/>
      <c r="AKR34" s="4"/>
      <c r="AKS34" s="4"/>
      <c r="AKT34" s="4"/>
      <c r="AKU34" s="4"/>
      <c r="AKV34" s="4"/>
      <c r="AKW34" s="4"/>
      <c r="AKX34" s="4"/>
      <c r="AKY34" s="4"/>
      <c r="AKZ34" s="4"/>
      <c r="ALA34" s="4"/>
      <c r="ALB34" s="4"/>
      <c r="ALC34" s="4"/>
      <c r="ALD34" s="4"/>
      <c r="ALE34" s="4"/>
      <c r="ALF34" s="4"/>
      <c r="ALG34" s="4"/>
      <c r="ALH34" s="4"/>
      <c r="ALI34" s="4"/>
      <c r="ALJ34" s="4"/>
      <c r="ALK34" s="4"/>
      <c r="ALL34" s="4"/>
      <c r="ALM34" s="4"/>
      <c r="ALN34" s="4"/>
      <c r="ALO34" s="4"/>
      <c r="ALP34" s="4"/>
      <c r="ALQ34" s="4"/>
      <c r="ALR34" s="4"/>
      <c r="ALS34" s="4"/>
      <c r="ALT34" s="4"/>
      <c r="ALU34" s="4"/>
      <c r="ALV34" s="4"/>
      <c r="ALW34" s="4"/>
      <c r="ALX34" s="4"/>
      <c r="ALY34" s="4"/>
      <c r="ALZ34" s="4"/>
      <c r="AMA34" s="4"/>
      <c r="AMB34" s="4"/>
    </row>
    <row r="35" spans="1:1016" s="3" customFormat="1" ht="24.75" customHeight="1" x14ac:dyDescent="0.25">
      <c r="A35" s="18"/>
      <c r="B35" s="19"/>
      <c r="C35" s="19"/>
      <c r="D35" s="20"/>
      <c r="E35" s="20"/>
      <c r="F35" s="20"/>
      <c r="G35" s="20"/>
      <c r="H35" s="13">
        <v>93</v>
      </c>
      <c r="I35" s="13">
        <v>115</v>
      </c>
      <c r="J35" s="13">
        <v>67</v>
      </c>
      <c r="K35" s="13">
        <v>34</v>
      </c>
      <c r="L35" s="13">
        <v>24</v>
      </c>
      <c r="M35" s="13">
        <v>19</v>
      </c>
      <c r="N35" s="13">
        <v>97</v>
      </c>
      <c r="O35" s="1"/>
      <c r="P35" s="1"/>
      <c r="Q35" s="29" t="s">
        <v>122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  <c r="AAA35" s="2"/>
      <c r="AAB35" s="2"/>
      <c r="AAC35" s="2"/>
      <c r="AAD35" s="2"/>
      <c r="AAE35" s="2"/>
      <c r="AAF35" s="2"/>
      <c r="AAG35" s="2"/>
      <c r="AAH35" s="2"/>
      <c r="AAI35" s="2"/>
      <c r="AAJ35" s="2"/>
      <c r="AAK35" s="2"/>
      <c r="AAL35" s="2"/>
      <c r="AAM35" s="2"/>
      <c r="AAN35" s="2"/>
      <c r="AAO35" s="2"/>
      <c r="AAP35" s="2"/>
      <c r="AAQ35" s="2"/>
      <c r="AAR35" s="2"/>
      <c r="AAS35" s="2"/>
      <c r="AAT35" s="2"/>
      <c r="AAU35" s="2"/>
      <c r="AAV35" s="2"/>
      <c r="AAW35" s="2"/>
      <c r="AAX35" s="2"/>
      <c r="AAY35" s="2"/>
      <c r="AAZ35" s="2"/>
      <c r="ABA35" s="2"/>
      <c r="ABB35" s="2"/>
      <c r="ABC35" s="2"/>
      <c r="ABD35" s="2"/>
      <c r="ABE35" s="2"/>
      <c r="ABF35" s="2"/>
      <c r="ABG35" s="2"/>
      <c r="ABH35" s="2"/>
      <c r="ABI35" s="2"/>
      <c r="ABJ35" s="2"/>
      <c r="ABK35" s="2"/>
      <c r="ABL35" s="2"/>
      <c r="ABM35" s="2"/>
      <c r="ABN35" s="2"/>
      <c r="ABO35" s="2"/>
      <c r="ABP35" s="2"/>
      <c r="ABQ35" s="2"/>
      <c r="ABR35" s="2"/>
      <c r="ABS35" s="2"/>
      <c r="ABT35" s="2"/>
      <c r="ABU35" s="2"/>
      <c r="ABV35" s="2"/>
      <c r="ABW35" s="2"/>
      <c r="ABX35" s="2"/>
      <c r="ABY35" s="2"/>
      <c r="ABZ35" s="2"/>
      <c r="ACA35" s="2"/>
      <c r="ACB35" s="2"/>
      <c r="ACC35" s="2"/>
      <c r="ACD35" s="2"/>
      <c r="ACE35" s="2"/>
      <c r="ACF35" s="2"/>
      <c r="ACG35" s="2"/>
      <c r="ACH35" s="2"/>
      <c r="ACI35" s="2"/>
      <c r="ACJ35" s="2"/>
      <c r="ACK35" s="2"/>
      <c r="ACL35" s="2"/>
      <c r="ACM35" s="2"/>
      <c r="ACN35" s="2"/>
      <c r="ACO35" s="2"/>
      <c r="ACP35" s="2"/>
      <c r="ACQ35" s="2"/>
      <c r="ACR35" s="2"/>
      <c r="ACS35" s="2"/>
      <c r="ACT35" s="2"/>
      <c r="ACU35" s="2"/>
      <c r="ACV35" s="2"/>
      <c r="ACW35" s="2"/>
      <c r="ACX35" s="2"/>
      <c r="ACY35" s="2"/>
      <c r="ACZ35" s="2"/>
      <c r="ADA35" s="2"/>
      <c r="ADB35" s="2"/>
      <c r="ADC35" s="2"/>
      <c r="ADD35" s="2"/>
      <c r="ADE35" s="2"/>
      <c r="ADF35" s="2"/>
      <c r="ADG35" s="2"/>
      <c r="ADH35" s="2"/>
      <c r="ADI35" s="2"/>
      <c r="ADJ35" s="2"/>
      <c r="ADK35" s="2"/>
      <c r="ADL35" s="2"/>
      <c r="ADM35" s="2"/>
      <c r="ADN35" s="2"/>
      <c r="ADO35" s="2"/>
      <c r="ADP35" s="2"/>
      <c r="ADQ35" s="2"/>
      <c r="ADR35" s="2"/>
      <c r="ADS35" s="2"/>
      <c r="ADT35" s="2"/>
      <c r="ADU35" s="2"/>
      <c r="ADV35" s="2"/>
      <c r="ADW35" s="2"/>
      <c r="ADX35" s="2"/>
      <c r="ADY35" s="2"/>
      <c r="ADZ35" s="2"/>
      <c r="AEA35" s="2"/>
      <c r="AEB35" s="2"/>
      <c r="AEC35" s="2"/>
      <c r="AED35" s="2"/>
      <c r="AEE35" s="2"/>
      <c r="AEF35" s="2"/>
      <c r="AEG35" s="2"/>
      <c r="AEH35" s="2"/>
      <c r="AEI35" s="2"/>
      <c r="AEJ35" s="2"/>
      <c r="AEK35" s="2"/>
      <c r="AEL35" s="2"/>
      <c r="AEM35" s="2"/>
      <c r="AEN35" s="2"/>
      <c r="AEO35" s="2"/>
      <c r="AEP35" s="2"/>
      <c r="AEQ35" s="2"/>
      <c r="AER35" s="2"/>
      <c r="AES35" s="2"/>
      <c r="AET35" s="2"/>
      <c r="AEU35" s="2"/>
      <c r="AEV35" s="2"/>
      <c r="AEW35" s="2"/>
      <c r="AEX35" s="2"/>
      <c r="AEY35" s="2"/>
      <c r="AEZ35" s="2"/>
      <c r="AFA35" s="2"/>
      <c r="AFB35" s="2"/>
      <c r="AFC35" s="2"/>
      <c r="AFD35" s="2"/>
      <c r="AFE35" s="2"/>
      <c r="AFF35" s="2"/>
      <c r="AFG35" s="2"/>
      <c r="AFH35" s="2"/>
      <c r="AFI35" s="2"/>
      <c r="AFJ35" s="2"/>
      <c r="AFK35" s="2"/>
      <c r="AFL35" s="2"/>
      <c r="AFM35" s="2"/>
      <c r="AFN35" s="2"/>
      <c r="AFO35" s="2"/>
      <c r="AFP35" s="2"/>
      <c r="AFQ35" s="2"/>
      <c r="AFR35" s="2"/>
      <c r="AFS35" s="2"/>
      <c r="AFT35" s="2"/>
      <c r="AFU35" s="2"/>
      <c r="AFV35" s="2"/>
      <c r="AFW35" s="2"/>
      <c r="AFX35" s="2"/>
      <c r="AFY35" s="2"/>
      <c r="AFZ35" s="2"/>
      <c r="AGA35" s="2"/>
      <c r="AGB35" s="2"/>
      <c r="AGC35" s="2"/>
      <c r="AGD35" s="2"/>
      <c r="AGE35" s="2"/>
      <c r="AGF35" s="2"/>
      <c r="AGG35" s="2"/>
      <c r="AGH35" s="2"/>
      <c r="AGI35" s="2"/>
      <c r="AGJ35" s="2"/>
      <c r="AGK35" s="2"/>
      <c r="AGL35" s="2"/>
      <c r="AGM35" s="2"/>
      <c r="AGN35" s="2"/>
      <c r="AGO35" s="2"/>
      <c r="AGP35" s="2"/>
      <c r="AGQ35" s="2"/>
      <c r="AGR35" s="2"/>
      <c r="AGS35" s="2"/>
      <c r="AGT35" s="2"/>
      <c r="AGU35" s="2"/>
      <c r="AGV35" s="2"/>
      <c r="AGW35" s="2"/>
      <c r="AGX35" s="2"/>
      <c r="AGY35" s="2"/>
      <c r="AGZ35" s="2"/>
      <c r="AHA35" s="2"/>
      <c r="AHB35" s="2"/>
      <c r="AHC35" s="2"/>
      <c r="AHD35" s="2"/>
      <c r="AHE35" s="2"/>
      <c r="AHF35" s="2"/>
      <c r="AHG35" s="2"/>
      <c r="AHH35" s="2"/>
      <c r="AHI35" s="2"/>
      <c r="AHJ35" s="2"/>
      <c r="AHK35" s="2"/>
      <c r="AHL35" s="2"/>
      <c r="AHM35" s="2"/>
      <c r="AHN35" s="2"/>
      <c r="AHO35" s="2"/>
      <c r="AHP35" s="2"/>
      <c r="AHQ35" s="2"/>
      <c r="AHR35" s="2"/>
      <c r="AHS35" s="2"/>
      <c r="AHT35" s="2"/>
      <c r="AHU35" s="2"/>
      <c r="AHV35" s="2"/>
      <c r="AHW35" s="2"/>
      <c r="AHX35" s="2"/>
      <c r="AHY35" s="2"/>
      <c r="AHZ35" s="2"/>
      <c r="AIA35" s="2"/>
      <c r="AIB35" s="2"/>
      <c r="AIC35" s="2"/>
      <c r="AID35" s="2"/>
      <c r="AIE35" s="2"/>
      <c r="AIF35" s="2"/>
      <c r="AIG35" s="2"/>
      <c r="AIH35" s="2"/>
      <c r="AII35" s="2"/>
      <c r="AIJ35" s="2"/>
      <c r="AIK35" s="2"/>
      <c r="AIL35" s="2"/>
      <c r="AIM35" s="2"/>
      <c r="AIN35" s="2"/>
      <c r="AIO35" s="2"/>
      <c r="AIP35" s="2"/>
      <c r="AIQ35" s="2"/>
      <c r="AIR35" s="2"/>
      <c r="AIS35" s="2"/>
      <c r="AIT35" s="2"/>
      <c r="AIU35" s="2"/>
      <c r="AIV35" s="2"/>
      <c r="AIW35" s="2"/>
      <c r="AIX35" s="2"/>
      <c r="AIY35" s="2"/>
      <c r="AIZ35" s="2"/>
      <c r="AJA35" s="2"/>
      <c r="AJB35" s="2"/>
      <c r="AJC35" s="2"/>
      <c r="AJD35" s="2"/>
      <c r="AJE35" s="2"/>
      <c r="AJF35" s="2"/>
      <c r="AJG35" s="2"/>
      <c r="AJH35" s="2"/>
      <c r="AJI35" s="2"/>
      <c r="AJJ35" s="2"/>
      <c r="AJK35" s="2"/>
      <c r="AJL35" s="2"/>
      <c r="AJM35" s="2"/>
      <c r="AJN35" s="2"/>
      <c r="AJO35" s="2"/>
      <c r="AJP35" s="2"/>
      <c r="AJQ35" s="2"/>
      <c r="AJR35" s="2"/>
      <c r="AJS35" s="2"/>
      <c r="AJT35" s="2"/>
      <c r="AJU35" s="2"/>
      <c r="AJV35" s="2"/>
      <c r="AJW35" s="2"/>
      <c r="AJX35" s="2"/>
      <c r="AJY35" s="2"/>
      <c r="AJZ35" s="2"/>
      <c r="AKA35" s="4"/>
      <c r="AKB35" s="4"/>
      <c r="AKC35" s="4"/>
      <c r="AKD35" s="4"/>
      <c r="AKE35" s="4"/>
      <c r="AKF35" s="4"/>
      <c r="AKG35" s="4"/>
      <c r="AKH35" s="4"/>
      <c r="AKI35" s="4"/>
      <c r="AKJ35" s="4"/>
      <c r="AKK35" s="4"/>
      <c r="AKL35" s="4"/>
      <c r="AKM35" s="4"/>
      <c r="AKN35" s="4"/>
      <c r="AKO35" s="4"/>
      <c r="AKP35" s="4"/>
      <c r="AKQ35" s="4"/>
      <c r="AKR35" s="4"/>
      <c r="AKS35" s="4"/>
      <c r="AKT35" s="4"/>
      <c r="AKU35" s="4"/>
      <c r="AKV35" s="4"/>
      <c r="AKW35" s="4"/>
      <c r="AKX35" s="4"/>
      <c r="AKY35" s="4"/>
      <c r="AKZ35" s="4"/>
      <c r="ALA35" s="4"/>
      <c r="ALB35" s="4"/>
      <c r="ALC35" s="4"/>
      <c r="ALD35" s="4"/>
      <c r="ALE35" s="4"/>
      <c r="ALF35" s="4"/>
      <c r="ALG35" s="4"/>
      <c r="ALH35" s="4"/>
      <c r="ALI35" s="4"/>
      <c r="ALJ35" s="4"/>
      <c r="ALK35" s="4"/>
      <c r="ALL35" s="4"/>
      <c r="ALM35" s="4"/>
      <c r="ALN35" s="4"/>
      <c r="ALO35" s="4"/>
      <c r="ALP35" s="4"/>
      <c r="ALQ35" s="4"/>
      <c r="ALR35" s="4"/>
      <c r="ALS35" s="4"/>
      <c r="ALT35" s="4"/>
      <c r="ALU35" s="4"/>
      <c r="ALV35" s="4"/>
      <c r="ALW35" s="4"/>
      <c r="ALX35" s="4"/>
      <c r="ALY35" s="4"/>
      <c r="ALZ35" s="4"/>
      <c r="AMA35" s="4"/>
      <c r="AMB35" s="4"/>
    </row>
    <row r="36" spans="1:1016" s="3" customFormat="1" ht="24.75" customHeight="1" x14ac:dyDescent="0.25">
      <c r="A36" s="1"/>
      <c r="B36" s="2"/>
      <c r="C36" s="1"/>
      <c r="D36" s="1"/>
      <c r="F36" s="1"/>
      <c r="G36" s="11"/>
      <c r="H36" s="20">
        <v>39</v>
      </c>
      <c r="I36" s="20">
        <v>47</v>
      </c>
      <c r="J36" s="20">
        <v>59</v>
      </c>
      <c r="K36" s="20">
        <v>19</v>
      </c>
      <c r="L36" s="20">
        <v>14</v>
      </c>
      <c r="M36" s="20">
        <v>107</v>
      </c>
      <c r="N36" s="20">
        <v>104</v>
      </c>
      <c r="O36" s="20">
        <v>119</v>
      </c>
      <c r="P36" s="20">
        <v>71</v>
      </c>
      <c r="Q36" s="29" t="s">
        <v>123</v>
      </c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  <c r="AAA36" s="2"/>
      <c r="AAB36" s="2"/>
      <c r="AAC36" s="2"/>
      <c r="AAD36" s="2"/>
      <c r="AAE36" s="2"/>
      <c r="AAF36" s="2"/>
      <c r="AAG36" s="2"/>
      <c r="AAH36" s="2"/>
      <c r="AAI36" s="2"/>
      <c r="AAJ36" s="2"/>
      <c r="AAK36" s="2"/>
      <c r="AAL36" s="2"/>
      <c r="AAM36" s="2"/>
      <c r="AAN36" s="2"/>
      <c r="AAO36" s="2"/>
      <c r="AAP36" s="2"/>
      <c r="AAQ36" s="2"/>
      <c r="AAR36" s="2"/>
      <c r="AAS36" s="2"/>
      <c r="AAT36" s="2"/>
      <c r="AAU36" s="2"/>
      <c r="AAV36" s="2"/>
      <c r="AAW36" s="2"/>
      <c r="AAX36" s="2"/>
      <c r="AAY36" s="2"/>
      <c r="AAZ36" s="2"/>
      <c r="ABA36" s="2"/>
      <c r="ABB36" s="2"/>
      <c r="ABC36" s="2"/>
      <c r="ABD36" s="2"/>
      <c r="ABE36" s="2"/>
      <c r="ABF36" s="2"/>
      <c r="ABG36" s="2"/>
      <c r="ABH36" s="2"/>
      <c r="ABI36" s="2"/>
      <c r="ABJ36" s="2"/>
      <c r="ABK36" s="2"/>
      <c r="ABL36" s="2"/>
      <c r="ABM36" s="2"/>
      <c r="ABN36" s="2"/>
      <c r="ABO36" s="2"/>
      <c r="ABP36" s="2"/>
      <c r="ABQ36" s="2"/>
      <c r="ABR36" s="2"/>
      <c r="ABS36" s="2"/>
      <c r="ABT36" s="2"/>
      <c r="ABU36" s="2"/>
      <c r="ABV36" s="2"/>
      <c r="ABW36" s="2"/>
      <c r="ABX36" s="2"/>
      <c r="ABY36" s="2"/>
      <c r="ABZ36" s="2"/>
      <c r="ACA36" s="2"/>
      <c r="ACB36" s="2"/>
      <c r="ACC36" s="2"/>
      <c r="ACD36" s="2"/>
      <c r="ACE36" s="2"/>
      <c r="ACF36" s="2"/>
      <c r="ACG36" s="2"/>
      <c r="ACH36" s="2"/>
      <c r="ACI36" s="2"/>
      <c r="ACJ36" s="2"/>
      <c r="ACK36" s="2"/>
      <c r="ACL36" s="2"/>
      <c r="ACM36" s="2"/>
      <c r="ACN36" s="2"/>
      <c r="ACO36" s="2"/>
      <c r="ACP36" s="2"/>
      <c r="ACQ36" s="2"/>
      <c r="ACR36" s="2"/>
      <c r="ACS36" s="2"/>
      <c r="ACT36" s="2"/>
      <c r="ACU36" s="2"/>
      <c r="ACV36" s="2"/>
      <c r="ACW36" s="2"/>
      <c r="ACX36" s="2"/>
      <c r="ACY36" s="2"/>
      <c r="ACZ36" s="2"/>
      <c r="ADA36" s="2"/>
      <c r="ADB36" s="2"/>
      <c r="ADC36" s="2"/>
      <c r="ADD36" s="2"/>
      <c r="ADE36" s="2"/>
      <c r="ADF36" s="2"/>
      <c r="ADG36" s="2"/>
      <c r="ADH36" s="2"/>
      <c r="ADI36" s="2"/>
      <c r="ADJ36" s="2"/>
      <c r="ADK36" s="2"/>
      <c r="ADL36" s="2"/>
      <c r="ADM36" s="2"/>
      <c r="ADN36" s="2"/>
      <c r="ADO36" s="2"/>
      <c r="ADP36" s="2"/>
      <c r="ADQ36" s="2"/>
      <c r="ADR36" s="2"/>
      <c r="ADS36" s="2"/>
      <c r="ADT36" s="2"/>
      <c r="ADU36" s="2"/>
      <c r="ADV36" s="2"/>
      <c r="ADW36" s="2"/>
      <c r="ADX36" s="2"/>
      <c r="ADY36" s="2"/>
      <c r="ADZ36" s="2"/>
      <c r="AEA36" s="2"/>
      <c r="AEB36" s="2"/>
      <c r="AEC36" s="2"/>
      <c r="AED36" s="2"/>
      <c r="AEE36" s="2"/>
      <c r="AEF36" s="2"/>
      <c r="AEG36" s="2"/>
      <c r="AEH36" s="2"/>
      <c r="AEI36" s="2"/>
      <c r="AEJ36" s="2"/>
      <c r="AEK36" s="2"/>
      <c r="AEL36" s="2"/>
      <c r="AEM36" s="2"/>
      <c r="AEN36" s="2"/>
      <c r="AEO36" s="2"/>
      <c r="AEP36" s="2"/>
      <c r="AEQ36" s="2"/>
      <c r="AER36" s="2"/>
      <c r="AES36" s="2"/>
      <c r="AET36" s="2"/>
      <c r="AEU36" s="2"/>
      <c r="AEV36" s="2"/>
      <c r="AEW36" s="2"/>
      <c r="AEX36" s="2"/>
      <c r="AEY36" s="2"/>
      <c r="AEZ36" s="2"/>
      <c r="AFA36" s="2"/>
      <c r="AFB36" s="2"/>
      <c r="AFC36" s="2"/>
      <c r="AFD36" s="2"/>
      <c r="AFE36" s="2"/>
      <c r="AFF36" s="2"/>
      <c r="AFG36" s="2"/>
      <c r="AFH36" s="2"/>
      <c r="AFI36" s="2"/>
      <c r="AFJ36" s="2"/>
      <c r="AFK36" s="2"/>
      <c r="AFL36" s="2"/>
      <c r="AFM36" s="2"/>
      <c r="AFN36" s="2"/>
      <c r="AFO36" s="2"/>
      <c r="AFP36" s="2"/>
      <c r="AFQ36" s="2"/>
      <c r="AFR36" s="2"/>
      <c r="AFS36" s="2"/>
      <c r="AFT36" s="2"/>
      <c r="AFU36" s="2"/>
      <c r="AFV36" s="2"/>
      <c r="AFW36" s="2"/>
      <c r="AFX36" s="2"/>
      <c r="AFY36" s="2"/>
      <c r="AFZ36" s="2"/>
      <c r="AGA36" s="2"/>
      <c r="AGB36" s="2"/>
      <c r="AGC36" s="2"/>
      <c r="AGD36" s="2"/>
      <c r="AGE36" s="2"/>
      <c r="AGF36" s="2"/>
      <c r="AGG36" s="2"/>
      <c r="AGH36" s="2"/>
      <c r="AGI36" s="2"/>
      <c r="AGJ36" s="2"/>
      <c r="AGK36" s="2"/>
      <c r="AGL36" s="2"/>
      <c r="AGM36" s="2"/>
      <c r="AGN36" s="2"/>
      <c r="AGO36" s="2"/>
      <c r="AGP36" s="2"/>
      <c r="AGQ36" s="2"/>
      <c r="AGR36" s="2"/>
      <c r="AGS36" s="2"/>
      <c r="AGT36" s="2"/>
      <c r="AGU36" s="2"/>
      <c r="AGV36" s="2"/>
      <c r="AGW36" s="2"/>
      <c r="AGX36" s="2"/>
      <c r="AGY36" s="2"/>
      <c r="AGZ36" s="2"/>
      <c r="AHA36" s="2"/>
      <c r="AHB36" s="2"/>
      <c r="AHC36" s="2"/>
      <c r="AHD36" s="2"/>
      <c r="AHE36" s="2"/>
      <c r="AHF36" s="2"/>
      <c r="AHG36" s="2"/>
      <c r="AHH36" s="2"/>
      <c r="AHI36" s="2"/>
      <c r="AHJ36" s="2"/>
      <c r="AHK36" s="2"/>
      <c r="AHL36" s="2"/>
      <c r="AHM36" s="2"/>
      <c r="AHN36" s="2"/>
      <c r="AHO36" s="2"/>
      <c r="AHP36" s="2"/>
      <c r="AHQ36" s="2"/>
      <c r="AHR36" s="2"/>
      <c r="AHS36" s="2"/>
      <c r="AHT36" s="2"/>
      <c r="AHU36" s="2"/>
      <c r="AHV36" s="2"/>
      <c r="AHW36" s="2"/>
      <c r="AHX36" s="2"/>
      <c r="AHY36" s="2"/>
      <c r="AHZ36" s="2"/>
      <c r="AIA36" s="2"/>
      <c r="AIB36" s="2"/>
      <c r="AIC36" s="2"/>
      <c r="AID36" s="2"/>
      <c r="AIE36" s="2"/>
      <c r="AIF36" s="2"/>
      <c r="AIG36" s="2"/>
      <c r="AIH36" s="2"/>
      <c r="AII36" s="2"/>
      <c r="AIJ36" s="2"/>
      <c r="AIK36" s="2"/>
      <c r="AIL36" s="2"/>
      <c r="AIM36" s="2"/>
      <c r="AIN36" s="2"/>
      <c r="AIO36" s="2"/>
      <c r="AIP36" s="2"/>
      <c r="AIQ36" s="2"/>
      <c r="AIR36" s="2"/>
      <c r="AIS36" s="2"/>
      <c r="AIT36" s="2"/>
      <c r="AIU36" s="2"/>
      <c r="AIV36" s="2"/>
      <c r="AIW36" s="2"/>
      <c r="AIX36" s="2"/>
      <c r="AIY36" s="2"/>
      <c r="AIZ36" s="2"/>
      <c r="AJA36" s="2"/>
      <c r="AJB36" s="2"/>
      <c r="AJC36" s="2"/>
      <c r="AJD36" s="2"/>
      <c r="AJE36" s="2"/>
      <c r="AJF36" s="2"/>
      <c r="AJG36" s="2"/>
      <c r="AJH36" s="2"/>
      <c r="AJI36" s="2"/>
      <c r="AJJ36" s="2"/>
      <c r="AJK36" s="2"/>
      <c r="AJL36" s="2"/>
      <c r="AJM36" s="2"/>
      <c r="AJN36" s="2"/>
      <c r="AJO36" s="2"/>
      <c r="AJP36" s="2"/>
      <c r="AJQ36" s="2"/>
      <c r="AJR36" s="2"/>
      <c r="AJS36" s="2"/>
      <c r="AJT36" s="2"/>
      <c r="AJU36" s="2"/>
      <c r="AJV36" s="2"/>
      <c r="AJW36" s="2"/>
      <c r="AJX36" s="2"/>
      <c r="AJY36" s="2"/>
      <c r="AJZ36" s="2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4"/>
      <c r="AKN36" s="4"/>
      <c r="AKO36" s="4"/>
      <c r="AKP36" s="4"/>
      <c r="AKQ36" s="4"/>
      <c r="AKR36" s="4"/>
      <c r="AKS36" s="4"/>
      <c r="AKT36" s="4"/>
      <c r="AKU36" s="4"/>
      <c r="AKV36" s="4"/>
      <c r="AKW36" s="4"/>
      <c r="AKX36" s="4"/>
      <c r="AKY36" s="4"/>
      <c r="AKZ36" s="4"/>
      <c r="ALA36" s="4"/>
      <c r="ALB36" s="4"/>
      <c r="ALC36" s="4"/>
      <c r="ALD36" s="4"/>
      <c r="ALE36" s="4"/>
      <c r="ALF36" s="4"/>
      <c r="ALG36" s="4"/>
      <c r="ALH36" s="4"/>
      <c r="ALI36" s="4"/>
      <c r="ALJ36" s="4"/>
      <c r="ALK36" s="4"/>
      <c r="ALL36" s="4"/>
      <c r="ALM36" s="4"/>
      <c r="ALN36" s="4"/>
      <c r="ALO36" s="4"/>
      <c r="ALP36" s="4"/>
      <c r="ALQ36" s="4"/>
      <c r="ALR36" s="4"/>
      <c r="ALS36" s="4"/>
      <c r="ALT36" s="4"/>
      <c r="ALU36" s="4"/>
      <c r="ALV36" s="4"/>
      <c r="ALW36" s="4"/>
      <c r="ALX36" s="4"/>
      <c r="ALY36" s="4"/>
      <c r="ALZ36" s="4"/>
      <c r="AMA36" s="4"/>
      <c r="AMB36" s="4"/>
    </row>
    <row r="37" spans="1:1016" s="3" customFormat="1" ht="24.75" customHeight="1" x14ac:dyDescent="0.25">
      <c r="A37" s="21"/>
      <c r="B37" s="22"/>
      <c r="C37" s="21"/>
      <c r="D37" s="21"/>
      <c r="E37" s="23"/>
      <c r="F37" s="21"/>
      <c r="G37" s="24"/>
      <c r="H37" s="25">
        <v>39</v>
      </c>
      <c r="I37" s="25">
        <v>47</v>
      </c>
      <c r="J37" s="25">
        <v>60</v>
      </c>
      <c r="K37" s="25">
        <v>18</v>
      </c>
      <c r="L37" s="25">
        <v>13</v>
      </c>
      <c r="M37" s="25">
        <v>29</v>
      </c>
      <c r="N37" s="25">
        <v>27</v>
      </c>
      <c r="O37" s="25">
        <v>29</v>
      </c>
      <c r="P37" s="25">
        <v>70</v>
      </c>
      <c r="Q37" s="30" t="s">
        <v>124</v>
      </c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  <c r="AAA37" s="2"/>
      <c r="AAB37" s="2"/>
      <c r="AAC37" s="2"/>
      <c r="AAD37" s="2"/>
      <c r="AAE37" s="2"/>
      <c r="AAF37" s="2"/>
      <c r="AAG37" s="2"/>
      <c r="AAH37" s="2"/>
      <c r="AAI37" s="2"/>
      <c r="AAJ37" s="2"/>
      <c r="AAK37" s="2"/>
      <c r="AAL37" s="2"/>
      <c r="AAM37" s="2"/>
      <c r="AAN37" s="2"/>
      <c r="AAO37" s="2"/>
      <c r="AAP37" s="2"/>
      <c r="AAQ37" s="2"/>
      <c r="AAR37" s="2"/>
      <c r="AAS37" s="2"/>
      <c r="AAT37" s="2"/>
      <c r="AAU37" s="2"/>
      <c r="AAV37" s="2"/>
      <c r="AAW37" s="2"/>
      <c r="AAX37" s="2"/>
      <c r="AAY37" s="2"/>
      <c r="AAZ37" s="2"/>
      <c r="ABA37" s="2"/>
      <c r="ABB37" s="2"/>
      <c r="ABC37" s="2"/>
      <c r="ABD37" s="2"/>
      <c r="ABE37" s="2"/>
      <c r="ABF37" s="2"/>
      <c r="ABG37" s="2"/>
      <c r="ABH37" s="2"/>
      <c r="ABI37" s="2"/>
      <c r="ABJ37" s="2"/>
      <c r="ABK37" s="2"/>
      <c r="ABL37" s="2"/>
      <c r="ABM37" s="2"/>
      <c r="ABN37" s="2"/>
      <c r="ABO37" s="2"/>
      <c r="ABP37" s="2"/>
      <c r="ABQ37" s="2"/>
      <c r="ABR37" s="2"/>
      <c r="ABS37" s="2"/>
      <c r="ABT37" s="2"/>
      <c r="ABU37" s="2"/>
      <c r="ABV37" s="2"/>
      <c r="ABW37" s="2"/>
      <c r="ABX37" s="2"/>
      <c r="ABY37" s="2"/>
      <c r="ABZ37" s="2"/>
      <c r="ACA37" s="2"/>
      <c r="ACB37" s="2"/>
      <c r="ACC37" s="2"/>
      <c r="ACD37" s="2"/>
      <c r="ACE37" s="2"/>
      <c r="ACF37" s="2"/>
      <c r="ACG37" s="2"/>
      <c r="ACH37" s="2"/>
      <c r="ACI37" s="2"/>
      <c r="ACJ37" s="2"/>
      <c r="ACK37" s="2"/>
      <c r="ACL37" s="2"/>
      <c r="ACM37" s="2"/>
      <c r="ACN37" s="2"/>
      <c r="ACO37" s="2"/>
      <c r="ACP37" s="2"/>
      <c r="ACQ37" s="2"/>
      <c r="ACR37" s="2"/>
      <c r="ACS37" s="2"/>
      <c r="ACT37" s="2"/>
      <c r="ACU37" s="2"/>
      <c r="ACV37" s="2"/>
      <c r="ACW37" s="2"/>
      <c r="ACX37" s="2"/>
      <c r="ACY37" s="2"/>
      <c r="ACZ37" s="2"/>
      <c r="ADA37" s="2"/>
      <c r="ADB37" s="2"/>
      <c r="ADC37" s="2"/>
      <c r="ADD37" s="2"/>
      <c r="ADE37" s="2"/>
      <c r="ADF37" s="2"/>
      <c r="ADG37" s="2"/>
      <c r="ADH37" s="2"/>
      <c r="ADI37" s="2"/>
      <c r="ADJ37" s="2"/>
      <c r="ADK37" s="2"/>
      <c r="ADL37" s="2"/>
      <c r="ADM37" s="2"/>
      <c r="ADN37" s="2"/>
      <c r="ADO37" s="2"/>
      <c r="ADP37" s="2"/>
      <c r="ADQ37" s="2"/>
      <c r="ADR37" s="2"/>
      <c r="ADS37" s="2"/>
      <c r="ADT37" s="2"/>
      <c r="ADU37" s="2"/>
      <c r="ADV37" s="2"/>
      <c r="ADW37" s="2"/>
      <c r="ADX37" s="2"/>
      <c r="ADY37" s="2"/>
      <c r="ADZ37" s="2"/>
      <c r="AEA37" s="2"/>
      <c r="AEB37" s="2"/>
      <c r="AEC37" s="2"/>
      <c r="AED37" s="2"/>
      <c r="AEE37" s="2"/>
      <c r="AEF37" s="2"/>
      <c r="AEG37" s="2"/>
      <c r="AEH37" s="2"/>
      <c r="AEI37" s="2"/>
      <c r="AEJ37" s="2"/>
      <c r="AEK37" s="2"/>
      <c r="AEL37" s="2"/>
      <c r="AEM37" s="2"/>
      <c r="AEN37" s="2"/>
      <c r="AEO37" s="2"/>
      <c r="AEP37" s="2"/>
      <c r="AEQ37" s="2"/>
      <c r="AER37" s="2"/>
      <c r="AES37" s="2"/>
      <c r="AET37" s="2"/>
      <c r="AEU37" s="2"/>
      <c r="AEV37" s="2"/>
      <c r="AEW37" s="2"/>
      <c r="AEX37" s="2"/>
      <c r="AEY37" s="2"/>
      <c r="AEZ37" s="2"/>
      <c r="AFA37" s="2"/>
      <c r="AFB37" s="2"/>
      <c r="AFC37" s="2"/>
      <c r="AFD37" s="2"/>
      <c r="AFE37" s="2"/>
      <c r="AFF37" s="2"/>
      <c r="AFG37" s="2"/>
      <c r="AFH37" s="2"/>
      <c r="AFI37" s="2"/>
      <c r="AFJ37" s="2"/>
      <c r="AFK37" s="2"/>
      <c r="AFL37" s="2"/>
      <c r="AFM37" s="2"/>
      <c r="AFN37" s="2"/>
      <c r="AFO37" s="2"/>
      <c r="AFP37" s="2"/>
      <c r="AFQ37" s="2"/>
      <c r="AFR37" s="2"/>
      <c r="AFS37" s="2"/>
      <c r="AFT37" s="2"/>
      <c r="AFU37" s="2"/>
      <c r="AFV37" s="2"/>
      <c r="AFW37" s="2"/>
      <c r="AFX37" s="2"/>
      <c r="AFY37" s="2"/>
      <c r="AFZ37" s="2"/>
      <c r="AGA37" s="2"/>
      <c r="AGB37" s="2"/>
      <c r="AGC37" s="2"/>
      <c r="AGD37" s="2"/>
      <c r="AGE37" s="2"/>
      <c r="AGF37" s="2"/>
      <c r="AGG37" s="2"/>
      <c r="AGH37" s="2"/>
      <c r="AGI37" s="2"/>
      <c r="AGJ37" s="2"/>
      <c r="AGK37" s="2"/>
      <c r="AGL37" s="2"/>
      <c r="AGM37" s="2"/>
      <c r="AGN37" s="2"/>
      <c r="AGO37" s="2"/>
      <c r="AGP37" s="2"/>
      <c r="AGQ37" s="2"/>
      <c r="AGR37" s="2"/>
      <c r="AGS37" s="2"/>
      <c r="AGT37" s="2"/>
      <c r="AGU37" s="2"/>
      <c r="AGV37" s="2"/>
      <c r="AGW37" s="2"/>
      <c r="AGX37" s="2"/>
      <c r="AGY37" s="2"/>
      <c r="AGZ37" s="2"/>
      <c r="AHA37" s="2"/>
      <c r="AHB37" s="2"/>
      <c r="AHC37" s="2"/>
      <c r="AHD37" s="2"/>
      <c r="AHE37" s="2"/>
      <c r="AHF37" s="2"/>
      <c r="AHG37" s="2"/>
      <c r="AHH37" s="2"/>
      <c r="AHI37" s="2"/>
      <c r="AHJ37" s="2"/>
      <c r="AHK37" s="2"/>
      <c r="AHL37" s="2"/>
      <c r="AHM37" s="2"/>
      <c r="AHN37" s="2"/>
      <c r="AHO37" s="2"/>
      <c r="AHP37" s="2"/>
      <c r="AHQ37" s="2"/>
      <c r="AHR37" s="2"/>
      <c r="AHS37" s="2"/>
      <c r="AHT37" s="2"/>
      <c r="AHU37" s="2"/>
      <c r="AHV37" s="2"/>
      <c r="AHW37" s="2"/>
      <c r="AHX37" s="2"/>
      <c r="AHY37" s="2"/>
      <c r="AHZ37" s="2"/>
      <c r="AIA37" s="2"/>
      <c r="AIB37" s="2"/>
      <c r="AIC37" s="2"/>
      <c r="AID37" s="2"/>
      <c r="AIE37" s="2"/>
      <c r="AIF37" s="2"/>
      <c r="AIG37" s="2"/>
      <c r="AIH37" s="2"/>
      <c r="AII37" s="2"/>
      <c r="AIJ37" s="2"/>
      <c r="AIK37" s="2"/>
      <c r="AIL37" s="2"/>
      <c r="AIM37" s="2"/>
      <c r="AIN37" s="2"/>
      <c r="AIO37" s="2"/>
      <c r="AIP37" s="2"/>
      <c r="AIQ37" s="2"/>
      <c r="AIR37" s="2"/>
      <c r="AIS37" s="2"/>
      <c r="AIT37" s="2"/>
      <c r="AIU37" s="2"/>
      <c r="AIV37" s="2"/>
      <c r="AIW37" s="2"/>
      <c r="AIX37" s="2"/>
      <c r="AIY37" s="2"/>
      <c r="AIZ37" s="2"/>
      <c r="AJA37" s="2"/>
      <c r="AJB37" s="2"/>
      <c r="AJC37" s="2"/>
      <c r="AJD37" s="2"/>
      <c r="AJE37" s="2"/>
      <c r="AJF37" s="2"/>
      <c r="AJG37" s="2"/>
      <c r="AJH37" s="2"/>
      <c r="AJI37" s="2"/>
      <c r="AJJ37" s="2"/>
      <c r="AJK37" s="2"/>
      <c r="AJL37" s="2"/>
      <c r="AJM37" s="2"/>
      <c r="AJN37" s="2"/>
      <c r="AJO37" s="2"/>
      <c r="AJP37" s="2"/>
      <c r="AJQ37" s="2"/>
      <c r="AJR37" s="2"/>
      <c r="AJS37" s="2"/>
      <c r="AJT37" s="2"/>
      <c r="AJU37" s="2"/>
      <c r="AJV37" s="2"/>
      <c r="AJW37" s="2"/>
      <c r="AJX37" s="2"/>
      <c r="AJY37" s="2"/>
      <c r="AJZ37" s="2"/>
      <c r="AKA37" s="4"/>
      <c r="AKB37" s="4"/>
      <c r="AKC37" s="4"/>
      <c r="AKD37" s="4"/>
      <c r="AKE37" s="4"/>
      <c r="AKF37" s="4"/>
      <c r="AKG37" s="4"/>
      <c r="AKH37" s="4"/>
      <c r="AKI37" s="4"/>
      <c r="AKJ37" s="4"/>
      <c r="AKK37" s="4"/>
      <c r="AKL37" s="4"/>
      <c r="AKM37" s="4"/>
      <c r="AKN37" s="4"/>
      <c r="AKO37" s="4"/>
      <c r="AKP37" s="4"/>
      <c r="AKQ37" s="4"/>
      <c r="AKR37" s="4"/>
      <c r="AKS37" s="4"/>
      <c r="AKT37" s="4"/>
      <c r="AKU37" s="4"/>
      <c r="AKV37" s="4"/>
      <c r="AKW37" s="4"/>
      <c r="AKX37" s="4"/>
      <c r="AKY37" s="4"/>
      <c r="AKZ37" s="4"/>
      <c r="ALA37" s="4"/>
      <c r="ALB37" s="4"/>
      <c r="ALC37" s="4"/>
      <c r="ALD37" s="4"/>
      <c r="ALE37" s="4"/>
      <c r="ALF37" s="4"/>
      <c r="ALG37" s="4"/>
      <c r="ALH37" s="4"/>
      <c r="ALI37" s="4"/>
      <c r="ALJ37" s="4"/>
      <c r="ALK37" s="4"/>
      <c r="ALL37" s="4"/>
      <c r="ALM37" s="4"/>
      <c r="ALN37" s="4"/>
      <c r="ALO37" s="4"/>
      <c r="ALP37" s="4"/>
      <c r="ALQ37" s="4"/>
      <c r="ALR37" s="4"/>
      <c r="ALS37" s="4"/>
      <c r="ALT37" s="4"/>
      <c r="ALU37" s="4"/>
      <c r="ALV37" s="4"/>
      <c r="ALW37" s="4"/>
      <c r="ALX37" s="4"/>
      <c r="ALY37" s="4"/>
      <c r="ALZ37" s="4"/>
      <c r="AMA37" s="4"/>
      <c r="AMB37" s="4"/>
    </row>
    <row r="38" spans="1:1016" s="3" customFormat="1" ht="24.75" customHeight="1" x14ac:dyDescent="0.25">
      <c r="A38" s="18" t="s">
        <v>67</v>
      </c>
      <c r="B38" s="19" t="s">
        <v>78</v>
      </c>
      <c r="C38" s="19" t="s">
        <v>73</v>
      </c>
      <c r="D38" s="20">
        <v>43</v>
      </c>
      <c r="E38" s="20">
        <v>59</v>
      </c>
      <c r="F38" s="20" t="s">
        <v>46</v>
      </c>
      <c r="G38" s="20" t="s">
        <v>34</v>
      </c>
      <c r="H38" s="13">
        <v>50</v>
      </c>
      <c r="I38" s="13">
        <v>27</v>
      </c>
      <c r="J38" s="13">
        <v>19</v>
      </c>
      <c r="K38" s="13">
        <v>29</v>
      </c>
      <c r="L38" s="13">
        <v>28</v>
      </c>
      <c r="M38" s="13">
        <v>29</v>
      </c>
      <c r="N38" s="13">
        <v>75</v>
      </c>
      <c r="O38" s="13">
        <v>43</v>
      </c>
      <c r="P38" s="1"/>
      <c r="Q38" s="29" t="s">
        <v>121</v>
      </c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  <c r="AAA38" s="2"/>
      <c r="AAB38" s="2"/>
      <c r="AAC38" s="2"/>
      <c r="AAD38" s="2"/>
      <c r="AAE38" s="2"/>
      <c r="AAF38" s="2"/>
      <c r="AAG38" s="2"/>
      <c r="AAH38" s="2"/>
      <c r="AAI38" s="2"/>
      <c r="AAJ38" s="2"/>
      <c r="AAK38" s="2"/>
      <c r="AAL38" s="2"/>
      <c r="AAM38" s="2"/>
      <c r="AAN38" s="2"/>
      <c r="AAO38" s="2"/>
      <c r="AAP38" s="2"/>
      <c r="AAQ38" s="2"/>
      <c r="AAR38" s="2"/>
      <c r="AAS38" s="2"/>
      <c r="AAT38" s="2"/>
      <c r="AAU38" s="2"/>
      <c r="AAV38" s="2"/>
      <c r="AAW38" s="2"/>
      <c r="AAX38" s="2"/>
      <c r="AAY38" s="2"/>
      <c r="AAZ38" s="2"/>
      <c r="ABA38" s="2"/>
      <c r="ABB38" s="2"/>
      <c r="ABC38" s="2"/>
      <c r="ABD38" s="2"/>
      <c r="ABE38" s="2"/>
      <c r="ABF38" s="2"/>
      <c r="ABG38" s="2"/>
      <c r="ABH38" s="2"/>
      <c r="ABI38" s="2"/>
      <c r="ABJ38" s="2"/>
      <c r="ABK38" s="2"/>
      <c r="ABL38" s="2"/>
      <c r="ABM38" s="2"/>
      <c r="ABN38" s="2"/>
      <c r="ABO38" s="2"/>
      <c r="ABP38" s="2"/>
      <c r="ABQ38" s="2"/>
      <c r="ABR38" s="2"/>
      <c r="ABS38" s="2"/>
      <c r="ABT38" s="2"/>
      <c r="ABU38" s="2"/>
      <c r="ABV38" s="2"/>
      <c r="ABW38" s="2"/>
      <c r="ABX38" s="2"/>
      <c r="ABY38" s="2"/>
      <c r="ABZ38" s="2"/>
      <c r="ACA38" s="2"/>
      <c r="ACB38" s="2"/>
      <c r="ACC38" s="2"/>
      <c r="ACD38" s="2"/>
      <c r="ACE38" s="2"/>
      <c r="ACF38" s="2"/>
      <c r="ACG38" s="2"/>
      <c r="ACH38" s="2"/>
      <c r="ACI38" s="2"/>
      <c r="ACJ38" s="2"/>
      <c r="ACK38" s="2"/>
      <c r="ACL38" s="2"/>
      <c r="ACM38" s="2"/>
      <c r="ACN38" s="2"/>
      <c r="ACO38" s="2"/>
      <c r="ACP38" s="2"/>
      <c r="ACQ38" s="2"/>
      <c r="ACR38" s="2"/>
      <c r="ACS38" s="2"/>
      <c r="ACT38" s="2"/>
      <c r="ACU38" s="2"/>
      <c r="ACV38" s="2"/>
      <c r="ACW38" s="2"/>
      <c r="ACX38" s="2"/>
      <c r="ACY38" s="2"/>
      <c r="ACZ38" s="2"/>
      <c r="ADA38" s="2"/>
      <c r="ADB38" s="2"/>
      <c r="ADC38" s="2"/>
      <c r="ADD38" s="2"/>
      <c r="ADE38" s="2"/>
      <c r="ADF38" s="2"/>
      <c r="ADG38" s="2"/>
      <c r="ADH38" s="2"/>
      <c r="ADI38" s="2"/>
      <c r="ADJ38" s="2"/>
      <c r="ADK38" s="2"/>
      <c r="ADL38" s="2"/>
      <c r="ADM38" s="2"/>
      <c r="ADN38" s="2"/>
      <c r="ADO38" s="2"/>
      <c r="ADP38" s="2"/>
      <c r="ADQ38" s="2"/>
      <c r="ADR38" s="2"/>
      <c r="ADS38" s="2"/>
      <c r="ADT38" s="2"/>
      <c r="ADU38" s="2"/>
      <c r="ADV38" s="2"/>
      <c r="ADW38" s="2"/>
      <c r="ADX38" s="2"/>
      <c r="ADY38" s="2"/>
      <c r="ADZ38" s="2"/>
      <c r="AEA38" s="2"/>
      <c r="AEB38" s="2"/>
      <c r="AEC38" s="2"/>
      <c r="AED38" s="2"/>
      <c r="AEE38" s="2"/>
      <c r="AEF38" s="2"/>
      <c r="AEG38" s="2"/>
      <c r="AEH38" s="2"/>
      <c r="AEI38" s="2"/>
      <c r="AEJ38" s="2"/>
      <c r="AEK38" s="2"/>
      <c r="AEL38" s="2"/>
      <c r="AEM38" s="2"/>
      <c r="AEN38" s="2"/>
      <c r="AEO38" s="2"/>
      <c r="AEP38" s="2"/>
      <c r="AEQ38" s="2"/>
      <c r="AER38" s="2"/>
      <c r="AES38" s="2"/>
      <c r="AET38" s="2"/>
      <c r="AEU38" s="2"/>
      <c r="AEV38" s="2"/>
      <c r="AEW38" s="2"/>
      <c r="AEX38" s="2"/>
      <c r="AEY38" s="2"/>
      <c r="AEZ38" s="2"/>
      <c r="AFA38" s="2"/>
      <c r="AFB38" s="2"/>
      <c r="AFC38" s="2"/>
      <c r="AFD38" s="2"/>
      <c r="AFE38" s="2"/>
      <c r="AFF38" s="2"/>
      <c r="AFG38" s="2"/>
      <c r="AFH38" s="2"/>
      <c r="AFI38" s="2"/>
      <c r="AFJ38" s="2"/>
      <c r="AFK38" s="2"/>
      <c r="AFL38" s="2"/>
      <c r="AFM38" s="2"/>
      <c r="AFN38" s="2"/>
      <c r="AFO38" s="2"/>
      <c r="AFP38" s="2"/>
      <c r="AFQ38" s="2"/>
      <c r="AFR38" s="2"/>
      <c r="AFS38" s="2"/>
      <c r="AFT38" s="2"/>
      <c r="AFU38" s="2"/>
      <c r="AFV38" s="2"/>
      <c r="AFW38" s="2"/>
      <c r="AFX38" s="2"/>
      <c r="AFY38" s="2"/>
      <c r="AFZ38" s="2"/>
      <c r="AGA38" s="2"/>
      <c r="AGB38" s="2"/>
      <c r="AGC38" s="2"/>
      <c r="AGD38" s="2"/>
      <c r="AGE38" s="2"/>
      <c r="AGF38" s="2"/>
      <c r="AGG38" s="2"/>
      <c r="AGH38" s="2"/>
      <c r="AGI38" s="2"/>
      <c r="AGJ38" s="2"/>
      <c r="AGK38" s="2"/>
      <c r="AGL38" s="2"/>
      <c r="AGM38" s="2"/>
      <c r="AGN38" s="2"/>
      <c r="AGO38" s="2"/>
      <c r="AGP38" s="2"/>
      <c r="AGQ38" s="2"/>
      <c r="AGR38" s="2"/>
      <c r="AGS38" s="2"/>
      <c r="AGT38" s="2"/>
      <c r="AGU38" s="2"/>
      <c r="AGV38" s="2"/>
      <c r="AGW38" s="2"/>
      <c r="AGX38" s="2"/>
      <c r="AGY38" s="2"/>
      <c r="AGZ38" s="2"/>
      <c r="AHA38" s="2"/>
      <c r="AHB38" s="2"/>
      <c r="AHC38" s="2"/>
      <c r="AHD38" s="2"/>
      <c r="AHE38" s="2"/>
      <c r="AHF38" s="2"/>
      <c r="AHG38" s="2"/>
      <c r="AHH38" s="2"/>
      <c r="AHI38" s="2"/>
      <c r="AHJ38" s="2"/>
      <c r="AHK38" s="2"/>
      <c r="AHL38" s="2"/>
      <c r="AHM38" s="2"/>
      <c r="AHN38" s="2"/>
      <c r="AHO38" s="2"/>
      <c r="AHP38" s="2"/>
      <c r="AHQ38" s="2"/>
      <c r="AHR38" s="2"/>
      <c r="AHS38" s="2"/>
      <c r="AHT38" s="2"/>
      <c r="AHU38" s="2"/>
      <c r="AHV38" s="2"/>
      <c r="AHW38" s="2"/>
      <c r="AHX38" s="2"/>
      <c r="AHY38" s="2"/>
      <c r="AHZ38" s="2"/>
      <c r="AIA38" s="2"/>
      <c r="AIB38" s="2"/>
      <c r="AIC38" s="2"/>
      <c r="AID38" s="2"/>
      <c r="AIE38" s="2"/>
      <c r="AIF38" s="2"/>
      <c r="AIG38" s="2"/>
      <c r="AIH38" s="2"/>
      <c r="AII38" s="2"/>
      <c r="AIJ38" s="2"/>
      <c r="AIK38" s="2"/>
      <c r="AIL38" s="2"/>
      <c r="AIM38" s="2"/>
      <c r="AIN38" s="2"/>
      <c r="AIO38" s="2"/>
      <c r="AIP38" s="2"/>
      <c r="AIQ38" s="2"/>
      <c r="AIR38" s="2"/>
      <c r="AIS38" s="2"/>
      <c r="AIT38" s="2"/>
      <c r="AIU38" s="2"/>
      <c r="AIV38" s="2"/>
      <c r="AIW38" s="2"/>
      <c r="AIX38" s="2"/>
      <c r="AIY38" s="2"/>
      <c r="AIZ38" s="2"/>
      <c r="AJA38" s="2"/>
      <c r="AJB38" s="2"/>
      <c r="AJC38" s="2"/>
      <c r="AJD38" s="2"/>
      <c r="AJE38" s="2"/>
      <c r="AJF38" s="2"/>
      <c r="AJG38" s="2"/>
      <c r="AJH38" s="2"/>
      <c r="AJI38" s="2"/>
      <c r="AJJ38" s="2"/>
      <c r="AJK38" s="2"/>
      <c r="AJL38" s="2"/>
      <c r="AJM38" s="2"/>
      <c r="AJN38" s="2"/>
      <c r="AJO38" s="2"/>
      <c r="AJP38" s="2"/>
      <c r="AJQ38" s="2"/>
      <c r="AJR38" s="2"/>
      <c r="AJS38" s="2"/>
      <c r="AJT38" s="2"/>
      <c r="AJU38" s="2"/>
      <c r="AJV38" s="2"/>
      <c r="AJW38" s="2"/>
      <c r="AJX38" s="2"/>
      <c r="AJY38" s="2"/>
      <c r="AJZ38" s="2"/>
      <c r="AKA38" s="4"/>
      <c r="AKB38" s="4"/>
      <c r="AKC38" s="4"/>
      <c r="AKD38" s="4"/>
      <c r="AKE38" s="4"/>
      <c r="AKF38" s="4"/>
      <c r="AKG38" s="4"/>
      <c r="AKH38" s="4"/>
      <c r="AKI38" s="4"/>
      <c r="AKJ38" s="4"/>
      <c r="AKK38" s="4"/>
      <c r="AKL38" s="4"/>
      <c r="AKM38" s="4"/>
      <c r="AKN38" s="4"/>
      <c r="AKO38" s="4"/>
      <c r="AKP38" s="4"/>
      <c r="AKQ38" s="4"/>
      <c r="AKR38" s="4"/>
      <c r="AKS38" s="4"/>
      <c r="AKT38" s="4"/>
      <c r="AKU38" s="4"/>
      <c r="AKV38" s="4"/>
      <c r="AKW38" s="4"/>
      <c r="AKX38" s="4"/>
      <c r="AKY38" s="4"/>
      <c r="AKZ38" s="4"/>
      <c r="ALA38" s="4"/>
      <c r="ALB38" s="4"/>
      <c r="ALC38" s="4"/>
      <c r="ALD38" s="4"/>
      <c r="ALE38" s="4"/>
      <c r="ALF38" s="4"/>
      <c r="ALG38" s="4"/>
      <c r="ALH38" s="4"/>
      <c r="ALI38" s="4"/>
      <c r="ALJ38" s="4"/>
      <c r="ALK38" s="4"/>
      <c r="ALL38" s="4"/>
      <c r="ALM38" s="4"/>
      <c r="ALN38" s="4"/>
      <c r="ALO38" s="4"/>
      <c r="ALP38" s="4"/>
      <c r="ALQ38" s="4"/>
      <c r="ALR38" s="4"/>
      <c r="ALS38" s="4"/>
      <c r="ALT38" s="4"/>
      <c r="ALU38" s="4"/>
      <c r="ALV38" s="4"/>
      <c r="ALW38" s="4"/>
      <c r="ALX38" s="4"/>
      <c r="ALY38" s="4"/>
      <c r="ALZ38" s="4"/>
      <c r="AMA38" s="4"/>
      <c r="AMB38" s="4"/>
    </row>
    <row r="39" spans="1:1016" s="3" customFormat="1" ht="24.75" customHeight="1" x14ac:dyDescent="0.25">
      <c r="A39" s="18"/>
      <c r="B39" s="19"/>
      <c r="C39" s="19"/>
      <c r="D39" s="20"/>
      <c r="E39" s="20"/>
      <c r="F39" s="20"/>
      <c r="G39" s="20"/>
      <c r="H39" s="13">
        <v>93</v>
      </c>
      <c r="I39" s="13">
        <v>116</v>
      </c>
      <c r="J39" s="13">
        <v>70</v>
      </c>
      <c r="K39" s="13">
        <v>35</v>
      </c>
      <c r="L39" s="13">
        <v>26</v>
      </c>
      <c r="M39" s="13">
        <v>22</v>
      </c>
      <c r="N39" s="13">
        <v>102</v>
      </c>
      <c r="O39" s="1"/>
      <c r="P39" s="1"/>
      <c r="Q39" s="29" t="s">
        <v>122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  <c r="AAA39" s="2"/>
      <c r="AAB39" s="2"/>
      <c r="AAC39" s="2"/>
      <c r="AAD39" s="2"/>
      <c r="AAE39" s="2"/>
      <c r="AAF39" s="2"/>
      <c r="AAG39" s="2"/>
      <c r="AAH39" s="2"/>
      <c r="AAI39" s="2"/>
      <c r="AAJ39" s="2"/>
      <c r="AAK39" s="2"/>
      <c r="AAL39" s="2"/>
      <c r="AAM39" s="2"/>
      <c r="AAN39" s="2"/>
      <c r="AAO39" s="2"/>
      <c r="AAP39" s="2"/>
      <c r="AAQ39" s="2"/>
      <c r="AAR39" s="2"/>
      <c r="AAS39" s="2"/>
      <c r="AAT39" s="2"/>
      <c r="AAU39" s="2"/>
      <c r="AAV39" s="2"/>
      <c r="AAW39" s="2"/>
      <c r="AAX39" s="2"/>
      <c r="AAY39" s="2"/>
      <c r="AAZ39" s="2"/>
      <c r="ABA39" s="2"/>
      <c r="ABB39" s="2"/>
      <c r="ABC39" s="2"/>
      <c r="ABD39" s="2"/>
      <c r="ABE39" s="2"/>
      <c r="ABF39" s="2"/>
      <c r="ABG39" s="2"/>
      <c r="ABH39" s="2"/>
      <c r="ABI39" s="2"/>
      <c r="ABJ39" s="2"/>
      <c r="ABK39" s="2"/>
      <c r="ABL39" s="2"/>
      <c r="ABM39" s="2"/>
      <c r="ABN39" s="2"/>
      <c r="ABO39" s="2"/>
      <c r="ABP39" s="2"/>
      <c r="ABQ39" s="2"/>
      <c r="ABR39" s="2"/>
      <c r="ABS39" s="2"/>
      <c r="ABT39" s="2"/>
      <c r="ABU39" s="2"/>
      <c r="ABV39" s="2"/>
      <c r="ABW39" s="2"/>
      <c r="ABX39" s="2"/>
      <c r="ABY39" s="2"/>
      <c r="ABZ39" s="2"/>
      <c r="ACA39" s="2"/>
      <c r="ACB39" s="2"/>
      <c r="ACC39" s="2"/>
      <c r="ACD39" s="2"/>
      <c r="ACE39" s="2"/>
      <c r="ACF39" s="2"/>
      <c r="ACG39" s="2"/>
      <c r="ACH39" s="2"/>
      <c r="ACI39" s="2"/>
      <c r="ACJ39" s="2"/>
      <c r="ACK39" s="2"/>
      <c r="ACL39" s="2"/>
      <c r="ACM39" s="2"/>
      <c r="ACN39" s="2"/>
      <c r="ACO39" s="2"/>
      <c r="ACP39" s="2"/>
      <c r="ACQ39" s="2"/>
      <c r="ACR39" s="2"/>
      <c r="ACS39" s="2"/>
      <c r="ACT39" s="2"/>
      <c r="ACU39" s="2"/>
      <c r="ACV39" s="2"/>
      <c r="ACW39" s="2"/>
      <c r="ACX39" s="2"/>
      <c r="ACY39" s="2"/>
      <c r="ACZ39" s="2"/>
      <c r="ADA39" s="2"/>
      <c r="ADB39" s="2"/>
      <c r="ADC39" s="2"/>
      <c r="ADD39" s="2"/>
      <c r="ADE39" s="2"/>
      <c r="ADF39" s="2"/>
      <c r="ADG39" s="2"/>
      <c r="ADH39" s="2"/>
      <c r="ADI39" s="2"/>
      <c r="ADJ39" s="2"/>
      <c r="ADK39" s="2"/>
      <c r="ADL39" s="2"/>
      <c r="ADM39" s="2"/>
      <c r="ADN39" s="2"/>
      <c r="ADO39" s="2"/>
      <c r="ADP39" s="2"/>
      <c r="ADQ39" s="2"/>
      <c r="ADR39" s="2"/>
      <c r="ADS39" s="2"/>
      <c r="ADT39" s="2"/>
      <c r="ADU39" s="2"/>
      <c r="ADV39" s="2"/>
      <c r="ADW39" s="2"/>
      <c r="ADX39" s="2"/>
      <c r="ADY39" s="2"/>
      <c r="ADZ39" s="2"/>
      <c r="AEA39" s="2"/>
      <c r="AEB39" s="2"/>
      <c r="AEC39" s="2"/>
      <c r="AED39" s="2"/>
      <c r="AEE39" s="2"/>
      <c r="AEF39" s="2"/>
      <c r="AEG39" s="2"/>
      <c r="AEH39" s="2"/>
      <c r="AEI39" s="2"/>
      <c r="AEJ39" s="2"/>
      <c r="AEK39" s="2"/>
      <c r="AEL39" s="2"/>
      <c r="AEM39" s="2"/>
      <c r="AEN39" s="2"/>
      <c r="AEO39" s="2"/>
      <c r="AEP39" s="2"/>
      <c r="AEQ39" s="2"/>
      <c r="AER39" s="2"/>
      <c r="AES39" s="2"/>
      <c r="AET39" s="2"/>
      <c r="AEU39" s="2"/>
      <c r="AEV39" s="2"/>
      <c r="AEW39" s="2"/>
      <c r="AEX39" s="2"/>
      <c r="AEY39" s="2"/>
      <c r="AEZ39" s="2"/>
      <c r="AFA39" s="2"/>
      <c r="AFB39" s="2"/>
      <c r="AFC39" s="2"/>
      <c r="AFD39" s="2"/>
      <c r="AFE39" s="2"/>
      <c r="AFF39" s="2"/>
      <c r="AFG39" s="2"/>
      <c r="AFH39" s="2"/>
      <c r="AFI39" s="2"/>
      <c r="AFJ39" s="2"/>
      <c r="AFK39" s="2"/>
      <c r="AFL39" s="2"/>
      <c r="AFM39" s="2"/>
      <c r="AFN39" s="2"/>
      <c r="AFO39" s="2"/>
      <c r="AFP39" s="2"/>
      <c r="AFQ39" s="2"/>
      <c r="AFR39" s="2"/>
      <c r="AFS39" s="2"/>
      <c r="AFT39" s="2"/>
      <c r="AFU39" s="2"/>
      <c r="AFV39" s="2"/>
      <c r="AFW39" s="2"/>
      <c r="AFX39" s="2"/>
      <c r="AFY39" s="2"/>
      <c r="AFZ39" s="2"/>
      <c r="AGA39" s="2"/>
      <c r="AGB39" s="2"/>
      <c r="AGC39" s="2"/>
      <c r="AGD39" s="2"/>
      <c r="AGE39" s="2"/>
      <c r="AGF39" s="2"/>
      <c r="AGG39" s="2"/>
      <c r="AGH39" s="2"/>
      <c r="AGI39" s="2"/>
      <c r="AGJ39" s="2"/>
      <c r="AGK39" s="2"/>
      <c r="AGL39" s="2"/>
      <c r="AGM39" s="2"/>
      <c r="AGN39" s="2"/>
      <c r="AGO39" s="2"/>
      <c r="AGP39" s="2"/>
      <c r="AGQ39" s="2"/>
      <c r="AGR39" s="2"/>
      <c r="AGS39" s="2"/>
      <c r="AGT39" s="2"/>
      <c r="AGU39" s="2"/>
      <c r="AGV39" s="2"/>
      <c r="AGW39" s="2"/>
      <c r="AGX39" s="2"/>
      <c r="AGY39" s="2"/>
      <c r="AGZ39" s="2"/>
      <c r="AHA39" s="2"/>
      <c r="AHB39" s="2"/>
      <c r="AHC39" s="2"/>
      <c r="AHD39" s="2"/>
      <c r="AHE39" s="2"/>
      <c r="AHF39" s="2"/>
      <c r="AHG39" s="2"/>
      <c r="AHH39" s="2"/>
      <c r="AHI39" s="2"/>
      <c r="AHJ39" s="2"/>
      <c r="AHK39" s="2"/>
      <c r="AHL39" s="2"/>
      <c r="AHM39" s="2"/>
      <c r="AHN39" s="2"/>
      <c r="AHO39" s="2"/>
      <c r="AHP39" s="2"/>
      <c r="AHQ39" s="2"/>
      <c r="AHR39" s="2"/>
      <c r="AHS39" s="2"/>
      <c r="AHT39" s="2"/>
      <c r="AHU39" s="2"/>
      <c r="AHV39" s="2"/>
      <c r="AHW39" s="2"/>
      <c r="AHX39" s="2"/>
      <c r="AHY39" s="2"/>
      <c r="AHZ39" s="2"/>
      <c r="AIA39" s="2"/>
      <c r="AIB39" s="2"/>
      <c r="AIC39" s="2"/>
      <c r="AID39" s="2"/>
      <c r="AIE39" s="2"/>
      <c r="AIF39" s="2"/>
      <c r="AIG39" s="2"/>
      <c r="AIH39" s="2"/>
      <c r="AII39" s="2"/>
      <c r="AIJ39" s="2"/>
      <c r="AIK39" s="2"/>
      <c r="AIL39" s="2"/>
      <c r="AIM39" s="2"/>
      <c r="AIN39" s="2"/>
      <c r="AIO39" s="2"/>
      <c r="AIP39" s="2"/>
      <c r="AIQ39" s="2"/>
      <c r="AIR39" s="2"/>
      <c r="AIS39" s="2"/>
      <c r="AIT39" s="2"/>
      <c r="AIU39" s="2"/>
      <c r="AIV39" s="2"/>
      <c r="AIW39" s="2"/>
      <c r="AIX39" s="2"/>
      <c r="AIY39" s="2"/>
      <c r="AIZ39" s="2"/>
      <c r="AJA39" s="2"/>
      <c r="AJB39" s="2"/>
      <c r="AJC39" s="2"/>
      <c r="AJD39" s="2"/>
      <c r="AJE39" s="2"/>
      <c r="AJF39" s="2"/>
      <c r="AJG39" s="2"/>
      <c r="AJH39" s="2"/>
      <c r="AJI39" s="2"/>
      <c r="AJJ39" s="2"/>
      <c r="AJK39" s="2"/>
      <c r="AJL39" s="2"/>
      <c r="AJM39" s="2"/>
      <c r="AJN39" s="2"/>
      <c r="AJO39" s="2"/>
      <c r="AJP39" s="2"/>
      <c r="AJQ39" s="2"/>
      <c r="AJR39" s="2"/>
      <c r="AJS39" s="2"/>
      <c r="AJT39" s="2"/>
      <c r="AJU39" s="2"/>
      <c r="AJV39" s="2"/>
      <c r="AJW39" s="2"/>
      <c r="AJX39" s="2"/>
      <c r="AJY39" s="2"/>
      <c r="AJZ39" s="2"/>
      <c r="AKA39" s="4"/>
      <c r="AKB39" s="4"/>
      <c r="AKC39" s="4"/>
      <c r="AKD39" s="4"/>
      <c r="AKE39" s="4"/>
      <c r="AKF39" s="4"/>
      <c r="AKG39" s="4"/>
      <c r="AKH39" s="4"/>
      <c r="AKI39" s="4"/>
      <c r="AKJ39" s="4"/>
      <c r="AKK39" s="4"/>
      <c r="AKL39" s="4"/>
      <c r="AKM39" s="4"/>
      <c r="AKN39" s="4"/>
      <c r="AKO39" s="4"/>
      <c r="AKP39" s="4"/>
      <c r="AKQ39" s="4"/>
      <c r="AKR39" s="4"/>
      <c r="AKS39" s="4"/>
      <c r="AKT39" s="4"/>
      <c r="AKU39" s="4"/>
      <c r="AKV39" s="4"/>
      <c r="AKW39" s="4"/>
      <c r="AKX39" s="4"/>
      <c r="AKY39" s="4"/>
      <c r="AKZ39" s="4"/>
      <c r="ALA39" s="4"/>
      <c r="ALB39" s="4"/>
      <c r="ALC39" s="4"/>
      <c r="ALD39" s="4"/>
      <c r="ALE39" s="4"/>
      <c r="ALF39" s="4"/>
      <c r="ALG39" s="4"/>
      <c r="ALH39" s="4"/>
      <c r="ALI39" s="4"/>
      <c r="ALJ39" s="4"/>
      <c r="ALK39" s="4"/>
      <c r="ALL39" s="4"/>
      <c r="ALM39" s="4"/>
      <c r="ALN39" s="4"/>
      <c r="ALO39" s="4"/>
      <c r="ALP39" s="4"/>
      <c r="ALQ39" s="4"/>
      <c r="ALR39" s="4"/>
      <c r="ALS39" s="4"/>
      <c r="ALT39" s="4"/>
      <c r="ALU39" s="4"/>
      <c r="ALV39" s="4"/>
      <c r="ALW39" s="4"/>
      <c r="ALX39" s="4"/>
      <c r="ALY39" s="4"/>
      <c r="ALZ39" s="4"/>
      <c r="AMA39" s="4"/>
      <c r="AMB39" s="4"/>
    </row>
    <row r="40" spans="1:1016" s="3" customFormat="1" ht="24.75" customHeight="1" x14ac:dyDescent="0.25">
      <c r="A40" s="1"/>
      <c r="B40" s="2"/>
      <c r="C40" s="1"/>
      <c r="D40" s="1"/>
      <c r="F40" s="1"/>
      <c r="G40" s="11"/>
      <c r="H40" s="20">
        <v>43</v>
      </c>
      <c r="I40" s="20">
        <v>50</v>
      </c>
      <c r="J40" s="20">
        <v>65</v>
      </c>
      <c r="K40" s="20">
        <v>20</v>
      </c>
      <c r="L40" s="20">
        <v>16</v>
      </c>
      <c r="M40" s="20">
        <v>112</v>
      </c>
      <c r="N40" s="20">
        <v>105</v>
      </c>
      <c r="O40" s="20">
        <v>117</v>
      </c>
      <c r="P40" s="20">
        <v>76</v>
      </c>
      <c r="Q40" s="29" t="s">
        <v>123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  <c r="AAA40" s="2"/>
      <c r="AAB40" s="2"/>
      <c r="AAC40" s="2"/>
      <c r="AAD40" s="2"/>
      <c r="AAE40" s="2"/>
      <c r="AAF40" s="2"/>
      <c r="AAG40" s="2"/>
      <c r="AAH40" s="2"/>
      <c r="AAI40" s="2"/>
      <c r="AAJ40" s="2"/>
      <c r="AAK40" s="2"/>
      <c r="AAL40" s="2"/>
      <c r="AAM40" s="2"/>
      <c r="AAN40" s="2"/>
      <c r="AAO40" s="2"/>
      <c r="AAP40" s="2"/>
      <c r="AAQ40" s="2"/>
      <c r="AAR40" s="2"/>
      <c r="AAS40" s="2"/>
      <c r="AAT40" s="2"/>
      <c r="AAU40" s="2"/>
      <c r="AAV40" s="2"/>
      <c r="AAW40" s="2"/>
      <c r="AAX40" s="2"/>
      <c r="AAY40" s="2"/>
      <c r="AAZ40" s="2"/>
      <c r="ABA40" s="2"/>
      <c r="ABB40" s="2"/>
      <c r="ABC40" s="2"/>
      <c r="ABD40" s="2"/>
      <c r="ABE40" s="2"/>
      <c r="ABF40" s="2"/>
      <c r="ABG40" s="2"/>
      <c r="ABH40" s="2"/>
      <c r="ABI40" s="2"/>
      <c r="ABJ40" s="2"/>
      <c r="ABK40" s="2"/>
      <c r="ABL40" s="2"/>
      <c r="ABM40" s="2"/>
      <c r="ABN40" s="2"/>
      <c r="ABO40" s="2"/>
      <c r="ABP40" s="2"/>
      <c r="ABQ40" s="2"/>
      <c r="ABR40" s="2"/>
      <c r="ABS40" s="2"/>
      <c r="ABT40" s="2"/>
      <c r="ABU40" s="2"/>
      <c r="ABV40" s="2"/>
      <c r="ABW40" s="2"/>
      <c r="ABX40" s="2"/>
      <c r="ABY40" s="2"/>
      <c r="ABZ40" s="2"/>
      <c r="ACA40" s="2"/>
      <c r="ACB40" s="2"/>
      <c r="ACC40" s="2"/>
      <c r="ACD40" s="2"/>
      <c r="ACE40" s="2"/>
      <c r="ACF40" s="2"/>
      <c r="ACG40" s="2"/>
      <c r="ACH40" s="2"/>
      <c r="ACI40" s="2"/>
      <c r="ACJ40" s="2"/>
      <c r="ACK40" s="2"/>
      <c r="ACL40" s="2"/>
      <c r="ACM40" s="2"/>
      <c r="ACN40" s="2"/>
      <c r="ACO40" s="2"/>
      <c r="ACP40" s="2"/>
      <c r="ACQ40" s="2"/>
      <c r="ACR40" s="2"/>
      <c r="ACS40" s="2"/>
      <c r="ACT40" s="2"/>
      <c r="ACU40" s="2"/>
      <c r="ACV40" s="2"/>
      <c r="ACW40" s="2"/>
      <c r="ACX40" s="2"/>
      <c r="ACY40" s="2"/>
      <c r="ACZ40" s="2"/>
      <c r="ADA40" s="2"/>
      <c r="ADB40" s="2"/>
      <c r="ADC40" s="2"/>
      <c r="ADD40" s="2"/>
      <c r="ADE40" s="2"/>
      <c r="ADF40" s="2"/>
      <c r="ADG40" s="2"/>
      <c r="ADH40" s="2"/>
      <c r="ADI40" s="2"/>
      <c r="ADJ40" s="2"/>
      <c r="ADK40" s="2"/>
      <c r="ADL40" s="2"/>
      <c r="ADM40" s="2"/>
      <c r="ADN40" s="2"/>
      <c r="ADO40" s="2"/>
      <c r="ADP40" s="2"/>
      <c r="ADQ40" s="2"/>
      <c r="ADR40" s="2"/>
      <c r="ADS40" s="2"/>
      <c r="ADT40" s="2"/>
      <c r="ADU40" s="2"/>
      <c r="ADV40" s="2"/>
      <c r="ADW40" s="2"/>
      <c r="ADX40" s="2"/>
      <c r="ADY40" s="2"/>
      <c r="ADZ40" s="2"/>
      <c r="AEA40" s="2"/>
      <c r="AEB40" s="2"/>
      <c r="AEC40" s="2"/>
      <c r="AED40" s="2"/>
      <c r="AEE40" s="2"/>
      <c r="AEF40" s="2"/>
      <c r="AEG40" s="2"/>
      <c r="AEH40" s="2"/>
      <c r="AEI40" s="2"/>
      <c r="AEJ40" s="2"/>
      <c r="AEK40" s="2"/>
      <c r="AEL40" s="2"/>
      <c r="AEM40" s="2"/>
      <c r="AEN40" s="2"/>
      <c r="AEO40" s="2"/>
      <c r="AEP40" s="2"/>
      <c r="AEQ40" s="2"/>
      <c r="AER40" s="2"/>
      <c r="AES40" s="2"/>
      <c r="AET40" s="2"/>
      <c r="AEU40" s="2"/>
      <c r="AEV40" s="2"/>
      <c r="AEW40" s="2"/>
      <c r="AEX40" s="2"/>
      <c r="AEY40" s="2"/>
      <c r="AEZ40" s="2"/>
      <c r="AFA40" s="2"/>
      <c r="AFB40" s="2"/>
      <c r="AFC40" s="2"/>
      <c r="AFD40" s="2"/>
      <c r="AFE40" s="2"/>
      <c r="AFF40" s="2"/>
      <c r="AFG40" s="2"/>
      <c r="AFH40" s="2"/>
      <c r="AFI40" s="2"/>
      <c r="AFJ40" s="2"/>
      <c r="AFK40" s="2"/>
      <c r="AFL40" s="2"/>
      <c r="AFM40" s="2"/>
      <c r="AFN40" s="2"/>
      <c r="AFO40" s="2"/>
      <c r="AFP40" s="2"/>
      <c r="AFQ40" s="2"/>
      <c r="AFR40" s="2"/>
      <c r="AFS40" s="2"/>
      <c r="AFT40" s="2"/>
      <c r="AFU40" s="2"/>
      <c r="AFV40" s="2"/>
      <c r="AFW40" s="2"/>
      <c r="AFX40" s="2"/>
      <c r="AFY40" s="2"/>
      <c r="AFZ40" s="2"/>
      <c r="AGA40" s="2"/>
      <c r="AGB40" s="2"/>
      <c r="AGC40" s="2"/>
      <c r="AGD40" s="2"/>
      <c r="AGE40" s="2"/>
      <c r="AGF40" s="2"/>
      <c r="AGG40" s="2"/>
      <c r="AGH40" s="2"/>
      <c r="AGI40" s="2"/>
      <c r="AGJ40" s="2"/>
      <c r="AGK40" s="2"/>
      <c r="AGL40" s="2"/>
      <c r="AGM40" s="2"/>
      <c r="AGN40" s="2"/>
      <c r="AGO40" s="2"/>
      <c r="AGP40" s="2"/>
      <c r="AGQ40" s="2"/>
      <c r="AGR40" s="2"/>
      <c r="AGS40" s="2"/>
      <c r="AGT40" s="2"/>
      <c r="AGU40" s="2"/>
      <c r="AGV40" s="2"/>
      <c r="AGW40" s="2"/>
      <c r="AGX40" s="2"/>
      <c r="AGY40" s="2"/>
      <c r="AGZ40" s="2"/>
      <c r="AHA40" s="2"/>
      <c r="AHB40" s="2"/>
      <c r="AHC40" s="2"/>
      <c r="AHD40" s="2"/>
      <c r="AHE40" s="2"/>
      <c r="AHF40" s="2"/>
      <c r="AHG40" s="2"/>
      <c r="AHH40" s="2"/>
      <c r="AHI40" s="2"/>
      <c r="AHJ40" s="2"/>
      <c r="AHK40" s="2"/>
      <c r="AHL40" s="2"/>
      <c r="AHM40" s="2"/>
      <c r="AHN40" s="2"/>
      <c r="AHO40" s="2"/>
      <c r="AHP40" s="2"/>
      <c r="AHQ40" s="2"/>
      <c r="AHR40" s="2"/>
      <c r="AHS40" s="2"/>
      <c r="AHT40" s="2"/>
      <c r="AHU40" s="2"/>
      <c r="AHV40" s="2"/>
      <c r="AHW40" s="2"/>
      <c r="AHX40" s="2"/>
      <c r="AHY40" s="2"/>
      <c r="AHZ40" s="2"/>
      <c r="AIA40" s="2"/>
      <c r="AIB40" s="2"/>
      <c r="AIC40" s="2"/>
      <c r="AID40" s="2"/>
      <c r="AIE40" s="2"/>
      <c r="AIF40" s="2"/>
      <c r="AIG40" s="2"/>
      <c r="AIH40" s="2"/>
      <c r="AII40" s="2"/>
      <c r="AIJ40" s="2"/>
      <c r="AIK40" s="2"/>
      <c r="AIL40" s="2"/>
      <c r="AIM40" s="2"/>
      <c r="AIN40" s="2"/>
      <c r="AIO40" s="2"/>
      <c r="AIP40" s="2"/>
      <c r="AIQ40" s="2"/>
      <c r="AIR40" s="2"/>
      <c r="AIS40" s="2"/>
      <c r="AIT40" s="2"/>
      <c r="AIU40" s="2"/>
      <c r="AIV40" s="2"/>
      <c r="AIW40" s="2"/>
      <c r="AIX40" s="2"/>
      <c r="AIY40" s="2"/>
      <c r="AIZ40" s="2"/>
      <c r="AJA40" s="2"/>
      <c r="AJB40" s="2"/>
      <c r="AJC40" s="2"/>
      <c r="AJD40" s="2"/>
      <c r="AJE40" s="2"/>
      <c r="AJF40" s="2"/>
      <c r="AJG40" s="2"/>
      <c r="AJH40" s="2"/>
      <c r="AJI40" s="2"/>
      <c r="AJJ40" s="2"/>
      <c r="AJK40" s="2"/>
      <c r="AJL40" s="2"/>
      <c r="AJM40" s="2"/>
      <c r="AJN40" s="2"/>
      <c r="AJO40" s="2"/>
      <c r="AJP40" s="2"/>
      <c r="AJQ40" s="2"/>
      <c r="AJR40" s="2"/>
      <c r="AJS40" s="2"/>
      <c r="AJT40" s="2"/>
      <c r="AJU40" s="2"/>
      <c r="AJV40" s="2"/>
      <c r="AJW40" s="2"/>
      <c r="AJX40" s="2"/>
      <c r="AJY40" s="2"/>
      <c r="AJZ40" s="2"/>
      <c r="AKA40" s="4"/>
      <c r="AKB40" s="4"/>
      <c r="AKC40" s="4"/>
      <c r="AKD40" s="4"/>
      <c r="AKE40" s="4"/>
      <c r="AKF40" s="4"/>
      <c r="AKG40" s="4"/>
      <c r="AKH40" s="4"/>
      <c r="AKI40" s="4"/>
      <c r="AKJ40" s="4"/>
      <c r="AKK40" s="4"/>
      <c r="AKL40" s="4"/>
      <c r="AKM40" s="4"/>
      <c r="AKN40" s="4"/>
      <c r="AKO40" s="4"/>
      <c r="AKP40" s="4"/>
      <c r="AKQ40" s="4"/>
      <c r="AKR40" s="4"/>
      <c r="AKS40" s="4"/>
      <c r="AKT40" s="4"/>
      <c r="AKU40" s="4"/>
      <c r="AKV40" s="4"/>
      <c r="AKW40" s="4"/>
      <c r="AKX40" s="4"/>
      <c r="AKY40" s="4"/>
      <c r="AKZ40" s="4"/>
      <c r="ALA40" s="4"/>
      <c r="ALB40" s="4"/>
      <c r="ALC40" s="4"/>
      <c r="ALD40" s="4"/>
      <c r="ALE40" s="4"/>
      <c r="ALF40" s="4"/>
      <c r="ALG40" s="4"/>
      <c r="ALH40" s="4"/>
      <c r="ALI40" s="4"/>
      <c r="ALJ40" s="4"/>
      <c r="ALK40" s="4"/>
      <c r="ALL40" s="4"/>
      <c r="ALM40" s="4"/>
      <c r="ALN40" s="4"/>
      <c r="ALO40" s="4"/>
      <c r="ALP40" s="4"/>
      <c r="ALQ40" s="4"/>
      <c r="ALR40" s="4"/>
      <c r="ALS40" s="4"/>
      <c r="ALT40" s="4"/>
      <c r="ALU40" s="4"/>
      <c r="ALV40" s="4"/>
      <c r="ALW40" s="4"/>
      <c r="ALX40" s="4"/>
      <c r="ALY40" s="4"/>
      <c r="ALZ40" s="4"/>
      <c r="AMA40" s="4"/>
      <c r="AMB40" s="4"/>
    </row>
    <row r="41" spans="1:1016" s="3" customFormat="1" ht="24.75" customHeight="1" x14ac:dyDescent="0.25">
      <c r="A41" s="21"/>
      <c r="B41" s="22"/>
      <c r="C41" s="21"/>
      <c r="D41" s="21"/>
      <c r="E41" s="23"/>
      <c r="F41" s="21"/>
      <c r="G41" s="24"/>
      <c r="H41" s="25">
        <v>43</v>
      </c>
      <c r="I41" s="25">
        <v>50</v>
      </c>
      <c r="J41" s="25">
        <v>66</v>
      </c>
      <c r="K41" s="25">
        <v>19</v>
      </c>
      <c r="L41" s="25" t="s">
        <v>57</v>
      </c>
      <c r="M41" s="25">
        <v>29</v>
      </c>
      <c r="N41" s="25">
        <v>28</v>
      </c>
      <c r="O41" s="25">
        <v>29</v>
      </c>
      <c r="P41" s="25">
        <v>75</v>
      </c>
      <c r="Q41" s="30" t="s">
        <v>124</v>
      </c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  <c r="AAA41" s="2"/>
      <c r="AAB41" s="2"/>
      <c r="AAC41" s="2"/>
      <c r="AAD41" s="2"/>
      <c r="AAE41" s="2"/>
      <c r="AAF41" s="2"/>
      <c r="AAG41" s="2"/>
      <c r="AAH41" s="2"/>
      <c r="AAI41" s="2"/>
      <c r="AAJ41" s="2"/>
      <c r="AAK41" s="2"/>
      <c r="AAL41" s="2"/>
      <c r="AAM41" s="2"/>
      <c r="AAN41" s="2"/>
      <c r="AAO41" s="2"/>
      <c r="AAP41" s="2"/>
      <c r="AAQ41" s="2"/>
      <c r="AAR41" s="2"/>
      <c r="AAS41" s="2"/>
      <c r="AAT41" s="2"/>
      <c r="AAU41" s="2"/>
      <c r="AAV41" s="2"/>
      <c r="AAW41" s="2"/>
      <c r="AAX41" s="2"/>
      <c r="AAY41" s="2"/>
      <c r="AAZ41" s="2"/>
      <c r="ABA41" s="2"/>
      <c r="ABB41" s="2"/>
      <c r="ABC41" s="2"/>
      <c r="ABD41" s="2"/>
      <c r="ABE41" s="2"/>
      <c r="ABF41" s="2"/>
      <c r="ABG41" s="2"/>
      <c r="ABH41" s="2"/>
      <c r="ABI41" s="2"/>
      <c r="ABJ41" s="2"/>
      <c r="ABK41" s="2"/>
      <c r="ABL41" s="2"/>
      <c r="ABM41" s="2"/>
      <c r="ABN41" s="2"/>
      <c r="ABO41" s="2"/>
      <c r="ABP41" s="2"/>
      <c r="ABQ41" s="2"/>
      <c r="ABR41" s="2"/>
      <c r="ABS41" s="2"/>
      <c r="ABT41" s="2"/>
      <c r="ABU41" s="2"/>
      <c r="ABV41" s="2"/>
      <c r="ABW41" s="2"/>
      <c r="ABX41" s="2"/>
      <c r="ABY41" s="2"/>
      <c r="ABZ41" s="2"/>
      <c r="ACA41" s="2"/>
      <c r="ACB41" s="2"/>
      <c r="ACC41" s="2"/>
      <c r="ACD41" s="2"/>
      <c r="ACE41" s="2"/>
      <c r="ACF41" s="2"/>
      <c r="ACG41" s="2"/>
      <c r="ACH41" s="2"/>
      <c r="ACI41" s="2"/>
      <c r="ACJ41" s="2"/>
      <c r="ACK41" s="2"/>
      <c r="ACL41" s="2"/>
      <c r="ACM41" s="2"/>
      <c r="ACN41" s="2"/>
      <c r="ACO41" s="2"/>
      <c r="ACP41" s="2"/>
      <c r="ACQ41" s="2"/>
      <c r="ACR41" s="2"/>
      <c r="ACS41" s="2"/>
      <c r="ACT41" s="2"/>
      <c r="ACU41" s="2"/>
      <c r="ACV41" s="2"/>
      <c r="ACW41" s="2"/>
      <c r="ACX41" s="2"/>
      <c r="ACY41" s="2"/>
      <c r="ACZ41" s="2"/>
      <c r="ADA41" s="2"/>
      <c r="ADB41" s="2"/>
      <c r="ADC41" s="2"/>
      <c r="ADD41" s="2"/>
      <c r="ADE41" s="2"/>
      <c r="ADF41" s="2"/>
      <c r="ADG41" s="2"/>
      <c r="ADH41" s="2"/>
      <c r="ADI41" s="2"/>
      <c r="ADJ41" s="2"/>
      <c r="ADK41" s="2"/>
      <c r="ADL41" s="2"/>
      <c r="ADM41" s="2"/>
      <c r="ADN41" s="2"/>
      <c r="ADO41" s="2"/>
      <c r="ADP41" s="2"/>
      <c r="ADQ41" s="2"/>
      <c r="ADR41" s="2"/>
      <c r="ADS41" s="2"/>
      <c r="ADT41" s="2"/>
      <c r="ADU41" s="2"/>
      <c r="ADV41" s="2"/>
      <c r="ADW41" s="2"/>
      <c r="ADX41" s="2"/>
      <c r="ADY41" s="2"/>
      <c r="ADZ41" s="2"/>
      <c r="AEA41" s="2"/>
      <c r="AEB41" s="2"/>
      <c r="AEC41" s="2"/>
      <c r="AED41" s="2"/>
      <c r="AEE41" s="2"/>
      <c r="AEF41" s="2"/>
      <c r="AEG41" s="2"/>
      <c r="AEH41" s="2"/>
      <c r="AEI41" s="2"/>
      <c r="AEJ41" s="2"/>
      <c r="AEK41" s="2"/>
      <c r="AEL41" s="2"/>
      <c r="AEM41" s="2"/>
      <c r="AEN41" s="2"/>
      <c r="AEO41" s="2"/>
      <c r="AEP41" s="2"/>
      <c r="AEQ41" s="2"/>
      <c r="AER41" s="2"/>
      <c r="AES41" s="2"/>
      <c r="AET41" s="2"/>
      <c r="AEU41" s="2"/>
      <c r="AEV41" s="2"/>
      <c r="AEW41" s="2"/>
      <c r="AEX41" s="2"/>
      <c r="AEY41" s="2"/>
      <c r="AEZ41" s="2"/>
      <c r="AFA41" s="2"/>
      <c r="AFB41" s="2"/>
      <c r="AFC41" s="2"/>
      <c r="AFD41" s="2"/>
      <c r="AFE41" s="2"/>
      <c r="AFF41" s="2"/>
      <c r="AFG41" s="2"/>
      <c r="AFH41" s="2"/>
      <c r="AFI41" s="2"/>
      <c r="AFJ41" s="2"/>
      <c r="AFK41" s="2"/>
      <c r="AFL41" s="2"/>
      <c r="AFM41" s="2"/>
      <c r="AFN41" s="2"/>
      <c r="AFO41" s="2"/>
      <c r="AFP41" s="2"/>
      <c r="AFQ41" s="2"/>
      <c r="AFR41" s="2"/>
      <c r="AFS41" s="2"/>
      <c r="AFT41" s="2"/>
      <c r="AFU41" s="2"/>
      <c r="AFV41" s="2"/>
      <c r="AFW41" s="2"/>
      <c r="AFX41" s="2"/>
      <c r="AFY41" s="2"/>
      <c r="AFZ41" s="2"/>
      <c r="AGA41" s="2"/>
      <c r="AGB41" s="2"/>
      <c r="AGC41" s="2"/>
      <c r="AGD41" s="2"/>
      <c r="AGE41" s="2"/>
      <c r="AGF41" s="2"/>
      <c r="AGG41" s="2"/>
      <c r="AGH41" s="2"/>
      <c r="AGI41" s="2"/>
      <c r="AGJ41" s="2"/>
      <c r="AGK41" s="2"/>
      <c r="AGL41" s="2"/>
      <c r="AGM41" s="2"/>
      <c r="AGN41" s="2"/>
      <c r="AGO41" s="2"/>
      <c r="AGP41" s="2"/>
      <c r="AGQ41" s="2"/>
      <c r="AGR41" s="2"/>
      <c r="AGS41" s="2"/>
      <c r="AGT41" s="2"/>
      <c r="AGU41" s="2"/>
      <c r="AGV41" s="2"/>
      <c r="AGW41" s="2"/>
      <c r="AGX41" s="2"/>
      <c r="AGY41" s="2"/>
      <c r="AGZ41" s="2"/>
      <c r="AHA41" s="2"/>
      <c r="AHB41" s="2"/>
      <c r="AHC41" s="2"/>
      <c r="AHD41" s="2"/>
      <c r="AHE41" s="2"/>
      <c r="AHF41" s="2"/>
      <c r="AHG41" s="2"/>
      <c r="AHH41" s="2"/>
      <c r="AHI41" s="2"/>
      <c r="AHJ41" s="2"/>
      <c r="AHK41" s="2"/>
      <c r="AHL41" s="2"/>
      <c r="AHM41" s="2"/>
      <c r="AHN41" s="2"/>
      <c r="AHO41" s="2"/>
      <c r="AHP41" s="2"/>
      <c r="AHQ41" s="2"/>
      <c r="AHR41" s="2"/>
      <c r="AHS41" s="2"/>
      <c r="AHT41" s="2"/>
      <c r="AHU41" s="2"/>
      <c r="AHV41" s="2"/>
      <c r="AHW41" s="2"/>
      <c r="AHX41" s="2"/>
      <c r="AHY41" s="2"/>
      <c r="AHZ41" s="2"/>
      <c r="AIA41" s="2"/>
      <c r="AIB41" s="2"/>
      <c r="AIC41" s="2"/>
      <c r="AID41" s="2"/>
      <c r="AIE41" s="2"/>
      <c r="AIF41" s="2"/>
      <c r="AIG41" s="2"/>
      <c r="AIH41" s="2"/>
      <c r="AII41" s="2"/>
      <c r="AIJ41" s="2"/>
      <c r="AIK41" s="2"/>
      <c r="AIL41" s="2"/>
      <c r="AIM41" s="2"/>
      <c r="AIN41" s="2"/>
      <c r="AIO41" s="2"/>
      <c r="AIP41" s="2"/>
      <c r="AIQ41" s="2"/>
      <c r="AIR41" s="2"/>
      <c r="AIS41" s="2"/>
      <c r="AIT41" s="2"/>
      <c r="AIU41" s="2"/>
      <c r="AIV41" s="2"/>
      <c r="AIW41" s="2"/>
      <c r="AIX41" s="2"/>
      <c r="AIY41" s="2"/>
      <c r="AIZ41" s="2"/>
      <c r="AJA41" s="2"/>
      <c r="AJB41" s="2"/>
      <c r="AJC41" s="2"/>
      <c r="AJD41" s="2"/>
      <c r="AJE41" s="2"/>
      <c r="AJF41" s="2"/>
      <c r="AJG41" s="2"/>
      <c r="AJH41" s="2"/>
      <c r="AJI41" s="2"/>
      <c r="AJJ41" s="2"/>
      <c r="AJK41" s="2"/>
      <c r="AJL41" s="2"/>
      <c r="AJM41" s="2"/>
      <c r="AJN41" s="2"/>
      <c r="AJO41" s="2"/>
      <c r="AJP41" s="2"/>
      <c r="AJQ41" s="2"/>
      <c r="AJR41" s="2"/>
      <c r="AJS41" s="2"/>
      <c r="AJT41" s="2"/>
      <c r="AJU41" s="2"/>
      <c r="AJV41" s="2"/>
      <c r="AJW41" s="2"/>
      <c r="AJX41" s="2"/>
      <c r="AJY41" s="2"/>
      <c r="AJZ41" s="2"/>
      <c r="AKA41" s="4"/>
      <c r="AKB41" s="4"/>
      <c r="AKC41" s="4"/>
      <c r="AKD41" s="4"/>
      <c r="AKE41" s="4"/>
      <c r="AKF41" s="4"/>
      <c r="AKG41" s="4"/>
      <c r="AKH41" s="4"/>
      <c r="AKI41" s="4"/>
      <c r="AKJ41" s="4"/>
      <c r="AKK41" s="4"/>
      <c r="AKL41" s="4"/>
      <c r="AKM41" s="4"/>
      <c r="AKN41" s="4"/>
      <c r="AKO41" s="4"/>
      <c r="AKP41" s="4"/>
      <c r="AKQ41" s="4"/>
      <c r="AKR41" s="4"/>
      <c r="AKS41" s="4"/>
      <c r="AKT41" s="4"/>
      <c r="AKU41" s="4"/>
      <c r="AKV41" s="4"/>
      <c r="AKW41" s="4"/>
      <c r="AKX41" s="4"/>
      <c r="AKY41" s="4"/>
      <c r="AKZ41" s="4"/>
      <c r="ALA41" s="4"/>
      <c r="ALB41" s="4"/>
      <c r="ALC41" s="4"/>
      <c r="ALD41" s="4"/>
      <c r="ALE41" s="4"/>
      <c r="ALF41" s="4"/>
      <c r="ALG41" s="4"/>
      <c r="ALH41" s="4"/>
      <c r="ALI41" s="4"/>
      <c r="ALJ41" s="4"/>
      <c r="ALK41" s="4"/>
      <c r="ALL41" s="4"/>
      <c r="ALM41" s="4"/>
      <c r="ALN41" s="4"/>
      <c r="ALO41" s="4"/>
      <c r="ALP41" s="4"/>
      <c r="ALQ41" s="4"/>
      <c r="ALR41" s="4"/>
      <c r="ALS41" s="4"/>
      <c r="ALT41" s="4"/>
      <c r="ALU41" s="4"/>
      <c r="ALV41" s="4"/>
      <c r="ALW41" s="4"/>
      <c r="ALX41" s="4"/>
      <c r="ALY41" s="4"/>
      <c r="ALZ41" s="4"/>
      <c r="AMA41" s="4"/>
      <c r="AMB41" s="4"/>
    </row>
    <row r="42" spans="1:1016" s="3" customFormat="1" ht="24.75" customHeight="1" x14ac:dyDescent="0.25">
      <c r="A42" s="18" t="s">
        <v>87</v>
      </c>
      <c r="B42" s="19" t="s">
        <v>86</v>
      </c>
      <c r="C42" s="19" t="s">
        <v>73</v>
      </c>
      <c r="D42" s="20">
        <v>40</v>
      </c>
      <c r="E42" s="20">
        <v>55</v>
      </c>
      <c r="F42" s="20" t="s">
        <v>46</v>
      </c>
      <c r="G42" s="20" t="s">
        <v>31</v>
      </c>
      <c r="H42" s="13">
        <v>45</v>
      </c>
      <c r="I42" s="13">
        <v>24</v>
      </c>
      <c r="J42" s="13">
        <v>16</v>
      </c>
      <c r="K42" s="13">
        <v>26</v>
      </c>
      <c r="L42" s="13">
        <v>24</v>
      </c>
      <c r="M42" s="13">
        <v>26</v>
      </c>
      <c r="N42" s="13">
        <v>70</v>
      </c>
      <c r="O42" s="13">
        <v>41</v>
      </c>
      <c r="P42" s="1"/>
      <c r="Q42" s="29" t="s">
        <v>121</v>
      </c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  <c r="AAA42" s="2"/>
      <c r="AAB42" s="2"/>
      <c r="AAC42" s="2"/>
      <c r="AAD42" s="2"/>
      <c r="AAE42" s="2"/>
      <c r="AAF42" s="2"/>
      <c r="AAG42" s="2"/>
      <c r="AAH42" s="2"/>
      <c r="AAI42" s="2"/>
      <c r="AAJ42" s="2"/>
      <c r="AAK42" s="2"/>
      <c r="AAL42" s="2"/>
      <c r="AAM42" s="2"/>
      <c r="AAN42" s="2"/>
      <c r="AAO42" s="2"/>
      <c r="AAP42" s="2"/>
      <c r="AAQ42" s="2"/>
      <c r="AAR42" s="2"/>
      <c r="AAS42" s="2"/>
      <c r="AAT42" s="2"/>
      <c r="AAU42" s="2"/>
      <c r="AAV42" s="2"/>
      <c r="AAW42" s="2"/>
      <c r="AAX42" s="2"/>
      <c r="AAY42" s="2"/>
      <c r="AAZ42" s="2"/>
      <c r="ABA42" s="2"/>
      <c r="ABB42" s="2"/>
      <c r="ABC42" s="2"/>
      <c r="ABD42" s="2"/>
      <c r="ABE42" s="2"/>
      <c r="ABF42" s="2"/>
      <c r="ABG42" s="2"/>
      <c r="ABH42" s="2"/>
      <c r="ABI42" s="2"/>
      <c r="ABJ42" s="2"/>
      <c r="ABK42" s="2"/>
      <c r="ABL42" s="2"/>
      <c r="ABM42" s="2"/>
      <c r="ABN42" s="2"/>
      <c r="ABO42" s="2"/>
      <c r="ABP42" s="2"/>
      <c r="ABQ42" s="2"/>
      <c r="ABR42" s="2"/>
      <c r="ABS42" s="2"/>
      <c r="ABT42" s="2"/>
      <c r="ABU42" s="2"/>
      <c r="ABV42" s="2"/>
      <c r="ABW42" s="2"/>
      <c r="ABX42" s="2"/>
      <c r="ABY42" s="2"/>
      <c r="ABZ42" s="2"/>
      <c r="ACA42" s="2"/>
      <c r="ACB42" s="2"/>
      <c r="ACC42" s="2"/>
      <c r="ACD42" s="2"/>
      <c r="ACE42" s="2"/>
      <c r="ACF42" s="2"/>
      <c r="ACG42" s="2"/>
      <c r="ACH42" s="2"/>
      <c r="ACI42" s="2"/>
      <c r="ACJ42" s="2"/>
      <c r="ACK42" s="2"/>
      <c r="ACL42" s="2"/>
      <c r="ACM42" s="2"/>
      <c r="ACN42" s="2"/>
      <c r="ACO42" s="2"/>
      <c r="ACP42" s="2"/>
      <c r="ACQ42" s="2"/>
      <c r="ACR42" s="2"/>
      <c r="ACS42" s="2"/>
      <c r="ACT42" s="2"/>
      <c r="ACU42" s="2"/>
      <c r="ACV42" s="2"/>
      <c r="ACW42" s="2"/>
      <c r="ACX42" s="2"/>
      <c r="ACY42" s="2"/>
      <c r="ACZ42" s="2"/>
      <c r="ADA42" s="2"/>
      <c r="ADB42" s="2"/>
      <c r="ADC42" s="2"/>
      <c r="ADD42" s="2"/>
      <c r="ADE42" s="2"/>
      <c r="ADF42" s="2"/>
      <c r="ADG42" s="2"/>
      <c r="ADH42" s="2"/>
      <c r="ADI42" s="2"/>
      <c r="ADJ42" s="2"/>
      <c r="ADK42" s="2"/>
      <c r="ADL42" s="2"/>
      <c r="ADM42" s="2"/>
      <c r="ADN42" s="2"/>
      <c r="ADO42" s="2"/>
      <c r="ADP42" s="2"/>
      <c r="ADQ42" s="2"/>
      <c r="ADR42" s="2"/>
      <c r="ADS42" s="2"/>
      <c r="ADT42" s="2"/>
      <c r="ADU42" s="2"/>
      <c r="ADV42" s="2"/>
      <c r="ADW42" s="2"/>
      <c r="ADX42" s="2"/>
      <c r="ADY42" s="2"/>
      <c r="ADZ42" s="2"/>
      <c r="AEA42" s="2"/>
      <c r="AEB42" s="2"/>
      <c r="AEC42" s="2"/>
      <c r="AED42" s="2"/>
      <c r="AEE42" s="2"/>
      <c r="AEF42" s="2"/>
      <c r="AEG42" s="2"/>
      <c r="AEH42" s="2"/>
      <c r="AEI42" s="2"/>
      <c r="AEJ42" s="2"/>
      <c r="AEK42" s="2"/>
      <c r="AEL42" s="2"/>
      <c r="AEM42" s="2"/>
      <c r="AEN42" s="2"/>
      <c r="AEO42" s="2"/>
      <c r="AEP42" s="2"/>
      <c r="AEQ42" s="2"/>
      <c r="AER42" s="2"/>
      <c r="AES42" s="2"/>
      <c r="AET42" s="2"/>
      <c r="AEU42" s="2"/>
      <c r="AEV42" s="2"/>
      <c r="AEW42" s="2"/>
      <c r="AEX42" s="2"/>
      <c r="AEY42" s="2"/>
      <c r="AEZ42" s="2"/>
      <c r="AFA42" s="2"/>
      <c r="AFB42" s="2"/>
      <c r="AFC42" s="2"/>
      <c r="AFD42" s="2"/>
      <c r="AFE42" s="2"/>
      <c r="AFF42" s="2"/>
      <c r="AFG42" s="2"/>
      <c r="AFH42" s="2"/>
      <c r="AFI42" s="2"/>
      <c r="AFJ42" s="2"/>
      <c r="AFK42" s="2"/>
      <c r="AFL42" s="2"/>
      <c r="AFM42" s="2"/>
      <c r="AFN42" s="2"/>
      <c r="AFO42" s="2"/>
      <c r="AFP42" s="2"/>
      <c r="AFQ42" s="2"/>
      <c r="AFR42" s="2"/>
      <c r="AFS42" s="2"/>
      <c r="AFT42" s="2"/>
      <c r="AFU42" s="2"/>
      <c r="AFV42" s="2"/>
      <c r="AFW42" s="2"/>
      <c r="AFX42" s="2"/>
      <c r="AFY42" s="2"/>
      <c r="AFZ42" s="2"/>
      <c r="AGA42" s="2"/>
      <c r="AGB42" s="2"/>
      <c r="AGC42" s="2"/>
      <c r="AGD42" s="2"/>
      <c r="AGE42" s="2"/>
      <c r="AGF42" s="2"/>
      <c r="AGG42" s="2"/>
      <c r="AGH42" s="2"/>
      <c r="AGI42" s="2"/>
      <c r="AGJ42" s="2"/>
      <c r="AGK42" s="2"/>
      <c r="AGL42" s="2"/>
      <c r="AGM42" s="2"/>
      <c r="AGN42" s="2"/>
      <c r="AGO42" s="2"/>
      <c r="AGP42" s="2"/>
      <c r="AGQ42" s="2"/>
      <c r="AGR42" s="2"/>
      <c r="AGS42" s="2"/>
      <c r="AGT42" s="2"/>
      <c r="AGU42" s="2"/>
      <c r="AGV42" s="2"/>
      <c r="AGW42" s="2"/>
      <c r="AGX42" s="2"/>
      <c r="AGY42" s="2"/>
      <c r="AGZ42" s="2"/>
      <c r="AHA42" s="2"/>
      <c r="AHB42" s="2"/>
      <c r="AHC42" s="2"/>
      <c r="AHD42" s="2"/>
      <c r="AHE42" s="2"/>
      <c r="AHF42" s="2"/>
      <c r="AHG42" s="2"/>
      <c r="AHH42" s="2"/>
      <c r="AHI42" s="2"/>
      <c r="AHJ42" s="2"/>
      <c r="AHK42" s="2"/>
      <c r="AHL42" s="2"/>
      <c r="AHM42" s="2"/>
      <c r="AHN42" s="2"/>
      <c r="AHO42" s="2"/>
      <c r="AHP42" s="2"/>
      <c r="AHQ42" s="2"/>
      <c r="AHR42" s="2"/>
      <c r="AHS42" s="2"/>
      <c r="AHT42" s="2"/>
      <c r="AHU42" s="2"/>
      <c r="AHV42" s="2"/>
      <c r="AHW42" s="2"/>
      <c r="AHX42" s="2"/>
      <c r="AHY42" s="2"/>
      <c r="AHZ42" s="2"/>
      <c r="AIA42" s="2"/>
      <c r="AIB42" s="2"/>
      <c r="AIC42" s="2"/>
      <c r="AID42" s="2"/>
      <c r="AIE42" s="2"/>
      <c r="AIF42" s="2"/>
      <c r="AIG42" s="2"/>
      <c r="AIH42" s="2"/>
      <c r="AII42" s="2"/>
      <c r="AIJ42" s="2"/>
      <c r="AIK42" s="2"/>
      <c r="AIL42" s="2"/>
      <c r="AIM42" s="2"/>
      <c r="AIN42" s="2"/>
      <c r="AIO42" s="2"/>
      <c r="AIP42" s="2"/>
      <c r="AIQ42" s="2"/>
      <c r="AIR42" s="2"/>
      <c r="AIS42" s="2"/>
      <c r="AIT42" s="2"/>
      <c r="AIU42" s="2"/>
      <c r="AIV42" s="2"/>
      <c r="AIW42" s="2"/>
      <c r="AIX42" s="2"/>
      <c r="AIY42" s="2"/>
      <c r="AIZ42" s="2"/>
      <c r="AJA42" s="2"/>
      <c r="AJB42" s="2"/>
      <c r="AJC42" s="2"/>
      <c r="AJD42" s="2"/>
      <c r="AJE42" s="2"/>
      <c r="AJF42" s="2"/>
      <c r="AJG42" s="2"/>
      <c r="AJH42" s="2"/>
      <c r="AJI42" s="2"/>
      <c r="AJJ42" s="2"/>
      <c r="AJK42" s="2"/>
      <c r="AJL42" s="2"/>
      <c r="AJM42" s="2"/>
      <c r="AJN42" s="2"/>
      <c r="AJO42" s="2"/>
      <c r="AJP42" s="2"/>
      <c r="AJQ42" s="2"/>
      <c r="AJR42" s="2"/>
      <c r="AJS42" s="2"/>
      <c r="AJT42" s="2"/>
      <c r="AJU42" s="2"/>
      <c r="AJV42" s="2"/>
      <c r="AJW42" s="2"/>
      <c r="AJX42" s="2"/>
      <c r="AJY42" s="2"/>
      <c r="AJZ42" s="2"/>
      <c r="AKA42" s="4"/>
      <c r="AKB42" s="4"/>
      <c r="AKC42" s="4"/>
      <c r="AKD42" s="4"/>
      <c r="AKE42" s="4"/>
      <c r="AKF42" s="4"/>
      <c r="AKG42" s="4"/>
      <c r="AKH42" s="4"/>
      <c r="AKI42" s="4"/>
      <c r="AKJ42" s="4"/>
      <c r="AKK42" s="4"/>
      <c r="AKL42" s="4"/>
      <c r="AKM42" s="4"/>
      <c r="AKN42" s="4"/>
      <c r="AKO42" s="4"/>
      <c r="AKP42" s="4"/>
      <c r="AKQ42" s="4"/>
      <c r="AKR42" s="4"/>
      <c r="AKS42" s="4"/>
      <c r="AKT42" s="4"/>
      <c r="AKU42" s="4"/>
      <c r="AKV42" s="4"/>
      <c r="AKW42" s="4"/>
      <c r="AKX42" s="4"/>
      <c r="AKY42" s="4"/>
      <c r="AKZ42" s="4"/>
      <c r="ALA42" s="4"/>
      <c r="ALB42" s="4"/>
      <c r="ALC42" s="4"/>
      <c r="ALD42" s="4"/>
      <c r="ALE42" s="4"/>
      <c r="ALF42" s="4"/>
      <c r="ALG42" s="4"/>
      <c r="ALH42" s="4"/>
      <c r="ALI42" s="4"/>
      <c r="ALJ42" s="4"/>
      <c r="ALK42" s="4"/>
      <c r="ALL42" s="4"/>
      <c r="ALM42" s="4"/>
      <c r="ALN42" s="4"/>
      <c r="ALO42" s="4"/>
      <c r="ALP42" s="4"/>
      <c r="ALQ42" s="4"/>
      <c r="ALR42" s="4"/>
      <c r="ALS42" s="4"/>
      <c r="ALT42" s="4"/>
      <c r="ALU42" s="4"/>
      <c r="ALV42" s="4"/>
      <c r="ALW42" s="4"/>
      <c r="ALX42" s="4"/>
      <c r="ALY42" s="4"/>
      <c r="ALZ42" s="4"/>
      <c r="AMA42" s="4"/>
      <c r="AMB42" s="4"/>
    </row>
    <row r="43" spans="1:1016" s="3" customFormat="1" ht="24.75" customHeight="1" x14ac:dyDescent="0.25">
      <c r="A43" s="18"/>
      <c r="B43" s="19"/>
      <c r="C43" s="19"/>
      <c r="D43" s="20"/>
      <c r="E43" s="20"/>
      <c r="F43" s="20"/>
      <c r="G43" s="20"/>
      <c r="H43" s="13">
        <v>80</v>
      </c>
      <c r="I43" s="13">
        <v>96</v>
      </c>
      <c r="J43" s="13">
        <v>62</v>
      </c>
      <c r="K43" s="13">
        <v>30</v>
      </c>
      <c r="L43" s="13">
        <v>23</v>
      </c>
      <c r="M43" s="13">
        <v>19</v>
      </c>
      <c r="N43" s="13">
        <v>93</v>
      </c>
      <c r="O43" s="1"/>
      <c r="P43" s="1"/>
      <c r="Q43" s="29" t="s">
        <v>122</v>
      </c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  <c r="AAA43" s="2"/>
      <c r="AAB43" s="2"/>
      <c r="AAC43" s="2"/>
      <c r="AAD43" s="2"/>
      <c r="AAE43" s="2"/>
      <c r="AAF43" s="2"/>
      <c r="AAG43" s="2"/>
      <c r="AAH43" s="2"/>
      <c r="AAI43" s="2"/>
      <c r="AAJ43" s="2"/>
      <c r="AAK43" s="2"/>
      <c r="AAL43" s="2"/>
      <c r="AAM43" s="2"/>
      <c r="AAN43" s="2"/>
      <c r="AAO43" s="2"/>
      <c r="AAP43" s="2"/>
      <c r="AAQ43" s="2"/>
      <c r="AAR43" s="2"/>
      <c r="AAS43" s="2"/>
      <c r="AAT43" s="2"/>
      <c r="AAU43" s="2"/>
      <c r="AAV43" s="2"/>
      <c r="AAW43" s="2"/>
      <c r="AAX43" s="2"/>
      <c r="AAY43" s="2"/>
      <c r="AAZ43" s="2"/>
      <c r="ABA43" s="2"/>
      <c r="ABB43" s="2"/>
      <c r="ABC43" s="2"/>
      <c r="ABD43" s="2"/>
      <c r="ABE43" s="2"/>
      <c r="ABF43" s="2"/>
      <c r="ABG43" s="2"/>
      <c r="ABH43" s="2"/>
      <c r="ABI43" s="2"/>
      <c r="ABJ43" s="2"/>
      <c r="ABK43" s="2"/>
      <c r="ABL43" s="2"/>
      <c r="ABM43" s="2"/>
      <c r="ABN43" s="2"/>
      <c r="ABO43" s="2"/>
      <c r="ABP43" s="2"/>
      <c r="ABQ43" s="2"/>
      <c r="ABR43" s="2"/>
      <c r="ABS43" s="2"/>
      <c r="ABT43" s="2"/>
      <c r="ABU43" s="2"/>
      <c r="ABV43" s="2"/>
      <c r="ABW43" s="2"/>
      <c r="ABX43" s="2"/>
      <c r="ABY43" s="2"/>
      <c r="ABZ43" s="2"/>
      <c r="ACA43" s="2"/>
      <c r="ACB43" s="2"/>
      <c r="ACC43" s="2"/>
      <c r="ACD43" s="2"/>
      <c r="ACE43" s="2"/>
      <c r="ACF43" s="2"/>
      <c r="ACG43" s="2"/>
      <c r="ACH43" s="2"/>
      <c r="ACI43" s="2"/>
      <c r="ACJ43" s="2"/>
      <c r="ACK43" s="2"/>
      <c r="ACL43" s="2"/>
      <c r="ACM43" s="2"/>
      <c r="ACN43" s="2"/>
      <c r="ACO43" s="2"/>
      <c r="ACP43" s="2"/>
      <c r="ACQ43" s="2"/>
      <c r="ACR43" s="2"/>
      <c r="ACS43" s="2"/>
      <c r="ACT43" s="2"/>
      <c r="ACU43" s="2"/>
      <c r="ACV43" s="2"/>
      <c r="ACW43" s="2"/>
      <c r="ACX43" s="2"/>
      <c r="ACY43" s="2"/>
      <c r="ACZ43" s="2"/>
      <c r="ADA43" s="2"/>
      <c r="ADB43" s="2"/>
      <c r="ADC43" s="2"/>
      <c r="ADD43" s="2"/>
      <c r="ADE43" s="2"/>
      <c r="ADF43" s="2"/>
      <c r="ADG43" s="2"/>
      <c r="ADH43" s="2"/>
      <c r="ADI43" s="2"/>
      <c r="ADJ43" s="2"/>
      <c r="ADK43" s="2"/>
      <c r="ADL43" s="2"/>
      <c r="ADM43" s="2"/>
      <c r="ADN43" s="2"/>
      <c r="ADO43" s="2"/>
      <c r="ADP43" s="2"/>
      <c r="ADQ43" s="2"/>
      <c r="ADR43" s="2"/>
      <c r="ADS43" s="2"/>
      <c r="ADT43" s="2"/>
      <c r="ADU43" s="2"/>
      <c r="ADV43" s="2"/>
      <c r="ADW43" s="2"/>
      <c r="ADX43" s="2"/>
      <c r="ADY43" s="2"/>
      <c r="ADZ43" s="2"/>
      <c r="AEA43" s="2"/>
      <c r="AEB43" s="2"/>
      <c r="AEC43" s="2"/>
      <c r="AED43" s="2"/>
      <c r="AEE43" s="2"/>
      <c r="AEF43" s="2"/>
      <c r="AEG43" s="2"/>
      <c r="AEH43" s="2"/>
      <c r="AEI43" s="2"/>
      <c r="AEJ43" s="2"/>
      <c r="AEK43" s="2"/>
      <c r="AEL43" s="2"/>
      <c r="AEM43" s="2"/>
      <c r="AEN43" s="2"/>
      <c r="AEO43" s="2"/>
      <c r="AEP43" s="2"/>
      <c r="AEQ43" s="2"/>
      <c r="AER43" s="2"/>
      <c r="AES43" s="2"/>
      <c r="AET43" s="2"/>
      <c r="AEU43" s="2"/>
      <c r="AEV43" s="2"/>
      <c r="AEW43" s="2"/>
      <c r="AEX43" s="2"/>
      <c r="AEY43" s="2"/>
      <c r="AEZ43" s="2"/>
      <c r="AFA43" s="2"/>
      <c r="AFB43" s="2"/>
      <c r="AFC43" s="2"/>
      <c r="AFD43" s="2"/>
      <c r="AFE43" s="2"/>
      <c r="AFF43" s="2"/>
      <c r="AFG43" s="2"/>
      <c r="AFH43" s="2"/>
      <c r="AFI43" s="2"/>
      <c r="AFJ43" s="2"/>
      <c r="AFK43" s="2"/>
      <c r="AFL43" s="2"/>
      <c r="AFM43" s="2"/>
      <c r="AFN43" s="2"/>
      <c r="AFO43" s="2"/>
      <c r="AFP43" s="2"/>
      <c r="AFQ43" s="2"/>
      <c r="AFR43" s="2"/>
      <c r="AFS43" s="2"/>
      <c r="AFT43" s="2"/>
      <c r="AFU43" s="2"/>
      <c r="AFV43" s="2"/>
      <c r="AFW43" s="2"/>
      <c r="AFX43" s="2"/>
      <c r="AFY43" s="2"/>
      <c r="AFZ43" s="2"/>
      <c r="AGA43" s="2"/>
      <c r="AGB43" s="2"/>
      <c r="AGC43" s="2"/>
      <c r="AGD43" s="2"/>
      <c r="AGE43" s="2"/>
      <c r="AGF43" s="2"/>
      <c r="AGG43" s="2"/>
      <c r="AGH43" s="2"/>
      <c r="AGI43" s="2"/>
      <c r="AGJ43" s="2"/>
      <c r="AGK43" s="2"/>
      <c r="AGL43" s="2"/>
      <c r="AGM43" s="2"/>
      <c r="AGN43" s="2"/>
      <c r="AGO43" s="2"/>
      <c r="AGP43" s="2"/>
      <c r="AGQ43" s="2"/>
      <c r="AGR43" s="2"/>
      <c r="AGS43" s="2"/>
      <c r="AGT43" s="2"/>
      <c r="AGU43" s="2"/>
      <c r="AGV43" s="2"/>
      <c r="AGW43" s="2"/>
      <c r="AGX43" s="2"/>
      <c r="AGY43" s="2"/>
      <c r="AGZ43" s="2"/>
      <c r="AHA43" s="2"/>
      <c r="AHB43" s="2"/>
      <c r="AHC43" s="2"/>
      <c r="AHD43" s="2"/>
      <c r="AHE43" s="2"/>
      <c r="AHF43" s="2"/>
      <c r="AHG43" s="2"/>
      <c r="AHH43" s="2"/>
      <c r="AHI43" s="2"/>
      <c r="AHJ43" s="2"/>
      <c r="AHK43" s="2"/>
      <c r="AHL43" s="2"/>
      <c r="AHM43" s="2"/>
      <c r="AHN43" s="2"/>
      <c r="AHO43" s="2"/>
      <c r="AHP43" s="2"/>
      <c r="AHQ43" s="2"/>
      <c r="AHR43" s="2"/>
      <c r="AHS43" s="2"/>
      <c r="AHT43" s="2"/>
      <c r="AHU43" s="2"/>
      <c r="AHV43" s="2"/>
      <c r="AHW43" s="2"/>
      <c r="AHX43" s="2"/>
      <c r="AHY43" s="2"/>
      <c r="AHZ43" s="2"/>
      <c r="AIA43" s="2"/>
      <c r="AIB43" s="2"/>
      <c r="AIC43" s="2"/>
      <c r="AID43" s="2"/>
      <c r="AIE43" s="2"/>
      <c r="AIF43" s="2"/>
      <c r="AIG43" s="2"/>
      <c r="AIH43" s="2"/>
      <c r="AII43" s="2"/>
      <c r="AIJ43" s="2"/>
      <c r="AIK43" s="2"/>
      <c r="AIL43" s="2"/>
      <c r="AIM43" s="2"/>
      <c r="AIN43" s="2"/>
      <c r="AIO43" s="2"/>
      <c r="AIP43" s="2"/>
      <c r="AIQ43" s="2"/>
      <c r="AIR43" s="2"/>
      <c r="AIS43" s="2"/>
      <c r="AIT43" s="2"/>
      <c r="AIU43" s="2"/>
      <c r="AIV43" s="2"/>
      <c r="AIW43" s="2"/>
      <c r="AIX43" s="2"/>
      <c r="AIY43" s="2"/>
      <c r="AIZ43" s="2"/>
      <c r="AJA43" s="2"/>
      <c r="AJB43" s="2"/>
      <c r="AJC43" s="2"/>
      <c r="AJD43" s="2"/>
      <c r="AJE43" s="2"/>
      <c r="AJF43" s="2"/>
      <c r="AJG43" s="2"/>
      <c r="AJH43" s="2"/>
      <c r="AJI43" s="2"/>
      <c r="AJJ43" s="2"/>
      <c r="AJK43" s="2"/>
      <c r="AJL43" s="2"/>
      <c r="AJM43" s="2"/>
      <c r="AJN43" s="2"/>
      <c r="AJO43" s="2"/>
      <c r="AJP43" s="2"/>
      <c r="AJQ43" s="2"/>
      <c r="AJR43" s="2"/>
      <c r="AJS43" s="2"/>
      <c r="AJT43" s="2"/>
      <c r="AJU43" s="2"/>
      <c r="AJV43" s="2"/>
      <c r="AJW43" s="2"/>
      <c r="AJX43" s="2"/>
      <c r="AJY43" s="2"/>
      <c r="AJZ43" s="2"/>
      <c r="AKA43" s="4"/>
      <c r="AKB43" s="4"/>
      <c r="AKC43" s="4"/>
      <c r="AKD43" s="4"/>
      <c r="AKE43" s="4"/>
      <c r="AKF43" s="4"/>
      <c r="AKG43" s="4"/>
      <c r="AKH43" s="4"/>
      <c r="AKI43" s="4"/>
      <c r="AKJ43" s="4"/>
      <c r="AKK43" s="4"/>
      <c r="AKL43" s="4"/>
      <c r="AKM43" s="4"/>
      <c r="AKN43" s="4"/>
      <c r="AKO43" s="4"/>
      <c r="AKP43" s="4"/>
      <c r="AKQ43" s="4"/>
      <c r="AKR43" s="4"/>
      <c r="AKS43" s="4"/>
      <c r="AKT43" s="4"/>
      <c r="AKU43" s="4"/>
      <c r="AKV43" s="4"/>
      <c r="AKW43" s="4"/>
      <c r="AKX43" s="4"/>
      <c r="AKY43" s="4"/>
      <c r="AKZ43" s="4"/>
      <c r="ALA43" s="4"/>
      <c r="ALB43" s="4"/>
      <c r="ALC43" s="4"/>
      <c r="ALD43" s="4"/>
      <c r="ALE43" s="4"/>
      <c r="ALF43" s="4"/>
      <c r="ALG43" s="4"/>
      <c r="ALH43" s="4"/>
      <c r="ALI43" s="4"/>
      <c r="ALJ43" s="4"/>
      <c r="ALK43" s="4"/>
      <c r="ALL43" s="4"/>
      <c r="ALM43" s="4"/>
      <c r="ALN43" s="4"/>
      <c r="ALO43" s="4"/>
      <c r="ALP43" s="4"/>
      <c r="ALQ43" s="4"/>
      <c r="ALR43" s="4"/>
      <c r="ALS43" s="4"/>
      <c r="ALT43" s="4"/>
      <c r="ALU43" s="4"/>
      <c r="ALV43" s="4"/>
      <c r="ALW43" s="4"/>
      <c r="ALX43" s="4"/>
      <c r="ALY43" s="4"/>
      <c r="ALZ43" s="4"/>
      <c r="AMA43" s="4"/>
      <c r="AMB43" s="4"/>
    </row>
    <row r="44" spans="1:1016" ht="24.75" customHeight="1" x14ac:dyDescent="0.25">
      <c r="H44" s="20">
        <v>41</v>
      </c>
      <c r="I44" s="20">
        <v>45</v>
      </c>
      <c r="J44" s="20">
        <v>59</v>
      </c>
      <c r="K44" s="20">
        <v>18</v>
      </c>
      <c r="L44" s="20">
        <v>14</v>
      </c>
      <c r="M44" s="20">
        <v>95</v>
      </c>
      <c r="N44" s="20">
        <v>90</v>
      </c>
      <c r="O44" s="20">
        <v>100</v>
      </c>
      <c r="P44" s="20">
        <v>72</v>
      </c>
      <c r="Q44" s="29" t="s">
        <v>123</v>
      </c>
    </row>
    <row r="45" spans="1:1016" ht="24.75" customHeight="1" x14ac:dyDescent="0.25">
      <c r="A45" s="21"/>
      <c r="B45" s="22"/>
      <c r="C45" s="21"/>
      <c r="D45" s="21"/>
      <c r="E45" s="23"/>
      <c r="F45" s="21"/>
      <c r="G45" s="24"/>
      <c r="H45" s="25">
        <v>41</v>
      </c>
      <c r="I45" s="25">
        <v>45</v>
      </c>
      <c r="J45" s="25">
        <v>60</v>
      </c>
      <c r="K45" s="25">
        <v>16</v>
      </c>
      <c r="L45" s="25">
        <v>12</v>
      </c>
      <c r="M45" s="25">
        <v>26</v>
      </c>
      <c r="N45" s="25">
        <v>24</v>
      </c>
      <c r="O45" s="25">
        <v>26</v>
      </c>
      <c r="P45" s="25">
        <v>70</v>
      </c>
      <c r="Q45" s="30" t="s">
        <v>124</v>
      </c>
    </row>
    <row r="46" spans="1:1016" ht="24.75" customHeight="1" x14ac:dyDescent="0.25">
      <c r="A46" s="18" t="s">
        <v>88</v>
      </c>
      <c r="B46" s="19" t="s">
        <v>85</v>
      </c>
      <c r="C46" s="19" t="s">
        <v>73</v>
      </c>
      <c r="D46" s="20">
        <v>46</v>
      </c>
      <c r="E46" s="20">
        <v>58</v>
      </c>
      <c r="F46" s="20" t="s">
        <v>46</v>
      </c>
      <c r="G46" s="20" t="s">
        <v>33</v>
      </c>
      <c r="H46" s="13">
        <v>51</v>
      </c>
      <c r="I46" s="13">
        <v>29</v>
      </c>
      <c r="J46" s="13">
        <v>20</v>
      </c>
      <c r="K46" s="13">
        <v>32</v>
      </c>
      <c r="L46" s="13">
        <v>30</v>
      </c>
      <c r="M46" s="13">
        <v>32</v>
      </c>
      <c r="N46" s="13">
        <v>79</v>
      </c>
      <c r="O46" s="13">
        <v>44</v>
      </c>
      <c r="Q46" s="29" t="s">
        <v>121</v>
      </c>
    </row>
    <row r="47" spans="1:1016" ht="24.75" customHeight="1" x14ac:dyDescent="0.25">
      <c r="A47" s="18"/>
      <c r="B47" s="19"/>
      <c r="C47" s="19"/>
      <c r="D47" s="20"/>
      <c r="E47" s="20"/>
      <c r="F47" s="20"/>
      <c r="G47" s="20"/>
      <c r="H47" s="13">
        <v>112</v>
      </c>
      <c r="I47" s="13">
        <v>134</v>
      </c>
      <c r="J47" s="13">
        <v>73</v>
      </c>
      <c r="K47" s="13">
        <v>38</v>
      </c>
      <c r="L47" s="13">
        <v>28</v>
      </c>
      <c r="M47" s="13">
        <v>23</v>
      </c>
      <c r="N47" s="13">
        <v>103</v>
      </c>
      <c r="Q47" s="29" t="s">
        <v>122</v>
      </c>
    </row>
    <row r="48" spans="1:1016" ht="24.75" customHeight="1" x14ac:dyDescent="0.25">
      <c r="H48" s="20">
        <v>44</v>
      </c>
      <c r="I48" s="20">
        <v>51</v>
      </c>
      <c r="J48" s="20">
        <v>67</v>
      </c>
      <c r="K48" s="20">
        <v>22</v>
      </c>
      <c r="L48" s="20">
        <v>16</v>
      </c>
      <c r="M48" s="20">
        <v>124</v>
      </c>
      <c r="N48" s="20">
        <v>124</v>
      </c>
      <c r="O48" s="20">
        <v>137</v>
      </c>
      <c r="P48" s="20">
        <v>79</v>
      </c>
      <c r="Q48" s="29" t="s">
        <v>123</v>
      </c>
    </row>
    <row r="49" spans="1:17" ht="24.75" customHeight="1" x14ac:dyDescent="0.25">
      <c r="A49" s="21"/>
      <c r="B49" s="22"/>
      <c r="C49" s="21"/>
      <c r="D49" s="21"/>
      <c r="E49" s="23"/>
      <c r="F49" s="21"/>
      <c r="G49" s="24"/>
      <c r="H49" s="25">
        <v>44</v>
      </c>
      <c r="I49" s="25">
        <v>51</v>
      </c>
      <c r="J49" s="25">
        <v>68</v>
      </c>
      <c r="K49" s="25">
        <v>20</v>
      </c>
      <c r="L49" s="25">
        <v>13</v>
      </c>
      <c r="M49" s="25">
        <v>32</v>
      </c>
      <c r="N49" s="25">
        <v>30</v>
      </c>
      <c r="O49" s="25">
        <v>32</v>
      </c>
      <c r="P49" s="25">
        <v>78</v>
      </c>
      <c r="Q49" s="30" t="s">
        <v>124</v>
      </c>
    </row>
    <row r="50" spans="1:17" ht="24.75" customHeight="1" x14ac:dyDescent="0.25">
      <c r="A50" s="18" t="s">
        <v>89</v>
      </c>
      <c r="B50" s="19" t="s">
        <v>84</v>
      </c>
      <c r="C50" s="19" t="s">
        <v>73</v>
      </c>
      <c r="D50" s="20">
        <v>41</v>
      </c>
      <c r="E50" s="20">
        <v>55</v>
      </c>
      <c r="F50" s="20" t="s">
        <v>46</v>
      </c>
      <c r="G50" s="20" t="s">
        <v>32</v>
      </c>
      <c r="H50" s="13">
        <v>46</v>
      </c>
      <c r="I50" s="13">
        <v>25</v>
      </c>
      <c r="J50" s="13">
        <v>17</v>
      </c>
      <c r="K50" s="13">
        <v>28</v>
      </c>
      <c r="L50" s="13">
        <v>26</v>
      </c>
      <c r="M50" s="13">
        <v>28</v>
      </c>
      <c r="N50" s="13">
        <v>71</v>
      </c>
      <c r="O50" s="13">
        <v>40</v>
      </c>
      <c r="Q50" s="29" t="s">
        <v>121</v>
      </c>
    </row>
    <row r="51" spans="1:17" ht="24.75" customHeight="1" x14ac:dyDescent="0.25">
      <c r="A51" s="18"/>
      <c r="B51" s="19"/>
      <c r="C51" s="19"/>
      <c r="D51" s="20"/>
      <c r="E51" s="20"/>
      <c r="F51" s="20"/>
      <c r="G51" s="20"/>
      <c r="H51" s="13">
        <v>85</v>
      </c>
      <c r="I51" s="13">
        <v>105</v>
      </c>
      <c r="J51" s="13">
        <v>68</v>
      </c>
      <c r="K51" s="13">
        <v>32</v>
      </c>
      <c r="L51" s="13">
        <v>24</v>
      </c>
      <c r="M51" s="13">
        <v>19</v>
      </c>
      <c r="N51" s="13">
        <v>97</v>
      </c>
      <c r="Q51" s="29" t="s">
        <v>122</v>
      </c>
    </row>
    <row r="52" spans="1:17" ht="24.75" customHeight="1" x14ac:dyDescent="0.25">
      <c r="H52" s="20">
        <v>40</v>
      </c>
      <c r="I52" s="20">
        <v>46</v>
      </c>
      <c r="J52" s="20">
        <v>60</v>
      </c>
      <c r="K52" s="20">
        <v>19</v>
      </c>
      <c r="L52" s="20">
        <v>14</v>
      </c>
      <c r="M52" s="20">
        <v>101</v>
      </c>
      <c r="N52" s="20">
        <v>96</v>
      </c>
      <c r="O52" s="20">
        <v>107</v>
      </c>
      <c r="P52" s="20">
        <v>71</v>
      </c>
      <c r="Q52" s="29" t="s">
        <v>123</v>
      </c>
    </row>
    <row r="53" spans="1:17" ht="24.75" customHeight="1" x14ac:dyDescent="0.25">
      <c r="A53" s="21"/>
      <c r="B53" s="22"/>
      <c r="C53" s="21"/>
      <c r="D53" s="21"/>
      <c r="E53" s="23"/>
      <c r="F53" s="21"/>
      <c r="G53" s="24"/>
      <c r="H53" s="25">
        <v>40</v>
      </c>
      <c r="I53" s="25">
        <v>46</v>
      </c>
      <c r="J53" s="25">
        <v>61</v>
      </c>
      <c r="K53" s="25">
        <v>17</v>
      </c>
      <c r="L53" s="25">
        <v>12</v>
      </c>
      <c r="M53" s="25">
        <v>28</v>
      </c>
      <c r="N53" s="25">
        <v>26</v>
      </c>
      <c r="O53" s="25">
        <v>28</v>
      </c>
      <c r="P53" s="25">
        <v>70</v>
      </c>
      <c r="Q53" s="30" t="s">
        <v>124</v>
      </c>
    </row>
    <row r="54" spans="1:17" ht="24.75" customHeight="1" x14ac:dyDescent="0.25">
      <c r="A54" s="18" t="s">
        <v>90</v>
      </c>
      <c r="B54" s="19" t="s">
        <v>83</v>
      </c>
      <c r="C54" s="19" t="s">
        <v>73</v>
      </c>
      <c r="D54" s="20">
        <v>42</v>
      </c>
      <c r="E54" s="20">
        <v>56</v>
      </c>
      <c r="F54" s="20" t="s">
        <v>46</v>
      </c>
      <c r="G54" s="20" t="s">
        <v>34</v>
      </c>
      <c r="H54" s="13">
        <v>48</v>
      </c>
      <c r="I54" s="13">
        <v>26</v>
      </c>
      <c r="J54" s="13">
        <v>19</v>
      </c>
      <c r="K54" s="13">
        <v>30</v>
      </c>
      <c r="L54" s="13">
        <v>28</v>
      </c>
      <c r="M54" s="13">
        <v>30</v>
      </c>
      <c r="N54" s="13">
        <v>73</v>
      </c>
      <c r="O54" s="13">
        <v>42</v>
      </c>
      <c r="Q54" s="29" t="s">
        <v>121</v>
      </c>
    </row>
    <row r="55" spans="1:17" ht="24.75" customHeight="1" x14ac:dyDescent="0.25">
      <c r="A55" s="18"/>
      <c r="B55" s="19"/>
      <c r="C55" s="19"/>
      <c r="D55" s="20"/>
      <c r="E55" s="20"/>
      <c r="F55" s="20"/>
      <c r="G55" s="20"/>
      <c r="H55" s="13">
        <v>98</v>
      </c>
      <c r="I55" s="13">
        <v>108</v>
      </c>
      <c r="J55" s="13">
        <v>70</v>
      </c>
      <c r="K55" s="13">
        <v>66</v>
      </c>
      <c r="L55" s="13">
        <v>25</v>
      </c>
      <c r="M55" s="13">
        <v>20</v>
      </c>
      <c r="N55" s="13">
        <v>97</v>
      </c>
      <c r="Q55" s="29" t="s">
        <v>122</v>
      </c>
    </row>
    <row r="56" spans="1:17" ht="24.75" customHeight="1" x14ac:dyDescent="0.25">
      <c r="H56" s="20">
        <v>40</v>
      </c>
      <c r="I56" s="20">
        <v>48</v>
      </c>
      <c r="J56" s="20">
        <v>62</v>
      </c>
      <c r="K56" s="20">
        <v>20</v>
      </c>
      <c r="L56" s="20">
        <v>15</v>
      </c>
      <c r="M56" s="20">
        <v>112</v>
      </c>
      <c r="N56" s="20">
        <v>106</v>
      </c>
      <c r="O56" s="20">
        <v>112</v>
      </c>
      <c r="P56" s="20">
        <v>74</v>
      </c>
      <c r="Q56" s="29" t="s">
        <v>123</v>
      </c>
    </row>
    <row r="57" spans="1:17" ht="24.75" customHeight="1" x14ac:dyDescent="0.25">
      <c r="A57" s="21"/>
      <c r="B57" s="22"/>
      <c r="C57" s="21"/>
      <c r="D57" s="21"/>
      <c r="E57" s="23"/>
      <c r="F57" s="21"/>
      <c r="G57" s="24"/>
      <c r="H57" s="25">
        <v>42</v>
      </c>
      <c r="I57" s="25">
        <v>48</v>
      </c>
      <c r="J57" s="25">
        <v>63</v>
      </c>
      <c r="K57" s="25">
        <v>19</v>
      </c>
      <c r="L57" s="25">
        <v>13</v>
      </c>
      <c r="M57" s="25">
        <v>30</v>
      </c>
      <c r="N57" s="25">
        <v>28</v>
      </c>
      <c r="O57" s="25">
        <v>30</v>
      </c>
      <c r="P57" s="25">
        <v>73</v>
      </c>
      <c r="Q57" s="30" t="s">
        <v>124</v>
      </c>
    </row>
    <row r="58" spans="1:17" ht="24.75" customHeight="1" x14ac:dyDescent="0.25">
      <c r="A58" s="18" t="s">
        <v>91</v>
      </c>
      <c r="B58" s="19" t="s">
        <v>82</v>
      </c>
      <c r="C58" s="19" t="s">
        <v>73</v>
      </c>
      <c r="D58" s="20">
        <v>40</v>
      </c>
      <c r="E58" s="20">
        <v>56</v>
      </c>
      <c r="F58" s="20" t="s">
        <v>46</v>
      </c>
      <c r="G58" s="20" t="s">
        <v>32</v>
      </c>
      <c r="H58" s="13">
        <v>46</v>
      </c>
      <c r="I58" s="13">
        <v>25</v>
      </c>
      <c r="J58" s="13">
        <v>18</v>
      </c>
      <c r="K58" s="13">
        <v>28</v>
      </c>
      <c r="L58" s="13">
        <v>27</v>
      </c>
      <c r="M58" s="13">
        <v>28</v>
      </c>
      <c r="N58" s="13">
        <v>71</v>
      </c>
      <c r="O58" s="13">
        <v>44</v>
      </c>
      <c r="Q58" s="29" t="s">
        <v>121</v>
      </c>
    </row>
    <row r="59" spans="1:17" ht="24.75" customHeight="1" x14ac:dyDescent="0.25">
      <c r="A59" s="18"/>
      <c r="B59" s="19"/>
      <c r="C59" s="19"/>
      <c r="D59" s="20"/>
      <c r="E59" s="20"/>
      <c r="F59" s="20"/>
      <c r="G59" s="20"/>
      <c r="H59" s="13">
        <v>85</v>
      </c>
      <c r="I59" s="13">
        <v>105</v>
      </c>
      <c r="J59" s="13">
        <v>68</v>
      </c>
      <c r="K59" s="13">
        <v>32</v>
      </c>
      <c r="L59" s="13">
        <v>26</v>
      </c>
      <c r="M59" s="13">
        <v>18</v>
      </c>
      <c r="N59" s="13">
        <v>96</v>
      </c>
      <c r="Q59" s="29" t="s">
        <v>122</v>
      </c>
    </row>
    <row r="60" spans="1:17" ht="24.75" customHeight="1" x14ac:dyDescent="0.25">
      <c r="H60" s="20">
        <v>44</v>
      </c>
      <c r="I60" s="20">
        <v>46</v>
      </c>
      <c r="J60" s="20">
        <v>60</v>
      </c>
      <c r="K60" s="20">
        <v>19</v>
      </c>
      <c r="L60" s="20">
        <v>14</v>
      </c>
      <c r="M60" s="20">
        <v>95</v>
      </c>
      <c r="N60" s="20">
        <v>90</v>
      </c>
      <c r="O60" s="20">
        <v>105</v>
      </c>
      <c r="P60" s="20">
        <v>71</v>
      </c>
      <c r="Q60" s="29" t="s">
        <v>123</v>
      </c>
    </row>
    <row r="61" spans="1:17" ht="24.75" customHeight="1" x14ac:dyDescent="0.25">
      <c r="A61" s="21"/>
      <c r="B61" s="22"/>
      <c r="C61" s="21"/>
      <c r="D61" s="21"/>
      <c r="E61" s="23"/>
      <c r="F61" s="21"/>
      <c r="G61" s="24"/>
      <c r="H61" s="25">
        <v>44</v>
      </c>
      <c r="I61" s="25">
        <v>46</v>
      </c>
      <c r="J61" s="25">
        <v>61</v>
      </c>
      <c r="K61" s="25">
        <v>18</v>
      </c>
      <c r="L61" s="25">
        <v>12</v>
      </c>
      <c r="M61" s="25">
        <v>28</v>
      </c>
      <c r="N61" s="25">
        <v>27</v>
      </c>
      <c r="O61" s="25">
        <v>28</v>
      </c>
      <c r="P61" s="25">
        <v>71</v>
      </c>
      <c r="Q61" s="30" t="s">
        <v>124</v>
      </c>
    </row>
    <row r="62" spans="1:17" ht="24.75" customHeight="1" x14ac:dyDescent="0.25">
      <c r="A62" s="18" t="s">
        <v>92</v>
      </c>
      <c r="B62" s="19" t="s">
        <v>81</v>
      </c>
      <c r="C62" s="19" t="s">
        <v>73</v>
      </c>
      <c r="D62" s="20">
        <v>41</v>
      </c>
      <c r="E62" s="20">
        <v>57</v>
      </c>
      <c r="F62" s="20" t="s">
        <v>80</v>
      </c>
      <c r="G62" s="20" t="s">
        <v>32</v>
      </c>
      <c r="H62" s="13">
        <v>45</v>
      </c>
      <c r="I62" s="13">
        <v>25</v>
      </c>
      <c r="J62" s="13">
        <v>17</v>
      </c>
      <c r="K62" s="13">
        <v>29</v>
      </c>
      <c r="L62" s="13">
        <v>28</v>
      </c>
      <c r="M62" s="13">
        <v>31</v>
      </c>
      <c r="N62" s="13">
        <v>67</v>
      </c>
      <c r="O62" s="13">
        <v>38</v>
      </c>
      <c r="Q62" s="29" t="s">
        <v>121</v>
      </c>
    </row>
    <row r="63" spans="1:17" ht="24.75" customHeight="1" x14ac:dyDescent="0.25">
      <c r="A63" s="18"/>
      <c r="B63" s="19"/>
      <c r="C63" s="19"/>
      <c r="D63" s="20"/>
      <c r="E63" s="20"/>
      <c r="F63" s="20"/>
      <c r="G63" s="20"/>
      <c r="H63" s="13">
        <v>80</v>
      </c>
      <c r="I63" s="13">
        <v>103</v>
      </c>
      <c r="J63" s="13">
        <v>67</v>
      </c>
      <c r="K63" s="13">
        <v>32</v>
      </c>
      <c r="L63" s="13">
        <v>24</v>
      </c>
      <c r="M63" s="13">
        <v>19</v>
      </c>
      <c r="N63" s="13">
        <v>95</v>
      </c>
      <c r="Q63" s="29" t="s">
        <v>122</v>
      </c>
    </row>
    <row r="64" spans="1:17" ht="24.75" customHeight="1" x14ac:dyDescent="0.25">
      <c r="H64" s="20">
        <v>38</v>
      </c>
      <c r="I64" s="20">
        <v>45</v>
      </c>
      <c r="J64" s="20">
        <v>57</v>
      </c>
      <c r="K64" s="20">
        <v>18</v>
      </c>
      <c r="L64" s="20">
        <v>15</v>
      </c>
      <c r="M64" s="20">
        <v>96</v>
      </c>
      <c r="N64" s="20">
        <v>98</v>
      </c>
      <c r="O64" s="20">
        <v>111</v>
      </c>
      <c r="P64" s="20">
        <v>67</v>
      </c>
      <c r="Q64" s="29" t="s">
        <v>123</v>
      </c>
    </row>
    <row r="65" spans="1:17" ht="24.75" customHeight="1" x14ac:dyDescent="0.25">
      <c r="A65" s="21"/>
      <c r="B65" s="22"/>
      <c r="C65" s="21"/>
      <c r="D65" s="21"/>
      <c r="E65" s="23"/>
      <c r="F65" s="21"/>
      <c r="G65" s="24"/>
      <c r="H65" s="25"/>
      <c r="I65" s="25"/>
      <c r="J65" s="25"/>
      <c r="K65" s="25"/>
      <c r="L65" s="25"/>
      <c r="M65" s="25"/>
      <c r="N65" s="25"/>
      <c r="O65" s="25"/>
      <c r="P65" s="25"/>
      <c r="Q65" s="30" t="s">
        <v>124</v>
      </c>
    </row>
    <row r="66" spans="1:17" ht="24.75" customHeight="1" x14ac:dyDescent="0.25">
      <c r="A66" s="18" t="s">
        <v>109</v>
      </c>
      <c r="B66" s="19" t="s">
        <v>102</v>
      </c>
      <c r="C66" s="19" t="s">
        <v>73</v>
      </c>
      <c r="D66" s="20">
        <v>42</v>
      </c>
      <c r="E66" s="20">
        <v>58</v>
      </c>
      <c r="F66" s="20" t="s">
        <v>46</v>
      </c>
      <c r="G66" s="20" t="s">
        <v>34</v>
      </c>
      <c r="H66" s="13">
        <v>46</v>
      </c>
      <c r="I66" s="13">
        <v>25</v>
      </c>
      <c r="J66" s="13">
        <v>18</v>
      </c>
      <c r="K66" s="13">
        <v>30</v>
      </c>
      <c r="L66" s="13">
        <v>30</v>
      </c>
      <c r="M66" s="13">
        <v>30</v>
      </c>
      <c r="N66" s="13">
        <v>73</v>
      </c>
      <c r="O66" s="13">
        <v>42</v>
      </c>
      <c r="Q66" s="29" t="s">
        <v>121</v>
      </c>
    </row>
    <row r="67" spans="1:17" ht="24.75" customHeight="1" x14ac:dyDescent="0.25">
      <c r="A67" s="18"/>
      <c r="B67" s="19"/>
      <c r="C67" s="19"/>
      <c r="D67" s="20"/>
      <c r="E67" s="20"/>
      <c r="F67" s="20"/>
      <c r="G67" s="20"/>
      <c r="H67" s="13">
        <v>99</v>
      </c>
      <c r="I67" s="13">
        <v>115</v>
      </c>
      <c r="J67" s="13">
        <v>72</v>
      </c>
      <c r="K67" s="13">
        <v>36</v>
      </c>
      <c r="L67" s="13">
        <v>26</v>
      </c>
      <c r="M67" s="13">
        <v>21</v>
      </c>
      <c r="N67" s="13">
        <v>96</v>
      </c>
      <c r="Q67" s="29" t="s">
        <v>122</v>
      </c>
    </row>
    <row r="68" spans="1:17" ht="24.75" customHeight="1" x14ac:dyDescent="0.25">
      <c r="H68" s="20">
        <v>42</v>
      </c>
      <c r="I68" s="20">
        <v>46</v>
      </c>
      <c r="J68" s="20">
        <v>60</v>
      </c>
      <c r="K68" s="20">
        <v>19</v>
      </c>
      <c r="L68" s="20">
        <v>15</v>
      </c>
      <c r="M68" s="20">
        <v>113</v>
      </c>
      <c r="N68" s="20">
        <v>113</v>
      </c>
      <c r="O68" s="20">
        <v>118</v>
      </c>
      <c r="P68" s="20">
        <v>74</v>
      </c>
      <c r="Q68" s="29" t="s">
        <v>123</v>
      </c>
    </row>
    <row r="69" spans="1:17" ht="24.75" customHeight="1" x14ac:dyDescent="0.25">
      <c r="A69" s="21"/>
      <c r="B69" s="22"/>
      <c r="C69" s="21"/>
      <c r="D69" s="21"/>
      <c r="E69" s="23"/>
      <c r="F69" s="21"/>
      <c r="G69" s="24"/>
      <c r="H69" s="25"/>
      <c r="I69" s="25"/>
      <c r="J69" s="25"/>
      <c r="K69" s="25"/>
      <c r="L69" s="25"/>
      <c r="M69" s="25"/>
      <c r="N69" s="25"/>
      <c r="O69" s="25"/>
      <c r="P69" s="25"/>
      <c r="Q69" s="30" t="s">
        <v>124</v>
      </c>
    </row>
    <row r="70" spans="1:17" ht="24.75" customHeight="1" x14ac:dyDescent="0.25">
      <c r="A70" s="18" t="s">
        <v>110</v>
      </c>
      <c r="B70" s="19" t="s">
        <v>104</v>
      </c>
      <c r="C70" s="19" t="s">
        <v>73</v>
      </c>
      <c r="D70" s="20">
        <v>43</v>
      </c>
      <c r="E70" s="20">
        <v>58</v>
      </c>
      <c r="F70" s="20" t="s">
        <v>46</v>
      </c>
      <c r="G70" s="20" t="s">
        <v>34</v>
      </c>
      <c r="H70" s="13">
        <v>48</v>
      </c>
      <c r="I70" s="13">
        <v>25</v>
      </c>
      <c r="J70" s="13">
        <v>19</v>
      </c>
      <c r="K70" s="13">
        <v>29</v>
      </c>
      <c r="L70" s="13">
        <v>28</v>
      </c>
      <c r="M70" s="13">
        <v>29</v>
      </c>
      <c r="N70" s="13">
        <v>40</v>
      </c>
      <c r="O70" s="13">
        <v>75</v>
      </c>
      <c r="Q70" s="29" t="s">
        <v>121</v>
      </c>
    </row>
    <row r="71" spans="1:17" ht="24.75" customHeight="1" x14ac:dyDescent="0.25">
      <c r="A71" s="18"/>
      <c r="B71" s="19"/>
      <c r="C71" s="19"/>
      <c r="D71" s="20"/>
      <c r="E71" s="20"/>
      <c r="F71" s="20"/>
      <c r="G71" s="20"/>
      <c r="H71" s="13">
        <v>95</v>
      </c>
      <c r="I71" s="13">
        <v>109</v>
      </c>
      <c r="J71" s="13">
        <v>72</v>
      </c>
      <c r="K71" s="13">
        <v>35</v>
      </c>
      <c r="L71" s="13">
        <v>27</v>
      </c>
      <c r="M71" s="13">
        <v>22</v>
      </c>
      <c r="N71" s="13">
        <v>104</v>
      </c>
      <c r="Q71" s="29" t="s">
        <v>122</v>
      </c>
    </row>
    <row r="72" spans="1:17" ht="24.75" customHeight="1" x14ac:dyDescent="0.25">
      <c r="H72" s="20">
        <v>75</v>
      </c>
      <c r="I72" s="20">
        <v>50</v>
      </c>
      <c r="J72" s="20">
        <v>59</v>
      </c>
      <c r="K72" s="20">
        <v>20</v>
      </c>
      <c r="L72" s="20">
        <v>16</v>
      </c>
      <c r="M72" s="20">
        <v>104</v>
      </c>
      <c r="N72" s="20">
        <v>99</v>
      </c>
      <c r="O72" s="20">
        <v>114</v>
      </c>
      <c r="P72" s="20">
        <v>40</v>
      </c>
      <c r="Q72" s="29" t="s">
        <v>123</v>
      </c>
    </row>
    <row r="73" spans="1:17" ht="24.75" customHeight="1" x14ac:dyDescent="0.25">
      <c r="A73" s="21"/>
      <c r="B73" s="22"/>
      <c r="C73" s="21"/>
      <c r="D73" s="21"/>
      <c r="E73" s="23"/>
      <c r="F73" s="21"/>
      <c r="G73" s="24"/>
      <c r="H73" s="25">
        <v>40</v>
      </c>
      <c r="I73" s="25">
        <v>50</v>
      </c>
      <c r="J73" s="25">
        <v>60</v>
      </c>
      <c r="K73" s="25">
        <v>20</v>
      </c>
      <c r="L73" s="25">
        <v>13</v>
      </c>
      <c r="M73" s="25">
        <v>29</v>
      </c>
      <c r="N73" s="25">
        <v>28</v>
      </c>
      <c r="O73" s="25">
        <v>29</v>
      </c>
      <c r="P73" s="25">
        <v>74</v>
      </c>
      <c r="Q73" s="30" t="s">
        <v>124</v>
      </c>
    </row>
    <row r="74" spans="1:17" ht="24.75" customHeight="1" x14ac:dyDescent="0.25">
      <c r="A74" s="18" t="s">
        <v>111</v>
      </c>
      <c r="B74" s="19" t="s">
        <v>105</v>
      </c>
      <c r="C74" s="19" t="s">
        <v>73</v>
      </c>
      <c r="D74" s="20">
        <v>42</v>
      </c>
      <c r="E74" s="20">
        <v>57</v>
      </c>
      <c r="F74" s="20" t="s">
        <v>46</v>
      </c>
      <c r="G74" s="20" t="s">
        <v>34</v>
      </c>
      <c r="H74" s="13">
        <v>48</v>
      </c>
      <c r="I74" s="13">
        <v>24</v>
      </c>
      <c r="J74" s="13">
        <v>18</v>
      </c>
      <c r="K74" s="13">
        <v>29</v>
      </c>
      <c r="L74" s="13">
        <v>28</v>
      </c>
      <c r="M74" s="13">
        <v>29</v>
      </c>
      <c r="N74" s="13">
        <v>40</v>
      </c>
      <c r="O74" s="13">
        <v>73</v>
      </c>
      <c r="Q74" s="29" t="s">
        <v>121</v>
      </c>
    </row>
    <row r="75" spans="1:17" ht="24.75" customHeight="1" x14ac:dyDescent="0.25">
      <c r="A75" s="18"/>
      <c r="B75" s="19"/>
      <c r="C75" s="19"/>
      <c r="D75" s="20"/>
      <c r="E75" s="20"/>
      <c r="F75" s="20"/>
      <c r="G75" s="20"/>
      <c r="H75" s="13">
        <v>92</v>
      </c>
      <c r="I75" s="13">
        <v>108</v>
      </c>
      <c r="J75" s="13">
        <v>70</v>
      </c>
      <c r="K75" s="13">
        <v>34</v>
      </c>
      <c r="L75" s="13">
        <v>27</v>
      </c>
      <c r="M75" s="13">
        <v>22</v>
      </c>
      <c r="N75" s="13">
        <v>99</v>
      </c>
      <c r="Q75" s="29" t="s">
        <v>122</v>
      </c>
    </row>
    <row r="76" spans="1:17" ht="24.75" customHeight="1" x14ac:dyDescent="0.25">
      <c r="H76" s="20">
        <v>73</v>
      </c>
      <c r="I76" s="20">
        <v>48</v>
      </c>
      <c r="J76" s="20">
        <v>56</v>
      </c>
      <c r="K76" s="20">
        <v>19</v>
      </c>
      <c r="L76" s="20">
        <v>16</v>
      </c>
      <c r="M76" s="20">
        <v>104</v>
      </c>
      <c r="N76" s="20">
        <v>98</v>
      </c>
      <c r="O76" s="20">
        <v>114</v>
      </c>
      <c r="P76" s="20">
        <v>40</v>
      </c>
      <c r="Q76" s="29" t="s">
        <v>123</v>
      </c>
    </row>
    <row r="77" spans="1:17" ht="24.75" customHeight="1" x14ac:dyDescent="0.25">
      <c r="A77" s="21"/>
      <c r="B77" s="22"/>
      <c r="C77" s="21"/>
      <c r="D77" s="21"/>
      <c r="E77" s="23"/>
      <c r="F77" s="21"/>
      <c r="G77" s="24"/>
      <c r="H77" s="25">
        <v>40</v>
      </c>
      <c r="I77" s="25">
        <v>48</v>
      </c>
      <c r="J77" s="25">
        <v>57</v>
      </c>
      <c r="K77" s="25">
        <v>19</v>
      </c>
      <c r="L77" s="25">
        <v>15</v>
      </c>
      <c r="M77" s="25">
        <v>29</v>
      </c>
      <c r="N77" s="25">
        <v>28</v>
      </c>
      <c r="O77" s="25">
        <v>29</v>
      </c>
      <c r="P77" s="25">
        <v>72</v>
      </c>
      <c r="Q77" s="30" t="s">
        <v>124</v>
      </c>
    </row>
    <row r="78" spans="1:17" ht="24.75" customHeight="1" x14ac:dyDescent="0.25">
      <c r="A78" s="18" t="s">
        <v>112</v>
      </c>
      <c r="B78" s="19" t="s">
        <v>106</v>
      </c>
      <c r="C78" s="19" t="s">
        <v>73</v>
      </c>
      <c r="D78" s="20">
        <v>42</v>
      </c>
      <c r="E78" s="20">
        <v>56</v>
      </c>
      <c r="F78" s="20" t="s">
        <v>46</v>
      </c>
      <c r="G78" s="20" t="s">
        <v>34</v>
      </c>
      <c r="H78" s="13">
        <v>46</v>
      </c>
      <c r="I78" s="13">
        <v>25</v>
      </c>
      <c r="J78" s="13">
        <v>17</v>
      </c>
      <c r="K78" s="13">
        <v>29</v>
      </c>
      <c r="L78" s="13">
        <v>27</v>
      </c>
      <c r="M78" s="13">
        <v>29</v>
      </c>
      <c r="N78" s="13">
        <v>70</v>
      </c>
      <c r="O78" s="13">
        <v>42</v>
      </c>
      <c r="Q78" s="29" t="s">
        <v>121</v>
      </c>
    </row>
    <row r="79" spans="1:17" ht="24.75" customHeight="1" x14ac:dyDescent="0.25">
      <c r="A79" s="18"/>
      <c r="B79" s="19"/>
      <c r="C79" s="19"/>
      <c r="D79" s="20"/>
      <c r="E79" s="20"/>
      <c r="F79" s="20"/>
      <c r="G79" s="20"/>
      <c r="H79" s="13">
        <v>94</v>
      </c>
      <c r="I79" s="13">
        <v>112</v>
      </c>
      <c r="J79" s="13">
        <v>67</v>
      </c>
      <c r="K79" s="13">
        <v>34</v>
      </c>
      <c r="L79" s="13">
        <v>25</v>
      </c>
      <c r="M79" s="13">
        <v>20</v>
      </c>
      <c r="N79" s="13">
        <v>96</v>
      </c>
      <c r="Q79" s="29" t="s">
        <v>122</v>
      </c>
    </row>
    <row r="80" spans="1:17" ht="24.75" customHeight="1" x14ac:dyDescent="0.25">
      <c r="H80" s="20">
        <v>42</v>
      </c>
      <c r="I80" s="20">
        <v>46</v>
      </c>
      <c r="J80" s="20">
        <v>58</v>
      </c>
      <c r="K80" s="20">
        <v>19</v>
      </c>
      <c r="L80" s="20">
        <v>14</v>
      </c>
      <c r="M80" s="20">
        <v>106</v>
      </c>
      <c r="N80" s="20">
        <v>106</v>
      </c>
      <c r="O80" s="20">
        <v>115</v>
      </c>
      <c r="P80" s="20">
        <v>71</v>
      </c>
      <c r="Q80" s="29" t="s">
        <v>123</v>
      </c>
    </row>
    <row r="81" spans="1:17" ht="24.75" customHeight="1" x14ac:dyDescent="0.25">
      <c r="A81" s="21"/>
      <c r="B81" s="22"/>
      <c r="C81" s="21"/>
      <c r="D81" s="21"/>
      <c r="E81" s="23"/>
      <c r="F81" s="21"/>
      <c r="G81" s="24"/>
      <c r="H81" s="25">
        <v>42</v>
      </c>
      <c r="I81" s="25">
        <v>46</v>
      </c>
      <c r="J81" s="25">
        <v>50</v>
      </c>
      <c r="K81" s="25">
        <v>18</v>
      </c>
      <c r="L81" s="25">
        <v>13</v>
      </c>
      <c r="M81" s="25">
        <v>29</v>
      </c>
      <c r="N81" s="25">
        <v>27</v>
      </c>
      <c r="O81" s="25">
        <v>29</v>
      </c>
      <c r="P81" s="25">
        <v>71</v>
      </c>
      <c r="Q81" s="30" t="s">
        <v>124</v>
      </c>
    </row>
    <row r="82" spans="1:17" ht="24.75" customHeight="1" x14ac:dyDescent="0.25">
      <c r="A82" s="18" t="s">
        <v>113</v>
      </c>
      <c r="B82" s="19" t="s">
        <v>107</v>
      </c>
      <c r="C82" s="19" t="s">
        <v>73</v>
      </c>
      <c r="D82" s="20">
        <v>41</v>
      </c>
      <c r="E82" s="20">
        <v>57</v>
      </c>
      <c r="F82" s="20" t="s">
        <v>46</v>
      </c>
      <c r="G82" s="20" t="s">
        <v>32</v>
      </c>
      <c r="H82" s="13">
        <v>48</v>
      </c>
      <c r="I82" s="13">
        <v>24</v>
      </c>
      <c r="J82" s="13">
        <v>19</v>
      </c>
      <c r="K82" s="13">
        <v>30</v>
      </c>
      <c r="L82" s="13">
        <v>28</v>
      </c>
      <c r="M82" s="13">
        <v>30</v>
      </c>
      <c r="N82" s="13">
        <v>70</v>
      </c>
      <c r="O82" s="13">
        <v>40</v>
      </c>
      <c r="Q82" s="29" t="s">
        <v>121</v>
      </c>
    </row>
    <row r="83" spans="1:17" ht="24.75" customHeight="1" x14ac:dyDescent="0.25">
      <c r="A83" s="18"/>
      <c r="B83" s="19"/>
      <c r="C83" s="19"/>
      <c r="D83" s="20"/>
      <c r="E83" s="20"/>
      <c r="F83" s="20"/>
      <c r="G83" s="20"/>
      <c r="H83" s="13">
        <v>95</v>
      </c>
      <c r="I83" s="13">
        <v>116</v>
      </c>
      <c r="J83" s="13">
        <v>70</v>
      </c>
      <c r="K83" s="13">
        <v>35</v>
      </c>
      <c r="L83" s="13">
        <v>25</v>
      </c>
      <c r="M83" s="13">
        <v>21</v>
      </c>
      <c r="N83" s="13">
        <v>94</v>
      </c>
      <c r="Q83" s="29" t="s">
        <v>122</v>
      </c>
    </row>
    <row r="84" spans="1:17" ht="24.75" customHeight="1" x14ac:dyDescent="0.25">
      <c r="H84" s="20">
        <v>40</v>
      </c>
      <c r="I84" s="20">
        <v>48</v>
      </c>
      <c r="J84" s="20">
        <v>57</v>
      </c>
      <c r="K84" s="20">
        <v>20</v>
      </c>
      <c r="L84" s="20">
        <v>15</v>
      </c>
      <c r="M84" s="20">
        <v>104</v>
      </c>
      <c r="N84" s="20">
        <v>100</v>
      </c>
      <c r="O84" s="20">
        <v>114</v>
      </c>
      <c r="P84" s="20">
        <v>71</v>
      </c>
      <c r="Q84" s="29" t="s">
        <v>123</v>
      </c>
    </row>
    <row r="85" spans="1:17" ht="24.75" customHeight="1" x14ac:dyDescent="0.25">
      <c r="A85" s="21"/>
      <c r="B85" s="22"/>
      <c r="C85" s="21"/>
      <c r="D85" s="21"/>
      <c r="E85" s="23"/>
      <c r="F85" s="21"/>
      <c r="G85" s="24"/>
      <c r="H85" s="25">
        <v>40</v>
      </c>
      <c r="I85" s="25">
        <v>48</v>
      </c>
      <c r="J85" s="25">
        <v>57</v>
      </c>
      <c r="K85" s="25">
        <v>19</v>
      </c>
      <c r="L85" s="25">
        <v>13</v>
      </c>
      <c r="M85" s="25">
        <v>30</v>
      </c>
      <c r="N85" s="25">
        <v>28</v>
      </c>
      <c r="O85" s="25">
        <v>30</v>
      </c>
      <c r="P85" s="25">
        <v>70</v>
      </c>
      <c r="Q85" s="30" t="s">
        <v>124</v>
      </c>
    </row>
    <row r="86" spans="1:17" ht="24.75" customHeight="1" x14ac:dyDescent="0.25">
      <c r="A86" s="18" t="s">
        <v>114</v>
      </c>
      <c r="B86" s="19" t="s">
        <v>108</v>
      </c>
      <c r="C86" s="19" t="s">
        <v>73</v>
      </c>
      <c r="D86" s="20">
        <v>41</v>
      </c>
      <c r="E86" s="20">
        <v>55</v>
      </c>
      <c r="F86" s="20" t="s">
        <v>46</v>
      </c>
      <c r="G86" s="20" t="s">
        <v>31</v>
      </c>
      <c r="H86" s="13">
        <v>44</v>
      </c>
      <c r="I86" s="13">
        <v>25</v>
      </c>
      <c r="J86" s="13">
        <v>17</v>
      </c>
      <c r="K86" s="13">
        <v>26</v>
      </c>
      <c r="L86" s="13">
        <v>24</v>
      </c>
      <c r="M86" s="13">
        <v>26</v>
      </c>
      <c r="N86" s="13">
        <v>70</v>
      </c>
      <c r="O86" s="13">
        <v>39</v>
      </c>
      <c r="Q86" s="29" t="s">
        <v>121</v>
      </c>
    </row>
    <row r="87" spans="1:17" ht="24.75" customHeight="1" x14ac:dyDescent="0.25">
      <c r="A87" s="18"/>
      <c r="B87" s="19"/>
      <c r="C87" s="19"/>
      <c r="D87" s="20"/>
      <c r="E87" s="20"/>
      <c r="F87" s="20"/>
      <c r="G87" s="20"/>
      <c r="H87" s="13">
        <v>77</v>
      </c>
      <c r="I87" s="13">
        <v>97</v>
      </c>
      <c r="J87" s="13">
        <v>66</v>
      </c>
      <c r="K87" s="13">
        <v>32</v>
      </c>
      <c r="L87" s="13">
        <v>24</v>
      </c>
      <c r="M87" s="13">
        <v>19</v>
      </c>
      <c r="N87" s="13">
        <v>99</v>
      </c>
      <c r="Q87" s="29" t="s">
        <v>122</v>
      </c>
    </row>
    <row r="88" spans="1:17" ht="24.75" customHeight="1" x14ac:dyDescent="0.25">
      <c r="H88" s="20">
        <v>39</v>
      </c>
      <c r="I88" s="20">
        <v>44</v>
      </c>
      <c r="J88" s="20">
        <v>59</v>
      </c>
      <c r="K88" s="20">
        <v>19</v>
      </c>
      <c r="L88" s="20">
        <v>14</v>
      </c>
      <c r="M88" s="20">
        <v>99</v>
      </c>
      <c r="N88" s="20">
        <v>90</v>
      </c>
      <c r="O88" s="20">
        <v>103</v>
      </c>
      <c r="P88" s="20">
        <v>71</v>
      </c>
      <c r="Q88" s="29" t="s">
        <v>123</v>
      </c>
    </row>
    <row r="89" spans="1:17" ht="24.75" customHeight="1" x14ac:dyDescent="0.25">
      <c r="A89" s="21"/>
      <c r="B89" s="22"/>
      <c r="C89" s="21"/>
      <c r="D89" s="21"/>
      <c r="E89" s="23"/>
      <c r="F89" s="21"/>
      <c r="G89" s="24"/>
      <c r="H89" s="25">
        <v>39</v>
      </c>
      <c r="I89" s="25">
        <v>44</v>
      </c>
      <c r="J89" s="25">
        <v>60</v>
      </c>
      <c r="K89" s="25">
        <v>17</v>
      </c>
      <c r="L89" s="25">
        <v>12</v>
      </c>
      <c r="M89" s="25">
        <v>26</v>
      </c>
      <c r="N89" s="25">
        <v>24</v>
      </c>
      <c r="O89" s="25">
        <v>26</v>
      </c>
      <c r="P89" s="25">
        <v>70</v>
      </c>
      <c r="Q89" s="30" t="s">
        <v>124</v>
      </c>
    </row>
    <row r="90" spans="1:17" ht="24.75" customHeight="1" x14ac:dyDescent="0.25">
      <c r="A90" s="18" t="s">
        <v>118</v>
      </c>
      <c r="B90" s="19" t="s">
        <v>115</v>
      </c>
      <c r="C90" s="19" t="s">
        <v>73</v>
      </c>
      <c r="D90" s="20">
        <v>43</v>
      </c>
      <c r="E90" s="20">
        <v>60</v>
      </c>
      <c r="F90" s="20" t="s">
        <v>46</v>
      </c>
      <c r="G90" s="20" t="s">
        <v>33</v>
      </c>
      <c r="H90" s="13">
        <v>50</v>
      </c>
      <c r="I90" s="13">
        <v>26</v>
      </c>
      <c r="J90" s="13">
        <v>20</v>
      </c>
      <c r="K90" s="13">
        <v>31</v>
      </c>
      <c r="L90" s="13">
        <v>30</v>
      </c>
      <c r="M90" s="13">
        <v>31</v>
      </c>
      <c r="N90" s="13">
        <v>73</v>
      </c>
      <c r="O90" s="13">
        <v>46</v>
      </c>
      <c r="Q90" s="29" t="s">
        <v>121</v>
      </c>
    </row>
    <row r="91" spans="1:17" ht="24.75" customHeight="1" x14ac:dyDescent="0.25">
      <c r="A91" s="18"/>
      <c r="B91" s="19"/>
      <c r="C91" s="19"/>
      <c r="D91" s="20"/>
      <c r="E91" s="20"/>
      <c r="F91" s="20"/>
      <c r="G91" s="20"/>
      <c r="H91" s="13">
        <v>108</v>
      </c>
      <c r="I91" s="13">
        <v>120</v>
      </c>
      <c r="J91" s="13">
        <v>75</v>
      </c>
      <c r="K91" s="13">
        <v>37</v>
      </c>
      <c r="L91" s="13">
        <v>28</v>
      </c>
      <c r="M91" s="13">
        <v>23</v>
      </c>
      <c r="N91" s="13">
        <v>98</v>
      </c>
      <c r="Q91" s="29" t="s">
        <v>122</v>
      </c>
    </row>
    <row r="92" spans="1:17" ht="24.75" customHeight="1" x14ac:dyDescent="0.25">
      <c r="H92" s="20">
        <v>46</v>
      </c>
      <c r="I92" s="20">
        <v>50</v>
      </c>
      <c r="J92" s="20">
        <v>60</v>
      </c>
      <c r="K92" s="20">
        <v>21</v>
      </c>
      <c r="L92" s="20">
        <v>15</v>
      </c>
      <c r="M92" s="20">
        <v>125</v>
      </c>
      <c r="N92" s="20">
        <v>120</v>
      </c>
      <c r="O92" s="20">
        <v>124</v>
      </c>
      <c r="P92" s="20">
        <v>74</v>
      </c>
      <c r="Q92" s="29" t="s">
        <v>123</v>
      </c>
    </row>
    <row r="93" spans="1:17" ht="24.75" customHeight="1" x14ac:dyDescent="0.25">
      <c r="A93" s="21"/>
      <c r="B93" s="22"/>
      <c r="C93" s="21"/>
      <c r="D93" s="21"/>
      <c r="E93" s="23"/>
      <c r="F93" s="21"/>
      <c r="G93" s="24"/>
      <c r="H93" s="25">
        <v>46</v>
      </c>
      <c r="I93" s="25">
        <v>50</v>
      </c>
      <c r="J93" s="25">
        <v>61</v>
      </c>
      <c r="K93" s="25">
        <v>20</v>
      </c>
      <c r="L93" s="25">
        <v>13</v>
      </c>
      <c r="M93" s="25">
        <v>31</v>
      </c>
      <c r="N93" s="25">
        <v>30</v>
      </c>
      <c r="O93" s="25">
        <v>31</v>
      </c>
      <c r="P93" s="25">
        <v>73</v>
      </c>
      <c r="Q93" s="30" t="s">
        <v>124</v>
      </c>
    </row>
    <row r="94" spans="1:17" ht="24.75" customHeight="1" x14ac:dyDescent="0.25">
      <c r="A94" s="18" t="s">
        <v>119</v>
      </c>
      <c r="B94" s="19" t="s">
        <v>116</v>
      </c>
      <c r="C94" s="19" t="s">
        <v>73</v>
      </c>
      <c r="D94" s="20">
        <v>41</v>
      </c>
      <c r="E94" s="20">
        <v>57</v>
      </c>
      <c r="F94" s="20" t="s">
        <v>46</v>
      </c>
      <c r="G94" s="20" t="s">
        <v>34</v>
      </c>
      <c r="H94" s="13">
        <v>46</v>
      </c>
      <c r="I94" s="13">
        <v>26</v>
      </c>
      <c r="J94" s="13">
        <v>17</v>
      </c>
      <c r="K94" s="13">
        <v>28</v>
      </c>
      <c r="L94" s="13">
        <v>26</v>
      </c>
      <c r="M94" s="13">
        <v>28</v>
      </c>
      <c r="N94" s="13">
        <v>72</v>
      </c>
      <c r="O94" s="13">
        <v>42</v>
      </c>
      <c r="Q94" s="29" t="s">
        <v>121</v>
      </c>
    </row>
    <row r="95" spans="1:17" ht="24.75" customHeight="1" x14ac:dyDescent="0.25">
      <c r="A95" s="18"/>
      <c r="B95" s="19"/>
      <c r="C95" s="19"/>
      <c r="D95" s="20"/>
      <c r="E95" s="20"/>
      <c r="F95" s="20"/>
      <c r="G95" s="20"/>
      <c r="H95" s="13">
        <v>88</v>
      </c>
      <c r="I95" s="13">
        <v>104</v>
      </c>
      <c r="J95" s="13">
        <v>72</v>
      </c>
      <c r="K95" s="13">
        <v>34</v>
      </c>
      <c r="L95" s="13">
        <v>27</v>
      </c>
      <c r="M95" s="13">
        <v>22</v>
      </c>
      <c r="N95" s="13">
        <v>98</v>
      </c>
      <c r="Q95" s="29" t="s">
        <v>122</v>
      </c>
    </row>
    <row r="96" spans="1:17" ht="24.75" customHeight="1" x14ac:dyDescent="0.25">
      <c r="H96" s="20">
        <v>42</v>
      </c>
      <c r="I96" s="20">
        <v>46</v>
      </c>
      <c r="J96" s="20">
        <v>60</v>
      </c>
      <c r="K96" s="20">
        <v>19</v>
      </c>
      <c r="L96" s="20">
        <v>14</v>
      </c>
      <c r="M96" s="20">
        <v>100</v>
      </c>
      <c r="N96" s="20">
        <v>96</v>
      </c>
      <c r="O96" s="20">
        <v>104</v>
      </c>
      <c r="P96" s="20">
        <v>73</v>
      </c>
      <c r="Q96" s="29" t="s">
        <v>123</v>
      </c>
    </row>
    <row r="97" spans="1:17" ht="24.75" customHeight="1" x14ac:dyDescent="0.25">
      <c r="A97" s="21"/>
      <c r="B97" s="22"/>
      <c r="C97" s="21"/>
      <c r="D97" s="21"/>
      <c r="E97" s="23"/>
      <c r="F97" s="21"/>
      <c r="G97" s="24"/>
      <c r="H97" s="25">
        <v>42</v>
      </c>
      <c r="I97" s="25">
        <v>46</v>
      </c>
      <c r="J97" s="25">
        <v>61</v>
      </c>
      <c r="K97" s="25">
        <v>17</v>
      </c>
      <c r="L97" s="25">
        <v>12</v>
      </c>
      <c r="M97" s="25">
        <v>28</v>
      </c>
      <c r="N97" s="25">
        <v>26</v>
      </c>
      <c r="O97" s="25">
        <v>28</v>
      </c>
      <c r="P97" s="25">
        <v>72</v>
      </c>
      <c r="Q97" s="30" t="s">
        <v>124</v>
      </c>
    </row>
    <row r="98" spans="1:17" ht="24.75" customHeight="1" x14ac:dyDescent="0.25">
      <c r="A98" s="18" t="s">
        <v>120</v>
      </c>
      <c r="B98" s="19" t="s">
        <v>117</v>
      </c>
      <c r="C98" s="19" t="s">
        <v>73</v>
      </c>
      <c r="D98" s="20">
        <v>42</v>
      </c>
      <c r="E98" s="20">
        <v>59</v>
      </c>
      <c r="F98" s="20" t="s">
        <v>46</v>
      </c>
      <c r="G98" s="20" t="s">
        <v>32</v>
      </c>
      <c r="H98" s="13">
        <v>48</v>
      </c>
      <c r="I98" s="13">
        <v>26</v>
      </c>
      <c r="J98" s="13">
        <v>19</v>
      </c>
      <c r="K98" s="13">
        <v>30</v>
      </c>
      <c r="L98" s="13">
        <v>28</v>
      </c>
      <c r="M98" s="13">
        <v>30</v>
      </c>
      <c r="N98" s="13">
        <v>71</v>
      </c>
      <c r="O98" s="13">
        <v>43</v>
      </c>
      <c r="Q98" s="29" t="s">
        <v>121</v>
      </c>
    </row>
    <row r="99" spans="1:17" ht="24.75" customHeight="1" x14ac:dyDescent="0.25">
      <c r="A99" s="18"/>
      <c r="B99" s="19"/>
      <c r="C99" s="19"/>
      <c r="D99" s="20"/>
      <c r="E99" s="20"/>
      <c r="F99" s="20"/>
      <c r="G99" s="20"/>
      <c r="H99" s="13">
        <v>97</v>
      </c>
      <c r="I99" s="13">
        <v>121</v>
      </c>
      <c r="J99" s="13">
        <v>70</v>
      </c>
      <c r="K99" s="13">
        <v>36</v>
      </c>
      <c r="L99" s="13">
        <v>26</v>
      </c>
      <c r="M99" s="13">
        <v>21</v>
      </c>
      <c r="N99" s="13">
        <v>98</v>
      </c>
      <c r="Q99" s="29" t="s">
        <v>122</v>
      </c>
    </row>
    <row r="100" spans="1:17" ht="24.75" customHeight="1" x14ac:dyDescent="0.25">
      <c r="H100" s="20">
        <v>43</v>
      </c>
      <c r="I100" s="20">
        <v>48</v>
      </c>
      <c r="J100" s="20">
        <v>58</v>
      </c>
      <c r="K100" s="20">
        <v>20</v>
      </c>
      <c r="L100" s="20">
        <v>15</v>
      </c>
      <c r="M100" s="20">
        <v>115</v>
      </c>
      <c r="N100" s="20">
        <v>110</v>
      </c>
      <c r="O100" s="20">
        <v>123</v>
      </c>
      <c r="P100" s="20">
        <v>72</v>
      </c>
      <c r="Q100" s="29" t="s">
        <v>123</v>
      </c>
    </row>
    <row r="101" spans="1:17" ht="24.75" customHeight="1" x14ac:dyDescent="0.25">
      <c r="A101" s="21"/>
      <c r="B101" s="22"/>
      <c r="C101" s="21"/>
      <c r="D101" s="21"/>
      <c r="E101" s="23"/>
      <c r="F101" s="21"/>
      <c r="G101" s="24"/>
      <c r="H101" s="25">
        <v>43</v>
      </c>
      <c r="I101" s="25">
        <v>48</v>
      </c>
      <c r="J101" s="25">
        <v>59</v>
      </c>
      <c r="K101" s="25">
        <v>19</v>
      </c>
      <c r="L101" s="25">
        <v>13</v>
      </c>
      <c r="M101" s="25">
        <v>30</v>
      </c>
      <c r="N101" s="25">
        <v>28</v>
      </c>
      <c r="O101" s="25">
        <v>30</v>
      </c>
      <c r="P101" s="25">
        <v>71</v>
      </c>
      <c r="Q101" s="30" t="s">
        <v>124</v>
      </c>
    </row>
  </sheetData>
  <phoneticPr fontId="20" type="noConversion"/>
  <pageMargins left="0.27559055118110237" right="3.937007874015748E-2" top="0.51" bottom="0.11811023622047245" header="0.23622047244094491" footer="0.31"/>
  <pageSetup paperSize="9" scale="90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REKAP</vt:lpstr>
      <vt:lpstr>CETAK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2021-10-04T03:23:47Z</cp:lastPrinted>
  <dcterms:created xsi:type="dcterms:W3CDTF">2016-10-31T03:59:44Z</dcterms:created>
  <dcterms:modified xsi:type="dcterms:W3CDTF">2021-10-04T03:24:02Z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