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EMUA" sheetId="1" state="visible" r:id="rId3"/>
    <sheet name="Sheet2" sheetId="2" state="visible" r:id="rId4"/>
    <sheet name="REKAP" sheetId="3" state="visible" r:id="rId5"/>
  </sheets>
  <definedNames>
    <definedName function="false" hidden="false" localSheetId="0" name="_xlnm.Print_Titles" vbProcedure="false">SEMUA!$1:$1</definedName>
    <definedName function="false" hidden="false" localSheetId="0" name="_xlnm._FilterDatabase" vbProcedure="false">SEMUA!$A$1:$Z$24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<sst xmlns="http://schemas.openxmlformats.org/spreadsheetml/2006/main" count="301" uniqueCount="154">
  <si>
    <t xml:space="preserve">NO</t>
  </si>
  <si>
    <t xml:space="preserve">NAMA</t>
  </si>
  <si>
    <t xml:space="preserve">PANGKAT</t>
  </si>
  <si>
    <t xml:space="preserve">SATKER</t>
  </si>
  <si>
    <t xml:space="preserve">GENDER</t>
  </si>
  <si>
    <t xml:space="preserve">JENIS</t>
  </si>
  <si>
    <t xml:space="preserve">TNI</t>
  </si>
  <si>
    <t xml:space="preserve">UBN_1</t>
  </si>
  <si>
    <t xml:space="preserve">UBN_2</t>
  </si>
  <si>
    <t xml:space="preserve">UBN_3</t>
  </si>
  <si>
    <t xml:space="preserve">UBN_4</t>
  </si>
  <si>
    <t xml:space="preserve">UBN_5</t>
  </si>
  <si>
    <t xml:space="preserve">UBN_6</t>
  </si>
  <si>
    <t xml:space="preserve">UBN_7</t>
  </si>
  <si>
    <t xml:space="preserve">UBN_8</t>
  </si>
  <si>
    <t xml:space="preserve">UC_1</t>
  </si>
  <si>
    <t xml:space="preserve">UC_2</t>
  </si>
  <si>
    <t xml:space="preserve">UC_3</t>
  </si>
  <si>
    <t xml:space="preserve">UC_4</t>
  </si>
  <si>
    <t xml:space="preserve">UC_5</t>
  </si>
  <si>
    <t xml:space="preserve">UC_6</t>
  </si>
  <si>
    <t xml:space="preserve">UC_7</t>
  </si>
  <si>
    <t xml:space="preserve">CETAK KE</t>
  </si>
  <si>
    <t xml:space="preserve">CETAK TGL</t>
  </si>
  <si>
    <t xml:space="preserve">KETERANGAN</t>
  </si>
  <si>
    <t xml:space="preserve">KET LAIN</t>
  </si>
  <si>
    <t xml:space="preserve">F1</t>
  </si>
  <si>
    <t xml:space="preserve">SUWEKO CAHYONO</t>
  </si>
  <si>
    <t xml:space="preserve">SERTU KEU</t>
  </si>
  <si>
    <t xml:space="preserve">STTAL</t>
  </si>
  <si>
    <t xml:space="preserve">PRIA</t>
  </si>
  <si>
    <t xml:space="preserve">PDU 4</t>
  </si>
  <si>
    <t xml:space="preserve">TNI AL</t>
  </si>
  <si>
    <t xml:space="preserve">25 SEPT</t>
  </si>
  <si>
    <t xml:space="preserve">F2</t>
  </si>
  <si>
    <t xml:space="preserve">YONGKI AGUS LASMONO</t>
  </si>
  <si>
    <t xml:space="preserve">TTU</t>
  </si>
  <si>
    <t xml:space="preserve">F3</t>
  </si>
  <si>
    <t xml:space="preserve">HAIS KAUTSAR</t>
  </si>
  <si>
    <t xml:space="preserve">SERTU TTU</t>
  </si>
  <si>
    <t xml:space="preserve">F4</t>
  </si>
  <si>
    <t xml:space="preserve">M. NUR AZIS</t>
  </si>
  <si>
    <t xml:space="preserve">SERKA</t>
  </si>
  <si>
    <t xml:space="preserve">F5</t>
  </si>
  <si>
    <t xml:space="preserve">RAHMAT</t>
  </si>
  <si>
    <t xml:space="preserve">SERKA LPU</t>
  </si>
  <si>
    <t xml:space="preserve">F6</t>
  </si>
  <si>
    <t xml:space="preserve">DANIEL DWI U</t>
  </si>
  <si>
    <t xml:space="preserve">SERKA MPU</t>
  </si>
  <si>
    <t xml:space="preserve">F7</t>
  </si>
  <si>
    <t xml:space="preserve">GATOT PRIYONGGODO</t>
  </si>
  <si>
    <t xml:space="preserve">SERKA MES</t>
  </si>
  <si>
    <t xml:space="preserve">F8</t>
  </si>
  <si>
    <t xml:space="preserve">AHMAD BAHRIL ILMI</t>
  </si>
  <si>
    <t xml:space="preserve">SERTU LPU</t>
  </si>
  <si>
    <t xml:space="preserve">F9</t>
  </si>
  <si>
    <t xml:space="preserve">M. YUNUS</t>
  </si>
  <si>
    <t xml:space="preserve">F10</t>
  </si>
  <si>
    <t xml:space="preserve">LUCKY ALFA RIZA</t>
  </si>
  <si>
    <t xml:space="preserve">SERKA </t>
  </si>
  <si>
    <t xml:space="preserve">F11</t>
  </si>
  <si>
    <t xml:space="preserve">DEDY RACHMANA PUTRA</t>
  </si>
  <si>
    <t xml:space="preserve">SERKA EKO</t>
  </si>
  <si>
    <t xml:space="preserve">F12</t>
  </si>
  <si>
    <t xml:space="preserve">YOPPY R.F.</t>
  </si>
  <si>
    <t xml:space="preserve">SERTU EKO</t>
  </si>
  <si>
    <t xml:space="preserve">F13</t>
  </si>
  <si>
    <t xml:space="preserve">MULYANTO</t>
  </si>
  <si>
    <t xml:space="preserve">SERMA</t>
  </si>
  <si>
    <t xml:space="preserve">F14</t>
  </si>
  <si>
    <t xml:space="preserve">AJI KRISTANTO</t>
  </si>
  <si>
    <t xml:space="preserve">SERTU KOM</t>
  </si>
  <si>
    <t xml:space="preserve">F15</t>
  </si>
  <si>
    <t xml:space="preserve">SANDI KRISTIYANTO</t>
  </si>
  <si>
    <t xml:space="preserve">SERTU NAV</t>
  </si>
  <si>
    <t xml:space="preserve">F16</t>
  </si>
  <si>
    <t xml:space="preserve">M. LUTPI</t>
  </si>
  <si>
    <t xml:space="preserve">SERTU BEK</t>
  </si>
  <si>
    <t xml:space="preserve">F17</t>
  </si>
  <si>
    <t xml:space="preserve">ARGA YUDHA T.P.</t>
  </si>
  <si>
    <t xml:space="preserve">F18</t>
  </si>
  <si>
    <t xml:space="preserve">BOBY KRISTYAN</t>
  </si>
  <si>
    <t xml:space="preserve">SERKA NAV</t>
  </si>
  <si>
    <t xml:space="preserve">F19</t>
  </si>
  <si>
    <t xml:space="preserve">RULY PRAMUDYTA</t>
  </si>
  <si>
    <t xml:space="preserve">SERKA TTU</t>
  </si>
  <si>
    <t xml:space="preserve">F20</t>
  </si>
  <si>
    <t xml:space="preserve">RAHMAT FATHONY R</t>
  </si>
  <si>
    <t xml:space="preserve">SERTU EDE</t>
  </si>
  <si>
    <t xml:space="preserve">PDU 1</t>
  </si>
  <si>
    <t xml:space="preserve">69; 42</t>
  </si>
  <si>
    <t xml:space="preserve">F21</t>
  </si>
  <si>
    <t xml:space="preserve">RIZAL RASID</t>
  </si>
  <si>
    <t xml:space="preserve">SERTU AU</t>
  </si>
  <si>
    <t xml:space="preserve">TNI AU</t>
  </si>
  <si>
    <t xml:space="preserve">F22</t>
  </si>
  <si>
    <t xml:space="preserve">ARIES CHRISTANTO</t>
  </si>
  <si>
    <t xml:space="preserve">SERKA AU</t>
  </si>
  <si>
    <t xml:space="preserve">F23</t>
  </si>
  <si>
    <t xml:space="preserve">ZAINI</t>
  </si>
  <si>
    <t xml:space="preserve">SERMA AU</t>
  </si>
  <si>
    <t xml:space="preserve">F24</t>
  </si>
  <si>
    <t xml:space="preserve">CANDRA FERNANDO M</t>
  </si>
  <si>
    <t xml:space="preserve">SERKA KEU</t>
  </si>
  <si>
    <t xml:space="preserve">2</t>
  </si>
  <si>
    <t xml:space="preserve">01 OKTBR</t>
  </si>
  <si>
    <t xml:space="preserve">F25</t>
  </si>
  <si>
    <t xml:space="preserve">DENY RS</t>
  </si>
  <si>
    <t xml:space="preserve">SERTU ESA</t>
  </si>
  <si>
    <t xml:space="preserve">F26</t>
  </si>
  <si>
    <t xml:space="preserve">LULUK</t>
  </si>
  <si>
    <t xml:space="preserve">NAV</t>
  </si>
  <si>
    <t xml:space="preserve">F27</t>
  </si>
  <si>
    <t xml:space="preserve">ONKI</t>
  </si>
  <si>
    <t xml:space="preserve">SERTU TKU</t>
  </si>
  <si>
    <t xml:space="preserve">F28</t>
  </si>
  <si>
    <t xml:space="preserve">MULYADI</t>
  </si>
  <si>
    <t xml:space="preserve">SERKA BAH</t>
  </si>
  <si>
    <t xml:space="preserve">F29</t>
  </si>
  <si>
    <t xml:space="preserve">TEGUH PRAYITNO</t>
  </si>
  <si>
    <t xml:space="preserve">SERKA ESA</t>
  </si>
  <si>
    <t xml:space="preserve">48</t>
  </si>
  <si>
    <t xml:space="preserve">29</t>
  </si>
  <si>
    <t xml:space="preserve">19</t>
  </si>
  <si>
    <t xml:space="preserve">104</t>
  </si>
  <si>
    <t xml:space="preserve">96</t>
  </si>
  <si>
    <t xml:space="preserve">110</t>
  </si>
  <si>
    <t xml:space="preserve">75</t>
  </si>
  <si>
    <t xml:space="preserve">42</t>
  </si>
  <si>
    <t xml:space="preserve">91</t>
  </si>
  <si>
    <t xml:space="preserve">108</t>
  </si>
  <si>
    <t xml:space="preserve">73</t>
  </si>
  <si>
    <t xml:space="preserve">34</t>
  </si>
  <si>
    <t xml:space="preserve">27</t>
  </si>
  <si>
    <t xml:space="preserve">22</t>
  </si>
  <si>
    <t xml:space="preserve">102</t>
  </si>
  <si>
    <t xml:space="preserve">3</t>
  </si>
  <si>
    <t xml:space="preserve">BELUM CETAK</t>
  </si>
  <si>
    <t xml:space="preserve">kaos</t>
  </si>
  <si>
    <t xml:space="preserve">sepatu</t>
  </si>
  <si>
    <t xml:space="preserve">topi</t>
  </si>
  <si>
    <t xml:space="preserve">ukuran</t>
  </si>
  <si>
    <t xml:space="preserve">jml</t>
  </si>
  <si>
    <t xml:space="preserve">pesan</t>
  </si>
  <si>
    <t xml:space="preserve">no</t>
  </si>
  <si>
    <t xml:space="preserve">L</t>
  </si>
  <si>
    <t xml:space="preserve">M</t>
  </si>
  <si>
    <t xml:space="preserve">S</t>
  </si>
  <si>
    <t xml:space="preserve">XL</t>
  </si>
  <si>
    <t xml:space="preserve">XXL</t>
  </si>
  <si>
    <t xml:space="preserve">XXXL</t>
  </si>
  <si>
    <t xml:space="preserve">XXXXL</t>
  </si>
  <si>
    <t xml:space="preserve">jumlah</t>
  </si>
  <si>
    <t xml:space="preserve">wanita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</si>
</sst>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@"/>
    <numFmt numFmtId="166" formatCode="General"/>
  </numFmts>
  <fonts count="24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FFFFFF"/>
      <name val="Arial"/>
      <family val="0"/>
      <charset val="1"/>
    </font>
    <font>
      <b val="true"/>
      <sz val="10"/>
      <color rgb="FF000000"/>
      <name val="Arial"/>
      <family val="0"/>
      <charset val="1"/>
    </font>
    <font>
      <sz val="10"/>
      <color rgb="FFCC0000"/>
      <name val="Arial"/>
      <family val="0"/>
      <charset val="1"/>
    </font>
    <font>
      <b val="true"/>
      <sz val="10"/>
      <color rgb="FFFFFFFF"/>
      <name val="Arial"/>
      <family val="0"/>
      <charset val="1"/>
    </font>
    <font>
      <i val="true"/>
      <sz val="10"/>
      <color rgb="FF808080"/>
      <name val="Arial"/>
      <family val="0"/>
      <charset val="1"/>
    </font>
    <font>
      <sz val="10"/>
      <color rgb="FF006600"/>
      <name val="Arial"/>
      <family val="0"/>
      <charset val="1"/>
    </font>
    <font>
      <sz val="18"/>
      <color rgb="FF000000"/>
      <name val="Arial"/>
      <family val="0"/>
      <charset val="1"/>
    </font>
    <font>
      <b val="true"/>
      <sz val="24"/>
      <color rgb="FF000000"/>
      <name val="Arial"/>
      <family val="0"/>
      <charset val="1"/>
    </font>
    <font>
      <sz val="12"/>
      <color rgb="FF000000"/>
      <name val="Arial"/>
      <family val="0"/>
      <charset val="1"/>
    </font>
    <font>
      <u val="single"/>
      <sz val="10"/>
      <color rgb="FF0000EE"/>
      <name val="Arial"/>
      <family val="0"/>
      <charset val="1"/>
    </font>
    <font>
      <sz val="10"/>
      <color rgb="FF996600"/>
      <name val="Arial"/>
      <family val="0"/>
      <charset val="1"/>
    </font>
    <font>
      <sz val="11"/>
      <name val="Calibri"/>
      <family val="0"/>
      <charset val="1"/>
    </font>
    <font>
      <sz val="11"/>
      <color rgb="FF000000"/>
      <name val="Arial"/>
      <family val="0"/>
      <charset val="1"/>
    </font>
    <font>
      <sz val="10"/>
      <color rgb="FF333333"/>
      <name val="Arial"/>
      <family val="0"/>
      <charset val="1"/>
    </font>
    <font>
      <sz val="11"/>
      <color rgb="FF000000"/>
      <name val="Arial"/>
      <family val="2"/>
      <charset val="1"/>
    </font>
    <font>
      <b val="true"/>
      <sz val="11"/>
      <color rgb="FF000000"/>
      <name val="Arial"/>
      <family val="2"/>
      <charset val="1"/>
    </font>
    <font>
      <b val="true"/>
      <sz val="11"/>
      <color rgb="FF000000"/>
      <name val="Calibri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 val="true"/>
      <sz val="12"/>
      <color rgb="FF000000"/>
      <name val="Arial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rgb="FFFFFF00"/>
      </patternFill>
    </fill>
  </fills>
  <borders count="5">
    <border diagonalUp="false" diagonalDown="false">
      <left/>
      <right/>
      <top/>
      <bottom/>
      <diagonal/>
    </border>
    <border diagonalUp="false" diagonalDown="false"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 diagonalUp="false" diagonalDown="false">
      <left/>
      <right/>
      <top style="thin"/>
      <bottom style="double"/>
      <diagonal/>
    </border>
    <border diagonalUp="false" diagonalDown="false">
      <left/>
      <right/>
      <top/>
      <bottom style="thin"/>
      <diagonal/>
    </border>
    <border diagonalUp="false" diagonalDown="false">
      <left/>
      <right/>
      <top style="thin"/>
      <bottom style="thin"/>
      <diagonal/>
    </border>
  </borders>
  <cellStyleXfs count="4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3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4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5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6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7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1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3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8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8" borderId="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2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8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8" fillId="0" borderId="0" xfId="0" applyFont="true" applyBorder="true" applyAlignment="true" applyProtection="false">
      <alignment horizontal="left" vertical="center" textRotation="0" wrapText="true" indent="1" shrinkToFit="false"/>
      <protection locked="true" hidden="false"/>
    </xf>
    <xf numFmtId="164" fontId="18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18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8" fillId="0" borderId="0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5" fontId="18" fillId="0" borderId="0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18" fillId="0" borderId="0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5" fontId="19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20" fillId="0" borderId="2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5" fontId="19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21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8" fillId="0" borderId="3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8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8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1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8" fillId="0" borderId="4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2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18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9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3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6" fontId="2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20" fillId="9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2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Accent 1 5" xfId="20"/>
    <cellStyle name="Accent 2 6" xfId="21"/>
    <cellStyle name="Accent 3 7" xfId="22"/>
    <cellStyle name="Accent 4" xfId="23"/>
    <cellStyle name="Bad 2" xfId="24"/>
    <cellStyle name="Error 8" xfId="25"/>
    <cellStyle name="Footnote 9" xfId="26"/>
    <cellStyle name="Good 2" xfId="27"/>
    <cellStyle name="Heading 1 2" xfId="28"/>
    <cellStyle name="Heading 10" xfId="29"/>
    <cellStyle name="Heading 2 2" xfId="30"/>
    <cellStyle name="Hyperlink 11" xfId="31"/>
    <cellStyle name="Neutral 2" xfId="32"/>
    <cellStyle name="Normal 2" xfId="33"/>
    <cellStyle name="Normal 3" xfId="34"/>
    <cellStyle name="Normal 4" xfId="35"/>
    <cellStyle name="Note 2" xfId="36"/>
    <cellStyle name="Status 12" xfId="37"/>
    <cellStyle name="Text 13" xfId="38"/>
    <cellStyle name="Warning 14" xfId="39"/>
  </cellStyles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70AD47"/>
    <pageSetUpPr fitToPage="false"/>
  </sheetPr>
  <dimension ref="A1:Z30"/>
  <sheetViews>
    <sheetView showFormulas="false" showGridLines="true" showRowColHeaders="true" showZeros="true" rightToLeft="false" tabSelected="true" showOutlineSymbols="true" defaultGridColor="true" view="normal" topLeftCell="A1" colorId="64" zoomScale="55" zoomScaleNormal="55" zoomScalePageLayoutView="100" workbookViewId="0">
      <pane xSplit="0" ySplit="1" topLeftCell="A5" activePane="bottomLeft" state="frozen"/>
      <selection pane="topLeft" activeCell="A1" activeCellId="0" sqref="A1"/>
      <selection pane="bottomLeft" activeCell="J19" activeCellId="0" sqref="J19"/>
    </sheetView>
  </sheetViews>
  <sheetFormatPr defaultColWidth="8.72265625" defaultRowHeight="30" zeroHeight="false" outlineLevelRow="0" outlineLevelCol="0"/>
  <cols>
    <col collapsed="false" customWidth="true" hidden="false" outlineLevel="0" max="1" min="1" style="1" width="7"/>
    <col collapsed="false" customWidth="true" hidden="false" outlineLevel="0" max="2" min="2" style="2" width="31.28"/>
    <col collapsed="false" customWidth="true" hidden="false" outlineLevel="0" max="3" min="3" style="1" width="17"/>
    <col collapsed="false" customWidth="true" hidden="false" outlineLevel="0" max="4" min="4" style="1" width="10"/>
    <col collapsed="false" customWidth="true" hidden="false" outlineLevel="0" max="5" min="5" style="1" width="10.29"/>
    <col collapsed="false" customWidth="false" hidden="false" outlineLevel="0" max="6" min="6" style="3" width="8.71"/>
    <col collapsed="false" customWidth="true" hidden="false" outlineLevel="0" max="7" min="7" style="4" width="12.71"/>
    <col collapsed="false" customWidth="true" hidden="false" outlineLevel="0" max="22" min="8" style="4" width="7.71"/>
    <col collapsed="false" customWidth="false" hidden="false" outlineLevel="0" max="23" min="23" style="5" width="8.71"/>
    <col collapsed="false" customWidth="false" hidden="false" outlineLevel="0" max="25" min="24" style="6" width="8.71"/>
    <col collapsed="false" customWidth="false" hidden="false" outlineLevel="0" max="993" min="26" style="7" width="8.71"/>
    <col collapsed="false" customWidth="false" hidden="false" outlineLevel="0" max="1024" min="994" style="8" width="8.71"/>
  </cols>
  <sheetData>
    <row r="1" customFormat="false" ht="30" hidden="false" customHeight="true" outlineLevel="0" collapsed="false">
      <c r="A1" s="9" t="s">
        <v>0</v>
      </c>
      <c r="B1" s="10" t="s">
        <v>1</v>
      </c>
      <c r="C1" s="9" t="s">
        <v>2</v>
      </c>
      <c r="D1" s="9" t="s">
        <v>3</v>
      </c>
      <c r="E1" s="9" t="s">
        <v>4</v>
      </c>
      <c r="F1" s="11" t="s">
        <v>5</v>
      </c>
      <c r="G1" s="9" t="s">
        <v>6</v>
      </c>
      <c r="H1" s="12" t="s">
        <v>7</v>
      </c>
      <c r="I1" s="12" t="s">
        <v>8</v>
      </c>
      <c r="J1" s="12" t="s">
        <v>9</v>
      </c>
      <c r="K1" s="12" t="s">
        <v>10</v>
      </c>
      <c r="L1" s="12" t="s">
        <v>11</v>
      </c>
      <c r="M1" s="12" t="s">
        <v>12</v>
      </c>
      <c r="N1" s="12" t="s">
        <v>13</v>
      </c>
      <c r="O1" s="12" t="s">
        <v>14</v>
      </c>
      <c r="P1" s="12" t="s">
        <v>15</v>
      </c>
      <c r="Q1" s="12" t="s">
        <v>16</v>
      </c>
      <c r="R1" s="12" t="s">
        <v>17</v>
      </c>
      <c r="S1" s="12" t="s">
        <v>18</v>
      </c>
      <c r="T1" s="12" t="s">
        <v>19</v>
      </c>
      <c r="U1" s="12" t="s">
        <v>20</v>
      </c>
      <c r="V1" s="12" t="s">
        <v>21</v>
      </c>
      <c r="W1" s="5" t="s">
        <v>22</v>
      </c>
      <c r="X1" s="6" t="s">
        <v>23</v>
      </c>
      <c r="Y1" s="6" t="s">
        <v>24</v>
      </c>
      <c r="Z1" s="7" t="s">
        <v>25</v>
      </c>
    </row>
    <row r="2" s="8" customFormat="true" ht="30" hidden="false" customHeight="true" outlineLevel="0" collapsed="false">
      <c r="A2" s="13" t="s">
        <v>26</v>
      </c>
      <c r="B2" s="14" t="s">
        <v>27</v>
      </c>
      <c r="C2" s="14" t="s">
        <v>28</v>
      </c>
      <c r="D2" s="15" t="s">
        <v>29</v>
      </c>
      <c r="E2" s="15" t="s">
        <v>30</v>
      </c>
      <c r="F2" s="16" t="s">
        <v>31</v>
      </c>
      <c r="G2" s="15" t="s">
        <v>32</v>
      </c>
      <c r="H2" s="12" t="n">
        <v>45</v>
      </c>
      <c r="I2" s="12" t="n">
        <v>27</v>
      </c>
      <c r="J2" s="12" t="n">
        <v>18</v>
      </c>
      <c r="K2" s="12" t="n">
        <v>101</v>
      </c>
      <c r="L2" s="12" t="n">
        <v>95</v>
      </c>
      <c r="M2" s="12" t="n">
        <v>105</v>
      </c>
      <c r="N2" s="12" t="n">
        <v>70</v>
      </c>
      <c r="O2" s="12" t="n">
        <v>40</v>
      </c>
      <c r="P2" s="12" t="n">
        <v>86</v>
      </c>
      <c r="Q2" s="12" t="n">
        <v>101</v>
      </c>
      <c r="R2" s="12" t="n">
        <v>63</v>
      </c>
      <c r="S2" s="12" t="n">
        <v>33</v>
      </c>
      <c r="T2" s="12" t="n">
        <v>26</v>
      </c>
      <c r="U2" s="12" t="n">
        <v>22</v>
      </c>
      <c r="V2" s="12" t="n">
        <v>95</v>
      </c>
      <c r="W2" s="17" t="n">
        <v>1</v>
      </c>
      <c r="X2" s="6" t="s">
        <v>33</v>
      </c>
      <c r="Y2" s="17"/>
    </row>
    <row r="3" s="8" customFormat="true" ht="30" hidden="false" customHeight="true" outlineLevel="0" collapsed="false">
      <c r="A3" s="18" t="s">
        <v>34</v>
      </c>
      <c r="B3" s="19" t="s">
        <v>35</v>
      </c>
      <c r="C3" s="19" t="s">
        <v>36</v>
      </c>
      <c r="D3" s="15" t="s">
        <v>29</v>
      </c>
      <c r="E3" s="15" t="s">
        <v>30</v>
      </c>
      <c r="F3" s="16" t="s">
        <v>31</v>
      </c>
      <c r="G3" s="15" t="s">
        <v>32</v>
      </c>
      <c r="H3" s="12" t="n">
        <v>46</v>
      </c>
      <c r="I3" s="12" t="n">
        <v>26</v>
      </c>
      <c r="J3" s="12" t="n">
        <v>18</v>
      </c>
      <c r="K3" s="12" t="n">
        <v>100</v>
      </c>
      <c r="L3" s="12" t="n">
        <v>92</v>
      </c>
      <c r="M3" s="12" t="n">
        <v>112</v>
      </c>
      <c r="N3" s="12" t="n">
        <v>75</v>
      </c>
      <c r="O3" s="12" t="n">
        <v>40</v>
      </c>
      <c r="P3" s="12" t="n">
        <v>89</v>
      </c>
      <c r="Q3" s="12" t="n">
        <v>110</v>
      </c>
      <c r="R3" s="12" t="n">
        <v>70</v>
      </c>
      <c r="S3" s="12" t="n">
        <v>34</v>
      </c>
      <c r="T3" s="12" t="n">
        <v>27</v>
      </c>
      <c r="U3" s="12" t="n">
        <v>22</v>
      </c>
      <c r="V3" s="12" t="n">
        <v>106</v>
      </c>
      <c r="W3" s="17" t="n">
        <v>1</v>
      </c>
      <c r="X3" s="6" t="s">
        <v>33</v>
      </c>
      <c r="Y3" s="17"/>
    </row>
    <row r="4" s="8" customFormat="true" ht="30" hidden="false" customHeight="true" outlineLevel="0" collapsed="false">
      <c r="A4" s="13" t="s">
        <v>37</v>
      </c>
      <c r="B4" s="19" t="s">
        <v>38</v>
      </c>
      <c r="C4" s="19" t="s">
        <v>39</v>
      </c>
      <c r="D4" s="15" t="s">
        <v>29</v>
      </c>
      <c r="E4" s="15" t="s">
        <v>30</v>
      </c>
      <c r="F4" s="16" t="s">
        <v>31</v>
      </c>
      <c r="G4" s="15" t="s">
        <v>32</v>
      </c>
      <c r="H4" s="12" t="n">
        <v>47</v>
      </c>
      <c r="I4" s="12" t="n">
        <v>26</v>
      </c>
      <c r="J4" s="12" t="n">
        <v>18</v>
      </c>
      <c r="K4" s="12" t="n">
        <v>96</v>
      </c>
      <c r="L4" s="12" t="n">
        <v>90</v>
      </c>
      <c r="M4" s="12" t="n">
        <v>103</v>
      </c>
      <c r="N4" s="12" t="n">
        <v>70</v>
      </c>
      <c r="O4" s="12" t="n">
        <v>39</v>
      </c>
      <c r="P4" s="12" t="n">
        <v>83</v>
      </c>
      <c r="Q4" s="12" t="n">
        <v>99</v>
      </c>
      <c r="R4" s="12" t="n">
        <v>66</v>
      </c>
      <c r="S4" s="12" t="n">
        <v>33</v>
      </c>
      <c r="T4" s="12" t="n">
        <v>26</v>
      </c>
      <c r="U4" s="12" t="n">
        <v>22</v>
      </c>
      <c r="V4" s="12" t="n">
        <v>94</v>
      </c>
      <c r="W4" s="17" t="n">
        <v>1</v>
      </c>
      <c r="X4" s="6" t="s">
        <v>33</v>
      </c>
      <c r="Y4" s="17"/>
    </row>
    <row r="5" s="8" customFormat="true" ht="30" hidden="false" customHeight="true" outlineLevel="0" collapsed="false">
      <c r="A5" s="18" t="s">
        <v>40</v>
      </c>
      <c r="B5" s="19" t="s">
        <v>41</v>
      </c>
      <c r="C5" s="19" t="s">
        <v>42</v>
      </c>
      <c r="D5" s="15" t="s">
        <v>29</v>
      </c>
      <c r="E5" s="15" t="s">
        <v>30</v>
      </c>
      <c r="F5" s="16" t="s">
        <v>31</v>
      </c>
      <c r="G5" s="15" t="s">
        <v>32</v>
      </c>
      <c r="H5" s="12" t="n">
        <v>46</v>
      </c>
      <c r="I5" s="12" t="n">
        <v>27</v>
      </c>
      <c r="J5" s="12" t="n">
        <v>19</v>
      </c>
      <c r="K5" s="12" t="n">
        <v>99</v>
      </c>
      <c r="L5" s="12" t="n">
        <v>94</v>
      </c>
      <c r="M5" s="12" t="n">
        <v>113</v>
      </c>
      <c r="N5" s="12" t="n">
        <v>74</v>
      </c>
      <c r="O5" s="12" t="n">
        <v>42</v>
      </c>
      <c r="P5" s="12" t="n">
        <v>89</v>
      </c>
      <c r="Q5" s="12" t="n">
        <v>108</v>
      </c>
      <c r="R5" s="12" t="n">
        <v>72</v>
      </c>
      <c r="S5" s="12" t="n">
        <v>35</v>
      </c>
      <c r="T5" s="12" t="n">
        <v>27</v>
      </c>
      <c r="U5" s="12" t="n">
        <v>22</v>
      </c>
      <c r="V5" s="12" t="n">
        <v>98</v>
      </c>
      <c r="W5" s="17" t="n">
        <v>1</v>
      </c>
      <c r="X5" s="6" t="s">
        <v>33</v>
      </c>
      <c r="Y5" s="17"/>
    </row>
    <row r="6" s="8" customFormat="true" ht="30" hidden="false" customHeight="true" outlineLevel="0" collapsed="false">
      <c r="A6" s="13" t="s">
        <v>43</v>
      </c>
      <c r="B6" s="19" t="s">
        <v>44</v>
      </c>
      <c r="C6" s="19" t="s">
        <v>45</v>
      </c>
      <c r="D6" s="15" t="s">
        <v>29</v>
      </c>
      <c r="E6" s="15" t="s">
        <v>30</v>
      </c>
      <c r="F6" s="16" t="s">
        <v>31</v>
      </c>
      <c r="G6" s="15" t="s">
        <v>32</v>
      </c>
      <c r="H6" s="12" t="n">
        <v>47</v>
      </c>
      <c r="I6" s="12" t="n">
        <v>28</v>
      </c>
      <c r="J6" s="12" t="n">
        <v>19</v>
      </c>
      <c r="K6" s="12" t="n">
        <v>104</v>
      </c>
      <c r="L6" s="12" t="n">
        <v>101</v>
      </c>
      <c r="M6" s="12" t="n">
        <v>117</v>
      </c>
      <c r="N6" s="12" t="n">
        <v>74</v>
      </c>
      <c r="O6" s="12" t="n">
        <v>41</v>
      </c>
      <c r="P6" s="12" t="n">
        <v>94</v>
      </c>
      <c r="Q6" s="12" t="n">
        <v>116</v>
      </c>
      <c r="R6" s="12" t="n">
        <v>70</v>
      </c>
      <c r="S6" s="12" t="n">
        <v>35</v>
      </c>
      <c r="T6" s="12" t="n">
        <v>27</v>
      </c>
      <c r="U6" s="12" t="n">
        <v>22</v>
      </c>
      <c r="V6" s="12" t="n">
        <v>99</v>
      </c>
      <c r="W6" s="17" t="n">
        <v>1</v>
      </c>
      <c r="X6" s="6" t="s">
        <v>33</v>
      </c>
      <c r="Y6" s="17"/>
    </row>
    <row r="7" customFormat="false" ht="30" hidden="false" customHeight="true" outlineLevel="0" collapsed="false">
      <c r="A7" s="18" t="s">
        <v>46</v>
      </c>
      <c r="B7" s="19" t="s">
        <v>47</v>
      </c>
      <c r="C7" s="19" t="s">
        <v>48</v>
      </c>
      <c r="D7" s="15" t="s">
        <v>29</v>
      </c>
      <c r="E7" s="15" t="s">
        <v>30</v>
      </c>
      <c r="F7" s="16" t="s">
        <v>31</v>
      </c>
      <c r="G7" s="15" t="s">
        <v>32</v>
      </c>
      <c r="H7" s="12" t="n">
        <v>46</v>
      </c>
      <c r="I7" s="12" t="n">
        <v>27</v>
      </c>
      <c r="J7" s="12" t="n">
        <v>19</v>
      </c>
      <c r="K7" s="12" t="n">
        <v>104</v>
      </c>
      <c r="L7" s="12" t="n">
        <v>100</v>
      </c>
      <c r="M7" s="12" t="n">
        <v>110</v>
      </c>
      <c r="N7" s="12" t="n">
        <v>74</v>
      </c>
      <c r="O7" s="12" t="n">
        <v>42</v>
      </c>
      <c r="P7" s="12" t="n">
        <v>91</v>
      </c>
      <c r="Q7" s="12" t="n">
        <v>107</v>
      </c>
      <c r="R7" s="12" t="n">
        <v>68</v>
      </c>
      <c r="S7" s="12" t="n">
        <v>34</v>
      </c>
      <c r="T7" s="12" t="n">
        <v>26</v>
      </c>
      <c r="U7" s="12" t="n">
        <v>22</v>
      </c>
      <c r="V7" s="4" t="n">
        <v>101</v>
      </c>
      <c r="W7" s="17" t="n">
        <v>1</v>
      </c>
      <c r="X7" s="6" t="s">
        <v>33</v>
      </c>
      <c r="Y7" s="17"/>
      <c r="Z7" s="8"/>
    </row>
    <row r="8" customFormat="false" ht="30" hidden="false" customHeight="true" outlineLevel="0" collapsed="false">
      <c r="A8" s="13" t="s">
        <v>49</v>
      </c>
      <c r="B8" s="19" t="s">
        <v>50</v>
      </c>
      <c r="C8" s="19" t="s">
        <v>51</v>
      </c>
      <c r="D8" s="15" t="s">
        <v>29</v>
      </c>
      <c r="E8" s="15" t="s">
        <v>30</v>
      </c>
      <c r="F8" s="16" t="s">
        <v>31</v>
      </c>
      <c r="G8" s="15" t="s">
        <v>32</v>
      </c>
      <c r="H8" s="12" t="n">
        <v>48</v>
      </c>
      <c r="I8" s="12" t="n">
        <v>27</v>
      </c>
      <c r="J8" s="12" t="n">
        <v>19</v>
      </c>
      <c r="K8" s="12" t="n">
        <v>104</v>
      </c>
      <c r="L8" s="12" t="n">
        <v>103</v>
      </c>
      <c r="M8" s="12" t="n">
        <v>110</v>
      </c>
      <c r="N8" s="12" t="n">
        <v>73</v>
      </c>
      <c r="O8" s="12" t="n">
        <v>42</v>
      </c>
      <c r="P8" s="12" t="n">
        <v>94</v>
      </c>
      <c r="Q8" s="12" t="n">
        <v>108</v>
      </c>
      <c r="R8" s="12" t="n">
        <v>68</v>
      </c>
      <c r="S8" s="12" t="n">
        <v>34</v>
      </c>
      <c r="T8" s="12" t="n">
        <v>27</v>
      </c>
      <c r="U8" s="12" t="n">
        <v>22</v>
      </c>
      <c r="V8" s="12" t="n">
        <v>98</v>
      </c>
      <c r="W8" s="17" t="n">
        <v>1</v>
      </c>
      <c r="X8" s="6" t="s">
        <v>33</v>
      </c>
      <c r="Y8" s="17"/>
      <c r="Z8" s="8"/>
    </row>
    <row r="9" customFormat="false" ht="30" hidden="false" customHeight="true" outlineLevel="0" collapsed="false">
      <c r="A9" s="18" t="s">
        <v>52</v>
      </c>
      <c r="B9" s="19" t="s">
        <v>53</v>
      </c>
      <c r="C9" s="19" t="s">
        <v>54</v>
      </c>
      <c r="D9" s="15" t="s">
        <v>29</v>
      </c>
      <c r="E9" s="15" t="s">
        <v>30</v>
      </c>
      <c r="F9" s="16" t="s">
        <v>31</v>
      </c>
      <c r="G9" s="15" t="s">
        <v>32</v>
      </c>
      <c r="H9" s="12" t="n">
        <v>46</v>
      </c>
      <c r="I9" s="12" t="n">
        <v>26</v>
      </c>
      <c r="J9" s="12" t="n">
        <v>20</v>
      </c>
      <c r="K9" s="12" t="n">
        <v>102</v>
      </c>
      <c r="L9" s="12" t="n">
        <v>102</v>
      </c>
      <c r="M9" s="12" t="n">
        <v>113</v>
      </c>
      <c r="N9" s="12" t="n">
        <v>74</v>
      </c>
      <c r="O9" s="12" t="n">
        <v>43</v>
      </c>
      <c r="P9" s="4" t="n">
        <v>93</v>
      </c>
      <c r="Q9" s="4" t="n">
        <v>110</v>
      </c>
      <c r="R9" s="12" t="n">
        <v>70</v>
      </c>
      <c r="S9" s="12" t="n">
        <v>35</v>
      </c>
      <c r="T9" s="12" t="n">
        <v>27</v>
      </c>
      <c r="U9" s="12" t="n">
        <v>22</v>
      </c>
      <c r="V9" s="12" t="n">
        <v>96</v>
      </c>
      <c r="W9" s="17" t="n">
        <v>1</v>
      </c>
      <c r="X9" s="6" t="s">
        <v>33</v>
      </c>
      <c r="Y9" s="17"/>
      <c r="Z9" s="8"/>
    </row>
    <row r="10" customFormat="false" ht="30" hidden="false" customHeight="true" outlineLevel="0" collapsed="false">
      <c r="A10" s="13" t="s">
        <v>55</v>
      </c>
      <c r="B10" s="19" t="s">
        <v>56</v>
      </c>
      <c r="C10" s="19" t="s">
        <v>51</v>
      </c>
      <c r="D10" s="15" t="s">
        <v>29</v>
      </c>
      <c r="E10" s="15" t="s">
        <v>30</v>
      </c>
      <c r="F10" s="16" t="s">
        <v>31</v>
      </c>
      <c r="G10" s="15" t="s">
        <v>32</v>
      </c>
      <c r="H10" s="12" t="n">
        <v>45</v>
      </c>
      <c r="I10" s="12" t="n">
        <v>26</v>
      </c>
      <c r="J10" s="12" t="n">
        <v>18</v>
      </c>
      <c r="K10" s="12" t="n">
        <v>98</v>
      </c>
      <c r="L10" s="12" t="n">
        <v>94</v>
      </c>
      <c r="M10" s="12" t="n">
        <v>107</v>
      </c>
      <c r="N10" s="12" t="n">
        <v>70</v>
      </c>
      <c r="O10" s="12" t="n">
        <v>39</v>
      </c>
      <c r="P10" s="12" t="n">
        <v>88</v>
      </c>
      <c r="Q10" s="12" t="n">
        <v>104</v>
      </c>
      <c r="R10" s="12" t="n">
        <v>64</v>
      </c>
      <c r="S10" s="12" t="n">
        <v>33</v>
      </c>
      <c r="T10" s="12" t="n">
        <v>26</v>
      </c>
      <c r="U10" s="12" t="n">
        <v>22</v>
      </c>
      <c r="V10" s="12" t="n">
        <v>90</v>
      </c>
      <c r="W10" s="17" t="n">
        <v>1</v>
      </c>
      <c r="X10" s="6" t="s">
        <v>33</v>
      </c>
      <c r="Y10" s="17"/>
      <c r="Z10" s="8"/>
    </row>
    <row r="11" customFormat="false" ht="30" hidden="false" customHeight="true" outlineLevel="0" collapsed="false">
      <c r="A11" s="18" t="s">
        <v>57</v>
      </c>
      <c r="B11" s="19" t="s">
        <v>58</v>
      </c>
      <c r="C11" s="19" t="s">
        <v>59</v>
      </c>
      <c r="D11" s="15" t="s">
        <v>29</v>
      </c>
      <c r="E11" s="15" t="s">
        <v>30</v>
      </c>
      <c r="F11" s="16" t="s">
        <v>31</v>
      </c>
      <c r="G11" s="15" t="s">
        <v>32</v>
      </c>
      <c r="H11" s="12" t="n">
        <v>47</v>
      </c>
      <c r="I11" s="12" t="n">
        <v>26</v>
      </c>
      <c r="J11" s="12" t="n">
        <v>19</v>
      </c>
      <c r="K11" s="12" t="n">
        <v>103</v>
      </c>
      <c r="L11" s="12" t="n">
        <v>88</v>
      </c>
      <c r="M11" s="12" t="n">
        <v>108</v>
      </c>
      <c r="N11" s="12" t="n">
        <v>73</v>
      </c>
      <c r="O11" s="12" t="n">
        <v>41</v>
      </c>
      <c r="P11" s="12" t="n">
        <v>89</v>
      </c>
      <c r="Q11" s="12" t="n">
        <v>107</v>
      </c>
      <c r="R11" s="12" t="n">
        <v>69</v>
      </c>
      <c r="S11" s="12" t="n">
        <v>35</v>
      </c>
      <c r="T11" s="12" t="n">
        <v>27</v>
      </c>
      <c r="U11" s="12" t="n">
        <v>22</v>
      </c>
      <c r="V11" s="12" t="n">
        <v>98</v>
      </c>
      <c r="W11" s="17" t="n">
        <v>1</v>
      </c>
      <c r="X11" s="6" t="s">
        <v>33</v>
      </c>
      <c r="Y11" s="17"/>
      <c r="Z11" s="8"/>
    </row>
    <row r="12" customFormat="false" ht="30" hidden="false" customHeight="true" outlineLevel="0" collapsed="false">
      <c r="A12" s="13" t="s">
        <v>60</v>
      </c>
      <c r="B12" s="19" t="s">
        <v>61</v>
      </c>
      <c r="C12" s="19" t="s">
        <v>62</v>
      </c>
      <c r="D12" s="15" t="s">
        <v>29</v>
      </c>
      <c r="E12" s="15" t="s">
        <v>30</v>
      </c>
      <c r="F12" s="16" t="s">
        <v>31</v>
      </c>
      <c r="G12" s="15" t="s">
        <v>32</v>
      </c>
      <c r="H12" s="12" t="n">
        <v>48</v>
      </c>
      <c r="I12" s="12" t="n">
        <v>27</v>
      </c>
      <c r="J12" s="12" t="n">
        <v>19</v>
      </c>
      <c r="K12" s="12" t="n">
        <v>105</v>
      </c>
      <c r="L12" s="12" t="n">
        <v>99</v>
      </c>
      <c r="M12" s="12" t="n">
        <v>112</v>
      </c>
      <c r="N12" s="12" t="n">
        <v>71</v>
      </c>
      <c r="O12" s="12" t="n">
        <v>41</v>
      </c>
      <c r="P12" s="12" t="n">
        <v>92</v>
      </c>
      <c r="Q12" s="12" t="n">
        <v>108</v>
      </c>
      <c r="R12" s="12" t="n">
        <v>73</v>
      </c>
      <c r="S12" s="12" t="n">
        <v>35</v>
      </c>
      <c r="T12" s="12" t="n">
        <v>27</v>
      </c>
      <c r="U12" s="12" t="n">
        <v>22</v>
      </c>
      <c r="V12" s="12" t="n">
        <v>98</v>
      </c>
      <c r="W12" s="17" t="n">
        <v>1</v>
      </c>
      <c r="X12" s="6" t="s">
        <v>33</v>
      </c>
      <c r="Y12" s="17"/>
      <c r="Z12" s="8"/>
    </row>
    <row r="13" customFormat="false" ht="30" hidden="false" customHeight="true" outlineLevel="0" collapsed="false">
      <c r="A13" s="18" t="s">
        <v>63</v>
      </c>
      <c r="B13" s="19" t="s">
        <v>64</v>
      </c>
      <c r="C13" s="19" t="s">
        <v>65</v>
      </c>
      <c r="D13" s="15" t="s">
        <v>29</v>
      </c>
      <c r="E13" s="15" t="s">
        <v>30</v>
      </c>
      <c r="F13" s="16" t="s">
        <v>31</v>
      </c>
      <c r="G13" s="15" t="s">
        <v>32</v>
      </c>
      <c r="H13" s="4" t="n">
        <v>47</v>
      </c>
      <c r="I13" s="4" t="n">
        <v>26</v>
      </c>
      <c r="J13" s="4" t="n">
        <v>20</v>
      </c>
      <c r="K13" s="4" t="n">
        <v>110</v>
      </c>
      <c r="L13" s="4" t="n">
        <v>105</v>
      </c>
      <c r="M13" s="4" t="n">
        <v>119</v>
      </c>
      <c r="N13" s="4" t="n">
        <v>72</v>
      </c>
      <c r="O13" s="4" t="n">
        <v>43</v>
      </c>
      <c r="P13" s="4" t="n">
        <v>96</v>
      </c>
      <c r="Q13" s="4" t="n">
        <v>119</v>
      </c>
      <c r="R13" s="4" t="n">
        <v>73</v>
      </c>
      <c r="S13" s="4" t="n">
        <v>36</v>
      </c>
      <c r="T13" s="4" t="n">
        <v>28</v>
      </c>
      <c r="U13" s="4" t="n">
        <v>22</v>
      </c>
      <c r="V13" s="4" t="n">
        <v>100</v>
      </c>
      <c r="W13" s="17" t="n">
        <v>1</v>
      </c>
      <c r="X13" s="6" t="s">
        <v>33</v>
      </c>
      <c r="Z13" s="8"/>
    </row>
    <row r="14" customFormat="false" ht="30" hidden="false" customHeight="true" outlineLevel="0" collapsed="false">
      <c r="A14" s="13" t="s">
        <v>66</v>
      </c>
      <c r="B14" s="19" t="s">
        <v>67</v>
      </c>
      <c r="C14" s="19" t="s">
        <v>68</v>
      </c>
      <c r="D14" s="15" t="s">
        <v>29</v>
      </c>
      <c r="E14" s="15" t="s">
        <v>30</v>
      </c>
      <c r="F14" s="16" t="s">
        <v>31</v>
      </c>
      <c r="G14" s="15" t="s">
        <v>32</v>
      </c>
      <c r="H14" s="4" t="n">
        <v>47</v>
      </c>
      <c r="I14" s="4" t="n">
        <v>26</v>
      </c>
      <c r="J14" s="4" t="n">
        <v>18</v>
      </c>
      <c r="K14" s="4" t="n">
        <v>97</v>
      </c>
      <c r="L14" s="4" t="n">
        <v>85</v>
      </c>
      <c r="M14" s="4" t="n">
        <v>107</v>
      </c>
      <c r="N14" s="4" t="n">
        <v>72</v>
      </c>
      <c r="O14" s="4" t="n">
        <v>40</v>
      </c>
      <c r="P14" s="4" t="n">
        <v>78</v>
      </c>
      <c r="Q14" s="4" t="n">
        <v>99</v>
      </c>
      <c r="R14" s="4" t="n">
        <v>68</v>
      </c>
      <c r="S14" s="4" t="n">
        <v>32</v>
      </c>
      <c r="T14" s="4" t="n">
        <v>26</v>
      </c>
      <c r="U14" s="4" t="n">
        <v>22</v>
      </c>
      <c r="V14" s="4" t="n">
        <v>102</v>
      </c>
      <c r="W14" s="17" t="n">
        <v>1</v>
      </c>
      <c r="X14" s="6" t="s">
        <v>33</v>
      </c>
      <c r="Z14" s="8"/>
    </row>
    <row r="15" customFormat="false" ht="30" hidden="false" customHeight="true" outlineLevel="0" collapsed="false">
      <c r="A15" s="18" t="s">
        <v>69</v>
      </c>
      <c r="B15" s="19" t="s">
        <v>70</v>
      </c>
      <c r="C15" s="19" t="s">
        <v>71</v>
      </c>
      <c r="D15" s="15" t="s">
        <v>29</v>
      </c>
      <c r="E15" s="15" t="s">
        <v>30</v>
      </c>
      <c r="F15" s="16" t="s">
        <v>31</v>
      </c>
      <c r="G15" s="15" t="s">
        <v>32</v>
      </c>
      <c r="H15" s="4" t="n">
        <v>46</v>
      </c>
      <c r="I15" s="4" t="n">
        <v>27</v>
      </c>
      <c r="J15" s="4" t="n">
        <v>20</v>
      </c>
      <c r="K15" s="4" t="n">
        <v>105</v>
      </c>
      <c r="L15" s="4" t="n">
        <v>105</v>
      </c>
      <c r="M15" s="4" t="n">
        <v>114</v>
      </c>
      <c r="N15" s="4" t="n">
        <v>73</v>
      </c>
      <c r="O15" s="4" t="n">
        <v>42</v>
      </c>
      <c r="P15" s="4" t="n">
        <v>99</v>
      </c>
      <c r="Q15" s="4" t="n">
        <v>116</v>
      </c>
      <c r="R15" s="4" t="n">
        <v>72</v>
      </c>
      <c r="S15" s="4" t="n">
        <v>37</v>
      </c>
      <c r="T15" s="4" t="n">
        <v>28</v>
      </c>
      <c r="U15" s="4" t="n">
        <v>22</v>
      </c>
      <c r="V15" s="4" t="n">
        <v>102</v>
      </c>
      <c r="W15" s="17" t="n">
        <v>1</v>
      </c>
      <c r="X15" s="6" t="s">
        <v>33</v>
      </c>
    </row>
    <row r="16" customFormat="false" ht="30" hidden="false" customHeight="true" outlineLevel="0" collapsed="false">
      <c r="A16" s="13" t="s">
        <v>72</v>
      </c>
      <c r="B16" s="19" t="s">
        <v>73</v>
      </c>
      <c r="C16" s="19" t="s">
        <v>74</v>
      </c>
      <c r="D16" s="15" t="s">
        <v>29</v>
      </c>
      <c r="E16" s="15" t="s">
        <v>30</v>
      </c>
      <c r="F16" s="16" t="s">
        <v>31</v>
      </c>
      <c r="G16" s="15" t="s">
        <v>32</v>
      </c>
      <c r="H16" s="4" t="n">
        <v>47</v>
      </c>
      <c r="I16" s="4" t="n">
        <v>27</v>
      </c>
      <c r="J16" s="4" t="n">
        <v>19</v>
      </c>
      <c r="K16" s="4" t="n">
        <v>108</v>
      </c>
      <c r="L16" s="4" t="n">
        <v>105</v>
      </c>
      <c r="M16" s="4" t="n">
        <v>116</v>
      </c>
      <c r="N16" s="4" t="n">
        <v>70</v>
      </c>
      <c r="O16" s="4" t="n">
        <v>42</v>
      </c>
      <c r="P16" s="4" t="n">
        <v>96</v>
      </c>
      <c r="Q16" s="4" t="n">
        <v>112</v>
      </c>
      <c r="R16" s="4" t="n">
        <v>67</v>
      </c>
      <c r="S16" s="4" t="n">
        <v>35</v>
      </c>
      <c r="T16" s="4" t="n">
        <v>27</v>
      </c>
      <c r="U16" s="4" t="n">
        <v>22</v>
      </c>
      <c r="V16" s="4" t="n">
        <v>96</v>
      </c>
      <c r="W16" s="17" t="n">
        <v>1</v>
      </c>
      <c r="X16" s="6" t="s">
        <v>33</v>
      </c>
    </row>
    <row r="17" customFormat="false" ht="30" hidden="false" customHeight="true" outlineLevel="0" collapsed="false">
      <c r="A17" s="18" t="s">
        <v>75</v>
      </c>
      <c r="B17" s="19" t="s">
        <v>76</v>
      </c>
      <c r="C17" s="19" t="s">
        <v>77</v>
      </c>
      <c r="D17" s="15" t="s">
        <v>29</v>
      </c>
      <c r="E17" s="15" t="s">
        <v>30</v>
      </c>
      <c r="F17" s="16" t="s">
        <v>31</v>
      </c>
      <c r="G17" s="15" t="s">
        <v>32</v>
      </c>
      <c r="H17" s="4" t="n">
        <v>45</v>
      </c>
      <c r="I17" s="4" t="n">
        <v>25</v>
      </c>
      <c r="J17" s="4" t="n">
        <v>18</v>
      </c>
      <c r="K17" s="4" t="n">
        <v>105</v>
      </c>
      <c r="L17" s="4" t="n">
        <v>101</v>
      </c>
      <c r="M17" s="4" t="n">
        <v>116</v>
      </c>
      <c r="N17" s="4" t="n">
        <v>68</v>
      </c>
      <c r="O17" s="4" t="n">
        <v>41</v>
      </c>
      <c r="P17" s="4" t="n">
        <v>89</v>
      </c>
      <c r="Q17" s="4" t="n">
        <v>106</v>
      </c>
      <c r="R17" s="4" t="n">
        <v>66</v>
      </c>
      <c r="S17" s="4" t="n">
        <v>34</v>
      </c>
      <c r="T17" s="4" t="n">
        <v>26</v>
      </c>
      <c r="U17" s="4" t="n">
        <v>22</v>
      </c>
      <c r="V17" s="4" t="n">
        <v>94</v>
      </c>
      <c r="W17" s="17" t="n">
        <v>1</v>
      </c>
      <c r="X17" s="6" t="s">
        <v>33</v>
      </c>
    </row>
    <row r="18" customFormat="false" ht="30" hidden="false" customHeight="true" outlineLevel="0" collapsed="false">
      <c r="A18" s="13" t="s">
        <v>78</v>
      </c>
      <c r="B18" s="19" t="s">
        <v>79</v>
      </c>
      <c r="C18" s="19" t="s">
        <v>74</v>
      </c>
      <c r="D18" s="15" t="s">
        <v>29</v>
      </c>
      <c r="E18" s="15" t="s">
        <v>30</v>
      </c>
      <c r="F18" s="16" t="s">
        <v>31</v>
      </c>
      <c r="G18" s="15" t="s">
        <v>32</v>
      </c>
      <c r="H18" s="4" t="n">
        <v>45</v>
      </c>
      <c r="I18" s="4" t="n">
        <v>26</v>
      </c>
      <c r="J18" s="4" t="n">
        <v>18</v>
      </c>
      <c r="K18" s="4" t="n">
        <v>101</v>
      </c>
      <c r="L18" s="4" t="n">
        <v>99</v>
      </c>
      <c r="M18" s="4" t="n">
        <v>115</v>
      </c>
      <c r="N18" s="4" t="n">
        <v>71</v>
      </c>
      <c r="O18" s="4" t="n">
        <v>41</v>
      </c>
      <c r="P18" s="4" t="n">
        <v>94</v>
      </c>
      <c r="Q18" s="4" t="n">
        <v>110</v>
      </c>
      <c r="R18" s="4" t="n">
        <v>68</v>
      </c>
      <c r="S18" s="4" t="n">
        <v>36</v>
      </c>
      <c r="T18" s="4" t="n">
        <v>27</v>
      </c>
      <c r="U18" s="4" t="n">
        <v>22</v>
      </c>
      <c r="V18" s="4" t="n">
        <v>94</v>
      </c>
      <c r="W18" s="17" t="n">
        <v>1</v>
      </c>
      <c r="X18" s="6" t="s">
        <v>33</v>
      </c>
    </row>
    <row r="19" customFormat="false" ht="30" hidden="false" customHeight="true" outlineLevel="0" collapsed="false">
      <c r="A19" s="18" t="s">
        <v>80</v>
      </c>
      <c r="B19" s="19" t="s">
        <v>81</v>
      </c>
      <c r="C19" s="19" t="s">
        <v>82</v>
      </c>
      <c r="D19" s="15" t="s">
        <v>29</v>
      </c>
      <c r="E19" s="15" t="s">
        <v>30</v>
      </c>
      <c r="F19" s="16" t="s">
        <v>31</v>
      </c>
      <c r="G19" s="15" t="s">
        <v>32</v>
      </c>
      <c r="H19" s="4" t="n">
        <v>47</v>
      </c>
      <c r="I19" s="4" t="n">
        <v>26</v>
      </c>
      <c r="J19" s="4" t="n">
        <v>18</v>
      </c>
      <c r="K19" s="4" t="n">
        <v>95</v>
      </c>
      <c r="L19" s="4" t="n">
        <v>91</v>
      </c>
      <c r="M19" s="4" t="n">
        <v>102</v>
      </c>
      <c r="N19" s="4" t="n">
        <v>72</v>
      </c>
      <c r="O19" s="4" t="n">
        <v>40</v>
      </c>
      <c r="P19" s="4" t="n">
        <v>82</v>
      </c>
      <c r="Q19" s="4" t="n">
        <v>99</v>
      </c>
      <c r="R19" s="4" t="n">
        <v>68</v>
      </c>
      <c r="S19" s="4" t="n">
        <v>33</v>
      </c>
      <c r="T19" s="4" t="n">
        <v>26</v>
      </c>
      <c r="U19" s="4" t="n">
        <v>22</v>
      </c>
      <c r="V19" s="4" t="n">
        <v>98</v>
      </c>
      <c r="W19" s="17" t="n">
        <v>1</v>
      </c>
      <c r="X19" s="6" t="s">
        <v>33</v>
      </c>
    </row>
    <row r="20" customFormat="false" ht="30" hidden="false" customHeight="true" outlineLevel="0" collapsed="false">
      <c r="A20" s="13" t="s">
        <v>83</v>
      </c>
      <c r="B20" s="19" t="s">
        <v>84</v>
      </c>
      <c r="C20" s="19" t="s">
        <v>85</v>
      </c>
      <c r="D20" s="15" t="s">
        <v>29</v>
      </c>
      <c r="E20" s="15" t="s">
        <v>30</v>
      </c>
      <c r="F20" s="16" t="s">
        <v>31</v>
      </c>
      <c r="G20" s="15" t="s">
        <v>32</v>
      </c>
      <c r="H20" s="4" t="n">
        <v>46</v>
      </c>
      <c r="I20" s="4" t="n">
        <v>27</v>
      </c>
      <c r="J20" s="4" t="n">
        <v>18</v>
      </c>
      <c r="K20" s="4" t="n">
        <v>99</v>
      </c>
      <c r="L20" s="4" t="n">
        <v>94</v>
      </c>
      <c r="M20" s="4" t="n">
        <v>114</v>
      </c>
      <c r="N20" s="4" t="n">
        <v>74</v>
      </c>
      <c r="O20" s="4" t="n">
        <v>40</v>
      </c>
      <c r="P20" s="4" t="n">
        <v>90</v>
      </c>
      <c r="Q20" s="4" t="n">
        <v>109</v>
      </c>
      <c r="R20" s="4" t="n">
        <v>73</v>
      </c>
      <c r="S20" s="4" t="n">
        <v>35</v>
      </c>
      <c r="T20" s="4" t="n">
        <v>27</v>
      </c>
      <c r="U20" s="4" t="n">
        <v>22</v>
      </c>
      <c r="V20" s="4" t="n">
        <v>102</v>
      </c>
      <c r="W20" s="17" t="n">
        <v>1</v>
      </c>
      <c r="X20" s="6" t="s">
        <v>33</v>
      </c>
    </row>
    <row r="21" customFormat="false" ht="30" hidden="false" customHeight="true" outlineLevel="0" collapsed="false">
      <c r="A21" s="18" t="s">
        <v>86</v>
      </c>
      <c r="B21" s="19" t="s">
        <v>87</v>
      </c>
      <c r="C21" s="19" t="s">
        <v>88</v>
      </c>
      <c r="D21" s="15" t="s">
        <v>29</v>
      </c>
      <c r="E21" s="15" t="s">
        <v>30</v>
      </c>
      <c r="F21" s="16" t="s">
        <v>89</v>
      </c>
      <c r="G21" s="15" t="s">
        <v>32</v>
      </c>
      <c r="H21" s="4" t="n">
        <v>44</v>
      </c>
      <c r="I21" s="4" t="n">
        <v>61</v>
      </c>
      <c r="J21" s="4" t="n">
        <v>18</v>
      </c>
      <c r="K21" s="4" t="n">
        <v>14</v>
      </c>
      <c r="L21" s="4" t="n">
        <v>101</v>
      </c>
      <c r="M21" s="4" t="n">
        <v>84</v>
      </c>
      <c r="N21" s="4" t="n">
        <v>109</v>
      </c>
      <c r="O21" s="4" t="s">
        <v>90</v>
      </c>
      <c r="P21" s="4" t="n">
        <v>91</v>
      </c>
      <c r="Q21" s="4" t="n">
        <v>105</v>
      </c>
      <c r="R21" s="4" t="n">
        <v>66</v>
      </c>
      <c r="S21" s="4" t="n">
        <v>34</v>
      </c>
      <c r="T21" s="4" t="n">
        <v>27</v>
      </c>
      <c r="U21" s="4" t="n">
        <v>22</v>
      </c>
      <c r="V21" s="4" t="n">
        <v>96</v>
      </c>
      <c r="W21" s="17" t="n">
        <v>1</v>
      </c>
      <c r="X21" s="6" t="s">
        <v>33</v>
      </c>
    </row>
    <row r="22" customFormat="false" ht="30" hidden="false" customHeight="true" outlineLevel="0" collapsed="false">
      <c r="A22" s="13" t="s">
        <v>91</v>
      </c>
      <c r="B22" s="19" t="s">
        <v>92</v>
      </c>
      <c r="C22" s="19" t="s">
        <v>93</v>
      </c>
      <c r="D22" s="15" t="s">
        <v>29</v>
      </c>
      <c r="E22" s="15" t="s">
        <v>30</v>
      </c>
      <c r="F22" s="16" t="s">
        <v>31</v>
      </c>
      <c r="G22" s="16" t="s">
        <v>94</v>
      </c>
      <c r="H22" s="4" t="n">
        <v>46</v>
      </c>
      <c r="I22" s="4" t="n">
        <v>26</v>
      </c>
      <c r="J22" s="4" t="n">
        <v>19</v>
      </c>
      <c r="K22" s="4" t="n">
        <v>101</v>
      </c>
      <c r="L22" s="4" t="n">
        <v>103</v>
      </c>
      <c r="M22" s="4" t="n">
        <v>114</v>
      </c>
      <c r="N22" s="4" t="n">
        <v>74</v>
      </c>
      <c r="O22" s="4" t="n">
        <v>41</v>
      </c>
      <c r="P22" s="4" t="n">
        <v>90</v>
      </c>
      <c r="Q22" s="4" t="n">
        <v>114</v>
      </c>
      <c r="R22" s="4" t="n">
        <v>71</v>
      </c>
      <c r="S22" s="4" t="n">
        <v>35</v>
      </c>
      <c r="T22" s="4" t="n">
        <v>27</v>
      </c>
      <c r="U22" s="4" t="n">
        <v>22</v>
      </c>
      <c r="V22" s="4" t="n">
        <v>100</v>
      </c>
      <c r="W22" s="17" t="n">
        <v>1</v>
      </c>
      <c r="X22" s="6" t="s">
        <v>33</v>
      </c>
    </row>
    <row r="23" customFormat="false" ht="30" hidden="false" customHeight="true" outlineLevel="0" collapsed="false">
      <c r="A23" s="18" t="s">
        <v>95</v>
      </c>
      <c r="B23" s="19" t="s">
        <v>96</v>
      </c>
      <c r="C23" s="19" t="s">
        <v>97</v>
      </c>
      <c r="D23" s="15" t="s">
        <v>29</v>
      </c>
      <c r="E23" s="15" t="s">
        <v>30</v>
      </c>
      <c r="F23" s="16" t="s">
        <v>31</v>
      </c>
      <c r="G23" s="16" t="s">
        <v>94</v>
      </c>
      <c r="H23" s="4" t="n">
        <v>47</v>
      </c>
      <c r="I23" s="4" t="n">
        <v>29</v>
      </c>
      <c r="J23" s="4" t="n">
        <v>18</v>
      </c>
      <c r="K23" s="4" t="n">
        <v>100</v>
      </c>
      <c r="L23" s="4" t="n">
        <v>92</v>
      </c>
      <c r="M23" s="4" t="n">
        <v>111</v>
      </c>
      <c r="N23" s="4" t="n">
        <v>78</v>
      </c>
      <c r="O23" s="4" t="n">
        <v>41</v>
      </c>
      <c r="P23" s="4" t="n">
        <v>89</v>
      </c>
      <c r="Q23" s="4" t="n">
        <v>110</v>
      </c>
      <c r="R23" s="4" t="n">
        <v>68</v>
      </c>
      <c r="S23" s="4" t="n">
        <v>34</v>
      </c>
      <c r="T23" s="4" t="n">
        <v>27</v>
      </c>
      <c r="U23" s="4" t="n">
        <v>22</v>
      </c>
      <c r="V23" s="4" t="n">
        <v>101</v>
      </c>
      <c r="W23" s="17" t="n">
        <v>1</v>
      </c>
      <c r="X23" s="6" t="s">
        <v>33</v>
      </c>
    </row>
    <row r="24" customFormat="false" ht="30" hidden="false" customHeight="true" outlineLevel="0" collapsed="false">
      <c r="A24" s="13" t="s">
        <v>98</v>
      </c>
      <c r="B24" s="19" t="s">
        <v>99</v>
      </c>
      <c r="C24" s="19" t="s">
        <v>100</v>
      </c>
      <c r="D24" s="15" t="s">
        <v>29</v>
      </c>
      <c r="E24" s="15" t="s">
        <v>30</v>
      </c>
      <c r="F24" s="16" t="s">
        <v>31</v>
      </c>
      <c r="G24" s="16" t="s">
        <v>94</v>
      </c>
      <c r="H24" s="4" t="n">
        <v>47</v>
      </c>
      <c r="I24" s="4" t="n">
        <v>27</v>
      </c>
      <c r="J24" s="4" t="n">
        <v>19</v>
      </c>
      <c r="K24" s="4" t="n">
        <v>102</v>
      </c>
      <c r="L24" s="4" t="n">
        <v>99</v>
      </c>
      <c r="M24" s="4" t="n">
        <v>112</v>
      </c>
      <c r="N24" s="4" t="n">
        <v>72</v>
      </c>
      <c r="O24" s="4" t="n">
        <v>41</v>
      </c>
      <c r="P24" s="4" t="n">
        <v>93</v>
      </c>
      <c r="Q24" s="4" t="n">
        <v>108</v>
      </c>
      <c r="R24" s="4" t="n">
        <v>71</v>
      </c>
      <c r="S24" s="4" t="n">
        <v>36</v>
      </c>
      <c r="T24" s="4" t="n">
        <v>27</v>
      </c>
      <c r="U24" s="4" t="n">
        <v>22</v>
      </c>
      <c r="V24" s="4" t="n">
        <v>100</v>
      </c>
      <c r="W24" s="17" t="n">
        <v>1</v>
      </c>
      <c r="X24" s="6" t="s">
        <v>33</v>
      </c>
    </row>
    <row r="25" customFormat="false" ht="30" hidden="false" customHeight="true" outlineLevel="0" collapsed="false">
      <c r="A25" s="18" t="s">
        <v>101</v>
      </c>
      <c r="B25" s="2" t="s">
        <v>102</v>
      </c>
      <c r="C25" s="1" t="s">
        <v>103</v>
      </c>
      <c r="D25" s="15" t="s">
        <v>29</v>
      </c>
      <c r="E25" s="15" t="s">
        <v>30</v>
      </c>
      <c r="F25" s="16" t="s">
        <v>31</v>
      </c>
      <c r="G25" s="4" t="s">
        <v>32</v>
      </c>
      <c r="H25" s="4" t="n">
        <v>47</v>
      </c>
      <c r="I25" s="4" t="n">
        <v>28</v>
      </c>
      <c r="J25" s="4" t="n">
        <v>19</v>
      </c>
      <c r="K25" s="4" t="n">
        <v>102</v>
      </c>
      <c r="L25" s="4" t="n">
        <v>95</v>
      </c>
      <c r="M25" s="4" t="n">
        <v>109</v>
      </c>
      <c r="N25" s="4" t="n">
        <v>72</v>
      </c>
      <c r="O25" s="4" t="n">
        <v>42</v>
      </c>
      <c r="P25" s="4" t="n">
        <v>91</v>
      </c>
      <c r="Q25" s="4" t="n">
        <v>107</v>
      </c>
      <c r="R25" s="4" t="n">
        <v>71</v>
      </c>
      <c r="S25" s="4" t="n">
        <v>35</v>
      </c>
      <c r="T25" s="4" t="n">
        <v>27</v>
      </c>
      <c r="U25" s="4" t="n">
        <v>22</v>
      </c>
      <c r="V25" s="4" t="n">
        <v>98</v>
      </c>
      <c r="W25" s="6" t="s">
        <v>104</v>
      </c>
      <c r="X25" s="6" t="s">
        <v>105</v>
      </c>
    </row>
    <row r="26" customFormat="false" ht="30" hidden="false" customHeight="true" outlineLevel="0" collapsed="false">
      <c r="A26" s="13" t="s">
        <v>106</v>
      </c>
      <c r="B26" s="2" t="s">
        <v>107</v>
      </c>
      <c r="C26" s="1" t="s">
        <v>108</v>
      </c>
      <c r="D26" s="15" t="s">
        <v>29</v>
      </c>
      <c r="E26" s="15" t="s">
        <v>30</v>
      </c>
      <c r="F26" s="16" t="s">
        <v>31</v>
      </c>
      <c r="G26" s="4" t="s">
        <v>32</v>
      </c>
      <c r="H26" s="4" t="n">
        <v>47</v>
      </c>
      <c r="I26" s="4" t="n">
        <v>27</v>
      </c>
      <c r="J26" s="4" t="n">
        <v>19</v>
      </c>
      <c r="K26" s="4" t="n">
        <v>104</v>
      </c>
      <c r="L26" s="4" t="n">
        <v>94</v>
      </c>
      <c r="M26" s="4" t="n">
        <v>112</v>
      </c>
      <c r="N26" s="4" t="n">
        <v>75</v>
      </c>
      <c r="O26" s="4" t="n">
        <v>42</v>
      </c>
      <c r="P26" s="4" t="n">
        <v>90</v>
      </c>
      <c r="Q26" s="4" t="n">
        <v>110</v>
      </c>
      <c r="R26" s="4" t="n">
        <v>72</v>
      </c>
      <c r="S26" s="4" t="n">
        <v>36</v>
      </c>
      <c r="T26" s="4" t="n">
        <v>27</v>
      </c>
      <c r="U26" s="4" t="n">
        <v>22</v>
      </c>
      <c r="V26" s="4" t="n">
        <v>102</v>
      </c>
      <c r="W26" s="6" t="s">
        <v>104</v>
      </c>
      <c r="X26" s="6" t="s">
        <v>105</v>
      </c>
    </row>
    <row r="27" customFormat="false" ht="30" hidden="false" customHeight="true" outlineLevel="0" collapsed="false">
      <c r="A27" s="18" t="s">
        <v>109</v>
      </c>
      <c r="B27" s="2" t="s">
        <v>110</v>
      </c>
      <c r="C27" s="1" t="s">
        <v>111</v>
      </c>
      <c r="D27" s="15" t="s">
        <v>29</v>
      </c>
      <c r="E27" s="15" t="s">
        <v>30</v>
      </c>
      <c r="F27" s="16" t="s">
        <v>31</v>
      </c>
      <c r="G27" s="4" t="s">
        <v>32</v>
      </c>
      <c r="H27" s="4" t="n">
        <v>46</v>
      </c>
      <c r="I27" s="4" t="n">
        <v>25</v>
      </c>
      <c r="J27" s="4" t="n">
        <v>19</v>
      </c>
      <c r="K27" s="4" t="n">
        <v>101</v>
      </c>
      <c r="L27" s="4" t="n">
        <v>98</v>
      </c>
      <c r="M27" s="4" t="n">
        <v>106</v>
      </c>
      <c r="N27" s="4" t="n">
        <v>69</v>
      </c>
      <c r="O27" s="4" t="n">
        <v>42</v>
      </c>
      <c r="P27" s="4" t="n">
        <v>92</v>
      </c>
      <c r="Q27" s="4" t="n">
        <v>104</v>
      </c>
      <c r="R27" s="4" t="n">
        <v>70</v>
      </c>
      <c r="S27" s="4" t="n">
        <v>34</v>
      </c>
      <c r="T27" s="4" t="n">
        <v>27</v>
      </c>
      <c r="U27" s="4" t="n">
        <v>22</v>
      </c>
      <c r="V27" s="4" t="n">
        <v>96</v>
      </c>
      <c r="W27" s="6" t="s">
        <v>104</v>
      </c>
      <c r="X27" s="6" t="s">
        <v>105</v>
      </c>
    </row>
    <row r="28" customFormat="false" ht="30" hidden="false" customHeight="true" outlineLevel="0" collapsed="false">
      <c r="A28" s="13" t="s">
        <v>112</v>
      </c>
      <c r="B28" s="2" t="s">
        <v>113</v>
      </c>
      <c r="C28" s="1" t="s">
        <v>114</v>
      </c>
      <c r="D28" s="15" t="s">
        <v>29</v>
      </c>
      <c r="E28" s="15" t="s">
        <v>30</v>
      </c>
      <c r="F28" s="16" t="s">
        <v>31</v>
      </c>
      <c r="G28" s="4" t="s">
        <v>32</v>
      </c>
      <c r="H28" s="4" t="n">
        <v>47</v>
      </c>
      <c r="I28" s="4" t="n">
        <v>26</v>
      </c>
      <c r="J28" s="4" t="n">
        <v>18</v>
      </c>
      <c r="K28" s="4" t="n">
        <v>99</v>
      </c>
      <c r="L28" s="4" t="n">
        <v>90</v>
      </c>
      <c r="M28" s="4" t="n">
        <v>106</v>
      </c>
      <c r="N28" s="4" t="n">
        <v>75</v>
      </c>
      <c r="O28" s="4" t="n">
        <v>41</v>
      </c>
      <c r="P28" s="4" t="n">
        <v>83</v>
      </c>
      <c r="Q28" s="4" t="n">
        <v>103</v>
      </c>
      <c r="R28" s="4" t="n">
        <v>72</v>
      </c>
      <c r="S28" s="4" t="n">
        <v>33</v>
      </c>
      <c r="T28" s="4" t="n">
        <v>26</v>
      </c>
      <c r="U28" s="4" t="n">
        <v>21</v>
      </c>
      <c r="V28" s="4" t="n">
        <v>101</v>
      </c>
      <c r="W28" s="6" t="s">
        <v>104</v>
      </c>
      <c r="X28" s="6" t="s">
        <v>105</v>
      </c>
    </row>
    <row r="29" customFormat="false" ht="30" hidden="false" customHeight="true" outlineLevel="0" collapsed="false">
      <c r="A29" s="18" t="s">
        <v>115</v>
      </c>
      <c r="B29" s="2" t="s">
        <v>116</v>
      </c>
      <c r="C29" s="1" t="s">
        <v>117</v>
      </c>
      <c r="D29" s="15" t="s">
        <v>29</v>
      </c>
      <c r="E29" s="15" t="s">
        <v>30</v>
      </c>
      <c r="F29" s="16" t="s">
        <v>31</v>
      </c>
      <c r="G29" s="4" t="s">
        <v>32</v>
      </c>
      <c r="H29" s="4" t="n">
        <v>50</v>
      </c>
      <c r="I29" s="4" t="n">
        <v>26</v>
      </c>
      <c r="J29" s="4" t="n">
        <v>19</v>
      </c>
      <c r="K29" s="4" t="n">
        <v>106</v>
      </c>
      <c r="L29" s="4" t="n">
        <v>100</v>
      </c>
      <c r="M29" s="4" t="n">
        <v>114</v>
      </c>
      <c r="N29" s="4" t="n">
        <v>73</v>
      </c>
      <c r="O29" s="4" t="n">
        <v>41</v>
      </c>
      <c r="P29" s="4" t="n">
        <v>96</v>
      </c>
      <c r="Q29" s="4" t="n">
        <v>112</v>
      </c>
      <c r="R29" s="4" t="n">
        <v>72</v>
      </c>
      <c r="S29" s="4" t="n">
        <v>35</v>
      </c>
      <c r="T29" s="4" t="n">
        <v>28</v>
      </c>
      <c r="U29" s="4" t="n">
        <v>22</v>
      </c>
      <c r="V29" s="4" t="n">
        <v>100</v>
      </c>
      <c r="W29" s="6" t="s">
        <v>104</v>
      </c>
      <c r="X29" s="6" t="s">
        <v>105</v>
      </c>
    </row>
    <row r="30" customFormat="false" ht="30" hidden="false" customHeight="true" outlineLevel="0" collapsed="false">
      <c r="A30" s="1" t="s">
        <v>118</v>
      </c>
      <c r="B30" s="2" t="s">
        <v>119</v>
      </c>
      <c r="C30" s="1" t="s">
        <v>120</v>
      </c>
      <c r="D30" s="15" t="s">
        <v>29</v>
      </c>
      <c r="E30" s="15" t="s">
        <v>30</v>
      </c>
      <c r="F30" s="16" t="s">
        <v>31</v>
      </c>
      <c r="G30" s="4" t="s">
        <v>32</v>
      </c>
      <c r="H30" s="4" t="s">
        <v>121</v>
      </c>
      <c r="I30" s="4" t="s">
        <v>122</v>
      </c>
      <c r="J30" s="4" t="s">
        <v>123</v>
      </c>
      <c r="K30" s="4" t="s">
        <v>124</v>
      </c>
      <c r="L30" s="4" t="s">
        <v>125</v>
      </c>
      <c r="M30" s="4" t="s">
        <v>126</v>
      </c>
      <c r="N30" s="4" t="s">
        <v>127</v>
      </c>
      <c r="O30" s="4" t="s">
        <v>128</v>
      </c>
      <c r="P30" s="4" t="s">
        <v>129</v>
      </c>
      <c r="Q30" s="4" t="s">
        <v>130</v>
      </c>
      <c r="R30" s="4" t="s">
        <v>131</v>
      </c>
      <c r="S30" s="4" t="s">
        <v>132</v>
      </c>
      <c r="T30" s="4" t="s">
        <v>133</v>
      </c>
      <c r="U30" s="4" t="s">
        <v>134</v>
      </c>
      <c r="V30" s="4" t="s">
        <v>135</v>
      </c>
      <c r="W30" s="6" t="s">
        <v>136</v>
      </c>
      <c r="X30" s="6" t="s">
        <v>137</v>
      </c>
    </row>
  </sheetData>
  <printOptions headings="false" gridLines="false" gridLinesSet="true" horizontalCentered="false" verticalCentered="false"/>
  <pageMargins left="0.747916666666667" right="0.0395833333333333" top="0.5" bottom="0.118055555555556" header="0.236111111111111" footer="0.511805555555555"/>
  <pageSetup paperSize="9" scale="75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&amp;C&amp;"Arial,Regular"&amp;P</oddHeader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F3:F11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C34" activeCellId="0" sqref="C34"/>
    </sheetView>
  </sheetViews>
  <sheetFormatPr defaultColWidth="8.72265625" defaultRowHeight="15" zeroHeight="false" outlineLevelRow="0" outlineLevelCol="0"/>
  <sheetData>
    <row r="3" customFormat="false" ht="15.75" hidden="false" customHeight="false" outlineLevel="0" collapsed="false">
      <c r="F3" s="20"/>
    </row>
    <row r="4" customFormat="false" ht="15.75" hidden="false" customHeight="false" outlineLevel="0" collapsed="false">
      <c r="F4" s="20"/>
    </row>
    <row r="5" customFormat="false" ht="15.75" hidden="false" customHeight="false" outlineLevel="0" collapsed="false">
      <c r="F5" s="20"/>
    </row>
    <row r="6" customFormat="false" ht="15.75" hidden="false" customHeight="false" outlineLevel="0" collapsed="false">
      <c r="F6" s="20"/>
    </row>
    <row r="7" customFormat="false" ht="15.75" hidden="false" customHeight="false" outlineLevel="0" collapsed="false">
      <c r="F7" s="20"/>
    </row>
    <row r="8" customFormat="false" ht="15.75" hidden="false" customHeight="false" outlineLevel="0" collapsed="false">
      <c r="F8" s="20"/>
    </row>
    <row r="9" customFormat="false" ht="15.75" hidden="false" customHeight="false" outlineLevel="0" collapsed="false">
      <c r="F9" s="20"/>
    </row>
    <row r="10" customFormat="false" ht="15.75" hidden="false" customHeight="false" outlineLevel="0" collapsed="false">
      <c r="F10" s="20"/>
    </row>
    <row r="11" customFormat="false" ht="15.75" hidden="false" customHeight="false" outlineLevel="0" collapsed="false">
      <c r="F11" s="20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R79"/>
  <sheetViews>
    <sheetView showFormulas="false" showGridLines="true" showRowColHeaders="true" showZeros="true" rightToLeft="false" tabSelected="false" showOutlineSymbols="true" defaultGridColor="true" view="normal" topLeftCell="A1" colorId="64" zoomScale="145" zoomScaleNormal="145" zoomScalePageLayoutView="100" workbookViewId="0">
      <selection pane="topLeft" activeCell="Q3" activeCellId="0" sqref="Q3"/>
    </sheetView>
  </sheetViews>
  <sheetFormatPr defaultColWidth="8.578125" defaultRowHeight="15" zeroHeight="false" outlineLevelRow="0" outlineLevelCol="0"/>
  <cols>
    <col collapsed="false" customWidth="true" hidden="false" outlineLevel="0" max="13" min="13" style="1" width="10.42"/>
  </cols>
  <sheetData>
    <row r="1" customFormat="false" ht="15" hidden="false" customHeight="false" outlineLevel="0" collapsed="false">
      <c r="M1" s="21"/>
    </row>
    <row r="2" customFormat="false" ht="15" hidden="false" customHeight="false" outlineLevel="0" collapsed="false">
      <c r="A2" s="0" t="s">
        <v>138</v>
      </c>
      <c r="G2" s="0" t="s">
        <v>139</v>
      </c>
      <c r="M2" s="1" t="s">
        <v>140</v>
      </c>
    </row>
    <row r="3" customFormat="false" ht="15" hidden="false" customHeight="false" outlineLevel="0" collapsed="false">
      <c r="A3" s="0" t="s">
        <v>141</v>
      </c>
      <c r="B3" s="0" t="s">
        <v>142</v>
      </c>
      <c r="E3" s="22" t="s">
        <v>143</v>
      </c>
      <c r="G3" s="0" t="s">
        <v>144</v>
      </c>
      <c r="H3" s="0" t="s">
        <v>142</v>
      </c>
      <c r="K3" s="22" t="s">
        <v>143</v>
      </c>
      <c r="M3" s="1" t="s">
        <v>144</v>
      </c>
      <c r="N3" s="0" t="s">
        <v>142</v>
      </c>
      <c r="Q3" s="22" t="s">
        <v>143</v>
      </c>
    </row>
    <row r="4" customFormat="false" ht="15.75" hidden="false" customHeight="false" outlineLevel="0" collapsed="false">
      <c r="A4" s="1" t="s">
        <v>145</v>
      </c>
      <c r="B4" s="0" t="n">
        <f aca="false">COUNTIF(SEMUA!$F$2:$F$24,REKAP!A4)</f>
        <v>0</v>
      </c>
      <c r="C4" s="0" t="n">
        <v>3</v>
      </c>
      <c r="D4" s="0" t="n">
        <f aca="false">SUM(B4:C4)</f>
        <v>3</v>
      </c>
      <c r="E4" s="22" t="n">
        <v>25</v>
      </c>
      <c r="G4" s="0" t="n">
        <v>37</v>
      </c>
      <c r="H4" s="0" t="n">
        <f aca="false">COUNTIF(SEMUA!$E$1:$E$24,G4)</f>
        <v>0</v>
      </c>
      <c r="J4" s="0" t="n">
        <f aca="false">SUM(H4:I4)</f>
        <v>0</v>
      </c>
      <c r="K4" s="22" t="n">
        <v>0</v>
      </c>
      <c r="M4" s="23" t="n">
        <v>53</v>
      </c>
      <c r="N4" s="0" t="n">
        <f aca="false">COUNTIF(SEMUA!$G$2:$G$24,M4)</f>
        <v>0</v>
      </c>
      <c r="P4" s="0" t="n">
        <f aca="false">SUM(N4:O4)</f>
        <v>0</v>
      </c>
      <c r="Q4" s="22" t="n">
        <v>1</v>
      </c>
    </row>
    <row r="5" customFormat="false" ht="15.75" hidden="false" customHeight="false" outlineLevel="0" collapsed="false">
      <c r="A5" s="20" t="s">
        <v>146</v>
      </c>
      <c r="B5" s="0" t="n">
        <f aca="false">COUNTIF(SEMUA!$F$2:$F$24,REKAP!A5)</f>
        <v>0</v>
      </c>
      <c r="C5" s="0" t="n">
        <v>5</v>
      </c>
      <c r="D5" s="0" t="n">
        <f aca="false">SUM(B5:C5)</f>
        <v>5</v>
      </c>
      <c r="E5" s="22" t="n">
        <v>16</v>
      </c>
      <c r="G5" s="0" t="n">
        <v>38</v>
      </c>
      <c r="H5" s="0" t="n">
        <f aca="false">COUNTIF(SEMUA!$E$1:$E$24,G5)</f>
        <v>0</v>
      </c>
      <c r="J5" s="0" t="n">
        <v>1</v>
      </c>
      <c r="K5" s="22" t="n">
        <v>0</v>
      </c>
      <c r="M5" s="23" t="n">
        <v>54</v>
      </c>
      <c r="N5" s="0" t="n">
        <f aca="false">COUNTIF(SEMUA!$G$2:$G$24,M5)</f>
        <v>0</v>
      </c>
      <c r="O5" s="0" t="n">
        <v>2</v>
      </c>
      <c r="P5" s="0" t="n">
        <f aca="false">SUM(N5:O5)</f>
        <v>2</v>
      </c>
      <c r="Q5" s="22" t="n">
        <v>5</v>
      </c>
    </row>
    <row r="6" customFormat="false" ht="15.75" hidden="false" customHeight="false" outlineLevel="0" collapsed="false">
      <c r="A6" s="20" t="s">
        <v>147</v>
      </c>
      <c r="B6" s="0" t="n">
        <f aca="false">COUNTIF(SEMUA!$F$2:$F$24,REKAP!A6)</f>
        <v>0</v>
      </c>
      <c r="C6" s="0" t="n">
        <v>1</v>
      </c>
      <c r="D6" s="0" t="n">
        <f aca="false">SUM(B6:C6)</f>
        <v>1</v>
      </c>
      <c r="E6" s="22" t="n">
        <v>4</v>
      </c>
      <c r="G6" s="23" t="n">
        <v>39</v>
      </c>
      <c r="H6" s="0" t="n">
        <f aca="false">COUNTIF(SEMUA!$E$1:$E$24,G6)</f>
        <v>0</v>
      </c>
      <c r="I6" s="0" t="n">
        <v>3</v>
      </c>
      <c r="J6" s="0" t="n">
        <f aca="false">SUM(H6:I6)</f>
        <v>3</v>
      </c>
      <c r="K6" s="22" t="n">
        <v>3</v>
      </c>
      <c r="M6" s="23" t="n">
        <v>55</v>
      </c>
      <c r="N6" s="0" t="n">
        <f aca="false">COUNTIF(SEMUA!$G$2:$G$24,M6)</f>
        <v>0</v>
      </c>
      <c r="O6" s="0" t="n">
        <v>1</v>
      </c>
      <c r="P6" s="0" t="n">
        <f aca="false">SUM(N6:O6)</f>
        <v>1</v>
      </c>
      <c r="Q6" s="22"/>
    </row>
    <row r="7" customFormat="false" ht="15.75" hidden="false" customHeight="false" outlineLevel="0" collapsed="false">
      <c r="A7" s="20" t="s">
        <v>148</v>
      </c>
      <c r="B7" s="0" t="n">
        <f aca="false">COUNTIF(SEMUA!$F$2:$F$24,REKAP!A7)</f>
        <v>0</v>
      </c>
      <c r="C7" s="0" t="n">
        <v>7</v>
      </c>
      <c r="D7" s="0" t="n">
        <f aca="false">SUM(B7:C7)</f>
        <v>7</v>
      </c>
      <c r="E7" s="22" t="n">
        <v>24</v>
      </c>
      <c r="G7" s="23" t="n">
        <v>40</v>
      </c>
      <c r="H7" s="0" t="n">
        <f aca="false">COUNTIF(SEMUA!$E$1:$E$24,G7)</f>
        <v>0</v>
      </c>
      <c r="I7" s="0" t="n">
        <v>3</v>
      </c>
      <c r="J7" s="0" t="n">
        <f aca="false">SUM(H7:I7)</f>
        <v>3</v>
      </c>
      <c r="K7" s="22" t="n">
        <v>22</v>
      </c>
      <c r="M7" s="23" t="n">
        <v>56</v>
      </c>
      <c r="N7" s="0" t="n">
        <f aca="false">COUNTIF(SEMUA!$G$2:$G$24,M7)</f>
        <v>0</v>
      </c>
      <c r="O7" s="0" t="n">
        <v>7</v>
      </c>
      <c r="P7" s="0" t="n">
        <f aca="false">SUM(N7:O7)</f>
        <v>7</v>
      </c>
      <c r="Q7" s="22" t="n">
        <v>10</v>
      </c>
    </row>
    <row r="8" customFormat="false" ht="15.75" hidden="false" customHeight="false" outlineLevel="0" collapsed="false">
      <c r="A8" s="20" t="s">
        <v>149</v>
      </c>
      <c r="B8" s="0" t="n">
        <f aca="false">COUNTIF(SEMUA!$F$2:$F$24,REKAP!A8)</f>
        <v>0</v>
      </c>
      <c r="C8" s="0" t="n">
        <v>3</v>
      </c>
      <c r="D8" s="0" t="n">
        <f aca="false">SUM(B8:C8)</f>
        <v>3</v>
      </c>
      <c r="E8" s="22" t="n">
        <v>11</v>
      </c>
      <c r="G8" s="23" t="n">
        <v>41</v>
      </c>
      <c r="H8" s="0" t="n">
        <f aca="false">COUNTIF(SEMUA!$E$1:$E$24,G8)</f>
        <v>0</v>
      </c>
      <c r="I8" s="0" t="n">
        <v>5</v>
      </c>
      <c r="J8" s="0" t="n">
        <f aca="false">SUM(H8:I8)</f>
        <v>5</v>
      </c>
      <c r="K8" s="22" t="n">
        <v>23</v>
      </c>
      <c r="M8" s="23" t="n">
        <v>57</v>
      </c>
      <c r="N8" s="0" t="n">
        <f aca="false">COUNTIF(SEMUA!$G$2:$G$24,M8)</f>
        <v>0</v>
      </c>
      <c r="O8" s="0" t="n">
        <v>1</v>
      </c>
      <c r="P8" s="0" t="n">
        <f aca="false">SUM(N8:O8)</f>
        <v>1</v>
      </c>
      <c r="Q8" s="22" t="n">
        <v>10</v>
      </c>
    </row>
    <row r="9" customFormat="false" ht="15.75" hidden="false" customHeight="false" outlineLevel="0" collapsed="false">
      <c r="A9" s="20" t="s">
        <v>150</v>
      </c>
      <c r="B9" s="0" t="n">
        <f aca="false">COUNTIF(SEMUA!$F$2:$F$24,REKAP!A9)</f>
        <v>0</v>
      </c>
      <c r="D9" s="0" t="n">
        <f aca="false">SUM(B9:C9)</f>
        <v>0</v>
      </c>
      <c r="E9" s="22" t="n">
        <v>4</v>
      </c>
      <c r="G9" s="23" t="n">
        <v>42</v>
      </c>
      <c r="H9" s="0" t="n">
        <f aca="false">COUNTIF(SEMUA!$E$1:$E$24,G9)</f>
        <v>0</v>
      </c>
      <c r="I9" s="0" t="n">
        <v>2</v>
      </c>
      <c r="J9" s="0" t="n">
        <f aca="false">SUM(H9:I9)</f>
        <v>2</v>
      </c>
      <c r="K9" s="22" t="n">
        <v>10</v>
      </c>
      <c r="M9" s="23" t="n">
        <v>58</v>
      </c>
      <c r="N9" s="0" t="n">
        <f aca="false">COUNTIF(SEMUA!$G$2:$G$24,M9)</f>
        <v>0</v>
      </c>
      <c r="O9" s="0" t="n">
        <v>6</v>
      </c>
      <c r="P9" s="0" t="n">
        <f aca="false">SUM(N9:O9)</f>
        <v>6</v>
      </c>
      <c r="Q9" s="22" t="n">
        <v>9</v>
      </c>
    </row>
    <row r="10" customFormat="false" ht="15.75" hidden="false" customHeight="false" outlineLevel="0" collapsed="false">
      <c r="A10" s="20" t="s">
        <v>151</v>
      </c>
      <c r="B10" s="0" t="n">
        <f aca="false">COUNTIF(SEMUA!$F$2:$F$24,REKAP!A10)</f>
        <v>0</v>
      </c>
      <c r="D10" s="0" t="n">
        <f aca="false">SUM(B10:C10)</f>
        <v>0</v>
      </c>
      <c r="E10" s="22" t="n">
        <v>1</v>
      </c>
      <c r="G10" s="23" t="n">
        <v>43</v>
      </c>
      <c r="H10" s="0" t="n">
        <f aca="false">COUNTIF(SEMUA!$E$1:$E$24,G10)</f>
        <v>0</v>
      </c>
      <c r="I10" s="0" t="n">
        <v>5</v>
      </c>
      <c r="J10" s="0" t="n">
        <f aca="false">SUM(H10:I10)</f>
        <v>5</v>
      </c>
      <c r="K10" s="22" t="n">
        <v>10</v>
      </c>
      <c r="M10" s="23" t="n">
        <v>59</v>
      </c>
      <c r="N10" s="0" t="n">
        <f aca="false">COUNTIF(SEMUA!$G$2:$G$24,M10)</f>
        <v>0</v>
      </c>
      <c r="P10" s="0" t="n">
        <f aca="false">SUM(N10:O10)</f>
        <v>0</v>
      </c>
      <c r="Q10" s="22"/>
    </row>
    <row r="11" customFormat="false" ht="15.75" hidden="false" customHeight="false" outlineLevel="0" collapsed="false">
      <c r="A11" s="24" t="s">
        <v>152</v>
      </c>
      <c r="B11" s="25" t="n">
        <f aca="false">SUM(B4:B10)</f>
        <v>0</v>
      </c>
      <c r="C11" s="25"/>
      <c r="D11" s="25" t="n">
        <f aca="false">SUM(D4:D10)</f>
        <v>19</v>
      </c>
      <c r="E11" s="26" t="n">
        <f aca="false">SUM(E4:E10)</f>
        <v>85</v>
      </c>
      <c r="F11" s="25"/>
      <c r="G11" s="23" t="n">
        <v>44</v>
      </c>
      <c r="H11" s="0" t="n">
        <f aca="false">COUNTIF(SEMUA!$E$1:$E$24,G11)</f>
        <v>0</v>
      </c>
      <c r="J11" s="0" t="n">
        <f aca="false">SUM(H11:I11)</f>
        <v>0</v>
      </c>
      <c r="K11" s="22" t="n">
        <v>1</v>
      </c>
      <c r="M11" s="1" t="n">
        <v>60</v>
      </c>
      <c r="N11" s="0" t="n">
        <f aca="false">COUNTIF(SEMUA!$G$2:$G$24,M11)</f>
        <v>0</v>
      </c>
      <c r="O11" s="0" t="n">
        <v>2</v>
      </c>
      <c r="P11" s="0" t="n">
        <f aca="false">SUM(N11:O11)</f>
        <v>2</v>
      </c>
      <c r="Q11" s="22" t="n">
        <v>5</v>
      </c>
    </row>
    <row r="12" customFormat="false" ht="15.75" hidden="false" customHeight="false" outlineLevel="0" collapsed="false">
      <c r="G12" s="23" t="n">
        <v>45</v>
      </c>
      <c r="H12" s="0" t="n">
        <f aca="false">COUNTIF(SEMUA!$E$1:$E$24,G12)</f>
        <v>0</v>
      </c>
      <c r="I12" s="0" t="n">
        <v>1</v>
      </c>
      <c r="J12" s="0" t="n">
        <f aca="false">SUM(H12:I12)</f>
        <v>1</v>
      </c>
      <c r="K12" s="22" t="n">
        <v>0</v>
      </c>
      <c r="N12" s="0" t="n">
        <f aca="false">SUM(N4:N11)</f>
        <v>0</v>
      </c>
      <c r="O12" s="0" t="n">
        <f aca="false">SUM(O4:O11)</f>
        <v>19</v>
      </c>
      <c r="Q12" s="22" t="n">
        <f aca="false">SUM(Q4:Q11)</f>
        <v>40</v>
      </c>
    </row>
    <row r="13" customFormat="false" ht="15.75" hidden="false" customHeight="false" outlineLevel="0" collapsed="false">
      <c r="G13" s="23" t="n">
        <v>46</v>
      </c>
      <c r="H13" s="0" t="n">
        <f aca="false">COUNTIF(SEMUA!$E$1:$E$24,G13)</f>
        <v>0</v>
      </c>
      <c r="J13" s="0" t="n">
        <f aca="false">SUM(H13:I13)</f>
        <v>0</v>
      </c>
      <c r="K13" s="22" t="n">
        <v>1</v>
      </c>
      <c r="Q13" s="22"/>
    </row>
    <row r="14" customFormat="false" ht="15.75" hidden="false" customHeight="false" outlineLevel="0" collapsed="false">
      <c r="G14" s="23"/>
      <c r="H14" s="0" t="n">
        <f aca="false">SUM(H4:H13)</f>
        <v>0</v>
      </c>
      <c r="I14" s="0" t="n">
        <f aca="false">SUM(I4:I13)</f>
        <v>19</v>
      </c>
      <c r="K14" s="22" t="n">
        <f aca="false">SUM(K4:K13)</f>
        <v>70</v>
      </c>
      <c r="P14" s="0" t="s">
        <v>153</v>
      </c>
      <c r="Q14" s="22" t="n">
        <v>57</v>
      </c>
      <c r="R14" s="0" t="n">
        <v>1</v>
      </c>
    </row>
    <row r="15" customFormat="false" ht="15.75" hidden="false" customHeight="false" outlineLevel="0" collapsed="false">
      <c r="G15" s="23"/>
    </row>
    <row r="16" customFormat="false" ht="15.75" hidden="false" customHeight="false" outlineLevel="0" collapsed="false">
      <c r="G16" s="23"/>
    </row>
    <row r="17" customFormat="false" ht="15.75" hidden="false" customHeight="false" outlineLevel="0" collapsed="false">
      <c r="G17" s="23"/>
    </row>
    <row r="18" customFormat="false" ht="15.75" hidden="false" customHeight="false" outlineLevel="0" collapsed="false">
      <c r="G18" s="23"/>
    </row>
    <row r="19" customFormat="false" ht="15.75" hidden="false" customHeight="false" outlineLevel="0" collapsed="false">
      <c r="G19" s="23"/>
    </row>
    <row r="20" customFormat="false" ht="15.75" hidden="false" customHeight="false" outlineLevel="0" collapsed="false">
      <c r="G20" s="23"/>
    </row>
    <row r="21" customFormat="false" ht="15.75" hidden="false" customHeight="false" outlineLevel="0" collapsed="false">
      <c r="G21" s="23"/>
    </row>
    <row r="22" customFormat="false" ht="15.75" hidden="false" customHeight="false" outlineLevel="0" collapsed="false">
      <c r="G22" s="23"/>
    </row>
    <row r="23" customFormat="false" ht="15.75" hidden="false" customHeight="false" outlineLevel="0" collapsed="false">
      <c r="G23" s="23"/>
    </row>
    <row r="24" customFormat="false" ht="15.75" hidden="false" customHeight="false" outlineLevel="0" collapsed="false">
      <c r="G24" s="23"/>
    </row>
    <row r="25" customFormat="false" ht="15.75" hidden="false" customHeight="false" outlineLevel="0" collapsed="false">
      <c r="G25" s="23"/>
    </row>
    <row r="26" customFormat="false" ht="15.75" hidden="false" customHeight="false" outlineLevel="0" collapsed="false">
      <c r="G26" s="23"/>
    </row>
    <row r="27" customFormat="false" ht="15.75" hidden="false" customHeight="false" outlineLevel="0" collapsed="false">
      <c r="G27" s="23"/>
    </row>
    <row r="28" customFormat="false" ht="15.75" hidden="false" customHeight="false" outlineLevel="0" collapsed="false">
      <c r="G28" s="23"/>
    </row>
    <row r="29" customFormat="false" ht="15.75" hidden="false" customHeight="false" outlineLevel="0" collapsed="false">
      <c r="G29" s="23"/>
    </row>
    <row r="30" customFormat="false" ht="15.75" hidden="false" customHeight="false" outlineLevel="0" collapsed="false">
      <c r="G30" s="23"/>
    </row>
    <row r="31" customFormat="false" ht="15.75" hidden="false" customHeight="false" outlineLevel="0" collapsed="false">
      <c r="G31" s="23"/>
    </row>
    <row r="32" customFormat="false" ht="15.75" hidden="false" customHeight="false" outlineLevel="0" collapsed="false">
      <c r="G32" s="23"/>
    </row>
    <row r="33" customFormat="false" ht="15.75" hidden="false" customHeight="false" outlineLevel="0" collapsed="false">
      <c r="G33" s="23"/>
    </row>
    <row r="34" customFormat="false" ht="15.75" hidden="false" customHeight="false" outlineLevel="0" collapsed="false">
      <c r="G34" s="23"/>
    </row>
    <row r="35" customFormat="false" ht="15.75" hidden="false" customHeight="false" outlineLevel="0" collapsed="false">
      <c r="G35" s="23"/>
    </row>
    <row r="36" customFormat="false" ht="15.75" hidden="false" customHeight="false" outlineLevel="0" collapsed="false">
      <c r="G36" s="23"/>
    </row>
    <row r="37" customFormat="false" ht="15.75" hidden="false" customHeight="false" outlineLevel="0" collapsed="false">
      <c r="G37" s="23"/>
    </row>
    <row r="38" customFormat="false" ht="15.75" hidden="false" customHeight="false" outlineLevel="0" collapsed="false">
      <c r="G38" s="23"/>
    </row>
    <row r="39" customFormat="false" ht="15.75" hidden="false" customHeight="false" outlineLevel="0" collapsed="false">
      <c r="G39" s="23"/>
    </row>
    <row r="40" customFormat="false" ht="15.75" hidden="false" customHeight="false" outlineLevel="0" collapsed="false">
      <c r="G40" s="23"/>
    </row>
    <row r="41" customFormat="false" ht="15.75" hidden="false" customHeight="false" outlineLevel="0" collapsed="false">
      <c r="G41" s="23"/>
    </row>
    <row r="42" customFormat="false" ht="15.75" hidden="false" customHeight="false" outlineLevel="0" collapsed="false">
      <c r="G42" s="23"/>
    </row>
    <row r="43" customFormat="false" ht="15.75" hidden="false" customHeight="false" outlineLevel="0" collapsed="false">
      <c r="G43" s="23"/>
    </row>
    <row r="44" customFormat="false" ht="15.75" hidden="false" customHeight="false" outlineLevel="0" collapsed="false">
      <c r="G44" s="23"/>
    </row>
    <row r="45" customFormat="false" ht="15.75" hidden="false" customHeight="false" outlineLevel="0" collapsed="false">
      <c r="G45" s="23"/>
    </row>
    <row r="46" customFormat="false" ht="15.75" hidden="false" customHeight="false" outlineLevel="0" collapsed="false">
      <c r="G46" s="23"/>
    </row>
    <row r="47" customFormat="false" ht="15.75" hidden="false" customHeight="false" outlineLevel="0" collapsed="false">
      <c r="G47" s="23"/>
    </row>
    <row r="48" customFormat="false" ht="15.75" hidden="false" customHeight="false" outlineLevel="0" collapsed="false">
      <c r="G48" s="23"/>
    </row>
    <row r="49" customFormat="false" ht="15.75" hidden="false" customHeight="false" outlineLevel="0" collapsed="false">
      <c r="G49" s="23"/>
    </row>
    <row r="50" customFormat="false" ht="15.75" hidden="false" customHeight="false" outlineLevel="0" collapsed="false">
      <c r="G50" s="23"/>
    </row>
    <row r="51" customFormat="false" ht="15.75" hidden="false" customHeight="false" outlineLevel="0" collapsed="false">
      <c r="G51" s="23"/>
    </row>
    <row r="52" customFormat="false" ht="15.75" hidden="false" customHeight="false" outlineLevel="0" collapsed="false">
      <c r="G52" s="23"/>
    </row>
    <row r="53" customFormat="false" ht="15.75" hidden="false" customHeight="false" outlineLevel="0" collapsed="false">
      <c r="G53" s="23"/>
    </row>
    <row r="54" customFormat="false" ht="15.75" hidden="false" customHeight="false" outlineLevel="0" collapsed="false">
      <c r="G54" s="23"/>
    </row>
    <row r="55" customFormat="false" ht="15.75" hidden="false" customHeight="false" outlineLevel="0" collapsed="false">
      <c r="G55" s="23"/>
    </row>
    <row r="56" customFormat="false" ht="15.75" hidden="false" customHeight="false" outlineLevel="0" collapsed="false">
      <c r="G56" s="23"/>
    </row>
    <row r="57" customFormat="false" ht="15.75" hidden="false" customHeight="false" outlineLevel="0" collapsed="false">
      <c r="G57" s="23"/>
    </row>
    <row r="58" customFormat="false" ht="15.75" hidden="false" customHeight="false" outlineLevel="0" collapsed="false">
      <c r="G58" s="23"/>
    </row>
    <row r="59" customFormat="false" ht="15.75" hidden="false" customHeight="false" outlineLevel="0" collapsed="false">
      <c r="G59" s="23"/>
    </row>
    <row r="60" customFormat="false" ht="15.75" hidden="false" customHeight="false" outlineLevel="0" collapsed="false">
      <c r="G60" s="23"/>
    </row>
    <row r="61" customFormat="false" ht="15.75" hidden="false" customHeight="false" outlineLevel="0" collapsed="false">
      <c r="G61" s="23"/>
    </row>
    <row r="62" customFormat="false" ht="15.75" hidden="false" customHeight="false" outlineLevel="0" collapsed="false">
      <c r="G62" s="23"/>
    </row>
    <row r="63" customFormat="false" ht="15.75" hidden="false" customHeight="false" outlineLevel="0" collapsed="false">
      <c r="G63" s="23"/>
    </row>
    <row r="64" customFormat="false" ht="15.75" hidden="false" customHeight="false" outlineLevel="0" collapsed="false">
      <c r="G64" s="23"/>
    </row>
    <row r="65" customFormat="false" ht="15.75" hidden="false" customHeight="false" outlineLevel="0" collapsed="false">
      <c r="G65" s="23"/>
    </row>
    <row r="66" customFormat="false" ht="15.75" hidden="false" customHeight="false" outlineLevel="0" collapsed="false">
      <c r="G66" s="23"/>
    </row>
    <row r="67" customFormat="false" ht="15.75" hidden="false" customHeight="false" outlineLevel="0" collapsed="false">
      <c r="G67" s="23"/>
    </row>
    <row r="68" customFormat="false" ht="15.75" hidden="false" customHeight="false" outlineLevel="0" collapsed="false">
      <c r="G68" s="23"/>
    </row>
    <row r="69" customFormat="false" ht="15.75" hidden="false" customHeight="false" outlineLevel="0" collapsed="false">
      <c r="G69" s="23"/>
    </row>
    <row r="70" customFormat="false" ht="15.75" hidden="false" customHeight="false" outlineLevel="0" collapsed="false">
      <c r="G70" s="23"/>
    </row>
    <row r="71" customFormat="false" ht="15.75" hidden="false" customHeight="false" outlineLevel="0" collapsed="false">
      <c r="G71" s="23"/>
    </row>
    <row r="72" customFormat="false" ht="15.75" hidden="false" customHeight="false" outlineLevel="0" collapsed="false">
      <c r="G72" s="23"/>
    </row>
    <row r="73" customFormat="false" ht="15.75" hidden="false" customHeight="false" outlineLevel="0" collapsed="false">
      <c r="G73" s="23"/>
    </row>
    <row r="74" customFormat="false" ht="15.75" hidden="false" customHeight="false" outlineLevel="0" collapsed="false">
      <c r="G74" s="23"/>
    </row>
    <row r="75" customFormat="false" ht="15" hidden="false" customHeight="false" outlineLevel="0" collapsed="false">
      <c r="G75" s="1"/>
    </row>
    <row r="76" customFormat="false" ht="15" hidden="false" customHeight="false" outlineLevel="0" collapsed="false">
      <c r="G76" s="1"/>
    </row>
    <row r="77" customFormat="false" ht="15" hidden="false" customHeight="false" outlineLevel="0" collapsed="false">
      <c r="G77" s="1"/>
    </row>
    <row r="78" customFormat="false" ht="15" hidden="false" customHeight="false" outlineLevel="0" collapsed="false">
      <c r="G78" s="1"/>
    </row>
    <row r="79" customFormat="false" ht="15" hidden="false" customHeight="false" outlineLevel="0" collapsed="false">
      <c r="G79" s="1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86</TotalTime>
  <Application>LibreOffice/7.0.0.3$Windows_X86_64 LibreOffice_project/8061b3e9204bef6b321a21033174034a5e2ea88e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2016-10-31T03:59:44Z</dcterms:created>
  <dc:creator>arkan</dc:creator>
  <dc:description/>
  <dc:language>en-US</dc:language>
  <cp:lastModifiedBy/>
  <cp:lastPrinted>2021-09-24T05:54:29Z</cp:lastPrinted>
  <dcterms:modified xsi:type="dcterms:W3CDTF">2021-10-16T10:36:13Z</dcterms:modified>
  <cp:revision>14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