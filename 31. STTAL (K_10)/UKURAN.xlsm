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1. STTAL (K_10)\"/>
    </mc:Choice>
  </mc:AlternateContent>
  <xr:revisionPtr revIDLastSave="0" documentId="13_ncr:1_{A0FD8C51-3E7F-4F8A-9C2B-0CA3870EBF6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SEMUA!$A$1:$Z$24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<sst xmlns="http://schemas.openxmlformats.org/spreadsheetml/2006/main" count="267" uniqueCount="132">
  <si>
    <t>NO</t>
  </si>
  <si>
    <t>NAMA</t>
  </si>
  <si>
    <t>GENDER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</si>
  <si>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</si>
  <si>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</si>
  <si>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</si>
  <si>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</si>
  <si>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</si>
  <si>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</si>
  <si>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</si>
  <si>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</si>
  <si>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</si>
  <si>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</si>
  <si>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</si>
  <si>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</si>
  <si>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</si>
  <si>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</si>
  <si>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</si>
  <si>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</si>
  <si>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</si>
  <si>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</si>
  <si>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</si>
  <si>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</si>
  <si>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</si>
  <si>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</si>
  <si>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</si>
  <si>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</si>
  <si>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</si>
  <si>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</si>
  <si>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</si>
  <si>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</si>
  <si>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</si>
  <si>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</si>
  <si>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pesan</t>
  </si>
  <si>
    <t>wanita</t>
  </si>
  <si>
    <t>JENIS</t>
  </si>
  <si>
    <t>KETERANGAN</t>
  </si>
  <si>
    <t>PANGKAT</t>
  </si>
  <si>
    <t>SATKER</t>
  </si>
  <si>
    <t>CETAK TGL</t>
  </si>
  <si>
    <t>KET LAIN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</si>
  <si>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</si>
  <si>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</si>
  <si>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</si>
  <si>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</si>
  <si>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</si>
  <si>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</si>
  <si>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</si>
  <si>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</si>
  <si>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</si>
  <si>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</si>
  <si>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</si>
  <si>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</si>
  <si>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</si>
  <si>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</si>
  <si>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</si>
  <si>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</si>
  <si>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</si>
  <si>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</si>
  <si>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</si>
  <si>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</si>
  <si>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</si>
  <si>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</si>
  <si>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</si>
  <si>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STTAL</t>
  </si>
  <si>
    <t>PDU 1</t>
  </si>
  <si>
    <t>PDU 4</t>
  </si>
  <si>
    <t>SUWEKO CAHYONO</t>
  </si>
  <si>
    <t>SERTU KEU</t>
  </si>
  <si>
    <t>YONGKI AGUS LASMONO</t>
  </si>
  <si>
    <t>TTU</t>
  </si>
  <si>
    <t>HAIS KAUTSAR</t>
  </si>
  <si>
    <t>SERTU TTU</t>
  </si>
  <si>
    <t>TNI</t>
  </si>
  <si>
    <t>TNI AL</t>
  </si>
  <si>
    <t>M. NUR AZIS</t>
  </si>
  <si>
    <t>SERKA</t>
  </si>
  <si>
    <t>RAHMAT</t>
  </si>
  <si>
    <t>SERKA LPU</t>
  </si>
  <si>
    <t>DANIEL DWI U</t>
  </si>
  <si>
    <t>SERKA MPU</t>
  </si>
  <si>
    <t>GATOT PRIYONGGODO</t>
  </si>
  <si>
    <t>SERKA MES</t>
  </si>
  <si>
    <t>AHMAD BAHRIL ILMI</t>
  </si>
  <si>
    <t>SERTU LPU</t>
  </si>
  <si>
    <t>M. YUNUS</t>
  </si>
  <si>
    <t>LUCKY ALFA RIZA</t>
  </si>
  <si>
    <t xml:space="preserve">SERKA </t>
  </si>
  <si>
    <t>DEDY RACHMANA PUTRA</t>
  </si>
  <si>
    <t>SERKA EKO</t>
  </si>
  <si>
    <t>YOPPY R.F.</t>
  </si>
  <si>
    <t>SERTU EKO</t>
  </si>
  <si>
    <t>MULYANTO</t>
  </si>
  <si>
    <t>SERMA</t>
  </si>
  <si>
    <t>AJI KRISTANTO</t>
  </si>
  <si>
    <t>SERTU KOM</t>
  </si>
  <si>
    <t>SANDI KRISTIYANTO</t>
  </si>
  <si>
    <t>SERTU NAV</t>
  </si>
  <si>
    <t>M. LUTPI</t>
  </si>
  <si>
    <t>SERTU BEK</t>
  </si>
  <si>
    <t>ARGA YUDHA T.P.</t>
  </si>
  <si>
    <t>BOBY KRISTYAN</t>
  </si>
  <si>
    <t>SERKA NAV</t>
  </si>
  <si>
    <t>RULY PRAMUDYTA</t>
  </si>
  <si>
    <t>SERKA TTU</t>
  </si>
  <si>
    <t>RAHMAT FATHONY R</t>
  </si>
  <si>
    <t>SERTU EDE</t>
  </si>
  <si>
    <t>RIZAL RASID</t>
  </si>
  <si>
    <t>SERTU AU</t>
  </si>
  <si>
    <t>ARIES CHRISTANTO</t>
  </si>
  <si>
    <t>ZAINI</t>
  </si>
  <si>
    <t>TNI AU</t>
  </si>
  <si>
    <t>SERKA AU</t>
  </si>
  <si>
    <t>SERMA AU</t>
  </si>
  <si>
    <t>69; 42</t>
  </si>
  <si>
    <t>25 SEPT</t>
  </si>
  <si>
    <t>CETAK KE</t>
  </si>
  <si>
    <t>CANDRA FERNANDO M</t>
  </si>
  <si>
    <t>DENY RS</t>
  </si>
  <si>
    <t>SERKA KEU</t>
  </si>
  <si>
    <t>SERTU ESA</t>
  </si>
  <si>
    <t>NAV</t>
  </si>
  <si>
    <t>LULUK</t>
  </si>
  <si>
    <t>F24</t>
  </si>
  <si>
    <t>F25</t>
  </si>
  <si>
    <t>F26</t>
  </si>
  <si>
    <t>ONKI</t>
  </si>
  <si>
    <t>SERTU TKU</t>
  </si>
  <si>
    <t>MULYADI</t>
  </si>
  <si>
    <t>SERKA BAH</t>
  </si>
  <si>
    <t>F27</t>
  </si>
  <si>
    <t>F28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</si>
</sst>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22" fillId="0" borderId="2" xfId="0" applyFont="1" applyBorder="1" applyAlignment="1">
      <alignment horizontal="center" vertical="center"/>
    </xf>
    <xf numFmtId="0" fontId="15" fillId="0" borderId="0" xfId="0" applyFont="1" applyBorder="1" applyAlignment="1">
      <alignment horizontal="left" vertical="center" wrapText="1" indent="1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0" fontId="15" fillId="0" borderId="0" xfId="0" applyNumberFormat="1" applyFont="1" applyBorder="1" applyAlignment="1">
      <alignment vertical="center" wrapText="1"/>
    </xf>
    <xf numFmtId="0" fontId="22" fillId="0" borderId="4" xfId="0" applyFont="1" applyBorder="1" applyAlignment="1">
      <alignment horizontal="center" vertical="center"/>
    </xf>
    <xf numFmtId="49" fontId="25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 indent="1"/>
    </xf>
    <xf numFmtId="49" fontId="25" fillId="0" borderId="3" xfId="0" applyNumberFormat="1" applyFont="1" applyFill="1" applyBorder="1" applyAlignment="1">
      <alignment horizontal="center" vertical="center"/>
    </xf>
    <xf numFmtId="49" fontId="15" fillId="0" borderId="0" xfId="0" quotePrefix="1" applyNumberFormat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E30"/>
  <sheetViews>
    <sheetView tabSelected="1" zoomScale="55" zoomScaleNormal="55" workbookViewId="0">
      <pane ySplit="1" topLeftCell="A2" activePane="bottomLeft" state="frozen"/>
      <selection pane="bottomLeft" activeCell="H28" sqref="H28:V29"/>
    </sheetView>
  </sheetViews>
  <sheetFormatPr defaultColWidth="8.7109375" defaultRowHeight="30" customHeight="1" x14ac:dyDescent="0.25"/>
  <cols>
    <col min="1" max="1" width="7" style="1" customWidth="1"/>
    <col min="2" max="2" width="31.28515625" style="15" customWidth="1"/>
    <col min="3" max="3" width="17" style="1" customWidth="1"/>
    <col min="4" max="4" width="10" style="1" bestFit="1" customWidth="1"/>
    <col min="5" max="5" width="10.28515625" style="1" bestFit="1" customWidth="1"/>
    <col min="6" max="6" width="8.7109375" style="10" customWidth="1"/>
    <col min="7" max="7" width="12.7109375" style="3" customWidth="1"/>
    <col min="8" max="22" width="7.7109375" style="3" customWidth="1"/>
    <col min="23" max="23" width="8.7109375" style="23"/>
    <col min="24" max="25" width="8.7109375" style="13"/>
    <col min="26" max="993" width="8.7109375" style="2"/>
    <col min="994" max="16384" width="8.7109375" style="4"/>
  </cols>
  <sheetData>
    <row r="1" spans="1:993" ht="30" customHeight="1" thickBot="1" x14ac:dyDescent="0.3">
      <c r="A1" s="25" t="s">
        <v>0</v>
      </c>
      <c r="B1" s="26" t="s">
        <v>1</v>
      </c>
      <c r="C1" s="25" t="s">
        <v>37</v>
      </c>
      <c r="D1" s="25" t="s">
        <v>38</v>
      </c>
      <c r="E1" s="25" t="s">
        <v>2</v>
      </c>
      <c r="F1" s="27" t="s">
        <v>35</v>
      </c>
      <c r="G1" s="25" t="s">
        <v>73</v>
      </c>
      <c r="H1" s="20" t="s">
        <v>10</v>
      </c>
      <c r="I1" s="20" t="s">
        <v>11</v>
      </c>
      <c r="J1" s="20" t="s">
        <v>12</v>
      </c>
      <c r="K1" s="20" t="s">
        <v>13</v>
      </c>
      <c r="L1" s="20" t="s">
        <v>14</v>
      </c>
      <c r="M1" s="20" t="s">
        <v>15</v>
      </c>
      <c r="N1" s="20" t="s">
        <v>16</v>
      </c>
      <c r="O1" s="20" t="s">
        <v>17</v>
      </c>
      <c r="P1" s="20" t="s">
        <v>3</v>
      </c>
      <c r="Q1" s="20" t="s">
        <v>4</v>
      </c>
      <c r="R1" s="20" t="s">
        <v>5</v>
      </c>
      <c r="S1" s="20" t="s">
        <v>6</v>
      </c>
      <c r="T1" s="20" t="s">
        <v>7</v>
      </c>
      <c r="U1" s="20" t="s">
        <v>8</v>
      </c>
      <c r="V1" s="20" t="s">
        <v>9</v>
      </c>
      <c r="W1" s="23" t="s">
        <v>116</v>
      </c>
      <c r="X1" s="13" t="s">
        <v>39</v>
      </c>
      <c r="Y1" s="13" t="s">
        <v>36</v>
      </c>
      <c r="Z1" s="2" t="s">
        <v>40</v>
      </c>
    </row>
    <row r="2" spans="1:993" ht="30" customHeight="1" thickTop="1" x14ac:dyDescent="0.25">
      <c r="A2" s="24" t="s">
        <v>41</v>
      </c>
      <c r="B2" s="16" t="s">
        <v>67</v>
      </c>
      <c r="C2" s="16" t="s">
        <v>68</v>
      </c>
      <c r="D2" s="17" t="s">
        <v>64</v>
      </c>
      <c r="E2" s="17" t="s">
        <v>32</v>
      </c>
      <c r="F2" s="19" t="s">
        <v>66</v>
      </c>
      <c r="G2" s="17" t="s">
        <v>74</v>
      </c>
      <c r="H2" s="21">
        <v>45</v>
      </c>
      <c r="I2" s="21">
        <v>27</v>
      </c>
      <c r="J2" s="21">
        <v>18</v>
      </c>
      <c r="K2" s="21">
        <v>101</v>
      </c>
      <c r="L2" s="21">
        <v>95</v>
      </c>
      <c r="M2" s="21">
        <v>105</v>
      </c>
      <c r="N2" s="21">
        <v>70</v>
      </c>
      <c r="O2" s="21">
        <v>40</v>
      </c>
      <c r="P2" s="21">
        <v>86</v>
      </c>
      <c r="Q2" s="21">
        <v>101</v>
      </c>
      <c r="R2" s="21">
        <v>63</v>
      </c>
      <c r="S2" s="21">
        <v>33</v>
      </c>
      <c r="T2" s="21">
        <v>26</v>
      </c>
      <c r="U2" s="21">
        <v>22</v>
      </c>
      <c r="V2" s="21">
        <v>95</v>
      </c>
      <c r="W2" s="22">
        <v>1</v>
      </c>
      <c r="X2" s="28" t="s">
        <v>115</v>
      </c>
      <c r="Y2" s="22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</row>
    <row r="3" spans="1:993" ht="30" customHeight="1" x14ac:dyDescent="0.25">
      <c r="A3" s="14" t="s">
        <v>42</v>
      </c>
      <c r="B3" s="18" t="s">
        <v>69</v>
      </c>
      <c r="C3" s="18" t="s">
        <v>70</v>
      </c>
      <c r="D3" s="17" t="s">
        <v>64</v>
      </c>
      <c r="E3" s="17" t="s">
        <v>32</v>
      </c>
      <c r="F3" s="19" t="s">
        <v>66</v>
      </c>
      <c r="G3" s="17" t="s">
        <v>74</v>
      </c>
      <c r="H3" s="21">
        <v>46</v>
      </c>
      <c r="I3" s="21">
        <v>26</v>
      </c>
      <c r="J3" s="21">
        <v>18</v>
      </c>
      <c r="K3" s="21">
        <v>100</v>
      </c>
      <c r="L3" s="21">
        <v>92</v>
      </c>
      <c r="M3" s="21">
        <v>112</v>
      </c>
      <c r="N3" s="21">
        <v>75</v>
      </c>
      <c r="O3" s="21">
        <v>40</v>
      </c>
      <c r="P3" s="21">
        <v>89</v>
      </c>
      <c r="Q3" s="21">
        <v>110</v>
      </c>
      <c r="R3" s="21">
        <v>70</v>
      </c>
      <c r="S3" s="21">
        <v>34</v>
      </c>
      <c r="T3" s="21">
        <v>27</v>
      </c>
      <c r="U3" s="21">
        <v>22</v>
      </c>
      <c r="V3" s="21">
        <v>106</v>
      </c>
      <c r="W3" s="22">
        <v>1</v>
      </c>
      <c r="X3" s="28" t="s">
        <v>115</v>
      </c>
      <c r="Y3" s="22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</row>
    <row r="4" spans="1:993" ht="30" customHeight="1" x14ac:dyDescent="0.25">
      <c r="A4" s="24" t="s">
        <v>43</v>
      </c>
      <c r="B4" s="18" t="s">
        <v>71</v>
      </c>
      <c r="C4" s="18" t="s">
        <v>72</v>
      </c>
      <c r="D4" s="17" t="s">
        <v>64</v>
      </c>
      <c r="E4" s="17" t="s">
        <v>32</v>
      </c>
      <c r="F4" s="19" t="s">
        <v>66</v>
      </c>
      <c r="G4" s="17" t="s">
        <v>74</v>
      </c>
      <c r="H4" s="21">
        <v>47</v>
      </c>
      <c r="I4" s="21">
        <v>26</v>
      </c>
      <c r="J4" s="21">
        <v>18</v>
      </c>
      <c r="K4" s="21">
        <v>96</v>
      </c>
      <c r="L4" s="21">
        <v>90</v>
      </c>
      <c r="M4" s="21">
        <v>103</v>
      </c>
      <c r="N4" s="21">
        <v>70</v>
      </c>
      <c r="O4" s="21">
        <v>39</v>
      </c>
      <c r="P4" s="21">
        <v>83</v>
      </c>
      <c r="Q4" s="21">
        <v>99</v>
      </c>
      <c r="R4" s="21">
        <v>66</v>
      </c>
      <c r="S4" s="21">
        <v>33</v>
      </c>
      <c r="T4" s="21">
        <v>26</v>
      </c>
      <c r="U4" s="21">
        <v>22</v>
      </c>
      <c r="V4" s="21">
        <v>94</v>
      </c>
      <c r="W4" s="22">
        <v>1</v>
      </c>
      <c r="X4" s="28" t="s">
        <v>115</v>
      </c>
      <c r="Y4" s="22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</row>
    <row r="5" spans="1:993" ht="30" customHeight="1" x14ac:dyDescent="0.25">
      <c r="A5" s="14" t="s">
        <v>44</v>
      </c>
      <c r="B5" s="18" t="s">
        <v>75</v>
      </c>
      <c r="C5" s="18" t="s">
        <v>76</v>
      </c>
      <c r="D5" s="17" t="s">
        <v>64</v>
      </c>
      <c r="E5" s="17" t="s">
        <v>32</v>
      </c>
      <c r="F5" s="19" t="s">
        <v>66</v>
      </c>
      <c r="G5" s="17" t="s">
        <v>74</v>
      </c>
      <c r="H5" s="21">
        <v>46</v>
      </c>
      <c r="I5" s="21">
        <v>27</v>
      </c>
      <c r="J5" s="21">
        <v>19</v>
      </c>
      <c r="K5" s="21">
        <v>99</v>
      </c>
      <c r="L5" s="21">
        <v>94</v>
      </c>
      <c r="M5" s="21">
        <v>113</v>
      </c>
      <c r="N5" s="21">
        <v>74</v>
      </c>
      <c r="O5" s="21">
        <v>42</v>
      </c>
      <c r="P5" s="21">
        <v>89</v>
      </c>
      <c r="Q5" s="21">
        <v>108</v>
      </c>
      <c r="R5" s="21">
        <v>72</v>
      </c>
      <c r="S5" s="21">
        <v>35</v>
      </c>
      <c r="T5" s="21">
        <v>27</v>
      </c>
      <c r="U5" s="21">
        <v>22</v>
      </c>
      <c r="V5" s="21">
        <v>98</v>
      </c>
      <c r="W5" s="22">
        <v>1</v>
      </c>
      <c r="X5" s="28" t="s">
        <v>115</v>
      </c>
      <c r="Y5" s="22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</row>
    <row r="6" spans="1:993" ht="30" customHeight="1" x14ac:dyDescent="0.25">
      <c r="A6" s="24" t="s">
        <v>45</v>
      </c>
      <c r="B6" s="18" t="s">
        <v>77</v>
      </c>
      <c r="C6" s="18" t="s">
        <v>78</v>
      </c>
      <c r="D6" s="17" t="s">
        <v>64</v>
      </c>
      <c r="E6" s="17" t="s">
        <v>32</v>
      </c>
      <c r="F6" s="19" t="s">
        <v>66</v>
      </c>
      <c r="G6" s="17" t="s">
        <v>74</v>
      </c>
      <c r="H6" s="21">
        <v>47</v>
      </c>
      <c r="I6" s="21">
        <v>28</v>
      </c>
      <c r="J6" s="21">
        <v>19</v>
      </c>
      <c r="K6" s="21">
        <v>104</v>
      </c>
      <c r="L6" s="21">
        <v>101</v>
      </c>
      <c r="M6" s="21">
        <v>117</v>
      </c>
      <c r="N6" s="21">
        <v>74</v>
      </c>
      <c r="O6" s="21">
        <v>41</v>
      </c>
      <c r="P6" s="21">
        <v>94</v>
      </c>
      <c r="Q6" s="21">
        <v>116</v>
      </c>
      <c r="R6" s="21">
        <v>70</v>
      </c>
      <c r="S6" s="21">
        <v>35</v>
      </c>
      <c r="T6" s="21">
        <v>27</v>
      </c>
      <c r="U6" s="21">
        <v>22</v>
      </c>
      <c r="V6" s="21">
        <v>99</v>
      </c>
      <c r="W6" s="22">
        <v>1</v>
      </c>
      <c r="X6" s="28" t="s">
        <v>115</v>
      </c>
      <c r="Y6" s="22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</row>
    <row r="7" spans="1:993" ht="30" customHeight="1" x14ac:dyDescent="0.25">
      <c r="A7" s="14" t="s">
        <v>46</v>
      </c>
      <c r="B7" s="18" t="s">
        <v>79</v>
      </c>
      <c r="C7" s="18" t="s">
        <v>80</v>
      </c>
      <c r="D7" s="17" t="s">
        <v>64</v>
      </c>
      <c r="E7" s="17" t="s">
        <v>32</v>
      </c>
      <c r="F7" s="19" t="s">
        <v>66</v>
      </c>
      <c r="G7" s="17" t="s">
        <v>74</v>
      </c>
      <c r="H7" s="20">
        <v>46</v>
      </c>
      <c r="I7" s="20">
        <v>27</v>
      </c>
      <c r="J7" s="20">
        <v>19</v>
      </c>
      <c r="K7" s="20">
        <v>104</v>
      </c>
      <c r="L7" s="20">
        <v>100</v>
      </c>
      <c r="M7" s="20">
        <v>110</v>
      </c>
      <c r="N7" s="20">
        <v>74</v>
      </c>
      <c r="O7" s="20">
        <v>42</v>
      </c>
      <c r="P7" s="20">
        <v>91</v>
      </c>
      <c r="Q7" s="20">
        <v>107</v>
      </c>
      <c r="R7" s="20">
        <v>68</v>
      </c>
      <c r="S7" s="20">
        <v>34</v>
      </c>
      <c r="T7" s="20">
        <v>26</v>
      </c>
      <c r="U7" s="20">
        <v>22</v>
      </c>
      <c r="V7" s="3">
        <v>101</v>
      </c>
      <c r="W7" s="22">
        <v>1</v>
      </c>
      <c r="X7" s="28" t="s">
        <v>115</v>
      </c>
      <c r="Y7" s="22"/>
      <c r="Z7" s="4"/>
    </row>
    <row r="8" spans="1:993" ht="30" customHeight="1" x14ac:dyDescent="0.25">
      <c r="A8" s="24" t="s">
        <v>47</v>
      </c>
      <c r="B8" s="18" t="s">
        <v>81</v>
      </c>
      <c r="C8" s="18" t="s">
        <v>82</v>
      </c>
      <c r="D8" s="17" t="s">
        <v>64</v>
      </c>
      <c r="E8" s="17" t="s">
        <v>32</v>
      </c>
      <c r="F8" s="19" t="s">
        <v>66</v>
      </c>
      <c r="G8" s="17" t="s">
        <v>74</v>
      </c>
      <c r="H8" s="20">
        <v>48</v>
      </c>
      <c r="I8" s="20">
        <v>27</v>
      </c>
      <c r="J8" s="20">
        <v>19</v>
      </c>
      <c r="K8" s="20">
        <v>104</v>
      </c>
      <c r="L8" s="20">
        <v>103</v>
      </c>
      <c r="M8" s="20">
        <v>110</v>
      </c>
      <c r="N8" s="20">
        <v>73</v>
      </c>
      <c r="O8" s="20">
        <v>42</v>
      </c>
      <c r="P8" s="20">
        <v>94</v>
      </c>
      <c r="Q8" s="20">
        <v>108</v>
      </c>
      <c r="R8" s="20">
        <v>68</v>
      </c>
      <c r="S8" s="20">
        <v>34</v>
      </c>
      <c r="T8" s="20">
        <v>27</v>
      </c>
      <c r="U8" s="20">
        <v>22</v>
      </c>
      <c r="V8" s="20">
        <v>98</v>
      </c>
      <c r="W8" s="22">
        <v>1</v>
      </c>
      <c r="X8" s="28" t="s">
        <v>115</v>
      </c>
      <c r="Y8" s="22"/>
      <c r="Z8" s="4"/>
    </row>
    <row r="9" spans="1:993" ht="30" customHeight="1" x14ac:dyDescent="0.25">
      <c r="A9" s="14" t="s">
        <v>48</v>
      </c>
      <c r="B9" s="18" t="s">
        <v>83</v>
      </c>
      <c r="C9" s="18" t="s">
        <v>84</v>
      </c>
      <c r="D9" s="17" t="s">
        <v>64</v>
      </c>
      <c r="E9" s="17" t="s">
        <v>32</v>
      </c>
      <c r="F9" s="19" t="s">
        <v>66</v>
      </c>
      <c r="G9" s="17" t="s">
        <v>74</v>
      </c>
      <c r="H9" s="20">
        <v>46</v>
      </c>
      <c r="I9" s="20">
        <v>26</v>
      </c>
      <c r="J9" s="20">
        <v>20</v>
      </c>
      <c r="K9" s="20">
        <v>102</v>
      </c>
      <c r="L9" s="20">
        <v>102</v>
      </c>
      <c r="M9" s="20">
        <v>113</v>
      </c>
      <c r="N9" s="20">
        <v>74</v>
      </c>
      <c r="O9" s="20">
        <v>43</v>
      </c>
      <c r="P9" s="3">
        <v>93</v>
      </c>
      <c r="Q9" s="3">
        <v>110</v>
      </c>
      <c r="R9" s="20">
        <v>70</v>
      </c>
      <c r="S9" s="20">
        <v>35</v>
      </c>
      <c r="T9" s="20">
        <v>27</v>
      </c>
      <c r="U9" s="20">
        <v>22</v>
      </c>
      <c r="V9" s="20">
        <v>96</v>
      </c>
      <c r="W9" s="22">
        <v>1</v>
      </c>
      <c r="X9" s="28" t="s">
        <v>115</v>
      </c>
      <c r="Y9" s="22"/>
      <c r="Z9" s="4"/>
    </row>
    <row r="10" spans="1:993" ht="30" customHeight="1" x14ac:dyDescent="0.25">
      <c r="A10" s="24" t="s">
        <v>49</v>
      </c>
      <c r="B10" s="18" t="s">
        <v>85</v>
      </c>
      <c r="C10" s="18" t="s">
        <v>82</v>
      </c>
      <c r="D10" s="17" t="s">
        <v>64</v>
      </c>
      <c r="E10" s="17" t="s">
        <v>32</v>
      </c>
      <c r="F10" s="19" t="s">
        <v>66</v>
      </c>
      <c r="G10" s="17" t="s">
        <v>74</v>
      </c>
      <c r="H10" s="20">
        <v>45</v>
      </c>
      <c r="I10" s="20">
        <v>26</v>
      </c>
      <c r="J10" s="20">
        <v>18</v>
      </c>
      <c r="K10" s="20">
        <v>98</v>
      </c>
      <c r="L10" s="20">
        <v>94</v>
      </c>
      <c r="M10" s="20">
        <v>107</v>
      </c>
      <c r="N10" s="20">
        <v>70</v>
      </c>
      <c r="O10" s="20">
        <v>39</v>
      </c>
      <c r="P10" s="20">
        <v>88</v>
      </c>
      <c r="Q10" s="20">
        <v>104</v>
      </c>
      <c r="R10" s="20">
        <v>64</v>
      </c>
      <c r="S10" s="20">
        <v>33</v>
      </c>
      <c r="T10" s="20">
        <v>26</v>
      </c>
      <c r="U10" s="20">
        <v>22</v>
      </c>
      <c r="V10" s="20">
        <v>90</v>
      </c>
      <c r="W10" s="22">
        <v>1</v>
      </c>
      <c r="X10" s="28" t="s">
        <v>115</v>
      </c>
      <c r="Y10" s="22"/>
      <c r="Z10" s="4"/>
    </row>
    <row r="11" spans="1:993" ht="30" customHeight="1" x14ac:dyDescent="0.25">
      <c r="A11" s="14" t="s">
        <v>50</v>
      </c>
      <c r="B11" s="18" t="s">
        <v>86</v>
      </c>
      <c r="C11" s="18" t="s">
        <v>87</v>
      </c>
      <c r="D11" s="17" t="s">
        <v>64</v>
      </c>
      <c r="E11" s="17" t="s">
        <v>32</v>
      </c>
      <c r="F11" s="19" t="s">
        <v>66</v>
      </c>
      <c r="G11" s="17" t="s">
        <v>74</v>
      </c>
      <c r="H11" s="21">
        <v>47</v>
      </c>
      <c r="I11" s="20">
        <v>26</v>
      </c>
      <c r="J11" s="20">
        <v>19</v>
      </c>
      <c r="K11" s="21">
        <v>103</v>
      </c>
      <c r="L11" s="21">
        <v>88</v>
      </c>
      <c r="M11" s="20">
        <v>108</v>
      </c>
      <c r="N11" s="20">
        <v>73</v>
      </c>
      <c r="O11" s="20">
        <v>41</v>
      </c>
      <c r="P11" s="20">
        <v>89</v>
      </c>
      <c r="Q11" s="20">
        <v>107</v>
      </c>
      <c r="R11" s="20">
        <v>69</v>
      </c>
      <c r="S11" s="20">
        <v>35</v>
      </c>
      <c r="T11" s="20">
        <v>27</v>
      </c>
      <c r="U11" s="20">
        <v>22</v>
      </c>
      <c r="V11" s="20">
        <v>98</v>
      </c>
      <c r="W11" s="22">
        <v>1</v>
      </c>
      <c r="X11" s="28" t="s">
        <v>115</v>
      </c>
      <c r="Y11" s="22"/>
      <c r="Z11" s="4"/>
    </row>
    <row r="12" spans="1:993" ht="30" customHeight="1" x14ac:dyDescent="0.25">
      <c r="A12" s="24" t="s">
        <v>51</v>
      </c>
      <c r="B12" s="18" t="s">
        <v>88</v>
      </c>
      <c r="C12" s="18" t="s">
        <v>89</v>
      </c>
      <c r="D12" s="17" t="s">
        <v>64</v>
      </c>
      <c r="E12" s="17" t="s">
        <v>32</v>
      </c>
      <c r="F12" s="19" t="s">
        <v>66</v>
      </c>
      <c r="G12" s="17" t="s">
        <v>74</v>
      </c>
      <c r="H12" s="20">
        <v>48</v>
      </c>
      <c r="I12" s="20">
        <v>27</v>
      </c>
      <c r="J12" s="20">
        <v>19</v>
      </c>
      <c r="K12" s="20">
        <v>105</v>
      </c>
      <c r="L12" s="20">
        <v>99</v>
      </c>
      <c r="M12" s="20">
        <v>112</v>
      </c>
      <c r="N12" s="20">
        <v>71</v>
      </c>
      <c r="O12" s="20">
        <v>41</v>
      </c>
      <c r="P12" s="20">
        <v>92</v>
      </c>
      <c r="Q12" s="20">
        <v>108</v>
      </c>
      <c r="R12" s="20">
        <v>73</v>
      </c>
      <c r="S12" s="20">
        <v>35</v>
      </c>
      <c r="T12" s="20">
        <v>27</v>
      </c>
      <c r="U12" s="20">
        <v>22</v>
      </c>
      <c r="V12" s="20">
        <v>98</v>
      </c>
      <c r="W12" s="22">
        <v>1</v>
      </c>
      <c r="X12" s="28" t="s">
        <v>115</v>
      </c>
      <c r="Y12" s="22"/>
      <c r="Z12" s="4"/>
    </row>
    <row r="13" spans="1:993" ht="30" customHeight="1" x14ac:dyDescent="0.25">
      <c r="A13" s="14" t="s">
        <v>52</v>
      </c>
      <c r="B13" s="18" t="s">
        <v>90</v>
      </c>
      <c r="C13" s="18" t="s">
        <v>91</v>
      </c>
      <c r="D13" s="17" t="s">
        <v>64</v>
      </c>
      <c r="E13" s="17" t="s">
        <v>32</v>
      </c>
      <c r="F13" s="19" t="s">
        <v>66</v>
      </c>
      <c r="G13" s="17" t="s">
        <v>74</v>
      </c>
      <c r="H13" s="3">
        <v>47</v>
      </c>
      <c r="I13" s="3">
        <v>26</v>
      </c>
      <c r="J13" s="3">
        <v>20</v>
      </c>
      <c r="K13" s="3">
        <v>110</v>
      </c>
      <c r="L13" s="3">
        <v>105</v>
      </c>
      <c r="M13" s="3">
        <v>119</v>
      </c>
      <c r="N13" s="3">
        <v>72</v>
      </c>
      <c r="O13" s="3">
        <v>43</v>
      </c>
      <c r="P13" s="3">
        <v>96</v>
      </c>
      <c r="Q13" s="3">
        <v>119</v>
      </c>
      <c r="R13" s="3">
        <v>73</v>
      </c>
      <c r="S13" s="3">
        <v>36</v>
      </c>
      <c r="T13" s="3">
        <v>28</v>
      </c>
      <c r="U13" s="3">
        <v>22</v>
      </c>
      <c r="V13" s="3">
        <v>100</v>
      </c>
      <c r="W13" s="22">
        <v>1</v>
      </c>
      <c r="X13" s="28" t="s">
        <v>115</v>
      </c>
      <c r="Z13" s="4"/>
    </row>
    <row r="14" spans="1:993" ht="30" customHeight="1" x14ac:dyDescent="0.25">
      <c r="A14" s="24" t="s">
        <v>53</v>
      </c>
      <c r="B14" s="18" t="s">
        <v>92</v>
      </c>
      <c r="C14" s="18" t="s">
        <v>93</v>
      </c>
      <c r="D14" s="17" t="s">
        <v>64</v>
      </c>
      <c r="E14" s="17" t="s">
        <v>32</v>
      </c>
      <c r="F14" s="19" t="s">
        <v>66</v>
      </c>
      <c r="G14" s="17" t="s">
        <v>74</v>
      </c>
      <c r="H14" s="3">
        <v>47</v>
      </c>
      <c r="I14" s="3">
        <v>26</v>
      </c>
      <c r="J14" s="3">
        <v>18</v>
      </c>
      <c r="K14" s="3">
        <v>97</v>
      </c>
      <c r="L14" s="3">
        <v>85</v>
      </c>
      <c r="M14" s="3">
        <v>107</v>
      </c>
      <c r="N14" s="3">
        <v>72</v>
      </c>
      <c r="O14" s="3">
        <v>40</v>
      </c>
      <c r="P14" s="3">
        <v>78</v>
      </c>
      <c r="Q14" s="3">
        <v>99</v>
      </c>
      <c r="R14" s="3">
        <v>68</v>
      </c>
      <c r="S14" s="3">
        <v>32</v>
      </c>
      <c r="T14" s="3">
        <v>26</v>
      </c>
      <c r="U14" s="3">
        <v>22</v>
      </c>
      <c r="V14" s="3">
        <v>102</v>
      </c>
      <c r="W14" s="22">
        <v>1</v>
      </c>
      <c r="X14" s="28" t="s">
        <v>115</v>
      </c>
      <c r="Z14" s="4"/>
    </row>
    <row r="15" spans="1:993" ht="30" customHeight="1" x14ac:dyDescent="0.25">
      <c r="A15" s="14" t="s">
        <v>54</v>
      </c>
      <c r="B15" s="18" t="s">
        <v>94</v>
      </c>
      <c r="C15" s="18" t="s">
        <v>95</v>
      </c>
      <c r="D15" s="17" t="s">
        <v>64</v>
      </c>
      <c r="E15" s="17" t="s">
        <v>32</v>
      </c>
      <c r="F15" s="19" t="s">
        <v>66</v>
      </c>
      <c r="G15" s="17" t="s">
        <v>74</v>
      </c>
      <c r="H15" s="3">
        <v>46</v>
      </c>
      <c r="I15" s="3">
        <v>27</v>
      </c>
      <c r="J15" s="3">
        <v>20</v>
      </c>
      <c r="K15" s="3">
        <v>105</v>
      </c>
      <c r="L15" s="3">
        <v>105</v>
      </c>
      <c r="M15" s="3">
        <v>114</v>
      </c>
      <c r="N15" s="3">
        <v>73</v>
      </c>
      <c r="O15" s="3">
        <v>42</v>
      </c>
      <c r="P15" s="3">
        <v>99</v>
      </c>
      <c r="Q15" s="3">
        <v>116</v>
      </c>
      <c r="R15" s="3">
        <v>72</v>
      </c>
      <c r="S15" s="3">
        <v>37</v>
      </c>
      <c r="T15" s="3">
        <v>28</v>
      </c>
      <c r="U15" s="3">
        <v>22</v>
      </c>
      <c r="V15" s="3">
        <v>102</v>
      </c>
      <c r="W15" s="22">
        <v>1</v>
      </c>
      <c r="X15" s="28" t="s">
        <v>115</v>
      </c>
    </row>
    <row r="16" spans="1:993" ht="30" customHeight="1" x14ac:dyDescent="0.25">
      <c r="A16" s="24" t="s">
        <v>55</v>
      </c>
      <c r="B16" s="18" t="s">
        <v>96</v>
      </c>
      <c r="C16" s="18" t="s">
        <v>97</v>
      </c>
      <c r="D16" s="17" t="s">
        <v>64</v>
      </c>
      <c r="E16" s="17" t="s">
        <v>32</v>
      </c>
      <c r="F16" s="19" t="s">
        <v>66</v>
      </c>
      <c r="G16" s="17" t="s">
        <v>74</v>
      </c>
      <c r="H16" s="3">
        <v>47</v>
      </c>
      <c r="I16" s="3">
        <v>27</v>
      </c>
      <c r="J16" s="3">
        <v>19</v>
      </c>
      <c r="K16" s="3">
        <v>108</v>
      </c>
      <c r="L16" s="3">
        <v>105</v>
      </c>
      <c r="M16" s="3">
        <v>116</v>
      </c>
      <c r="N16" s="3">
        <v>70</v>
      </c>
      <c r="O16" s="3">
        <v>42</v>
      </c>
      <c r="P16" s="3">
        <v>96</v>
      </c>
      <c r="Q16" s="3">
        <v>112</v>
      </c>
      <c r="R16" s="3">
        <v>67</v>
      </c>
      <c r="S16" s="3">
        <v>35</v>
      </c>
      <c r="T16" s="3">
        <v>27</v>
      </c>
      <c r="U16" s="3">
        <v>22</v>
      </c>
      <c r="V16" s="3">
        <v>96</v>
      </c>
      <c r="W16" s="22">
        <v>1</v>
      </c>
      <c r="X16" s="28" t="s">
        <v>115</v>
      </c>
    </row>
    <row r="17" spans="1:24" ht="30" customHeight="1" x14ac:dyDescent="0.25">
      <c r="A17" s="14" t="s">
        <v>56</v>
      </c>
      <c r="B17" s="18" t="s">
        <v>98</v>
      </c>
      <c r="C17" s="18" t="s">
        <v>99</v>
      </c>
      <c r="D17" s="17" t="s">
        <v>64</v>
      </c>
      <c r="E17" s="17" t="s">
        <v>32</v>
      </c>
      <c r="F17" s="19" t="s">
        <v>66</v>
      </c>
      <c r="G17" s="17" t="s">
        <v>74</v>
      </c>
      <c r="H17" s="3">
        <v>45</v>
      </c>
      <c r="I17" s="3">
        <v>25</v>
      </c>
      <c r="J17" s="3">
        <v>18</v>
      </c>
      <c r="K17" s="3">
        <v>105</v>
      </c>
      <c r="L17" s="3">
        <v>101</v>
      </c>
      <c r="M17" s="3">
        <v>116</v>
      </c>
      <c r="N17" s="3">
        <v>68</v>
      </c>
      <c r="O17" s="3">
        <v>41</v>
      </c>
      <c r="P17" s="3">
        <v>89</v>
      </c>
      <c r="Q17" s="3">
        <v>106</v>
      </c>
      <c r="R17" s="3">
        <v>66</v>
      </c>
      <c r="S17" s="3">
        <v>34</v>
      </c>
      <c r="T17" s="3">
        <v>26</v>
      </c>
      <c r="U17" s="3">
        <v>22</v>
      </c>
      <c r="V17" s="3">
        <v>94</v>
      </c>
      <c r="W17" s="22">
        <v>1</v>
      </c>
      <c r="X17" s="28" t="s">
        <v>115</v>
      </c>
    </row>
    <row r="18" spans="1:24" ht="30" customHeight="1" x14ac:dyDescent="0.25">
      <c r="A18" s="24" t="s">
        <v>57</v>
      </c>
      <c r="B18" s="18" t="s">
        <v>100</v>
      </c>
      <c r="C18" s="18" t="s">
        <v>97</v>
      </c>
      <c r="D18" s="17" t="s">
        <v>64</v>
      </c>
      <c r="E18" s="17" t="s">
        <v>32</v>
      </c>
      <c r="F18" s="19" t="s">
        <v>66</v>
      </c>
      <c r="G18" s="17" t="s">
        <v>74</v>
      </c>
      <c r="H18" s="3">
        <v>45</v>
      </c>
      <c r="I18" s="3">
        <v>26</v>
      </c>
      <c r="J18" s="3">
        <v>18</v>
      </c>
      <c r="K18" s="3">
        <v>101</v>
      </c>
      <c r="L18" s="3">
        <v>99</v>
      </c>
      <c r="M18" s="3">
        <v>115</v>
      </c>
      <c r="N18" s="3">
        <v>71</v>
      </c>
      <c r="O18" s="3">
        <v>41</v>
      </c>
      <c r="P18" s="3">
        <v>94</v>
      </c>
      <c r="Q18" s="3">
        <v>110</v>
      </c>
      <c r="R18" s="3">
        <v>68</v>
      </c>
      <c r="S18" s="3">
        <v>36</v>
      </c>
      <c r="T18" s="3">
        <v>27</v>
      </c>
      <c r="U18" s="3">
        <v>22</v>
      </c>
      <c r="V18" s="3">
        <v>94</v>
      </c>
      <c r="W18" s="22">
        <v>1</v>
      </c>
      <c r="X18" s="28" t="s">
        <v>115</v>
      </c>
    </row>
    <row r="19" spans="1:24" ht="30" customHeight="1" x14ac:dyDescent="0.25">
      <c r="A19" s="14" t="s">
        <v>58</v>
      </c>
      <c r="B19" s="18" t="s">
        <v>101</v>
      </c>
      <c r="C19" s="18" t="s">
        <v>102</v>
      </c>
      <c r="D19" s="17" t="s">
        <v>64</v>
      </c>
      <c r="E19" s="17" t="s">
        <v>32</v>
      </c>
      <c r="F19" s="19" t="s">
        <v>66</v>
      </c>
      <c r="G19" s="17" t="s">
        <v>74</v>
      </c>
      <c r="H19" s="3">
        <v>47</v>
      </c>
      <c r="I19" s="3">
        <v>26</v>
      </c>
      <c r="J19" s="3">
        <v>18</v>
      </c>
      <c r="K19" s="3">
        <v>95</v>
      </c>
      <c r="L19" s="3">
        <v>91</v>
      </c>
      <c r="M19" s="3">
        <v>102</v>
      </c>
      <c r="N19" s="3">
        <v>72</v>
      </c>
      <c r="O19" s="3">
        <v>40</v>
      </c>
      <c r="P19" s="3">
        <v>82</v>
      </c>
      <c r="Q19" s="3">
        <v>99</v>
      </c>
      <c r="R19" s="3">
        <v>68</v>
      </c>
      <c r="S19" s="3">
        <v>33</v>
      </c>
      <c r="T19" s="3">
        <v>26</v>
      </c>
      <c r="U19" s="3">
        <v>22</v>
      </c>
      <c r="V19" s="3">
        <v>98</v>
      </c>
      <c r="W19" s="22">
        <v>1</v>
      </c>
      <c r="X19" s="28" t="s">
        <v>115</v>
      </c>
    </row>
    <row r="20" spans="1:24" ht="30" customHeight="1" x14ac:dyDescent="0.25">
      <c r="A20" s="24" t="s">
        <v>59</v>
      </c>
      <c r="B20" s="18" t="s">
        <v>103</v>
      </c>
      <c r="C20" s="18" t="s">
        <v>104</v>
      </c>
      <c r="D20" s="17" t="s">
        <v>64</v>
      </c>
      <c r="E20" s="17" t="s">
        <v>32</v>
      </c>
      <c r="F20" s="19" t="s">
        <v>66</v>
      </c>
      <c r="G20" s="17" t="s">
        <v>74</v>
      </c>
      <c r="H20" s="3">
        <v>46</v>
      </c>
      <c r="I20" s="3">
        <v>27</v>
      </c>
      <c r="J20" s="3">
        <v>18</v>
      </c>
      <c r="K20" s="3">
        <v>99</v>
      </c>
      <c r="L20" s="3">
        <v>94</v>
      </c>
      <c r="M20" s="3">
        <v>114</v>
      </c>
      <c r="N20" s="3">
        <v>74</v>
      </c>
      <c r="O20" s="3">
        <v>40</v>
      </c>
      <c r="P20" s="3">
        <v>90</v>
      </c>
      <c r="Q20" s="3">
        <v>109</v>
      </c>
      <c r="R20" s="3">
        <v>73</v>
      </c>
      <c r="S20" s="3">
        <v>35</v>
      </c>
      <c r="T20" s="3">
        <v>27</v>
      </c>
      <c r="U20" s="3">
        <v>22</v>
      </c>
      <c r="V20" s="3">
        <v>102</v>
      </c>
      <c r="W20" s="22">
        <v>1</v>
      </c>
      <c r="X20" s="28" t="s">
        <v>115</v>
      </c>
    </row>
    <row r="21" spans="1:24" ht="30" customHeight="1" x14ac:dyDescent="0.25">
      <c r="A21" s="14" t="s">
        <v>60</v>
      </c>
      <c r="B21" s="18" t="s">
        <v>105</v>
      </c>
      <c r="C21" s="18" t="s">
        <v>106</v>
      </c>
      <c r="D21" s="17" t="s">
        <v>64</v>
      </c>
      <c r="E21" s="17" t="s">
        <v>32</v>
      </c>
      <c r="F21" s="19" t="s">
        <v>65</v>
      </c>
      <c r="G21" s="17" t="s">
        <v>74</v>
      </c>
      <c r="H21" s="3">
        <v>44</v>
      </c>
      <c r="I21" s="3">
        <v>61</v>
      </c>
      <c r="J21" s="3">
        <v>18</v>
      </c>
      <c r="K21" s="3">
        <v>14</v>
      </c>
      <c r="L21" s="3">
        <v>101</v>
      </c>
      <c r="M21" s="3">
        <v>84</v>
      </c>
      <c r="N21" s="3">
        <v>109</v>
      </c>
      <c r="O21" s="3" t="s">
        <v>114</v>
      </c>
      <c r="P21" s="3">
        <v>91</v>
      </c>
      <c r="Q21" s="3">
        <v>105</v>
      </c>
      <c r="R21" s="3">
        <v>66</v>
      </c>
      <c r="S21" s="3">
        <v>34</v>
      </c>
      <c r="T21" s="3">
        <v>27</v>
      </c>
      <c r="U21" s="3">
        <v>22</v>
      </c>
      <c r="V21" s="3">
        <v>96</v>
      </c>
      <c r="W21" s="22">
        <v>1</v>
      </c>
      <c r="X21" s="28" t="s">
        <v>115</v>
      </c>
    </row>
    <row r="22" spans="1:24" ht="30" customHeight="1" x14ac:dyDescent="0.25">
      <c r="A22" s="24" t="s">
        <v>61</v>
      </c>
      <c r="B22" s="18" t="s">
        <v>107</v>
      </c>
      <c r="C22" s="18" t="s">
        <v>108</v>
      </c>
      <c r="D22" s="17" t="s">
        <v>64</v>
      </c>
      <c r="E22" s="17" t="s">
        <v>32</v>
      </c>
      <c r="F22" s="19" t="s">
        <v>66</v>
      </c>
      <c r="G22" s="19" t="s">
        <v>111</v>
      </c>
      <c r="H22" s="3">
        <v>46</v>
      </c>
      <c r="I22" s="3">
        <v>26</v>
      </c>
      <c r="J22" s="3">
        <v>19</v>
      </c>
      <c r="K22" s="3">
        <v>101</v>
      </c>
      <c r="L22" s="3">
        <v>103</v>
      </c>
      <c r="M22" s="3">
        <v>114</v>
      </c>
      <c r="N22" s="3">
        <v>74</v>
      </c>
      <c r="O22" s="3">
        <v>41</v>
      </c>
      <c r="P22" s="3">
        <v>90</v>
      </c>
      <c r="Q22" s="3">
        <v>114</v>
      </c>
      <c r="R22" s="3">
        <v>71</v>
      </c>
      <c r="S22" s="3">
        <v>35</v>
      </c>
      <c r="T22" s="3">
        <v>27</v>
      </c>
      <c r="U22" s="3">
        <v>22</v>
      </c>
      <c r="V22" s="3">
        <v>100</v>
      </c>
      <c r="W22" s="22">
        <v>1</v>
      </c>
      <c r="X22" s="28" t="s">
        <v>115</v>
      </c>
    </row>
    <row r="23" spans="1:24" ht="30" customHeight="1" x14ac:dyDescent="0.25">
      <c r="A23" s="14" t="s">
        <v>62</v>
      </c>
      <c r="B23" s="18" t="s">
        <v>109</v>
      </c>
      <c r="C23" s="18" t="s">
        <v>112</v>
      </c>
      <c r="D23" s="17" t="s">
        <v>64</v>
      </c>
      <c r="E23" s="17" t="s">
        <v>32</v>
      </c>
      <c r="F23" s="19" t="s">
        <v>66</v>
      </c>
      <c r="G23" s="19" t="s">
        <v>111</v>
      </c>
      <c r="H23" s="3">
        <v>47</v>
      </c>
      <c r="I23" s="3">
        <v>29</v>
      </c>
      <c r="J23" s="3">
        <v>18</v>
      </c>
      <c r="K23" s="3">
        <v>100</v>
      </c>
      <c r="L23" s="3">
        <v>92</v>
      </c>
      <c r="M23" s="3">
        <v>111</v>
      </c>
      <c r="N23" s="3">
        <v>78</v>
      </c>
      <c r="O23" s="3">
        <v>41</v>
      </c>
      <c r="P23" s="3">
        <v>89</v>
      </c>
      <c r="Q23" s="3">
        <v>110</v>
      </c>
      <c r="R23" s="3">
        <v>68</v>
      </c>
      <c r="S23" s="3">
        <v>34</v>
      </c>
      <c r="T23" s="3">
        <v>27</v>
      </c>
      <c r="U23" s="3">
        <v>22</v>
      </c>
      <c r="V23" s="3">
        <v>101</v>
      </c>
      <c r="W23" s="22">
        <v>1</v>
      </c>
      <c r="X23" s="28" t="s">
        <v>115</v>
      </c>
    </row>
    <row r="24" spans="1:24" ht="30" customHeight="1" x14ac:dyDescent="0.25">
      <c r="A24" s="24" t="s">
        <v>63</v>
      </c>
      <c r="B24" s="18" t="s">
        <v>110</v>
      </c>
      <c r="C24" s="18" t="s">
        <v>113</v>
      </c>
      <c r="D24" s="17" t="s">
        <v>64</v>
      </c>
      <c r="E24" s="17" t="s">
        <v>32</v>
      </c>
      <c r="F24" s="19" t="s">
        <v>66</v>
      </c>
      <c r="G24" s="19" t="s">
        <v>111</v>
      </c>
      <c r="H24" s="3">
        <v>47</v>
      </c>
      <c r="I24" s="3">
        <v>27</v>
      </c>
      <c r="J24" s="3">
        <v>19</v>
      </c>
      <c r="K24" s="3">
        <v>102</v>
      </c>
      <c r="L24" s="3">
        <v>99</v>
      </c>
      <c r="M24" s="3">
        <v>112</v>
      </c>
      <c r="N24" s="3">
        <v>72</v>
      </c>
      <c r="O24" s="3">
        <v>41</v>
      </c>
      <c r="P24" s="3">
        <v>93</v>
      </c>
      <c r="Q24" s="3">
        <v>108</v>
      </c>
      <c r="R24" s="3">
        <v>71</v>
      </c>
      <c r="S24" s="3">
        <v>36</v>
      </c>
      <c r="T24" s="3">
        <v>27</v>
      </c>
      <c r="U24" s="3">
        <v>22</v>
      </c>
      <c r="V24" s="3">
        <v>100</v>
      </c>
      <c r="W24" s="22">
        <v>1</v>
      </c>
      <c r="X24" s="28" t="s">
        <v>115</v>
      </c>
    </row>
    <row r="25" spans="1:24" ht="30" customHeight="1" x14ac:dyDescent="0.25">
      <c r="A25" s="14" t="s">
        <v>123</v>
      </c>
      <c r="B25" s="15" t="s">
        <v>117</v>
      </c>
      <c r="C25" s="1" t="s">
        <v>119</v>
      </c>
      <c r="D25" s="17" t="s">
        <v>64</v>
      </c>
      <c r="E25" s="17" t="s">
        <v>32</v>
      </c>
      <c r="F25" s="19" t="s">
        <v>66</v>
      </c>
      <c r="G25" s="3" t="s">
        <v>74</v>
      </c>
      <c r="H25" s="3">
        <v>47</v>
      </c>
      <c r="I25" s="3">
        <v>28</v>
      </c>
      <c r="J25" s="3">
        <v>19</v>
      </c>
      <c r="K25" s="3">
        <v>102</v>
      </c>
      <c r="L25" s="3">
        <v>95</v>
      </c>
      <c r="M25" s="3">
        <v>109</v>
      </c>
      <c r="N25" s="3">
        <v>72</v>
      </c>
      <c r="O25" s="3">
        <v>42</v>
      </c>
      <c r="P25" s="3">
        <v>91</v>
      </c>
      <c r="Q25" s="3">
        <v>107</v>
      </c>
      <c r="R25" s="3">
        <v>71</v>
      </c>
      <c r="S25" s="3">
        <v>35</v>
      </c>
      <c r="T25" s="3">
        <v>27</v>
      </c>
      <c r="U25" s="3">
        <v>22</v>
      </c>
      <c r="V25" s="3">
        <v>98</v>
      </c>
      <c r="W25" s="13"/>
    </row>
    <row r="26" spans="1:24" ht="30" customHeight="1" x14ac:dyDescent="0.25">
      <c r="A26" s="24" t="s">
        <v>124</v>
      </c>
      <c r="B26" s="15" t="s">
        <v>118</v>
      </c>
      <c r="C26" s="1" t="s">
        <v>120</v>
      </c>
      <c r="D26" s="17" t="s">
        <v>64</v>
      </c>
      <c r="E26" s="17" t="s">
        <v>32</v>
      </c>
      <c r="F26" s="19" t="s">
        <v>66</v>
      </c>
      <c r="G26" s="3" t="s">
        <v>74</v>
      </c>
      <c r="H26" s="3">
        <v>47</v>
      </c>
      <c r="I26" s="3">
        <v>27</v>
      </c>
      <c r="J26" s="3">
        <v>19</v>
      </c>
      <c r="K26" s="3">
        <v>104</v>
      </c>
      <c r="L26" s="3">
        <v>94</v>
      </c>
      <c r="M26" s="3">
        <v>112</v>
      </c>
      <c r="N26" s="3">
        <v>75</v>
      </c>
      <c r="O26" s="3">
        <v>42</v>
      </c>
      <c r="P26" s="3">
        <v>90</v>
      </c>
      <c r="Q26" s="3">
        <v>110</v>
      </c>
      <c r="R26" s="3">
        <v>72</v>
      </c>
      <c r="S26" s="3">
        <v>36</v>
      </c>
      <c r="T26" s="3">
        <v>27</v>
      </c>
      <c r="U26" s="3">
        <v>22</v>
      </c>
      <c r="V26" s="3">
        <v>102</v>
      </c>
      <c r="W26" s="13"/>
    </row>
    <row r="27" spans="1:24" ht="30" customHeight="1" x14ac:dyDescent="0.25">
      <c r="A27" s="14" t="s">
        <v>125</v>
      </c>
      <c r="B27" s="15" t="s">
        <v>122</v>
      </c>
      <c r="C27" s="1" t="s">
        <v>121</v>
      </c>
      <c r="D27" s="17" t="s">
        <v>64</v>
      </c>
      <c r="E27" s="17" t="s">
        <v>32</v>
      </c>
      <c r="F27" s="19" t="s">
        <v>66</v>
      </c>
      <c r="G27" s="3" t="s">
        <v>74</v>
      </c>
      <c r="H27" s="3">
        <v>46</v>
      </c>
      <c r="I27" s="3">
        <v>25</v>
      </c>
      <c r="J27" s="3">
        <v>19</v>
      </c>
      <c r="K27" s="3">
        <v>101</v>
      </c>
      <c r="L27" s="3">
        <v>98</v>
      </c>
      <c r="M27" s="3">
        <v>106</v>
      </c>
      <c r="N27" s="3">
        <v>69</v>
      </c>
      <c r="O27" s="3">
        <v>42</v>
      </c>
      <c r="P27" s="3">
        <v>92</v>
      </c>
      <c r="Q27" s="3">
        <v>104</v>
      </c>
      <c r="R27" s="3">
        <v>70</v>
      </c>
      <c r="S27" s="3">
        <v>34</v>
      </c>
      <c r="T27" s="3">
        <v>27</v>
      </c>
      <c r="U27" s="3">
        <v>22</v>
      </c>
      <c r="V27" s="3">
        <v>96</v>
      </c>
      <c r="W27" s="13"/>
    </row>
    <row r="28" spans="1:24" ht="30" customHeight="1" x14ac:dyDescent="0.25">
      <c r="A28" s="24" t="s">
        <v>130</v>
      </c>
      <c r="B28" s="15" t="s">
        <v>126</v>
      </c>
      <c r="C28" s="1" t="s">
        <v>127</v>
      </c>
      <c r="D28" s="17" t="s">
        <v>64</v>
      </c>
      <c r="E28" s="17" t="s">
        <v>32</v>
      </c>
      <c r="F28" s="19" t="s">
        <v>66</v>
      </c>
      <c r="G28" s="3" t="s">
        <v>74</v>
      </c>
      <c r="H28" s="3">
        <v>47</v>
      </c>
      <c r="I28" s="3">
        <v>26</v>
      </c>
      <c r="J28" s="3">
        <v>18</v>
      </c>
      <c r="K28" s="3">
        <v>99</v>
      </c>
      <c r="L28" s="3">
        <v>90</v>
      </c>
      <c r="M28" s="3">
        <v>106</v>
      </c>
      <c r="N28" s="3">
        <v>75</v>
      </c>
      <c r="O28" s="3">
        <v>41</v>
      </c>
      <c r="P28" s="3">
        <v>83</v>
      </c>
      <c r="Q28" s="3">
        <v>103</v>
      </c>
      <c r="R28" s="3">
        <v>72</v>
      </c>
      <c r="S28" s="3">
        <v>33</v>
      </c>
      <c r="T28" s="3">
        <v>26</v>
      </c>
      <c r="U28" s="3">
        <v>21</v>
      </c>
      <c r="V28" s="3">
        <v>101</v>
      </c>
      <c r="W28" s="13"/>
    </row>
    <row r="29" spans="1:24" ht="30" customHeight="1" x14ac:dyDescent="0.25">
      <c r="A29" s="14" t="s">
        <v>131</v>
      </c>
      <c r="B29" s="15" t="s">
        <v>128</v>
      </c>
      <c r="C29" s="1" t="s">
        <v>129</v>
      </c>
      <c r="D29" s="17" t="s">
        <v>64</v>
      </c>
      <c r="E29" s="17" t="s">
        <v>32</v>
      </c>
      <c r="F29" s="19" t="s">
        <v>66</v>
      </c>
      <c r="G29" s="3" t="s">
        <v>74</v>
      </c>
      <c r="H29" s="3">
        <v>50</v>
      </c>
      <c r="I29" s="3">
        <v>26</v>
      </c>
      <c r="J29" s="3">
        <v>19</v>
      </c>
      <c r="K29" s="3">
        <v>106</v>
      </c>
      <c r="L29" s="3">
        <v>100</v>
      </c>
      <c r="M29" s="3">
        <v>114</v>
      </c>
      <c r="N29" s="3">
        <v>73</v>
      </c>
      <c r="O29" s="3">
        <v>41</v>
      </c>
      <c r="P29" s="3">
        <v>96</v>
      </c>
      <c r="Q29" s="3">
        <v>112</v>
      </c>
      <c r="R29" s="3">
        <v>72</v>
      </c>
      <c r="S29" s="3">
        <v>35</v>
      </c>
      <c r="T29" s="3">
        <v>28</v>
      </c>
      <c r="U29" s="3">
        <v>22</v>
      </c>
      <c r="V29" s="3">
        <v>100</v>
      </c>
      <c r="W29" s="13"/>
    </row>
    <row r="30" spans="1:24" ht="30" customHeight="1" x14ac:dyDescent="0.25">
      <c r="W30" s="13"/>
    </row>
  </sheetData>
  <phoneticPr fontId="20" type="noConversion"/>
  <pageMargins left="0.74803149606299213" right="3.937007874015748E-2" top="0.5" bottom="0.11811023622047245" header="0.23622047244094491" footer="0.51181102362204722"/>
  <pageSetup paperSize="9" scale="75" firstPageNumber="0" orientation="portrait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25</v>
      </c>
      <c r="G2" t="s">
        <v>26</v>
      </c>
      <c r="M2" s="1" t="s">
        <v>27</v>
      </c>
    </row>
    <row r="3" spans="1:18" x14ac:dyDescent="0.25">
      <c r="A3" t="s">
        <v>28</v>
      </c>
      <c r="B3" t="s">
        <v>29</v>
      </c>
      <c r="E3" s="11" t="s">
        <v>33</v>
      </c>
      <c r="G3" t="s">
        <v>30</v>
      </c>
      <c r="H3" t="s">
        <v>29</v>
      </c>
      <c r="K3" s="11" t="s">
        <v>33</v>
      </c>
      <c r="M3" s="1" t="s">
        <v>30</v>
      </c>
      <c r="N3" t="s">
        <v>29</v>
      </c>
      <c r="Q3" s="11" t="s">
        <v>33</v>
      </c>
    </row>
    <row r="4" spans="1:18" ht="15.75" x14ac:dyDescent="0.25">
      <c r="A4" s="1" t="s">
        <v>19</v>
      </c>
      <c r="B4">
        <f>COUNTIF(SEMUA!$F$2:$F$24,REKAP!A4)</f>
        <v>0</v>
      </c>
      <c r="C4">
        <v>3</v>
      </c>
      <c r="D4">
        <f>SUM(B4:C4)</f>
        <v>3</v>
      </c>
      <c r="E4" s="11">
        <v>25</v>
      </c>
      <c r="G4">
        <v>37</v>
      </c>
      <c r="H4">
        <f>COUNTIF(SEMUA!$E$1:$E$24,G4)</f>
        <v>0</v>
      </c>
      <c r="J4">
        <f>SUM(H4:I4)</f>
        <v>0</v>
      </c>
      <c r="K4" s="11">
        <v>0</v>
      </c>
      <c r="M4" s="7">
        <v>53</v>
      </c>
      <c r="N4">
        <f>COUNTIF(SEMUA!$G$2:$G$24,M4)</f>
        <v>0</v>
      </c>
      <c r="P4">
        <f>SUM(N4:O4)</f>
        <v>0</v>
      </c>
      <c r="Q4" s="11">
        <v>1</v>
      </c>
    </row>
    <row r="5" spans="1:18" ht="15.75" x14ac:dyDescent="0.25">
      <c r="A5" s="6" t="s">
        <v>18</v>
      </c>
      <c r="B5">
        <f>COUNTIF(SEMUA!$F$2:$F$24,REKAP!A5)</f>
        <v>0</v>
      </c>
      <c r="C5">
        <v>5</v>
      </c>
      <c r="D5">
        <f t="shared" ref="D5:D10" si="0">SUM(B5:C5)</f>
        <v>5</v>
      </c>
      <c r="E5" s="11">
        <v>16</v>
      </c>
      <c r="G5">
        <v>38</v>
      </c>
      <c r="H5">
        <f>COUNTIF(SEMUA!$E$1:$E$24,G5)</f>
        <v>0</v>
      </c>
      <c r="J5">
        <v>1</v>
      </c>
      <c r="K5" s="11">
        <v>0</v>
      </c>
      <c r="M5" s="7">
        <v>54</v>
      </c>
      <c r="N5">
        <f>COUNTIF(SEMUA!$G$2:$G$24,M5)</f>
        <v>0</v>
      </c>
      <c r="O5">
        <v>2</v>
      </c>
      <c r="P5">
        <f t="shared" ref="P5:P11" si="1">SUM(N5:O5)</f>
        <v>2</v>
      </c>
      <c r="Q5" s="11">
        <v>5</v>
      </c>
    </row>
    <row r="6" spans="1:18" ht="15.75" x14ac:dyDescent="0.25">
      <c r="A6" s="6" t="s">
        <v>22</v>
      </c>
      <c r="B6">
        <f>COUNTIF(SEMUA!$F$2:$F$24,REKAP!A6)</f>
        <v>0</v>
      </c>
      <c r="C6">
        <v>1</v>
      </c>
      <c r="D6">
        <f t="shared" si="0"/>
        <v>1</v>
      </c>
      <c r="E6" s="11">
        <v>4</v>
      </c>
      <c r="G6" s="7">
        <v>39</v>
      </c>
      <c r="H6">
        <f>COUNTIF(SEMUA!$E$1:$E$24,G6)</f>
        <v>0</v>
      </c>
      <c r="I6">
        <v>3</v>
      </c>
      <c r="J6">
        <f t="shared" ref="J6:J13" si="2">SUM(H6:I6)</f>
        <v>3</v>
      </c>
      <c r="K6" s="11">
        <v>3</v>
      </c>
      <c r="M6" s="7">
        <v>55</v>
      </c>
      <c r="N6">
        <f>COUNTIF(SEMUA!$G$2:$G$24,M6)</f>
        <v>0</v>
      </c>
      <c r="O6">
        <v>1</v>
      </c>
      <c r="P6">
        <f t="shared" si="1"/>
        <v>1</v>
      </c>
      <c r="Q6" s="11"/>
    </row>
    <row r="7" spans="1:18" ht="15.75" x14ac:dyDescent="0.25">
      <c r="A7" s="6" t="s">
        <v>21</v>
      </c>
      <c r="B7">
        <f>COUNTIF(SEMUA!$F$2:$F$24,REKAP!A7)</f>
        <v>0</v>
      </c>
      <c r="C7">
        <v>7</v>
      </c>
      <c r="D7">
        <f t="shared" si="0"/>
        <v>7</v>
      </c>
      <c r="E7" s="11">
        <v>24</v>
      </c>
      <c r="G7" s="7">
        <v>40</v>
      </c>
      <c r="H7">
        <f>COUNTIF(SEMUA!$E$1:$E$24,G7)</f>
        <v>0</v>
      </c>
      <c r="I7">
        <v>3</v>
      </c>
      <c r="J7">
        <f t="shared" si="2"/>
        <v>3</v>
      </c>
      <c r="K7" s="11">
        <v>22</v>
      </c>
      <c r="M7" s="7">
        <v>56</v>
      </c>
      <c r="N7">
        <f>COUNTIF(SEMUA!$G$2:$G$24,M7)</f>
        <v>0</v>
      </c>
      <c r="O7">
        <v>7</v>
      </c>
      <c r="P7">
        <f t="shared" si="1"/>
        <v>7</v>
      </c>
      <c r="Q7" s="11">
        <v>10</v>
      </c>
    </row>
    <row r="8" spans="1:18" ht="15.75" x14ac:dyDescent="0.25">
      <c r="A8" s="6" t="s">
        <v>20</v>
      </c>
      <c r="B8">
        <f>COUNTIF(SEMUA!$F$2:$F$24,REKAP!A8)</f>
        <v>0</v>
      </c>
      <c r="C8">
        <v>3</v>
      </c>
      <c r="D8">
        <f t="shared" si="0"/>
        <v>3</v>
      </c>
      <c r="E8" s="11">
        <v>11</v>
      </c>
      <c r="G8" s="7">
        <v>41</v>
      </c>
      <c r="H8">
        <f>COUNTIF(SEMUA!$E$1:$E$24,G8)</f>
        <v>0</v>
      </c>
      <c r="I8">
        <v>5</v>
      </c>
      <c r="J8">
        <f t="shared" si="2"/>
        <v>5</v>
      </c>
      <c r="K8" s="11">
        <v>23</v>
      </c>
      <c r="M8" s="7">
        <v>57</v>
      </c>
      <c r="N8">
        <f>COUNTIF(SEMUA!$G$2:$G$24,M8)</f>
        <v>0</v>
      </c>
      <c r="O8">
        <v>1</v>
      </c>
      <c r="P8">
        <f t="shared" si="1"/>
        <v>1</v>
      </c>
      <c r="Q8" s="11">
        <v>10</v>
      </c>
    </row>
    <row r="9" spans="1:18" ht="15.75" x14ac:dyDescent="0.25">
      <c r="A9" s="6" t="s">
        <v>23</v>
      </c>
      <c r="B9">
        <f>COUNTIF(SEMUA!$F$2:$F$24,REKAP!A9)</f>
        <v>0</v>
      </c>
      <c r="D9">
        <f t="shared" si="0"/>
        <v>0</v>
      </c>
      <c r="E9" s="11">
        <v>4</v>
      </c>
      <c r="G9" s="7">
        <v>42</v>
      </c>
      <c r="H9">
        <f>COUNTIF(SEMUA!$E$1:$E$24,G9)</f>
        <v>0</v>
      </c>
      <c r="I9">
        <v>2</v>
      </c>
      <c r="J9">
        <f t="shared" si="2"/>
        <v>2</v>
      </c>
      <c r="K9" s="11">
        <v>10</v>
      </c>
      <c r="M9" s="7">
        <v>58</v>
      </c>
      <c r="N9">
        <f>COUNTIF(SEMUA!$G$2:$G$24,M9)</f>
        <v>0</v>
      </c>
      <c r="O9">
        <v>6</v>
      </c>
      <c r="P9">
        <f t="shared" si="1"/>
        <v>6</v>
      </c>
      <c r="Q9" s="11">
        <v>9</v>
      </c>
    </row>
    <row r="10" spans="1:18" ht="15.75" x14ac:dyDescent="0.25">
      <c r="A10" s="6" t="s">
        <v>24</v>
      </c>
      <c r="B10">
        <f>COUNTIF(SEMUA!$F$2:$F$24,REKAP!A10)</f>
        <v>0</v>
      </c>
      <c r="D10">
        <f t="shared" si="0"/>
        <v>0</v>
      </c>
      <c r="E10" s="11">
        <v>1</v>
      </c>
      <c r="G10" s="7">
        <v>43</v>
      </c>
      <c r="H10">
        <f>COUNTIF(SEMUA!$E$1:$E$24,G10)</f>
        <v>0</v>
      </c>
      <c r="I10">
        <v>5</v>
      </c>
      <c r="J10">
        <f t="shared" si="2"/>
        <v>5</v>
      </c>
      <c r="K10" s="11">
        <v>10</v>
      </c>
      <c r="M10" s="7">
        <v>59</v>
      </c>
      <c r="N10">
        <f>COUNTIF(SEMUA!$G$2:$G$24,M10)</f>
        <v>0</v>
      </c>
      <c r="P10">
        <f t="shared" si="1"/>
        <v>0</v>
      </c>
      <c r="Q10" s="11"/>
    </row>
    <row r="11" spans="1:18" ht="15.75" x14ac:dyDescent="0.25">
      <c r="A11" s="8" t="s">
        <v>31</v>
      </c>
      <c r="B11" s="9">
        <f>SUM(B4:B10)</f>
        <v>0</v>
      </c>
      <c r="C11" s="9"/>
      <c r="D11" s="9">
        <f>SUM(D4:D10)</f>
        <v>19</v>
      </c>
      <c r="E11" s="12">
        <f>SUM(E4:E10)</f>
        <v>85</v>
      </c>
      <c r="F11" s="9"/>
      <c r="G11" s="7">
        <v>44</v>
      </c>
      <c r="H11">
        <f>COUNTIF(SEMUA!$E$1:$E$24,G11)</f>
        <v>0</v>
      </c>
      <c r="J11">
        <f t="shared" si="2"/>
        <v>0</v>
      </c>
      <c r="K11" s="11">
        <v>1</v>
      </c>
      <c r="M11" s="1">
        <v>60</v>
      </c>
      <c r="N11">
        <f>COUNTIF(SEMUA!$G$2:$G$24,M11)</f>
        <v>0</v>
      </c>
      <c r="O11">
        <v>2</v>
      </c>
      <c r="P11">
        <f t="shared" si="1"/>
        <v>2</v>
      </c>
      <c r="Q11" s="11">
        <v>5</v>
      </c>
    </row>
    <row r="12" spans="1:18" ht="15.75" x14ac:dyDescent="0.25">
      <c r="G12" s="7">
        <v>45</v>
      </c>
      <c r="H12">
        <f>COUNTIF(SEMUA!$E$1:$E$24,G12)</f>
        <v>0</v>
      </c>
      <c r="I12">
        <v>1</v>
      </c>
      <c r="J12">
        <f t="shared" si="2"/>
        <v>1</v>
      </c>
      <c r="K12" s="11">
        <v>0</v>
      </c>
      <c r="N12">
        <f>SUM(N4:N11)</f>
        <v>0</v>
      </c>
      <c r="O12">
        <f>SUM(O4:O11)</f>
        <v>19</v>
      </c>
      <c r="Q12" s="11">
        <f>SUM(Q4:Q11)</f>
        <v>40</v>
      </c>
    </row>
    <row r="13" spans="1:18" ht="15.75" x14ac:dyDescent="0.25">
      <c r="G13" s="7">
        <v>46</v>
      </c>
      <c r="H13">
        <f>COUNTIF(SEMUA!$E$1:$E$24,G13)</f>
        <v>0</v>
      </c>
      <c r="J13">
        <f t="shared" si="2"/>
        <v>0</v>
      </c>
      <c r="K13" s="11">
        <v>1</v>
      </c>
      <c r="Q13" s="11"/>
    </row>
    <row r="14" spans="1:18" ht="15.75" x14ac:dyDescent="0.25">
      <c r="G14" s="7"/>
      <c r="H14">
        <f>SUM(H4:H13)</f>
        <v>0</v>
      </c>
      <c r="I14">
        <f>SUM(I4:I13)</f>
        <v>19</v>
      </c>
      <c r="K14" s="11">
        <f>SUM(K4:K13)</f>
        <v>70</v>
      </c>
      <c r="P14" t="s">
        <v>34</v>
      </c>
      <c r="Q14" s="11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2021-09-24T05:54:29Z</cp:lastPrinted>
  <dcterms:created xsi:type="dcterms:W3CDTF">2016-10-31T03:59:44Z</dcterms:created>
  <dcterms:modified xsi:type="dcterms:W3CDTF">2021-09-30T03:59:25Z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