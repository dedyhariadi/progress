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4" defaultThemeVersion="166925"/>
  <mc:AlternateContent xmlns:mc="http://schemas.openxmlformats.org/markup-compatibility/2006">
    <mc:Choice Requires="x15">
      <x15ac:absPath xmlns:x15ac="http://schemas.microsoft.com/office/spreadsheetml/2010/11/ac" url="Z:\Mapan\1. PROGRES\82.  BLACKNAVY DP 1N(MERAH-F) 1T(PUTIH-F)\"/>
    </mc:Choice>
  </mc:AlternateContent>
  <xr:revisionPtr revIDLastSave="0" documentId="13_ncr:1_{C28CC9A1-E4E7-459F-9850-76A0FDC59374}" xr6:coauthVersionLast="45" xr6:coauthVersionMax="45" xr10:uidLastSave="{00000000-0000-0000-0000-000000000000}"/>
  <bookViews>
    <workbookView xWindow="5220" yWindow="4905" windowWidth="21600" windowHeight="11385" tabRatio="500" activeTab="2" xr2:uid="{00000000-000D-0000-FFFF-FFFF00000000}"/>
  </bookViews>
  <sheets>
    <sheet name="SEMUA" sheetId="1" r:id="rId1"/>
    <sheet name="REKAP" sheetId="2" r:id="rId2"/>
    <sheet name="CETAK" sheetId="5" r:id="rId3"/>
  </sheets>
  <definedNames>
    <definedName name="_xlnm._FilterDatabase" localSheetId="2" hidden="1">CETAK!$A$1:$O$63</definedName>
    <definedName name="_xlnm._FilterDatabase" localSheetId="0" hidden="1">SEMUA!$A$1:$AI$63</definedName>
    <definedName name="_xlnm.Print_Titles" localSheetId="2">CETAK!$1:$1</definedName>
    <definedName name="_xlnm.Print_Titles" localSheetId="1">REKAP!$1:$1</definedName>
    <definedName name="Print_Titles_0" localSheetId="1">REKAP!$1:$1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5" i="2" l="1"/>
  <c r="C14" i="2"/>
  <c r="C13" i="2"/>
  <c r="J12" i="2"/>
  <c r="C12" i="2"/>
  <c r="J11" i="2"/>
  <c r="C11" i="2"/>
  <c r="B11" i="2"/>
  <c r="J10" i="2"/>
  <c r="F10" i="2"/>
  <c r="C10" i="2"/>
  <c r="B10" i="2"/>
  <c r="J9" i="2"/>
  <c r="F9" i="2"/>
  <c r="C9" i="2"/>
  <c r="B9" i="2"/>
  <c r="J8" i="2"/>
  <c r="F8" i="2"/>
  <c r="C8" i="2"/>
  <c r="B8" i="2"/>
  <c r="J7" i="2"/>
  <c r="F7" i="2"/>
  <c r="C7" i="2"/>
  <c r="B7" i="2"/>
  <c r="J6" i="2"/>
  <c r="F6" i="2"/>
  <c r="C6" i="2"/>
  <c r="M5" i="2"/>
  <c r="J5" i="2"/>
  <c r="F5" i="2"/>
  <c r="C5" i="2"/>
  <c r="M4" i="2"/>
  <c r="M9" i="2" s="1"/>
  <c r="J4" i="2"/>
  <c r="J13" i="2" l="1"/>
  <c r="F11" i="2"/>
  <c r="C16" i="2"/>
</calcChain>
</file>

<file path=xl/sharedStrings.xml><?xml version="1.0" encoding="utf-8"?>
<sst xmlns="http://schemas.openxmlformats.org/spreadsheetml/2006/main" count="1592" uniqueCount="268">
  <si>
    <t>NO</t>
  </si>
  <si>
    <t>NAMA</t>
  </si>
  <si>
    <t>KELAS</t>
  </si>
  <si>
    <t>GENDER</t>
  </si>
  <si>
    <t>SEPATU</t>
  </si>
  <si>
    <t>KAOS</t>
  </si>
  <si>
    <t>TOPI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</si>
  <si>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</si>
  <si>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</si>
  <si>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</si>
  <si>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</si>
  <si>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</si>
  <si>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</si>
  <si>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</si>
  <si>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</si>
  <si>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</si>
  <si>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</si>
  <si>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</si>
  <si>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</si>
  <si>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</si>
  <si>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</si>
  <si>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</si>
  <si>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</si>
  <si>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</si>
  <si>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</si>
  <si>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</si>
  <si>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</si>
  <si>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</si>
  <si>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</si>
  <si>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</si>
  <si>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</si>
  <si>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</si>
  <si>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</si>
  <si>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 xml:space="preserve">cetak </t>
  </si>
  <si>
    <t>PRINT</t>
  </si>
  <si>
    <t>G1</t>
  </si>
  <si>
    <t>MEY ARDIYANTO</t>
  </si>
  <si>
    <t>DP 1 NAUTIKA</t>
  </si>
  <si>
    <t>PRIA</t>
  </si>
  <si>
    <t>XL</t>
  </si>
  <si>
    <t>43</t>
  </si>
  <si>
    <t>25</t>
  </si>
  <si>
    <t>19</t>
  </si>
  <si>
    <t>30</t>
  </si>
  <si>
    <t>28</t>
  </si>
  <si>
    <t>69</t>
  </si>
  <si>
    <t>99</t>
  </si>
  <si>
    <t>113</t>
  </si>
  <si>
    <t>70</t>
  </si>
  <si>
    <t>36</t>
  </si>
  <si>
    <t>27</t>
  </si>
  <si>
    <t>48</t>
  </si>
  <si>
    <t>57</t>
  </si>
  <si>
    <t>20</t>
  </si>
  <si>
    <t>15</t>
  </si>
  <si>
    <t>110</t>
  </si>
  <si>
    <t>105</t>
  </si>
  <si>
    <t>119</t>
  </si>
  <si>
    <t>72</t>
  </si>
  <si>
    <t>G2</t>
  </si>
  <si>
    <t>DANIEL ALGAZALI</t>
  </si>
  <si>
    <t>M</t>
  </si>
  <si>
    <t>40</t>
  </si>
  <si>
    <t>26</t>
  </si>
  <si>
    <t>17</t>
  </si>
  <si>
    <t>41</t>
  </si>
  <si>
    <t>83</t>
  </si>
  <si>
    <t>100</t>
  </si>
  <si>
    <t>65</t>
  </si>
  <si>
    <t>32</t>
  </si>
  <si>
    <t>23</t>
  </si>
  <si>
    <t>45</t>
  </si>
  <si>
    <t>18</t>
  </si>
  <si>
    <t>14</t>
  </si>
  <si>
    <t>98</t>
  </si>
  <si>
    <t>94</t>
  </si>
  <si>
    <t>107</t>
  </si>
  <si>
    <t>G3</t>
  </si>
  <si>
    <t>IVAN SUDJOKO</t>
  </si>
  <si>
    <t>XXL</t>
  </si>
  <si>
    <t>90</t>
  </si>
  <si>
    <t>116</t>
  </si>
  <si>
    <t>73</t>
  </si>
  <si>
    <t>35</t>
  </si>
  <si>
    <t>21</t>
  </si>
  <si>
    <t>46</t>
  </si>
  <si>
    <t>61</t>
  </si>
  <si>
    <t>101</t>
  </si>
  <si>
    <t>117</t>
  </si>
  <si>
    <t>75</t>
  </si>
  <si>
    <t>G4</t>
  </si>
  <si>
    <t>SEFRI HARIYANTO</t>
  </si>
  <si>
    <t>42</t>
  </si>
  <si>
    <t>97</t>
  </si>
  <si>
    <t>22</t>
  </si>
  <si>
    <t>47</t>
  </si>
  <si>
    <t>59</t>
  </si>
  <si>
    <t>108</t>
  </si>
  <si>
    <t>121</t>
  </si>
  <si>
    <t>71</t>
  </si>
  <si>
    <t>G5</t>
  </si>
  <si>
    <t>AMRI</t>
  </si>
  <si>
    <t>L</t>
  </si>
  <si>
    <t>39</t>
  </si>
  <si>
    <t>88</t>
  </si>
  <si>
    <t>104</t>
  </si>
  <si>
    <t>68</t>
  </si>
  <si>
    <t>33</t>
  </si>
  <si>
    <t>95</t>
  </si>
  <si>
    <t>G6</t>
  </si>
  <si>
    <t>AWALUDIN R.</t>
  </si>
  <si>
    <t>31</t>
  </si>
  <si>
    <t>58</t>
  </si>
  <si>
    <t>115</t>
  </si>
  <si>
    <t>118</t>
  </si>
  <si>
    <t>G7</t>
  </si>
  <si>
    <t>ASRUL PRIBADI</t>
  </si>
  <si>
    <t>G8</t>
  </si>
  <si>
    <t>I KOMANG ALIT</t>
  </si>
  <si>
    <t>G9</t>
  </si>
  <si>
    <t>AGUS SUSANTO</t>
  </si>
  <si>
    <t>XXXL</t>
  </si>
  <si>
    <t>G10</t>
  </si>
  <si>
    <t>JOKO FITONO</t>
  </si>
  <si>
    <t>G11</t>
  </si>
  <si>
    <t>ANDHYKA SAPUTRA</t>
  </si>
  <si>
    <t>G15</t>
  </si>
  <si>
    <t>M IMAM BACTHIAR</t>
  </si>
  <si>
    <t>G16</t>
  </si>
  <si>
    <t>TITO JAYADI</t>
  </si>
  <si>
    <t>DP 1 TEKNIKA</t>
  </si>
  <si>
    <t>G17</t>
  </si>
  <si>
    <t>SUGENG SUPRIHADI</t>
  </si>
  <si>
    <t>G18</t>
  </si>
  <si>
    <t>MUHAMAD SALAMUN</t>
  </si>
  <si>
    <t>G19</t>
  </si>
  <si>
    <t>KOKO WHATMAYUNARKO</t>
  </si>
  <si>
    <t>G20</t>
  </si>
  <si>
    <t>NANANG SUPRIADI</t>
  </si>
  <si>
    <t>G21</t>
  </si>
  <si>
    <t>DANIEL SEPTYO N.</t>
  </si>
  <si>
    <t>G22</t>
  </si>
  <si>
    <t>DWI  SUGIARSO</t>
  </si>
  <si>
    <t>G23</t>
  </si>
  <si>
    <t>DENI DERMAWAN</t>
  </si>
  <si>
    <t>G24</t>
  </si>
  <si>
    <t>DALMUNI</t>
  </si>
  <si>
    <t>G25</t>
  </si>
  <si>
    <t>HERI SUPRAYITNO</t>
  </si>
  <si>
    <t>G26</t>
  </si>
  <si>
    <t>PATONI RIYADI</t>
  </si>
  <si>
    <t>DP I NAUTIKA</t>
  </si>
  <si>
    <t>G27</t>
  </si>
  <si>
    <t>SURIANSYAH</t>
  </si>
  <si>
    <t>G28</t>
  </si>
  <si>
    <t>BAMBANG KUSWORO</t>
  </si>
  <si>
    <t>G29</t>
  </si>
  <si>
    <t>NURDIN BUKHORI</t>
  </si>
  <si>
    <t>G30</t>
  </si>
  <si>
    <t>JAKA NOVRIANTA</t>
  </si>
  <si>
    <t>G31</t>
  </si>
  <si>
    <t>ULUL AZMI ISBANDI</t>
  </si>
  <si>
    <t>G32</t>
  </si>
  <si>
    <t>ONDI</t>
  </si>
  <si>
    <t>G33</t>
  </si>
  <si>
    <t>NURAINI</t>
  </si>
  <si>
    <t>G34</t>
  </si>
  <si>
    <t>M. BAEDOWI</t>
  </si>
  <si>
    <t>G35</t>
  </si>
  <si>
    <t>INGIT BAYU HARTANTO</t>
  </si>
  <si>
    <t>G36</t>
  </si>
  <si>
    <t>WIDIONO</t>
  </si>
  <si>
    <t>G37</t>
  </si>
  <si>
    <t>IKHLAS SAPUTRA</t>
  </si>
  <si>
    <t>G38</t>
  </si>
  <si>
    <t>PUGUH AJI M</t>
  </si>
  <si>
    <t>G39</t>
  </si>
  <si>
    <t>SORRAY TANATE</t>
  </si>
  <si>
    <t>G40</t>
  </si>
  <si>
    <t>JAKA WARDHANA</t>
  </si>
  <si>
    <t>H1</t>
  </si>
  <si>
    <t>MANSUR</t>
  </si>
  <si>
    <t>44</t>
  </si>
  <si>
    <t>29</t>
  </si>
  <si>
    <t>91</t>
  </si>
  <si>
    <t>109</t>
  </si>
  <si>
    <t>103</t>
  </si>
  <si>
    <t>112</t>
  </si>
  <si>
    <t>H2</t>
  </si>
  <si>
    <t>MALKA BONY</t>
  </si>
  <si>
    <t>H3</t>
  </si>
  <si>
    <t>ARIES SETYO LEKSOWO</t>
  </si>
  <si>
    <t>H4</t>
  </si>
  <si>
    <t>SAIFUL BAHRI</t>
  </si>
  <si>
    <t>H5</t>
  </si>
  <si>
    <t>KHAIRIL ISKANDAR</t>
  </si>
  <si>
    <t>H6</t>
  </si>
  <si>
    <t>EKO YUDO HERIYANTO</t>
  </si>
  <si>
    <t>H7</t>
  </si>
  <si>
    <t>LOENARDUS ISTRIYONO</t>
  </si>
  <si>
    <t>H8</t>
  </si>
  <si>
    <t>ABDUL ROHIM</t>
  </si>
  <si>
    <t>H9</t>
  </si>
  <si>
    <t>AGUS SUPRIADI</t>
  </si>
  <si>
    <t>55</t>
  </si>
  <si>
    <t>24</t>
  </si>
  <si>
    <t>37</t>
  </si>
  <si>
    <t>85</t>
  </si>
  <si>
    <t>67</t>
  </si>
  <si>
    <t>96</t>
  </si>
  <si>
    <t>REKAP DP1NT</t>
  </si>
  <si>
    <t>TOPI PRIA</t>
  </si>
  <si>
    <t>EPOLET</t>
  </si>
  <si>
    <t>JML</t>
  </si>
  <si>
    <t>NO. SEPATU</t>
  </si>
  <si>
    <t>jml</t>
  </si>
  <si>
    <t>S</t>
  </si>
  <si>
    <t xml:space="preserve">                     </t>
  </si>
  <si>
    <t>JUMLAH</t>
  </si>
  <si>
    <t>P/W</t>
  </si>
  <si>
    <t>SPT</t>
  </si>
  <si>
    <t>4</t>
  </si>
  <si>
    <t>AHMAD BAYU MUSTAFIRIN</t>
  </si>
  <si>
    <t>56</t>
  </si>
  <si>
    <t>MOH. SOLIKHAN</t>
  </si>
  <si>
    <t>60</t>
  </si>
  <si>
    <t>106</t>
  </si>
  <si>
    <t>5</t>
  </si>
  <si>
    <t>ANTONIUS BAMBANG W.</t>
  </si>
  <si>
    <t>BAYU WIDJAJANTO</t>
  </si>
  <si>
    <t>81</t>
  </si>
  <si>
    <t>66</t>
  </si>
  <si>
    <t>34</t>
  </si>
  <si>
    <t>PETRUS KRISTIAWAN</t>
  </si>
  <si>
    <t>WAKHID WISNU E.</t>
  </si>
  <si>
    <t>74</t>
  </si>
  <si>
    <t>125</t>
  </si>
  <si>
    <t>102</t>
  </si>
  <si>
    <t>G41</t>
  </si>
  <si>
    <t>G42</t>
  </si>
  <si>
    <t>G43</t>
  </si>
  <si>
    <t>G44</t>
  </si>
  <si>
    <t>G45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</si>
  <si>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</si>
  <si>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</si>
  <si>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</si>
  <si>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</si>
  <si>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</si>
  <si>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</si>
  <si>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</si>
  <si>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</si>
  <si>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</si>
  <si>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</si>
  <si>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</si>
  <si>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BAROKAH</t>
  </si>
  <si>
    <t>NOVI ARIANTO S.</t>
  </si>
  <si>
    <t>FAHRUL RIKI K.</t>
  </si>
  <si>
    <t>SYAHIR</t>
  </si>
  <si>
    <t>ROYAN H.M.</t>
  </si>
  <si>
    <t>77</t>
  </si>
  <si>
    <t>89</t>
  </si>
  <si>
    <t>SUPRAMONO</t>
  </si>
  <si>
    <t>GATOT S.</t>
  </si>
  <si>
    <t>RAKHMAD WIDODO</t>
  </si>
  <si>
    <t>ISTOMO</t>
  </si>
  <si>
    <t>ZULFITRI</t>
  </si>
  <si>
    <t>87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</si>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</sst>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7" x14ac:knownFonts="1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b/>
      <sz val="11"/>
      <color rgb="FF000000"/>
      <name val="Arial"/>
      <family val="2"/>
    </font>
    <font>
      <b/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4" fontId="3" fillId="0" borderId="0" applyBorder="0" applyProtection="0"/>
  </cellStyleXfs>
  <cellXfs count="4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left"/>
    </xf>
    <xf numFmtId="49" fontId="0" fillId="0" borderId="0" xfId="0" applyNumberFormat="1"/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3" xfId="0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/>
    <xf numFmtId="49" fontId="1" fillId="0" borderId="0" xfId="0" applyNumberFormat="1" applyFont="1" applyAlignment="1">
      <alignment horizontal="left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6" fillId="0" borderId="3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MJ63"/>
  <sheetViews>
    <sheetView zoomScale="115" zoomScaleNormal="115" workbookViewId="0">
      <selection activeCell="D6" sqref="D6"/>
    </sheetView>
  </sheetViews>
  <sheetFormatPr defaultColWidth="9.140625" defaultRowHeight="15" x14ac:dyDescent="0.25"/>
  <cols>
    <col min="1" max="1" width="4.85546875" style="1" customWidth="1"/>
    <col min="2" max="2" width="26.7109375" style="2" customWidth="1"/>
    <col min="3" max="3" width="17.7109375" style="2" customWidth="1"/>
    <col min="4" max="4" width="10" style="2" customWidth="1"/>
    <col min="5" max="5" width="9.28515625" style="29" customWidth="1"/>
    <col min="6" max="6" width="6.85546875" style="29" customWidth="1"/>
    <col min="7" max="7" width="11.7109375" style="29" customWidth="1"/>
    <col min="8" max="10" width="6.140625" style="3" customWidth="1"/>
    <col min="11" max="11" width="9.42578125" style="3" customWidth="1"/>
    <col min="12" max="15" width="6.140625" style="3" customWidth="1"/>
    <col min="16" max="22" width="6.28515625" style="3" customWidth="1"/>
    <col min="23" max="23" width="9.42578125" style="3" hidden="1" customWidth="1"/>
    <col min="24" max="24" width="9.140625" style="30" hidden="1"/>
    <col min="25" max="33" width="7.5703125" style="3" customWidth="1"/>
    <col min="34" max="36" width="9.140625" style="30"/>
    <col min="37" max="59" width="9.140625" style="5"/>
    <col min="60" max="60" width="13.140625" style="5" customWidth="1"/>
    <col min="61" max="1024" width="9.140625" style="5"/>
  </cols>
  <sheetData>
    <row r="1" spans="1:36" s="1" customFormat="1" ht="14.25" x14ac:dyDescent="0.25">
      <c r="A1" s="6" t="s">
        <v>0</v>
      </c>
      <c r="B1" s="7" t="s">
        <v>1</v>
      </c>
      <c r="C1" s="7" t="s">
        <v>2</v>
      </c>
      <c r="D1" s="7" t="s">
        <v>3</v>
      </c>
      <c r="E1" s="28" t="s">
        <v>4</v>
      </c>
      <c r="F1" s="28" t="s">
        <v>5</v>
      </c>
      <c r="G1" s="2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3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3" t="s">
        <v>33</v>
      </c>
      <c r="AI1" s="3" t="s">
        <v>34</v>
      </c>
      <c r="AJ1" s="3"/>
    </row>
    <row r="2" spans="1:36" ht="21.75" customHeight="1" x14ac:dyDescent="0.25">
      <c r="A2" s="1" t="s">
        <v>35</v>
      </c>
      <c r="B2" s="2" t="s">
        <v>36</v>
      </c>
      <c r="C2" s="2" t="s">
        <v>37</v>
      </c>
      <c r="D2" s="2" t="s">
        <v>38</v>
      </c>
      <c r="E2" s="29">
        <v>41</v>
      </c>
      <c r="F2" s="29" t="s">
        <v>39</v>
      </c>
      <c r="G2" s="29">
        <v>56</v>
      </c>
      <c r="H2" s="3" t="s">
        <v>40</v>
      </c>
      <c r="I2" s="3" t="s">
        <v>41</v>
      </c>
      <c r="J2" s="3" t="s">
        <v>42</v>
      </c>
      <c r="K2" s="3" t="s">
        <v>43</v>
      </c>
      <c r="L2" s="3" t="s">
        <v>44</v>
      </c>
      <c r="M2" s="3" t="s">
        <v>43</v>
      </c>
      <c r="N2" s="3" t="s">
        <v>45</v>
      </c>
      <c r="O2" s="3" t="s">
        <v>40</v>
      </c>
      <c r="P2" s="3" t="s">
        <v>46</v>
      </c>
      <c r="Q2" s="3" t="s">
        <v>47</v>
      </c>
      <c r="R2" s="3" t="s">
        <v>48</v>
      </c>
      <c r="S2" s="3" t="s">
        <v>49</v>
      </c>
      <c r="T2" s="3" t="s">
        <v>50</v>
      </c>
      <c r="U2" s="3">
        <v>21</v>
      </c>
      <c r="V2" s="3">
        <v>97</v>
      </c>
      <c r="Y2" s="3" t="s">
        <v>51</v>
      </c>
      <c r="Z2" s="3" t="s">
        <v>52</v>
      </c>
      <c r="AA2" s="3" t="s">
        <v>53</v>
      </c>
      <c r="AB2" s="3" t="s">
        <v>54</v>
      </c>
      <c r="AC2" s="3" t="s">
        <v>55</v>
      </c>
      <c r="AD2" s="3" t="s">
        <v>56</v>
      </c>
      <c r="AE2" s="3" t="s">
        <v>57</v>
      </c>
      <c r="AF2" s="3" t="s">
        <v>58</v>
      </c>
      <c r="AG2" s="3" t="s">
        <v>40</v>
      </c>
    </row>
    <row r="3" spans="1:36" ht="21.75" customHeight="1" x14ac:dyDescent="0.25">
      <c r="A3" s="1" t="s">
        <v>59</v>
      </c>
      <c r="B3" s="2" t="s">
        <v>60</v>
      </c>
      <c r="C3" s="2" t="s">
        <v>37</v>
      </c>
      <c r="D3" s="2" t="s">
        <v>38</v>
      </c>
      <c r="E3" s="29">
        <v>41</v>
      </c>
      <c r="F3" s="29" t="s">
        <v>61</v>
      </c>
      <c r="G3" s="29">
        <v>57</v>
      </c>
      <c r="H3" s="3" t="s">
        <v>62</v>
      </c>
      <c r="I3" s="3" t="s">
        <v>63</v>
      </c>
      <c r="J3" s="3" t="s">
        <v>64</v>
      </c>
      <c r="K3" s="3" t="s">
        <v>44</v>
      </c>
      <c r="L3" s="3" t="s">
        <v>63</v>
      </c>
      <c r="M3" s="3" t="s">
        <v>44</v>
      </c>
      <c r="N3" s="3" t="s">
        <v>45</v>
      </c>
      <c r="O3" s="3" t="s">
        <v>65</v>
      </c>
      <c r="P3" s="3" t="s">
        <v>66</v>
      </c>
      <c r="Q3" s="3" t="s">
        <v>67</v>
      </c>
      <c r="R3" s="3" t="s">
        <v>68</v>
      </c>
      <c r="S3" s="3" t="s">
        <v>69</v>
      </c>
      <c r="T3" s="3" t="s">
        <v>70</v>
      </c>
      <c r="U3" s="3" t="s">
        <v>42</v>
      </c>
      <c r="V3" s="3" t="s">
        <v>46</v>
      </c>
      <c r="Y3" s="3" t="s">
        <v>71</v>
      </c>
      <c r="Z3" s="3" t="s">
        <v>52</v>
      </c>
      <c r="AA3" s="3" t="s">
        <v>72</v>
      </c>
      <c r="AB3" s="3" t="s">
        <v>73</v>
      </c>
      <c r="AC3" s="3" t="s">
        <v>74</v>
      </c>
      <c r="AD3" s="3" t="s">
        <v>75</v>
      </c>
      <c r="AE3" s="3" t="s">
        <v>76</v>
      </c>
      <c r="AF3" s="3" t="s">
        <v>58</v>
      </c>
      <c r="AG3" s="3" t="s">
        <v>65</v>
      </c>
    </row>
    <row r="4" spans="1:36" ht="21.75" customHeight="1" x14ac:dyDescent="0.25">
      <c r="A4" s="1" t="s">
        <v>77</v>
      </c>
      <c r="B4" s="2" t="s">
        <v>78</v>
      </c>
      <c r="C4" s="2" t="s">
        <v>37</v>
      </c>
      <c r="D4" s="2" t="s">
        <v>38</v>
      </c>
      <c r="E4" s="29">
        <v>43</v>
      </c>
      <c r="F4" s="29" t="s">
        <v>79</v>
      </c>
      <c r="G4" s="29">
        <v>57</v>
      </c>
      <c r="H4" s="3" t="s">
        <v>71</v>
      </c>
      <c r="I4" s="3" t="s">
        <v>44</v>
      </c>
      <c r="J4" s="3" t="s">
        <v>72</v>
      </c>
      <c r="K4" s="3" t="s">
        <v>43</v>
      </c>
      <c r="L4" s="3" t="s">
        <v>44</v>
      </c>
      <c r="M4" s="3" t="s">
        <v>43</v>
      </c>
      <c r="N4" s="3" t="s">
        <v>58</v>
      </c>
      <c r="O4" s="3" t="s">
        <v>65</v>
      </c>
      <c r="P4" s="3" t="s">
        <v>80</v>
      </c>
      <c r="Q4" s="3" t="s">
        <v>81</v>
      </c>
      <c r="R4" s="3" t="s">
        <v>82</v>
      </c>
      <c r="S4" s="3" t="s">
        <v>83</v>
      </c>
      <c r="T4" s="3" t="s">
        <v>50</v>
      </c>
      <c r="U4" s="3" t="s">
        <v>84</v>
      </c>
      <c r="V4" s="3">
        <v>103</v>
      </c>
      <c r="Y4" s="3" t="s">
        <v>85</v>
      </c>
      <c r="Z4" s="3" t="s">
        <v>86</v>
      </c>
      <c r="AA4" s="3" t="s">
        <v>42</v>
      </c>
      <c r="AB4" s="3" t="s">
        <v>73</v>
      </c>
      <c r="AC4" s="3" t="s">
        <v>76</v>
      </c>
      <c r="AD4" s="3" t="s">
        <v>87</v>
      </c>
      <c r="AE4" s="3" t="s">
        <v>88</v>
      </c>
      <c r="AF4" s="3" t="s">
        <v>89</v>
      </c>
      <c r="AG4" s="3" t="s">
        <v>65</v>
      </c>
    </row>
    <row r="5" spans="1:36" ht="21.75" customHeight="1" x14ac:dyDescent="0.25">
      <c r="A5" s="1" t="s">
        <v>90</v>
      </c>
      <c r="B5" s="2" t="s">
        <v>91</v>
      </c>
      <c r="C5" s="2" t="s">
        <v>37</v>
      </c>
      <c r="D5" s="2" t="s">
        <v>38</v>
      </c>
      <c r="E5" s="29">
        <v>41</v>
      </c>
      <c r="F5" s="29" t="s">
        <v>39</v>
      </c>
      <c r="G5" s="29">
        <v>57</v>
      </c>
      <c r="H5" s="3" t="s">
        <v>40</v>
      </c>
      <c r="I5" s="3" t="s">
        <v>63</v>
      </c>
      <c r="J5" s="3" t="s">
        <v>72</v>
      </c>
      <c r="K5" s="3" t="s">
        <v>43</v>
      </c>
      <c r="L5" s="3" t="s">
        <v>44</v>
      </c>
      <c r="M5" s="3" t="s">
        <v>43</v>
      </c>
      <c r="N5" s="3" t="s">
        <v>45</v>
      </c>
      <c r="O5" s="3" t="s">
        <v>92</v>
      </c>
      <c r="P5" s="3" t="s">
        <v>93</v>
      </c>
      <c r="Q5" s="3" t="s">
        <v>81</v>
      </c>
      <c r="R5" s="3" t="s">
        <v>48</v>
      </c>
      <c r="S5" s="3" t="s">
        <v>49</v>
      </c>
      <c r="T5" s="3" t="s">
        <v>50</v>
      </c>
      <c r="U5" s="3" t="s">
        <v>94</v>
      </c>
      <c r="V5" s="3">
        <v>95</v>
      </c>
      <c r="Y5" s="3" t="s">
        <v>95</v>
      </c>
      <c r="Z5" s="3" t="s">
        <v>96</v>
      </c>
      <c r="AA5" s="3" t="s">
        <v>53</v>
      </c>
      <c r="AB5" s="3" t="s">
        <v>54</v>
      </c>
      <c r="AC5" s="3" t="s">
        <v>55</v>
      </c>
      <c r="AD5" s="3" t="s">
        <v>97</v>
      </c>
      <c r="AE5" s="3" t="s">
        <v>98</v>
      </c>
      <c r="AF5" s="3" t="s">
        <v>99</v>
      </c>
      <c r="AG5" s="3" t="s">
        <v>92</v>
      </c>
    </row>
    <row r="6" spans="1:36" ht="21.75" customHeight="1" x14ac:dyDescent="0.25">
      <c r="A6" s="1" t="s">
        <v>100</v>
      </c>
      <c r="B6" s="2" t="s">
        <v>101</v>
      </c>
      <c r="C6" s="2" t="s">
        <v>37</v>
      </c>
      <c r="D6" s="2" t="s">
        <v>38</v>
      </c>
      <c r="E6" s="29">
        <v>40</v>
      </c>
      <c r="F6" s="29" t="s">
        <v>102</v>
      </c>
      <c r="G6" s="29">
        <v>55</v>
      </c>
      <c r="H6" s="3" t="s">
        <v>71</v>
      </c>
      <c r="I6" s="3" t="s">
        <v>50</v>
      </c>
      <c r="J6" s="3" t="s">
        <v>72</v>
      </c>
      <c r="K6" s="3" t="s">
        <v>43</v>
      </c>
      <c r="L6" s="3" t="s">
        <v>44</v>
      </c>
      <c r="M6" s="3" t="s">
        <v>43</v>
      </c>
      <c r="N6" s="3" t="s">
        <v>48</v>
      </c>
      <c r="O6" s="3" t="s">
        <v>103</v>
      </c>
      <c r="P6" s="3" t="s">
        <v>104</v>
      </c>
      <c r="Q6" s="3" t="s">
        <v>105</v>
      </c>
      <c r="R6" s="3" t="s">
        <v>106</v>
      </c>
      <c r="S6" s="3" t="s">
        <v>107</v>
      </c>
      <c r="T6" s="3" t="s">
        <v>63</v>
      </c>
      <c r="U6" s="3" t="s">
        <v>84</v>
      </c>
      <c r="V6" s="3">
        <v>101</v>
      </c>
      <c r="Y6" s="3" t="s">
        <v>95</v>
      </c>
      <c r="Z6" s="3" t="s">
        <v>96</v>
      </c>
      <c r="AA6" s="3" t="s">
        <v>42</v>
      </c>
      <c r="AB6" s="3" t="s">
        <v>73</v>
      </c>
      <c r="AC6" s="3" t="s">
        <v>74</v>
      </c>
      <c r="AD6" s="3" t="s">
        <v>108</v>
      </c>
      <c r="AE6" s="3" t="s">
        <v>76</v>
      </c>
      <c r="AF6" s="3" t="s">
        <v>58</v>
      </c>
      <c r="AG6" s="3" t="s">
        <v>103</v>
      </c>
    </row>
    <row r="7" spans="1:36" ht="21.75" customHeight="1" x14ac:dyDescent="0.25">
      <c r="A7" s="1" t="s">
        <v>109</v>
      </c>
      <c r="B7" s="2" t="s">
        <v>110</v>
      </c>
      <c r="C7" s="2" t="s">
        <v>37</v>
      </c>
      <c r="D7" s="2" t="s">
        <v>38</v>
      </c>
      <c r="E7" s="29">
        <v>42</v>
      </c>
      <c r="F7" s="29" t="s">
        <v>39</v>
      </c>
      <c r="G7" s="29">
        <v>55</v>
      </c>
      <c r="H7" s="3" t="s">
        <v>71</v>
      </c>
      <c r="I7" s="3" t="s">
        <v>63</v>
      </c>
      <c r="J7" s="3" t="s">
        <v>42</v>
      </c>
      <c r="K7" s="3" t="s">
        <v>111</v>
      </c>
      <c r="L7" s="3" t="s">
        <v>44</v>
      </c>
      <c r="M7" s="3" t="s">
        <v>111</v>
      </c>
      <c r="N7" s="3" t="s">
        <v>106</v>
      </c>
      <c r="O7" s="3" t="s">
        <v>40</v>
      </c>
      <c r="P7" s="3" t="s">
        <v>108</v>
      </c>
      <c r="Q7" s="3" t="s">
        <v>88</v>
      </c>
      <c r="R7" s="3" t="s">
        <v>48</v>
      </c>
      <c r="S7" s="3" t="s">
        <v>49</v>
      </c>
      <c r="T7" s="3" t="s">
        <v>50</v>
      </c>
      <c r="U7" s="3" t="s">
        <v>84</v>
      </c>
      <c r="V7" s="3">
        <v>99</v>
      </c>
      <c r="Y7" s="3" t="s">
        <v>51</v>
      </c>
      <c r="Z7" s="3" t="s">
        <v>112</v>
      </c>
      <c r="AA7" s="3" t="s">
        <v>53</v>
      </c>
      <c r="AB7" s="3" t="s">
        <v>54</v>
      </c>
      <c r="AC7" s="3" t="s">
        <v>113</v>
      </c>
      <c r="AD7" s="3" t="s">
        <v>76</v>
      </c>
      <c r="AE7" s="3" t="s">
        <v>114</v>
      </c>
      <c r="AF7" s="3" t="s">
        <v>58</v>
      </c>
      <c r="AG7" s="3" t="s">
        <v>40</v>
      </c>
    </row>
    <row r="8" spans="1:36" s="9" customFormat="1" x14ac:dyDescent="0.25">
      <c r="A8" s="1" t="s">
        <v>115</v>
      </c>
      <c r="B8" s="9" t="s">
        <v>116</v>
      </c>
      <c r="C8" s="2" t="s">
        <v>37</v>
      </c>
      <c r="D8" s="10" t="s">
        <v>38</v>
      </c>
      <c r="E8" s="31">
        <v>41</v>
      </c>
      <c r="F8" s="31" t="s">
        <v>39</v>
      </c>
      <c r="G8" s="31">
        <v>58</v>
      </c>
      <c r="H8" s="11">
        <v>51</v>
      </c>
      <c r="I8" s="11">
        <v>29</v>
      </c>
      <c r="J8" s="11">
        <v>18</v>
      </c>
      <c r="K8" s="11">
        <v>110</v>
      </c>
      <c r="L8" s="11">
        <v>105</v>
      </c>
      <c r="M8" s="11">
        <v>115</v>
      </c>
      <c r="N8" s="11">
        <v>70</v>
      </c>
      <c r="O8" s="11">
        <v>46</v>
      </c>
      <c r="P8" s="11">
        <v>94</v>
      </c>
      <c r="Q8" s="11">
        <v>105</v>
      </c>
      <c r="R8" s="11">
        <v>73</v>
      </c>
      <c r="S8" s="11">
        <v>64</v>
      </c>
      <c r="T8" s="11">
        <v>48</v>
      </c>
      <c r="U8" s="11">
        <v>36</v>
      </c>
      <c r="V8" s="11">
        <v>97</v>
      </c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>
        <v>2</v>
      </c>
      <c r="AJ8" s="32"/>
    </row>
    <row r="9" spans="1:36" s="9" customFormat="1" x14ac:dyDescent="0.25">
      <c r="A9" s="1" t="s">
        <v>117</v>
      </c>
      <c r="B9" s="9" t="s">
        <v>118</v>
      </c>
      <c r="C9" s="2" t="s">
        <v>37</v>
      </c>
      <c r="D9" s="10" t="s">
        <v>38</v>
      </c>
      <c r="E9" s="31">
        <v>43</v>
      </c>
      <c r="F9" s="31" t="s">
        <v>79</v>
      </c>
      <c r="G9" s="31">
        <v>58</v>
      </c>
      <c r="H9" s="11">
        <v>54</v>
      </c>
      <c r="I9" s="11">
        <v>25</v>
      </c>
      <c r="J9" s="11">
        <v>22</v>
      </c>
      <c r="K9" s="11">
        <v>118</v>
      </c>
      <c r="L9" s="11">
        <v>118</v>
      </c>
      <c r="M9" s="11"/>
      <c r="N9" s="11">
        <v>73</v>
      </c>
      <c r="O9" s="11">
        <v>44</v>
      </c>
      <c r="P9" s="11">
        <v>113</v>
      </c>
      <c r="Q9" s="11">
        <v>120</v>
      </c>
      <c r="R9" s="11">
        <v>82</v>
      </c>
      <c r="S9" s="11">
        <v>78</v>
      </c>
      <c r="T9" s="11">
        <v>58</v>
      </c>
      <c r="U9" s="11">
        <v>40</v>
      </c>
      <c r="V9" s="11">
        <v>108</v>
      </c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>
        <v>2</v>
      </c>
      <c r="AJ9" s="32"/>
    </row>
    <row r="10" spans="1:36" s="9" customFormat="1" x14ac:dyDescent="0.25">
      <c r="A10" s="1" t="s">
        <v>119</v>
      </c>
      <c r="B10" s="9" t="s">
        <v>120</v>
      </c>
      <c r="C10" s="2" t="s">
        <v>37</v>
      </c>
      <c r="D10" s="10" t="s">
        <v>38</v>
      </c>
      <c r="E10" s="31">
        <v>43</v>
      </c>
      <c r="F10" s="31" t="s">
        <v>121</v>
      </c>
      <c r="G10" s="31">
        <v>57</v>
      </c>
      <c r="H10" s="11">
        <v>49</v>
      </c>
      <c r="I10" s="11">
        <v>25</v>
      </c>
      <c r="J10" s="11">
        <v>22</v>
      </c>
      <c r="K10" s="11">
        <v>126</v>
      </c>
      <c r="L10" s="11">
        <v>132</v>
      </c>
      <c r="M10" s="11">
        <v>129</v>
      </c>
      <c r="N10" s="11">
        <v>66</v>
      </c>
      <c r="O10" s="11">
        <v>58</v>
      </c>
      <c r="P10" s="11">
        <v>126</v>
      </c>
      <c r="Q10" s="11">
        <v>126</v>
      </c>
      <c r="R10" s="11">
        <v>80</v>
      </c>
      <c r="S10" s="11">
        <v>78</v>
      </c>
      <c r="T10" s="11">
        <v>55</v>
      </c>
      <c r="U10" s="11">
        <v>36</v>
      </c>
      <c r="V10" s="11">
        <v>90</v>
      </c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>
        <v>2</v>
      </c>
      <c r="AJ10" s="32"/>
    </row>
    <row r="11" spans="1:36" s="9" customFormat="1" x14ac:dyDescent="0.25">
      <c r="A11" s="1" t="s">
        <v>122</v>
      </c>
      <c r="B11" s="12" t="s">
        <v>123</v>
      </c>
      <c r="C11" s="2" t="s">
        <v>37</v>
      </c>
      <c r="D11" s="12" t="s">
        <v>38</v>
      </c>
      <c r="E11" s="33">
        <v>41</v>
      </c>
      <c r="F11" s="33" t="s">
        <v>102</v>
      </c>
      <c r="G11" s="33">
        <v>57</v>
      </c>
      <c r="H11" s="13">
        <v>47</v>
      </c>
      <c r="I11" s="13">
        <v>25</v>
      </c>
      <c r="J11" s="13">
        <v>18</v>
      </c>
      <c r="K11" s="13">
        <v>29</v>
      </c>
      <c r="L11" s="13">
        <v>26</v>
      </c>
      <c r="M11" s="13">
        <v>29</v>
      </c>
      <c r="N11" s="13">
        <v>71</v>
      </c>
      <c r="O11" s="13">
        <v>39</v>
      </c>
      <c r="P11" s="13">
        <v>87</v>
      </c>
      <c r="Q11" s="14">
        <v>110</v>
      </c>
      <c r="R11" s="13">
        <v>67</v>
      </c>
      <c r="S11" s="13">
        <v>34</v>
      </c>
      <c r="T11" s="13">
        <v>28</v>
      </c>
      <c r="U11" s="13">
        <v>23</v>
      </c>
      <c r="V11" s="13">
        <v>96</v>
      </c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32"/>
      <c r="AI11" s="32">
        <v>2</v>
      </c>
      <c r="AJ11" s="32"/>
    </row>
    <row r="12" spans="1:36" s="9" customFormat="1" x14ac:dyDescent="0.25">
      <c r="A12" s="1" t="s">
        <v>124</v>
      </c>
      <c r="B12" s="12" t="s">
        <v>125</v>
      </c>
      <c r="C12" s="2" t="s">
        <v>37</v>
      </c>
      <c r="D12" s="12" t="s">
        <v>38</v>
      </c>
      <c r="E12" s="33">
        <v>43</v>
      </c>
      <c r="F12" s="33" t="s">
        <v>102</v>
      </c>
      <c r="G12" s="33">
        <v>59</v>
      </c>
      <c r="H12" s="13">
        <v>48</v>
      </c>
      <c r="I12" s="13">
        <v>25</v>
      </c>
      <c r="J12" s="13">
        <v>20</v>
      </c>
      <c r="K12" s="13">
        <v>32</v>
      </c>
      <c r="L12" s="13">
        <v>30</v>
      </c>
      <c r="M12" s="13">
        <v>32</v>
      </c>
      <c r="N12" s="13">
        <v>73</v>
      </c>
      <c r="O12" s="13">
        <v>44</v>
      </c>
      <c r="P12" s="13">
        <v>100</v>
      </c>
      <c r="Q12" s="14">
        <v>120</v>
      </c>
      <c r="R12" s="13">
        <v>72</v>
      </c>
      <c r="S12" s="13">
        <v>37</v>
      </c>
      <c r="T12" s="13">
        <v>27</v>
      </c>
      <c r="U12" s="13">
        <v>21</v>
      </c>
      <c r="V12" s="13">
        <v>96</v>
      </c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32"/>
      <c r="AI12" s="32">
        <v>2</v>
      </c>
      <c r="AJ12" s="32"/>
    </row>
    <row r="13" spans="1:36" s="9" customFormat="1" x14ac:dyDescent="0.25">
      <c r="A13" s="1" t="s">
        <v>126</v>
      </c>
      <c r="B13" s="12" t="s">
        <v>127</v>
      </c>
      <c r="C13" s="2" t="s">
        <v>37</v>
      </c>
      <c r="D13" s="12" t="s">
        <v>38</v>
      </c>
      <c r="E13" s="33">
        <v>43</v>
      </c>
      <c r="F13" s="33" t="s">
        <v>79</v>
      </c>
      <c r="G13" s="33">
        <v>58</v>
      </c>
      <c r="H13" s="13">
        <v>49</v>
      </c>
      <c r="I13" s="13">
        <v>27</v>
      </c>
      <c r="J13" s="13">
        <v>20</v>
      </c>
      <c r="K13" s="13">
        <v>32</v>
      </c>
      <c r="L13" s="13">
        <v>31</v>
      </c>
      <c r="M13" s="13">
        <v>32</v>
      </c>
      <c r="N13" s="13">
        <v>70</v>
      </c>
      <c r="O13" s="13">
        <v>49</v>
      </c>
      <c r="P13" s="13">
        <v>108</v>
      </c>
      <c r="Q13" s="14">
        <v>120</v>
      </c>
      <c r="R13" s="13">
        <v>75</v>
      </c>
      <c r="S13" s="13">
        <v>38</v>
      </c>
      <c r="T13" s="13">
        <v>28</v>
      </c>
      <c r="U13" s="13">
        <v>22</v>
      </c>
      <c r="V13" s="13">
        <v>98</v>
      </c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32"/>
      <c r="AI13" s="32">
        <v>2</v>
      </c>
      <c r="AJ13" s="32"/>
    </row>
    <row r="14" spans="1:36" s="9" customFormat="1" x14ac:dyDescent="0.25">
      <c r="A14" s="1" t="s">
        <v>128</v>
      </c>
      <c r="B14" s="12" t="s">
        <v>129</v>
      </c>
      <c r="C14" s="2" t="s">
        <v>130</v>
      </c>
      <c r="D14" s="12" t="s">
        <v>38</v>
      </c>
      <c r="E14" s="33">
        <v>42</v>
      </c>
      <c r="F14" s="33" t="s">
        <v>102</v>
      </c>
      <c r="G14" s="33">
        <v>56</v>
      </c>
      <c r="H14" s="13">
        <v>42</v>
      </c>
      <c r="I14" s="13">
        <v>26</v>
      </c>
      <c r="J14" s="13">
        <v>17</v>
      </c>
      <c r="K14" s="13">
        <v>27.5</v>
      </c>
      <c r="L14" s="13">
        <v>25</v>
      </c>
      <c r="M14" s="13">
        <v>27</v>
      </c>
      <c r="N14" s="13">
        <v>69</v>
      </c>
      <c r="O14" s="13">
        <v>38</v>
      </c>
      <c r="P14" s="13">
        <v>85</v>
      </c>
      <c r="Q14" s="14">
        <v>104</v>
      </c>
      <c r="R14" s="13">
        <v>69</v>
      </c>
      <c r="S14" s="13">
        <v>34</v>
      </c>
      <c r="T14" s="13">
        <v>26</v>
      </c>
      <c r="U14" s="13">
        <v>21</v>
      </c>
      <c r="V14" s="13">
        <v>100</v>
      </c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32"/>
      <c r="AI14" s="32">
        <v>2</v>
      </c>
      <c r="AJ14" s="32"/>
    </row>
    <row r="15" spans="1:36" s="9" customFormat="1" x14ac:dyDescent="0.25">
      <c r="A15" s="1" t="s">
        <v>131</v>
      </c>
      <c r="B15" s="9" t="s">
        <v>132</v>
      </c>
      <c r="C15" s="10" t="s">
        <v>37</v>
      </c>
      <c r="D15" s="12" t="s">
        <v>38</v>
      </c>
      <c r="E15" s="31">
        <v>42</v>
      </c>
      <c r="F15" s="31" t="s">
        <v>39</v>
      </c>
      <c r="G15" s="31">
        <v>55</v>
      </c>
      <c r="H15" s="16">
        <v>44</v>
      </c>
      <c r="I15" s="16">
        <v>25</v>
      </c>
      <c r="J15" s="16">
        <v>18</v>
      </c>
      <c r="K15" s="16">
        <v>31</v>
      </c>
      <c r="L15" s="16">
        <v>28</v>
      </c>
      <c r="M15" s="16">
        <v>31</v>
      </c>
      <c r="N15" s="16">
        <v>72</v>
      </c>
      <c r="O15" s="16">
        <v>41</v>
      </c>
      <c r="P15" s="16">
        <v>90</v>
      </c>
      <c r="Q15" s="16">
        <v>116</v>
      </c>
      <c r="R15" s="16">
        <v>69</v>
      </c>
      <c r="S15" s="16">
        <v>35</v>
      </c>
      <c r="T15" s="16">
        <v>27</v>
      </c>
      <c r="U15" s="16">
        <v>22</v>
      </c>
      <c r="V15" s="16">
        <v>99</v>
      </c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32"/>
      <c r="AI15" s="32">
        <v>2</v>
      </c>
      <c r="AJ15" s="32"/>
    </row>
    <row r="16" spans="1:36" s="9" customFormat="1" x14ac:dyDescent="0.25">
      <c r="A16" s="1" t="s">
        <v>133</v>
      </c>
      <c r="B16" s="9" t="s">
        <v>134</v>
      </c>
      <c r="C16" s="10" t="s">
        <v>37</v>
      </c>
      <c r="D16" s="12" t="s">
        <v>38</v>
      </c>
      <c r="E16" s="31">
        <v>40</v>
      </c>
      <c r="F16" s="31" t="s">
        <v>102</v>
      </c>
      <c r="G16" s="31">
        <v>55</v>
      </c>
      <c r="H16" s="16">
        <v>45</v>
      </c>
      <c r="I16" s="16">
        <v>24</v>
      </c>
      <c r="J16" s="16">
        <v>17</v>
      </c>
      <c r="K16" s="16">
        <v>28</v>
      </c>
      <c r="L16" s="16">
        <v>26</v>
      </c>
      <c r="M16" s="16">
        <v>28</v>
      </c>
      <c r="N16" s="16">
        <v>70</v>
      </c>
      <c r="O16" s="16">
        <v>40</v>
      </c>
      <c r="P16" s="16">
        <v>85</v>
      </c>
      <c r="Q16" s="16">
        <v>90</v>
      </c>
      <c r="R16" s="16">
        <v>66</v>
      </c>
      <c r="S16" s="16">
        <v>33</v>
      </c>
      <c r="T16" s="16">
        <v>25</v>
      </c>
      <c r="U16" s="16">
        <v>20</v>
      </c>
      <c r="V16" s="16">
        <v>95</v>
      </c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32"/>
      <c r="AI16" s="32">
        <v>2</v>
      </c>
      <c r="AJ16" s="32"/>
    </row>
    <row r="17" spans="1:36" s="9" customFormat="1" x14ac:dyDescent="0.25">
      <c r="A17" s="1" t="s">
        <v>135</v>
      </c>
      <c r="B17" s="9" t="s">
        <v>136</v>
      </c>
      <c r="C17" s="10" t="s">
        <v>37</v>
      </c>
      <c r="D17" s="12" t="s">
        <v>38</v>
      </c>
      <c r="E17" s="31">
        <v>40</v>
      </c>
      <c r="F17" s="31" t="s">
        <v>39</v>
      </c>
      <c r="G17" s="31">
        <v>57</v>
      </c>
      <c r="H17" s="16">
        <v>46</v>
      </c>
      <c r="I17" s="16">
        <v>25</v>
      </c>
      <c r="J17" s="16">
        <v>19</v>
      </c>
      <c r="K17" s="16">
        <v>31</v>
      </c>
      <c r="L17" s="16">
        <v>29</v>
      </c>
      <c r="M17" s="16">
        <v>31</v>
      </c>
      <c r="N17" s="16">
        <v>76</v>
      </c>
      <c r="O17" s="16">
        <v>44</v>
      </c>
      <c r="P17" s="16">
        <v>95</v>
      </c>
      <c r="Q17" s="16">
        <v>110</v>
      </c>
      <c r="R17" s="16">
        <v>68</v>
      </c>
      <c r="S17" s="16">
        <v>35</v>
      </c>
      <c r="T17" s="16">
        <v>27</v>
      </c>
      <c r="U17" s="16">
        <v>21</v>
      </c>
      <c r="V17" s="16">
        <v>97</v>
      </c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32"/>
      <c r="AI17" s="32">
        <v>2</v>
      </c>
      <c r="AJ17" s="32"/>
    </row>
    <row r="18" spans="1:36" s="9" customFormat="1" x14ac:dyDescent="0.25">
      <c r="A18" s="1" t="s">
        <v>137</v>
      </c>
      <c r="B18" s="9" t="s">
        <v>138</v>
      </c>
      <c r="C18" s="10" t="s">
        <v>37</v>
      </c>
      <c r="D18" s="12" t="s">
        <v>38</v>
      </c>
      <c r="E18" s="31">
        <v>41</v>
      </c>
      <c r="F18" s="31" t="s">
        <v>102</v>
      </c>
      <c r="G18" s="31">
        <v>57</v>
      </c>
      <c r="H18" s="16">
        <v>46</v>
      </c>
      <c r="I18" s="16">
        <v>24</v>
      </c>
      <c r="J18" s="16">
        <v>18</v>
      </c>
      <c r="K18" s="16">
        <v>29</v>
      </c>
      <c r="L18" s="16">
        <v>27</v>
      </c>
      <c r="M18" s="16">
        <v>29</v>
      </c>
      <c r="N18" s="16">
        <v>68</v>
      </c>
      <c r="O18" s="16">
        <v>40</v>
      </c>
      <c r="P18" s="16">
        <v>90</v>
      </c>
      <c r="Q18" s="16">
        <v>106</v>
      </c>
      <c r="R18" s="16">
        <v>68</v>
      </c>
      <c r="S18" s="16">
        <v>34</v>
      </c>
      <c r="T18" s="16">
        <v>26</v>
      </c>
      <c r="U18" s="16">
        <v>20</v>
      </c>
      <c r="V18" s="16">
        <v>97</v>
      </c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32"/>
      <c r="AI18" s="32">
        <v>2</v>
      </c>
      <c r="AJ18" s="32"/>
    </row>
    <row r="19" spans="1:36" s="9" customFormat="1" x14ac:dyDescent="0.25">
      <c r="A19" s="1" t="s">
        <v>139</v>
      </c>
      <c r="B19" s="9" t="s">
        <v>140</v>
      </c>
      <c r="C19" s="10" t="s">
        <v>37</v>
      </c>
      <c r="D19" s="12" t="s">
        <v>38</v>
      </c>
      <c r="E19" s="31">
        <v>43</v>
      </c>
      <c r="F19" s="31" t="s">
        <v>79</v>
      </c>
      <c r="G19" s="31">
        <v>57</v>
      </c>
      <c r="H19" s="16">
        <v>48</v>
      </c>
      <c r="I19" s="16">
        <v>27</v>
      </c>
      <c r="J19" s="16">
        <v>21</v>
      </c>
      <c r="K19" s="16">
        <v>32</v>
      </c>
      <c r="L19" s="16">
        <v>31</v>
      </c>
      <c r="M19" s="16">
        <v>32</v>
      </c>
      <c r="N19" s="16">
        <v>76</v>
      </c>
      <c r="O19" s="16">
        <v>46</v>
      </c>
      <c r="P19" s="16">
        <v>104</v>
      </c>
      <c r="Q19" s="16">
        <v>115</v>
      </c>
      <c r="R19" s="16">
        <v>75</v>
      </c>
      <c r="S19" s="16">
        <v>37</v>
      </c>
      <c r="T19" s="16">
        <v>28</v>
      </c>
      <c r="U19" s="16">
        <v>21</v>
      </c>
      <c r="V19" s="16">
        <v>100</v>
      </c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32"/>
      <c r="AI19" s="32">
        <v>2</v>
      </c>
      <c r="AJ19" s="32"/>
    </row>
    <row r="20" spans="1:36" s="9" customFormat="1" x14ac:dyDescent="0.25">
      <c r="A20" s="1" t="s">
        <v>141</v>
      </c>
      <c r="B20" s="9" t="s">
        <v>142</v>
      </c>
      <c r="C20" s="10" t="s">
        <v>37</v>
      </c>
      <c r="D20" s="12" t="s">
        <v>38</v>
      </c>
      <c r="E20" s="31">
        <v>42</v>
      </c>
      <c r="F20" s="31" t="s">
        <v>79</v>
      </c>
      <c r="G20" s="31">
        <v>59</v>
      </c>
      <c r="H20" s="16">
        <v>48</v>
      </c>
      <c r="I20" s="16">
        <v>25</v>
      </c>
      <c r="J20" s="16">
        <v>21</v>
      </c>
      <c r="K20" s="16">
        <v>32</v>
      </c>
      <c r="L20" s="16">
        <v>30</v>
      </c>
      <c r="M20" s="16">
        <v>32</v>
      </c>
      <c r="N20" s="16">
        <v>78</v>
      </c>
      <c r="O20" s="16">
        <v>46</v>
      </c>
      <c r="P20" s="16">
        <v>106</v>
      </c>
      <c r="Q20" s="16">
        <v>115</v>
      </c>
      <c r="R20" s="16">
        <v>79</v>
      </c>
      <c r="S20" s="16">
        <v>37</v>
      </c>
      <c r="T20" s="16">
        <v>28</v>
      </c>
      <c r="U20" s="16">
        <v>22</v>
      </c>
      <c r="V20" s="16">
        <v>96</v>
      </c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32"/>
      <c r="AI20" s="32">
        <v>2</v>
      </c>
      <c r="AJ20" s="32"/>
    </row>
    <row r="21" spans="1:36" s="9" customFormat="1" x14ac:dyDescent="0.25">
      <c r="A21" s="1" t="s">
        <v>143</v>
      </c>
      <c r="B21" s="9" t="s">
        <v>144</v>
      </c>
      <c r="C21" s="10" t="s">
        <v>37</v>
      </c>
      <c r="D21" s="12" t="s">
        <v>38</v>
      </c>
      <c r="E21" s="31">
        <v>42</v>
      </c>
      <c r="F21" s="31" t="s">
        <v>102</v>
      </c>
      <c r="G21" s="31">
        <v>57</v>
      </c>
      <c r="H21" s="16">
        <v>43</v>
      </c>
      <c r="I21" s="16">
        <v>24</v>
      </c>
      <c r="J21" s="16">
        <v>17</v>
      </c>
      <c r="K21" s="16">
        <v>27</v>
      </c>
      <c r="L21" s="16">
        <v>25</v>
      </c>
      <c r="M21" s="16">
        <v>27</v>
      </c>
      <c r="N21" s="16">
        <v>70</v>
      </c>
      <c r="O21" s="16">
        <v>40</v>
      </c>
      <c r="P21" s="16">
        <v>84</v>
      </c>
      <c r="Q21" s="16">
        <v>100</v>
      </c>
      <c r="R21" s="16">
        <v>66</v>
      </c>
      <c r="S21" s="16">
        <v>32</v>
      </c>
      <c r="T21" s="16">
        <v>24</v>
      </c>
      <c r="U21" s="16">
        <v>19</v>
      </c>
      <c r="V21" s="16">
        <v>94</v>
      </c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32"/>
      <c r="AI21" s="32">
        <v>2</v>
      </c>
      <c r="AJ21" s="32"/>
    </row>
    <row r="22" spans="1:36" s="9" customFormat="1" x14ac:dyDescent="0.25">
      <c r="A22" s="1" t="s">
        <v>145</v>
      </c>
      <c r="B22" s="9" t="s">
        <v>146</v>
      </c>
      <c r="C22" s="10" t="s">
        <v>37</v>
      </c>
      <c r="D22" s="12" t="s">
        <v>38</v>
      </c>
      <c r="E22" s="31">
        <v>41</v>
      </c>
      <c r="F22" s="31" t="s">
        <v>79</v>
      </c>
      <c r="G22" s="31">
        <v>58</v>
      </c>
      <c r="H22" s="16">
        <v>46</v>
      </c>
      <c r="I22" s="16">
        <v>27</v>
      </c>
      <c r="J22" s="16">
        <v>19</v>
      </c>
      <c r="K22" s="16">
        <v>30</v>
      </c>
      <c r="L22" s="16">
        <v>28</v>
      </c>
      <c r="M22" s="16">
        <v>30</v>
      </c>
      <c r="N22" s="16">
        <v>73</v>
      </c>
      <c r="O22" s="16">
        <v>41</v>
      </c>
      <c r="P22" s="16">
        <v>93</v>
      </c>
      <c r="Q22" s="16">
        <v>102</v>
      </c>
      <c r="R22" s="16">
        <v>66</v>
      </c>
      <c r="S22" s="16">
        <v>35</v>
      </c>
      <c r="T22" s="16">
        <v>28</v>
      </c>
      <c r="U22" s="16">
        <v>22</v>
      </c>
      <c r="V22" s="16">
        <v>96</v>
      </c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32"/>
      <c r="AI22" s="32">
        <v>2</v>
      </c>
      <c r="AJ22" s="32"/>
    </row>
    <row r="23" spans="1:36" s="9" customFormat="1" x14ac:dyDescent="0.25">
      <c r="A23" s="1" t="s">
        <v>147</v>
      </c>
      <c r="B23" s="9" t="s">
        <v>148</v>
      </c>
      <c r="C23" s="10" t="s">
        <v>37</v>
      </c>
      <c r="D23" s="12" t="s">
        <v>38</v>
      </c>
      <c r="E23" s="31">
        <v>42</v>
      </c>
      <c r="F23" s="31" t="s">
        <v>79</v>
      </c>
      <c r="G23" s="31">
        <v>60</v>
      </c>
      <c r="H23" s="16">
        <v>47</v>
      </c>
      <c r="I23" s="16">
        <v>25</v>
      </c>
      <c r="J23" s="16">
        <v>20</v>
      </c>
      <c r="K23" s="16">
        <v>31</v>
      </c>
      <c r="L23" s="16">
        <v>29</v>
      </c>
      <c r="M23" s="16">
        <v>31</v>
      </c>
      <c r="N23" s="16">
        <v>73</v>
      </c>
      <c r="O23" s="16">
        <v>44</v>
      </c>
      <c r="P23" s="16">
        <v>98</v>
      </c>
      <c r="Q23" s="16">
        <v>114</v>
      </c>
      <c r="R23" s="16">
        <v>76</v>
      </c>
      <c r="S23" s="16">
        <v>37</v>
      </c>
      <c r="T23" s="16">
        <v>27</v>
      </c>
      <c r="U23" s="16">
        <v>23</v>
      </c>
      <c r="V23" s="16">
        <v>98</v>
      </c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32"/>
      <c r="AI23" s="32">
        <v>2</v>
      </c>
      <c r="AJ23" s="32"/>
    </row>
    <row r="24" spans="1:36" s="9" customFormat="1" x14ac:dyDescent="0.25">
      <c r="A24" s="1" t="s">
        <v>149</v>
      </c>
      <c r="B24" s="9" t="s">
        <v>150</v>
      </c>
      <c r="C24" s="10" t="s">
        <v>151</v>
      </c>
      <c r="D24" s="12" t="s">
        <v>38</v>
      </c>
      <c r="E24" s="31">
        <v>41</v>
      </c>
      <c r="F24" s="31" t="s">
        <v>39</v>
      </c>
      <c r="G24" s="31">
        <v>57</v>
      </c>
      <c r="H24" s="16">
        <v>48</v>
      </c>
      <c r="I24" s="16">
        <v>25</v>
      </c>
      <c r="J24" s="16">
        <v>20</v>
      </c>
      <c r="K24" s="16">
        <v>32</v>
      </c>
      <c r="L24" s="16">
        <v>30</v>
      </c>
      <c r="M24" s="16">
        <v>32</v>
      </c>
      <c r="N24" s="16">
        <v>72</v>
      </c>
      <c r="O24" s="16">
        <v>46</v>
      </c>
      <c r="P24" s="16">
        <v>100</v>
      </c>
      <c r="Q24" s="16">
        <v>116</v>
      </c>
      <c r="R24" s="16">
        <v>72</v>
      </c>
      <c r="S24" s="16">
        <v>37</v>
      </c>
      <c r="T24" s="16">
        <v>27</v>
      </c>
      <c r="U24" s="16">
        <v>21</v>
      </c>
      <c r="V24" s="16">
        <v>101</v>
      </c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32"/>
      <c r="AI24" s="32">
        <v>3</v>
      </c>
      <c r="AJ24" s="32"/>
    </row>
    <row r="25" spans="1:36" s="9" customFormat="1" x14ac:dyDescent="0.25">
      <c r="A25" s="1" t="s">
        <v>152</v>
      </c>
      <c r="B25" s="9" t="s">
        <v>153</v>
      </c>
      <c r="C25" s="10" t="s">
        <v>151</v>
      </c>
      <c r="D25" s="12" t="s">
        <v>38</v>
      </c>
      <c r="E25" s="31">
        <v>40</v>
      </c>
      <c r="F25" s="31" t="s">
        <v>61</v>
      </c>
      <c r="G25" s="31">
        <v>53</v>
      </c>
      <c r="H25" s="16">
        <v>44</v>
      </c>
      <c r="I25" s="16">
        <v>24</v>
      </c>
      <c r="J25" s="16">
        <v>16</v>
      </c>
      <c r="K25" s="16">
        <v>26</v>
      </c>
      <c r="L25" s="16">
        <v>23</v>
      </c>
      <c r="M25" s="16">
        <v>26</v>
      </c>
      <c r="N25" s="16">
        <v>71</v>
      </c>
      <c r="O25" s="16">
        <v>36</v>
      </c>
      <c r="P25" s="16">
        <v>70</v>
      </c>
      <c r="Q25" s="16">
        <v>98</v>
      </c>
      <c r="R25" s="16">
        <v>64</v>
      </c>
      <c r="S25" s="16">
        <v>31</v>
      </c>
      <c r="T25" s="16">
        <v>24</v>
      </c>
      <c r="U25" s="16">
        <v>19</v>
      </c>
      <c r="V25" s="16">
        <v>94</v>
      </c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32"/>
      <c r="AI25" s="32">
        <v>3</v>
      </c>
      <c r="AJ25" s="32"/>
    </row>
    <row r="26" spans="1:36" s="9" customFormat="1" x14ac:dyDescent="0.25">
      <c r="A26" s="1" t="s">
        <v>154</v>
      </c>
      <c r="B26" s="9" t="s">
        <v>155</v>
      </c>
      <c r="C26" s="9" t="s">
        <v>37</v>
      </c>
      <c r="D26" s="9" t="s">
        <v>38</v>
      </c>
      <c r="E26" s="32">
        <v>41</v>
      </c>
      <c r="F26" s="32" t="s">
        <v>39</v>
      </c>
      <c r="G26" s="32">
        <v>58</v>
      </c>
      <c r="H26" s="32">
        <v>44</v>
      </c>
      <c r="I26" s="32">
        <v>25</v>
      </c>
      <c r="J26" s="32">
        <v>19</v>
      </c>
      <c r="K26" s="32">
        <v>31</v>
      </c>
      <c r="L26" s="32">
        <v>29</v>
      </c>
      <c r="M26" s="32">
        <v>31</v>
      </c>
      <c r="N26" s="32">
        <v>69</v>
      </c>
      <c r="O26" s="32">
        <v>43</v>
      </c>
      <c r="P26" s="32">
        <v>100</v>
      </c>
      <c r="Q26" s="32">
        <v>112</v>
      </c>
      <c r="R26" s="32">
        <v>69</v>
      </c>
      <c r="S26" s="32">
        <v>36</v>
      </c>
      <c r="T26" s="32">
        <v>26</v>
      </c>
      <c r="U26" s="32">
        <v>22</v>
      </c>
      <c r="V26" s="32">
        <v>95</v>
      </c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32"/>
      <c r="AI26" s="32">
        <v>4</v>
      </c>
      <c r="AJ26" s="32"/>
    </row>
    <row r="27" spans="1:36" s="9" customFormat="1" x14ac:dyDescent="0.25">
      <c r="A27" s="1" t="s">
        <v>156</v>
      </c>
      <c r="B27" s="9" t="s">
        <v>157</v>
      </c>
      <c r="C27" s="9" t="s">
        <v>37</v>
      </c>
      <c r="D27" s="9" t="s">
        <v>38</v>
      </c>
      <c r="E27" s="32">
        <v>42</v>
      </c>
      <c r="F27" s="32" t="s">
        <v>102</v>
      </c>
      <c r="G27" s="32">
        <v>60</v>
      </c>
      <c r="H27" s="32">
        <v>44</v>
      </c>
      <c r="I27" s="32">
        <v>24</v>
      </c>
      <c r="J27" s="32">
        <v>18</v>
      </c>
      <c r="K27" s="32">
        <v>30</v>
      </c>
      <c r="L27" s="32">
        <v>28</v>
      </c>
      <c r="M27" s="32">
        <v>30</v>
      </c>
      <c r="N27" s="32">
        <v>69</v>
      </c>
      <c r="O27" s="32">
        <v>43</v>
      </c>
      <c r="P27" s="32">
        <v>95</v>
      </c>
      <c r="Q27" s="32">
        <v>117</v>
      </c>
      <c r="R27" s="32">
        <v>67</v>
      </c>
      <c r="S27" s="32">
        <v>35</v>
      </c>
      <c r="T27" s="32">
        <v>26</v>
      </c>
      <c r="U27" s="32">
        <v>21</v>
      </c>
      <c r="V27" s="32">
        <v>100</v>
      </c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32"/>
      <c r="AI27" s="32">
        <v>4</v>
      </c>
      <c r="AJ27" s="32"/>
    </row>
    <row r="28" spans="1:36" s="9" customFormat="1" x14ac:dyDescent="0.25">
      <c r="A28" s="1" t="s">
        <v>158</v>
      </c>
      <c r="B28" s="9" t="s">
        <v>159</v>
      </c>
      <c r="C28" s="9" t="s">
        <v>37</v>
      </c>
      <c r="D28" s="9" t="s">
        <v>38</v>
      </c>
      <c r="E28" s="32">
        <v>41</v>
      </c>
      <c r="F28" s="32" t="s">
        <v>61</v>
      </c>
      <c r="G28" s="32">
        <v>54</v>
      </c>
      <c r="H28" s="32">
        <v>39</v>
      </c>
      <c r="I28" s="32">
        <v>23</v>
      </c>
      <c r="J28" s="32">
        <v>16</v>
      </c>
      <c r="K28" s="32">
        <v>26</v>
      </c>
      <c r="L28" s="32">
        <v>24</v>
      </c>
      <c r="M28" s="32">
        <v>26</v>
      </c>
      <c r="N28" s="32">
        <v>70</v>
      </c>
      <c r="O28" s="32">
        <v>40</v>
      </c>
      <c r="P28" s="32">
        <v>74</v>
      </c>
      <c r="Q28" s="32">
        <v>96</v>
      </c>
      <c r="R28" s="32">
        <v>61</v>
      </c>
      <c r="S28" s="32">
        <v>29</v>
      </c>
      <c r="T28" s="32">
        <v>22</v>
      </c>
      <c r="U28" s="32">
        <v>20</v>
      </c>
      <c r="V28" s="32">
        <v>99</v>
      </c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32"/>
      <c r="AI28" s="32">
        <v>4</v>
      </c>
      <c r="AJ28" s="32"/>
    </row>
    <row r="29" spans="1:36" s="9" customFormat="1" x14ac:dyDescent="0.25">
      <c r="A29" s="1" t="s">
        <v>160</v>
      </c>
      <c r="B29" s="9" t="s">
        <v>161</v>
      </c>
      <c r="C29" s="9" t="s">
        <v>37</v>
      </c>
      <c r="D29" s="9" t="s">
        <v>38</v>
      </c>
      <c r="E29" s="32">
        <v>42</v>
      </c>
      <c r="F29" s="32" t="s">
        <v>79</v>
      </c>
      <c r="G29" s="32">
        <v>57</v>
      </c>
      <c r="H29" s="32">
        <v>44</v>
      </c>
      <c r="I29" s="32">
        <v>26</v>
      </c>
      <c r="J29" s="32">
        <v>20</v>
      </c>
      <c r="K29" s="32">
        <v>32</v>
      </c>
      <c r="L29" s="32">
        <v>30</v>
      </c>
      <c r="M29" s="32">
        <v>32</v>
      </c>
      <c r="N29" s="32">
        <v>75</v>
      </c>
      <c r="O29" s="32">
        <v>45</v>
      </c>
      <c r="P29" s="32">
        <v>102</v>
      </c>
      <c r="Q29" s="32">
        <v>128</v>
      </c>
      <c r="R29" s="32">
        <v>72</v>
      </c>
      <c r="S29" s="32">
        <v>36</v>
      </c>
      <c r="T29" s="32">
        <v>27</v>
      </c>
      <c r="U29" s="32">
        <v>22</v>
      </c>
      <c r="V29" s="32">
        <v>98</v>
      </c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32"/>
      <c r="AI29" s="32">
        <v>4</v>
      </c>
      <c r="AJ29" s="32"/>
    </row>
    <row r="30" spans="1:36" s="9" customFormat="1" x14ac:dyDescent="0.25">
      <c r="A30" s="1" t="s">
        <v>162</v>
      </c>
      <c r="B30" s="10" t="s">
        <v>163</v>
      </c>
      <c r="C30" s="15" t="s">
        <v>37</v>
      </c>
      <c r="D30" s="15" t="s">
        <v>38</v>
      </c>
      <c r="E30" s="16">
        <v>41</v>
      </c>
      <c r="F30" s="16" t="s">
        <v>61</v>
      </c>
      <c r="G30" s="14">
        <v>54</v>
      </c>
      <c r="H30" s="14">
        <v>43</v>
      </c>
      <c r="I30" s="14">
        <v>25</v>
      </c>
      <c r="J30" s="14">
        <v>17</v>
      </c>
      <c r="K30" s="14">
        <v>27</v>
      </c>
      <c r="L30" s="14">
        <v>26</v>
      </c>
      <c r="M30" s="14">
        <v>27</v>
      </c>
      <c r="N30" s="14">
        <v>73</v>
      </c>
      <c r="O30" s="14">
        <v>42</v>
      </c>
      <c r="P30" s="14">
        <v>85</v>
      </c>
      <c r="Q30" s="14">
        <v>100</v>
      </c>
      <c r="R30" s="14">
        <v>68</v>
      </c>
      <c r="S30" s="14">
        <v>31</v>
      </c>
      <c r="T30" s="14">
        <v>23</v>
      </c>
      <c r="U30" s="14">
        <v>21</v>
      </c>
      <c r="V30" s="14">
        <v>96</v>
      </c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2"/>
      <c r="AI30" s="32">
        <v>4</v>
      </c>
      <c r="AJ30" s="32"/>
    </row>
    <row r="31" spans="1:36" s="9" customFormat="1" x14ac:dyDescent="0.25">
      <c r="A31" s="1" t="s">
        <v>164</v>
      </c>
      <c r="B31" s="10" t="s">
        <v>165</v>
      </c>
      <c r="C31" s="15" t="s">
        <v>37</v>
      </c>
      <c r="D31" s="15" t="s">
        <v>38</v>
      </c>
      <c r="E31" s="16">
        <v>42</v>
      </c>
      <c r="F31" s="16" t="s">
        <v>39</v>
      </c>
      <c r="G31" s="14">
        <v>59</v>
      </c>
      <c r="H31" s="14">
        <v>47</v>
      </c>
      <c r="I31" s="14">
        <v>26</v>
      </c>
      <c r="J31" s="14">
        <v>19</v>
      </c>
      <c r="K31" s="14">
        <v>32</v>
      </c>
      <c r="L31" s="14">
        <v>30</v>
      </c>
      <c r="M31" s="14">
        <v>32</v>
      </c>
      <c r="N31" s="14">
        <v>73</v>
      </c>
      <c r="O31" s="14">
        <v>45</v>
      </c>
      <c r="P31" s="14">
        <v>101</v>
      </c>
      <c r="Q31" s="14">
        <v>117</v>
      </c>
      <c r="R31" s="14">
        <v>72</v>
      </c>
      <c r="S31" s="14">
        <v>36</v>
      </c>
      <c r="T31" s="14">
        <v>26</v>
      </c>
      <c r="U31" s="14">
        <v>22</v>
      </c>
      <c r="V31" s="14">
        <v>101</v>
      </c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32"/>
      <c r="AI31" s="32">
        <v>4</v>
      </c>
      <c r="AJ31" s="32"/>
    </row>
    <row r="32" spans="1:36" s="9" customFormat="1" x14ac:dyDescent="0.25">
      <c r="A32" s="1" t="s">
        <v>166</v>
      </c>
      <c r="B32" s="10" t="s">
        <v>167</v>
      </c>
      <c r="C32" s="15" t="s">
        <v>37</v>
      </c>
      <c r="D32" s="15" t="s">
        <v>38</v>
      </c>
      <c r="E32" s="16">
        <v>41</v>
      </c>
      <c r="F32" s="16" t="s">
        <v>39</v>
      </c>
      <c r="G32" s="14" t="s">
        <v>52</v>
      </c>
      <c r="H32" s="14">
        <v>44</v>
      </c>
      <c r="I32" s="14">
        <v>24</v>
      </c>
      <c r="J32" s="14">
        <v>17</v>
      </c>
      <c r="K32" s="14">
        <v>30</v>
      </c>
      <c r="L32" s="14">
        <v>28</v>
      </c>
      <c r="M32" s="14">
        <v>30</v>
      </c>
      <c r="N32" s="14">
        <v>70</v>
      </c>
      <c r="O32" s="14">
        <v>44</v>
      </c>
      <c r="P32" s="14">
        <v>96</v>
      </c>
      <c r="Q32" s="14">
        <v>108</v>
      </c>
      <c r="R32" s="14">
        <v>72</v>
      </c>
      <c r="S32" s="14">
        <v>35</v>
      </c>
      <c r="T32" s="14">
        <v>24</v>
      </c>
      <c r="U32" s="14">
        <v>21</v>
      </c>
      <c r="V32" s="14">
        <v>95</v>
      </c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32"/>
      <c r="AI32" s="32">
        <v>4</v>
      </c>
      <c r="AJ32" s="32"/>
    </row>
    <row r="33" spans="1:36" s="9" customFormat="1" x14ac:dyDescent="0.25">
      <c r="A33" s="1" t="s">
        <v>168</v>
      </c>
      <c r="B33" s="10" t="s">
        <v>169</v>
      </c>
      <c r="C33" s="15" t="s">
        <v>37</v>
      </c>
      <c r="D33" s="15" t="s">
        <v>38</v>
      </c>
      <c r="E33" s="16">
        <v>44</v>
      </c>
      <c r="F33" s="16" t="s">
        <v>39</v>
      </c>
      <c r="G33" s="14">
        <v>59</v>
      </c>
      <c r="H33" s="14">
        <v>46</v>
      </c>
      <c r="I33" s="14">
        <v>25</v>
      </c>
      <c r="J33" s="14">
        <v>19</v>
      </c>
      <c r="K33" s="14">
        <v>31</v>
      </c>
      <c r="L33" s="14">
        <v>29</v>
      </c>
      <c r="M33" s="14">
        <v>31</v>
      </c>
      <c r="N33" s="14">
        <v>70</v>
      </c>
      <c r="O33" s="14">
        <v>44</v>
      </c>
      <c r="P33" s="14">
        <v>101</v>
      </c>
      <c r="Q33" s="14">
        <v>119</v>
      </c>
      <c r="R33" s="14">
        <v>74</v>
      </c>
      <c r="S33" s="14">
        <v>36</v>
      </c>
      <c r="T33" s="14">
        <v>27</v>
      </c>
      <c r="U33" s="14">
        <v>22</v>
      </c>
      <c r="V33" s="14">
        <v>99</v>
      </c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32"/>
      <c r="AI33" s="32">
        <v>4</v>
      </c>
      <c r="AJ33" s="32"/>
    </row>
    <row r="34" spans="1:36" s="9" customFormat="1" x14ac:dyDescent="0.25">
      <c r="A34" s="1" t="s">
        <v>170</v>
      </c>
      <c r="B34" s="10" t="s">
        <v>171</v>
      </c>
      <c r="C34" s="15" t="s">
        <v>37</v>
      </c>
      <c r="D34" s="15" t="s">
        <v>38</v>
      </c>
      <c r="E34" s="16">
        <v>42</v>
      </c>
      <c r="F34" s="16" t="s">
        <v>102</v>
      </c>
      <c r="G34" s="14">
        <v>54</v>
      </c>
      <c r="H34" s="14">
        <v>46</v>
      </c>
      <c r="I34" s="14">
        <v>22</v>
      </c>
      <c r="J34" s="14">
        <v>19</v>
      </c>
      <c r="K34" s="14">
        <v>31</v>
      </c>
      <c r="L34" s="14">
        <v>29</v>
      </c>
      <c r="M34" s="14">
        <v>31</v>
      </c>
      <c r="N34" s="14">
        <v>67</v>
      </c>
      <c r="O34" s="14">
        <v>43</v>
      </c>
      <c r="P34" s="14">
        <v>100</v>
      </c>
      <c r="Q34" s="14">
        <v>115</v>
      </c>
      <c r="R34" s="14">
        <v>70</v>
      </c>
      <c r="S34" s="14">
        <v>36</v>
      </c>
      <c r="T34" s="14">
        <v>26</v>
      </c>
      <c r="U34" s="14">
        <v>21</v>
      </c>
      <c r="V34" s="14">
        <v>94</v>
      </c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32"/>
      <c r="AI34" s="32">
        <v>4</v>
      </c>
      <c r="AJ34" s="32"/>
    </row>
    <row r="35" spans="1:36" s="9" customFormat="1" x14ac:dyDescent="0.25">
      <c r="A35" s="1" t="s">
        <v>172</v>
      </c>
      <c r="B35" s="10" t="s">
        <v>173</v>
      </c>
      <c r="C35" s="15" t="s">
        <v>37</v>
      </c>
      <c r="D35" s="15" t="s">
        <v>38</v>
      </c>
      <c r="E35" s="16">
        <v>43</v>
      </c>
      <c r="F35" s="16" t="s">
        <v>79</v>
      </c>
      <c r="G35" s="14">
        <v>62</v>
      </c>
      <c r="H35" s="14">
        <v>50</v>
      </c>
      <c r="I35" s="14">
        <v>27</v>
      </c>
      <c r="J35" s="14">
        <v>21</v>
      </c>
      <c r="K35" s="14">
        <v>35</v>
      </c>
      <c r="L35" s="14">
        <v>35</v>
      </c>
      <c r="M35" s="14">
        <v>35</v>
      </c>
      <c r="N35" s="14">
        <v>80</v>
      </c>
      <c r="O35" s="14">
        <v>48</v>
      </c>
      <c r="P35" s="14">
        <v>116</v>
      </c>
      <c r="Q35" s="14">
        <v>130</v>
      </c>
      <c r="R35" s="14">
        <v>86</v>
      </c>
      <c r="S35" s="14">
        <v>40</v>
      </c>
      <c r="T35" s="14">
        <v>28</v>
      </c>
      <c r="U35" s="14">
        <v>22</v>
      </c>
      <c r="V35" s="14">
        <v>100</v>
      </c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32"/>
      <c r="AI35" s="32">
        <v>4</v>
      </c>
      <c r="AJ35" s="32"/>
    </row>
    <row r="36" spans="1:36" s="9" customFormat="1" x14ac:dyDescent="0.25">
      <c r="A36" s="1" t="s">
        <v>174</v>
      </c>
      <c r="B36" s="10" t="s">
        <v>175</v>
      </c>
      <c r="C36" s="15" t="s">
        <v>37</v>
      </c>
      <c r="D36" s="15" t="s">
        <v>38</v>
      </c>
      <c r="E36" s="16">
        <v>43</v>
      </c>
      <c r="F36" s="16" t="s">
        <v>79</v>
      </c>
      <c r="G36" s="14">
        <v>60</v>
      </c>
      <c r="H36" s="14">
        <v>52</v>
      </c>
      <c r="I36" s="14">
        <v>28</v>
      </c>
      <c r="J36" s="14">
        <v>22</v>
      </c>
      <c r="K36" s="14">
        <v>36</v>
      </c>
      <c r="L36" s="14">
        <v>36</v>
      </c>
      <c r="M36" s="14">
        <v>36</v>
      </c>
      <c r="N36" s="14">
        <v>74</v>
      </c>
      <c r="O36" s="14">
        <v>54</v>
      </c>
      <c r="P36" s="14">
        <v>120</v>
      </c>
      <c r="Q36" s="14">
        <v>131</v>
      </c>
      <c r="R36" s="14">
        <v>83</v>
      </c>
      <c r="S36" s="14">
        <v>41</v>
      </c>
      <c r="T36" s="14">
        <v>30</v>
      </c>
      <c r="U36" s="14">
        <v>24</v>
      </c>
      <c r="V36" s="14">
        <v>96</v>
      </c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32"/>
      <c r="AI36" s="32">
        <v>4</v>
      </c>
      <c r="AJ36" s="32"/>
    </row>
    <row r="37" spans="1:36" s="9" customFormat="1" x14ac:dyDescent="0.25">
      <c r="A37" s="1" t="s">
        <v>176</v>
      </c>
      <c r="B37" s="10" t="s">
        <v>177</v>
      </c>
      <c r="C37" s="15" t="s">
        <v>37</v>
      </c>
      <c r="D37" s="15" t="s">
        <v>38</v>
      </c>
      <c r="E37" s="16">
        <v>42</v>
      </c>
      <c r="F37" s="16" t="s">
        <v>61</v>
      </c>
      <c r="G37" s="14">
        <v>58</v>
      </c>
      <c r="H37" s="14">
        <v>43</v>
      </c>
      <c r="I37" s="14">
        <v>24</v>
      </c>
      <c r="J37" s="14">
        <v>17</v>
      </c>
      <c r="K37" s="14">
        <v>27</v>
      </c>
      <c r="L37" s="14">
        <v>25</v>
      </c>
      <c r="M37" s="14">
        <v>27</v>
      </c>
      <c r="N37" s="14">
        <v>70</v>
      </c>
      <c r="O37" s="14">
        <v>42</v>
      </c>
      <c r="P37" s="14">
        <v>85</v>
      </c>
      <c r="Q37" s="14">
        <v>100</v>
      </c>
      <c r="R37" s="14">
        <v>70</v>
      </c>
      <c r="S37" s="14">
        <v>34</v>
      </c>
      <c r="T37" s="14">
        <v>26</v>
      </c>
      <c r="U37" s="14">
        <v>20</v>
      </c>
      <c r="V37" s="14">
        <v>95</v>
      </c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32"/>
      <c r="AI37" s="32">
        <v>4</v>
      </c>
      <c r="AJ37" s="32"/>
    </row>
    <row r="38" spans="1:36" s="9" customFormat="1" x14ac:dyDescent="0.25">
      <c r="A38" s="1" t="s">
        <v>178</v>
      </c>
      <c r="B38" s="9" t="s">
        <v>179</v>
      </c>
      <c r="C38" s="15" t="s">
        <v>37</v>
      </c>
      <c r="D38" s="15" t="s">
        <v>38</v>
      </c>
      <c r="E38" s="16">
        <v>42</v>
      </c>
      <c r="F38" s="16" t="s">
        <v>61</v>
      </c>
      <c r="G38" s="14">
        <v>55</v>
      </c>
      <c r="H38" s="14">
        <v>44</v>
      </c>
      <c r="I38" s="14">
        <v>25</v>
      </c>
      <c r="J38" s="14">
        <v>18</v>
      </c>
      <c r="K38" s="14">
        <v>29</v>
      </c>
      <c r="L38" s="14">
        <v>27</v>
      </c>
      <c r="M38" s="14">
        <v>29</v>
      </c>
      <c r="N38" s="14">
        <v>69</v>
      </c>
      <c r="O38" s="14">
        <v>43</v>
      </c>
      <c r="P38" s="14">
        <v>90</v>
      </c>
      <c r="Q38" s="14">
        <v>115</v>
      </c>
      <c r="R38" s="14">
        <v>67</v>
      </c>
      <c r="S38" s="14">
        <v>35</v>
      </c>
      <c r="T38" s="14">
        <v>26</v>
      </c>
      <c r="U38" s="14">
        <v>19</v>
      </c>
      <c r="V38" s="14">
        <v>96</v>
      </c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32"/>
      <c r="AI38" s="32">
        <v>4</v>
      </c>
      <c r="AJ38" s="32"/>
    </row>
    <row r="39" spans="1:36" s="9" customFormat="1" x14ac:dyDescent="0.25">
      <c r="A39" s="1" t="s">
        <v>238</v>
      </c>
      <c r="B39" s="10" t="s">
        <v>222</v>
      </c>
      <c r="C39" s="15" t="s">
        <v>37</v>
      </c>
      <c r="D39" s="15" t="s">
        <v>38</v>
      </c>
      <c r="E39" s="16" t="s">
        <v>62</v>
      </c>
      <c r="F39" s="16" t="s">
        <v>39</v>
      </c>
      <c r="G39" s="14" t="s">
        <v>223</v>
      </c>
      <c r="H39" s="14" t="s">
        <v>85</v>
      </c>
      <c r="I39" s="14" t="s">
        <v>41</v>
      </c>
      <c r="J39" s="14" t="s">
        <v>42</v>
      </c>
      <c r="K39" s="14" t="s">
        <v>69</v>
      </c>
      <c r="L39" s="14" t="s">
        <v>43</v>
      </c>
      <c r="M39" s="14" t="s">
        <v>69</v>
      </c>
      <c r="N39" s="14" t="s">
        <v>45</v>
      </c>
      <c r="O39" s="14" t="s">
        <v>51</v>
      </c>
      <c r="P39" s="14" t="s">
        <v>76</v>
      </c>
      <c r="Q39" s="14" t="s">
        <v>113</v>
      </c>
      <c r="R39" s="14" t="s">
        <v>89</v>
      </c>
      <c r="S39" s="14" t="s">
        <v>206</v>
      </c>
      <c r="T39" s="14" t="s">
        <v>183</v>
      </c>
      <c r="U39" s="14" t="s">
        <v>70</v>
      </c>
      <c r="V39" s="14" t="s">
        <v>108</v>
      </c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32"/>
      <c r="AI39" s="32" t="s">
        <v>227</v>
      </c>
      <c r="AJ39" s="32"/>
    </row>
    <row r="40" spans="1:36" s="9" customFormat="1" x14ac:dyDescent="0.25">
      <c r="A40" s="1" t="s">
        <v>239</v>
      </c>
      <c r="B40" s="10" t="s">
        <v>228</v>
      </c>
      <c r="C40" s="15" t="s">
        <v>37</v>
      </c>
      <c r="D40" s="15" t="s">
        <v>38</v>
      </c>
      <c r="E40" s="16">
        <v>45</v>
      </c>
      <c r="F40" s="16" t="s">
        <v>102</v>
      </c>
      <c r="G40" s="14" t="s">
        <v>52</v>
      </c>
      <c r="H40" s="14" t="s">
        <v>182</v>
      </c>
      <c r="I40" s="14" t="s">
        <v>63</v>
      </c>
      <c r="J40" s="14" t="s">
        <v>42</v>
      </c>
      <c r="K40" s="14" t="s">
        <v>43</v>
      </c>
      <c r="L40" s="14" t="s">
        <v>44</v>
      </c>
      <c r="M40" s="14" t="s">
        <v>43</v>
      </c>
      <c r="N40" s="14" t="s">
        <v>89</v>
      </c>
      <c r="O40" s="14" t="s">
        <v>40</v>
      </c>
      <c r="P40" s="14" t="s">
        <v>75</v>
      </c>
      <c r="Q40" s="14" t="s">
        <v>113</v>
      </c>
      <c r="R40" s="14" t="s">
        <v>58</v>
      </c>
      <c r="S40" s="14" t="s">
        <v>49</v>
      </c>
      <c r="T40" s="14" t="s">
        <v>183</v>
      </c>
      <c r="U40" s="14" t="s">
        <v>94</v>
      </c>
      <c r="V40" s="14" t="s">
        <v>226</v>
      </c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32"/>
      <c r="AI40" s="32" t="s">
        <v>227</v>
      </c>
      <c r="AJ40" s="32"/>
    </row>
    <row r="41" spans="1:36" s="9" customFormat="1" x14ac:dyDescent="0.25">
      <c r="A41" s="1" t="s">
        <v>240</v>
      </c>
      <c r="B41" s="10" t="s">
        <v>229</v>
      </c>
      <c r="C41" s="15" t="s">
        <v>37</v>
      </c>
      <c r="D41" s="15" t="s">
        <v>38</v>
      </c>
      <c r="E41" s="16" t="s">
        <v>62</v>
      </c>
      <c r="F41" s="16" t="s">
        <v>61</v>
      </c>
      <c r="G41" s="14" t="s">
        <v>204</v>
      </c>
      <c r="H41" s="14" t="s">
        <v>62</v>
      </c>
      <c r="I41" s="14" t="s">
        <v>41</v>
      </c>
      <c r="J41" s="14" t="s">
        <v>64</v>
      </c>
      <c r="K41" s="14" t="s">
        <v>50</v>
      </c>
      <c r="L41" s="14" t="s">
        <v>41</v>
      </c>
      <c r="M41" s="14" t="s">
        <v>50</v>
      </c>
      <c r="N41" s="14" t="s">
        <v>45</v>
      </c>
      <c r="O41" s="14" t="s">
        <v>103</v>
      </c>
      <c r="P41" s="14" t="s">
        <v>230</v>
      </c>
      <c r="Q41" s="14" t="s">
        <v>56</v>
      </c>
      <c r="R41" s="14" t="s">
        <v>231</v>
      </c>
      <c r="S41" s="14" t="s">
        <v>232</v>
      </c>
      <c r="T41" s="14" t="s">
        <v>50</v>
      </c>
      <c r="U41" s="14" t="s">
        <v>53</v>
      </c>
      <c r="V41" s="14" t="s">
        <v>108</v>
      </c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32"/>
      <c r="AI41" s="32" t="s">
        <v>227</v>
      </c>
      <c r="AJ41" s="32"/>
    </row>
    <row r="42" spans="1:36" s="9" customFormat="1" x14ac:dyDescent="0.25">
      <c r="A42" s="1" t="s">
        <v>241</v>
      </c>
      <c r="B42" s="10" t="s">
        <v>233</v>
      </c>
      <c r="C42" s="15" t="s">
        <v>37</v>
      </c>
      <c r="D42" s="15" t="s">
        <v>38</v>
      </c>
      <c r="E42" s="16" t="s">
        <v>65</v>
      </c>
      <c r="F42" s="16" t="s">
        <v>102</v>
      </c>
      <c r="G42" s="14" t="s">
        <v>223</v>
      </c>
      <c r="H42" s="14" t="s">
        <v>182</v>
      </c>
      <c r="I42" s="14" t="s">
        <v>41</v>
      </c>
      <c r="J42" s="14" t="s">
        <v>42</v>
      </c>
      <c r="K42" s="14" t="s">
        <v>43</v>
      </c>
      <c r="L42" s="14" t="s">
        <v>44</v>
      </c>
      <c r="M42" s="14" t="s">
        <v>43</v>
      </c>
      <c r="N42" s="14" t="s">
        <v>58</v>
      </c>
      <c r="O42" s="14" t="s">
        <v>40</v>
      </c>
      <c r="P42" s="14" t="s">
        <v>108</v>
      </c>
      <c r="Q42" s="14" t="s">
        <v>114</v>
      </c>
      <c r="R42" s="14" t="s">
        <v>45</v>
      </c>
      <c r="S42" s="14" t="s">
        <v>83</v>
      </c>
      <c r="T42" s="14" t="s">
        <v>50</v>
      </c>
      <c r="U42" s="14" t="s">
        <v>53</v>
      </c>
      <c r="V42" s="14" t="s">
        <v>209</v>
      </c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32"/>
      <c r="AI42" s="32" t="s">
        <v>227</v>
      </c>
      <c r="AJ42" s="32"/>
    </row>
    <row r="43" spans="1:36" s="9" customFormat="1" x14ac:dyDescent="0.25">
      <c r="A43" s="1" t="s">
        <v>242</v>
      </c>
      <c r="B43" s="10" t="s">
        <v>234</v>
      </c>
      <c r="C43" s="15" t="s">
        <v>37</v>
      </c>
      <c r="D43" s="15" t="s">
        <v>38</v>
      </c>
      <c r="E43" s="16" t="s">
        <v>65</v>
      </c>
      <c r="F43" s="16" t="s">
        <v>79</v>
      </c>
      <c r="G43" s="14" t="s">
        <v>223</v>
      </c>
      <c r="H43" s="14" t="s">
        <v>51</v>
      </c>
      <c r="I43" s="14" t="s">
        <v>50</v>
      </c>
      <c r="J43" s="14" t="s">
        <v>53</v>
      </c>
      <c r="K43" s="14" t="s">
        <v>69</v>
      </c>
      <c r="L43" s="14" t="s">
        <v>43</v>
      </c>
      <c r="M43" s="14" t="s">
        <v>69</v>
      </c>
      <c r="N43" s="14" t="s">
        <v>235</v>
      </c>
      <c r="O43" s="14" t="s">
        <v>71</v>
      </c>
      <c r="P43" s="14" t="s">
        <v>226</v>
      </c>
      <c r="Q43" s="14" t="s">
        <v>236</v>
      </c>
      <c r="R43" s="14" t="s">
        <v>48</v>
      </c>
      <c r="S43" s="14" t="s">
        <v>206</v>
      </c>
      <c r="T43" s="14" t="s">
        <v>44</v>
      </c>
      <c r="U43" s="14" t="s">
        <v>94</v>
      </c>
      <c r="V43" s="14" t="s">
        <v>237</v>
      </c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32"/>
      <c r="AI43" s="32" t="s">
        <v>227</v>
      </c>
      <c r="AJ43" s="32"/>
    </row>
    <row r="44" spans="1:36" ht="21.75" customHeight="1" x14ac:dyDescent="0.25">
      <c r="A44" s="1" t="s">
        <v>180</v>
      </c>
      <c r="B44" s="2" t="s">
        <v>181</v>
      </c>
      <c r="C44" s="2" t="s">
        <v>130</v>
      </c>
      <c r="D44" s="2" t="s">
        <v>38</v>
      </c>
      <c r="E44" s="29">
        <v>41</v>
      </c>
      <c r="F44" s="29" t="s">
        <v>39</v>
      </c>
      <c r="G44" s="29">
        <v>56</v>
      </c>
      <c r="H44" s="3" t="s">
        <v>182</v>
      </c>
      <c r="I44" s="3" t="s">
        <v>41</v>
      </c>
      <c r="J44" s="3" t="s">
        <v>64</v>
      </c>
      <c r="K44" s="3" t="s">
        <v>183</v>
      </c>
      <c r="L44" s="3" t="s">
        <v>50</v>
      </c>
      <c r="M44" s="3" t="s">
        <v>183</v>
      </c>
      <c r="N44" s="3" t="s">
        <v>99</v>
      </c>
      <c r="O44" s="3" t="s">
        <v>40</v>
      </c>
      <c r="P44" s="3" t="s">
        <v>184</v>
      </c>
      <c r="Q44" s="3" t="s">
        <v>185</v>
      </c>
      <c r="R44" s="3" t="s">
        <v>48</v>
      </c>
      <c r="S44" s="3" t="s">
        <v>83</v>
      </c>
      <c r="T44" s="3" t="s">
        <v>50</v>
      </c>
      <c r="U44" s="3" t="s">
        <v>84</v>
      </c>
      <c r="V44" s="3">
        <v>97</v>
      </c>
      <c r="Y44" s="3" t="s">
        <v>51</v>
      </c>
      <c r="Z44" s="3" t="s">
        <v>112</v>
      </c>
      <c r="AA44" s="3" t="s">
        <v>42</v>
      </c>
      <c r="AB44" s="3" t="s">
        <v>73</v>
      </c>
      <c r="AC44" s="3" t="s">
        <v>185</v>
      </c>
      <c r="AD44" s="3" t="s">
        <v>186</v>
      </c>
      <c r="AE44" s="3" t="s">
        <v>187</v>
      </c>
      <c r="AF44" s="3" t="s">
        <v>82</v>
      </c>
      <c r="AG44" s="3" t="s">
        <v>92</v>
      </c>
    </row>
    <row r="45" spans="1:36" ht="21.75" customHeight="1" x14ac:dyDescent="0.25">
      <c r="A45" s="1" t="s">
        <v>188</v>
      </c>
      <c r="B45" s="2" t="s">
        <v>189</v>
      </c>
      <c r="C45" s="2" t="s">
        <v>130</v>
      </c>
      <c r="D45" s="2" t="s">
        <v>38</v>
      </c>
      <c r="E45" s="29">
        <v>42</v>
      </c>
      <c r="F45" s="29" t="s">
        <v>39</v>
      </c>
      <c r="G45" s="29">
        <v>56</v>
      </c>
      <c r="H45" s="3" t="s">
        <v>40</v>
      </c>
      <c r="I45" s="3" t="s">
        <v>63</v>
      </c>
      <c r="J45" s="3" t="s">
        <v>42</v>
      </c>
      <c r="K45" s="3" t="s">
        <v>43</v>
      </c>
      <c r="L45" s="3" t="s">
        <v>50</v>
      </c>
      <c r="M45" s="3" t="s">
        <v>43</v>
      </c>
      <c r="N45" s="3" t="s">
        <v>99</v>
      </c>
      <c r="O45" s="3" t="s">
        <v>92</v>
      </c>
      <c r="P45" s="3" t="s">
        <v>184</v>
      </c>
      <c r="Q45" s="3" t="s">
        <v>113</v>
      </c>
      <c r="R45" s="3" t="s">
        <v>99</v>
      </c>
      <c r="S45" s="3" t="s">
        <v>83</v>
      </c>
      <c r="T45" s="3" t="s">
        <v>50</v>
      </c>
      <c r="U45" s="3" t="s">
        <v>53</v>
      </c>
      <c r="V45" s="3" t="s">
        <v>105</v>
      </c>
      <c r="Y45" s="3" t="s">
        <v>95</v>
      </c>
      <c r="Z45" s="3" t="s">
        <v>86</v>
      </c>
      <c r="AA45" s="3" t="s">
        <v>42</v>
      </c>
      <c r="AB45" s="3" t="s">
        <v>73</v>
      </c>
      <c r="AC45" s="3" t="s">
        <v>55</v>
      </c>
      <c r="AD45" s="3" t="s">
        <v>186</v>
      </c>
      <c r="AE45" s="3" t="s">
        <v>88</v>
      </c>
      <c r="AF45" s="3" t="s">
        <v>82</v>
      </c>
      <c r="AG45" s="3" t="s">
        <v>92</v>
      </c>
    </row>
    <row r="46" spans="1:36" s="9" customFormat="1" x14ac:dyDescent="0.25">
      <c r="A46" s="1" t="s">
        <v>190</v>
      </c>
      <c r="B46" s="12" t="s">
        <v>191</v>
      </c>
      <c r="C46" s="2" t="s">
        <v>130</v>
      </c>
      <c r="D46" s="12" t="s">
        <v>38</v>
      </c>
      <c r="E46" s="33">
        <v>42</v>
      </c>
      <c r="F46" s="33" t="s">
        <v>79</v>
      </c>
      <c r="G46" s="33">
        <v>59</v>
      </c>
      <c r="H46" s="13">
        <v>50</v>
      </c>
      <c r="I46" s="13">
        <v>27</v>
      </c>
      <c r="J46" s="13">
        <v>22</v>
      </c>
      <c r="K46" s="13">
        <v>34</v>
      </c>
      <c r="L46" s="13">
        <v>34</v>
      </c>
      <c r="M46" s="13">
        <v>34</v>
      </c>
      <c r="N46" s="13">
        <v>76</v>
      </c>
      <c r="O46" s="13">
        <v>48</v>
      </c>
      <c r="P46" s="13">
        <v>116</v>
      </c>
      <c r="Q46" s="14">
        <v>130</v>
      </c>
      <c r="R46" s="13">
        <v>84</v>
      </c>
      <c r="S46" s="13">
        <v>41</v>
      </c>
      <c r="T46" s="13">
        <v>31</v>
      </c>
      <c r="U46" s="13">
        <v>23</v>
      </c>
      <c r="V46" s="13">
        <v>103</v>
      </c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32"/>
      <c r="AI46" s="32">
        <v>2</v>
      </c>
      <c r="AJ46" s="32"/>
    </row>
    <row r="47" spans="1:36" s="9" customFormat="1" x14ac:dyDescent="0.25">
      <c r="A47" s="1" t="s">
        <v>192</v>
      </c>
      <c r="B47" s="12" t="s">
        <v>193</v>
      </c>
      <c r="C47" s="2" t="s">
        <v>130</v>
      </c>
      <c r="D47" s="12" t="s">
        <v>38</v>
      </c>
      <c r="E47" s="33">
        <v>41</v>
      </c>
      <c r="F47" s="33" t="s">
        <v>102</v>
      </c>
      <c r="G47" s="33">
        <v>56</v>
      </c>
      <c r="H47" s="13">
        <v>46</v>
      </c>
      <c r="I47" s="13">
        <v>25</v>
      </c>
      <c r="J47" s="13">
        <v>19</v>
      </c>
      <c r="K47" s="13">
        <v>30</v>
      </c>
      <c r="L47" s="13">
        <v>28</v>
      </c>
      <c r="M47" s="13">
        <v>30</v>
      </c>
      <c r="N47" s="13">
        <v>74</v>
      </c>
      <c r="O47" s="13">
        <v>40</v>
      </c>
      <c r="P47" s="13">
        <v>92</v>
      </c>
      <c r="Q47" s="14">
        <v>106</v>
      </c>
      <c r="R47" s="13">
        <v>74</v>
      </c>
      <c r="S47" s="13">
        <v>35</v>
      </c>
      <c r="T47" s="13">
        <v>27</v>
      </c>
      <c r="U47" s="13">
        <v>20</v>
      </c>
      <c r="V47" s="13">
        <v>98</v>
      </c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32"/>
      <c r="AI47" s="32">
        <v>2</v>
      </c>
      <c r="AJ47" s="32"/>
    </row>
    <row r="48" spans="1:36" s="9" customFormat="1" x14ac:dyDescent="0.25">
      <c r="A48" s="1" t="s">
        <v>194</v>
      </c>
      <c r="B48" s="12" t="s">
        <v>195</v>
      </c>
      <c r="C48" s="2" t="s">
        <v>130</v>
      </c>
      <c r="D48" s="12" t="s">
        <v>38</v>
      </c>
      <c r="E48" s="33">
        <v>40</v>
      </c>
      <c r="F48" s="33" t="s">
        <v>102</v>
      </c>
      <c r="G48" s="33">
        <v>55</v>
      </c>
      <c r="H48" s="13">
        <v>49</v>
      </c>
      <c r="I48" s="13">
        <v>27</v>
      </c>
      <c r="J48" s="13">
        <v>20</v>
      </c>
      <c r="K48" s="13">
        <v>32</v>
      </c>
      <c r="L48" s="13">
        <v>30</v>
      </c>
      <c r="M48" s="13">
        <v>32</v>
      </c>
      <c r="N48" s="13">
        <v>70</v>
      </c>
      <c r="O48" s="13">
        <v>40</v>
      </c>
      <c r="P48" s="13">
        <v>102</v>
      </c>
      <c r="Q48" s="14">
        <v>117</v>
      </c>
      <c r="R48" s="13">
        <v>74</v>
      </c>
      <c r="S48" s="13">
        <v>37</v>
      </c>
      <c r="T48" s="13">
        <v>27</v>
      </c>
      <c r="U48" s="13">
        <v>22</v>
      </c>
      <c r="V48" s="13">
        <v>94</v>
      </c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32"/>
      <c r="AI48" s="32">
        <v>2</v>
      </c>
      <c r="AJ48" s="32"/>
    </row>
    <row r="49" spans="1:36" x14ac:dyDescent="0.25">
      <c r="A49" s="1" t="s">
        <v>196</v>
      </c>
      <c r="B49" s="9" t="s">
        <v>197</v>
      </c>
      <c r="C49" s="10" t="s">
        <v>130</v>
      </c>
      <c r="D49" s="12" t="s">
        <v>38</v>
      </c>
      <c r="E49" s="31">
        <v>43</v>
      </c>
      <c r="F49" s="31" t="s">
        <v>39</v>
      </c>
      <c r="G49" s="31">
        <v>58</v>
      </c>
      <c r="H49" s="16">
        <v>48</v>
      </c>
      <c r="I49" s="16">
        <v>26</v>
      </c>
      <c r="J49" s="16">
        <v>20</v>
      </c>
      <c r="K49" s="16">
        <v>32</v>
      </c>
      <c r="L49" s="16">
        <v>30</v>
      </c>
      <c r="M49" s="16">
        <v>32</v>
      </c>
      <c r="N49" s="16">
        <v>75</v>
      </c>
      <c r="O49" s="16">
        <v>45</v>
      </c>
      <c r="P49" s="16">
        <v>105</v>
      </c>
      <c r="Q49" s="16">
        <v>120</v>
      </c>
      <c r="R49" s="16">
        <v>74</v>
      </c>
      <c r="S49" s="16">
        <v>37</v>
      </c>
      <c r="T49" s="16">
        <v>28</v>
      </c>
      <c r="U49" s="16">
        <v>23</v>
      </c>
      <c r="V49" s="16">
        <v>105</v>
      </c>
      <c r="AI49" s="32">
        <v>2</v>
      </c>
    </row>
    <row r="50" spans="1:36" x14ac:dyDescent="0.25">
      <c r="A50" s="1" t="s">
        <v>198</v>
      </c>
      <c r="B50" s="9" t="s">
        <v>199</v>
      </c>
      <c r="C50" s="10" t="s">
        <v>130</v>
      </c>
      <c r="D50" s="12" t="s">
        <v>38</v>
      </c>
      <c r="E50" s="31">
        <v>42</v>
      </c>
      <c r="F50" s="31" t="s">
        <v>102</v>
      </c>
      <c r="G50" s="31">
        <v>56</v>
      </c>
      <c r="H50" s="16">
        <v>46</v>
      </c>
      <c r="I50" s="16">
        <v>25</v>
      </c>
      <c r="J50" s="16">
        <v>19</v>
      </c>
      <c r="K50" s="16">
        <v>31</v>
      </c>
      <c r="L50" s="16">
        <v>29</v>
      </c>
      <c r="M50" s="16">
        <v>31</v>
      </c>
      <c r="N50" s="16">
        <v>72</v>
      </c>
      <c r="O50" s="16">
        <v>41</v>
      </c>
      <c r="P50" s="16">
        <v>92</v>
      </c>
      <c r="Q50" s="16">
        <v>112</v>
      </c>
      <c r="R50" s="16">
        <v>68</v>
      </c>
      <c r="S50" s="16">
        <v>35</v>
      </c>
      <c r="T50" s="16">
        <v>26</v>
      </c>
      <c r="U50" s="16">
        <v>21</v>
      </c>
      <c r="V50" s="16">
        <v>100</v>
      </c>
      <c r="AI50" s="32">
        <v>2</v>
      </c>
    </row>
    <row r="51" spans="1:36" x14ac:dyDescent="0.25">
      <c r="A51" s="1" t="s">
        <v>200</v>
      </c>
      <c r="B51" s="2" t="s">
        <v>201</v>
      </c>
      <c r="C51" s="15" t="s">
        <v>130</v>
      </c>
      <c r="D51" s="12" t="s">
        <v>38</v>
      </c>
      <c r="E51" s="16" t="s">
        <v>62</v>
      </c>
      <c r="F51" s="16" t="s">
        <v>61</v>
      </c>
      <c r="G51" s="16">
        <v>54</v>
      </c>
      <c r="H51" s="16">
        <v>42</v>
      </c>
      <c r="I51" s="16">
        <v>25</v>
      </c>
      <c r="J51" s="16">
        <v>17</v>
      </c>
      <c r="K51" s="16">
        <v>27</v>
      </c>
      <c r="L51" s="16">
        <v>25</v>
      </c>
      <c r="M51" s="16">
        <v>27</v>
      </c>
      <c r="N51" s="16">
        <v>67</v>
      </c>
      <c r="O51" s="16">
        <v>41</v>
      </c>
      <c r="P51" s="16">
        <v>82</v>
      </c>
      <c r="Q51" s="16">
        <v>102</v>
      </c>
      <c r="R51" s="16">
        <v>66</v>
      </c>
      <c r="S51" s="16">
        <v>31</v>
      </c>
      <c r="T51" s="16">
        <v>24</v>
      </c>
      <c r="U51" s="16">
        <v>20</v>
      </c>
      <c r="V51" s="16">
        <v>95</v>
      </c>
      <c r="W51" s="16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>
        <v>3</v>
      </c>
      <c r="AJ51" s="11"/>
    </row>
    <row r="52" spans="1:36" s="9" customFormat="1" x14ac:dyDescent="0.25">
      <c r="A52" s="1" t="s">
        <v>202</v>
      </c>
      <c r="B52" s="10" t="s">
        <v>203</v>
      </c>
      <c r="C52" s="15" t="s">
        <v>130</v>
      </c>
      <c r="D52" s="15" t="s">
        <v>38</v>
      </c>
      <c r="E52" s="16">
        <v>40</v>
      </c>
      <c r="F52" s="16" t="s">
        <v>102</v>
      </c>
      <c r="G52" s="14" t="s">
        <v>204</v>
      </c>
      <c r="H52" s="14" t="s">
        <v>65</v>
      </c>
      <c r="I52" s="14" t="s">
        <v>205</v>
      </c>
      <c r="J52" s="14" t="s">
        <v>64</v>
      </c>
      <c r="K52" s="14" t="s">
        <v>44</v>
      </c>
      <c r="L52" s="14" t="s">
        <v>41</v>
      </c>
      <c r="M52" s="14" t="s">
        <v>44</v>
      </c>
      <c r="N52" s="14" t="s">
        <v>106</v>
      </c>
      <c r="O52" s="14" t="s">
        <v>206</v>
      </c>
      <c r="P52" s="14" t="s">
        <v>207</v>
      </c>
      <c r="Q52" s="14" t="s">
        <v>56</v>
      </c>
      <c r="R52" s="14" t="s">
        <v>208</v>
      </c>
      <c r="S52" s="14" t="s">
        <v>83</v>
      </c>
      <c r="T52" s="14" t="s">
        <v>50</v>
      </c>
      <c r="U52" s="14" t="s">
        <v>53</v>
      </c>
      <c r="V52" s="14" t="s">
        <v>209</v>
      </c>
      <c r="W52" s="13"/>
      <c r="X52" s="13"/>
      <c r="Y52" s="13">
        <v>45</v>
      </c>
      <c r="Z52" s="13">
        <v>54</v>
      </c>
      <c r="AA52" s="13">
        <v>19</v>
      </c>
      <c r="AB52" s="13">
        <v>14</v>
      </c>
      <c r="AC52" s="13">
        <v>99</v>
      </c>
      <c r="AD52" s="13">
        <v>96</v>
      </c>
      <c r="AE52" s="13">
        <v>109</v>
      </c>
      <c r="AF52" s="13">
        <v>70</v>
      </c>
      <c r="AG52" s="13">
        <v>37</v>
      </c>
      <c r="AH52" s="32"/>
      <c r="AI52" s="13" t="s">
        <v>221</v>
      </c>
      <c r="AJ52" s="32"/>
    </row>
    <row r="53" spans="1:36" x14ac:dyDescent="0.25">
      <c r="A53" s="1" t="s">
        <v>243</v>
      </c>
      <c r="B53" s="10" t="s">
        <v>224</v>
      </c>
      <c r="C53" s="15" t="s">
        <v>130</v>
      </c>
      <c r="D53" s="15" t="s">
        <v>38</v>
      </c>
      <c r="E53" s="16" t="s">
        <v>92</v>
      </c>
      <c r="F53" s="16" t="s">
        <v>39</v>
      </c>
      <c r="G53" s="29" t="s">
        <v>225</v>
      </c>
      <c r="H53" s="3" t="s">
        <v>182</v>
      </c>
      <c r="I53" s="3" t="s">
        <v>63</v>
      </c>
      <c r="J53" s="3" t="s">
        <v>42</v>
      </c>
      <c r="K53" s="3" t="s">
        <v>43</v>
      </c>
      <c r="L53" s="3" t="s">
        <v>44</v>
      </c>
      <c r="M53" s="3" t="s">
        <v>43</v>
      </c>
      <c r="N53" s="3" t="s">
        <v>89</v>
      </c>
      <c r="O53" s="3" t="s">
        <v>40</v>
      </c>
      <c r="P53" s="3" t="s">
        <v>75</v>
      </c>
      <c r="Q53" s="3" t="s">
        <v>113</v>
      </c>
      <c r="R53" s="3" t="s">
        <v>58</v>
      </c>
      <c r="S53" s="3" t="s">
        <v>49</v>
      </c>
      <c r="T53" s="3" t="s">
        <v>183</v>
      </c>
      <c r="U53" s="3" t="s">
        <v>94</v>
      </c>
      <c r="V53" s="3" t="s">
        <v>226</v>
      </c>
      <c r="AI53" s="30" t="s">
        <v>227</v>
      </c>
    </row>
    <row r="54" spans="1:36" x14ac:dyDescent="0.25">
      <c r="A54" s="1" t="s">
        <v>244</v>
      </c>
      <c r="B54" s="2" t="s">
        <v>254</v>
      </c>
      <c r="C54" s="15" t="s">
        <v>130</v>
      </c>
      <c r="D54" s="15" t="s">
        <v>38</v>
      </c>
      <c r="E54" s="29" t="s">
        <v>40</v>
      </c>
      <c r="F54" s="29" t="s">
        <v>39</v>
      </c>
      <c r="G54" s="29" t="s">
        <v>52</v>
      </c>
      <c r="H54" s="3" t="s">
        <v>85</v>
      </c>
      <c r="I54" s="3" t="s">
        <v>41</v>
      </c>
      <c r="J54" s="3" t="s">
        <v>42</v>
      </c>
      <c r="K54" s="3" t="s">
        <v>111</v>
      </c>
      <c r="L54" s="3" t="s">
        <v>183</v>
      </c>
      <c r="M54" s="3" t="s">
        <v>111</v>
      </c>
      <c r="N54" s="3" t="s">
        <v>89</v>
      </c>
      <c r="O54" s="3" t="s">
        <v>182</v>
      </c>
      <c r="P54" s="3" t="s">
        <v>93</v>
      </c>
      <c r="Q54" s="3" t="s">
        <v>55</v>
      </c>
      <c r="R54" s="3" t="s">
        <v>48</v>
      </c>
      <c r="S54" s="3" t="s">
        <v>83</v>
      </c>
      <c r="T54" s="3" t="s">
        <v>63</v>
      </c>
      <c r="U54" s="3" t="s">
        <v>94</v>
      </c>
      <c r="V54" s="3" t="s">
        <v>87</v>
      </c>
      <c r="AI54" s="30" t="s">
        <v>267</v>
      </c>
    </row>
    <row r="55" spans="1:36" x14ac:dyDescent="0.25">
      <c r="A55" s="1" t="s">
        <v>245</v>
      </c>
      <c r="B55" s="2" t="s">
        <v>255</v>
      </c>
      <c r="C55" s="15" t="s">
        <v>130</v>
      </c>
      <c r="D55" s="15" t="s">
        <v>38</v>
      </c>
      <c r="E55" s="29" t="s">
        <v>40</v>
      </c>
      <c r="F55" s="29" t="s">
        <v>39</v>
      </c>
      <c r="G55" s="29" t="s">
        <v>223</v>
      </c>
      <c r="H55" s="3" t="s">
        <v>182</v>
      </c>
      <c r="I55" s="3" t="s">
        <v>63</v>
      </c>
      <c r="J55" s="3" t="s">
        <v>42</v>
      </c>
      <c r="K55" s="3" t="s">
        <v>43</v>
      </c>
      <c r="L55" s="3" t="s">
        <v>44</v>
      </c>
      <c r="M55" s="3" t="s">
        <v>43</v>
      </c>
      <c r="N55" s="3" t="s">
        <v>106</v>
      </c>
      <c r="O55" s="3" t="s">
        <v>182</v>
      </c>
      <c r="P55" s="3" t="s">
        <v>108</v>
      </c>
      <c r="Q55" s="3" t="s">
        <v>81</v>
      </c>
      <c r="R55" s="3" t="s">
        <v>45</v>
      </c>
      <c r="S55" s="3" t="s">
        <v>83</v>
      </c>
      <c r="T55" s="3" t="s">
        <v>63</v>
      </c>
      <c r="U55" s="3" t="s">
        <v>63</v>
      </c>
      <c r="V55" s="3" t="s">
        <v>93</v>
      </c>
      <c r="AI55" s="30" t="s">
        <v>267</v>
      </c>
    </row>
    <row r="56" spans="1:36" x14ac:dyDescent="0.25">
      <c r="A56" s="1" t="s">
        <v>246</v>
      </c>
      <c r="B56" s="2" t="s">
        <v>256</v>
      </c>
      <c r="C56" s="15" t="s">
        <v>130</v>
      </c>
      <c r="D56" s="15" t="s">
        <v>38</v>
      </c>
      <c r="E56" s="29" t="s">
        <v>62</v>
      </c>
      <c r="F56" s="29" t="s">
        <v>102</v>
      </c>
      <c r="G56" s="29" t="s">
        <v>204</v>
      </c>
      <c r="H56" s="3" t="s">
        <v>182</v>
      </c>
      <c r="I56" s="3" t="s">
        <v>63</v>
      </c>
      <c r="J56" s="3" t="s">
        <v>72</v>
      </c>
      <c r="K56" s="3" t="s">
        <v>183</v>
      </c>
      <c r="L56" s="3" t="s">
        <v>63</v>
      </c>
      <c r="M56" s="3" t="s">
        <v>183</v>
      </c>
      <c r="N56" s="3" t="s">
        <v>58</v>
      </c>
      <c r="O56" s="3" t="s">
        <v>92</v>
      </c>
      <c r="P56" s="3" t="s">
        <v>104</v>
      </c>
      <c r="Q56" s="3" t="s">
        <v>226</v>
      </c>
      <c r="R56" s="3" t="s">
        <v>231</v>
      </c>
      <c r="S56" s="3" t="s">
        <v>107</v>
      </c>
      <c r="T56" s="3" t="s">
        <v>63</v>
      </c>
      <c r="U56" s="3" t="s">
        <v>84</v>
      </c>
      <c r="V56" s="3" t="s">
        <v>67</v>
      </c>
      <c r="AI56" s="30" t="s">
        <v>267</v>
      </c>
    </row>
    <row r="57" spans="1:36" x14ac:dyDescent="0.25">
      <c r="A57" s="1" t="s">
        <v>247</v>
      </c>
      <c r="B57" s="2" t="s">
        <v>257</v>
      </c>
      <c r="C57" s="15" t="s">
        <v>130</v>
      </c>
      <c r="D57" s="15" t="s">
        <v>38</v>
      </c>
      <c r="E57" s="29" t="s">
        <v>92</v>
      </c>
      <c r="F57" s="29" t="s">
        <v>102</v>
      </c>
      <c r="G57" s="29" t="s">
        <v>112</v>
      </c>
      <c r="H57" s="3" t="s">
        <v>71</v>
      </c>
      <c r="I57" s="3" t="s">
        <v>205</v>
      </c>
      <c r="J57" s="3" t="s">
        <v>42</v>
      </c>
      <c r="K57" s="3" t="s">
        <v>111</v>
      </c>
      <c r="L57" s="3" t="s">
        <v>183</v>
      </c>
      <c r="M57" s="3" t="s">
        <v>111</v>
      </c>
      <c r="N57" s="3" t="s">
        <v>48</v>
      </c>
      <c r="O57" s="3" t="s">
        <v>71</v>
      </c>
      <c r="P57" s="3" t="s">
        <v>93</v>
      </c>
      <c r="Q57" s="3" t="s">
        <v>97</v>
      </c>
      <c r="R57" s="3" t="s">
        <v>106</v>
      </c>
      <c r="S57" s="3" t="s">
        <v>49</v>
      </c>
      <c r="T57" s="3" t="s">
        <v>50</v>
      </c>
      <c r="U57" s="3" t="s">
        <v>94</v>
      </c>
      <c r="V57" s="3" t="s">
        <v>108</v>
      </c>
      <c r="AI57" s="30" t="s">
        <v>267</v>
      </c>
    </row>
    <row r="58" spans="1:36" x14ac:dyDescent="0.25">
      <c r="A58" s="1" t="s">
        <v>248</v>
      </c>
      <c r="B58" s="2" t="s">
        <v>258</v>
      </c>
      <c r="C58" s="15" t="s">
        <v>130</v>
      </c>
      <c r="D58" s="15" t="s">
        <v>38</v>
      </c>
      <c r="E58" s="29" t="s">
        <v>65</v>
      </c>
      <c r="F58" s="29" t="s">
        <v>102</v>
      </c>
      <c r="G58" s="29" t="s">
        <v>52</v>
      </c>
      <c r="H58" s="3" t="s">
        <v>182</v>
      </c>
      <c r="I58" s="3" t="s">
        <v>205</v>
      </c>
      <c r="J58" s="3" t="s">
        <v>72</v>
      </c>
      <c r="K58" s="3" t="s">
        <v>183</v>
      </c>
      <c r="L58" s="3" t="s">
        <v>50</v>
      </c>
      <c r="M58" s="3" t="s">
        <v>183</v>
      </c>
      <c r="N58" s="3" t="s">
        <v>48</v>
      </c>
      <c r="O58" s="3" t="s">
        <v>92</v>
      </c>
      <c r="P58" s="3" t="s">
        <v>260</v>
      </c>
      <c r="Q58" s="3" t="s">
        <v>56</v>
      </c>
      <c r="R58" s="3" t="s">
        <v>208</v>
      </c>
      <c r="S58" s="3" t="s">
        <v>232</v>
      </c>
      <c r="T58" s="3" t="s">
        <v>63</v>
      </c>
      <c r="U58" s="3" t="s">
        <v>84</v>
      </c>
      <c r="V58" s="3" t="s">
        <v>108</v>
      </c>
      <c r="AI58" s="30" t="s">
        <v>267</v>
      </c>
    </row>
    <row r="59" spans="1:36" x14ac:dyDescent="0.25">
      <c r="A59" s="1" t="s">
        <v>249</v>
      </c>
      <c r="B59" s="2" t="s">
        <v>261</v>
      </c>
      <c r="C59" s="15" t="s">
        <v>130</v>
      </c>
      <c r="D59" s="15" t="s">
        <v>38</v>
      </c>
      <c r="E59" s="29" t="s">
        <v>65</v>
      </c>
      <c r="F59" s="29" t="s">
        <v>102</v>
      </c>
      <c r="G59" s="29" t="s">
        <v>112</v>
      </c>
      <c r="H59" s="29" t="s">
        <v>92</v>
      </c>
      <c r="I59" s="29" t="s">
        <v>41</v>
      </c>
      <c r="J59" s="29" t="s">
        <v>64</v>
      </c>
      <c r="K59" s="3" t="s">
        <v>44</v>
      </c>
      <c r="L59" s="3" t="s">
        <v>63</v>
      </c>
      <c r="M59" s="3" t="s">
        <v>44</v>
      </c>
      <c r="N59" s="3" t="s">
        <v>58</v>
      </c>
      <c r="O59" s="3" t="s">
        <v>92</v>
      </c>
      <c r="P59" s="3" t="s">
        <v>207</v>
      </c>
      <c r="Q59" s="3" t="s">
        <v>237</v>
      </c>
      <c r="R59" s="3" t="s">
        <v>68</v>
      </c>
      <c r="S59" s="3" t="s">
        <v>107</v>
      </c>
      <c r="T59" s="3" t="s">
        <v>63</v>
      </c>
      <c r="U59" s="3" t="s">
        <v>94</v>
      </c>
      <c r="V59" s="3" t="s">
        <v>74</v>
      </c>
      <c r="AI59" s="30" t="s">
        <v>267</v>
      </c>
    </row>
    <row r="60" spans="1:36" x14ac:dyDescent="0.25">
      <c r="A60" s="1" t="s">
        <v>250</v>
      </c>
      <c r="B60" s="2" t="s">
        <v>262</v>
      </c>
      <c r="C60" s="15" t="s">
        <v>130</v>
      </c>
      <c r="D60" s="15" t="s">
        <v>38</v>
      </c>
      <c r="E60" s="29">
        <v>42</v>
      </c>
      <c r="F60" s="29" t="s">
        <v>39</v>
      </c>
      <c r="G60" s="29">
        <v>56</v>
      </c>
      <c r="H60" s="3" t="s">
        <v>40</v>
      </c>
      <c r="I60" s="3" t="s">
        <v>63</v>
      </c>
      <c r="J60" s="3" t="s">
        <v>42</v>
      </c>
      <c r="K60" s="3" t="s">
        <v>43</v>
      </c>
      <c r="L60" s="3" t="s">
        <v>50</v>
      </c>
      <c r="M60" s="3" t="s">
        <v>43</v>
      </c>
      <c r="N60" s="3" t="s">
        <v>99</v>
      </c>
      <c r="O60" s="3" t="s">
        <v>92</v>
      </c>
      <c r="P60" s="3" t="s">
        <v>184</v>
      </c>
      <c r="Q60" s="3" t="s">
        <v>113</v>
      </c>
      <c r="R60" s="3" t="s">
        <v>99</v>
      </c>
      <c r="S60" s="3" t="s">
        <v>83</v>
      </c>
      <c r="T60" s="3" t="s">
        <v>50</v>
      </c>
      <c r="U60" s="3" t="s">
        <v>53</v>
      </c>
      <c r="V60" s="3" t="s">
        <v>105</v>
      </c>
      <c r="Y60" s="3" t="s">
        <v>95</v>
      </c>
      <c r="Z60" s="3" t="s">
        <v>86</v>
      </c>
      <c r="AA60" s="3" t="s">
        <v>42</v>
      </c>
      <c r="AB60" s="3" t="s">
        <v>73</v>
      </c>
      <c r="AC60" s="3" t="s">
        <v>55</v>
      </c>
      <c r="AD60" s="3" t="s">
        <v>186</v>
      </c>
      <c r="AE60" s="3" t="s">
        <v>88</v>
      </c>
      <c r="AF60" s="3" t="s">
        <v>82</v>
      </c>
      <c r="AG60" s="3" t="s">
        <v>92</v>
      </c>
      <c r="AI60" s="30" t="s">
        <v>267</v>
      </c>
    </row>
    <row r="61" spans="1:36" x14ac:dyDescent="0.25">
      <c r="A61" s="1" t="s">
        <v>251</v>
      </c>
      <c r="B61" s="2" t="s">
        <v>263</v>
      </c>
      <c r="C61" s="15" t="s">
        <v>130</v>
      </c>
      <c r="D61" s="15" t="s">
        <v>38</v>
      </c>
      <c r="E61" s="29" t="s">
        <v>92</v>
      </c>
      <c r="F61" s="29" t="s">
        <v>102</v>
      </c>
      <c r="G61" s="29" t="s">
        <v>112</v>
      </c>
      <c r="H61" s="3" t="s">
        <v>182</v>
      </c>
      <c r="I61" s="3" t="s">
        <v>50</v>
      </c>
      <c r="J61" s="3" t="s">
        <v>72</v>
      </c>
      <c r="K61" s="3" t="s">
        <v>183</v>
      </c>
      <c r="L61" s="3" t="s">
        <v>50</v>
      </c>
      <c r="M61" s="3" t="s">
        <v>183</v>
      </c>
      <c r="N61" s="3" t="s">
        <v>259</v>
      </c>
      <c r="O61" s="3" t="s">
        <v>182</v>
      </c>
      <c r="P61" s="3" t="s">
        <v>266</v>
      </c>
      <c r="Q61" s="3" t="s">
        <v>67</v>
      </c>
      <c r="R61" s="3" t="s">
        <v>45</v>
      </c>
      <c r="S61" s="3" t="s">
        <v>83</v>
      </c>
      <c r="T61" s="3" t="s">
        <v>63</v>
      </c>
      <c r="U61" s="3" t="s">
        <v>94</v>
      </c>
      <c r="V61" s="3" t="s">
        <v>67</v>
      </c>
      <c r="AI61" s="30" t="s">
        <v>267</v>
      </c>
    </row>
    <row r="62" spans="1:36" x14ac:dyDescent="0.25">
      <c r="A62" s="1" t="s">
        <v>252</v>
      </c>
      <c r="B62" s="2" t="s">
        <v>264</v>
      </c>
      <c r="C62" s="15" t="s">
        <v>130</v>
      </c>
      <c r="D62" s="15" t="s">
        <v>38</v>
      </c>
      <c r="E62" s="29" t="s">
        <v>65</v>
      </c>
      <c r="F62" s="29" t="s">
        <v>39</v>
      </c>
      <c r="G62" s="29" t="s">
        <v>52</v>
      </c>
      <c r="H62" s="3" t="s">
        <v>85</v>
      </c>
      <c r="I62" s="3" t="s">
        <v>50</v>
      </c>
      <c r="J62" s="3" t="s">
        <v>53</v>
      </c>
      <c r="K62" s="3" t="s">
        <v>69</v>
      </c>
      <c r="L62" s="3" t="s">
        <v>43</v>
      </c>
      <c r="M62" s="3" t="s">
        <v>69</v>
      </c>
      <c r="N62" s="3" t="s">
        <v>89</v>
      </c>
      <c r="O62" s="3" t="s">
        <v>51</v>
      </c>
      <c r="P62" s="3" t="s">
        <v>105</v>
      </c>
      <c r="Q62" s="3" t="s">
        <v>113</v>
      </c>
      <c r="R62" s="3" t="s">
        <v>235</v>
      </c>
      <c r="S62" s="3" t="s">
        <v>206</v>
      </c>
      <c r="T62" s="3" t="s">
        <v>50</v>
      </c>
      <c r="U62" s="3" t="s">
        <v>84</v>
      </c>
      <c r="V62" s="3" t="s">
        <v>108</v>
      </c>
      <c r="AI62" s="30" t="s">
        <v>267</v>
      </c>
    </row>
    <row r="63" spans="1:36" x14ac:dyDescent="0.25">
      <c r="A63" s="1" t="s">
        <v>253</v>
      </c>
      <c r="B63" s="2" t="s">
        <v>265</v>
      </c>
      <c r="C63" s="15" t="s">
        <v>130</v>
      </c>
      <c r="D63" s="15" t="s">
        <v>38</v>
      </c>
      <c r="E63" s="29" t="s">
        <v>92</v>
      </c>
      <c r="F63" s="29" t="s">
        <v>102</v>
      </c>
      <c r="G63" s="29" t="s">
        <v>52</v>
      </c>
      <c r="H63" s="3" t="s">
        <v>182</v>
      </c>
      <c r="I63" s="3" t="s">
        <v>41</v>
      </c>
      <c r="J63" s="3" t="s">
        <v>72</v>
      </c>
      <c r="K63" s="3" t="s">
        <v>183</v>
      </c>
      <c r="L63" s="3" t="s">
        <v>50</v>
      </c>
      <c r="M63" s="3" t="s">
        <v>183</v>
      </c>
      <c r="N63" s="3" t="s">
        <v>89</v>
      </c>
      <c r="O63" s="3" t="s">
        <v>40</v>
      </c>
      <c r="P63" s="3" t="s">
        <v>260</v>
      </c>
      <c r="Q63" s="3" t="s">
        <v>56</v>
      </c>
      <c r="R63" s="3" t="s">
        <v>106</v>
      </c>
      <c r="S63" s="3" t="s">
        <v>83</v>
      </c>
      <c r="T63" s="3" t="s">
        <v>63</v>
      </c>
      <c r="U63" s="3" t="s">
        <v>53</v>
      </c>
      <c r="V63" s="3" t="s">
        <v>108</v>
      </c>
      <c r="AI63" s="30" t="s">
        <v>267</v>
      </c>
    </row>
  </sheetData>
  <phoneticPr fontId="4" type="noConversion"/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MJ16"/>
  <sheetViews>
    <sheetView zoomScale="60" zoomScaleNormal="60" workbookViewId="0">
      <selection activeCell="J13" sqref="J13"/>
    </sheetView>
  </sheetViews>
  <sheetFormatPr defaultColWidth="7.140625" defaultRowHeight="15" x14ac:dyDescent="0.2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7.140625" style="3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7" width="7.140625" style="5"/>
    <col min="18" max="18" width="4.42578125" style="5" customWidth="1"/>
    <col min="19" max="19" width="11.42578125" style="5" customWidth="1"/>
    <col min="20" max="20" width="15.5703125" style="5" customWidth="1"/>
    <col min="21" max="1021" width="7.140625" style="5"/>
    <col min="1022" max="1024" width="9.140625" style="9" customWidth="1"/>
  </cols>
  <sheetData>
    <row r="1" spans="1:34" s="1" customFormat="1" x14ac:dyDescent="0.25">
      <c r="A1" s="38" t="s">
        <v>210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</row>
    <row r="2" spans="1:34" s="5" customFormat="1" ht="16.5" customHeight="1" x14ac:dyDescent="0.25">
      <c r="K2" s="4"/>
    </row>
    <row r="3" spans="1:34" s="5" customFormat="1" ht="21.75" customHeight="1" x14ac:dyDescent="0.25">
      <c r="A3" s="39" t="s">
        <v>4</v>
      </c>
      <c r="B3" s="39"/>
      <c r="C3" s="39"/>
      <c r="E3" s="38" t="s">
        <v>5</v>
      </c>
      <c r="F3" s="38"/>
      <c r="G3" s="17"/>
      <c r="H3" s="17"/>
      <c r="I3" s="38" t="s">
        <v>211</v>
      </c>
      <c r="J3" s="38"/>
      <c r="K3" s="18"/>
      <c r="L3" s="19" t="s">
        <v>212</v>
      </c>
      <c r="M3" s="19" t="s">
        <v>213</v>
      </c>
    </row>
    <row r="4" spans="1:34" ht="21.75" customHeight="1" x14ac:dyDescent="0.25">
      <c r="A4" s="6" t="s">
        <v>214</v>
      </c>
      <c r="B4" s="6" t="s">
        <v>215</v>
      </c>
      <c r="C4" s="6" t="s">
        <v>213</v>
      </c>
      <c r="E4" s="6" t="s">
        <v>5</v>
      </c>
      <c r="F4" s="6" t="s">
        <v>213</v>
      </c>
      <c r="G4" s="5"/>
      <c r="H4" s="5"/>
      <c r="I4" s="6">
        <v>52</v>
      </c>
      <c r="J4" s="6">
        <f>COUNTIF(SEMUA!$G$2:$G$59,I4)</f>
        <v>0</v>
      </c>
      <c r="K4" s="18"/>
      <c r="L4" s="2" t="s">
        <v>130</v>
      </c>
      <c r="M4" s="6">
        <f>COUNTIF(SEMUA!$C$2:$C$59,REKAP!L4)</f>
        <v>17</v>
      </c>
    </row>
    <row r="5" spans="1:34" ht="21.75" customHeight="1" x14ac:dyDescent="0.25">
      <c r="A5" s="6">
        <v>37</v>
      </c>
      <c r="B5" s="6"/>
      <c r="C5" s="6">
        <f>COUNTIF(SEMUA!$E$2:$E$59,REKAP!A5)</f>
        <v>0</v>
      </c>
      <c r="E5" s="1" t="s">
        <v>216</v>
      </c>
      <c r="F5" s="6">
        <f>COUNTIF(SEMUA!$F$2:$F$59,E5)</f>
        <v>0</v>
      </c>
      <c r="G5" s="5"/>
      <c r="H5" s="5"/>
      <c r="I5" s="6">
        <v>53</v>
      </c>
      <c r="J5" s="6">
        <f>COUNTIF(SEMUA!$G$2:$G$59,I5)</f>
        <v>1</v>
      </c>
      <c r="K5" s="18"/>
      <c r="L5" s="5" t="s">
        <v>37</v>
      </c>
      <c r="M5" s="6">
        <f>COUNTIF(SEMUA!$C$2:$C$59,REKAP!L5)</f>
        <v>39</v>
      </c>
    </row>
    <row r="6" spans="1:34" ht="21.75" customHeight="1" x14ac:dyDescent="0.25">
      <c r="A6" s="6">
        <v>38</v>
      </c>
      <c r="B6" s="6"/>
      <c r="C6" s="6">
        <f>COUNTIF(SEMUA!$E$2:$E$59,REKAP!A6)</f>
        <v>0</v>
      </c>
      <c r="D6" s="1"/>
      <c r="E6" s="6" t="s">
        <v>61</v>
      </c>
      <c r="F6" s="6">
        <f>COUNTIF(SEMUA!$F$2:$F$59,E6)</f>
        <v>8</v>
      </c>
      <c r="G6" s="5"/>
      <c r="H6" s="5"/>
      <c r="I6" s="6">
        <v>54</v>
      </c>
      <c r="J6" s="6">
        <f>COUNTIF(SEMUA!$G$2:$G$59,I6)</f>
        <v>4</v>
      </c>
      <c r="K6" s="18"/>
      <c r="L6" s="2"/>
      <c r="M6" s="6"/>
    </row>
    <row r="7" spans="1:34" ht="21.75" customHeight="1" x14ac:dyDescent="0.25">
      <c r="A7" s="6">
        <v>39</v>
      </c>
      <c r="B7" s="6" t="e">
        <f>COUNTIF(SEMUA!#REF!,A7)</f>
        <v>#REF!</v>
      </c>
      <c r="C7" s="6">
        <f>COUNTIF(SEMUA!$E$2:$E$59,REKAP!A7)</f>
        <v>0</v>
      </c>
      <c r="D7" s="1"/>
      <c r="E7" s="6" t="s">
        <v>102</v>
      </c>
      <c r="F7" s="6">
        <f>COUNTIF(SEMUA!$F$2:$F$59,E7)</f>
        <v>19</v>
      </c>
      <c r="G7" s="5"/>
      <c r="H7" s="5"/>
      <c r="I7" s="6">
        <v>55</v>
      </c>
      <c r="J7" s="6">
        <f>COUNTIF(SEMUA!$G$2:$G$59,I7)</f>
        <v>9</v>
      </c>
      <c r="K7" s="18"/>
      <c r="M7" s="6"/>
    </row>
    <row r="8" spans="1:34" ht="21.75" customHeight="1" x14ac:dyDescent="0.25">
      <c r="A8" s="6">
        <v>40</v>
      </c>
      <c r="B8" s="6" t="e">
        <f>COUNTIF(SEMUA!#REF!,A8)</f>
        <v>#REF!</v>
      </c>
      <c r="C8" s="6">
        <f>COUNTIF(SEMUA!$E$2:$E$59,REKAP!A8)</f>
        <v>10</v>
      </c>
      <c r="D8" s="1"/>
      <c r="E8" s="6" t="s">
        <v>39</v>
      </c>
      <c r="F8" s="6">
        <f>COUNTIF(SEMUA!$F$2:$F$59,E8)</f>
        <v>18</v>
      </c>
      <c r="G8" s="5"/>
      <c r="H8" s="5"/>
      <c r="I8" s="6">
        <v>56</v>
      </c>
      <c r="J8" s="6">
        <f>COUNTIF(SEMUA!$G$2:$G$59,I8)</f>
        <v>10</v>
      </c>
      <c r="K8" s="18"/>
      <c r="AH8" s="5" t="s">
        <v>217</v>
      </c>
    </row>
    <row r="9" spans="1:34" ht="21.75" customHeight="1" x14ac:dyDescent="0.25">
      <c r="A9" s="6">
        <v>41</v>
      </c>
      <c r="B9" s="6" t="e">
        <f>COUNTIF(SEMUA!#REF!,A9)</f>
        <v>#REF!</v>
      </c>
      <c r="C9" s="6">
        <f>COUNTIF(SEMUA!$E$2:$E$59,REKAP!A9)</f>
        <v>18</v>
      </c>
      <c r="D9" s="1"/>
      <c r="E9" s="6" t="s">
        <v>79</v>
      </c>
      <c r="F9" s="6">
        <f>COUNTIF(SEMUA!$F$2:$F$59,E9)</f>
        <v>12</v>
      </c>
      <c r="G9" s="5"/>
      <c r="H9" s="5"/>
      <c r="I9" s="6">
        <v>57</v>
      </c>
      <c r="J9" s="6">
        <f>COUNTIF(SEMUA!$G$2:$G$59,I9)</f>
        <v>15</v>
      </c>
      <c r="K9" s="18"/>
      <c r="L9" s="19" t="s">
        <v>213</v>
      </c>
      <c r="M9" s="19">
        <f>SUM(M4:M7)</f>
        <v>56</v>
      </c>
      <c r="R9" s="38"/>
      <c r="S9" s="38"/>
      <c r="T9" s="38"/>
    </row>
    <row r="10" spans="1:34" ht="21.75" customHeight="1" x14ac:dyDescent="0.25">
      <c r="A10" s="6">
        <v>42</v>
      </c>
      <c r="B10" s="6" t="e">
        <f>COUNTIF(SEMUA!#REF!,A10)</f>
        <v>#REF!</v>
      </c>
      <c r="C10" s="6">
        <f>COUNTIF(SEMUA!$E$2:$E$59,REKAP!A10)</f>
        <v>17</v>
      </c>
      <c r="D10" s="1"/>
      <c r="E10" s="5" t="s">
        <v>121</v>
      </c>
      <c r="F10" s="6">
        <f>COUNTIF(SEMUA!$F$2:$F$59,E10)</f>
        <v>1</v>
      </c>
      <c r="G10" s="5"/>
      <c r="H10" s="5"/>
      <c r="I10" s="6">
        <v>58</v>
      </c>
      <c r="J10" s="6">
        <f>COUNTIF(SEMUA!$G$2:$G$59,I10)</f>
        <v>9</v>
      </c>
      <c r="K10" s="18"/>
      <c r="S10" s="20"/>
      <c r="T10" s="20"/>
    </row>
    <row r="11" spans="1:34" ht="21.75" customHeight="1" x14ac:dyDescent="0.25">
      <c r="A11" s="6">
        <v>43</v>
      </c>
      <c r="B11" s="6" t="e">
        <f>COUNTIF(SEMUA!#REF!,A11)</f>
        <v>#REF!</v>
      </c>
      <c r="C11" s="6">
        <f>COUNTIF(SEMUA!$E$2:$E$59,REKAP!A11)</f>
        <v>11</v>
      </c>
      <c r="D11" s="1"/>
      <c r="E11" s="19" t="s">
        <v>218</v>
      </c>
      <c r="F11" s="19">
        <f>SUM(F5:F10)</f>
        <v>58</v>
      </c>
      <c r="G11" s="19"/>
      <c r="H11" s="19"/>
      <c r="I11" s="6">
        <v>59</v>
      </c>
      <c r="J11" s="6">
        <f>COUNTIF(SEMUA!$G$2:$G$59,I11)</f>
        <v>5</v>
      </c>
      <c r="K11" s="18"/>
      <c r="S11" s="20"/>
      <c r="T11" s="20"/>
    </row>
    <row r="12" spans="1:34" s="5" customFormat="1" ht="21.75" customHeight="1" x14ac:dyDescent="0.25">
      <c r="A12" s="6">
        <v>44</v>
      </c>
      <c r="B12" s="6"/>
      <c r="C12" s="6">
        <f>COUNTIF(SEMUA!$E$2:$E$59,REKAP!A12)</f>
        <v>1</v>
      </c>
      <c r="D12" s="1"/>
      <c r="I12" s="6">
        <v>60</v>
      </c>
      <c r="J12" s="6">
        <f>COUNTIF(SEMUA!$G$2:$G$59,I12)</f>
        <v>4</v>
      </c>
      <c r="K12" s="18"/>
      <c r="S12" s="20"/>
      <c r="T12" s="20"/>
    </row>
    <row r="13" spans="1:34" ht="21.75" customHeight="1" x14ac:dyDescent="0.25">
      <c r="A13" s="6">
        <v>45</v>
      </c>
      <c r="B13" s="6"/>
      <c r="C13" s="6">
        <f>COUNTIF(SEMUA!$E$2:$E$59,REKAP!A13)</f>
        <v>1</v>
      </c>
      <c r="D13" s="1"/>
      <c r="I13" s="19" t="s">
        <v>213</v>
      </c>
      <c r="J13" s="19">
        <f>SUM(J4:J12)</f>
        <v>57</v>
      </c>
      <c r="K13" s="19"/>
      <c r="S13" s="20"/>
      <c r="T13" s="20"/>
    </row>
    <row r="14" spans="1:34" ht="21.75" customHeight="1" x14ac:dyDescent="0.25">
      <c r="A14" s="6">
        <v>46</v>
      </c>
      <c r="B14" s="6"/>
      <c r="C14" s="6">
        <f>COUNTIF(SEMUA!$E$2:$E$59,REKAP!A14)</f>
        <v>0</v>
      </c>
      <c r="D14" s="1"/>
      <c r="E14" s="21"/>
      <c r="F14" s="21"/>
      <c r="G14" s="22"/>
      <c r="H14" s="22"/>
      <c r="S14" s="20"/>
      <c r="T14" s="20"/>
    </row>
    <row r="15" spans="1:34" ht="21.75" customHeight="1" x14ac:dyDescent="0.25">
      <c r="A15" s="6">
        <v>47</v>
      </c>
      <c r="B15" s="6"/>
      <c r="C15" s="6">
        <f>COUNTIF(SEMUA!$E$2:$E$59,REKAP!A15)</f>
        <v>0</v>
      </c>
      <c r="D15" s="1"/>
      <c r="E15" s="21"/>
      <c r="F15" s="21"/>
      <c r="G15" s="22"/>
      <c r="H15" s="22"/>
      <c r="K15" s="23"/>
      <c r="S15" s="20"/>
      <c r="T15" s="20"/>
    </row>
    <row r="16" spans="1:34" ht="21.75" customHeight="1" x14ac:dyDescent="0.25">
      <c r="A16" s="19" t="s">
        <v>213</v>
      </c>
      <c r="B16" s="19"/>
      <c r="C16" s="19">
        <f>SUM(C5:C15)</f>
        <v>58</v>
      </c>
      <c r="D16" s="19"/>
      <c r="E16" s="21"/>
      <c r="F16" s="21"/>
      <c r="G16" s="22"/>
      <c r="H16" s="22"/>
      <c r="K16" s="1"/>
      <c r="S16" s="20"/>
      <c r="T16" s="20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AD74-7978-4BE5-9CE2-528D3760AEB9}">
  <sheetPr codeName="Sheet5"/>
  <dimension ref="A1:ALP271"/>
  <sheetViews>
    <sheetView tabSelected="1" topLeftCell="A82" zoomScale="115" zoomScaleNormal="115" workbookViewId="0">
      <selection activeCell="O125" sqref="A86:O125"/>
    </sheetView>
  </sheetViews>
  <sheetFormatPr defaultColWidth="9.140625" defaultRowHeight="22.5" customHeight="1" x14ac:dyDescent="0.25"/>
  <cols>
    <col min="1" max="1" width="4.85546875" style="1" customWidth="1"/>
    <col min="2" max="2" width="25.85546875" style="2" customWidth="1"/>
    <col min="3" max="3" width="15.140625" style="2" bestFit="1" customWidth="1"/>
    <col min="4" max="4" width="5.85546875" style="2" bestFit="1" customWidth="1"/>
    <col min="5" max="5" width="5.140625" style="29" bestFit="1" customWidth="1"/>
    <col min="6" max="6" width="6.85546875" style="29" customWidth="1"/>
    <col min="7" max="7" width="5.85546875" style="29" bestFit="1" customWidth="1"/>
    <col min="8" max="15" width="4.7109375" style="3" bestFit="1" customWidth="1"/>
    <col min="16" max="16" width="9.140625" style="30"/>
    <col min="17" max="39" width="9.140625" style="5"/>
    <col min="40" max="40" width="13.140625" style="5" customWidth="1"/>
    <col min="41" max="1004" width="9.140625" style="5"/>
  </cols>
  <sheetData>
    <row r="1" spans="1:16" s="1" customFormat="1" ht="22.5" customHeight="1" x14ac:dyDescent="0.25">
      <c r="A1" s="34" t="s">
        <v>0</v>
      </c>
      <c r="B1" s="35" t="s">
        <v>1</v>
      </c>
      <c r="C1" s="35" t="s">
        <v>2</v>
      </c>
      <c r="D1" s="35" t="s">
        <v>219</v>
      </c>
      <c r="E1" s="36" t="s">
        <v>220</v>
      </c>
      <c r="F1" s="36" t="s">
        <v>5</v>
      </c>
      <c r="G1" s="36" t="s">
        <v>6</v>
      </c>
      <c r="H1" s="37" t="s">
        <v>7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14</v>
      </c>
      <c r="P1" s="3"/>
    </row>
    <row r="2" spans="1:16" ht="22.5" customHeight="1" x14ac:dyDescent="0.25">
      <c r="A2" s="21" t="s">
        <v>35</v>
      </c>
      <c r="B2" s="24" t="s">
        <v>36</v>
      </c>
      <c r="C2" s="21" t="s">
        <v>37</v>
      </c>
      <c r="D2" s="21" t="s">
        <v>38</v>
      </c>
      <c r="E2" s="22">
        <v>41</v>
      </c>
      <c r="F2" s="22" t="s">
        <v>39</v>
      </c>
      <c r="G2" s="22">
        <v>56</v>
      </c>
      <c r="H2" s="22" t="s">
        <v>40</v>
      </c>
      <c r="I2" s="22" t="s">
        <v>41</v>
      </c>
      <c r="J2" s="22" t="s">
        <v>42</v>
      </c>
      <c r="K2" s="22" t="s">
        <v>43</v>
      </c>
      <c r="L2" s="22" t="s">
        <v>44</v>
      </c>
      <c r="M2" s="22" t="s">
        <v>43</v>
      </c>
      <c r="N2" s="22" t="s">
        <v>45</v>
      </c>
      <c r="O2" s="22" t="s">
        <v>40</v>
      </c>
    </row>
    <row r="3" spans="1:16" ht="22.5" customHeight="1" x14ac:dyDescent="0.25">
      <c r="A3" s="25"/>
      <c r="B3" s="26"/>
      <c r="C3" s="25"/>
      <c r="D3" s="25"/>
      <c r="E3" s="27"/>
      <c r="F3" s="27"/>
      <c r="G3" s="27"/>
      <c r="H3" s="27" t="s">
        <v>46</v>
      </c>
      <c r="I3" s="27" t="s">
        <v>47</v>
      </c>
      <c r="J3" s="27" t="s">
        <v>48</v>
      </c>
      <c r="K3" s="27" t="s">
        <v>49</v>
      </c>
      <c r="L3" s="27" t="s">
        <v>50</v>
      </c>
      <c r="M3" s="27">
        <v>21</v>
      </c>
      <c r="N3" s="27">
        <v>97</v>
      </c>
      <c r="O3" s="27"/>
    </row>
    <row r="4" spans="1:16" ht="22.5" customHeight="1" x14ac:dyDescent="0.25">
      <c r="A4" s="21" t="s">
        <v>59</v>
      </c>
      <c r="B4" s="24" t="s">
        <v>60</v>
      </c>
      <c r="C4" s="21" t="s">
        <v>37</v>
      </c>
      <c r="D4" s="21" t="s">
        <v>38</v>
      </c>
      <c r="E4" s="22">
        <v>41</v>
      </c>
      <c r="F4" s="22" t="s">
        <v>61</v>
      </c>
      <c r="G4" s="22">
        <v>57</v>
      </c>
      <c r="H4" s="22" t="s">
        <v>62</v>
      </c>
      <c r="I4" s="22" t="s">
        <v>63</v>
      </c>
      <c r="J4" s="22" t="s">
        <v>64</v>
      </c>
      <c r="K4" s="22" t="s">
        <v>44</v>
      </c>
      <c r="L4" s="22" t="s">
        <v>63</v>
      </c>
      <c r="M4" s="22" t="s">
        <v>44</v>
      </c>
      <c r="N4" s="22" t="s">
        <v>45</v>
      </c>
      <c r="O4" s="22" t="s">
        <v>65</v>
      </c>
    </row>
    <row r="5" spans="1:16" ht="22.5" customHeight="1" x14ac:dyDescent="0.25">
      <c r="A5" s="25"/>
      <c r="B5" s="26"/>
      <c r="C5" s="25"/>
      <c r="D5" s="25"/>
      <c r="E5" s="27"/>
      <c r="F5" s="27"/>
      <c r="G5" s="27"/>
      <c r="H5" s="27" t="s">
        <v>66</v>
      </c>
      <c r="I5" s="27" t="s">
        <v>67</v>
      </c>
      <c r="J5" s="27" t="s">
        <v>68</v>
      </c>
      <c r="K5" s="27" t="s">
        <v>69</v>
      </c>
      <c r="L5" s="27" t="s">
        <v>70</v>
      </c>
      <c r="M5" s="27" t="s">
        <v>42</v>
      </c>
      <c r="N5" s="27" t="s">
        <v>46</v>
      </c>
      <c r="O5" s="27"/>
    </row>
    <row r="6" spans="1:16" ht="22.5" customHeight="1" x14ac:dyDescent="0.25">
      <c r="A6" s="21" t="s">
        <v>77</v>
      </c>
      <c r="B6" s="24" t="s">
        <v>78</v>
      </c>
      <c r="C6" s="21" t="s">
        <v>37</v>
      </c>
      <c r="D6" s="21" t="s">
        <v>38</v>
      </c>
      <c r="E6" s="22">
        <v>43</v>
      </c>
      <c r="F6" s="22" t="s">
        <v>79</v>
      </c>
      <c r="G6" s="22">
        <v>57</v>
      </c>
      <c r="H6" s="22" t="s">
        <v>71</v>
      </c>
      <c r="I6" s="22" t="s">
        <v>44</v>
      </c>
      <c r="J6" s="22" t="s">
        <v>72</v>
      </c>
      <c r="K6" s="22" t="s">
        <v>43</v>
      </c>
      <c r="L6" s="22" t="s">
        <v>44</v>
      </c>
      <c r="M6" s="22" t="s">
        <v>43</v>
      </c>
      <c r="N6" s="22" t="s">
        <v>58</v>
      </c>
      <c r="O6" s="22" t="s">
        <v>65</v>
      </c>
    </row>
    <row r="7" spans="1:16" ht="22.5" customHeight="1" x14ac:dyDescent="0.25">
      <c r="A7" s="25"/>
      <c r="B7" s="26"/>
      <c r="C7" s="25"/>
      <c r="D7" s="25"/>
      <c r="E7" s="27"/>
      <c r="F7" s="27"/>
      <c r="G7" s="27"/>
      <c r="H7" s="27" t="s">
        <v>80</v>
      </c>
      <c r="I7" s="27" t="s">
        <v>81</v>
      </c>
      <c r="J7" s="27" t="s">
        <v>82</v>
      </c>
      <c r="K7" s="27" t="s">
        <v>83</v>
      </c>
      <c r="L7" s="27" t="s">
        <v>50</v>
      </c>
      <c r="M7" s="27" t="s">
        <v>84</v>
      </c>
      <c r="N7" s="27">
        <v>103</v>
      </c>
      <c r="O7" s="27"/>
    </row>
    <row r="8" spans="1:16" s="9" customFormat="1" ht="22.5" customHeight="1" x14ac:dyDescent="0.25">
      <c r="A8" s="21" t="s">
        <v>90</v>
      </c>
      <c r="B8" s="24" t="s">
        <v>91</v>
      </c>
      <c r="C8" s="21" t="s">
        <v>37</v>
      </c>
      <c r="D8" s="21" t="s">
        <v>38</v>
      </c>
      <c r="E8" s="22">
        <v>41</v>
      </c>
      <c r="F8" s="22" t="s">
        <v>39</v>
      </c>
      <c r="G8" s="22">
        <v>57</v>
      </c>
      <c r="H8" s="22" t="s">
        <v>40</v>
      </c>
      <c r="I8" s="22" t="s">
        <v>63</v>
      </c>
      <c r="J8" s="22" t="s">
        <v>72</v>
      </c>
      <c r="K8" s="22" t="s">
        <v>43</v>
      </c>
      <c r="L8" s="22" t="s">
        <v>44</v>
      </c>
      <c r="M8" s="22" t="s">
        <v>43</v>
      </c>
      <c r="N8" s="22" t="s">
        <v>45</v>
      </c>
      <c r="O8" s="22" t="s">
        <v>92</v>
      </c>
      <c r="P8" s="32"/>
    </row>
    <row r="9" spans="1:16" s="9" customFormat="1" ht="22.5" customHeight="1" x14ac:dyDescent="0.25">
      <c r="A9" s="25"/>
      <c r="B9" s="26"/>
      <c r="C9" s="25"/>
      <c r="D9" s="25"/>
      <c r="E9" s="27"/>
      <c r="F9" s="27"/>
      <c r="G9" s="27"/>
      <c r="H9" s="27" t="s">
        <v>93</v>
      </c>
      <c r="I9" s="27" t="s">
        <v>81</v>
      </c>
      <c r="J9" s="27" t="s">
        <v>48</v>
      </c>
      <c r="K9" s="27" t="s">
        <v>49</v>
      </c>
      <c r="L9" s="27" t="s">
        <v>50</v>
      </c>
      <c r="M9" s="27" t="s">
        <v>94</v>
      </c>
      <c r="N9" s="27">
        <v>95</v>
      </c>
      <c r="O9" s="27"/>
      <c r="P9" s="32"/>
    </row>
    <row r="10" spans="1:16" s="9" customFormat="1" ht="22.5" customHeight="1" x14ac:dyDescent="0.25">
      <c r="A10" s="21" t="s">
        <v>100</v>
      </c>
      <c r="B10" s="24" t="s">
        <v>101</v>
      </c>
      <c r="C10" s="21" t="s">
        <v>37</v>
      </c>
      <c r="D10" s="21" t="s">
        <v>38</v>
      </c>
      <c r="E10" s="22">
        <v>40</v>
      </c>
      <c r="F10" s="22" t="s">
        <v>102</v>
      </c>
      <c r="G10" s="22">
        <v>55</v>
      </c>
      <c r="H10" s="22" t="s">
        <v>71</v>
      </c>
      <c r="I10" s="22" t="s">
        <v>50</v>
      </c>
      <c r="J10" s="22" t="s">
        <v>72</v>
      </c>
      <c r="K10" s="22" t="s">
        <v>43</v>
      </c>
      <c r="L10" s="22" t="s">
        <v>44</v>
      </c>
      <c r="M10" s="22" t="s">
        <v>43</v>
      </c>
      <c r="N10" s="22" t="s">
        <v>48</v>
      </c>
      <c r="O10" s="22" t="s">
        <v>103</v>
      </c>
      <c r="P10" s="32"/>
    </row>
    <row r="11" spans="1:16" s="9" customFormat="1" ht="22.5" customHeight="1" x14ac:dyDescent="0.25">
      <c r="A11" s="25"/>
      <c r="B11" s="26"/>
      <c r="C11" s="25"/>
      <c r="D11" s="25"/>
      <c r="E11" s="27"/>
      <c r="F11" s="27"/>
      <c r="G11" s="27"/>
      <c r="H11" s="27" t="s">
        <v>104</v>
      </c>
      <c r="I11" s="27" t="s">
        <v>105</v>
      </c>
      <c r="J11" s="27" t="s">
        <v>106</v>
      </c>
      <c r="K11" s="27" t="s">
        <v>107</v>
      </c>
      <c r="L11" s="27" t="s">
        <v>63</v>
      </c>
      <c r="M11" s="27" t="s">
        <v>84</v>
      </c>
      <c r="N11" s="27">
        <v>101</v>
      </c>
      <c r="O11" s="27"/>
      <c r="P11" s="32"/>
    </row>
    <row r="12" spans="1:16" s="9" customFormat="1" ht="22.5" customHeight="1" x14ac:dyDescent="0.25">
      <c r="A12" s="21" t="s">
        <v>109</v>
      </c>
      <c r="B12" s="24" t="s">
        <v>110</v>
      </c>
      <c r="C12" s="21" t="s">
        <v>37</v>
      </c>
      <c r="D12" s="21" t="s">
        <v>38</v>
      </c>
      <c r="E12" s="22">
        <v>42</v>
      </c>
      <c r="F12" s="22" t="s">
        <v>39</v>
      </c>
      <c r="G12" s="22">
        <v>55</v>
      </c>
      <c r="H12" s="22" t="s">
        <v>71</v>
      </c>
      <c r="I12" s="22" t="s">
        <v>63</v>
      </c>
      <c r="J12" s="22" t="s">
        <v>42</v>
      </c>
      <c r="K12" s="22" t="s">
        <v>111</v>
      </c>
      <c r="L12" s="22" t="s">
        <v>44</v>
      </c>
      <c r="M12" s="22" t="s">
        <v>111</v>
      </c>
      <c r="N12" s="22" t="s">
        <v>106</v>
      </c>
      <c r="O12" s="22" t="s">
        <v>40</v>
      </c>
      <c r="P12" s="32"/>
    </row>
    <row r="13" spans="1:16" s="9" customFormat="1" ht="22.5" customHeight="1" x14ac:dyDescent="0.25">
      <c r="A13" s="25"/>
      <c r="B13" s="26"/>
      <c r="C13" s="25"/>
      <c r="D13" s="25"/>
      <c r="E13" s="27"/>
      <c r="F13" s="27"/>
      <c r="G13" s="27"/>
      <c r="H13" s="27" t="s">
        <v>108</v>
      </c>
      <c r="I13" s="27" t="s">
        <v>88</v>
      </c>
      <c r="J13" s="27" t="s">
        <v>48</v>
      </c>
      <c r="K13" s="27" t="s">
        <v>49</v>
      </c>
      <c r="L13" s="27" t="s">
        <v>50</v>
      </c>
      <c r="M13" s="27" t="s">
        <v>84</v>
      </c>
      <c r="N13" s="27">
        <v>99</v>
      </c>
      <c r="O13" s="27"/>
      <c r="P13" s="32"/>
    </row>
    <row r="14" spans="1:16" s="9" customFormat="1" ht="22.5" customHeight="1" x14ac:dyDescent="0.25">
      <c r="A14" s="21" t="s">
        <v>115</v>
      </c>
      <c r="B14" s="24" t="s">
        <v>116</v>
      </c>
      <c r="C14" s="21" t="s">
        <v>37</v>
      </c>
      <c r="D14" s="21" t="s">
        <v>38</v>
      </c>
      <c r="E14" s="22">
        <v>41</v>
      </c>
      <c r="F14" s="22" t="s">
        <v>39</v>
      </c>
      <c r="G14" s="22">
        <v>58</v>
      </c>
      <c r="H14" s="22">
        <v>51</v>
      </c>
      <c r="I14" s="22">
        <v>29</v>
      </c>
      <c r="J14" s="22">
        <v>18</v>
      </c>
      <c r="K14" s="22">
        <v>110</v>
      </c>
      <c r="L14" s="22">
        <v>105</v>
      </c>
      <c r="M14" s="22">
        <v>115</v>
      </c>
      <c r="N14" s="22">
        <v>70</v>
      </c>
      <c r="O14" s="22">
        <v>46</v>
      </c>
      <c r="P14" s="32"/>
    </row>
    <row r="15" spans="1:16" s="9" customFormat="1" ht="22.5" customHeight="1" x14ac:dyDescent="0.25">
      <c r="A15" s="25"/>
      <c r="B15" s="26"/>
      <c r="C15" s="25"/>
      <c r="D15" s="25"/>
      <c r="E15" s="27"/>
      <c r="F15" s="27"/>
      <c r="G15" s="27"/>
      <c r="H15" s="27">
        <v>94</v>
      </c>
      <c r="I15" s="27">
        <v>105</v>
      </c>
      <c r="J15" s="27">
        <v>73</v>
      </c>
      <c r="K15" s="27">
        <v>64</v>
      </c>
      <c r="L15" s="27">
        <v>48</v>
      </c>
      <c r="M15" s="27">
        <v>36</v>
      </c>
      <c r="N15" s="27">
        <v>97</v>
      </c>
      <c r="O15" s="27"/>
      <c r="P15" s="32"/>
    </row>
    <row r="16" spans="1:16" s="9" customFormat="1" ht="22.5" customHeight="1" x14ac:dyDescent="0.25">
      <c r="A16" s="21" t="s">
        <v>117</v>
      </c>
      <c r="B16" s="24" t="s">
        <v>118</v>
      </c>
      <c r="C16" s="21" t="s">
        <v>37</v>
      </c>
      <c r="D16" s="21" t="s">
        <v>38</v>
      </c>
      <c r="E16" s="22">
        <v>43</v>
      </c>
      <c r="F16" s="22" t="s">
        <v>79</v>
      </c>
      <c r="G16" s="22">
        <v>58</v>
      </c>
      <c r="H16" s="22">
        <v>54</v>
      </c>
      <c r="I16" s="22">
        <v>25</v>
      </c>
      <c r="J16" s="22">
        <v>22</v>
      </c>
      <c r="K16" s="22">
        <v>118</v>
      </c>
      <c r="L16" s="22">
        <v>118</v>
      </c>
      <c r="M16" s="22"/>
      <c r="N16" s="22">
        <v>73</v>
      </c>
      <c r="O16" s="22">
        <v>44</v>
      </c>
      <c r="P16" s="32"/>
    </row>
    <row r="17" spans="1:16" s="9" customFormat="1" ht="22.5" customHeight="1" x14ac:dyDescent="0.25">
      <c r="A17" s="25"/>
      <c r="B17" s="26"/>
      <c r="C17" s="25"/>
      <c r="D17" s="25"/>
      <c r="E17" s="27"/>
      <c r="F17" s="27"/>
      <c r="G17" s="27"/>
      <c r="H17" s="27">
        <v>113</v>
      </c>
      <c r="I17" s="27">
        <v>120</v>
      </c>
      <c r="J17" s="27">
        <v>82</v>
      </c>
      <c r="K17" s="27">
        <v>78</v>
      </c>
      <c r="L17" s="27">
        <v>58</v>
      </c>
      <c r="M17" s="27">
        <v>40</v>
      </c>
      <c r="N17" s="27">
        <v>108</v>
      </c>
      <c r="O17" s="27"/>
      <c r="P17" s="32"/>
    </row>
    <row r="18" spans="1:16" s="9" customFormat="1" ht="22.5" customHeight="1" x14ac:dyDescent="0.25">
      <c r="A18" s="21" t="s">
        <v>119</v>
      </c>
      <c r="B18" s="24" t="s">
        <v>120</v>
      </c>
      <c r="C18" s="21" t="s">
        <v>37</v>
      </c>
      <c r="D18" s="21" t="s">
        <v>38</v>
      </c>
      <c r="E18" s="22">
        <v>43</v>
      </c>
      <c r="F18" s="22" t="s">
        <v>121</v>
      </c>
      <c r="G18" s="22">
        <v>57</v>
      </c>
      <c r="H18" s="22">
        <v>49</v>
      </c>
      <c r="I18" s="22">
        <v>25</v>
      </c>
      <c r="J18" s="22">
        <v>22</v>
      </c>
      <c r="K18" s="22">
        <v>126</v>
      </c>
      <c r="L18" s="22">
        <v>132</v>
      </c>
      <c r="M18" s="22">
        <v>129</v>
      </c>
      <c r="N18" s="22">
        <v>66</v>
      </c>
      <c r="O18" s="22">
        <v>58</v>
      </c>
      <c r="P18" s="32"/>
    </row>
    <row r="19" spans="1:16" s="9" customFormat="1" ht="22.5" customHeight="1" x14ac:dyDescent="0.25">
      <c r="A19" s="25"/>
      <c r="B19" s="26"/>
      <c r="C19" s="25"/>
      <c r="D19" s="25"/>
      <c r="E19" s="27"/>
      <c r="F19" s="27"/>
      <c r="G19" s="27"/>
      <c r="H19" s="27">
        <v>126</v>
      </c>
      <c r="I19" s="27">
        <v>126</v>
      </c>
      <c r="J19" s="27">
        <v>80</v>
      </c>
      <c r="K19" s="27">
        <v>78</v>
      </c>
      <c r="L19" s="27">
        <v>55</v>
      </c>
      <c r="M19" s="27">
        <v>36</v>
      </c>
      <c r="N19" s="27">
        <v>90</v>
      </c>
      <c r="O19" s="27"/>
      <c r="P19" s="32"/>
    </row>
    <row r="20" spans="1:16" s="9" customFormat="1" ht="22.5" customHeight="1" x14ac:dyDescent="0.25">
      <c r="A20" s="21" t="s">
        <v>122</v>
      </c>
      <c r="B20" s="24" t="s">
        <v>123</v>
      </c>
      <c r="C20" s="21" t="s">
        <v>37</v>
      </c>
      <c r="D20" s="21" t="s">
        <v>38</v>
      </c>
      <c r="E20" s="22">
        <v>41</v>
      </c>
      <c r="F20" s="22" t="s">
        <v>102</v>
      </c>
      <c r="G20" s="22">
        <v>57</v>
      </c>
      <c r="H20" s="22">
        <v>47</v>
      </c>
      <c r="I20" s="22">
        <v>25</v>
      </c>
      <c r="J20" s="22">
        <v>18</v>
      </c>
      <c r="K20" s="22">
        <v>29</v>
      </c>
      <c r="L20" s="22">
        <v>26</v>
      </c>
      <c r="M20" s="22">
        <v>29</v>
      </c>
      <c r="N20" s="22">
        <v>71</v>
      </c>
      <c r="O20" s="22">
        <v>39</v>
      </c>
      <c r="P20" s="32"/>
    </row>
    <row r="21" spans="1:16" s="9" customFormat="1" ht="22.5" customHeight="1" x14ac:dyDescent="0.25">
      <c r="A21" s="25"/>
      <c r="B21" s="26"/>
      <c r="C21" s="25"/>
      <c r="D21" s="25"/>
      <c r="E21" s="27"/>
      <c r="F21" s="27"/>
      <c r="G21" s="27"/>
      <c r="H21" s="27">
        <v>87</v>
      </c>
      <c r="I21" s="27">
        <v>110</v>
      </c>
      <c r="J21" s="27">
        <v>67</v>
      </c>
      <c r="K21" s="27">
        <v>34</v>
      </c>
      <c r="L21" s="27">
        <v>28</v>
      </c>
      <c r="M21" s="27">
        <v>23</v>
      </c>
      <c r="N21" s="27">
        <v>96</v>
      </c>
      <c r="O21" s="27"/>
      <c r="P21" s="32"/>
    </row>
    <row r="22" spans="1:16" s="9" customFormat="1" ht="22.5" customHeight="1" x14ac:dyDescent="0.25">
      <c r="A22" s="21" t="s">
        <v>124</v>
      </c>
      <c r="B22" s="24" t="s">
        <v>125</v>
      </c>
      <c r="C22" s="21" t="s">
        <v>37</v>
      </c>
      <c r="D22" s="21" t="s">
        <v>38</v>
      </c>
      <c r="E22" s="22">
        <v>43</v>
      </c>
      <c r="F22" s="22" t="s">
        <v>102</v>
      </c>
      <c r="G22" s="22">
        <v>59</v>
      </c>
      <c r="H22" s="22">
        <v>48</v>
      </c>
      <c r="I22" s="22">
        <v>25</v>
      </c>
      <c r="J22" s="22">
        <v>20</v>
      </c>
      <c r="K22" s="22">
        <v>32</v>
      </c>
      <c r="L22" s="22">
        <v>30</v>
      </c>
      <c r="M22" s="22">
        <v>32</v>
      </c>
      <c r="N22" s="22">
        <v>73</v>
      </c>
      <c r="O22" s="22">
        <v>44</v>
      </c>
      <c r="P22" s="32"/>
    </row>
    <row r="23" spans="1:16" s="9" customFormat="1" ht="22.5" customHeight="1" x14ac:dyDescent="0.25">
      <c r="A23" s="25"/>
      <c r="B23" s="26"/>
      <c r="C23" s="25"/>
      <c r="D23" s="25"/>
      <c r="E23" s="27"/>
      <c r="F23" s="27"/>
      <c r="G23" s="27"/>
      <c r="H23" s="27">
        <v>100</v>
      </c>
      <c r="I23" s="27">
        <v>120</v>
      </c>
      <c r="J23" s="27">
        <v>72</v>
      </c>
      <c r="K23" s="27">
        <v>37</v>
      </c>
      <c r="L23" s="27">
        <v>27</v>
      </c>
      <c r="M23" s="27">
        <v>21</v>
      </c>
      <c r="N23" s="27">
        <v>96</v>
      </c>
      <c r="O23" s="27"/>
      <c r="P23" s="32"/>
    </row>
    <row r="24" spans="1:16" s="9" customFormat="1" ht="22.5" customHeight="1" x14ac:dyDescent="0.25">
      <c r="A24" s="21" t="s">
        <v>126</v>
      </c>
      <c r="B24" s="24" t="s">
        <v>127</v>
      </c>
      <c r="C24" s="21" t="s">
        <v>37</v>
      </c>
      <c r="D24" s="21" t="s">
        <v>38</v>
      </c>
      <c r="E24" s="22">
        <v>43</v>
      </c>
      <c r="F24" s="22" t="s">
        <v>79</v>
      </c>
      <c r="G24" s="22">
        <v>58</v>
      </c>
      <c r="H24" s="22">
        <v>49</v>
      </c>
      <c r="I24" s="22">
        <v>27</v>
      </c>
      <c r="J24" s="22">
        <v>20</v>
      </c>
      <c r="K24" s="22">
        <v>32</v>
      </c>
      <c r="L24" s="22">
        <v>31</v>
      </c>
      <c r="M24" s="22">
        <v>32</v>
      </c>
      <c r="N24" s="22">
        <v>70</v>
      </c>
      <c r="O24" s="22">
        <v>49</v>
      </c>
      <c r="P24" s="32"/>
    </row>
    <row r="25" spans="1:16" s="9" customFormat="1" ht="22.5" customHeight="1" x14ac:dyDescent="0.25">
      <c r="A25" s="25"/>
      <c r="B25" s="26"/>
      <c r="C25" s="25"/>
      <c r="D25" s="25"/>
      <c r="E25" s="27"/>
      <c r="F25" s="27"/>
      <c r="G25" s="27"/>
      <c r="H25" s="27">
        <v>108</v>
      </c>
      <c r="I25" s="27">
        <v>120</v>
      </c>
      <c r="J25" s="27">
        <v>75</v>
      </c>
      <c r="K25" s="27">
        <v>38</v>
      </c>
      <c r="L25" s="27">
        <v>28</v>
      </c>
      <c r="M25" s="27">
        <v>22</v>
      </c>
      <c r="N25" s="27">
        <v>98</v>
      </c>
      <c r="O25" s="27"/>
      <c r="P25" s="32"/>
    </row>
    <row r="26" spans="1:16" s="9" customFormat="1" ht="22.5" customHeight="1" x14ac:dyDescent="0.25">
      <c r="A26" s="21" t="s">
        <v>128</v>
      </c>
      <c r="B26" s="24" t="s">
        <v>129</v>
      </c>
      <c r="C26" s="21" t="s">
        <v>130</v>
      </c>
      <c r="D26" s="21" t="s">
        <v>38</v>
      </c>
      <c r="E26" s="22">
        <v>42</v>
      </c>
      <c r="F26" s="22" t="s">
        <v>102</v>
      </c>
      <c r="G26" s="22">
        <v>56</v>
      </c>
      <c r="H26" s="22">
        <v>42</v>
      </c>
      <c r="I26" s="22">
        <v>26</v>
      </c>
      <c r="J26" s="22">
        <v>17</v>
      </c>
      <c r="K26" s="22">
        <v>27.5</v>
      </c>
      <c r="L26" s="22">
        <v>25</v>
      </c>
      <c r="M26" s="22">
        <v>27</v>
      </c>
      <c r="N26" s="22">
        <v>69</v>
      </c>
      <c r="O26" s="22">
        <v>38</v>
      </c>
      <c r="P26" s="32"/>
    </row>
    <row r="27" spans="1:16" s="9" customFormat="1" ht="22.5" customHeight="1" x14ac:dyDescent="0.25">
      <c r="A27" s="25"/>
      <c r="B27" s="26"/>
      <c r="C27" s="25"/>
      <c r="D27" s="25"/>
      <c r="E27" s="27"/>
      <c r="F27" s="27"/>
      <c r="G27" s="27"/>
      <c r="H27" s="27">
        <v>85</v>
      </c>
      <c r="I27" s="27">
        <v>104</v>
      </c>
      <c r="J27" s="27">
        <v>69</v>
      </c>
      <c r="K27" s="27">
        <v>34</v>
      </c>
      <c r="L27" s="27">
        <v>26</v>
      </c>
      <c r="M27" s="27">
        <v>21</v>
      </c>
      <c r="N27" s="27">
        <v>100</v>
      </c>
      <c r="O27" s="27"/>
      <c r="P27" s="32"/>
    </row>
    <row r="28" spans="1:16" s="9" customFormat="1" ht="22.5" customHeight="1" x14ac:dyDescent="0.25">
      <c r="A28" s="21" t="s">
        <v>131</v>
      </c>
      <c r="B28" s="24" t="s">
        <v>132</v>
      </c>
      <c r="C28" s="21" t="s">
        <v>37</v>
      </c>
      <c r="D28" s="21" t="s">
        <v>38</v>
      </c>
      <c r="E28" s="22">
        <v>42</v>
      </c>
      <c r="F28" s="22" t="s">
        <v>39</v>
      </c>
      <c r="G28" s="22">
        <v>55</v>
      </c>
      <c r="H28" s="22">
        <v>44</v>
      </c>
      <c r="I28" s="22">
        <v>25</v>
      </c>
      <c r="J28" s="22">
        <v>18</v>
      </c>
      <c r="K28" s="22">
        <v>31</v>
      </c>
      <c r="L28" s="22">
        <v>28</v>
      </c>
      <c r="M28" s="22">
        <v>31</v>
      </c>
      <c r="N28" s="22">
        <v>72</v>
      </c>
      <c r="O28" s="22">
        <v>41</v>
      </c>
      <c r="P28" s="32"/>
    </row>
    <row r="29" spans="1:16" s="9" customFormat="1" ht="22.5" customHeight="1" x14ac:dyDescent="0.25">
      <c r="A29" s="25"/>
      <c r="B29" s="26"/>
      <c r="C29" s="25"/>
      <c r="D29" s="25"/>
      <c r="E29" s="27"/>
      <c r="F29" s="27"/>
      <c r="G29" s="27"/>
      <c r="H29" s="27">
        <v>90</v>
      </c>
      <c r="I29" s="27">
        <v>116</v>
      </c>
      <c r="J29" s="27">
        <v>69</v>
      </c>
      <c r="K29" s="27">
        <v>35</v>
      </c>
      <c r="L29" s="27">
        <v>27</v>
      </c>
      <c r="M29" s="27">
        <v>22</v>
      </c>
      <c r="N29" s="27">
        <v>99</v>
      </c>
      <c r="O29" s="27"/>
      <c r="P29" s="32"/>
    </row>
    <row r="30" spans="1:16" s="9" customFormat="1" ht="22.5" customHeight="1" x14ac:dyDescent="0.25">
      <c r="A30" s="21" t="s">
        <v>133</v>
      </c>
      <c r="B30" s="24" t="s">
        <v>134</v>
      </c>
      <c r="C30" s="21" t="s">
        <v>37</v>
      </c>
      <c r="D30" s="21" t="s">
        <v>38</v>
      </c>
      <c r="E30" s="22">
        <v>40</v>
      </c>
      <c r="F30" s="22" t="s">
        <v>102</v>
      </c>
      <c r="G30" s="22">
        <v>55</v>
      </c>
      <c r="H30" s="22">
        <v>45</v>
      </c>
      <c r="I30" s="22">
        <v>24</v>
      </c>
      <c r="J30" s="22">
        <v>17</v>
      </c>
      <c r="K30" s="22">
        <v>28</v>
      </c>
      <c r="L30" s="22">
        <v>26</v>
      </c>
      <c r="M30" s="22">
        <v>28</v>
      </c>
      <c r="N30" s="22">
        <v>70</v>
      </c>
      <c r="O30" s="22">
        <v>40</v>
      </c>
      <c r="P30" s="32"/>
    </row>
    <row r="31" spans="1:16" s="9" customFormat="1" ht="22.5" customHeight="1" x14ac:dyDescent="0.25">
      <c r="A31" s="25"/>
      <c r="B31" s="26"/>
      <c r="C31" s="25"/>
      <c r="D31" s="25"/>
      <c r="E31" s="27"/>
      <c r="F31" s="27"/>
      <c r="G31" s="27"/>
      <c r="H31" s="27">
        <v>85</v>
      </c>
      <c r="I31" s="27">
        <v>90</v>
      </c>
      <c r="J31" s="27">
        <v>66</v>
      </c>
      <c r="K31" s="27">
        <v>33</v>
      </c>
      <c r="L31" s="27">
        <v>25</v>
      </c>
      <c r="M31" s="27">
        <v>20</v>
      </c>
      <c r="N31" s="27">
        <v>95</v>
      </c>
      <c r="O31" s="27"/>
      <c r="P31" s="32"/>
    </row>
    <row r="32" spans="1:16" s="9" customFormat="1" ht="22.5" customHeight="1" x14ac:dyDescent="0.25">
      <c r="A32" s="21" t="s">
        <v>135</v>
      </c>
      <c r="B32" s="24" t="s">
        <v>136</v>
      </c>
      <c r="C32" s="21" t="s">
        <v>37</v>
      </c>
      <c r="D32" s="21" t="s">
        <v>38</v>
      </c>
      <c r="E32" s="22">
        <v>40</v>
      </c>
      <c r="F32" s="22" t="s">
        <v>39</v>
      </c>
      <c r="G32" s="22">
        <v>57</v>
      </c>
      <c r="H32" s="22">
        <v>46</v>
      </c>
      <c r="I32" s="22">
        <v>25</v>
      </c>
      <c r="J32" s="22">
        <v>19</v>
      </c>
      <c r="K32" s="22">
        <v>31</v>
      </c>
      <c r="L32" s="22">
        <v>29</v>
      </c>
      <c r="M32" s="22">
        <v>31</v>
      </c>
      <c r="N32" s="22">
        <v>76</v>
      </c>
      <c r="O32" s="22">
        <v>44</v>
      </c>
      <c r="P32" s="32"/>
    </row>
    <row r="33" spans="1:16" s="9" customFormat="1" ht="22.5" customHeight="1" x14ac:dyDescent="0.25">
      <c r="A33" s="25"/>
      <c r="B33" s="26"/>
      <c r="C33" s="25"/>
      <c r="D33" s="25"/>
      <c r="E33" s="27"/>
      <c r="F33" s="27"/>
      <c r="G33" s="27"/>
      <c r="H33" s="27">
        <v>95</v>
      </c>
      <c r="I33" s="27">
        <v>110</v>
      </c>
      <c r="J33" s="27">
        <v>68</v>
      </c>
      <c r="K33" s="27">
        <v>35</v>
      </c>
      <c r="L33" s="27">
        <v>27</v>
      </c>
      <c r="M33" s="27">
        <v>21</v>
      </c>
      <c r="N33" s="27">
        <v>97</v>
      </c>
      <c r="O33" s="27"/>
      <c r="P33" s="32"/>
    </row>
    <row r="34" spans="1:16" s="9" customFormat="1" ht="22.5" customHeight="1" x14ac:dyDescent="0.25">
      <c r="A34" s="21" t="s">
        <v>137</v>
      </c>
      <c r="B34" s="24" t="s">
        <v>138</v>
      </c>
      <c r="C34" s="21" t="s">
        <v>37</v>
      </c>
      <c r="D34" s="21" t="s">
        <v>38</v>
      </c>
      <c r="E34" s="22">
        <v>41</v>
      </c>
      <c r="F34" s="22" t="s">
        <v>102</v>
      </c>
      <c r="G34" s="22">
        <v>57</v>
      </c>
      <c r="H34" s="22">
        <v>46</v>
      </c>
      <c r="I34" s="22">
        <v>24</v>
      </c>
      <c r="J34" s="22">
        <v>18</v>
      </c>
      <c r="K34" s="22">
        <v>29</v>
      </c>
      <c r="L34" s="22">
        <v>27</v>
      </c>
      <c r="M34" s="22">
        <v>29</v>
      </c>
      <c r="N34" s="22">
        <v>68</v>
      </c>
      <c r="O34" s="22">
        <v>40</v>
      </c>
      <c r="P34" s="32"/>
    </row>
    <row r="35" spans="1:16" s="9" customFormat="1" ht="22.5" customHeight="1" x14ac:dyDescent="0.25">
      <c r="A35" s="25"/>
      <c r="B35" s="26"/>
      <c r="C35" s="25"/>
      <c r="D35" s="25"/>
      <c r="E35" s="27"/>
      <c r="F35" s="27"/>
      <c r="G35" s="27"/>
      <c r="H35" s="27">
        <v>90</v>
      </c>
      <c r="I35" s="27">
        <v>106</v>
      </c>
      <c r="J35" s="27">
        <v>68</v>
      </c>
      <c r="K35" s="27">
        <v>34</v>
      </c>
      <c r="L35" s="27">
        <v>26</v>
      </c>
      <c r="M35" s="27">
        <v>20</v>
      </c>
      <c r="N35" s="27">
        <v>97</v>
      </c>
      <c r="O35" s="27"/>
      <c r="P35" s="32"/>
    </row>
    <row r="36" spans="1:16" s="9" customFormat="1" ht="22.5" customHeight="1" x14ac:dyDescent="0.25">
      <c r="A36" s="21" t="s">
        <v>139</v>
      </c>
      <c r="B36" s="24" t="s">
        <v>140</v>
      </c>
      <c r="C36" s="21" t="s">
        <v>37</v>
      </c>
      <c r="D36" s="21" t="s">
        <v>38</v>
      </c>
      <c r="E36" s="22">
        <v>43</v>
      </c>
      <c r="F36" s="22" t="s">
        <v>79</v>
      </c>
      <c r="G36" s="22">
        <v>57</v>
      </c>
      <c r="H36" s="22">
        <v>48</v>
      </c>
      <c r="I36" s="22">
        <v>27</v>
      </c>
      <c r="J36" s="22">
        <v>21</v>
      </c>
      <c r="K36" s="22">
        <v>32</v>
      </c>
      <c r="L36" s="22">
        <v>31</v>
      </c>
      <c r="M36" s="22">
        <v>32</v>
      </c>
      <c r="N36" s="22">
        <v>76</v>
      </c>
      <c r="O36" s="22">
        <v>46</v>
      </c>
      <c r="P36" s="32"/>
    </row>
    <row r="37" spans="1:16" s="9" customFormat="1" ht="22.5" customHeight="1" x14ac:dyDescent="0.25">
      <c r="A37" s="25"/>
      <c r="B37" s="26"/>
      <c r="C37" s="25"/>
      <c r="D37" s="25"/>
      <c r="E37" s="27"/>
      <c r="F37" s="27"/>
      <c r="G37" s="27"/>
      <c r="H37" s="27">
        <v>104</v>
      </c>
      <c r="I37" s="27">
        <v>115</v>
      </c>
      <c r="J37" s="27">
        <v>75</v>
      </c>
      <c r="K37" s="27">
        <v>37</v>
      </c>
      <c r="L37" s="27">
        <v>28</v>
      </c>
      <c r="M37" s="27">
        <v>21</v>
      </c>
      <c r="N37" s="27">
        <v>100</v>
      </c>
      <c r="O37" s="27"/>
      <c r="P37" s="32"/>
    </row>
    <row r="38" spans="1:16" s="9" customFormat="1" ht="22.5" customHeight="1" x14ac:dyDescent="0.25">
      <c r="A38" s="21" t="s">
        <v>141</v>
      </c>
      <c r="B38" s="24" t="s">
        <v>142</v>
      </c>
      <c r="C38" s="21" t="s">
        <v>37</v>
      </c>
      <c r="D38" s="21" t="s">
        <v>38</v>
      </c>
      <c r="E38" s="22">
        <v>42</v>
      </c>
      <c r="F38" s="22" t="s">
        <v>79</v>
      </c>
      <c r="G38" s="22">
        <v>59</v>
      </c>
      <c r="H38" s="22">
        <v>48</v>
      </c>
      <c r="I38" s="22">
        <v>25</v>
      </c>
      <c r="J38" s="22">
        <v>21</v>
      </c>
      <c r="K38" s="22">
        <v>32</v>
      </c>
      <c r="L38" s="22">
        <v>30</v>
      </c>
      <c r="M38" s="22">
        <v>32</v>
      </c>
      <c r="N38" s="22">
        <v>78</v>
      </c>
      <c r="O38" s="22">
        <v>46</v>
      </c>
      <c r="P38" s="32"/>
    </row>
    <row r="39" spans="1:16" s="9" customFormat="1" ht="22.5" customHeight="1" x14ac:dyDescent="0.25">
      <c r="A39" s="25"/>
      <c r="B39" s="26"/>
      <c r="C39" s="25"/>
      <c r="D39" s="25"/>
      <c r="E39" s="27"/>
      <c r="F39" s="27"/>
      <c r="G39" s="27"/>
      <c r="H39" s="27">
        <v>106</v>
      </c>
      <c r="I39" s="27">
        <v>115</v>
      </c>
      <c r="J39" s="27">
        <v>79</v>
      </c>
      <c r="K39" s="27">
        <v>37</v>
      </c>
      <c r="L39" s="27">
        <v>28</v>
      </c>
      <c r="M39" s="27">
        <v>22</v>
      </c>
      <c r="N39" s="27">
        <v>96</v>
      </c>
      <c r="O39" s="27"/>
      <c r="P39" s="32"/>
    </row>
    <row r="40" spans="1:16" s="9" customFormat="1" ht="22.5" customHeight="1" x14ac:dyDescent="0.25">
      <c r="A40" s="21" t="s">
        <v>143</v>
      </c>
      <c r="B40" s="24" t="s">
        <v>144</v>
      </c>
      <c r="C40" s="21" t="s">
        <v>37</v>
      </c>
      <c r="D40" s="21" t="s">
        <v>38</v>
      </c>
      <c r="E40" s="22">
        <v>42</v>
      </c>
      <c r="F40" s="22" t="s">
        <v>102</v>
      </c>
      <c r="G40" s="22">
        <v>57</v>
      </c>
      <c r="H40" s="22">
        <v>43</v>
      </c>
      <c r="I40" s="22">
        <v>24</v>
      </c>
      <c r="J40" s="22">
        <v>17</v>
      </c>
      <c r="K40" s="22">
        <v>27</v>
      </c>
      <c r="L40" s="22">
        <v>25</v>
      </c>
      <c r="M40" s="22">
        <v>27</v>
      </c>
      <c r="N40" s="22">
        <v>70</v>
      </c>
      <c r="O40" s="22">
        <v>40</v>
      </c>
      <c r="P40" s="32"/>
    </row>
    <row r="41" spans="1:16" s="9" customFormat="1" ht="22.5" customHeight="1" x14ac:dyDescent="0.25">
      <c r="A41" s="25"/>
      <c r="B41" s="26"/>
      <c r="C41" s="25"/>
      <c r="D41" s="25"/>
      <c r="E41" s="27"/>
      <c r="F41" s="27"/>
      <c r="G41" s="27"/>
      <c r="H41" s="27">
        <v>84</v>
      </c>
      <c r="I41" s="27">
        <v>100</v>
      </c>
      <c r="J41" s="27">
        <v>66</v>
      </c>
      <c r="K41" s="27">
        <v>32</v>
      </c>
      <c r="L41" s="27">
        <v>24</v>
      </c>
      <c r="M41" s="27">
        <v>19</v>
      </c>
      <c r="N41" s="27">
        <v>94</v>
      </c>
      <c r="O41" s="27"/>
      <c r="P41" s="32"/>
    </row>
    <row r="42" spans="1:16" s="9" customFormat="1" ht="22.5" customHeight="1" x14ac:dyDescent="0.25">
      <c r="A42" s="21" t="s">
        <v>145</v>
      </c>
      <c r="B42" s="24" t="s">
        <v>146</v>
      </c>
      <c r="C42" s="21" t="s">
        <v>37</v>
      </c>
      <c r="D42" s="21" t="s">
        <v>38</v>
      </c>
      <c r="E42" s="22">
        <v>41</v>
      </c>
      <c r="F42" s="22" t="s">
        <v>79</v>
      </c>
      <c r="G42" s="22">
        <v>58</v>
      </c>
      <c r="H42" s="22">
        <v>46</v>
      </c>
      <c r="I42" s="22">
        <v>27</v>
      </c>
      <c r="J42" s="22">
        <v>19</v>
      </c>
      <c r="K42" s="22">
        <v>30</v>
      </c>
      <c r="L42" s="22">
        <v>28</v>
      </c>
      <c r="M42" s="22">
        <v>30</v>
      </c>
      <c r="N42" s="22">
        <v>73</v>
      </c>
      <c r="O42" s="22">
        <v>41</v>
      </c>
      <c r="P42" s="32"/>
    </row>
    <row r="43" spans="1:16" s="9" customFormat="1" ht="22.5" customHeight="1" x14ac:dyDescent="0.25">
      <c r="A43" s="25"/>
      <c r="B43" s="26"/>
      <c r="C43" s="25"/>
      <c r="D43" s="25"/>
      <c r="E43" s="27"/>
      <c r="F43" s="27"/>
      <c r="G43" s="27"/>
      <c r="H43" s="27">
        <v>93</v>
      </c>
      <c r="I43" s="27">
        <v>102</v>
      </c>
      <c r="J43" s="27">
        <v>66</v>
      </c>
      <c r="K43" s="27">
        <v>35</v>
      </c>
      <c r="L43" s="27">
        <v>28</v>
      </c>
      <c r="M43" s="27">
        <v>22</v>
      </c>
      <c r="N43" s="27">
        <v>96</v>
      </c>
      <c r="O43" s="27"/>
      <c r="P43" s="32"/>
    </row>
    <row r="44" spans="1:16" ht="22.5" customHeight="1" x14ac:dyDescent="0.25">
      <c r="A44" s="21" t="s">
        <v>147</v>
      </c>
      <c r="B44" s="24" t="s">
        <v>148</v>
      </c>
      <c r="C44" s="21" t="s">
        <v>37</v>
      </c>
      <c r="D44" s="21" t="s">
        <v>38</v>
      </c>
      <c r="E44" s="22">
        <v>42</v>
      </c>
      <c r="F44" s="22" t="s">
        <v>79</v>
      </c>
      <c r="G44" s="22">
        <v>60</v>
      </c>
      <c r="H44" s="22">
        <v>47</v>
      </c>
      <c r="I44" s="22">
        <v>25</v>
      </c>
      <c r="J44" s="22">
        <v>20</v>
      </c>
      <c r="K44" s="22">
        <v>31</v>
      </c>
      <c r="L44" s="22">
        <v>29</v>
      </c>
      <c r="M44" s="22">
        <v>31</v>
      </c>
      <c r="N44" s="22">
        <v>73</v>
      </c>
      <c r="O44" s="22">
        <v>44</v>
      </c>
    </row>
    <row r="45" spans="1:16" ht="22.5" customHeight="1" x14ac:dyDescent="0.25">
      <c r="A45" s="25"/>
      <c r="B45" s="26"/>
      <c r="C45" s="25"/>
      <c r="D45" s="25"/>
      <c r="E45" s="27"/>
      <c r="F45" s="27"/>
      <c r="G45" s="27"/>
      <c r="H45" s="27">
        <v>98</v>
      </c>
      <c r="I45" s="27">
        <v>114</v>
      </c>
      <c r="J45" s="27">
        <v>76</v>
      </c>
      <c r="K45" s="27">
        <v>37</v>
      </c>
      <c r="L45" s="27">
        <v>27</v>
      </c>
      <c r="M45" s="27">
        <v>23</v>
      </c>
      <c r="N45" s="27">
        <v>98</v>
      </c>
      <c r="O45" s="27"/>
    </row>
    <row r="46" spans="1:16" s="9" customFormat="1" ht="22.5" customHeight="1" x14ac:dyDescent="0.25">
      <c r="A46" s="21" t="s">
        <v>149</v>
      </c>
      <c r="B46" s="24" t="s">
        <v>150</v>
      </c>
      <c r="C46" s="21" t="s">
        <v>151</v>
      </c>
      <c r="D46" s="21" t="s">
        <v>38</v>
      </c>
      <c r="E46" s="22">
        <v>41</v>
      </c>
      <c r="F46" s="22" t="s">
        <v>39</v>
      </c>
      <c r="G46" s="22">
        <v>57</v>
      </c>
      <c r="H46" s="22">
        <v>48</v>
      </c>
      <c r="I46" s="22">
        <v>25</v>
      </c>
      <c r="J46" s="22">
        <v>20</v>
      </c>
      <c r="K46" s="22">
        <v>32</v>
      </c>
      <c r="L46" s="22">
        <v>30</v>
      </c>
      <c r="M46" s="22">
        <v>32</v>
      </c>
      <c r="N46" s="22">
        <v>72</v>
      </c>
      <c r="O46" s="22">
        <v>46</v>
      </c>
      <c r="P46" s="32"/>
    </row>
    <row r="47" spans="1:16" s="9" customFormat="1" ht="22.5" customHeight="1" x14ac:dyDescent="0.25">
      <c r="A47" s="25"/>
      <c r="B47" s="26"/>
      <c r="C47" s="25"/>
      <c r="D47" s="25"/>
      <c r="E47" s="27"/>
      <c r="F47" s="27"/>
      <c r="G47" s="27"/>
      <c r="H47" s="27">
        <v>100</v>
      </c>
      <c r="I47" s="27">
        <v>116</v>
      </c>
      <c r="J47" s="27">
        <v>72</v>
      </c>
      <c r="K47" s="27">
        <v>37</v>
      </c>
      <c r="L47" s="27">
        <v>27</v>
      </c>
      <c r="M47" s="27">
        <v>21</v>
      </c>
      <c r="N47" s="27">
        <v>101</v>
      </c>
      <c r="O47" s="27"/>
      <c r="P47" s="32"/>
    </row>
    <row r="48" spans="1:16" s="9" customFormat="1" ht="22.5" customHeight="1" x14ac:dyDescent="0.25">
      <c r="A48" s="21" t="s">
        <v>152</v>
      </c>
      <c r="B48" s="24" t="s">
        <v>153</v>
      </c>
      <c r="C48" s="21" t="s">
        <v>151</v>
      </c>
      <c r="D48" s="21" t="s">
        <v>38</v>
      </c>
      <c r="E48" s="22">
        <v>40</v>
      </c>
      <c r="F48" s="22" t="s">
        <v>61</v>
      </c>
      <c r="G48" s="22">
        <v>53</v>
      </c>
      <c r="H48" s="22">
        <v>44</v>
      </c>
      <c r="I48" s="22">
        <v>24</v>
      </c>
      <c r="J48" s="22">
        <v>16</v>
      </c>
      <c r="K48" s="22">
        <v>26</v>
      </c>
      <c r="L48" s="22">
        <v>23</v>
      </c>
      <c r="M48" s="22">
        <v>26</v>
      </c>
      <c r="N48" s="22">
        <v>71</v>
      </c>
      <c r="O48" s="22">
        <v>36</v>
      </c>
      <c r="P48" s="32"/>
    </row>
    <row r="49" spans="1:16" ht="22.5" customHeight="1" x14ac:dyDescent="0.25">
      <c r="A49" s="25"/>
      <c r="B49" s="26"/>
      <c r="C49" s="25"/>
      <c r="D49" s="25"/>
      <c r="E49" s="27"/>
      <c r="F49" s="27"/>
      <c r="G49" s="27"/>
      <c r="H49" s="27">
        <v>70</v>
      </c>
      <c r="I49" s="27">
        <v>98</v>
      </c>
      <c r="J49" s="27">
        <v>64</v>
      </c>
      <c r="K49" s="27">
        <v>31</v>
      </c>
      <c r="L49" s="27">
        <v>24</v>
      </c>
      <c r="M49" s="27">
        <v>19</v>
      </c>
      <c r="N49" s="27">
        <v>94</v>
      </c>
      <c r="O49" s="27"/>
    </row>
    <row r="50" spans="1:16" ht="22.5" customHeight="1" x14ac:dyDescent="0.25">
      <c r="A50" s="21" t="s">
        <v>154</v>
      </c>
      <c r="B50" s="24" t="s">
        <v>155</v>
      </c>
      <c r="C50" s="21" t="s">
        <v>37</v>
      </c>
      <c r="D50" s="21" t="s">
        <v>38</v>
      </c>
      <c r="E50" s="22">
        <v>41</v>
      </c>
      <c r="F50" s="22" t="s">
        <v>39</v>
      </c>
      <c r="G50" s="22">
        <v>58</v>
      </c>
      <c r="H50" s="22">
        <v>44</v>
      </c>
      <c r="I50" s="22">
        <v>25</v>
      </c>
      <c r="J50" s="22">
        <v>19</v>
      </c>
      <c r="K50" s="22">
        <v>31</v>
      </c>
      <c r="L50" s="22">
        <v>29</v>
      </c>
      <c r="M50" s="22">
        <v>31</v>
      </c>
      <c r="N50" s="22">
        <v>69</v>
      </c>
      <c r="O50" s="22">
        <v>43</v>
      </c>
    </row>
    <row r="51" spans="1:16" ht="22.5" customHeight="1" x14ac:dyDescent="0.25">
      <c r="A51" s="25"/>
      <c r="B51" s="26"/>
      <c r="C51" s="25"/>
      <c r="D51" s="25"/>
      <c r="E51" s="27"/>
      <c r="F51" s="27"/>
      <c r="G51" s="27"/>
      <c r="H51" s="27">
        <v>100</v>
      </c>
      <c r="I51" s="27">
        <v>112</v>
      </c>
      <c r="J51" s="27">
        <v>69</v>
      </c>
      <c r="K51" s="27">
        <v>36</v>
      </c>
      <c r="L51" s="27">
        <v>26</v>
      </c>
      <c r="M51" s="27">
        <v>22</v>
      </c>
      <c r="N51" s="27">
        <v>95</v>
      </c>
      <c r="O51" s="27"/>
      <c r="P51" s="11"/>
    </row>
    <row r="52" spans="1:16" s="9" customFormat="1" ht="22.5" customHeight="1" x14ac:dyDescent="0.25">
      <c r="A52" s="21" t="s">
        <v>156</v>
      </c>
      <c r="B52" s="24" t="s">
        <v>157</v>
      </c>
      <c r="C52" s="21" t="s">
        <v>37</v>
      </c>
      <c r="D52" s="21" t="s">
        <v>38</v>
      </c>
      <c r="E52" s="22">
        <v>42</v>
      </c>
      <c r="F52" s="22" t="s">
        <v>102</v>
      </c>
      <c r="G52" s="22">
        <v>60</v>
      </c>
      <c r="H52" s="22">
        <v>44</v>
      </c>
      <c r="I52" s="22">
        <v>24</v>
      </c>
      <c r="J52" s="22">
        <v>18</v>
      </c>
      <c r="K52" s="22">
        <v>30</v>
      </c>
      <c r="L52" s="22">
        <v>28</v>
      </c>
      <c r="M52" s="22">
        <v>30</v>
      </c>
      <c r="N52" s="22">
        <v>69</v>
      </c>
      <c r="O52" s="22">
        <v>43</v>
      </c>
      <c r="P52" s="32"/>
    </row>
    <row r="53" spans="1:16" ht="22.5" customHeight="1" x14ac:dyDescent="0.25">
      <c r="A53" s="25"/>
      <c r="B53" s="26"/>
      <c r="C53" s="25"/>
      <c r="D53" s="25"/>
      <c r="E53" s="27"/>
      <c r="F53" s="27"/>
      <c r="G53" s="27"/>
      <c r="H53" s="27">
        <v>95</v>
      </c>
      <c r="I53" s="27">
        <v>117</v>
      </c>
      <c r="J53" s="27">
        <v>67</v>
      </c>
      <c r="K53" s="27">
        <v>35</v>
      </c>
      <c r="L53" s="27">
        <v>26</v>
      </c>
      <c r="M53" s="27">
        <v>21</v>
      </c>
      <c r="N53" s="27">
        <v>100</v>
      </c>
      <c r="O53" s="27"/>
    </row>
    <row r="54" spans="1:16" ht="22.5" customHeight="1" x14ac:dyDescent="0.25">
      <c r="A54" s="21" t="s">
        <v>158</v>
      </c>
      <c r="B54" s="24" t="s">
        <v>159</v>
      </c>
      <c r="C54" s="21" t="s">
        <v>37</v>
      </c>
      <c r="D54" s="21" t="s">
        <v>38</v>
      </c>
      <c r="E54" s="22">
        <v>41</v>
      </c>
      <c r="F54" s="22" t="s">
        <v>61</v>
      </c>
      <c r="G54" s="22">
        <v>54</v>
      </c>
      <c r="H54" s="22">
        <v>39</v>
      </c>
      <c r="I54" s="22">
        <v>23</v>
      </c>
      <c r="J54" s="22">
        <v>16</v>
      </c>
      <c r="K54" s="22">
        <v>26</v>
      </c>
      <c r="L54" s="22">
        <v>24</v>
      </c>
      <c r="M54" s="22">
        <v>26</v>
      </c>
      <c r="N54" s="22">
        <v>70</v>
      </c>
      <c r="O54" s="22">
        <v>40</v>
      </c>
    </row>
    <row r="55" spans="1:16" ht="22.5" customHeight="1" x14ac:dyDescent="0.25">
      <c r="A55" s="25"/>
      <c r="B55" s="26"/>
      <c r="C55" s="25"/>
      <c r="D55" s="25"/>
      <c r="E55" s="27"/>
      <c r="F55" s="27"/>
      <c r="G55" s="27"/>
      <c r="H55" s="27">
        <v>74</v>
      </c>
      <c r="I55" s="27">
        <v>96</v>
      </c>
      <c r="J55" s="27">
        <v>61</v>
      </c>
      <c r="K55" s="27">
        <v>29</v>
      </c>
      <c r="L55" s="27">
        <v>22</v>
      </c>
      <c r="M55" s="27">
        <v>20</v>
      </c>
      <c r="N55" s="27">
        <v>99</v>
      </c>
      <c r="O55" s="27"/>
    </row>
    <row r="56" spans="1:16" ht="22.5" customHeight="1" x14ac:dyDescent="0.25">
      <c r="A56" s="21" t="s">
        <v>160</v>
      </c>
      <c r="B56" s="24" t="s">
        <v>161</v>
      </c>
      <c r="C56" s="21" t="s">
        <v>37</v>
      </c>
      <c r="D56" s="21" t="s">
        <v>38</v>
      </c>
      <c r="E56" s="22">
        <v>42</v>
      </c>
      <c r="F56" s="22" t="s">
        <v>79</v>
      </c>
      <c r="G56" s="22">
        <v>57</v>
      </c>
      <c r="H56" s="22">
        <v>44</v>
      </c>
      <c r="I56" s="22">
        <v>26</v>
      </c>
      <c r="J56" s="22">
        <v>20</v>
      </c>
      <c r="K56" s="22">
        <v>32</v>
      </c>
      <c r="L56" s="22">
        <v>30</v>
      </c>
      <c r="M56" s="22">
        <v>32</v>
      </c>
      <c r="N56" s="22">
        <v>75</v>
      </c>
      <c r="O56" s="22">
        <v>45</v>
      </c>
    </row>
    <row r="57" spans="1:16" ht="22.5" customHeight="1" x14ac:dyDescent="0.25">
      <c r="A57" s="25"/>
      <c r="B57" s="26"/>
      <c r="C57" s="25"/>
      <c r="D57" s="25"/>
      <c r="E57" s="27"/>
      <c r="F57" s="27"/>
      <c r="G57" s="27"/>
      <c r="H57" s="27">
        <v>102</v>
      </c>
      <c r="I57" s="27">
        <v>128</v>
      </c>
      <c r="J57" s="27">
        <v>72</v>
      </c>
      <c r="K57" s="27">
        <v>36</v>
      </c>
      <c r="L57" s="27">
        <v>27</v>
      </c>
      <c r="M57" s="27">
        <v>22</v>
      </c>
      <c r="N57" s="27">
        <v>98</v>
      </c>
      <c r="O57" s="27"/>
    </row>
    <row r="58" spans="1:16" ht="22.5" customHeight="1" x14ac:dyDescent="0.25">
      <c r="A58" s="21" t="s">
        <v>162</v>
      </c>
      <c r="B58" s="24" t="s">
        <v>163</v>
      </c>
      <c r="C58" s="21" t="s">
        <v>37</v>
      </c>
      <c r="D58" s="21" t="s">
        <v>38</v>
      </c>
      <c r="E58" s="22">
        <v>41</v>
      </c>
      <c r="F58" s="22" t="s">
        <v>61</v>
      </c>
      <c r="G58" s="22">
        <v>54</v>
      </c>
      <c r="H58" s="22">
        <v>43</v>
      </c>
      <c r="I58" s="22">
        <v>25</v>
      </c>
      <c r="J58" s="22">
        <v>17</v>
      </c>
      <c r="K58" s="22">
        <v>27</v>
      </c>
      <c r="L58" s="22">
        <v>26</v>
      </c>
      <c r="M58" s="22">
        <v>27</v>
      </c>
      <c r="N58" s="22">
        <v>73</v>
      </c>
      <c r="O58" s="22">
        <v>42</v>
      </c>
    </row>
    <row r="59" spans="1:16" ht="22.5" customHeight="1" x14ac:dyDescent="0.25">
      <c r="A59" s="25"/>
      <c r="B59" s="26"/>
      <c r="C59" s="25"/>
      <c r="D59" s="25"/>
      <c r="E59" s="27"/>
      <c r="F59" s="27"/>
      <c r="G59" s="27"/>
      <c r="H59" s="27">
        <v>85</v>
      </c>
      <c r="I59" s="27">
        <v>100</v>
      </c>
      <c r="J59" s="27">
        <v>68</v>
      </c>
      <c r="K59" s="27">
        <v>31</v>
      </c>
      <c r="L59" s="27">
        <v>23</v>
      </c>
      <c r="M59" s="27">
        <v>21</v>
      </c>
      <c r="N59" s="27">
        <v>96</v>
      </c>
      <c r="O59" s="27"/>
    </row>
    <row r="60" spans="1:16" ht="22.5" customHeight="1" x14ac:dyDescent="0.25">
      <c r="A60" s="21" t="s">
        <v>164</v>
      </c>
      <c r="B60" s="24" t="s">
        <v>165</v>
      </c>
      <c r="C60" s="21" t="s">
        <v>37</v>
      </c>
      <c r="D60" s="21" t="s">
        <v>38</v>
      </c>
      <c r="E60" s="22">
        <v>42</v>
      </c>
      <c r="F60" s="22" t="s">
        <v>39</v>
      </c>
      <c r="G60" s="22">
        <v>59</v>
      </c>
      <c r="H60" s="22">
        <v>47</v>
      </c>
      <c r="I60" s="22">
        <v>26</v>
      </c>
      <c r="J60" s="22">
        <v>19</v>
      </c>
      <c r="K60" s="22">
        <v>32</v>
      </c>
      <c r="L60" s="22">
        <v>30</v>
      </c>
      <c r="M60" s="22">
        <v>32</v>
      </c>
      <c r="N60" s="22">
        <v>73</v>
      </c>
      <c r="O60" s="22">
        <v>45</v>
      </c>
    </row>
    <row r="61" spans="1:16" ht="22.5" customHeight="1" x14ac:dyDescent="0.25">
      <c r="A61" s="25"/>
      <c r="B61" s="26"/>
      <c r="C61" s="25"/>
      <c r="D61" s="25"/>
      <c r="E61" s="27"/>
      <c r="F61" s="27"/>
      <c r="G61" s="27"/>
      <c r="H61" s="27">
        <v>101</v>
      </c>
      <c r="I61" s="27">
        <v>117</v>
      </c>
      <c r="J61" s="27">
        <v>72</v>
      </c>
      <c r="K61" s="27">
        <v>36</v>
      </c>
      <c r="L61" s="27">
        <v>26</v>
      </c>
      <c r="M61" s="27">
        <v>22</v>
      </c>
      <c r="N61" s="27">
        <v>101</v>
      </c>
      <c r="O61" s="27"/>
    </row>
    <row r="62" spans="1:16" ht="22.5" customHeight="1" x14ac:dyDescent="0.25">
      <c r="A62" s="21" t="s">
        <v>166</v>
      </c>
      <c r="B62" s="24" t="s">
        <v>167</v>
      </c>
      <c r="C62" s="21" t="s">
        <v>37</v>
      </c>
      <c r="D62" s="21" t="s">
        <v>38</v>
      </c>
      <c r="E62" s="22">
        <v>41</v>
      </c>
      <c r="F62" s="22" t="s">
        <v>39</v>
      </c>
      <c r="G62" s="22" t="s">
        <v>52</v>
      </c>
      <c r="H62" s="22">
        <v>44</v>
      </c>
      <c r="I62" s="22">
        <v>24</v>
      </c>
      <c r="J62" s="22">
        <v>17</v>
      </c>
      <c r="K62" s="22">
        <v>30</v>
      </c>
      <c r="L62" s="22">
        <v>28</v>
      </c>
      <c r="M62" s="22">
        <v>30</v>
      </c>
      <c r="N62" s="22">
        <v>70</v>
      </c>
      <c r="O62" s="22">
        <v>44</v>
      </c>
    </row>
    <row r="63" spans="1:16" ht="22.5" customHeight="1" x14ac:dyDescent="0.25">
      <c r="A63" s="25"/>
      <c r="B63" s="26"/>
      <c r="C63" s="25"/>
      <c r="D63" s="25"/>
      <c r="E63" s="27"/>
      <c r="F63" s="27"/>
      <c r="G63" s="27"/>
      <c r="H63" s="27">
        <v>96</v>
      </c>
      <c r="I63" s="27">
        <v>108</v>
      </c>
      <c r="J63" s="27">
        <v>72</v>
      </c>
      <c r="K63" s="27">
        <v>35</v>
      </c>
      <c r="L63" s="27">
        <v>24</v>
      </c>
      <c r="M63" s="27">
        <v>21</v>
      </c>
      <c r="N63" s="27">
        <v>95</v>
      </c>
      <c r="O63" s="27"/>
    </row>
    <row r="64" spans="1:16" ht="22.5" customHeight="1" x14ac:dyDescent="0.25">
      <c r="A64" s="21" t="s">
        <v>168</v>
      </c>
      <c r="B64" s="24" t="s">
        <v>169</v>
      </c>
      <c r="C64" s="21" t="s">
        <v>37</v>
      </c>
      <c r="D64" s="21" t="s">
        <v>38</v>
      </c>
      <c r="E64" s="22">
        <v>44</v>
      </c>
      <c r="F64" s="22" t="s">
        <v>39</v>
      </c>
      <c r="G64" s="22">
        <v>59</v>
      </c>
      <c r="H64" s="22">
        <v>46</v>
      </c>
      <c r="I64" s="22">
        <v>25</v>
      </c>
      <c r="J64" s="22">
        <v>19</v>
      </c>
      <c r="K64" s="22">
        <v>31</v>
      </c>
      <c r="L64" s="22">
        <v>29</v>
      </c>
      <c r="M64" s="22">
        <v>31</v>
      </c>
      <c r="N64" s="22">
        <v>70</v>
      </c>
      <c r="O64" s="22">
        <v>44</v>
      </c>
    </row>
    <row r="65" spans="1:15" ht="22.5" customHeight="1" x14ac:dyDescent="0.25">
      <c r="A65" s="25"/>
      <c r="B65" s="26"/>
      <c r="C65" s="25"/>
      <c r="D65" s="25"/>
      <c r="E65" s="27"/>
      <c r="F65" s="27"/>
      <c r="G65" s="27"/>
      <c r="H65" s="27">
        <v>101</v>
      </c>
      <c r="I65" s="27">
        <v>119</v>
      </c>
      <c r="J65" s="27">
        <v>74</v>
      </c>
      <c r="K65" s="27">
        <v>36</v>
      </c>
      <c r="L65" s="27">
        <v>27</v>
      </c>
      <c r="M65" s="27">
        <v>22</v>
      </c>
      <c r="N65" s="27">
        <v>99</v>
      </c>
      <c r="O65" s="27"/>
    </row>
    <row r="66" spans="1:15" ht="22.5" customHeight="1" x14ac:dyDescent="0.25">
      <c r="A66" s="21" t="s">
        <v>170</v>
      </c>
      <c r="B66" s="24" t="s">
        <v>171</v>
      </c>
      <c r="C66" s="21" t="s">
        <v>37</v>
      </c>
      <c r="D66" s="21" t="s">
        <v>38</v>
      </c>
      <c r="E66" s="22">
        <v>42</v>
      </c>
      <c r="F66" s="22" t="s">
        <v>102</v>
      </c>
      <c r="G66" s="22">
        <v>54</v>
      </c>
      <c r="H66" s="22">
        <v>46</v>
      </c>
      <c r="I66" s="22">
        <v>22</v>
      </c>
      <c r="J66" s="22">
        <v>19</v>
      </c>
      <c r="K66" s="22">
        <v>31</v>
      </c>
      <c r="L66" s="22">
        <v>29</v>
      </c>
      <c r="M66" s="22">
        <v>31</v>
      </c>
      <c r="N66" s="22">
        <v>67</v>
      </c>
      <c r="O66" s="22">
        <v>43</v>
      </c>
    </row>
    <row r="67" spans="1:15" ht="22.5" customHeight="1" x14ac:dyDescent="0.25">
      <c r="A67" s="25"/>
      <c r="B67" s="26"/>
      <c r="C67" s="25"/>
      <c r="D67" s="25"/>
      <c r="E67" s="27"/>
      <c r="F67" s="27"/>
      <c r="G67" s="27"/>
      <c r="H67" s="27">
        <v>100</v>
      </c>
      <c r="I67" s="27">
        <v>115</v>
      </c>
      <c r="J67" s="27">
        <v>70</v>
      </c>
      <c r="K67" s="27">
        <v>36</v>
      </c>
      <c r="L67" s="27">
        <v>26</v>
      </c>
      <c r="M67" s="27">
        <v>21</v>
      </c>
      <c r="N67" s="27">
        <v>94</v>
      </c>
      <c r="O67" s="27"/>
    </row>
    <row r="68" spans="1:15" ht="22.5" customHeight="1" x14ac:dyDescent="0.25">
      <c r="A68" s="21" t="s">
        <v>172</v>
      </c>
      <c r="B68" s="24" t="s">
        <v>173</v>
      </c>
      <c r="C68" s="21" t="s">
        <v>37</v>
      </c>
      <c r="D68" s="21" t="s">
        <v>38</v>
      </c>
      <c r="E68" s="22">
        <v>43</v>
      </c>
      <c r="F68" s="22" t="s">
        <v>79</v>
      </c>
      <c r="G68" s="22">
        <v>62</v>
      </c>
      <c r="H68" s="22">
        <v>50</v>
      </c>
      <c r="I68" s="22">
        <v>27</v>
      </c>
      <c r="J68" s="22">
        <v>21</v>
      </c>
      <c r="K68" s="22">
        <v>35</v>
      </c>
      <c r="L68" s="22">
        <v>35</v>
      </c>
      <c r="M68" s="22">
        <v>35</v>
      </c>
      <c r="N68" s="22">
        <v>80</v>
      </c>
      <c r="O68" s="22">
        <v>48</v>
      </c>
    </row>
    <row r="69" spans="1:15" ht="22.5" customHeight="1" x14ac:dyDescent="0.25">
      <c r="A69" s="25"/>
      <c r="B69" s="26"/>
      <c r="C69" s="25"/>
      <c r="D69" s="25"/>
      <c r="E69" s="27"/>
      <c r="F69" s="27"/>
      <c r="G69" s="27"/>
      <c r="H69" s="27">
        <v>116</v>
      </c>
      <c r="I69" s="27">
        <v>130</v>
      </c>
      <c r="J69" s="27">
        <v>86</v>
      </c>
      <c r="K69" s="27">
        <v>40</v>
      </c>
      <c r="L69" s="27">
        <v>28</v>
      </c>
      <c r="M69" s="27">
        <v>22</v>
      </c>
      <c r="N69" s="27">
        <v>100</v>
      </c>
      <c r="O69" s="27"/>
    </row>
    <row r="70" spans="1:15" ht="22.5" customHeight="1" x14ac:dyDescent="0.25">
      <c r="A70" s="21" t="s">
        <v>174</v>
      </c>
      <c r="B70" s="24" t="s">
        <v>175</v>
      </c>
      <c r="C70" s="21" t="s">
        <v>37</v>
      </c>
      <c r="D70" s="21" t="s">
        <v>38</v>
      </c>
      <c r="E70" s="22">
        <v>43</v>
      </c>
      <c r="F70" s="22" t="s">
        <v>79</v>
      </c>
      <c r="G70" s="22">
        <v>60</v>
      </c>
      <c r="H70" s="22">
        <v>52</v>
      </c>
      <c r="I70" s="22">
        <v>28</v>
      </c>
      <c r="J70" s="22">
        <v>22</v>
      </c>
      <c r="K70" s="22">
        <v>36</v>
      </c>
      <c r="L70" s="22">
        <v>36</v>
      </c>
      <c r="M70" s="22">
        <v>36</v>
      </c>
      <c r="N70" s="22">
        <v>74</v>
      </c>
      <c r="O70" s="22">
        <v>54</v>
      </c>
    </row>
    <row r="71" spans="1:15" ht="22.5" customHeight="1" x14ac:dyDescent="0.25">
      <c r="A71" s="25"/>
      <c r="B71" s="26"/>
      <c r="C71" s="25"/>
      <c r="D71" s="25"/>
      <c r="E71" s="27"/>
      <c r="F71" s="27"/>
      <c r="G71" s="27"/>
      <c r="H71" s="27">
        <v>120</v>
      </c>
      <c r="I71" s="27">
        <v>131</v>
      </c>
      <c r="J71" s="27">
        <v>83</v>
      </c>
      <c r="K71" s="27">
        <v>41</v>
      </c>
      <c r="L71" s="27">
        <v>30</v>
      </c>
      <c r="M71" s="27">
        <v>24</v>
      </c>
      <c r="N71" s="27">
        <v>96</v>
      </c>
      <c r="O71" s="27"/>
    </row>
    <row r="72" spans="1:15" ht="22.5" customHeight="1" x14ac:dyDescent="0.25">
      <c r="A72" s="21" t="s">
        <v>176</v>
      </c>
      <c r="B72" s="24" t="s">
        <v>177</v>
      </c>
      <c r="C72" s="21" t="s">
        <v>37</v>
      </c>
      <c r="D72" s="21" t="s">
        <v>38</v>
      </c>
      <c r="E72" s="22">
        <v>42</v>
      </c>
      <c r="F72" s="22" t="s">
        <v>61</v>
      </c>
      <c r="G72" s="22">
        <v>58</v>
      </c>
      <c r="H72" s="22">
        <v>43</v>
      </c>
      <c r="I72" s="22">
        <v>24</v>
      </c>
      <c r="J72" s="22">
        <v>17</v>
      </c>
      <c r="K72" s="22">
        <v>27</v>
      </c>
      <c r="L72" s="22">
        <v>25</v>
      </c>
      <c r="M72" s="22">
        <v>27</v>
      </c>
      <c r="N72" s="22">
        <v>70</v>
      </c>
      <c r="O72" s="22">
        <v>42</v>
      </c>
    </row>
    <row r="73" spans="1:15" ht="22.5" customHeight="1" x14ac:dyDescent="0.25">
      <c r="A73" s="25"/>
      <c r="B73" s="26"/>
      <c r="C73" s="25"/>
      <c r="D73" s="25"/>
      <c r="E73" s="27"/>
      <c r="F73" s="27"/>
      <c r="G73" s="27"/>
      <c r="H73" s="27">
        <v>85</v>
      </c>
      <c r="I73" s="27">
        <v>100</v>
      </c>
      <c r="J73" s="27">
        <v>70</v>
      </c>
      <c r="K73" s="27">
        <v>34</v>
      </c>
      <c r="L73" s="27">
        <v>26</v>
      </c>
      <c r="M73" s="27">
        <v>20</v>
      </c>
      <c r="N73" s="27">
        <v>95</v>
      </c>
      <c r="O73" s="27"/>
    </row>
    <row r="74" spans="1:15" ht="22.5" customHeight="1" x14ac:dyDescent="0.25">
      <c r="A74" s="21" t="s">
        <v>178</v>
      </c>
      <c r="B74" s="24" t="s">
        <v>179</v>
      </c>
      <c r="C74" s="21" t="s">
        <v>37</v>
      </c>
      <c r="D74" s="21" t="s">
        <v>38</v>
      </c>
      <c r="E74" s="22">
        <v>42</v>
      </c>
      <c r="F74" s="22" t="s">
        <v>61</v>
      </c>
      <c r="G74" s="22">
        <v>55</v>
      </c>
      <c r="H74" s="22">
        <v>44</v>
      </c>
      <c r="I74" s="22">
        <v>25</v>
      </c>
      <c r="J74" s="22">
        <v>18</v>
      </c>
      <c r="K74" s="22">
        <v>29</v>
      </c>
      <c r="L74" s="22">
        <v>27</v>
      </c>
      <c r="M74" s="22">
        <v>29</v>
      </c>
      <c r="N74" s="22">
        <v>69</v>
      </c>
      <c r="O74" s="22">
        <v>43</v>
      </c>
    </row>
    <row r="75" spans="1:15" ht="22.5" customHeight="1" x14ac:dyDescent="0.25">
      <c r="A75" s="25"/>
      <c r="B75" s="26"/>
      <c r="C75" s="25"/>
      <c r="D75" s="25"/>
      <c r="E75" s="27"/>
      <c r="F75" s="27"/>
      <c r="G75" s="27"/>
      <c r="H75" s="27">
        <v>90</v>
      </c>
      <c r="I75" s="27">
        <v>115</v>
      </c>
      <c r="J75" s="27">
        <v>67</v>
      </c>
      <c r="K75" s="27">
        <v>35</v>
      </c>
      <c r="L75" s="27">
        <v>26</v>
      </c>
      <c r="M75" s="27">
        <v>19</v>
      </c>
      <c r="N75" s="27">
        <v>96</v>
      </c>
      <c r="O75" s="27"/>
    </row>
    <row r="76" spans="1:15" ht="22.5" customHeight="1" x14ac:dyDescent="0.25">
      <c r="A76" s="21" t="s">
        <v>238</v>
      </c>
      <c r="B76" s="24" t="s">
        <v>222</v>
      </c>
      <c r="C76" s="21" t="s">
        <v>37</v>
      </c>
      <c r="D76" s="21" t="s">
        <v>38</v>
      </c>
      <c r="E76" s="22" t="s">
        <v>62</v>
      </c>
      <c r="F76" s="22" t="s">
        <v>39</v>
      </c>
      <c r="G76" s="22" t="s">
        <v>223</v>
      </c>
      <c r="H76" s="22" t="s">
        <v>85</v>
      </c>
      <c r="I76" s="22" t="s">
        <v>41</v>
      </c>
      <c r="J76" s="22" t="s">
        <v>42</v>
      </c>
      <c r="K76" s="22" t="s">
        <v>69</v>
      </c>
      <c r="L76" s="22" t="s">
        <v>43</v>
      </c>
      <c r="M76" s="22" t="s">
        <v>69</v>
      </c>
      <c r="N76" s="22" t="s">
        <v>45</v>
      </c>
      <c r="O76" s="22" t="s">
        <v>51</v>
      </c>
    </row>
    <row r="77" spans="1:15" ht="22.5" customHeight="1" x14ac:dyDescent="0.25">
      <c r="A77" s="25"/>
      <c r="B77" s="26"/>
      <c r="C77" s="25"/>
      <c r="D77" s="25"/>
      <c r="E77" s="27"/>
      <c r="F77" s="27"/>
      <c r="G77" s="27"/>
      <c r="H77" s="27" t="s">
        <v>76</v>
      </c>
      <c r="I77" s="27" t="s">
        <v>113</v>
      </c>
      <c r="J77" s="27" t="s">
        <v>89</v>
      </c>
      <c r="K77" s="27" t="s">
        <v>206</v>
      </c>
      <c r="L77" s="27" t="s">
        <v>183</v>
      </c>
      <c r="M77" s="27" t="s">
        <v>70</v>
      </c>
      <c r="N77" s="27" t="s">
        <v>108</v>
      </c>
      <c r="O77" s="27"/>
    </row>
    <row r="78" spans="1:15" ht="22.5" customHeight="1" x14ac:dyDescent="0.25">
      <c r="A78" s="21" t="s">
        <v>239</v>
      </c>
      <c r="B78" s="24" t="s">
        <v>228</v>
      </c>
      <c r="C78" s="21" t="s">
        <v>37</v>
      </c>
      <c r="D78" s="21" t="s">
        <v>38</v>
      </c>
      <c r="E78" s="22">
        <v>45</v>
      </c>
      <c r="F78" s="22" t="s">
        <v>102</v>
      </c>
      <c r="G78" s="22" t="s">
        <v>52</v>
      </c>
      <c r="H78" s="22" t="s">
        <v>182</v>
      </c>
      <c r="I78" s="22" t="s">
        <v>63</v>
      </c>
      <c r="J78" s="22" t="s">
        <v>42</v>
      </c>
      <c r="K78" s="22" t="s">
        <v>43</v>
      </c>
      <c r="L78" s="22" t="s">
        <v>44</v>
      </c>
      <c r="M78" s="22" t="s">
        <v>43</v>
      </c>
      <c r="N78" s="22" t="s">
        <v>89</v>
      </c>
      <c r="O78" s="22" t="s">
        <v>40</v>
      </c>
    </row>
    <row r="79" spans="1:15" ht="22.5" customHeight="1" x14ac:dyDescent="0.25">
      <c r="A79" s="25"/>
      <c r="B79" s="26"/>
      <c r="C79" s="25"/>
      <c r="D79" s="25"/>
      <c r="E79" s="27"/>
      <c r="F79" s="27"/>
      <c r="G79" s="27"/>
      <c r="H79" s="27" t="s">
        <v>75</v>
      </c>
      <c r="I79" s="27" t="s">
        <v>113</v>
      </c>
      <c r="J79" s="27" t="s">
        <v>58</v>
      </c>
      <c r="K79" s="27" t="s">
        <v>49</v>
      </c>
      <c r="L79" s="27" t="s">
        <v>183</v>
      </c>
      <c r="M79" s="27" t="s">
        <v>94</v>
      </c>
      <c r="N79" s="27" t="s">
        <v>226</v>
      </c>
      <c r="O79" s="27"/>
    </row>
    <row r="80" spans="1:15" ht="22.5" customHeight="1" x14ac:dyDescent="0.25">
      <c r="A80" s="21" t="s">
        <v>240</v>
      </c>
      <c r="B80" s="24" t="s">
        <v>229</v>
      </c>
      <c r="C80" s="21" t="s">
        <v>37</v>
      </c>
      <c r="D80" s="21" t="s">
        <v>38</v>
      </c>
      <c r="E80" s="22" t="s">
        <v>62</v>
      </c>
      <c r="F80" s="22" t="s">
        <v>61</v>
      </c>
      <c r="G80" s="22" t="s">
        <v>204</v>
      </c>
      <c r="H80" s="22" t="s">
        <v>62</v>
      </c>
      <c r="I80" s="22" t="s">
        <v>41</v>
      </c>
      <c r="J80" s="22" t="s">
        <v>64</v>
      </c>
      <c r="K80" s="22" t="s">
        <v>50</v>
      </c>
      <c r="L80" s="22" t="s">
        <v>41</v>
      </c>
      <c r="M80" s="22" t="s">
        <v>50</v>
      </c>
      <c r="N80" s="22" t="s">
        <v>45</v>
      </c>
      <c r="O80" s="22" t="s">
        <v>103</v>
      </c>
    </row>
    <row r="81" spans="1:15" ht="22.5" customHeight="1" x14ac:dyDescent="0.25">
      <c r="A81" s="25"/>
      <c r="B81" s="26"/>
      <c r="C81" s="25"/>
      <c r="D81" s="25"/>
      <c r="E81" s="27"/>
      <c r="F81" s="27"/>
      <c r="G81" s="27"/>
      <c r="H81" s="27" t="s">
        <v>230</v>
      </c>
      <c r="I81" s="27" t="s">
        <v>56</v>
      </c>
      <c r="J81" s="27" t="s">
        <v>231</v>
      </c>
      <c r="K81" s="27" t="s">
        <v>232</v>
      </c>
      <c r="L81" s="27" t="s">
        <v>50</v>
      </c>
      <c r="M81" s="27" t="s">
        <v>53</v>
      </c>
      <c r="N81" s="27" t="s">
        <v>108</v>
      </c>
      <c r="O81" s="27"/>
    </row>
    <row r="82" spans="1:15" ht="22.5" customHeight="1" x14ac:dyDescent="0.25">
      <c r="A82" s="21" t="s">
        <v>241</v>
      </c>
      <c r="B82" s="24" t="s">
        <v>233</v>
      </c>
      <c r="C82" s="21" t="s">
        <v>37</v>
      </c>
      <c r="D82" s="21" t="s">
        <v>38</v>
      </c>
      <c r="E82" s="22" t="s">
        <v>65</v>
      </c>
      <c r="F82" s="22" t="s">
        <v>102</v>
      </c>
      <c r="G82" s="22" t="s">
        <v>223</v>
      </c>
      <c r="H82" s="22" t="s">
        <v>182</v>
      </c>
      <c r="I82" s="22" t="s">
        <v>41</v>
      </c>
      <c r="J82" s="22" t="s">
        <v>42</v>
      </c>
      <c r="K82" s="22" t="s">
        <v>43</v>
      </c>
      <c r="L82" s="22" t="s">
        <v>44</v>
      </c>
      <c r="M82" s="22" t="s">
        <v>43</v>
      </c>
      <c r="N82" s="22" t="s">
        <v>58</v>
      </c>
      <c r="O82" s="22" t="s">
        <v>40</v>
      </c>
    </row>
    <row r="83" spans="1:15" ht="22.5" customHeight="1" x14ac:dyDescent="0.25">
      <c r="A83" s="25"/>
      <c r="B83" s="26"/>
      <c r="C83" s="25"/>
      <c r="D83" s="25"/>
      <c r="E83" s="27"/>
      <c r="F83" s="27"/>
      <c r="G83" s="27"/>
      <c r="H83" s="27" t="s">
        <v>108</v>
      </c>
      <c r="I83" s="27" t="s">
        <v>114</v>
      </c>
      <c r="J83" s="27" t="s">
        <v>45</v>
      </c>
      <c r="K83" s="27" t="s">
        <v>83</v>
      </c>
      <c r="L83" s="27" t="s">
        <v>50</v>
      </c>
      <c r="M83" s="27" t="s">
        <v>53</v>
      </c>
      <c r="N83" s="27" t="s">
        <v>209</v>
      </c>
      <c r="O83" s="27"/>
    </row>
    <row r="84" spans="1:15" ht="22.5" customHeight="1" x14ac:dyDescent="0.25">
      <c r="A84" s="21" t="s">
        <v>242</v>
      </c>
      <c r="B84" s="24" t="s">
        <v>234</v>
      </c>
      <c r="C84" s="21" t="s">
        <v>37</v>
      </c>
      <c r="D84" s="21" t="s">
        <v>38</v>
      </c>
      <c r="E84" s="22" t="s">
        <v>65</v>
      </c>
      <c r="F84" s="22" t="s">
        <v>79</v>
      </c>
      <c r="G84" s="22" t="s">
        <v>223</v>
      </c>
      <c r="H84" s="22" t="s">
        <v>51</v>
      </c>
      <c r="I84" s="22" t="s">
        <v>50</v>
      </c>
      <c r="J84" s="22" t="s">
        <v>53</v>
      </c>
      <c r="K84" s="22" t="s">
        <v>69</v>
      </c>
      <c r="L84" s="22" t="s">
        <v>43</v>
      </c>
      <c r="M84" s="22" t="s">
        <v>69</v>
      </c>
      <c r="N84" s="22" t="s">
        <v>235</v>
      </c>
      <c r="O84" s="22" t="s">
        <v>71</v>
      </c>
    </row>
    <row r="85" spans="1:15" ht="22.5" customHeight="1" x14ac:dyDescent="0.25">
      <c r="A85" s="25"/>
      <c r="B85" s="26"/>
      <c r="C85" s="25"/>
      <c r="D85" s="25"/>
      <c r="E85" s="27"/>
      <c r="F85" s="27"/>
      <c r="G85" s="27"/>
      <c r="H85" s="27" t="s">
        <v>226</v>
      </c>
      <c r="I85" s="27" t="s">
        <v>236</v>
      </c>
      <c r="J85" s="27" t="s">
        <v>48</v>
      </c>
      <c r="K85" s="27" t="s">
        <v>206</v>
      </c>
      <c r="L85" s="27" t="s">
        <v>44</v>
      </c>
      <c r="M85" s="27" t="s">
        <v>94</v>
      </c>
      <c r="N85" s="27" t="s">
        <v>237</v>
      </c>
      <c r="O85" s="27"/>
    </row>
    <row r="86" spans="1:15" ht="22.5" customHeight="1" x14ac:dyDescent="0.25">
      <c r="A86" s="21" t="s">
        <v>180</v>
      </c>
      <c r="B86" s="24" t="s">
        <v>181</v>
      </c>
      <c r="C86" s="21" t="s">
        <v>130</v>
      </c>
      <c r="D86" s="21" t="s">
        <v>38</v>
      </c>
      <c r="E86" s="22">
        <v>41</v>
      </c>
      <c r="F86" s="22" t="s">
        <v>39</v>
      </c>
      <c r="G86" s="22">
        <v>56</v>
      </c>
      <c r="H86" s="22" t="s">
        <v>182</v>
      </c>
      <c r="I86" s="22" t="s">
        <v>41</v>
      </c>
      <c r="J86" s="22" t="s">
        <v>64</v>
      </c>
      <c r="K86" s="22" t="s">
        <v>183</v>
      </c>
      <c r="L86" s="22" t="s">
        <v>50</v>
      </c>
      <c r="M86" s="22" t="s">
        <v>183</v>
      </c>
      <c r="N86" s="22" t="s">
        <v>99</v>
      </c>
      <c r="O86" s="22" t="s">
        <v>40</v>
      </c>
    </row>
    <row r="87" spans="1:15" ht="22.5" customHeight="1" x14ac:dyDescent="0.25">
      <c r="A87" s="25"/>
      <c r="B87" s="26"/>
      <c r="C87" s="25"/>
      <c r="D87" s="25"/>
      <c r="E87" s="27"/>
      <c r="F87" s="27"/>
      <c r="G87" s="27"/>
      <c r="H87" s="27" t="s">
        <v>184</v>
      </c>
      <c r="I87" s="27" t="s">
        <v>185</v>
      </c>
      <c r="J87" s="27" t="s">
        <v>48</v>
      </c>
      <c r="K87" s="27" t="s">
        <v>83</v>
      </c>
      <c r="L87" s="27" t="s">
        <v>50</v>
      </c>
      <c r="M87" s="27" t="s">
        <v>84</v>
      </c>
      <c r="N87" s="27">
        <v>97</v>
      </c>
      <c r="O87" s="27"/>
    </row>
    <row r="88" spans="1:15" ht="22.5" customHeight="1" x14ac:dyDescent="0.25">
      <c r="A88" s="21" t="s">
        <v>188</v>
      </c>
      <c r="B88" s="24" t="s">
        <v>189</v>
      </c>
      <c r="C88" s="21" t="s">
        <v>130</v>
      </c>
      <c r="D88" s="21" t="s">
        <v>38</v>
      </c>
      <c r="E88" s="22">
        <v>42</v>
      </c>
      <c r="F88" s="22" t="s">
        <v>39</v>
      </c>
      <c r="G88" s="22">
        <v>56</v>
      </c>
      <c r="H88" s="22" t="s">
        <v>40</v>
      </c>
      <c r="I88" s="22" t="s">
        <v>63</v>
      </c>
      <c r="J88" s="22" t="s">
        <v>42</v>
      </c>
      <c r="K88" s="22" t="s">
        <v>43</v>
      </c>
      <c r="L88" s="22" t="s">
        <v>50</v>
      </c>
      <c r="M88" s="22" t="s">
        <v>43</v>
      </c>
      <c r="N88" s="22" t="s">
        <v>99</v>
      </c>
      <c r="O88" s="22" t="s">
        <v>92</v>
      </c>
    </row>
    <row r="89" spans="1:15" ht="22.5" customHeight="1" x14ac:dyDescent="0.25">
      <c r="A89" s="25"/>
      <c r="B89" s="26"/>
      <c r="C89" s="25"/>
      <c r="D89" s="25"/>
      <c r="E89" s="27"/>
      <c r="F89" s="27"/>
      <c r="G89" s="27"/>
      <c r="H89" s="27" t="s">
        <v>184</v>
      </c>
      <c r="I89" s="27" t="s">
        <v>113</v>
      </c>
      <c r="J89" s="27" t="s">
        <v>99</v>
      </c>
      <c r="K89" s="27" t="s">
        <v>83</v>
      </c>
      <c r="L89" s="27" t="s">
        <v>50</v>
      </c>
      <c r="M89" s="27" t="s">
        <v>53</v>
      </c>
      <c r="N89" s="27" t="s">
        <v>105</v>
      </c>
      <c r="O89" s="27"/>
    </row>
    <row r="90" spans="1:15" ht="22.5" customHeight="1" x14ac:dyDescent="0.25">
      <c r="A90" s="21" t="s">
        <v>190</v>
      </c>
      <c r="B90" s="24" t="s">
        <v>191</v>
      </c>
      <c r="C90" s="21" t="s">
        <v>130</v>
      </c>
      <c r="D90" s="21" t="s">
        <v>38</v>
      </c>
      <c r="E90" s="22">
        <v>42</v>
      </c>
      <c r="F90" s="22" t="s">
        <v>79</v>
      </c>
      <c r="G90" s="22">
        <v>59</v>
      </c>
      <c r="H90" s="22">
        <v>50</v>
      </c>
      <c r="I90" s="22">
        <v>27</v>
      </c>
      <c r="J90" s="22">
        <v>22</v>
      </c>
      <c r="K90" s="22">
        <v>34</v>
      </c>
      <c r="L90" s="22">
        <v>34</v>
      </c>
      <c r="M90" s="22">
        <v>34</v>
      </c>
      <c r="N90" s="22">
        <v>76</v>
      </c>
      <c r="O90" s="22">
        <v>48</v>
      </c>
    </row>
    <row r="91" spans="1:15" ht="22.5" customHeight="1" x14ac:dyDescent="0.25">
      <c r="A91" s="25"/>
      <c r="B91" s="26"/>
      <c r="C91" s="25"/>
      <c r="D91" s="25"/>
      <c r="E91" s="27"/>
      <c r="F91" s="27"/>
      <c r="G91" s="27"/>
      <c r="H91" s="27">
        <v>116</v>
      </c>
      <c r="I91" s="27">
        <v>130</v>
      </c>
      <c r="J91" s="27">
        <v>84</v>
      </c>
      <c r="K91" s="27">
        <v>41</v>
      </c>
      <c r="L91" s="27">
        <v>31</v>
      </c>
      <c r="M91" s="27">
        <v>23</v>
      </c>
      <c r="N91" s="27">
        <v>103</v>
      </c>
      <c r="O91" s="27"/>
    </row>
    <row r="92" spans="1:15" ht="22.5" customHeight="1" x14ac:dyDescent="0.25">
      <c r="A92" s="21" t="s">
        <v>192</v>
      </c>
      <c r="B92" s="24" t="s">
        <v>193</v>
      </c>
      <c r="C92" s="21" t="s">
        <v>130</v>
      </c>
      <c r="D92" s="21" t="s">
        <v>38</v>
      </c>
      <c r="E92" s="22">
        <v>41</v>
      </c>
      <c r="F92" s="22" t="s">
        <v>102</v>
      </c>
      <c r="G92" s="22">
        <v>56</v>
      </c>
      <c r="H92" s="22">
        <v>46</v>
      </c>
      <c r="I92" s="22">
        <v>25</v>
      </c>
      <c r="J92" s="22">
        <v>19</v>
      </c>
      <c r="K92" s="22">
        <v>30</v>
      </c>
      <c r="L92" s="22">
        <v>28</v>
      </c>
      <c r="M92" s="22">
        <v>30</v>
      </c>
      <c r="N92" s="22">
        <v>74</v>
      </c>
      <c r="O92" s="22">
        <v>40</v>
      </c>
    </row>
    <row r="93" spans="1:15" ht="22.5" customHeight="1" x14ac:dyDescent="0.25">
      <c r="A93" s="25"/>
      <c r="B93" s="26"/>
      <c r="C93" s="25"/>
      <c r="D93" s="25"/>
      <c r="E93" s="27"/>
      <c r="F93" s="27"/>
      <c r="G93" s="27"/>
      <c r="H93" s="27">
        <v>92</v>
      </c>
      <c r="I93" s="27">
        <v>106</v>
      </c>
      <c r="J93" s="27">
        <v>74</v>
      </c>
      <c r="K93" s="27">
        <v>35</v>
      </c>
      <c r="L93" s="27">
        <v>27</v>
      </c>
      <c r="M93" s="27">
        <v>20</v>
      </c>
      <c r="N93" s="27">
        <v>98</v>
      </c>
      <c r="O93" s="27"/>
    </row>
    <row r="94" spans="1:15" ht="22.5" customHeight="1" x14ac:dyDescent="0.25">
      <c r="A94" s="21" t="s">
        <v>194</v>
      </c>
      <c r="B94" s="24" t="s">
        <v>195</v>
      </c>
      <c r="C94" s="21" t="s">
        <v>130</v>
      </c>
      <c r="D94" s="21" t="s">
        <v>38</v>
      </c>
      <c r="E94" s="22">
        <v>40</v>
      </c>
      <c r="F94" s="22" t="s">
        <v>102</v>
      </c>
      <c r="G94" s="22">
        <v>55</v>
      </c>
      <c r="H94" s="22">
        <v>49</v>
      </c>
      <c r="I94" s="22">
        <v>27</v>
      </c>
      <c r="J94" s="22">
        <v>20</v>
      </c>
      <c r="K94" s="22">
        <v>32</v>
      </c>
      <c r="L94" s="22">
        <v>30</v>
      </c>
      <c r="M94" s="22">
        <v>32</v>
      </c>
      <c r="N94" s="22">
        <v>70</v>
      </c>
      <c r="O94" s="22">
        <v>40</v>
      </c>
    </row>
    <row r="95" spans="1:15" ht="22.5" customHeight="1" x14ac:dyDescent="0.25">
      <c r="A95" s="25"/>
      <c r="B95" s="26"/>
      <c r="C95" s="25"/>
      <c r="D95" s="25"/>
      <c r="E95" s="27"/>
      <c r="F95" s="27"/>
      <c r="G95" s="27"/>
      <c r="H95" s="27">
        <v>102</v>
      </c>
      <c r="I95" s="27">
        <v>117</v>
      </c>
      <c r="J95" s="27">
        <v>74</v>
      </c>
      <c r="K95" s="27">
        <v>37</v>
      </c>
      <c r="L95" s="27">
        <v>27</v>
      </c>
      <c r="M95" s="27">
        <v>22</v>
      </c>
      <c r="N95" s="27">
        <v>94</v>
      </c>
      <c r="O95" s="27"/>
    </row>
    <row r="96" spans="1:15" ht="22.5" customHeight="1" x14ac:dyDescent="0.25">
      <c r="A96" s="21" t="s">
        <v>196</v>
      </c>
      <c r="B96" s="24" t="s">
        <v>197</v>
      </c>
      <c r="C96" s="21" t="s">
        <v>130</v>
      </c>
      <c r="D96" s="21" t="s">
        <v>38</v>
      </c>
      <c r="E96" s="22">
        <v>43</v>
      </c>
      <c r="F96" s="22" t="s">
        <v>39</v>
      </c>
      <c r="G96" s="22">
        <v>58</v>
      </c>
      <c r="H96" s="22">
        <v>48</v>
      </c>
      <c r="I96" s="22">
        <v>26</v>
      </c>
      <c r="J96" s="22">
        <v>20</v>
      </c>
      <c r="K96" s="22">
        <v>32</v>
      </c>
      <c r="L96" s="22">
        <v>30</v>
      </c>
      <c r="M96" s="22">
        <v>32</v>
      </c>
      <c r="N96" s="22">
        <v>75</v>
      </c>
      <c r="O96" s="22">
        <v>45</v>
      </c>
    </row>
    <row r="97" spans="1:15" ht="22.5" customHeight="1" x14ac:dyDescent="0.25">
      <c r="A97" s="25"/>
      <c r="B97" s="26"/>
      <c r="C97" s="25"/>
      <c r="D97" s="25"/>
      <c r="E97" s="27"/>
      <c r="F97" s="27"/>
      <c r="G97" s="27"/>
      <c r="H97" s="27">
        <v>105</v>
      </c>
      <c r="I97" s="27">
        <v>120</v>
      </c>
      <c r="J97" s="27">
        <v>74</v>
      </c>
      <c r="K97" s="27">
        <v>37</v>
      </c>
      <c r="L97" s="27">
        <v>28</v>
      </c>
      <c r="M97" s="27">
        <v>23</v>
      </c>
      <c r="N97" s="27">
        <v>105</v>
      </c>
      <c r="O97" s="27"/>
    </row>
    <row r="98" spans="1:15" ht="22.5" customHeight="1" x14ac:dyDescent="0.25">
      <c r="A98" s="21" t="s">
        <v>198</v>
      </c>
      <c r="B98" s="24" t="s">
        <v>199</v>
      </c>
      <c r="C98" s="21" t="s">
        <v>130</v>
      </c>
      <c r="D98" s="21" t="s">
        <v>38</v>
      </c>
      <c r="E98" s="22">
        <v>42</v>
      </c>
      <c r="F98" s="22" t="s">
        <v>102</v>
      </c>
      <c r="G98" s="22">
        <v>56</v>
      </c>
      <c r="H98" s="22">
        <v>46</v>
      </c>
      <c r="I98" s="22">
        <v>25</v>
      </c>
      <c r="J98" s="22">
        <v>19</v>
      </c>
      <c r="K98" s="22">
        <v>31</v>
      </c>
      <c r="L98" s="22">
        <v>29</v>
      </c>
      <c r="M98" s="22">
        <v>31</v>
      </c>
      <c r="N98" s="22">
        <v>72</v>
      </c>
      <c r="O98" s="22">
        <v>41</v>
      </c>
    </row>
    <row r="99" spans="1:15" ht="22.5" customHeight="1" x14ac:dyDescent="0.25">
      <c r="A99" s="25"/>
      <c r="B99" s="26"/>
      <c r="C99" s="25"/>
      <c r="D99" s="25"/>
      <c r="E99" s="27"/>
      <c r="F99" s="27"/>
      <c r="G99" s="27"/>
      <c r="H99" s="27">
        <v>92</v>
      </c>
      <c r="I99" s="27">
        <v>112</v>
      </c>
      <c r="J99" s="27">
        <v>68</v>
      </c>
      <c r="K99" s="27">
        <v>35</v>
      </c>
      <c r="L99" s="27">
        <v>26</v>
      </c>
      <c r="M99" s="27">
        <v>21</v>
      </c>
      <c r="N99" s="27">
        <v>100</v>
      </c>
      <c r="O99" s="27"/>
    </row>
    <row r="100" spans="1:15" ht="22.5" customHeight="1" x14ac:dyDescent="0.25">
      <c r="A100" s="21" t="s">
        <v>200</v>
      </c>
      <c r="B100" s="24" t="s">
        <v>201</v>
      </c>
      <c r="C100" s="21" t="s">
        <v>130</v>
      </c>
      <c r="D100" s="21" t="s">
        <v>38</v>
      </c>
      <c r="E100" s="22" t="s">
        <v>62</v>
      </c>
      <c r="F100" s="22" t="s">
        <v>61</v>
      </c>
      <c r="G100" s="22">
        <v>54</v>
      </c>
      <c r="H100" s="22">
        <v>42</v>
      </c>
      <c r="I100" s="22">
        <v>25</v>
      </c>
      <c r="J100" s="22">
        <v>17</v>
      </c>
      <c r="K100" s="22">
        <v>27</v>
      </c>
      <c r="L100" s="22">
        <v>25</v>
      </c>
      <c r="M100" s="22">
        <v>27</v>
      </c>
      <c r="N100" s="22">
        <v>67</v>
      </c>
      <c r="O100" s="22">
        <v>41</v>
      </c>
    </row>
    <row r="101" spans="1:15" ht="22.5" customHeight="1" x14ac:dyDescent="0.25">
      <c r="A101" s="25"/>
      <c r="B101" s="26"/>
      <c r="C101" s="25"/>
      <c r="D101" s="25"/>
      <c r="E101" s="27"/>
      <c r="F101" s="27"/>
      <c r="G101" s="27"/>
      <c r="H101" s="27">
        <v>82</v>
      </c>
      <c r="I101" s="27">
        <v>102</v>
      </c>
      <c r="J101" s="27">
        <v>66</v>
      </c>
      <c r="K101" s="27">
        <v>31</v>
      </c>
      <c r="L101" s="27">
        <v>24</v>
      </c>
      <c r="M101" s="27">
        <v>20</v>
      </c>
      <c r="N101" s="27">
        <v>95</v>
      </c>
      <c r="O101" s="27"/>
    </row>
    <row r="102" spans="1:15" ht="22.5" customHeight="1" x14ac:dyDescent="0.25">
      <c r="A102" s="21" t="s">
        <v>202</v>
      </c>
      <c r="B102" s="24" t="s">
        <v>203</v>
      </c>
      <c r="C102" s="21" t="s">
        <v>130</v>
      </c>
      <c r="D102" s="21" t="s">
        <v>38</v>
      </c>
      <c r="E102" s="22">
        <v>40</v>
      </c>
      <c r="F102" s="22" t="s">
        <v>102</v>
      </c>
      <c r="G102" s="22" t="s">
        <v>204</v>
      </c>
      <c r="H102" s="22" t="s">
        <v>65</v>
      </c>
      <c r="I102" s="22" t="s">
        <v>205</v>
      </c>
      <c r="J102" s="22" t="s">
        <v>64</v>
      </c>
      <c r="K102" s="22" t="s">
        <v>44</v>
      </c>
      <c r="L102" s="22" t="s">
        <v>41</v>
      </c>
      <c r="M102" s="22" t="s">
        <v>44</v>
      </c>
      <c r="N102" s="22" t="s">
        <v>106</v>
      </c>
      <c r="O102" s="22" t="s">
        <v>206</v>
      </c>
    </row>
    <row r="103" spans="1:15" ht="22.5" customHeight="1" x14ac:dyDescent="0.25">
      <c r="A103" s="25"/>
      <c r="B103" s="26"/>
      <c r="C103" s="25"/>
      <c r="D103" s="25"/>
      <c r="E103" s="27"/>
      <c r="F103" s="27"/>
      <c r="G103" s="27"/>
      <c r="H103" s="27" t="s">
        <v>207</v>
      </c>
      <c r="I103" s="27" t="s">
        <v>56</v>
      </c>
      <c r="J103" s="27" t="s">
        <v>208</v>
      </c>
      <c r="K103" s="27" t="s">
        <v>83</v>
      </c>
      <c r="L103" s="27" t="s">
        <v>50</v>
      </c>
      <c r="M103" s="27" t="s">
        <v>53</v>
      </c>
      <c r="N103" s="27" t="s">
        <v>209</v>
      </c>
      <c r="O103" s="27"/>
    </row>
    <row r="104" spans="1:15" ht="22.5" customHeight="1" x14ac:dyDescent="0.25">
      <c r="A104" s="21" t="s">
        <v>243</v>
      </c>
      <c r="B104" s="24" t="s">
        <v>224</v>
      </c>
      <c r="C104" s="21" t="s">
        <v>130</v>
      </c>
      <c r="D104" s="21" t="s">
        <v>38</v>
      </c>
      <c r="E104" s="22" t="s">
        <v>92</v>
      </c>
      <c r="F104" s="22" t="s">
        <v>39</v>
      </c>
      <c r="G104" s="22" t="s">
        <v>225</v>
      </c>
      <c r="H104" s="22" t="s">
        <v>182</v>
      </c>
      <c r="I104" s="22" t="s">
        <v>63</v>
      </c>
      <c r="J104" s="22" t="s">
        <v>42</v>
      </c>
      <c r="K104" s="22" t="s">
        <v>43</v>
      </c>
      <c r="L104" s="22" t="s">
        <v>44</v>
      </c>
      <c r="M104" s="22" t="s">
        <v>43</v>
      </c>
      <c r="N104" s="22" t="s">
        <v>89</v>
      </c>
      <c r="O104" s="22" t="s">
        <v>40</v>
      </c>
    </row>
    <row r="105" spans="1:15" ht="22.5" customHeight="1" x14ac:dyDescent="0.25">
      <c r="A105" s="25"/>
      <c r="B105" s="26"/>
      <c r="C105" s="25"/>
      <c r="D105" s="25"/>
      <c r="E105" s="27"/>
      <c r="F105" s="27"/>
      <c r="G105" s="27"/>
      <c r="H105" s="27" t="s">
        <v>75</v>
      </c>
      <c r="I105" s="27" t="s">
        <v>113</v>
      </c>
      <c r="J105" s="27" t="s">
        <v>58</v>
      </c>
      <c r="K105" s="27" t="s">
        <v>49</v>
      </c>
      <c r="L105" s="27" t="s">
        <v>183</v>
      </c>
      <c r="M105" s="27" t="s">
        <v>94</v>
      </c>
      <c r="N105" s="27" t="s">
        <v>226</v>
      </c>
      <c r="O105" s="27"/>
    </row>
    <row r="106" spans="1:15" ht="22.5" customHeight="1" x14ac:dyDescent="0.25">
      <c r="A106" s="21" t="s">
        <v>244</v>
      </c>
      <c r="B106" s="24" t="s">
        <v>254</v>
      </c>
      <c r="C106" s="21" t="s">
        <v>130</v>
      </c>
      <c r="D106" s="21" t="s">
        <v>38</v>
      </c>
      <c r="E106" s="22" t="s">
        <v>40</v>
      </c>
      <c r="F106" s="22" t="s">
        <v>39</v>
      </c>
      <c r="G106" s="22" t="s">
        <v>52</v>
      </c>
      <c r="H106" s="22" t="s">
        <v>85</v>
      </c>
      <c r="I106" s="22" t="s">
        <v>41</v>
      </c>
      <c r="J106" s="22" t="s">
        <v>42</v>
      </c>
      <c r="K106" s="22" t="s">
        <v>111</v>
      </c>
      <c r="L106" s="22" t="s">
        <v>183</v>
      </c>
      <c r="M106" s="22" t="s">
        <v>111</v>
      </c>
      <c r="N106" s="22" t="s">
        <v>89</v>
      </c>
      <c r="O106" s="22" t="s">
        <v>182</v>
      </c>
    </row>
    <row r="107" spans="1:15" ht="22.5" customHeight="1" x14ac:dyDescent="0.25">
      <c r="A107" s="25"/>
      <c r="B107" s="26"/>
      <c r="C107" s="25"/>
      <c r="D107" s="25"/>
      <c r="E107" s="27"/>
      <c r="F107" s="27"/>
      <c r="G107" s="27"/>
      <c r="H107" s="27" t="s">
        <v>93</v>
      </c>
      <c r="I107" s="27" t="s">
        <v>55</v>
      </c>
      <c r="J107" s="27" t="s">
        <v>48</v>
      </c>
      <c r="K107" s="27" t="s">
        <v>83</v>
      </c>
      <c r="L107" s="27" t="s">
        <v>63</v>
      </c>
      <c r="M107" s="27" t="s">
        <v>94</v>
      </c>
      <c r="N107" s="27" t="s">
        <v>87</v>
      </c>
      <c r="O107" s="27"/>
    </row>
    <row r="108" spans="1:15" ht="22.5" customHeight="1" x14ac:dyDescent="0.25">
      <c r="A108" s="21" t="s">
        <v>245</v>
      </c>
      <c r="B108" s="24" t="s">
        <v>255</v>
      </c>
      <c r="C108" s="21" t="s">
        <v>130</v>
      </c>
      <c r="D108" s="21" t="s">
        <v>38</v>
      </c>
      <c r="E108" s="22" t="s">
        <v>40</v>
      </c>
      <c r="F108" s="22" t="s">
        <v>39</v>
      </c>
      <c r="G108" s="22" t="s">
        <v>223</v>
      </c>
      <c r="H108" s="22" t="s">
        <v>182</v>
      </c>
      <c r="I108" s="22" t="s">
        <v>63</v>
      </c>
      <c r="J108" s="22" t="s">
        <v>42</v>
      </c>
      <c r="K108" s="22" t="s">
        <v>43</v>
      </c>
      <c r="L108" s="22" t="s">
        <v>44</v>
      </c>
      <c r="M108" s="22" t="s">
        <v>43</v>
      </c>
      <c r="N108" s="22" t="s">
        <v>106</v>
      </c>
      <c r="O108" s="22" t="s">
        <v>182</v>
      </c>
    </row>
    <row r="109" spans="1:15" ht="22.5" customHeight="1" x14ac:dyDescent="0.25">
      <c r="A109" s="25"/>
      <c r="B109" s="26"/>
      <c r="C109" s="25"/>
      <c r="D109" s="25"/>
      <c r="E109" s="27"/>
      <c r="F109" s="27"/>
      <c r="G109" s="27"/>
      <c r="H109" s="27" t="s">
        <v>108</v>
      </c>
      <c r="I109" s="27" t="s">
        <v>81</v>
      </c>
      <c r="J109" s="27" t="s">
        <v>45</v>
      </c>
      <c r="K109" s="27" t="s">
        <v>83</v>
      </c>
      <c r="L109" s="27" t="s">
        <v>63</v>
      </c>
      <c r="M109" s="27" t="s">
        <v>63</v>
      </c>
      <c r="N109" s="27" t="s">
        <v>93</v>
      </c>
      <c r="O109" s="27"/>
    </row>
    <row r="110" spans="1:15" ht="22.5" customHeight="1" x14ac:dyDescent="0.25">
      <c r="A110" s="21" t="s">
        <v>246</v>
      </c>
      <c r="B110" s="24" t="s">
        <v>256</v>
      </c>
      <c r="C110" s="21" t="s">
        <v>130</v>
      </c>
      <c r="D110" s="21" t="s">
        <v>38</v>
      </c>
      <c r="E110" s="22" t="s">
        <v>62</v>
      </c>
      <c r="F110" s="22" t="s">
        <v>102</v>
      </c>
      <c r="G110" s="22" t="s">
        <v>204</v>
      </c>
      <c r="H110" s="22" t="s">
        <v>182</v>
      </c>
      <c r="I110" s="22" t="s">
        <v>63</v>
      </c>
      <c r="J110" s="22" t="s">
        <v>72</v>
      </c>
      <c r="K110" s="22" t="s">
        <v>183</v>
      </c>
      <c r="L110" s="22" t="s">
        <v>63</v>
      </c>
      <c r="M110" s="22" t="s">
        <v>183</v>
      </c>
      <c r="N110" s="22" t="s">
        <v>58</v>
      </c>
      <c r="O110" s="22" t="s">
        <v>92</v>
      </c>
    </row>
    <row r="111" spans="1:15" ht="22.5" customHeight="1" x14ac:dyDescent="0.25">
      <c r="A111" s="25"/>
      <c r="B111" s="26"/>
      <c r="C111" s="25"/>
      <c r="D111" s="25"/>
      <c r="E111" s="27"/>
      <c r="F111" s="27"/>
      <c r="G111" s="27"/>
      <c r="H111" s="27" t="s">
        <v>104</v>
      </c>
      <c r="I111" s="27" t="s">
        <v>226</v>
      </c>
      <c r="J111" s="27" t="s">
        <v>231</v>
      </c>
      <c r="K111" s="27" t="s">
        <v>107</v>
      </c>
      <c r="L111" s="27" t="s">
        <v>63</v>
      </c>
      <c r="M111" s="27" t="s">
        <v>84</v>
      </c>
      <c r="N111" s="27" t="s">
        <v>67</v>
      </c>
      <c r="O111" s="27"/>
    </row>
    <row r="112" spans="1:15" ht="22.5" customHeight="1" x14ac:dyDescent="0.25">
      <c r="A112" s="21" t="s">
        <v>247</v>
      </c>
      <c r="B112" s="24" t="s">
        <v>257</v>
      </c>
      <c r="C112" s="21" t="s">
        <v>130</v>
      </c>
      <c r="D112" s="21" t="s">
        <v>38</v>
      </c>
      <c r="E112" s="22" t="s">
        <v>92</v>
      </c>
      <c r="F112" s="22" t="s">
        <v>102</v>
      </c>
      <c r="G112" s="22" t="s">
        <v>112</v>
      </c>
      <c r="H112" s="22" t="s">
        <v>71</v>
      </c>
      <c r="I112" s="22" t="s">
        <v>205</v>
      </c>
      <c r="J112" s="22" t="s">
        <v>42</v>
      </c>
      <c r="K112" s="22" t="s">
        <v>111</v>
      </c>
      <c r="L112" s="22" t="s">
        <v>183</v>
      </c>
      <c r="M112" s="22" t="s">
        <v>111</v>
      </c>
      <c r="N112" s="22" t="s">
        <v>48</v>
      </c>
      <c r="O112" s="22" t="s">
        <v>71</v>
      </c>
    </row>
    <row r="113" spans="1:15" ht="22.5" customHeight="1" x14ac:dyDescent="0.25">
      <c r="A113" s="25"/>
      <c r="B113" s="26"/>
      <c r="C113" s="25"/>
      <c r="D113" s="25"/>
      <c r="E113" s="27"/>
      <c r="F113" s="27"/>
      <c r="G113" s="27"/>
      <c r="H113" s="27" t="s">
        <v>93</v>
      </c>
      <c r="I113" s="27" t="s">
        <v>97</v>
      </c>
      <c r="J113" s="27" t="s">
        <v>106</v>
      </c>
      <c r="K113" s="27" t="s">
        <v>49</v>
      </c>
      <c r="L113" s="27" t="s">
        <v>50</v>
      </c>
      <c r="M113" s="27" t="s">
        <v>94</v>
      </c>
      <c r="N113" s="27" t="s">
        <v>108</v>
      </c>
      <c r="O113" s="27"/>
    </row>
    <row r="114" spans="1:15" ht="22.5" customHeight="1" x14ac:dyDescent="0.25">
      <c r="A114" s="21" t="s">
        <v>248</v>
      </c>
      <c r="B114" s="24" t="s">
        <v>258</v>
      </c>
      <c r="C114" s="21" t="s">
        <v>130</v>
      </c>
      <c r="D114" s="21" t="s">
        <v>38</v>
      </c>
      <c r="E114" s="22" t="s">
        <v>65</v>
      </c>
      <c r="F114" s="22" t="s">
        <v>102</v>
      </c>
      <c r="G114" s="22" t="s">
        <v>52</v>
      </c>
      <c r="H114" s="22" t="s">
        <v>182</v>
      </c>
      <c r="I114" s="22" t="s">
        <v>205</v>
      </c>
      <c r="J114" s="22" t="s">
        <v>72</v>
      </c>
      <c r="K114" s="22" t="s">
        <v>183</v>
      </c>
      <c r="L114" s="22" t="s">
        <v>50</v>
      </c>
      <c r="M114" s="22" t="s">
        <v>183</v>
      </c>
      <c r="N114" s="22" t="s">
        <v>48</v>
      </c>
      <c r="O114" s="22" t="s">
        <v>92</v>
      </c>
    </row>
    <row r="115" spans="1:15" ht="22.5" customHeight="1" x14ac:dyDescent="0.25">
      <c r="A115" s="25"/>
      <c r="B115" s="26"/>
      <c r="C115" s="25"/>
      <c r="D115" s="25"/>
      <c r="E115" s="27"/>
      <c r="F115" s="27"/>
      <c r="G115" s="27"/>
      <c r="H115" s="27" t="s">
        <v>260</v>
      </c>
      <c r="I115" s="27" t="s">
        <v>56</v>
      </c>
      <c r="J115" s="27" t="s">
        <v>208</v>
      </c>
      <c r="K115" s="27" t="s">
        <v>232</v>
      </c>
      <c r="L115" s="27" t="s">
        <v>63</v>
      </c>
      <c r="M115" s="27" t="s">
        <v>84</v>
      </c>
      <c r="N115" s="27" t="s">
        <v>108</v>
      </c>
      <c r="O115" s="27"/>
    </row>
    <row r="116" spans="1:15" ht="22.5" customHeight="1" x14ac:dyDescent="0.25">
      <c r="A116" s="21" t="s">
        <v>249</v>
      </c>
      <c r="B116" s="24" t="s">
        <v>261</v>
      </c>
      <c r="C116" s="21" t="s">
        <v>130</v>
      </c>
      <c r="D116" s="21" t="s">
        <v>38</v>
      </c>
      <c r="E116" s="22" t="s">
        <v>65</v>
      </c>
      <c r="F116" s="22" t="s">
        <v>102</v>
      </c>
      <c r="G116" s="22" t="s">
        <v>112</v>
      </c>
      <c r="H116" s="22" t="s">
        <v>92</v>
      </c>
      <c r="I116" s="22" t="s">
        <v>41</v>
      </c>
      <c r="J116" s="22" t="s">
        <v>64</v>
      </c>
      <c r="K116" s="22" t="s">
        <v>44</v>
      </c>
      <c r="L116" s="22" t="s">
        <v>63</v>
      </c>
      <c r="M116" s="22" t="s">
        <v>44</v>
      </c>
      <c r="N116" s="22" t="s">
        <v>58</v>
      </c>
      <c r="O116" s="22" t="s">
        <v>92</v>
      </c>
    </row>
    <row r="117" spans="1:15" ht="22.5" customHeight="1" x14ac:dyDescent="0.25">
      <c r="A117" s="25"/>
      <c r="B117" s="26"/>
      <c r="C117" s="25"/>
      <c r="D117" s="25"/>
      <c r="E117" s="27"/>
      <c r="F117" s="27"/>
      <c r="G117" s="27"/>
      <c r="H117" s="27" t="s">
        <v>207</v>
      </c>
      <c r="I117" s="27" t="s">
        <v>237</v>
      </c>
      <c r="J117" s="27" t="s">
        <v>68</v>
      </c>
      <c r="K117" s="27" t="s">
        <v>107</v>
      </c>
      <c r="L117" s="27" t="s">
        <v>63</v>
      </c>
      <c r="M117" s="27" t="s">
        <v>94</v>
      </c>
      <c r="N117" s="27" t="s">
        <v>74</v>
      </c>
      <c r="O117" s="27"/>
    </row>
    <row r="118" spans="1:15" ht="22.5" customHeight="1" x14ac:dyDescent="0.25">
      <c r="A118" s="21" t="s">
        <v>250</v>
      </c>
      <c r="B118" s="24" t="s">
        <v>262</v>
      </c>
      <c r="C118" s="21" t="s">
        <v>130</v>
      </c>
      <c r="D118" s="21" t="s">
        <v>38</v>
      </c>
      <c r="E118" s="22">
        <v>42</v>
      </c>
      <c r="F118" s="22" t="s">
        <v>39</v>
      </c>
      <c r="G118" s="22">
        <v>56</v>
      </c>
      <c r="H118" s="22" t="s">
        <v>40</v>
      </c>
      <c r="I118" s="22" t="s">
        <v>63</v>
      </c>
      <c r="J118" s="22" t="s">
        <v>42</v>
      </c>
      <c r="K118" s="22" t="s">
        <v>43</v>
      </c>
      <c r="L118" s="22" t="s">
        <v>50</v>
      </c>
      <c r="M118" s="22" t="s">
        <v>43</v>
      </c>
      <c r="N118" s="22" t="s">
        <v>99</v>
      </c>
      <c r="O118" s="22" t="s">
        <v>92</v>
      </c>
    </row>
    <row r="119" spans="1:15" ht="22.5" customHeight="1" x14ac:dyDescent="0.25">
      <c r="A119" s="25"/>
      <c r="B119" s="26"/>
      <c r="C119" s="25"/>
      <c r="D119" s="25"/>
      <c r="E119" s="27"/>
      <c r="F119" s="27"/>
      <c r="G119" s="27"/>
      <c r="H119" s="27" t="s">
        <v>184</v>
      </c>
      <c r="I119" s="27" t="s">
        <v>113</v>
      </c>
      <c r="J119" s="27" t="s">
        <v>99</v>
      </c>
      <c r="K119" s="27" t="s">
        <v>83</v>
      </c>
      <c r="L119" s="27" t="s">
        <v>50</v>
      </c>
      <c r="M119" s="27" t="s">
        <v>53</v>
      </c>
      <c r="N119" s="27" t="s">
        <v>105</v>
      </c>
      <c r="O119" s="27"/>
    </row>
    <row r="120" spans="1:15" ht="22.5" customHeight="1" x14ac:dyDescent="0.25">
      <c r="A120" s="21" t="s">
        <v>251</v>
      </c>
      <c r="B120" s="24" t="s">
        <v>263</v>
      </c>
      <c r="C120" s="21" t="s">
        <v>130</v>
      </c>
      <c r="D120" s="21" t="s">
        <v>38</v>
      </c>
      <c r="E120" s="22" t="s">
        <v>92</v>
      </c>
      <c r="F120" s="22" t="s">
        <v>102</v>
      </c>
      <c r="G120" s="22" t="s">
        <v>112</v>
      </c>
      <c r="H120" s="22" t="s">
        <v>182</v>
      </c>
      <c r="I120" s="22" t="s">
        <v>50</v>
      </c>
      <c r="J120" s="22" t="s">
        <v>72</v>
      </c>
      <c r="K120" s="22" t="s">
        <v>183</v>
      </c>
      <c r="L120" s="22" t="s">
        <v>50</v>
      </c>
      <c r="M120" s="22" t="s">
        <v>183</v>
      </c>
      <c r="N120" s="22" t="s">
        <v>259</v>
      </c>
      <c r="O120" s="22" t="s">
        <v>182</v>
      </c>
    </row>
    <row r="121" spans="1:15" ht="22.5" customHeight="1" x14ac:dyDescent="0.25">
      <c r="A121" s="25"/>
      <c r="B121" s="26"/>
      <c r="C121" s="25"/>
      <c r="D121" s="25"/>
      <c r="E121" s="27"/>
      <c r="F121" s="27"/>
      <c r="G121" s="27"/>
      <c r="H121" s="27" t="s">
        <v>266</v>
      </c>
      <c r="I121" s="27" t="s">
        <v>67</v>
      </c>
      <c r="J121" s="27" t="s">
        <v>45</v>
      </c>
      <c r="K121" s="27" t="s">
        <v>83</v>
      </c>
      <c r="L121" s="27" t="s">
        <v>63</v>
      </c>
      <c r="M121" s="27" t="s">
        <v>94</v>
      </c>
      <c r="N121" s="27" t="s">
        <v>67</v>
      </c>
      <c r="O121" s="27"/>
    </row>
    <row r="122" spans="1:15" ht="22.5" customHeight="1" x14ac:dyDescent="0.25">
      <c r="A122" s="21" t="s">
        <v>252</v>
      </c>
      <c r="B122" s="24" t="s">
        <v>264</v>
      </c>
      <c r="C122" s="21" t="s">
        <v>130</v>
      </c>
      <c r="D122" s="21" t="s">
        <v>38</v>
      </c>
      <c r="E122" s="22" t="s">
        <v>65</v>
      </c>
      <c r="F122" s="22" t="s">
        <v>39</v>
      </c>
      <c r="G122" s="22" t="s">
        <v>52</v>
      </c>
      <c r="H122" s="22" t="s">
        <v>85</v>
      </c>
      <c r="I122" s="22" t="s">
        <v>50</v>
      </c>
      <c r="J122" s="22" t="s">
        <v>53</v>
      </c>
      <c r="K122" s="22" t="s">
        <v>69</v>
      </c>
      <c r="L122" s="22" t="s">
        <v>43</v>
      </c>
      <c r="M122" s="22" t="s">
        <v>69</v>
      </c>
      <c r="N122" s="22" t="s">
        <v>89</v>
      </c>
      <c r="O122" s="22" t="s">
        <v>51</v>
      </c>
    </row>
    <row r="123" spans="1:15" ht="22.5" customHeight="1" x14ac:dyDescent="0.25">
      <c r="A123" s="25"/>
      <c r="B123" s="26"/>
      <c r="C123" s="25"/>
      <c r="D123" s="25"/>
      <c r="E123" s="27"/>
      <c r="F123" s="27"/>
      <c r="G123" s="27"/>
      <c r="H123" s="27" t="s">
        <v>105</v>
      </c>
      <c r="I123" s="27" t="s">
        <v>113</v>
      </c>
      <c r="J123" s="27" t="s">
        <v>235</v>
      </c>
      <c r="K123" s="27" t="s">
        <v>206</v>
      </c>
      <c r="L123" s="27" t="s">
        <v>50</v>
      </c>
      <c r="M123" s="27" t="s">
        <v>84</v>
      </c>
      <c r="N123" s="27" t="s">
        <v>108</v>
      </c>
      <c r="O123" s="27"/>
    </row>
    <row r="124" spans="1:15" ht="22.5" customHeight="1" x14ac:dyDescent="0.25">
      <c r="A124" s="21" t="s">
        <v>253</v>
      </c>
      <c r="B124" s="24" t="s">
        <v>265</v>
      </c>
      <c r="C124" s="21" t="s">
        <v>130</v>
      </c>
      <c r="D124" s="21" t="s">
        <v>38</v>
      </c>
      <c r="E124" s="22" t="s">
        <v>92</v>
      </c>
      <c r="F124" s="22" t="s">
        <v>102</v>
      </c>
      <c r="G124" s="22" t="s">
        <v>52</v>
      </c>
      <c r="H124" s="22" t="s">
        <v>182</v>
      </c>
      <c r="I124" s="22" t="s">
        <v>41</v>
      </c>
      <c r="J124" s="22" t="s">
        <v>72</v>
      </c>
      <c r="K124" s="22" t="s">
        <v>183</v>
      </c>
      <c r="L124" s="22" t="s">
        <v>50</v>
      </c>
      <c r="M124" s="22" t="s">
        <v>183</v>
      </c>
      <c r="N124" s="22" t="s">
        <v>89</v>
      </c>
      <c r="O124" s="22" t="s">
        <v>40</v>
      </c>
    </row>
    <row r="125" spans="1:15" ht="22.5" customHeight="1" x14ac:dyDescent="0.25">
      <c r="A125" s="25"/>
      <c r="B125" s="26"/>
      <c r="C125" s="25"/>
      <c r="D125" s="25"/>
      <c r="E125" s="27"/>
      <c r="F125" s="27"/>
      <c r="G125" s="27"/>
      <c r="H125" s="27" t="s">
        <v>260</v>
      </c>
      <c r="I125" s="27" t="s">
        <v>56</v>
      </c>
      <c r="J125" s="27" t="s">
        <v>106</v>
      </c>
      <c r="K125" s="27" t="s">
        <v>83</v>
      </c>
      <c r="L125" s="27" t="s">
        <v>63</v>
      </c>
      <c r="M125" s="27" t="s">
        <v>53</v>
      </c>
      <c r="N125" s="27" t="s">
        <v>108</v>
      </c>
      <c r="O125" s="27"/>
    </row>
    <row r="126" spans="1:15" ht="22.5" customHeight="1" x14ac:dyDescent="0.25">
      <c r="A126" s="21"/>
      <c r="B126" s="24"/>
      <c r="C126" s="21"/>
      <c r="D126" s="21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</row>
    <row r="127" spans="1:15" ht="22.5" customHeight="1" x14ac:dyDescent="0.25">
      <c r="A127" s="25"/>
      <c r="B127" s="26"/>
      <c r="C127" s="25"/>
      <c r="D127" s="25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</row>
    <row r="128" spans="1:15" ht="22.5" customHeight="1" x14ac:dyDescent="0.25">
      <c r="A128" s="21"/>
      <c r="B128" s="24"/>
      <c r="C128" s="21"/>
      <c r="D128" s="21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2.5" customHeight="1" x14ac:dyDescent="0.25">
      <c r="A129" s="25"/>
      <c r="B129" s="26"/>
      <c r="C129" s="25"/>
      <c r="D129" s="25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</row>
    <row r="130" spans="1:15" ht="22.5" customHeight="1" x14ac:dyDescent="0.25">
      <c r="A130" s="21"/>
      <c r="B130" s="24"/>
      <c r="C130" s="21"/>
      <c r="D130" s="21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</row>
    <row r="131" spans="1:15" ht="22.5" customHeight="1" x14ac:dyDescent="0.25">
      <c r="A131" s="25"/>
      <c r="B131" s="26"/>
      <c r="C131" s="25"/>
      <c r="D131" s="25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</row>
    <row r="132" spans="1:15" ht="22.5" customHeight="1" x14ac:dyDescent="0.25">
      <c r="A132" s="21"/>
      <c r="B132" s="24"/>
      <c r="C132" s="21"/>
      <c r="D132" s="21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</row>
    <row r="133" spans="1:15" ht="22.5" customHeight="1" x14ac:dyDescent="0.25">
      <c r="A133" s="25"/>
      <c r="B133" s="26"/>
      <c r="C133" s="25"/>
      <c r="D133" s="25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</row>
    <row r="134" spans="1:15" ht="22.5" customHeight="1" x14ac:dyDescent="0.25">
      <c r="A134" s="21"/>
      <c r="B134" s="24"/>
      <c r="C134" s="21"/>
      <c r="D134" s="21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2.5" customHeight="1" x14ac:dyDescent="0.25">
      <c r="A135" s="25"/>
      <c r="B135" s="26"/>
      <c r="C135" s="25"/>
      <c r="D135" s="25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</row>
    <row r="136" spans="1:15" ht="22.5" customHeight="1" x14ac:dyDescent="0.25">
      <c r="A136" s="21"/>
      <c r="B136" s="24"/>
      <c r="C136" s="21"/>
      <c r="D136" s="21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</row>
    <row r="137" spans="1:15" ht="22.5" customHeight="1" x14ac:dyDescent="0.25">
      <c r="A137" s="25"/>
      <c r="B137" s="26"/>
      <c r="C137" s="25"/>
      <c r="D137" s="25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</row>
    <row r="138" spans="1:15" ht="22.5" customHeight="1" x14ac:dyDescent="0.25">
      <c r="A138" s="21"/>
      <c r="B138" s="24"/>
      <c r="C138" s="21"/>
      <c r="D138" s="21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</row>
    <row r="139" spans="1:15" ht="22.5" customHeight="1" x14ac:dyDescent="0.25">
      <c r="A139" s="25"/>
      <c r="B139" s="26"/>
      <c r="C139" s="25"/>
      <c r="D139" s="25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</row>
    <row r="140" spans="1:15" ht="22.5" customHeight="1" x14ac:dyDescent="0.25">
      <c r="A140" s="21"/>
      <c r="B140" s="24"/>
      <c r="C140" s="21"/>
      <c r="D140" s="21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2.5" customHeight="1" x14ac:dyDescent="0.25">
      <c r="A141" s="25"/>
      <c r="B141" s="26"/>
      <c r="C141" s="25"/>
      <c r="D141" s="25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</row>
    <row r="142" spans="1:15" ht="22.5" customHeight="1" x14ac:dyDescent="0.25">
      <c r="A142" s="21"/>
      <c r="B142" s="24"/>
      <c r="C142" s="21"/>
      <c r="D142" s="21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</row>
    <row r="143" spans="1:15" ht="22.5" customHeight="1" x14ac:dyDescent="0.25">
      <c r="A143" s="25"/>
      <c r="B143" s="26"/>
      <c r="C143" s="25"/>
      <c r="D143" s="25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</row>
    <row r="144" spans="1:15" ht="22.5" customHeight="1" x14ac:dyDescent="0.25">
      <c r="A144" s="21"/>
      <c r="B144" s="24"/>
      <c r="C144" s="21"/>
      <c r="D144" s="21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</row>
    <row r="145" spans="1:15" ht="22.5" customHeight="1" x14ac:dyDescent="0.25">
      <c r="A145" s="25"/>
      <c r="B145" s="26"/>
      <c r="C145" s="25"/>
      <c r="D145" s="25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</row>
    <row r="146" spans="1:15" ht="22.5" customHeight="1" x14ac:dyDescent="0.25">
      <c r="A146" s="21"/>
      <c r="B146" s="24"/>
      <c r="C146" s="21"/>
      <c r="D146" s="21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2.5" customHeight="1" x14ac:dyDescent="0.25">
      <c r="A147" s="25"/>
      <c r="B147" s="26"/>
      <c r="C147" s="25"/>
      <c r="D147" s="25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</row>
    <row r="148" spans="1:15" ht="22.5" customHeight="1" x14ac:dyDescent="0.25">
      <c r="A148" s="21"/>
      <c r="B148" s="24"/>
      <c r="C148" s="21"/>
      <c r="D148" s="21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</row>
    <row r="149" spans="1:15" ht="22.5" customHeight="1" x14ac:dyDescent="0.25">
      <c r="A149" s="25"/>
      <c r="B149" s="26"/>
      <c r="C149" s="25"/>
      <c r="D149" s="25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</row>
    <row r="150" spans="1:15" ht="22.5" customHeight="1" x14ac:dyDescent="0.25">
      <c r="A150" s="21"/>
      <c r="B150" s="24"/>
      <c r="C150" s="21"/>
      <c r="D150" s="21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</row>
    <row r="151" spans="1:15" ht="22.5" customHeight="1" x14ac:dyDescent="0.25">
      <c r="A151" s="25"/>
      <c r="B151" s="26"/>
      <c r="C151" s="25"/>
      <c r="D151" s="25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</row>
    <row r="152" spans="1:15" ht="22.5" customHeight="1" x14ac:dyDescent="0.25">
      <c r="A152" s="21"/>
      <c r="B152" s="24"/>
      <c r="C152" s="21"/>
      <c r="D152" s="21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2.5" customHeight="1" x14ac:dyDescent="0.25">
      <c r="A153" s="25"/>
      <c r="B153" s="26"/>
      <c r="C153" s="25"/>
      <c r="D153" s="25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</row>
    <row r="154" spans="1:15" ht="22.5" customHeight="1" x14ac:dyDescent="0.25">
      <c r="A154" s="21"/>
      <c r="B154" s="24"/>
      <c r="C154" s="21"/>
      <c r="D154" s="21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</row>
    <row r="155" spans="1:15" ht="22.5" customHeight="1" x14ac:dyDescent="0.25">
      <c r="A155" s="25"/>
      <c r="B155" s="26"/>
      <c r="C155" s="25"/>
      <c r="D155" s="25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</row>
    <row r="156" spans="1:15" ht="22.5" customHeight="1" x14ac:dyDescent="0.25">
      <c r="A156" s="21"/>
      <c r="B156" s="24"/>
      <c r="C156" s="21"/>
      <c r="D156" s="21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</row>
    <row r="157" spans="1:15" ht="22.5" customHeight="1" x14ac:dyDescent="0.25">
      <c r="A157" s="25"/>
      <c r="B157" s="26"/>
      <c r="C157" s="25"/>
      <c r="D157" s="25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</row>
    <row r="158" spans="1:15" ht="22.5" customHeight="1" x14ac:dyDescent="0.25">
      <c r="A158" s="21"/>
      <c r="B158" s="24"/>
      <c r="C158" s="21"/>
      <c r="D158" s="21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2.5" customHeight="1" x14ac:dyDescent="0.25">
      <c r="A159" s="25"/>
      <c r="B159" s="26"/>
      <c r="C159" s="25"/>
      <c r="D159" s="25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</row>
    <row r="160" spans="1:15" ht="22.5" customHeight="1" x14ac:dyDescent="0.25">
      <c r="A160" s="21"/>
      <c r="B160" s="24"/>
      <c r="C160" s="21"/>
      <c r="D160" s="21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</row>
    <row r="161" spans="1:15" ht="22.5" customHeight="1" x14ac:dyDescent="0.25">
      <c r="A161" s="25"/>
      <c r="B161" s="26"/>
      <c r="C161" s="25"/>
      <c r="D161" s="25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</row>
    <row r="162" spans="1:15" ht="22.5" customHeight="1" x14ac:dyDescent="0.25">
      <c r="A162" s="21"/>
      <c r="B162" s="24"/>
      <c r="C162" s="21"/>
      <c r="D162" s="21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5" ht="22.5" customHeight="1" x14ac:dyDescent="0.25">
      <c r="A163" s="25"/>
      <c r="B163" s="26"/>
      <c r="C163" s="25"/>
      <c r="D163" s="25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</row>
    <row r="164" spans="1:15" ht="22.5" customHeight="1" x14ac:dyDescent="0.25">
      <c r="A164" s="21"/>
      <c r="B164" s="24"/>
      <c r="C164" s="21"/>
      <c r="D164" s="21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2.5" customHeight="1" x14ac:dyDescent="0.25">
      <c r="A165" s="25"/>
      <c r="B165" s="26"/>
      <c r="C165" s="25"/>
      <c r="D165" s="25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</row>
    <row r="166" spans="1:15" ht="22.5" customHeight="1" x14ac:dyDescent="0.25">
      <c r="A166" s="21"/>
      <c r="B166" s="24"/>
      <c r="C166" s="21"/>
      <c r="D166" s="21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</row>
    <row r="167" spans="1:15" ht="22.5" customHeight="1" x14ac:dyDescent="0.25">
      <c r="A167" s="25"/>
      <c r="B167" s="26"/>
      <c r="C167" s="25"/>
      <c r="D167" s="25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</row>
    <row r="168" spans="1:15" ht="22.5" customHeight="1" x14ac:dyDescent="0.25">
      <c r="A168" s="21"/>
      <c r="B168" s="24"/>
      <c r="C168" s="21"/>
      <c r="D168" s="21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</row>
    <row r="169" spans="1:15" ht="22.5" customHeight="1" x14ac:dyDescent="0.25">
      <c r="A169" s="25"/>
      <c r="B169" s="26"/>
      <c r="C169" s="25"/>
      <c r="D169" s="25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</row>
    <row r="170" spans="1:15" ht="22.5" customHeight="1" x14ac:dyDescent="0.25">
      <c r="A170" s="21"/>
      <c r="B170" s="24"/>
      <c r="C170" s="21"/>
      <c r="D170" s="21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2.5" customHeight="1" x14ac:dyDescent="0.25">
      <c r="A171" s="25"/>
      <c r="B171" s="26"/>
      <c r="C171" s="25"/>
      <c r="D171" s="25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</row>
    <row r="172" spans="1:15" ht="22.5" customHeight="1" x14ac:dyDescent="0.25">
      <c r="A172" s="21"/>
      <c r="B172" s="24"/>
      <c r="C172" s="21"/>
      <c r="D172" s="21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</row>
    <row r="173" spans="1:15" ht="22.5" customHeight="1" x14ac:dyDescent="0.25">
      <c r="A173" s="25"/>
      <c r="B173" s="26"/>
      <c r="C173" s="25"/>
      <c r="D173" s="25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</row>
    <row r="174" spans="1:15" ht="22.5" customHeight="1" x14ac:dyDescent="0.25">
      <c r="A174" s="21"/>
      <c r="B174" s="24"/>
      <c r="C174" s="21"/>
      <c r="D174" s="21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</row>
    <row r="175" spans="1:15" ht="22.5" customHeight="1" x14ac:dyDescent="0.25">
      <c r="A175" s="25"/>
      <c r="B175" s="26"/>
      <c r="C175" s="25"/>
      <c r="D175" s="25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</row>
    <row r="176" spans="1:15" ht="22.5" customHeight="1" x14ac:dyDescent="0.25">
      <c r="A176" s="21"/>
      <c r="B176" s="24"/>
      <c r="C176" s="21"/>
      <c r="D176" s="21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2.5" customHeight="1" x14ac:dyDescent="0.25">
      <c r="A177" s="25"/>
      <c r="B177" s="26"/>
      <c r="C177" s="25"/>
      <c r="D177" s="25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</row>
    <row r="178" spans="1:15" ht="22.5" customHeight="1" x14ac:dyDescent="0.25">
      <c r="A178" s="21"/>
      <c r="B178" s="24"/>
      <c r="C178" s="21"/>
      <c r="D178" s="21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</row>
    <row r="179" spans="1:15" ht="22.5" customHeight="1" x14ac:dyDescent="0.25">
      <c r="A179" s="25"/>
      <c r="B179" s="26"/>
      <c r="C179" s="25"/>
      <c r="D179" s="25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</row>
    <row r="180" spans="1:15" ht="22.5" customHeight="1" x14ac:dyDescent="0.25">
      <c r="A180" s="21"/>
      <c r="B180" s="24"/>
      <c r="C180" s="21"/>
      <c r="D180" s="21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</row>
    <row r="181" spans="1:15" ht="22.5" customHeight="1" x14ac:dyDescent="0.25">
      <c r="A181" s="25"/>
      <c r="B181" s="26"/>
      <c r="C181" s="25"/>
      <c r="D181" s="25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</row>
    <row r="182" spans="1:15" ht="22.5" customHeight="1" x14ac:dyDescent="0.25">
      <c r="A182" s="21"/>
      <c r="B182" s="24"/>
      <c r="C182" s="21"/>
      <c r="D182" s="21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2.5" customHeight="1" x14ac:dyDescent="0.25">
      <c r="A183" s="25"/>
      <c r="B183" s="26"/>
      <c r="C183" s="25"/>
      <c r="D183" s="25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</row>
    <row r="184" spans="1:15" ht="22.5" customHeight="1" x14ac:dyDescent="0.25">
      <c r="A184" s="21"/>
      <c r="B184" s="24"/>
      <c r="C184" s="21"/>
      <c r="D184" s="21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</row>
    <row r="185" spans="1:15" ht="22.5" customHeight="1" x14ac:dyDescent="0.25">
      <c r="A185" s="25"/>
      <c r="B185" s="26"/>
      <c r="C185" s="25"/>
      <c r="D185" s="25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</row>
    <row r="186" spans="1:15" ht="22.5" customHeight="1" x14ac:dyDescent="0.25">
      <c r="A186" s="21"/>
      <c r="B186" s="24"/>
      <c r="C186" s="21"/>
      <c r="D186" s="21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</row>
    <row r="187" spans="1:15" ht="22.5" customHeight="1" x14ac:dyDescent="0.25">
      <c r="A187" s="25"/>
      <c r="B187" s="26"/>
      <c r="C187" s="25"/>
      <c r="D187" s="25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</row>
    <row r="188" spans="1:15" ht="22.5" customHeight="1" x14ac:dyDescent="0.25">
      <c r="A188" s="21"/>
      <c r="B188" s="24"/>
      <c r="C188" s="21"/>
      <c r="D188" s="21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2.5" customHeight="1" x14ac:dyDescent="0.25">
      <c r="A189" s="25"/>
      <c r="B189" s="26"/>
      <c r="C189" s="25"/>
      <c r="D189" s="25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</row>
    <row r="190" spans="1:15" ht="22.5" customHeight="1" x14ac:dyDescent="0.25">
      <c r="A190" s="21"/>
      <c r="B190" s="24"/>
      <c r="C190" s="21"/>
      <c r="D190" s="21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</row>
    <row r="191" spans="1:15" ht="22.5" customHeight="1" x14ac:dyDescent="0.25">
      <c r="A191" s="25"/>
      <c r="B191" s="26"/>
      <c r="C191" s="25"/>
      <c r="D191" s="25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</row>
    <row r="192" spans="1:15" ht="22.5" customHeight="1" x14ac:dyDescent="0.25">
      <c r="A192" s="21"/>
      <c r="B192" s="24"/>
      <c r="C192" s="21"/>
      <c r="D192" s="21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</row>
    <row r="193" spans="1:15" ht="22.5" customHeight="1" x14ac:dyDescent="0.25">
      <c r="A193" s="25"/>
      <c r="B193" s="26"/>
      <c r="C193" s="25"/>
      <c r="D193" s="25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</row>
    <row r="194" spans="1:15" ht="22.5" customHeight="1" x14ac:dyDescent="0.25">
      <c r="A194" s="21"/>
      <c r="B194" s="24"/>
      <c r="C194" s="21"/>
      <c r="D194" s="21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2.5" customHeight="1" x14ac:dyDescent="0.25">
      <c r="A195" s="25"/>
      <c r="B195" s="26"/>
      <c r="C195" s="25"/>
      <c r="D195" s="25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</row>
    <row r="196" spans="1:15" ht="22.5" customHeight="1" x14ac:dyDescent="0.25">
      <c r="A196" s="21"/>
      <c r="B196" s="24"/>
      <c r="C196" s="21"/>
      <c r="D196" s="21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</row>
    <row r="197" spans="1:15" ht="22.5" customHeight="1" x14ac:dyDescent="0.25">
      <c r="A197" s="25"/>
      <c r="B197" s="26"/>
      <c r="C197" s="25"/>
      <c r="D197" s="25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</row>
    <row r="198" spans="1:15" ht="22.5" customHeight="1" x14ac:dyDescent="0.25">
      <c r="A198" s="21"/>
      <c r="B198" s="24"/>
      <c r="C198" s="21"/>
      <c r="D198" s="21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</row>
    <row r="199" spans="1:15" ht="22.5" customHeight="1" x14ac:dyDescent="0.25">
      <c r="A199" s="25"/>
      <c r="B199" s="26"/>
      <c r="C199" s="25"/>
      <c r="D199" s="25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</row>
    <row r="200" spans="1:15" ht="22.5" customHeight="1" x14ac:dyDescent="0.25">
      <c r="A200" s="21"/>
      <c r="B200" s="24"/>
      <c r="C200" s="21"/>
      <c r="D200" s="21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2.5" customHeight="1" x14ac:dyDescent="0.25">
      <c r="A201" s="25"/>
      <c r="B201" s="26"/>
      <c r="C201" s="25"/>
      <c r="D201" s="25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5" ht="22.5" customHeight="1" x14ac:dyDescent="0.25">
      <c r="A202" s="21"/>
      <c r="B202" s="24"/>
      <c r="C202" s="21"/>
      <c r="D202" s="21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</row>
    <row r="203" spans="1:15" ht="22.5" customHeight="1" x14ac:dyDescent="0.25">
      <c r="A203" s="25"/>
      <c r="B203" s="26"/>
      <c r="C203" s="25"/>
      <c r="D203" s="25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</row>
    <row r="204" spans="1:15" ht="22.5" customHeight="1" x14ac:dyDescent="0.25">
      <c r="A204" s="21"/>
      <c r="B204" s="24"/>
      <c r="C204" s="21"/>
      <c r="D204" s="21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</row>
    <row r="205" spans="1:15" ht="22.5" customHeight="1" x14ac:dyDescent="0.25">
      <c r="A205" s="25"/>
      <c r="B205" s="26"/>
      <c r="C205" s="25"/>
      <c r="D205" s="25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</row>
    <row r="206" spans="1:15" ht="22.5" customHeight="1" x14ac:dyDescent="0.25">
      <c r="A206" s="21"/>
      <c r="B206" s="24"/>
      <c r="C206" s="21"/>
      <c r="D206" s="21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2.5" customHeight="1" x14ac:dyDescent="0.25">
      <c r="A207" s="25"/>
      <c r="B207" s="26"/>
      <c r="C207" s="25"/>
      <c r="D207" s="25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</row>
    <row r="208" spans="1:15" ht="22.5" customHeight="1" x14ac:dyDescent="0.25">
      <c r="A208" s="21"/>
      <c r="B208" s="24"/>
      <c r="C208" s="21"/>
      <c r="D208" s="21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</row>
    <row r="209" spans="1:15" ht="22.5" customHeight="1" x14ac:dyDescent="0.25">
      <c r="A209" s="25"/>
      <c r="B209" s="26"/>
      <c r="C209" s="25"/>
      <c r="D209" s="25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</row>
    <row r="210" spans="1:15" ht="22.5" customHeight="1" x14ac:dyDescent="0.25">
      <c r="A210" s="21"/>
      <c r="B210" s="24"/>
      <c r="C210" s="21"/>
      <c r="D210" s="21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</row>
    <row r="211" spans="1:15" ht="22.5" customHeight="1" x14ac:dyDescent="0.25">
      <c r="A211" s="25"/>
      <c r="B211" s="26"/>
      <c r="C211" s="25"/>
      <c r="D211" s="25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</row>
    <row r="212" spans="1:15" ht="22.5" customHeight="1" x14ac:dyDescent="0.25">
      <c r="A212" s="21"/>
      <c r="B212" s="24"/>
      <c r="C212" s="21"/>
      <c r="D212" s="21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2.5" customHeight="1" x14ac:dyDescent="0.25">
      <c r="A213" s="25"/>
      <c r="B213" s="26"/>
      <c r="C213" s="25"/>
      <c r="D213" s="25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</row>
    <row r="214" spans="1:15" ht="22.5" customHeight="1" x14ac:dyDescent="0.25">
      <c r="A214" s="21"/>
      <c r="B214" s="24"/>
      <c r="C214" s="21"/>
      <c r="D214" s="21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</row>
    <row r="215" spans="1:15" ht="22.5" customHeight="1" x14ac:dyDescent="0.25">
      <c r="A215" s="25"/>
      <c r="B215" s="26"/>
      <c r="C215" s="25"/>
      <c r="D215" s="25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</row>
    <row r="216" spans="1:15" ht="22.5" customHeight="1" x14ac:dyDescent="0.25">
      <c r="A216" s="21"/>
      <c r="B216" s="24"/>
      <c r="C216" s="21"/>
      <c r="D216" s="21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</row>
    <row r="217" spans="1:15" ht="22.5" customHeight="1" x14ac:dyDescent="0.25">
      <c r="A217" s="25"/>
      <c r="B217" s="26"/>
      <c r="C217" s="25"/>
      <c r="D217" s="25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</row>
    <row r="218" spans="1:15" ht="22.5" customHeight="1" x14ac:dyDescent="0.25">
      <c r="A218" s="21"/>
      <c r="B218" s="24"/>
      <c r="C218" s="21"/>
      <c r="D218" s="21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2.5" customHeight="1" x14ac:dyDescent="0.25">
      <c r="A219" s="25"/>
      <c r="B219" s="26"/>
      <c r="C219" s="25"/>
      <c r="D219" s="25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</row>
    <row r="220" spans="1:15" ht="22.5" customHeight="1" x14ac:dyDescent="0.25">
      <c r="A220" s="21"/>
      <c r="B220" s="24"/>
      <c r="C220" s="21"/>
      <c r="D220" s="21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</row>
    <row r="221" spans="1:15" ht="22.5" customHeight="1" x14ac:dyDescent="0.25">
      <c r="A221" s="25"/>
      <c r="B221" s="26"/>
      <c r="C221" s="25"/>
      <c r="D221" s="25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</row>
    <row r="222" spans="1:15" ht="22.5" customHeight="1" x14ac:dyDescent="0.25">
      <c r="A222" s="21"/>
      <c r="B222" s="24"/>
      <c r="C222" s="21"/>
      <c r="D222" s="21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</row>
    <row r="223" spans="1:15" ht="22.5" customHeight="1" x14ac:dyDescent="0.25">
      <c r="A223" s="25"/>
      <c r="B223" s="26"/>
      <c r="C223" s="25"/>
      <c r="D223" s="25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</row>
    <row r="224" spans="1:15" ht="22.5" customHeight="1" x14ac:dyDescent="0.25">
      <c r="A224" s="21"/>
      <c r="B224" s="24"/>
      <c r="C224" s="21"/>
      <c r="D224" s="21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2.5" customHeight="1" x14ac:dyDescent="0.25">
      <c r="A225" s="25"/>
      <c r="B225" s="26"/>
      <c r="C225" s="25"/>
      <c r="D225" s="25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</row>
    <row r="226" spans="1:15" ht="22.5" customHeight="1" x14ac:dyDescent="0.25">
      <c r="A226" s="21"/>
      <c r="B226" s="24"/>
      <c r="C226" s="21"/>
      <c r="D226" s="21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</row>
    <row r="227" spans="1:15" ht="22.5" customHeight="1" x14ac:dyDescent="0.25">
      <c r="A227" s="25"/>
      <c r="B227" s="26"/>
      <c r="C227" s="25"/>
      <c r="D227" s="25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</row>
    <row r="228" spans="1:15" ht="22.5" customHeight="1" x14ac:dyDescent="0.25">
      <c r="A228" s="21"/>
      <c r="B228" s="24"/>
      <c r="C228" s="21"/>
      <c r="D228" s="21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</row>
    <row r="229" spans="1:15" ht="22.5" customHeight="1" x14ac:dyDescent="0.25">
      <c r="A229" s="25"/>
      <c r="B229" s="26"/>
      <c r="C229" s="25"/>
      <c r="D229" s="25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</row>
    <row r="230" spans="1:15" ht="22.5" customHeight="1" x14ac:dyDescent="0.25">
      <c r="A230" s="21"/>
      <c r="B230" s="24"/>
      <c r="C230" s="21"/>
      <c r="D230" s="21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2.5" customHeight="1" x14ac:dyDescent="0.25">
      <c r="A231" s="25"/>
      <c r="B231" s="26"/>
      <c r="C231" s="25"/>
      <c r="D231" s="25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</row>
    <row r="232" spans="1:15" ht="22.5" customHeight="1" x14ac:dyDescent="0.25">
      <c r="A232" s="21"/>
      <c r="B232" s="24"/>
      <c r="C232" s="21"/>
      <c r="D232" s="21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</row>
    <row r="233" spans="1:15" ht="22.5" customHeight="1" x14ac:dyDescent="0.25">
      <c r="A233" s="25"/>
      <c r="B233" s="26"/>
      <c r="C233" s="25"/>
      <c r="D233" s="25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</row>
    <row r="234" spans="1:15" ht="22.5" customHeight="1" x14ac:dyDescent="0.25">
      <c r="A234" s="21"/>
      <c r="B234" s="24"/>
      <c r="C234" s="21"/>
      <c r="D234" s="21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</row>
    <row r="235" spans="1:15" ht="22.5" customHeight="1" x14ac:dyDescent="0.25">
      <c r="A235" s="25"/>
      <c r="B235" s="26"/>
      <c r="C235" s="25"/>
      <c r="D235" s="25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</row>
    <row r="236" spans="1:15" ht="22.5" customHeight="1" x14ac:dyDescent="0.25">
      <c r="A236" s="21"/>
      <c r="B236" s="24"/>
      <c r="C236" s="21"/>
      <c r="D236" s="21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2.5" customHeight="1" x14ac:dyDescent="0.25">
      <c r="A237" s="25"/>
      <c r="B237" s="26"/>
      <c r="C237" s="25"/>
      <c r="D237" s="25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</row>
    <row r="238" spans="1:15" ht="22.5" customHeight="1" x14ac:dyDescent="0.25">
      <c r="A238" s="21"/>
      <c r="B238" s="24"/>
      <c r="C238" s="21"/>
      <c r="D238" s="21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</row>
    <row r="239" spans="1:15" ht="22.5" customHeight="1" x14ac:dyDescent="0.25">
      <c r="A239" s="25"/>
      <c r="B239" s="26"/>
      <c r="C239" s="25"/>
      <c r="D239" s="25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</row>
    <row r="240" spans="1:15" ht="22.5" customHeight="1" x14ac:dyDescent="0.25">
      <c r="A240" s="21"/>
      <c r="B240" s="24"/>
      <c r="C240" s="21"/>
      <c r="D240" s="21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</row>
    <row r="241" spans="1:15" ht="22.5" customHeight="1" x14ac:dyDescent="0.25">
      <c r="A241" s="25"/>
      <c r="B241" s="26"/>
      <c r="C241" s="25"/>
      <c r="D241" s="25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</row>
    <row r="242" spans="1:15" ht="22.5" customHeight="1" x14ac:dyDescent="0.25">
      <c r="A242" s="21"/>
      <c r="B242" s="24"/>
      <c r="C242" s="21"/>
      <c r="D242" s="21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2.5" customHeight="1" x14ac:dyDescent="0.25">
      <c r="A243" s="25"/>
      <c r="B243" s="26"/>
      <c r="C243" s="25"/>
      <c r="D243" s="25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</row>
    <row r="244" spans="1:15" ht="22.5" customHeight="1" x14ac:dyDescent="0.25">
      <c r="A244" s="21"/>
      <c r="B244" s="24"/>
      <c r="C244" s="21"/>
      <c r="D244" s="21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</row>
    <row r="245" spans="1:15" ht="22.5" customHeight="1" x14ac:dyDescent="0.25">
      <c r="A245" s="25"/>
      <c r="B245" s="26"/>
      <c r="C245" s="25"/>
      <c r="D245" s="25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</row>
    <row r="246" spans="1:15" ht="22.5" customHeight="1" x14ac:dyDescent="0.25">
      <c r="A246" s="21"/>
      <c r="B246" s="24"/>
      <c r="C246" s="21"/>
      <c r="D246" s="21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</row>
    <row r="247" spans="1:15" ht="22.5" customHeight="1" x14ac:dyDescent="0.25">
      <c r="A247" s="25"/>
      <c r="B247" s="26"/>
      <c r="C247" s="25"/>
      <c r="D247" s="25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</row>
    <row r="248" spans="1:15" ht="22.5" customHeight="1" x14ac:dyDescent="0.25">
      <c r="A248" s="21"/>
      <c r="B248" s="24"/>
      <c r="C248" s="21"/>
      <c r="D248" s="21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2.5" customHeight="1" x14ac:dyDescent="0.25">
      <c r="A249" s="25"/>
      <c r="B249" s="26"/>
      <c r="C249" s="25"/>
      <c r="D249" s="25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</row>
    <row r="250" spans="1:15" ht="22.5" customHeight="1" x14ac:dyDescent="0.25">
      <c r="A250" s="21"/>
      <c r="B250" s="24"/>
      <c r="C250" s="21"/>
      <c r="D250" s="21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</row>
    <row r="251" spans="1:15" ht="22.5" customHeight="1" x14ac:dyDescent="0.25">
      <c r="A251" s="25"/>
      <c r="B251" s="26"/>
      <c r="C251" s="25"/>
      <c r="D251" s="25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</row>
    <row r="252" spans="1:15" ht="22.5" customHeight="1" x14ac:dyDescent="0.25">
      <c r="A252" s="21"/>
      <c r="B252" s="24"/>
      <c r="C252" s="21"/>
      <c r="D252" s="21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</row>
    <row r="253" spans="1:15" ht="22.5" customHeight="1" x14ac:dyDescent="0.25">
      <c r="A253" s="25"/>
      <c r="B253" s="26"/>
      <c r="C253" s="25"/>
      <c r="D253" s="25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</row>
    <row r="254" spans="1:15" ht="22.5" customHeight="1" x14ac:dyDescent="0.25">
      <c r="A254" s="21"/>
      <c r="B254" s="24"/>
      <c r="C254" s="21"/>
      <c r="D254" s="21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2.5" customHeight="1" x14ac:dyDescent="0.25">
      <c r="A255" s="25"/>
      <c r="B255" s="26"/>
      <c r="C255" s="25"/>
      <c r="D255" s="25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</row>
    <row r="256" spans="1:15" ht="22.5" customHeight="1" x14ac:dyDescent="0.25">
      <c r="A256" s="21"/>
      <c r="B256" s="24"/>
      <c r="C256" s="21"/>
      <c r="D256" s="21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</row>
    <row r="257" spans="1:15" ht="22.5" customHeight="1" x14ac:dyDescent="0.25">
      <c r="A257" s="25"/>
      <c r="B257" s="26"/>
      <c r="C257" s="25"/>
      <c r="D257" s="25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</row>
    <row r="258" spans="1:15" ht="22.5" customHeight="1" x14ac:dyDescent="0.25">
      <c r="A258" s="21"/>
      <c r="B258" s="24"/>
      <c r="C258" s="21"/>
      <c r="D258" s="21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</row>
    <row r="259" spans="1:15" ht="22.5" customHeight="1" x14ac:dyDescent="0.25">
      <c r="A259" s="25"/>
      <c r="B259" s="26"/>
      <c r="C259" s="25"/>
      <c r="D259" s="25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</row>
    <row r="260" spans="1:15" ht="22.5" customHeight="1" x14ac:dyDescent="0.25">
      <c r="A260" s="21"/>
      <c r="B260" s="24"/>
      <c r="C260" s="21"/>
      <c r="D260" s="21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2.5" customHeight="1" x14ac:dyDescent="0.25">
      <c r="A261" s="25"/>
      <c r="B261" s="26"/>
      <c r="C261" s="25"/>
      <c r="D261" s="25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</row>
    <row r="262" spans="1:15" ht="22.5" customHeight="1" x14ac:dyDescent="0.25">
      <c r="A262" s="21"/>
      <c r="B262" s="24"/>
      <c r="C262" s="21"/>
      <c r="D262" s="21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</row>
    <row r="263" spans="1:15" ht="22.5" customHeight="1" x14ac:dyDescent="0.25">
      <c r="A263" s="25"/>
      <c r="B263" s="26"/>
      <c r="C263" s="25"/>
      <c r="D263" s="25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</row>
    <row r="264" spans="1:15" ht="22.5" customHeight="1" x14ac:dyDescent="0.25">
      <c r="A264" s="21"/>
      <c r="B264" s="24"/>
      <c r="C264" s="21"/>
      <c r="D264" s="21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</row>
    <row r="265" spans="1:15" ht="22.5" customHeight="1" x14ac:dyDescent="0.25">
      <c r="A265" s="25"/>
      <c r="B265" s="26"/>
      <c r="C265" s="25"/>
      <c r="D265" s="25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</row>
    <row r="266" spans="1:15" ht="22.5" customHeight="1" x14ac:dyDescent="0.25">
      <c r="A266" s="21"/>
      <c r="B266" s="24"/>
      <c r="C266" s="21"/>
      <c r="D266" s="21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2.5" customHeight="1" x14ac:dyDescent="0.25">
      <c r="A267" s="25"/>
      <c r="B267" s="26"/>
      <c r="C267" s="25"/>
      <c r="D267" s="25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</row>
    <row r="268" spans="1:15" ht="22.5" customHeight="1" x14ac:dyDescent="0.25">
      <c r="A268" s="21"/>
      <c r="B268" s="24"/>
      <c r="C268" s="21"/>
      <c r="D268" s="21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</row>
    <row r="269" spans="1:15" ht="22.5" customHeight="1" x14ac:dyDescent="0.25">
      <c r="A269" s="25"/>
      <c r="B269" s="26"/>
      <c r="C269" s="25"/>
      <c r="D269" s="25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</row>
    <row r="270" spans="1:15" ht="22.5" customHeight="1" x14ac:dyDescent="0.25">
      <c r="A270" s="21"/>
      <c r="B270" s="24"/>
      <c r="C270" s="21"/>
      <c r="D270" s="21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</row>
    <row r="271" spans="1:15" ht="22.5" customHeight="1" x14ac:dyDescent="0.25">
      <c r="A271" s="25"/>
      <c r="B271" s="26"/>
      <c r="C271" s="25"/>
      <c r="D271" s="25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</row>
  </sheetData>
  <pageMargins left="0.31" right="0.196850393700787" top="0.55118110236220497" bottom="0.39370078740157499" header="0.196850393700787" footer="0.11811023622047198"/>
  <pageSetup paperSize="9" scale="85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SEMUA</vt:lpstr>
      <vt:lpstr>REKAP</vt:lpstr>
      <vt:lpstr>CETAK</vt:lpstr>
      <vt:lpstr>CETAK!Print_Titles</vt:lpstr>
      <vt:lpstr>REKAP!Print_Titles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10</cp:revision>
  <cp:lastPrinted>2020-12-23T23:38:19Z</cp:lastPrinted>
  <dcterms:created xsi:type="dcterms:W3CDTF">2016-07-23T12:41:03Z</dcterms:created>
  <dcterms:modified xsi:type="dcterms:W3CDTF">2020-12-23T23:38:55Z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