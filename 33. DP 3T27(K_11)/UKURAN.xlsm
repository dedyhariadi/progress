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03EC3CF6-FC1E-493B-854B-BD50093DEAAA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10" i="3" l="1"/>
  <c r="H11" i="3"/>
  <c r="H10" i="3"/>
  <c r="H9" i="3"/>
  <c r="H8" i="3"/>
  <c r="H7" i="3"/>
  <c r="H6" i="3"/>
  <c r="H5" i="3"/>
  <c r="H4" i="3"/>
  <c r="B10" i="3"/>
  <c r="B9" i="3"/>
  <c r="B8" i="3"/>
  <c r="B7" i="3"/>
  <c r="B6" i="3"/>
  <c r="B5" i="3"/>
  <c r="B4" i="3"/>
  <c r="B11" i="3" l="1"/>
  <c r="E4" i="3"/>
  <c r="E5" i="3"/>
  <c r="E13" i="3"/>
  <c r="E7" i="3"/>
  <c r="E8" i="3"/>
  <c r="E12" i="3"/>
  <c r="E9" i="3"/>
  <c r="E11" i="3"/>
  <c r="E6" i="3"/>
  <c r="H12" i="3"/>
  <c r="E14" i="3" l="1"/>
</calcChain>
</file>

<file path=xl/sharedStrings.xml><?xml version="1.0" encoding="utf-8"?>
<sst xmlns="http://schemas.openxmlformats.org/spreadsheetml/2006/main" count="281" uniqueCount="128">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</sst>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2" activePane="bottomLeft" state="frozen"/>
      <selection pane="bottomLeft" activeCell="Q7" sqref="Q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"/>
      <c r="AT7" s="4"/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"/>
      <c r="AT8" s="4"/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"/>
      <c r="AT10" s="4"/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"/>
      <c r="AT11" s="4"/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"/>
      <c r="AT12" s="4"/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"/>
      <c r="AT13" s="4"/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"/>
      <c r="AT14" s="4"/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</row>
    <row r="17" spans="1:43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</row>
    <row r="18" spans="1:43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</row>
    <row r="19" spans="1:43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</row>
    <row r="20" spans="1:43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</row>
    <row r="21" spans="1:43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</row>
    <row r="22" spans="1:43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</row>
    <row r="23" spans="1:43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</row>
    <row r="24" spans="1:43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</row>
    <row r="25" spans="1:43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</row>
    <row r="26" spans="1:43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</row>
    <row r="27" spans="1:43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</row>
    <row r="28" spans="1:43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</row>
    <row r="29" spans="1:43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</row>
    <row r="30" spans="1:43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</row>
    <row r="31" spans="1:43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</row>
    <row r="32" spans="1:43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</row>
    <row r="33" spans="1:43" ht="30" customHeight="1" x14ac:dyDescent="0.25">
      <c r="A33" s="20" t="s">
        <v>124</v>
      </c>
      <c r="B33" s="28"/>
      <c r="C33" s="21"/>
      <c r="D33" s="17"/>
      <c r="E33" s="18"/>
      <c r="F33" s="19"/>
      <c r="G33" s="26"/>
      <c r="H33" s="26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0"/>
      <c r="B34" s="28"/>
      <c r="C34" s="21"/>
      <c r="D34" s="17"/>
      <c r="E34" s="18"/>
      <c r="F34" s="19"/>
      <c r="G34" s="26"/>
      <c r="H34" s="26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0"/>
      <c r="B35" s="28"/>
      <c r="C35" s="21"/>
      <c r="D35" s="17"/>
      <c r="E35" s="18"/>
      <c r="F35" s="19"/>
      <c r="G35" s="26"/>
      <c r="H35" s="26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0"/>
      <c r="B36" s="28"/>
      <c r="C36" s="21"/>
      <c r="D36" s="17"/>
      <c r="E36" s="18"/>
      <c r="F36" s="19"/>
      <c r="G36" s="26"/>
      <c r="H36" s="26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0"/>
      <c r="B37" s="28"/>
      <c r="C37" s="21"/>
      <c r="D37" s="17"/>
      <c r="E37" s="18"/>
      <c r="F37" s="27"/>
      <c r="G37" s="26"/>
      <c r="H37" s="26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0"/>
      <c r="B38" s="28"/>
      <c r="C38" s="21"/>
      <c r="D38" s="17"/>
      <c r="E38" s="18"/>
      <c r="F38" s="27"/>
      <c r="G38" s="26"/>
      <c r="H38" s="26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3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3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3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79"/>
  <sheetViews>
    <sheetView tabSelected="1" zoomScale="145" zoomScaleNormal="145" workbookViewId="0">
      <selection activeCell="C5" sqref="C5"/>
    </sheetView>
  </sheetViews>
  <sheetFormatPr defaultColWidth="8.5703125" defaultRowHeight="15" x14ac:dyDescent="0.25"/>
  <cols>
    <col min="5" max="6" width="8.5703125" customWidth="1"/>
    <col min="7" max="7" width="10.42578125" style="1" customWidth="1"/>
  </cols>
  <sheetData>
    <row r="1" spans="1:8" x14ac:dyDescent="0.25">
      <c r="G1" s="5"/>
    </row>
    <row r="2" spans="1:8" x14ac:dyDescent="0.25">
      <c r="A2" t="s">
        <v>38</v>
      </c>
      <c r="D2" t="s">
        <v>39</v>
      </c>
      <c r="G2" s="1" t="s">
        <v>40</v>
      </c>
    </row>
    <row r="3" spans="1:8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</row>
    <row r="4" spans="1:8" ht="15.75" x14ac:dyDescent="0.25">
      <c r="A4" s="1" t="s">
        <v>32</v>
      </c>
      <c r="B4">
        <f>COUNTIF(SEMUA!$E$2:$E$60,REKAP!A4)</f>
        <v>9</v>
      </c>
      <c r="D4">
        <v>37</v>
      </c>
      <c r="E4">
        <f>COUNTIF(SEMUA!$D$1:$D$60,D4)</f>
        <v>0</v>
      </c>
      <c r="G4" s="7">
        <v>53</v>
      </c>
      <c r="H4">
        <f>COUNTIF(SEMUA!$F$2:$F$60,G4)</f>
        <v>6</v>
      </c>
    </row>
    <row r="5" spans="1:8" ht="15.75" x14ac:dyDescent="0.25">
      <c r="A5" s="6" t="s">
        <v>31</v>
      </c>
      <c r="B5">
        <f>COUNTIF(SEMUA!$E$2:$E$60,REKAP!A5)</f>
        <v>6</v>
      </c>
      <c r="D5">
        <v>38</v>
      </c>
      <c r="E5">
        <f>COUNTIF(SEMUA!$D$1:$D$60,D5)</f>
        <v>0</v>
      </c>
      <c r="G5" s="7">
        <v>54</v>
      </c>
      <c r="H5">
        <f>COUNTIF(SEMUA!$F$2:$F$60,G5)</f>
        <v>4</v>
      </c>
    </row>
    <row r="6" spans="1:8" ht="15.75" x14ac:dyDescent="0.25">
      <c r="A6" s="6" t="s">
        <v>35</v>
      </c>
      <c r="B6">
        <f>COUNTIF(SEMUA!$E$2:$E$60,REKAP!A6)</f>
        <v>0</v>
      </c>
      <c r="D6" s="7">
        <v>39</v>
      </c>
      <c r="E6">
        <f>COUNTIF(SEMUA!$D$1:$D$60,D6)</f>
        <v>2</v>
      </c>
      <c r="G6" s="7">
        <v>55</v>
      </c>
      <c r="H6">
        <f>COUNTIF(SEMUA!$F$2:$F$60,G6)</f>
        <v>7</v>
      </c>
    </row>
    <row r="7" spans="1:8" ht="15.75" x14ac:dyDescent="0.25">
      <c r="A7" s="6" t="s">
        <v>34</v>
      </c>
      <c r="B7">
        <f>COUNTIF(SEMUA!$E$2:$E$60,REKAP!A7)</f>
        <v>15</v>
      </c>
      <c r="D7" s="7">
        <v>40</v>
      </c>
      <c r="E7">
        <f>COUNTIF(SEMUA!$D$1:$D$60,D7)</f>
        <v>7</v>
      </c>
      <c r="G7" s="7">
        <v>56</v>
      </c>
      <c r="H7">
        <f>COUNTIF(SEMUA!$F$2:$F$60,G7)</f>
        <v>5</v>
      </c>
    </row>
    <row r="8" spans="1:8" ht="15.75" x14ac:dyDescent="0.25">
      <c r="A8" s="6" t="s">
        <v>33</v>
      </c>
      <c r="B8">
        <f>COUNTIF(SEMUA!$E$2:$E$60,REKAP!A8)</f>
        <v>0</v>
      </c>
      <c r="D8" s="7">
        <v>41</v>
      </c>
      <c r="E8">
        <f>COUNTIF(SEMUA!$D$1:$D$60,D8)</f>
        <v>4</v>
      </c>
      <c r="G8" s="7">
        <v>57</v>
      </c>
      <c r="H8">
        <f>COUNTIF(SEMUA!$F$2:$F$60,G8)</f>
        <v>4</v>
      </c>
    </row>
    <row r="9" spans="1:8" ht="15.75" x14ac:dyDescent="0.25">
      <c r="A9" s="6" t="s">
        <v>36</v>
      </c>
      <c r="B9">
        <f>COUNTIF(SEMUA!$E$2:$E$60,REKAP!A9)</f>
        <v>1</v>
      </c>
      <c r="D9" s="7">
        <v>42</v>
      </c>
      <c r="E9">
        <f>COUNTIF(SEMUA!$D$1:$D$60,D9)</f>
        <v>12</v>
      </c>
      <c r="G9" s="7">
        <v>58</v>
      </c>
      <c r="H9">
        <f>COUNTIF(SEMUA!$F$2:$F$60,G9)</f>
        <v>4</v>
      </c>
    </row>
    <row r="10" spans="1:8" ht="15.75" x14ac:dyDescent="0.25">
      <c r="A10" s="6" t="s">
        <v>37</v>
      </c>
      <c r="B10">
        <f>COUNTIF(SEMUA!$E$2:$E$60,REKAP!A10)</f>
        <v>0</v>
      </c>
      <c r="D10" s="7">
        <v>43</v>
      </c>
      <c r="E10">
        <f>COUNTIF(SEMUA!$D$1:$D$60,D10)</f>
        <v>5</v>
      </c>
      <c r="G10" s="7">
        <v>59</v>
      </c>
      <c r="H10">
        <f>COUNTIF(SEMUA!$F$2:$F$60,G10)</f>
        <v>1</v>
      </c>
    </row>
    <row r="11" spans="1:8" ht="15.75" x14ac:dyDescent="0.25">
      <c r="A11" s="8" t="s">
        <v>44</v>
      </c>
      <c r="B11" s="9">
        <f>SUM(B4:B10)</f>
        <v>31</v>
      </c>
      <c r="C11" s="9"/>
      <c r="D11" s="7">
        <v>44</v>
      </c>
      <c r="E11">
        <f>COUNTIF(SEMUA!$D$1:$D$60,D11)</f>
        <v>1</v>
      </c>
      <c r="G11" s="1">
        <v>60</v>
      </c>
      <c r="H11">
        <f>COUNTIF(SEMUA!$F$2:$F$60,G11)</f>
        <v>0</v>
      </c>
    </row>
    <row r="12" spans="1:8" ht="15.75" x14ac:dyDescent="0.25">
      <c r="D12" s="7">
        <v>45</v>
      </c>
      <c r="E12">
        <f>COUNTIF(SEMUA!$D$1:$D$60,D12)</f>
        <v>0</v>
      </c>
      <c r="H12">
        <f>SUM(H4:H11)</f>
        <v>31</v>
      </c>
    </row>
    <row r="13" spans="1:8" ht="15.75" x14ac:dyDescent="0.25">
      <c r="D13" s="7">
        <v>46</v>
      </c>
      <c r="E13">
        <f>COUNTIF(SEMUA!$D$1:$D$60,D13)</f>
        <v>0</v>
      </c>
    </row>
    <row r="14" spans="1:8" ht="15.75" x14ac:dyDescent="0.25">
      <c r="D14" s="7"/>
      <c r="E14">
        <f>SUM(E4:E13)</f>
        <v>31</v>
      </c>
    </row>
    <row r="15" spans="1:8" ht="15.75" x14ac:dyDescent="0.25">
      <c r="D15" s="7"/>
    </row>
    <row r="16" spans="1:8" ht="15.75" x14ac:dyDescent="0.25">
      <c r="D16" s="7"/>
    </row>
    <row r="17" spans="4:4" ht="15.75" x14ac:dyDescent="0.25">
      <c r="D17" s="7"/>
    </row>
    <row r="18" spans="4:4" ht="15.75" x14ac:dyDescent="0.25">
      <c r="D18" s="7"/>
    </row>
    <row r="19" spans="4:4" ht="15.75" x14ac:dyDescent="0.25">
      <c r="D19" s="7"/>
    </row>
    <row r="20" spans="4:4" ht="15.75" x14ac:dyDescent="0.25">
      <c r="D20" s="7"/>
    </row>
    <row r="21" spans="4:4" ht="15.75" x14ac:dyDescent="0.25">
      <c r="D21" s="7"/>
    </row>
    <row r="22" spans="4:4" ht="15.75" x14ac:dyDescent="0.25">
      <c r="D22" s="7"/>
    </row>
    <row r="23" spans="4:4" ht="15.75" x14ac:dyDescent="0.25">
      <c r="D23" s="7"/>
    </row>
    <row r="24" spans="4:4" ht="15.75" x14ac:dyDescent="0.25">
      <c r="D24" s="7"/>
    </row>
    <row r="25" spans="4:4" ht="15.75" x14ac:dyDescent="0.25">
      <c r="D25" s="7"/>
    </row>
    <row r="26" spans="4:4" ht="15.75" x14ac:dyDescent="0.25">
      <c r="D26" s="7"/>
    </row>
    <row r="27" spans="4:4" ht="15.75" x14ac:dyDescent="0.25">
      <c r="D27" s="7"/>
    </row>
    <row r="28" spans="4:4" ht="15.75" x14ac:dyDescent="0.25">
      <c r="D28" s="7"/>
    </row>
    <row r="29" spans="4:4" ht="15.75" x14ac:dyDescent="0.25">
      <c r="D29" s="7"/>
    </row>
    <row r="30" spans="4:4" ht="15.75" x14ac:dyDescent="0.25">
      <c r="D30" s="7"/>
    </row>
    <row r="31" spans="4:4" ht="15.75" x14ac:dyDescent="0.25">
      <c r="D31" s="7"/>
    </row>
    <row r="32" spans="4:4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2021-10-04T07:01:20Z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