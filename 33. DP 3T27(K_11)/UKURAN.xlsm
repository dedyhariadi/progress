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684AFE4D-4F16-40C1-A757-1E318F0E85A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SEMUA!$A$1:$AT$40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<sst xmlns="http://schemas.openxmlformats.org/spreadsheetml/2006/main" count="413" uniqueCount="151">
  <si>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</si>
  <si>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</si>
  <si>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</si>
  <si>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</si>
  <si>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</si>
  <si>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</si>
  <si>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</si>
  <si>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</si>
  <si>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</si>
  <si>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</si>
  <si>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</si>
  <si>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</si>
  <si>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</si>
  <si>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</si>
  <si>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</si>
  <si>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</si>
  <si>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</si>
  <si>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</si>
  <si>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</si>
  <si>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</si>
  <si>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</si>
  <si>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</si>
  <si>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</si>
  <si>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</si>
  <si>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</si>
  <si>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</si>
  <si>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</si>
  <si>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</si>
  <si>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</si>
  <si>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</si>
  <si>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</si>
  <si>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</si>
  <si>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</si>
  <si>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</si>
  <si>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</si>
  <si>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</si>
  <si>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</si>
  <si>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</si>
  <si>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</si>
  <si>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</si>
  <si>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</si>
  <si>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</si>
  <si>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</si>
  <si>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</si>
  <si>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</si>
  <si>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</si>
  <si>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</si>
  <si>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</si>
  <si>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</si>
  <si>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</si>
  <si>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</si>
  <si>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</si>
  <si>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</si>
  <si>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</si>
  <si>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</si>
  <si>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</si>
  <si>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</si>
  <si>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</si>
  <si>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</si>
  <si>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</si>
  <si>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</si>
  <si>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</si>
  <si>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</si>
  <si>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</si>
  <si>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</si>
  <si>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</si>
  <si>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</si>
  <si>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</si>
  <si>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</si>
  <si>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</si>
  <si>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</si>
  <si>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</si>
  <si>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</si>
  <si>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</si>
  <si>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</si>
  <si>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</si>
  <si>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</si>
  <si>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</si>
  <si>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</si>
  <si>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</si>
  <si>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</si>
  <si>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</si>
  <si>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</si>
  <si>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</si>
  <si>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</si>
  <si>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</si>
  <si>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</si>
  <si>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</si>
  <si>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</si>
  <si>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</si>
  <si>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</si>
  <si>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</si>
  <si>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</si>
  <si>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</si>
  <si>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</si>
  <si>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</si>
  <si>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</si>
  <si>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</si>
  <si>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</si>
  <si>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</si>
  <si>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</si>
  <si>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</si>
  <si>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</si>
  <si>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</si>
  <si>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</si>
  <si>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</si>
  <si>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</si>
  <si>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</si>
  <si>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</si>
  <si>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</si>
  <si>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</si>
  <si>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</si>
  <si>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</si>
  <si>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</si>
  <si>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</si>
  <si>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</si>
  <si>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</si>
  <si>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</si>
  <si>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</si>
  <si>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</si>
  <si>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</si>
  <si>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</si>
  <si>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</si>
  <si>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</si>
  <si>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</si>
  <si>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</si>
  <si>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</si>
  <si>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</si>
  <si>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</si>
  <si>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</si>
  <si>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</si>
  <si>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</si>
  <si>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</si>
  <si>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</si>
  <si>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</si>
  <si>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</si>
  <si>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</si>
  <si>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</si>
  <si>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</si>
  <si>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</si>
  <si>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</si>
  <si>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</si>
  <si>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</si>
  <si>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18 OKT</t>
  </si>
  <si>
    <t>J37</t>
  </si>
  <si>
    <t>21 OKT</t>
  </si>
  <si>
    <t>SHOBARIDHO</t>
  </si>
  <si>
    <t>BAREP AHMAD</t>
  </si>
  <si>
    <t>25 OKT</t>
  </si>
  <si>
    <t>J38</t>
  </si>
  <si>
    <t>J39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</si>
</sst>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0"/>
  <sheetViews>
    <sheetView tabSelected="1" zoomScale="55" zoomScaleNormal="55" workbookViewId="0">
      <pane ySplit="1" topLeftCell="A24" activePane="bottomLeft" state="frozen"/>
      <selection pane="bottomLeft" activeCell="R34" sqref="R34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3" t="s">
        <v>0</v>
      </c>
      <c r="B1" s="34" t="s">
        <v>1</v>
      </c>
      <c r="C1" s="33" t="s">
        <v>2</v>
      </c>
      <c r="D1" s="33" t="s">
        <v>4</v>
      </c>
      <c r="E1" s="35" t="s">
        <v>6</v>
      </c>
      <c r="F1" s="33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64</v>
      </c>
      <c r="B2" s="30" t="s">
        <v>62</v>
      </c>
      <c r="C2" s="31" t="s">
        <v>63</v>
      </c>
      <c r="D2" s="32">
        <v>43</v>
      </c>
      <c r="E2" s="31" t="s">
        <v>34</v>
      </c>
      <c r="F2" s="31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7" t="s">
        <v>125</v>
      </c>
      <c r="AR2" s="4"/>
      <c r="AS2" s="38" t="s">
        <v>141</v>
      </c>
      <c r="AT2" s="38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7" t="s">
        <v>90</v>
      </c>
      <c r="C3" s="31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7" t="s">
        <v>125</v>
      </c>
      <c r="AR3" s="4"/>
      <c r="AS3" s="38" t="s">
        <v>141</v>
      </c>
      <c r="AT3" s="38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66</v>
      </c>
      <c r="B4" s="27" t="s">
        <v>91</v>
      </c>
      <c r="C4" s="31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7" t="s">
        <v>125</v>
      </c>
      <c r="AR4" s="4"/>
      <c r="AS4" s="38" t="s">
        <v>141</v>
      </c>
      <c r="AT4" s="38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7" t="s">
        <v>92</v>
      </c>
      <c r="C5" s="31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7" t="s">
        <v>125</v>
      </c>
      <c r="AR5" s="4"/>
      <c r="AS5" s="38" t="s">
        <v>141</v>
      </c>
      <c r="AT5" s="38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68</v>
      </c>
      <c r="B6" s="27" t="s">
        <v>93</v>
      </c>
      <c r="C6" s="31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7" t="s">
        <v>125</v>
      </c>
      <c r="AR6" s="4"/>
      <c r="AS6" s="38" t="s">
        <v>141</v>
      </c>
      <c r="AT6" s="38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7" t="s">
        <v>94</v>
      </c>
      <c r="C7" s="31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7" t="s">
        <v>125</v>
      </c>
      <c r="AR7" s="4"/>
      <c r="AS7" s="38" t="s">
        <v>141</v>
      </c>
      <c r="AT7" s="38" t="s">
        <v>141</v>
      </c>
    </row>
    <row r="8" spans="1:1013" ht="30" customHeight="1" x14ac:dyDescent="0.25">
      <c r="A8" s="29" t="s">
        <v>70</v>
      </c>
      <c r="B8" s="27" t="s">
        <v>95</v>
      </c>
      <c r="C8" s="31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7" t="s">
        <v>125</v>
      </c>
      <c r="AR8" s="4"/>
      <c r="AS8" s="38" t="s">
        <v>141</v>
      </c>
      <c r="AT8" s="38" t="s">
        <v>141</v>
      </c>
    </row>
    <row r="9" spans="1:1013" ht="30" customHeight="1" x14ac:dyDescent="0.25">
      <c r="A9" s="20" t="s">
        <v>71</v>
      </c>
      <c r="B9" s="27" t="s">
        <v>96</v>
      </c>
      <c r="C9" s="31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7" t="s">
        <v>125</v>
      </c>
      <c r="AS9" s="38" t="s">
        <v>141</v>
      </c>
      <c r="AT9" s="38" t="s">
        <v>141</v>
      </c>
    </row>
    <row r="10" spans="1:1013" ht="30" customHeight="1" x14ac:dyDescent="0.25">
      <c r="A10" s="29" t="s">
        <v>72</v>
      </c>
      <c r="B10" s="27" t="s">
        <v>97</v>
      </c>
      <c r="C10" s="31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7" t="s">
        <v>125</v>
      </c>
      <c r="AR10" s="4"/>
      <c r="AS10" s="38" t="s">
        <v>141</v>
      </c>
      <c r="AT10" s="38" t="s">
        <v>141</v>
      </c>
    </row>
    <row r="11" spans="1:1013" ht="30" customHeight="1" x14ac:dyDescent="0.25">
      <c r="A11" s="20" t="s">
        <v>73</v>
      </c>
      <c r="B11" s="27" t="s">
        <v>98</v>
      </c>
      <c r="C11" s="31" t="s">
        <v>63</v>
      </c>
      <c r="D11" s="17">
        <v>42</v>
      </c>
      <c r="E11" s="18" t="s">
        <v>34</v>
      </c>
      <c r="F11" s="26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7" t="s">
        <v>125</v>
      </c>
      <c r="AR11" s="4"/>
      <c r="AS11" s="38" t="s">
        <v>141</v>
      </c>
      <c r="AT11" s="38" t="s">
        <v>141</v>
      </c>
    </row>
    <row r="12" spans="1:1013" ht="30" customHeight="1" x14ac:dyDescent="0.25">
      <c r="A12" s="29" t="s">
        <v>74</v>
      </c>
      <c r="B12" s="27" t="s">
        <v>99</v>
      </c>
      <c r="C12" s="31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7" t="s">
        <v>125</v>
      </c>
      <c r="AR12" s="4"/>
      <c r="AS12" s="38" t="s">
        <v>141</v>
      </c>
      <c r="AT12" s="38" t="s">
        <v>141</v>
      </c>
    </row>
    <row r="13" spans="1:1013" ht="30" customHeight="1" x14ac:dyDescent="0.25">
      <c r="A13" s="20" t="s">
        <v>75</v>
      </c>
      <c r="B13" s="27" t="s">
        <v>100</v>
      </c>
      <c r="C13" s="31" t="s">
        <v>63</v>
      </c>
      <c r="D13" s="22">
        <v>42</v>
      </c>
      <c r="E13" s="18" t="s">
        <v>31</v>
      </c>
      <c r="F13" s="26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7" t="s">
        <v>125</v>
      </c>
      <c r="AS13" s="38" t="s">
        <v>141</v>
      </c>
      <c r="AT13" s="38" t="s">
        <v>141</v>
      </c>
    </row>
    <row r="14" spans="1:1013" ht="30" customHeight="1" x14ac:dyDescent="0.25">
      <c r="A14" s="29" t="s">
        <v>76</v>
      </c>
      <c r="B14" s="27" t="s">
        <v>101</v>
      </c>
      <c r="C14" s="31" t="s">
        <v>63</v>
      </c>
      <c r="D14" s="22">
        <v>42</v>
      </c>
      <c r="E14" s="18" t="s">
        <v>34</v>
      </c>
      <c r="F14" s="26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7" t="s">
        <v>125</v>
      </c>
      <c r="AS14" s="38" t="s">
        <v>141</v>
      </c>
      <c r="AT14" s="38" t="s">
        <v>141</v>
      </c>
    </row>
    <row r="15" spans="1:1013" ht="30" customHeight="1" x14ac:dyDescent="0.25">
      <c r="A15" s="20" t="s">
        <v>77</v>
      </c>
      <c r="B15" s="27" t="s">
        <v>102</v>
      </c>
      <c r="C15" s="31" t="s">
        <v>63</v>
      </c>
      <c r="D15" s="22">
        <v>40</v>
      </c>
      <c r="E15" s="18" t="s">
        <v>32</v>
      </c>
      <c r="F15" s="19">
        <v>57</v>
      </c>
      <c r="G15" s="25" t="s">
        <v>61</v>
      </c>
      <c r="H15" s="25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7" t="s">
        <v>125</v>
      </c>
      <c r="AS15" s="38" t="s">
        <v>141</v>
      </c>
      <c r="AT15" s="38" t="s">
        <v>141</v>
      </c>
    </row>
    <row r="16" spans="1:1013" ht="30" customHeight="1" x14ac:dyDescent="0.25">
      <c r="A16" s="29" t="s">
        <v>78</v>
      </c>
      <c r="B16" s="27" t="s">
        <v>103</v>
      </c>
      <c r="C16" s="31" t="s">
        <v>63</v>
      </c>
      <c r="D16" s="22">
        <v>44</v>
      </c>
      <c r="E16" s="18" t="s">
        <v>34</v>
      </c>
      <c r="F16" s="19">
        <v>55</v>
      </c>
      <c r="G16" s="25" t="s">
        <v>61</v>
      </c>
      <c r="H16" s="25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7" t="s">
        <v>125</v>
      </c>
      <c r="AS16" s="38" t="s">
        <v>141</v>
      </c>
      <c r="AT16" s="38" t="s">
        <v>141</v>
      </c>
    </row>
    <row r="17" spans="1:46" ht="30" customHeight="1" x14ac:dyDescent="0.25">
      <c r="A17" s="20" t="s">
        <v>79</v>
      </c>
      <c r="B17" s="27" t="s">
        <v>104</v>
      </c>
      <c r="C17" s="31" t="s">
        <v>63</v>
      </c>
      <c r="D17" s="22">
        <v>40</v>
      </c>
      <c r="E17" s="18" t="s">
        <v>32</v>
      </c>
      <c r="F17" s="19">
        <v>57</v>
      </c>
      <c r="G17" s="25" t="s">
        <v>61</v>
      </c>
      <c r="H17" s="25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7" t="s">
        <v>125</v>
      </c>
      <c r="AS17" s="38" t="s">
        <v>141</v>
      </c>
      <c r="AT17" s="38" t="s">
        <v>141</v>
      </c>
    </row>
    <row r="18" spans="1:46" ht="30" customHeight="1" x14ac:dyDescent="0.25">
      <c r="A18" s="29" t="s">
        <v>80</v>
      </c>
      <c r="B18" s="27" t="s">
        <v>105</v>
      </c>
      <c r="C18" s="31" t="s">
        <v>63</v>
      </c>
      <c r="D18" s="22">
        <v>40</v>
      </c>
      <c r="E18" s="18" t="s">
        <v>32</v>
      </c>
      <c r="F18" s="19">
        <v>54</v>
      </c>
      <c r="G18" s="25" t="s">
        <v>61</v>
      </c>
      <c r="H18" s="25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7" t="s">
        <v>125</v>
      </c>
      <c r="AS18" s="38" t="s">
        <v>141</v>
      </c>
      <c r="AT18" s="38" t="s">
        <v>141</v>
      </c>
    </row>
    <row r="19" spans="1:46" ht="30" customHeight="1" x14ac:dyDescent="0.25">
      <c r="A19" s="20" t="s">
        <v>81</v>
      </c>
      <c r="B19" s="27" t="s">
        <v>106</v>
      </c>
      <c r="C19" s="31" t="s">
        <v>63</v>
      </c>
      <c r="D19" s="22">
        <v>42</v>
      </c>
      <c r="E19" s="18" t="s">
        <v>34</v>
      </c>
      <c r="F19" s="19">
        <v>55</v>
      </c>
      <c r="G19" s="25" t="s">
        <v>61</v>
      </c>
      <c r="H19" s="25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7" t="s">
        <v>125</v>
      </c>
      <c r="AS19" s="38" t="s">
        <v>141</v>
      </c>
      <c r="AT19" s="38" t="s">
        <v>141</v>
      </c>
    </row>
    <row r="20" spans="1:46" ht="30" customHeight="1" x14ac:dyDescent="0.25">
      <c r="A20" s="29" t="s">
        <v>82</v>
      </c>
      <c r="B20" s="27" t="s">
        <v>107</v>
      </c>
      <c r="C20" s="31" t="s">
        <v>63</v>
      </c>
      <c r="D20" s="22">
        <v>42</v>
      </c>
      <c r="E20" s="18" t="s">
        <v>34</v>
      </c>
      <c r="F20" s="19">
        <v>56</v>
      </c>
      <c r="G20" s="25" t="s">
        <v>61</v>
      </c>
      <c r="H20" s="25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7" t="s">
        <v>125</v>
      </c>
      <c r="AS20" s="38" t="s">
        <v>141</v>
      </c>
      <c r="AT20" s="38" t="s">
        <v>141</v>
      </c>
    </row>
    <row r="21" spans="1:46" ht="30" customHeight="1" x14ac:dyDescent="0.25">
      <c r="A21" s="20" t="s">
        <v>83</v>
      </c>
      <c r="B21" s="27" t="s">
        <v>108</v>
      </c>
      <c r="C21" s="31" t="s">
        <v>63</v>
      </c>
      <c r="D21" s="22">
        <v>40</v>
      </c>
      <c r="E21" s="18" t="s">
        <v>34</v>
      </c>
      <c r="F21" s="19">
        <v>55</v>
      </c>
      <c r="G21" s="25" t="s">
        <v>61</v>
      </c>
      <c r="H21" s="25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7" t="s">
        <v>125</v>
      </c>
      <c r="AS21" s="38" t="s">
        <v>141</v>
      </c>
      <c r="AT21" s="38" t="s">
        <v>141</v>
      </c>
    </row>
    <row r="22" spans="1:46" ht="30" customHeight="1" x14ac:dyDescent="0.25">
      <c r="A22" s="29" t="s">
        <v>84</v>
      </c>
      <c r="B22" s="27" t="s">
        <v>109</v>
      </c>
      <c r="C22" s="31" t="s">
        <v>63</v>
      </c>
      <c r="D22" s="22">
        <v>40</v>
      </c>
      <c r="E22" s="18" t="s">
        <v>32</v>
      </c>
      <c r="F22" s="19">
        <v>54</v>
      </c>
      <c r="G22" s="25" t="s">
        <v>61</v>
      </c>
      <c r="H22" s="25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7" t="s">
        <v>125</v>
      </c>
      <c r="AS22" s="38" t="s">
        <v>141</v>
      </c>
      <c r="AT22" s="38" t="s">
        <v>141</v>
      </c>
    </row>
    <row r="23" spans="1:46" ht="30" customHeight="1" x14ac:dyDescent="0.25">
      <c r="A23" s="20" t="s">
        <v>85</v>
      </c>
      <c r="B23" s="27" t="s">
        <v>110</v>
      </c>
      <c r="C23" s="31" t="s">
        <v>63</v>
      </c>
      <c r="D23" s="22">
        <v>42</v>
      </c>
      <c r="E23" s="18" t="s">
        <v>34</v>
      </c>
      <c r="F23" s="19">
        <v>57</v>
      </c>
      <c r="G23" s="25" t="s">
        <v>61</v>
      </c>
      <c r="H23" s="25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7" t="s">
        <v>125</v>
      </c>
      <c r="AS23" s="38" t="s">
        <v>141</v>
      </c>
      <c r="AT23" s="38" t="s">
        <v>141</v>
      </c>
    </row>
    <row r="24" spans="1:46" ht="30" customHeight="1" x14ac:dyDescent="0.25">
      <c r="A24" s="29" t="s">
        <v>86</v>
      </c>
      <c r="B24" s="27" t="s">
        <v>111</v>
      </c>
      <c r="C24" s="31" t="s">
        <v>63</v>
      </c>
      <c r="D24" s="22">
        <v>41</v>
      </c>
      <c r="E24" s="18" t="s">
        <v>31</v>
      </c>
      <c r="F24" s="19">
        <v>56</v>
      </c>
      <c r="G24" s="25" t="s">
        <v>61</v>
      </c>
      <c r="H24" s="25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6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7" t="s">
        <v>125</v>
      </c>
      <c r="AS24" s="38" t="s">
        <v>141</v>
      </c>
      <c r="AT24" s="38" t="s">
        <v>141</v>
      </c>
    </row>
    <row r="25" spans="1:46" ht="30" customHeight="1" x14ac:dyDescent="0.25">
      <c r="A25" s="20" t="s">
        <v>87</v>
      </c>
      <c r="B25" s="27" t="s">
        <v>112</v>
      </c>
      <c r="C25" s="31" t="s">
        <v>63</v>
      </c>
      <c r="D25" s="22">
        <v>42</v>
      </c>
      <c r="E25" s="18" t="s">
        <v>31</v>
      </c>
      <c r="F25" s="19">
        <v>58</v>
      </c>
      <c r="G25" s="25" t="s">
        <v>61</v>
      </c>
      <c r="H25" s="25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6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7" t="s">
        <v>125</v>
      </c>
      <c r="AS25" s="38" t="s">
        <v>141</v>
      </c>
      <c r="AT25" s="38" t="s">
        <v>141</v>
      </c>
    </row>
    <row r="26" spans="1:46" ht="30" customHeight="1" x14ac:dyDescent="0.25">
      <c r="A26" s="29" t="s">
        <v>88</v>
      </c>
      <c r="B26" s="27" t="s">
        <v>113</v>
      </c>
      <c r="C26" s="31" t="s">
        <v>63</v>
      </c>
      <c r="D26" s="22">
        <v>43</v>
      </c>
      <c r="E26" s="18" t="s">
        <v>34</v>
      </c>
      <c r="F26" s="19">
        <v>56</v>
      </c>
      <c r="G26" s="25" t="s">
        <v>61</v>
      </c>
      <c r="H26" s="25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6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7" t="s">
        <v>125</v>
      </c>
      <c r="AS26" s="38" t="s">
        <v>141</v>
      </c>
      <c r="AT26" s="38" t="s">
        <v>141</v>
      </c>
    </row>
    <row r="27" spans="1:46" ht="30" customHeight="1" x14ac:dyDescent="0.25">
      <c r="A27" s="20" t="s">
        <v>89</v>
      </c>
      <c r="B27" s="27" t="s">
        <v>114</v>
      </c>
      <c r="C27" s="31" t="s">
        <v>63</v>
      </c>
      <c r="D27" s="22">
        <v>41</v>
      </c>
      <c r="E27" s="18" t="s">
        <v>32</v>
      </c>
      <c r="F27" s="19">
        <v>53</v>
      </c>
      <c r="G27" s="25" t="s">
        <v>61</v>
      </c>
      <c r="H27" s="25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7" t="s">
        <v>125</v>
      </c>
      <c r="AS27" s="38" t="s">
        <v>141</v>
      </c>
      <c r="AT27" s="38" t="s">
        <v>141</v>
      </c>
    </row>
    <row r="28" spans="1:46" ht="30" customHeight="1" x14ac:dyDescent="0.25">
      <c r="A28" s="29" t="s">
        <v>119</v>
      </c>
      <c r="B28" s="27" t="s">
        <v>115</v>
      </c>
      <c r="C28" s="31" t="s">
        <v>63</v>
      </c>
      <c r="D28" s="22">
        <v>43</v>
      </c>
      <c r="E28" s="18" t="s">
        <v>36</v>
      </c>
      <c r="F28" s="19">
        <v>57</v>
      </c>
      <c r="G28" s="25" t="s">
        <v>61</v>
      </c>
      <c r="H28" s="25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7" t="s">
        <v>125</v>
      </c>
      <c r="AS28" s="38" t="s">
        <v>141</v>
      </c>
      <c r="AT28" s="38" t="s">
        <v>141</v>
      </c>
    </row>
    <row r="29" spans="1:46" ht="30" customHeight="1" x14ac:dyDescent="0.25">
      <c r="A29" s="20" t="s">
        <v>120</v>
      </c>
      <c r="B29" s="27" t="s">
        <v>116</v>
      </c>
      <c r="C29" s="31" t="s">
        <v>63</v>
      </c>
      <c r="D29" s="17">
        <v>42</v>
      </c>
      <c r="E29" s="18" t="s">
        <v>34</v>
      </c>
      <c r="F29" s="19">
        <v>55</v>
      </c>
      <c r="G29" s="25" t="s">
        <v>61</v>
      </c>
      <c r="H29" s="25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7" t="s">
        <v>125</v>
      </c>
      <c r="AS29" s="38" t="s">
        <v>141</v>
      </c>
      <c r="AT29" s="38" t="s">
        <v>141</v>
      </c>
    </row>
    <row r="30" spans="1:46" ht="30" customHeight="1" x14ac:dyDescent="0.25">
      <c r="A30" s="29" t="s">
        <v>121</v>
      </c>
      <c r="B30" s="27" t="s">
        <v>117</v>
      </c>
      <c r="C30" s="31" t="s">
        <v>63</v>
      </c>
      <c r="D30" s="17">
        <v>41</v>
      </c>
      <c r="E30" s="18" t="s">
        <v>32</v>
      </c>
      <c r="F30" s="19">
        <v>55</v>
      </c>
      <c r="G30" s="25" t="s">
        <v>61</v>
      </c>
      <c r="H30" s="25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7" t="s">
        <v>125</v>
      </c>
      <c r="AS30" s="38" t="s">
        <v>141</v>
      </c>
      <c r="AT30" s="38" t="s">
        <v>141</v>
      </c>
    </row>
    <row r="31" spans="1:46" ht="30" customHeight="1" x14ac:dyDescent="0.25">
      <c r="A31" s="20" t="s">
        <v>122</v>
      </c>
      <c r="B31" s="27" t="s">
        <v>118</v>
      </c>
      <c r="C31" s="31" t="s">
        <v>63</v>
      </c>
      <c r="D31" s="17">
        <v>39</v>
      </c>
      <c r="E31" s="18" t="s">
        <v>31</v>
      </c>
      <c r="F31" s="19">
        <v>54</v>
      </c>
      <c r="G31" s="25" t="s">
        <v>61</v>
      </c>
      <c r="H31" s="25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7" t="s">
        <v>125</v>
      </c>
      <c r="AS31" s="38" t="s">
        <v>141</v>
      </c>
      <c r="AT31" s="38" t="s">
        <v>141</v>
      </c>
    </row>
    <row r="32" spans="1:46" ht="30" customHeight="1" x14ac:dyDescent="0.25">
      <c r="A32" s="29" t="s">
        <v>123</v>
      </c>
      <c r="B32" s="27" t="s">
        <v>126</v>
      </c>
      <c r="C32" s="31" t="s">
        <v>63</v>
      </c>
      <c r="D32" s="17">
        <v>41</v>
      </c>
      <c r="E32" s="18" t="s">
        <v>34</v>
      </c>
      <c r="F32" s="19">
        <v>55</v>
      </c>
      <c r="G32" s="25" t="s">
        <v>61</v>
      </c>
      <c r="H32" s="25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38" t="s">
        <v>127</v>
      </c>
      <c r="AS32" s="38" t="s">
        <v>141</v>
      </c>
      <c r="AT32" s="38" t="s">
        <v>141</v>
      </c>
    </row>
    <row r="33" spans="1:46" ht="30" customHeight="1" x14ac:dyDescent="0.25">
      <c r="A33" s="20" t="s">
        <v>124</v>
      </c>
      <c r="B33" s="27" t="s">
        <v>131</v>
      </c>
      <c r="C33" s="31" t="s">
        <v>63</v>
      </c>
      <c r="D33" s="17">
        <v>42</v>
      </c>
      <c r="E33" s="18" t="s">
        <v>34</v>
      </c>
      <c r="F33" s="19">
        <v>56</v>
      </c>
      <c r="G33" s="25" t="s">
        <v>61</v>
      </c>
      <c r="H33" s="25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38" t="s">
        <v>140</v>
      </c>
      <c r="AS33" s="38" t="s">
        <v>141</v>
      </c>
      <c r="AT33" s="38" t="s">
        <v>141</v>
      </c>
    </row>
    <row r="34" spans="1:46" ht="30" customHeight="1" x14ac:dyDescent="0.25">
      <c r="A34" s="29" t="s">
        <v>136</v>
      </c>
      <c r="B34" s="27" t="s">
        <v>132</v>
      </c>
      <c r="C34" s="31" t="s">
        <v>63</v>
      </c>
      <c r="D34" s="17">
        <v>40</v>
      </c>
      <c r="E34" s="18" t="s">
        <v>32</v>
      </c>
      <c r="F34" s="19">
        <v>56</v>
      </c>
      <c r="G34" s="25" t="s">
        <v>61</v>
      </c>
      <c r="H34" s="25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38" t="s">
        <v>140</v>
      </c>
      <c r="AS34" s="38" t="s">
        <v>141</v>
      </c>
      <c r="AT34" s="38" t="s">
        <v>141</v>
      </c>
    </row>
    <row r="35" spans="1:46" ht="30" customHeight="1" x14ac:dyDescent="0.25">
      <c r="A35" s="20" t="s">
        <v>137</v>
      </c>
      <c r="B35" s="27" t="s">
        <v>133</v>
      </c>
      <c r="C35" s="31" t="s">
        <v>63</v>
      </c>
      <c r="D35" s="17">
        <v>42</v>
      </c>
      <c r="E35" s="18" t="s">
        <v>31</v>
      </c>
      <c r="F35" s="19">
        <v>57</v>
      </c>
      <c r="G35" s="25" t="s">
        <v>61</v>
      </c>
      <c r="H35" s="25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39">
        <v>100</v>
      </c>
      <c r="AP35" s="2">
        <v>3</v>
      </c>
      <c r="AQ35" s="38" t="s">
        <v>140</v>
      </c>
      <c r="AS35" s="38" t="s">
        <v>141</v>
      </c>
      <c r="AT35" s="38" t="s">
        <v>141</v>
      </c>
    </row>
    <row r="36" spans="1:46" ht="30" customHeight="1" x14ac:dyDescent="0.25">
      <c r="A36" s="29" t="s">
        <v>138</v>
      </c>
      <c r="B36" s="27" t="s">
        <v>134</v>
      </c>
      <c r="C36" s="31" t="s">
        <v>63</v>
      </c>
      <c r="D36" s="17">
        <v>40</v>
      </c>
      <c r="E36" s="18" t="s">
        <v>34</v>
      </c>
      <c r="F36" s="19">
        <v>57</v>
      </c>
      <c r="G36" s="25" t="s">
        <v>61</v>
      </c>
      <c r="H36" s="25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38" t="s">
        <v>140</v>
      </c>
      <c r="AS36" s="38" t="s">
        <v>141</v>
      </c>
      <c r="AT36" s="38" t="s">
        <v>141</v>
      </c>
    </row>
    <row r="37" spans="1:46" ht="30" customHeight="1" x14ac:dyDescent="0.25">
      <c r="A37" s="20" t="s">
        <v>139</v>
      </c>
      <c r="B37" s="27" t="s">
        <v>135</v>
      </c>
      <c r="C37" s="31" t="s">
        <v>63</v>
      </c>
      <c r="D37" s="17">
        <v>39</v>
      </c>
      <c r="E37" s="18" t="s">
        <v>32</v>
      </c>
      <c r="F37" s="19">
        <v>57</v>
      </c>
      <c r="G37" s="25" t="s">
        <v>61</v>
      </c>
      <c r="H37" s="25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38" t="s">
        <v>140</v>
      </c>
      <c r="AS37" s="38" t="s">
        <v>141</v>
      </c>
      <c r="AT37" s="38" t="s">
        <v>141</v>
      </c>
    </row>
    <row r="38" spans="1:46" ht="30" customHeight="1" x14ac:dyDescent="0.25">
      <c r="A38" s="20" t="s">
        <v>144</v>
      </c>
      <c r="B38" s="27" t="s">
        <v>142</v>
      </c>
      <c r="C38" s="31" t="s">
        <v>63</v>
      </c>
      <c r="D38" s="17">
        <v>39</v>
      </c>
      <c r="E38" s="18" t="s">
        <v>32</v>
      </c>
      <c r="F38" s="26">
        <v>53</v>
      </c>
      <c r="G38" s="25" t="s">
        <v>61</v>
      </c>
      <c r="H38" s="25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40" t="s">
        <v>143</v>
      </c>
      <c r="AS38" s="40" t="s">
        <v>145</v>
      </c>
      <c r="AT38" s="40" t="s">
        <v>145</v>
      </c>
    </row>
    <row r="39" spans="1:46" ht="30" customHeight="1" x14ac:dyDescent="0.25">
      <c r="A39" s="20" t="s">
        <v>149</v>
      </c>
      <c r="B39" s="27" t="s">
        <v>146</v>
      </c>
      <c r="C39" s="31" t="s">
        <v>63</v>
      </c>
      <c r="D39" s="17">
        <v>39</v>
      </c>
      <c r="E39" s="18" t="s">
        <v>32</v>
      </c>
      <c r="F39" s="26">
        <v>56</v>
      </c>
      <c r="G39" s="25" t="s">
        <v>61</v>
      </c>
      <c r="H39" s="25" t="s">
        <v>45</v>
      </c>
      <c r="I39" s="12">
        <v>46</v>
      </c>
      <c r="J39" s="12">
        <v>53</v>
      </c>
      <c r="K39" s="12">
        <v>19</v>
      </c>
      <c r="L39" s="12">
        <v>14</v>
      </c>
      <c r="M39" s="12">
        <v>104</v>
      </c>
      <c r="N39" s="12">
        <v>98</v>
      </c>
      <c r="O39" s="12">
        <v>107</v>
      </c>
      <c r="P39" s="12">
        <v>64</v>
      </c>
      <c r="Q39" s="12">
        <v>41</v>
      </c>
      <c r="R39" s="12">
        <v>46</v>
      </c>
      <c r="S39" s="12">
        <v>55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64</v>
      </c>
      <c r="Z39" s="12">
        <v>41</v>
      </c>
      <c r="AA39" s="12">
        <v>46</v>
      </c>
      <c r="AB39" s="12">
        <v>23</v>
      </c>
      <c r="AC39" s="12">
        <v>18</v>
      </c>
      <c r="AD39" s="12">
        <v>29</v>
      </c>
      <c r="AE39" s="12">
        <v>27</v>
      </c>
      <c r="AF39" s="12">
        <v>29</v>
      </c>
      <c r="AG39" s="12">
        <v>64</v>
      </c>
      <c r="AH39" s="12">
        <v>41</v>
      </c>
      <c r="AI39" s="12">
        <v>93</v>
      </c>
      <c r="AJ39" s="12">
        <v>104</v>
      </c>
      <c r="AK39" s="12">
        <v>71</v>
      </c>
      <c r="AL39" s="12">
        <v>35</v>
      </c>
      <c r="AM39" s="12">
        <v>26</v>
      </c>
      <c r="AN39" s="12">
        <v>20</v>
      </c>
      <c r="AO39" s="12">
        <v>92</v>
      </c>
      <c r="AP39" s="2">
        <v>5</v>
      </c>
      <c r="AQ39" s="40" t="s">
        <v>148</v>
      </c>
    </row>
    <row r="40" spans="1:46" ht="30" customHeight="1" x14ac:dyDescent="0.25">
      <c r="A40" s="20" t="s">
        <v>150</v>
      </c>
      <c r="B40" s="27" t="s">
        <v>147</v>
      </c>
      <c r="C40" s="31" t="s">
        <v>63</v>
      </c>
      <c r="D40" s="17">
        <v>40</v>
      </c>
      <c r="E40" s="18" t="s">
        <v>31</v>
      </c>
      <c r="F40" s="26">
        <v>58</v>
      </c>
      <c r="G40" s="25" t="s">
        <v>61</v>
      </c>
      <c r="H40" s="25" t="s">
        <v>45</v>
      </c>
      <c r="I40" s="12">
        <v>44</v>
      </c>
      <c r="J40" s="12">
        <v>58</v>
      </c>
      <c r="K40" s="12">
        <v>19</v>
      </c>
      <c r="L40" s="12">
        <v>14</v>
      </c>
      <c r="M40" s="12">
        <v>100</v>
      </c>
      <c r="N40" s="12">
        <v>96</v>
      </c>
      <c r="O40" s="12">
        <v>108</v>
      </c>
      <c r="P40" s="12">
        <v>69</v>
      </c>
      <c r="Q40" s="12">
        <v>40</v>
      </c>
      <c r="R40" s="12">
        <v>44</v>
      </c>
      <c r="S40" s="12">
        <v>59</v>
      </c>
      <c r="T40" s="12">
        <v>17</v>
      </c>
      <c r="U40" s="12">
        <v>13</v>
      </c>
      <c r="V40" s="12">
        <v>28</v>
      </c>
      <c r="W40" s="12">
        <v>26</v>
      </c>
      <c r="X40" s="12">
        <v>28</v>
      </c>
      <c r="Y40" s="12">
        <v>69</v>
      </c>
      <c r="Z40" s="12">
        <v>40</v>
      </c>
      <c r="AA40" s="12">
        <v>44</v>
      </c>
      <c r="AB40" s="12">
        <v>24</v>
      </c>
      <c r="AC40" s="12">
        <v>17</v>
      </c>
      <c r="AD40" s="12">
        <v>28</v>
      </c>
      <c r="AE40" s="12">
        <v>26</v>
      </c>
      <c r="AF40" s="12">
        <v>28</v>
      </c>
      <c r="AG40" s="12">
        <v>69</v>
      </c>
      <c r="AH40" s="12">
        <v>40</v>
      </c>
      <c r="AI40" s="12">
        <v>88</v>
      </c>
      <c r="AJ40" s="12">
        <v>102</v>
      </c>
      <c r="AK40" s="12">
        <v>67</v>
      </c>
      <c r="AL40" s="12">
        <v>33</v>
      </c>
      <c r="AM40" s="12">
        <v>24</v>
      </c>
      <c r="AN40" s="12">
        <v>20</v>
      </c>
      <c r="AO40" s="12">
        <v>95</v>
      </c>
      <c r="AP40" s="2">
        <v>5</v>
      </c>
      <c r="AQ40" s="40" t="s">
        <v>148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COUNTIF(SEMUA!$E$2:$E$40,REKAP!A4)</f>
        <v>13</v>
      </c>
      <c r="C4">
        <v>10</v>
      </c>
      <c r="E4">
        <v>37</v>
      </c>
      <c r="F4">
        <f>COUNTIF(SEMUA!$D$1:$D$40,E4)</f>
        <v>0</v>
      </c>
      <c r="J4" s="7">
        <v>53</v>
      </c>
      <c r="K4">
        <f>COUNTIF(SEMUA!$F$2:$F$40,J4)</f>
        <v>7</v>
      </c>
    </row>
    <row r="5" spans="1:11" ht="15.75" x14ac:dyDescent="0.25">
      <c r="A5" s="6" t="s">
        <v>31</v>
      </c>
      <c r="B5">
        <f>COUNTIF(SEMUA!$E$2:$E$40,REKAP!A5)</f>
        <v>8</v>
      </c>
      <c r="C5">
        <v>1</v>
      </c>
      <c r="E5">
        <v>38</v>
      </c>
      <c r="F5">
        <f>COUNTIF(SEMUA!$D$1:$D$40,E5)</f>
        <v>0</v>
      </c>
      <c r="H5">
        <v>1</v>
      </c>
      <c r="J5" s="7">
        <v>54</v>
      </c>
      <c r="K5">
        <f>COUNTIF(SEMUA!$F$2:$F$40,J5)</f>
        <v>4</v>
      </c>
    </row>
    <row r="6" spans="1:11" ht="15.75" x14ac:dyDescent="0.25">
      <c r="A6" s="6" t="s">
        <v>35</v>
      </c>
      <c r="B6">
        <f>COUNTIF(SEMUA!$E$2:$E$40,REKAP!A6)</f>
        <v>0</v>
      </c>
      <c r="C6">
        <v>1</v>
      </c>
      <c r="E6" s="7">
        <v>39</v>
      </c>
      <c r="F6">
        <f>COUNTIF(SEMUA!$D$1:$D$40,E6)</f>
        <v>5</v>
      </c>
      <c r="J6" s="7">
        <v>55</v>
      </c>
      <c r="K6">
        <f>COUNTIF(SEMUA!$F$2:$F$40,J6)</f>
        <v>7</v>
      </c>
    </row>
    <row r="7" spans="1:11" ht="15.75" x14ac:dyDescent="0.25">
      <c r="A7" s="6" t="s">
        <v>34</v>
      </c>
      <c r="B7">
        <f>COUNTIF(SEMUA!$E$2:$E$40,REKAP!A7)</f>
        <v>17</v>
      </c>
      <c r="C7">
        <v>8</v>
      </c>
      <c r="E7" s="7">
        <v>40</v>
      </c>
      <c r="F7">
        <f>COUNTIF(SEMUA!$D$1:$D$40,E7)</f>
        <v>10</v>
      </c>
      <c r="H7">
        <v>12</v>
      </c>
      <c r="J7" s="7">
        <v>56</v>
      </c>
      <c r="K7">
        <f>COUNTIF(SEMUA!$F$2:$F$40,J7)</f>
        <v>8</v>
      </c>
    </row>
    <row r="8" spans="1:11" ht="15.75" x14ac:dyDescent="0.25">
      <c r="A8" s="6" t="s">
        <v>33</v>
      </c>
      <c r="B8">
        <f>COUNTIF(SEMUA!$E$2:$E$40,REKAP!A8)</f>
        <v>0</v>
      </c>
      <c r="C8">
        <v>6</v>
      </c>
      <c r="E8" s="7">
        <v>41</v>
      </c>
      <c r="F8">
        <f>COUNTIF(SEMUA!$D$1:$D$40,E8)</f>
        <v>4</v>
      </c>
      <c r="H8">
        <v>11</v>
      </c>
      <c r="J8" s="7">
        <v>57</v>
      </c>
      <c r="K8">
        <f>COUNTIF(SEMUA!$F$2:$F$40,J8)</f>
        <v>7</v>
      </c>
    </row>
    <row r="9" spans="1:11" ht="15.75" x14ac:dyDescent="0.25">
      <c r="A9" s="6" t="s">
        <v>36</v>
      </c>
      <c r="B9">
        <f>COUNTIF(SEMUA!$E$2:$E$40,REKAP!A9)</f>
        <v>1</v>
      </c>
      <c r="C9">
        <v>1</v>
      </c>
      <c r="E9" s="7">
        <v>42</v>
      </c>
      <c r="F9">
        <f>COUNTIF(SEMUA!$D$1:$D$40,E9)</f>
        <v>14</v>
      </c>
      <c r="H9">
        <v>3</v>
      </c>
      <c r="J9" s="7">
        <v>58</v>
      </c>
      <c r="K9">
        <f>COUNTIF(SEMUA!$F$2:$F$40,J9)</f>
        <v>5</v>
      </c>
    </row>
    <row r="10" spans="1:11" ht="15.75" x14ac:dyDescent="0.25">
      <c r="A10" s="6" t="s">
        <v>37</v>
      </c>
      <c r="B10">
        <f>COUNTIF(SEMUA!$E$2:$E$40,REKAP!A10)</f>
        <v>0</v>
      </c>
      <c r="E10" s="7">
        <v>43</v>
      </c>
      <c r="F10">
        <f>COUNTIF(SEMUA!$D$1:$D$40,E10)</f>
        <v>5</v>
      </c>
      <c r="H10">
        <v>8</v>
      </c>
      <c r="J10" s="7">
        <v>59</v>
      </c>
      <c r="K10">
        <f>COUNTIF(SEMUA!$F$2:$F$40,J10)</f>
        <v>1</v>
      </c>
    </row>
    <row r="11" spans="1:11" ht="15.75" x14ac:dyDescent="0.25">
      <c r="A11" s="8" t="s">
        <v>44</v>
      </c>
      <c r="B11" s="9">
        <f>SUM(B4:B10)</f>
        <v>39</v>
      </c>
      <c r="C11" s="9">
        <f>SUM(C4:C10)</f>
        <v>27</v>
      </c>
      <c r="D11" s="9"/>
      <c r="E11" s="7">
        <v>44</v>
      </c>
      <c r="F11">
        <f>COUNTIF(SEMUA!$D$1:$D$40,E11)</f>
        <v>1</v>
      </c>
      <c r="J11" s="1">
        <v>60</v>
      </c>
      <c r="K11">
        <f>COUNTIF(SEMUA!$F$2:$F$40,J11)</f>
        <v>0</v>
      </c>
    </row>
    <row r="12" spans="1:11" ht="15.75" x14ac:dyDescent="0.25">
      <c r="E12" s="7">
        <v>45</v>
      </c>
      <c r="F12">
        <f>COUNTIF(SEMUA!$D$1:$D$40,E12)</f>
        <v>0</v>
      </c>
      <c r="H12">
        <v>5</v>
      </c>
      <c r="K12">
        <f>SUM(K4:K11)</f>
        <v>39</v>
      </c>
    </row>
    <row r="13" spans="1:11" ht="15.75" x14ac:dyDescent="0.25">
      <c r="E13" s="7">
        <v>46</v>
      </c>
      <c r="F13">
        <f>COUNTIF(SEMUA!$D$1:$D$40,E13)</f>
        <v>0</v>
      </c>
      <c r="H13">
        <v>1</v>
      </c>
    </row>
    <row r="14" spans="1:11" ht="15.75" x14ac:dyDescent="0.25">
      <c r="E14" s="7"/>
      <c r="F14">
        <f>SUM(F4:F13)</f>
        <v>39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2021-10-25T14:35:15Z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