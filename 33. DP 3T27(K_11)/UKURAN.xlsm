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5D65DE46-729E-4159-9893-0B284C025E2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<sst xmlns="http://schemas.openxmlformats.org/spreadsheetml/2006/main" count="285" uniqueCount="130">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</sst>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AP33" sqref="AP33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66</v>
      </c>
      <c r="B2" s="34" t="s">
        <v>64</v>
      </c>
      <c r="C2" s="35" t="s">
        <v>65</v>
      </c>
      <c r="D2" s="36">
        <v>43</v>
      </c>
      <c r="E2" s="35" t="s">
        <v>34</v>
      </c>
      <c r="F2" s="35">
        <v>53</v>
      </c>
      <c r="G2" s="15" t="s">
        <v>63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41" t="s">
        <v>127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67</v>
      </c>
      <c r="B3" s="30" t="s">
        <v>92</v>
      </c>
      <c r="C3" s="35" t="s">
        <v>65</v>
      </c>
      <c r="D3" s="24">
        <v>40</v>
      </c>
      <c r="E3" s="23" t="s">
        <v>31</v>
      </c>
      <c r="F3" s="23">
        <v>53</v>
      </c>
      <c r="G3" s="15" t="s">
        <v>63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41" t="s">
        <v>127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68</v>
      </c>
      <c r="B4" s="30" t="s">
        <v>93</v>
      </c>
      <c r="C4" s="35" t="s">
        <v>65</v>
      </c>
      <c r="D4" s="24">
        <v>42</v>
      </c>
      <c r="E4" s="23" t="s">
        <v>32</v>
      </c>
      <c r="F4" s="23">
        <v>53</v>
      </c>
      <c r="G4" s="15" t="s">
        <v>63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41" t="s">
        <v>127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69</v>
      </c>
      <c r="B5" s="30" t="s">
        <v>94</v>
      </c>
      <c r="C5" s="35" t="s">
        <v>65</v>
      </c>
      <c r="D5" s="24">
        <v>42</v>
      </c>
      <c r="E5" s="23" t="s">
        <v>34</v>
      </c>
      <c r="F5" s="23">
        <v>59</v>
      </c>
      <c r="G5" s="15" t="s">
        <v>63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41" t="s">
        <v>127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70</v>
      </c>
      <c r="B6" s="30" t="s">
        <v>95</v>
      </c>
      <c r="C6" s="35" t="s">
        <v>65</v>
      </c>
      <c r="D6" s="24">
        <v>43</v>
      </c>
      <c r="E6" s="23" t="s">
        <v>34</v>
      </c>
      <c r="F6" s="23">
        <v>56</v>
      </c>
      <c r="G6" s="15" t="s">
        <v>63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41" t="s">
        <v>127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71</v>
      </c>
      <c r="B7" s="30" t="s">
        <v>96</v>
      </c>
      <c r="C7" s="35" t="s">
        <v>65</v>
      </c>
      <c r="D7" s="24">
        <v>42</v>
      </c>
      <c r="E7" s="25" t="s">
        <v>31</v>
      </c>
      <c r="F7" s="26">
        <v>53</v>
      </c>
      <c r="G7" s="15" t="s">
        <v>63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41" t="s">
        <v>127</v>
      </c>
      <c r="AR7" s="4"/>
      <c r="AS7" s="4"/>
      <c r="AT7" s="4"/>
    </row>
    <row r="8" spans="1:1013" ht="30" customHeight="1" x14ac:dyDescent="0.25">
      <c r="A8" s="33" t="s">
        <v>72</v>
      </c>
      <c r="B8" s="30" t="s">
        <v>97</v>
      </c>
      <c r="C8" s="35" t="s">
        <v>65</v>
      </c>
      <c r="D8" s="24">
        <v>43</v>
      </c>
      <c r="E8" s="25" t="s">
        <v>34</v>
      </c>
      <c r="F8" s="26">
        <v>58</v>
      </c>
      <c r="G8" s="15" t="s">
        <v>63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41" t="s">
        <v>127</v>
      </c>
      <c r="AR8" s="4"/>
      <c r="AS8" s="4"/>
      <c r="AT8" s="4"/>
    </row>
    <row r="9" spans="1:1013" ht="30" customHeight="1" x14ac:dyDescent="0.25">
      <c r="A9" s="22" t="s">
        <v>73</v>
      </c>
      <c r="B9" s="30" t="s">
        <v>98</v>
      </c>
      <c r="C9" s="35" t="s">
        <v>65</v>
      </c>
      <c r="D9" s="24">
        <v>40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41" t="s">
        <v>127</v>
      </c>
    </row>
    <row r="10" spans="1:1013" ht="30" customHeight="1" x14ac:dyDescent="0.25">
      <c r="A10" s="33" t="s">
        <v>74</v>
      </c>
      <c r="B10" s="30" t="s">
        <v>99</v>
      </c>
      <c r="C10" s="35" t="s">
        <v>65</v>
      </c>
      <c r="D10" s="24">
        <v>39</v>
      </c>
      <c r="E10" s="25" t="s">
        <v>34</v>
      </c>
      <c r="F10" s="26">
        <v>58</v>
      </c>
      <c r="G10" s="15" t="s">
        <v>63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41" t="s">
        <v>127</v>
      </c>
      <c r="AR10" s="4"/>
      <c r="AS10" s="4"/>
      <c r="AT10" s="4"/>
    </row>
    <row r="11" spans="1:1013" ht="30" customHeight="1" x14ac:dyDescent="0.25">
      <c r="A11" s="22" t="s">
        <v>75</v>
      </c>
      <c r="B11" s="30" t="s">
        <v>100</v>
      </c>
      <c r="C11" s="35" t="s">
        <v>65</v>
      </c>
      <c r="D11" s="19">
        <v>42</v>
      </c>
      <c r="E11" s="20" t="s">
        <v>34</v>
      </c>
      <c r="F11" s="29">
        <v>56</v>
      </c>
      <c r="G11" s="15" t="s">
        <v>63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41" t="s">
        <v>127</v>
      </c>
      <c r="AR11" s="4"/>
      <c r="AS11" s="4"/>
      <c r="AT11" s="4"/>
    </row>
    <row r="12" spans="1:1013" ht="30" customHeight="1" x14ac:dyDescent="0.25">
      <c r="A12" s="33" t="s">
        <v>76</v>
      </c>
      <c r="B12" s="30" t="s">
        <v>101</v>
      </c>
      <c r="C12" s="35" t="s">
        <v>65</v>
      </c>
      <c r="D12" s="24">
        <v>42</v>
      </c>
      <c r="E12" s="25" t="s">
        <v>32</v>
      </c>
      <c r="F12" s="26">
        <v>53</v>
      </c>
      <c r="G12" s="15" t="s">
        <v>63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41" t="s">
        <v>127</v>
      </c>
      <c r="AR12" s="4"/>
      <c r="AS12" s="4"/>
      <c r="AT12" s="4"/>
    </row>
    <row r="13" spans="1:1013" ht="30" customHeight="1" x14ac:dyDescent="0.25">
      <c r="A13" s="22" t="s">
        <v>77</v>
      </c>
      <c r="B13" s="30" t="s">
        <v>102</v>
      </c>
      <c r="C13" s="35" t="s">
        <v>65</v>
      </c>
      <c r="D13" s="24">
        <v>42</v>
      </c>
      <c r="E13" s="20" t="s">
        <v>31</v>
      </c>
      <c r="F13" s="29">
        <v>55</v>
      </c>
      <c r="G13" s="15" t="s">
        <v>63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41" t="s">
        <v>127</v>
      </c>
      <c r="AS13" s="4"/>
      <c r="AT13" s="4"/>
    </row>
    <row r="14" spans="1:1013" ht="30" customHeight="1" x14ac:dyDescent="0.25">
      <c r="A14" s="33" t="s">
        <v>78</v>
      </c>
      <c r="B14" s="30" t="s">
        <v>103</v>
      </c>
      <c r="C14" s="35" t="s">
        <v>65</v>
      </c>
      <c r="D14" s="24">
        <v>42</v>
      </c>
      <c r="E14" s="20" t="s">
        <v>34</v>
      </c>
      <c r="F14" s="29">
        <v>58</v>
      </c>
      <c r="G14" s="15" t="s">
        <v>63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41" t="s">
        <v>127</v>
      </c>
      <c r="AS14" s="4"/>
      <c r="AT14" s="4"/>
    </row>
    <row r="15" spans="1:1013" ht="30" customHeight="1" x14ac:dyDescent="0.25">
      <c r="A15" s="22" t="s">
        <v>79</v>
      </c>
      <c r="B15" s="30" t="s">
        <v>104</v>
      </c>
      <c r="C15" s="35" t="s">
        <v>65</v>
      </c>
      <c r="D15" s="24">
        <v>40</v>
      </c>
      <c r="E15" s="20" t="s">
        <v>32</v>
      </c>
      <c r="F15" s="21">
        <v>57</v>
      </c>
      <c r="G15" s="28" t="s">
        <v>63</v>
      </c>
      <c r="H15" s="28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41" t="s">
        <v>127</v>
      </c>
    </row>
    <row r="16" spans="1:1013" ht="30" customHeight="1" x14ac:dyDescent="0.25">
      <c r="A16" s="33" t="s">
        <v>80</v>
      </c>
      <c r="B16" s="30" t="s">
        <v>105</v>
      </c>
      <c r="C16" s="35" t="s">
        <v>65</v>
      </c>
      <c r="D16" s="24">
        <v>44</v>
      </c>
      <c r="E16" s="20" t="s">
        <v>34</v>
      </c>
      <c r="F16" s="21">
        <v>55</v>
      </c>
      <c r="G16" s="28" t="s">
        <v>63</v>
      </c>
      <c r="H16" s="28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41" t="s">
        <v>127</v>
      </c>
    </row>
    <row r="17" spans="1:43" ht="30" customHeight="1" x14ac:dyDescent="0.25">
      <c r="A17" s="22" t="s">
        <v>81</v>
      </c>
      <c r="B17" s="30" t="s">
        <v>106</v>
      </c>
      <c r="C17" s="35" t="s">
        <v>65</v>
      </c>
      <c r="D17" s="24">
        <v>40</v>
      </c>
      <c r="E17" s="20" t="s">
        <v>32</v>
      </c>
      <c r="F17" s="21">
        <v>57</v>
      </c>
      <c r="G17" s="28" t="s">
        <v>63</v>
      </c>
      <c r="H17" s="28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8">
        <v>94</v>
      </c>
      <c r="AP17" s="2">
        <v>1</v>
      </c>
      <c r="AQ17" s="41" t="s">
        <v>127</v>
      </c>
    </row>
    <row r="18" spans="1:43" ht="30" customHeight="1" x14ac:dyDescent="0.25">
      <c r="A18" s="33" t="s">
        <v>82</v>
      </c>
      <c r="B18" s="30" t="s">
        <v>107</v>
      </c>
      <c r="C18" s="35" t="s">
        <v>65</v>
      </c>
      <c r="D18" s="24">
        <v>40</v>
      </c>
      <c r="E18" s="20" t="s">
        <v>32</v>
      </c>
      <c r="F18" s="21">
        <v>54</v>
      </c>
      <c r="G18" s="28" t="s">
        <v>63</v>
      </c>
      <c r="H18" s="28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41" t="s">
        <v>127</v>
      </c>
    </row>
    <row r="19" spans="1:43" ht="30" customHeight="1" x14ac:dyDescent="0.25">
      <c r="A19" s="22" t="s">
        <v>83</v>
      </c>
      <c r="B19" s="30" t="s">
        <v>108</v>
      </c>
      <c r="C19" s="35" t="s">
        <v>65</v>
      </c>
      <c r="D19" s="24">
        <v>42</v>
      </c>
      <c r="E19" s="20" t="s">
        <v>34</v>
      </c>
      <c r="F19" s="21">
        <v>55</v>
      </c>
      <c r="G19" s="28" t="s">
        <v>63</v>
      </c>
      <c r="H19" s="28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41" t="s">
        <v>127</v>
      </c>
    </row>
    <row r="20" spans="1:43" ht="30" customHeight="1" x14ac:dyDescent="0.25">
      <c r="A20" s="33" t="s">
        <v>84</v>
      </c>
      <c r="B20" s="30" t="s">
        <v>109</v>
      </c>
      <c r="C20" s="35" t="s">
        <v>65</v>
      </c>
      <c r="D20" s="24">
        <v>42</v>
      </c>
      <c r="E20" s="20" t="s">
        <v>34</v>
      </c>
      <c r="F20" s="21">
        <v>56</v>
      </c>
      <c r="G20" s="28" t="s">
        <v>63</v>
      </c>
      <c r="H20" s="28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41" t="s">
        <v>127</v>
      </c>
    </row>
    <row r="21" spans="1:43" ht="30" customHeight="1" x14ac:dyDescent="0.25">
      <c r="A21" s="22" t="s">
        <v>85</v>
      </c>
      <c r="B21" s="30" t="s">
        <v>110</v>
      </c>
      <c r="C21" s="35" t="s">
        <v>65</v>
      </c>
      <c r="D21" s="24">
        <v>40</v>
      </c>
      <c r="E21" s="20" t="s">
        <v>34</v>
      </c>
      <c r="F21" s="21">
        <v>55</v>
      </c>
      <c r="G21" s="28" t="s">
        <v>63</v>
      </c>
      <c r="H21" s="28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41" t="s">
        <v>127</v>
      </c>
    </row>
    <row r="22" spans="1:43" ht="30" customHeight="1" x14ac:dyDescent="0.25">
      <c r="A22" s="33" t="s">
        <v>86</v>
      </c>
      <c r="B22" s="30" t="s">
        <v>111</v>
      </c>
      <c r="C22" s="35" t="s">
        <v>65</v>
      </c>
      <c r="D22" s="24">
        <v>40</v>
      </c>
      <c r="E22" s="20" t="s">
        <v>32</v>
      </c>
      <c r="F22" s="21">
        <v>54</v>
      </c>
      <c r="G22" s="28" t="s">
        <v>63</v>
      </c>
      <c r="H22" s="28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41" t="s">
        <v>127</v>
      </c>
    </row>
    <row r="23" spans="1:43" ht="30" customHeight="1" x14ac:dyDescent="0.25">
      <c r="A23" s="22" t="s">
        <v>87</v>
      </c>
      <c r="B23" s="30" t="s">
        <v>112</v>
      </c>
      <c r="C23" s="35" t="s">
        <v>65</v>
      </c>
      <c r="D23" s="24">
        <v>42</v>
      </c>
      <c r="E23" s="20" t="s">
        <v>34</v>
      </c>
      <c r="F23" s="21">
        <v>57</v>
      </c>
      <c r="G23" s="28" t="s">
        <v>63</v>
      </c>
      <c r="H23" s="28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41" t="s">
        <v>127</v>
      </c>
    </row>
    <row r="24" spans="1:43" ht="30" customHeight="1" x14ac:dyDescent="0.25">
      <c r="A24" s="33" t="s">
        <v>88</v>
      </c>
      <c r="B24" s="30" t="s">
        <v>113</v>
      </c>
      <c r="C24" s="35" t="s">
        <v>65</v>
      </c>
      <c r="D24" s="24">
        <v>41</v>
      </c>
      <c r="E24" s="20" t="s">
        <v>31</v>
      </c>
      <c r="F24" s="21">
        <v>56</v>
      </c>
      <c r="G24" s="28" t="s">
        <v>63</v>
      </c>
      <c r="H24" s="28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8">
        <v>25</v>
      </c>
      <c r="AF24" s="40">
        <v>27</v>
      </c>
      <c r="AG24" s="18">
        <v>69</v>
      </c>
      <c r="AH24" s="18">
        <v>38</v>
      </c>
      <c r="AI24" s="18">
        <v>82</v>
      </c>
      <c r="AJ24" s="18">
        <v>103</v>
      </c>
      <c r="AK24" s="18">
        <v>65</v>
      </c>
      <c r="AL24" s="18">
        <v>31</v>
      </c>
      <c r="AM24" s="18">
        <v>24</v>
      </c>
      <c r="AN24" s="18">
        <v>19</v>
      </c>
      <c r="AO24" s="18">
        <v>91</v>
      </c>
      <c r="AP24" s="2">
        <v>1</v>
      </c>
      <c r="AQ24" s="41" t="s">
        <v>127</v>
      </c>
    </row>
    <row r="25" spans="1:43" ht="30" customHeight="1" x14ac:dyDescent="0.25">
      <c r="A25" s="22" t="s">
        <v>89</v>
      </c>
      <c r="B25" s="30" t="s">
        <v>114</v>
      </c>
      <c r="C25" s="35" t="s">
        <v>65</v>
      </c>
      <c r="D25" s="24">
        <v>42</v>
      </c>
      <c r="E25" s="20" t="s">
        <v>31</v>
      </c>
      <c r="F25" s="21">
        <v>58</v>
      </c>
      <c r="G25" s="28" t="s">
        <v>63</v>
      </c>
      <c r="H25" s="28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8">
        <v>25</v>
      </c>
      <c r="AF25" s="40">
        <v>27</v>
      </c>
      <c r="AG25" s="18">
        <v>69</v>
      </c>
      <c r="AH25" s="18">
        <v>38</v>
      </c>
      <c r="AI25" s="18">
        <v>82</v>
      </c>
      <c r="AJ25" s="18">
        <v>103</v>
      </c>
      <c r="AK25" s="18">
        <v>65</v>
      </c>
      <c r="AL25" s="18">
        <v>31</v>
      </c>
      <c r="AM25" s="18">
        <v>24</v>
      </c>
      <c r="AN25" s="18">
        <v>19</v>
      </c>
      <c r="AO25" s="18">
        <v>91</v>
      </c>
      <c r="AP25" s="2">
        <v>1</v>
      </c>
      <c r="AQ25" s="41" t="s">
        <v>127</v>
      </c>
    </row>
    <row r="26" spans="1:43" ht="30" customHeight="1" x14ac:dyDescent="0.25">
      <c r="A26" s="33" t="s">
        <v>90</v>
      </c>
      <c r="B26" s="30" t="s">
        <v>115</v>
      </c>
      <c r="C26" s="35" t="s">
        <v>65</v>
      </c>
      <c r="D26" s="24">
        <v>43</v>
      </c>
      <c r="E26" s="20" t="s">
        <v>34</v>
      </c>
      <c r="F26" s="21">
        <v>56</v>
      </c>
      <c r="G26" s="28" t="s">
        <v>63</v>
      </c>
      <c r="H26" s="28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8">
        <v>26</v>
      </c>
      <c r="AF26" s="40">
        <v>28</v>
      </c>
      <c r="AG26" s="18">
        <v>74</v>
      </c>
      <c r="AH26" s="18">
        <v>40</v>
      </c>
      <c r="AI26" s="18">
        <v>90</v>
      </c>
      <c r="AJ26" s="18">
        <v>107</v>
      </c>
      <c r="AK26" s="18">
        <v>66</v>
      </c>
      <c r="AL26" s="18">
        <v>33</v>
      </c>
      <c r="AM26" s="18">
        <v>25</v>
      </c>
      <c r="AN26" s="18">
        <v>20</v>
      </c>
      <c r="AO26" s="18">
        <v>98</v>
      </c>
      <c r="AP26" s="2">
        <v>1</v>
      </c>
      <c r="AQ26" s="41" t="s">
        <v>127</v>
      </c>
    </row>
    <row r="27" spans="1:43" ht="30" customHeight="1" x14ac:dyDescent="0.25">
      <c r="A27" s="22" t="s">
        <v>91</v>
      </c>
      <c r="B27" s="30" t="s">
        <v>116</v>
      </c>
      <c r="C27" s="35" t="s">
        <v>65</v>
      </c>
      <c r="D27" s="24">
        <v>41</v>
      </c>
      <c r="E27" s="20" t="s">
        <v>32</v>
      </c>
      <c r="F27" s="21">
        <v>53</v>
      </c>
      <c r="G27" s="28" t="s">
        <v>63</v>
      </c>
      <c r="H27" s="28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41" t="s">
        <v>127</v>
      </c>
    </row>
    <row r="28" spans="1:43" ht="30" customHeight="1" x14ac:dyDescent="0.25">
      <c r="A28" s="33" t="s">
        <v>121</v>
      </c>
      <c r="B28" s="30" t="s">
        <v>117</v>
      </c>
      <c r="C28" s="35" t="s">
        <v>65</v>
      </c>
      <c r="D28" s="24">
        <v>43</v>
      </c>
      <c r="E28" s="20" t="s">
        <v>36</v>
      </c>
      <c r="F28" s="21">
        <v>57</v>
      </c>
      <c r="G28" s="28" t="s">
        <v>63</v>
      </c>
      <c r="H28" s="28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41" t="s">
        <v>127</v>
      </c>
    </row>
    <row r="29" spans="1:43" ht="30" customHeight="1" x14ac:dyDescent="0.25">
      <c r="A29" s="22" t="s">
        <v>122</v>
      </c>
      <c r="B29" s="30" t="s">
        <v>118</v>
      </c>
      <c r="C29" s="35" t="s">
        <v>65</v>
      </c>
      <c r="D29" s="19">
        <v>42</v>
      </c>
      <c r="E29" s="20" t="s">
        <v>34</v>
      </c>
      <c r="F29" s="21">
        <v>55</v>
      </c>
      <c r="G29" s="28" t="s">
        <v>63</v>
      </c>
      <c r="H29" s="28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41" t="s">
        <v>127</v>
      </c>
    </row>
    <row r="30" spans="1:43" ht="30" customHeight="1" x14ac:dyDescent="0.25">
      <c r="A30" s="33" t="s">
        <v>123</v>
      </c>
      <c r="B30" s="30" t="s">
        <v>119</v>
      </c>
      <c r="C30" s="35" t="s">
        <v>65</v>
      </c>
      <c r="D30" s="19">
        <v>41</v>
      </c>
      <c r="E30" s="20" t="s">
        <v>32</v>
      </c>
      <c r="F30" s="21">
        <v>55</v>
      </c>
      <c r="G30" s="28" t="s">
        <v>63</v>
      </c>
      <c r="H30" s="28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41" t="s">
        <v>127</v>
      </c>
    </row>
    <row r="31" spans="1:43" ht="30" customHeight="1" x14ac:dyDescent="0.25">
      <c r="A31" s="22" t="s">
        <v>124</v>
      </c>
      <c r="B31" s="30" t="s">
        <v>120</v>
      </c>
      <c r="C31" s="35" t="s">
        <v>65</v>
      </c>
      <c r="D31" s="19">
        <v>39</v>
      </c>
      <c r="E31" s="20" t="s">
        <v>31</v>
      </c>
      <c r="F31" s="21">
        <v>54</v>
      </c>
      <c r="G31" s="28" t="s">
        <v>63</v>
      </c>
      <c r="H31" s="28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41" t="s">
        <v>127</v>
      </c>
    </row>
    <row r="32" spans="1:43" ht="30" customHeight="1" x14ac:dyDescent="0.25">
      <c r="A32" s="33" t="s">
        <v>125</v>
      </c>
      <c r="B32" s="30" t="s">
        <v>128</v>
      </c>
      <c r="C32" s="35" t="s">
        <v>65</v>
      </c>
      <c r="D32" s="19">
        <v>41</v>
      </c>
      <c r="E32" s="20" t="s">
        <v>34</v>
      </c>
      <c r="F32" s="21">
        <v>55</v>
      </c>
      <c r="G32" s="28" t="s">
        <v>63</v>
      </c>
      <c r="H32" s="28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42" t="s">
        <v>129</v>
      </c>
    </row>
    <row r="33" spans="1:43" ht="30" customHeight="1" x14ac:dyDescent="0.25">
      <c r="A33" s="22" t="s">
        <v>126</v>
      </c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9</v>
      </c>
      <c r="C4">
        <v>3</v>
      </c>
      <c r="D4">
        <f>SUM(B4:C4)</f>
        <v>12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6</v>
      </c>
      <c r="P4">
        <f>SUM(N4:O4)</f>
        <v>6</v>
      </c>
      <c r="Q4" s="16">
        <v>1</v>
      </c>
    </row>
    <row r="5" spans="1:18" ht="15.75" x14ac:dyDescent="0.25">
      <c r="A5" s="6" t="s">
        <v>31</v>
      </c>
      <c r="B5">
        <f>COUNTIF(SEMUA!$E$2:$E$60,REKAP!A5)</f>
        <v>6</v>
      </c>
      <c r="C5">
        <v>5</v>
      </c>
      <c r="D5">
        <f t="shared" ref="D5:D10" si="0">SUM(B5:C5)</f>
        <v>11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4</v>
      </c>
      <c r="O5">
        <v>2</v>
      </c>
      <c r="P5">
        <f t="shared" ref="P5:P11" si="1">SUM(N5:O5)</f>
        <v>6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2">SUM(H6:I6)</f>
        <v>5</v>
      </c>
      <c r="K6" s="16">
        <v>3</v>
      </c>
      <c r="M6" s="7">
        <v>55</v>
      </c>
      <c r="N6">
        <f>COUNTIF(SEMUA!$F$2:$F$60,M6)</f>
        <v>7</v>
      </c>
      <c r="O6">
        <v>1</v>
      </c>
      <c r="P6">
        <f t="shared" si="1"/>
        <v>8</v>
      </c>
      <c r="Q6" s="16"/>
    </row>
    <row r="7" spans="1:18" ht="15.75" x14ac:dyDescent="0.25">
      <c r="A7" s="6" t="s">
        <v>34</v>
      </c>
      <c r="B7">
        <f>COUNTIF(SEMUA!$E$2:$E$60,REKAP!A7)</f>
        <v>15</v>
      </c>
      <c r="C7">
        <v>7</v>
      </c>
      <c r="D7">
        <f t="shared" si="0"/>
        <v>22</v>
      </c>
      <c r="E7" s="16">
        <v>24</v>
      </c>
      <c r="G7" s="7">
        <v>40</v>
      </c>
      <c r="H7">
        <f>COUNTIF(SEMUA!$D$1:$D$60,G7)</f>
        <v>7</v>
      </c>
      <c r="I7">
        <v>3</v>
      </c>
      <c r="J7">
        <f t="shared" si="2"/>
        <v>10</v>
      </c>
      <c r="K7" s="16">
        <v>22</v>
      </c>
      <c r="M7" s="7">
        <v>56</v>
      </c>
      <c r="N7">
        <f>COUNTIF(SEMUA!$F$2:$F$60,M7)</f>
        <v>5</v>
      </c>
      <c r="O7">
        <v>7</v>
      </c>
      <c r="P7">
        <f t="shared" si="1"/>
        <v>12</v>
      </c>
      <c r="Q7" s="16">
        <v>10</v>
      </c>
    </row>
    <row r="8" spans="1:18" ht="15.75" x14ac:dyDescent="0.25">
      <c r="A8" s="6" t="s">
        <v>33</v>
      </c>
      <c r="B8">
        <f>COUNTIF(SEMUA!$E$2:$E$60,REKAP!A8)</f>
        <v>0</v>
      </c>
      <c r="C8">
        <v>3</v>
      </c>
      <c r="D8">
        <f t="shared" si="0"/>
        <v>3</v>
      </c>
      <c r="E8" s="16">
        <v>11</v>
      </c>
      <c r="G8" s="7">
        <v>41</v>
      </c>
      <c r="H8">
        <f>COUNTIF(SEMUA!$D$1:$D$60,G8)</f>
        <v>4</v>
      </c>
      <c r="I8">
        <v>5</v>
      </c>
      <c r="J8">
        <f t="shared" si="2"/>
        <v>9</v>
      </c>
      <c r="K8" s="16">
        <v>23</v>
      </c>
      <c r="M8" s="7">
        <v>57</v>
      </c>
      <c r="N8">
        <f>COUNTIF(SEMUA!$F$2:$F$60,M8)</f>
        <v>4</v>
      </c>
      <c r="O8">
        <v>1</v>
      </c>
      <c r="P8">
        <f t="shared" si="1"/>
        <v>5</v>
      </c>
      <c r="Q8" s="16">
        <v>10</v>
      </c>
    </row>
    <row r="9" spans="1:18" ht="15.75" x14ac:dyDescent="0.25">
      <c r="A9" s="6" t="s">
        <v>36</v>
      </c>
      <c r="B9">
        <f>COUNTIF(SEMUA!$E$2:$E$60,REKAP!A9)</f>
        <v>1</v>
      </c>
      <c r="D9">
        <f t="shared" si="0"/>
        <v>1</v>
      </c>
      <c r="E9" s="16">
        <v>4</v>
      </c>
      <c r="G9" s="7">
        <v>42</v>
      </c>
      <c r="H9">
        <f>COUNTIF(SEMUA!$D$1:$D$60,G9)</f>
        <v>12</v>
      </c>
      <c r="I9">
        <v>2</v>
      </c>
      <c r="J9">
        <f t="shared" si="2"/>
        <v>14</v>
      </c>
      <c r="K9" s="16">
        <v>10</v>
      </c>
      <c r="M9" s="7">
        <v>58</v>
      </c>
      <c r="N9">
        <f>COUNTIF(SEMUA!$F$2:$F$60,M9)</f>
        <v>4</v>
      </c>
      <c r="O9">
        <v>6</v>
      </c>
      <c r="P9">
        <f t="shared" si="1"/>
        <v>10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5</v>
      </c>
      <c r="I10">
        <v>5</v>
      </c>
      <c r="J10">
        <f t="shared" si="2"/>
        <v>10</v>
      </c>
      <c r="K10" s="16">
        <v>10</v>
      </c>
      <c r="M10" s="7">
        <v>59</v>
      </c>
      <c r="N10">
        <f>COUNTIF(SEMUA!$F$2:$F$60,M10)</f>
        <v>1</v>
      </c>
      <c r="P10">
        <f t="shared" si="1"/>
        <v>1</v>
      </c>
      <c r="Q10" s="16"/>
    </row>
    <row r="11" spans="1:18" ht="15.75" x14ac:dyDescent="0.25">
      <c r="A11" s="8" t="s">
        <v>44</v>
      </c>
      <c r="B11" s="9">
        <f>SUM(B4:B10)</f>
        <v>31</v>
      </c>
      <c r="C11" s="9"/>
      <c r="D11" s="9">
        <f>SUM(D4:D10)</f>
        <v>50</v>
      </c>
      <c r="E11" s="17">
        <f>SUM(E4:E10)</f>
        <v>85</v>
      </c>
      <c r="F11" s="9"/>
      <c r="G11" s="7">
        <v>44</v>
      </c>
      <c r="H11">
        <f>COUNTIF(SEMUA!$D$1:$D$60,G11)</f>
        <v>1</v>
      </c>
      <c r="J11">
        <f t="shared" si="2"/>
        <v>1</v>
      </c>
      <c r="K11" s="16">
        <v>1</v>
      </c>
      <c r="M11" s="1">
        <v>60</v>
      </c>
      <c r="N11">
        <f>COUNTIF(SEMUA!$F$2:$F$60,M11)</f>
        <v>0</v>
      </c>
      <c r="O11">
        <v>2</v>
      </c>
      <c r="P11">
        <f t="shared" si="1"/>
        <v>2</v>
      </c>
      <c r="Q11" s="16">
        <v>5</v>
      </c>
    </row>
    <row r="12" spans="1:18" ht="15.75" x14ac:dyDescent="0.25">
      <c r="G12" s="7">
        <v>45</v>
      </c>
      <c r="H12">
        <f>COUNTIF(SEMUA!$D$1:$D$60,G12)</f>
        <v>0</v>
      </c>
      <c r="I12">
        <v>1</v>
      </c>
      <c r="J12">
        <f t="shared" si="2"/>
        <v>1</v>
      </c>
      <c r="K12" s="16">
        <v>0</v>
      </c>
      <c r="N12">
        <f>SUM(N4:N11)</f>
        <v>31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31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2021-10-01T13:10:22Z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