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8. ETO ANGK 5(K_12)\"/>
    </mc:Choice>
  </mc:AlternateContent>
  <xr:revisionPtr revIDLastSave="0" documentId="13_ncr:1_{DD3BF2E4-66F2-42E1-9ACD-2C73CA212D7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<sst xmlns="http://schemas.openxmlformats.org/spreadsheetml/2006/main" count="115" uniqueCount="81">
  <si>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</si>
  <si>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</si>
  <si>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</si>
  <si>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</si>
  <si>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</si>
  <si>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</si>
  <si>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</si>
  <si>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</si>
  <si>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</si>
  <si>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</si>
  <si>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</si>
  <si>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</si>
  <si>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</si>
  <si>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</si>
  <si>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</si>
  <si>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</si>
  <si>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</si>
  <si>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</si>
  <si>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</si>
  <si>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</si>
  <si>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</si>
  <si>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</si>
  <si>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</si>
  <si>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</si>
  <si>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</si>
  <si>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</si>
  <si>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</si>
  <si>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</si>
  <si>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</si>
  <si>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</si>
  <si>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</si>
  <si>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</si>
  <si>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</si>
  <si>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</si>
  <si>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</si>
  <si>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</si>
  <si>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</si>
  <si>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</si>
  <si>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</si>
  <si>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</si>
  <si>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</si>
  <si>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</si>
  <si>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</si>
  <si>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</si>
  <si>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</si>
  <si>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</si>
  <si>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</si>
  <si>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</si>
  <si>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</si>
  <si>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</si>
  <si>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</si>
  <si>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</si>
  <si>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</si>
  <si>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</si>
  <si>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</si>
  <si>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</si>
  <si>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</si>
  <si>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</si>
  <si>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</si>
  <si>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</si>
  <si>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</si>
  <si>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</si>
  <si>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</si>
  <si>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B1</t>
  </si>
  <si>
    <t>B2</t>
  </si>
  <si>
    <t>B3</t>
  </si>
  <si>
    <t>NOFARIZAL</t>
  </si>
  <si>
    <t>AGUS LUDI D.S.</t>
  </si>
  <si>
    <t>DEO RISTIADI</t>
  </si>
  <si>
    <t>ETO/5</t>
  </si>
  <si>
    <t>STREP 2</t>
  </si>
  <si>
    <t>B4</t>
  </si>
  <si>
    <t>B5</t>
  </si>
  <si>
    <t>ELDON SINAGA</t>
  </si>
  <si>
    <t>ALEXANDRO PAULO</t>
  </si>
  <si>
    <t>SEVI PRAYITNO</t>
  </si>
  <si>
    <t>AGUNG TRI HUTOMO</t>
  </si>
  <si>
    <t>B6</t>
  </si>
  <si>
    <t>B7</t>
  </si>
  <si>
    <t>R. SEPTIAN BILLY S</t>
  </si>
  <si>
    <t>B8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</si>
</sst>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AG10" sqref="AG10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63</v>
      </c>
      <c r="B2" s="35" t="s">
        <v>66</v>
      </c>
      <c r="C2" s="36" t="s">
        <v>69</v>
      </c>
      <c r="D2" s="37">
        <v>41</v>
      </c>
      <c r="E2" s="36" t="s">
        <v>31</v>
      </c>
      <c r="F2" s="36">
        <v>57</v>
      </c>
      <c r="G2" s="15" t="s">
        <v>70</v>
      </c>
      <c r="H2" s="15" t="s">
        <v>45</v>
      </c>
      <c r="I2" s="11">
        <v>46</v>
      </c>
      <c r="J2" s="11">
        <v>60</v>
      </c>
      <c r="K2" s="11">
        <v>19</v>
      </c>
      <c r="L2" s="11">
        <v>14</v>
      </c>
      <c r="M2" s="11">
        <v>99</v>
      </c>
      <c r="N2" s="11">
        <v>93</v>
      </c>
      <c r="O2" s="11">
        <v>104</v>
      </c>
      <c r="P2" s="11">
        <v>70</v>
      </c>
      <c r="Q2" s="11">
        <v>39</v>
      </c>
      <c r="R2" s="12">
        <v>46</v>
      </c>
      <c r="S2" s="11">
        <v>61</v>
      </c>
      <c r="T2" s="11">
        <v>17</v>
      </c>
      <c r="U2" s="11">
        <v>12</v>
      </c>
      <c r="V2" s="11">
        <v>28</v>
      </c>
      <c r="W2" s="11">
        <v>26</v>
      </c>
      <c r="X2" s="11">
        <v>28</v>
      </c>
      <c r="Y2" s="11">
        <v>70</v>
      </c>
      <c r="Z2" s="11">
        <v>39</v>
      </c>
      <c r="AA2" s="11">
        <v>46</v>
      </c>
      <c r="AB2" s="11">
        <v>26</v>
      </c>
      <c r="AC2" s="11">
        <v>17</v>
      </c>
      <c r="AD2" s="11">
        <v>28</v>
      </c>
      <c r="AE2" s="11">
        <v>26</v>
      </c>
      <c r="AF2" s="11">
        <v>28</v>
      </c>
      <c r="AG2" s="11">
        <v>70</v>
      </c>
      <c r="AH2" s="11">
        <v>39</v>
      </c>
      <c r="AI2" s="11">
        <v>85</v>
      </c>
      <c r="AJ2" s="11">
        <v>99</v>
      </c>
      <c r="AK2" s="11">
        <v>65</v>
      </c>
      <c r="AL2" s="11">
        <v>31</v>
      </c>
      <c r="AM2" s="11">
        <v>24</v>
      </c>
      <c r="AN2" s="11">
        <v>20</v>
      </c>
      <c r="AO2" s="15">
        <v>100</v>
      </c>
      <c r="AP2" s="2">
        <v>1</v>
      </c>
      <c r="AQ2" s="41">
        <v>44444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64</v>
      </c>
      <c r="B3" s="31" t="s">
        <v>67</v>
      </c>
      <c r="C3" s="24" t="s">
        <v>69</v>
      </c>
      <c r="D3" s="25">
        <v>42</v>
      </c>
      <c r="E3" s="24" t="s">
        <v>34</v>
      </c>
      <c r="F3" s="24">
        <v>57</v>
      </c>
      <c r="G3" s="15" t="s">
        <v>70</v>
      </c>
      <c r="H3" s="15" t="s">
        <v>45</v>
      </c>
      <c r="I3" s="11">
        <v>48</v>
      </c>
      <c r="J3" s="11">
        <v>58</v>
      </c>
      <c r="K3" s="11">
        <v>19</v>
      </c>
      <c r="L3" s="11">
        <v>14</v>
      </c>
      <c r="M3" s="11">
        <v>105</v>
      </c>
      <c r="N3" s="11">
        <v>99</v>
      </c>
      <c r="O3" s="11">
        <v>110</v>
      </c>
      <c r="P3" s="11">
        <v>71</v>
      </c>
      <c r="Q3" s="11">
        <v>40</v>
      </c>
      <c r="R3" s="11">
        <v>48</v>
      </c>
      <c r="S3" s="11">
        <v>59</v>
      </c>
      <c r="T3" s="11">
        <v>18</v>
      </c>
      <c r="U3" s="11">
        <v>13</v>
      </c>
      <c r="V3" s="11">
        <v>28</v>
      </c>
      <c r="W3" s="11">
        <v>27</v>
      </c>
      <c r="X3" s="11">
        <v>28</v>
      </c>
      <c r="Y3" s="11">
        <v>71</v>
      </c>
      <c r="Z3" s="11">
        <v>40</v>
      </c>
      <c r="AA3" s="11">
        <v>48</v>
      </c>
      <c r="AB3" s="11">
        <v>26</v>
      </c>
      <c r="AC3" s="11">
        <v>18</v>
      </c>
      <c r="AD3" s="11">
        <v>28</v>
      </c>
      <c r="AE3" s="11">
        <v>27</v>
      </c>
      <c r="AF3" s="11">
        <v>28</v>
      </c>
      <c r="AG3" s="11">
        <v>71</v>
      </c>
      <c r="AH3" s="11">
        <v>40</v>
      </c>
      <c r="AI3" s="11">
        <v>91</v>
      </c>
      <c r="AJ3" s="11">
        <v>108</v>
      </c>
      <c r="AK3" s="11">
        <v>70</v>
      </c>
      <c r="AL3" s="11">
        <v>34</v>
      </c>
      <c r="AM3" s="11">
        <v>27</v>
      </c>
      <c r="AN3" s="11">
        <v>21</v>
      </c>
      <c r="AO3" s="11">
        <v>99</v>
      </c>
      <c r="AP3" s="2">
        <v>1</v>
      </c>
      <c r="AQ3" s="41">
        <v>44444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65</v>
      </c>
      <c r="B4" s="31" t="s">
        <v>68</v>
      </c>
      <c r="C4" s="24" t="s">
        <v>69</v>
      </c>
      <c r="D4" s="25">
        <v>45</v>
      </c>
      <c r="E4" s="24" t="s">
        <v>33</v>
      </c>
      <c r="F4" s="24">
        <v>60</v>
      </c>
      <c r="G4" s="15" t="s">
        <v>70</v>
      </c>
      <c r="H4" s="15" t="s">
        <v>45</v>
      </c>
      <c r="I4" s="11">
        <v>51</v>
      </c>
      <c r="J4" s="11">
        <v>61</v>
      </c>
      <c r="K4" s="11">
        <v>21</v>
      </c>
      <c r="L4" s="11">
        <v>15</v>
      </c>
      <c r="M4" s="11">
        <v>115</v>
      </c>
      <c r="N4" s="11">
        <v>110</v>
      </c>
      <c r="O4" s="11">
        <v>118</v>
      </c>
      <c r="P4" s="11">
        <v>73</v>
      </c>
      <c r="Q4" s="11">
        <v>43</v>
      </c>
      <c r="R4" s="11">
        <v>51</v>
      </c>
      <c r="S4" s="11">
        <v>62</v>
      </c>
      <c r="T4" s="11">
        <v>20</v>
      </c>
      <c r="U4" s="11">
        <v>13</v>
      </c>
      <c r="V4" s="11">
        <v>30</v>
      </c>
      <c r="W4" s="11">
        <v>28</v>
      </c>
      <c r="X4" s="11">
        <v>30</v>
      </c>
      <c r="Y4" s="11">
        <v>73</v>
      </c>
      <c r="Z4" s="11">
        <v>43</v>
      </c>
      <c r="AA4" s="11">
        <v>51</v>
      </c>
      <c r="AB4" s="11">
        <v>26</v>
      </c>
      <c r="AC4" s="11">
        <v>20</v>
      </c>
      <c r="AD4" s="11">
        <v>30</v>
      </c>
      <c r="AE4" s="11">
        <v>28</v>
      </c>
      <c r="AF4" s="11">
        <v>30</v>
      </c>
      <c r="AG4" s="11">
        <v>73</v>
      </c>
      <c r="AH4" s="11">
        <v>43</v>
      </c>
      <c r="AI4" s="11">
        <v>102</v>
      </c>
      <c r="AJ4" s="11">
        <v>116</v>
      </c>
      <c r="AK4" s="11">
        <v>76</v>
      </c>
      <c r="AL4" s="11">
        <v>36</v>
      </c>
      <c r="AM4" s="11">
        <v>27</v>
      </c>
      <c r="AN4" s="11">
        <v>21</v>
      </c>
      <c r="AO4" s="11">
        <v>101</v>
      </c>
      <c r="AP4" s="2">
        <v>1</v>
      </c>
      <c r="AQ4" s="41">
        <v>44444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71</v>
      </c>
      <c r="B5" s="31" t="s">
        <v>73</v>
      </c>
      <c r="C5" s="24" t="s">
        <v>69</v>
      </c>
      <c r="D5" s="25">
        <v>40</v>
      </c>
      <c r="E5" s="24" t="s">
        <v>32</v>
      </c>
      <c r="F5" s="24">
        <v>54</v>
      </c>
      <c r="G5" s="15" t="s">
        <v>70</v>
      </c>
      <c r="H5" s="15" t="s">
        <v>45</v>
      </c>
      <c r="I5" s="11">
        <v>45</v>
      </c>
      <c r="J5" s="11">
        <v>57</v>
      </c>
      <c r="K5" s="11">
        <v>18</v>
      </c>
      <c r="L5" s="11">
        <v>14</v>
      </c>
      <c r="M5" s="11">
        <v>100</v>
      </c>
      <c r="N5" s="11">
        <v>96</v>
      </c>
      <c r="O5" s="11">
        <v>104</v>
      </c>
      <c r="P5" s="11">
        <v>71</v>
      </c>
      <c r="Q5" s="11">
        <v>37</v>
      </c>
      <c r="R5" s="11">
        <v>45</v>
      </c>
      <c r="S5" s="11">
        <v>58</v>
      </c>
      <c r="T5" s="11">
        <v>17</v>
      </c>
      <c r="U5" s="11">
        <v>13</v>
      </c>
      <c r="V5" s="11">
        <v>28</v>
      </c>
      <c r="W5" s="11">
        <v>26</v>
      </c>
      <c r="X5" s="11">
        <v>28</v>
      </c>
      <c r="Y5" s="11">
        <v>71</v>
      </c>
      <c r="Z5" s="11">
        <v>37</v>
      </c>
      <c r="AA5" s="11">
        <v>45</v>
      </c>
      <c r="AB5" s="11">
        <v>25</v>
      </c>
      <c r="AC5" s="11">
        <v>17</v>
      </c>
      <c r="AD5" s="11">
        <v>28</v>
      </c>
      <c r="AE5" s="11">
        <v>26</v>
      </c>
      <c r="AF5" s="11">
        <v>28</v>
      </c>
      <c r="AG5" s="11">
        <v>71</v>
      </c>
      <c r="AH5" s="11">
        <v>37</v>
      </c>
      <c r="AI5" s="11">
        <v>87</v>
      </c>
      <c r="AJ5" s="11">
        <v>102</v>
      </c>
      <c r="AK5" s="11">
        <v>67</v>
      </c>
      <c r="AL5" s="11">
        <v>33</v>
      </c>
      <c r="AM5" s="11">
        <v>25</v>
      </c>
      <c r="AN5" s="11">
        <v>20</v>
      </c>
      <c r="AO5" s="11">
        <v>96</v>
      </c>
      <c r="AP5" s="2">
        <v>1</v>
      </c>
      <c r="AQ5" s="41">
        <v>44444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72</v>
      </c>
      <c r="B6" s="31" t="s">
        <v>74</v>
      </c>
      <c r="C6" s="24" t="s">
        <v>69</v>
      </c>
      <c r="D6" s="25">
        <v>43</v>
      </c>
      <c r="E6" s="24" t="s">
        <v>34</v>
      </c>
      <c r="F6" s="24">
        <v>57</v>
      </c>
      <c r="G6" s="15" t="s">
        <v>70</v>
      </c>
      <c r="H6" s="15" t="s">
        <v>45</v>
      </c>
      <c r="I6" s="11">
        <v>46</v>
      </c>
      <c r="J6" s="11">
        <v>62</v>
      </c>
      <c r="K6" s="11">
        <v>19</v>
      </c>
      <c r="L6" s="11">
        <v>14</v>
      </c>
      <c r="M6" s="11">
        <v>102</v>
      </c>
      <c r="N6" s="11">
        <v>98</v>
      </c>
      <c r="O6" s="11">
        <v>106</v>
      </c>
      <c r="P6" s="11">
        <v>74</v>
      </c>
      <c r="Q6" s="11">
        <v>42</v>
      </c>
      <c r="R6" s="11">
        <v>46</v>
      </c>
      <c r="S6" s="11">
        <v>63</v>
      </c>
      <c r="T6" s="11">
        <v>17</v>
      </c>
      <c r="U6" s="11">
        <v>13</v>
      </c>
      <c r="V6" s="11">
        <v>28</v>
      </c>
      <c r="W6" s="11">
        <v>26</v>
      </c>
      <c r="X6" s="11">
        <v>28</v>
      </c>
      <c r="Y6" s="11">
        <v>74</v>
      </c>
      <c r="Z6" s="11">
        <v>42</v>
      </c>
      <c r="AA6" s="11">
        <v>46</v>
      </c>
      <c r="AB6" s="11">
        <v>26</v>
      </c>
      <c r="AC6" s="11">
        <v>17</v>
      </c>
      <c r="AD6" s="11">
        <v>28</v>
      </c>
      <c r="AE6" s="11">
        <v>26</v>
      </c>
      <c r="AF6" s="11">
        <v>28</v>
      </c>
      <c r="AG6" s="11">
        <v>74</v>
      </c>
      <c r="AH6" s="11">
        <v>42</v>
      </c>
      <c r="AI6" s="11">
        <v>89</v>
      </c>
      <c r="AJ6" s="11">
        <v>104</v>
      </c>
      <c r="AK6" s="11">
        <v>66</v>
      </c>
      <c r="AL6" s="11">
        <v>34</v>
      </c>
      <c r="AM6" s="11">
        <v>24</v>
      </c>
      <c r="AN6" s="11">
        <v>19</v>
      </c>
      <c r="AO6" s="11">
        <v>103</v>
      </c>
      <c r="AP6" s="2">
        <v>1</v>
      </c>
      <c r="AQ6" s="41">
        <v>44444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 t="s">
        <v>77</v>
      </c>
      <c r="B7" s="31" t="s">
        <v>75</v>
      </c>
      <c r="C7" s="24" t="s">
        <v>69</v>
      </c>
      <c r="D7" s="25">
        <v>42</v>
      </c>
      <c r="E7" s="26" t="s">
        <v>32</v>
      </c>
      <c r="F7" s="27">
        <v>55</v>
      </c>
      <c r="G7" s="15" t="s">
        <v>70</v>
      </c>
      <c r="H7" s="15" t="s">
        <v>45</v>
      </c>
      <c r="I7" s="13">
        <v>44</v>
      </c>
      <c r="J7" s="13">
        <v>61</v>
      </c>
      <c r="K7" s="13">
        <v>18</v>
      </c>
      <c r="L7" s="13">
        <v>14</v>
      </c>
      <c r="M7" s="13">
        <v>92</v>
      </c>
      <c r="N7" s="13">
        <v>88</v>
      </c>
      <c r="O7" s="13">
        <v>98</v>
      </c>
      <c r="P7" s="13">
        <v>72</v>
      </c>
      <c r="Q7" s="13">
        <v>40</v>
      </c>
      <c r="R7" s="13">
        <v>44</v>
      </c>
      <c r="S7" s="13">
        <v>62</v>
      </c>
      <c r="T7" s="13">
        <v>16</v>
      </c>
      <c r="U7" s="13">
        <v>12</v>
      </c>
      <c r="V7" s="13">
        <v>26</v>
      </c>
      <c r="W7" s="13">
        <v>24</v>
      </c>
      <c r="X7" s="13">
        <v>26</v>
      </c>
      <c r="Y7" s="13">
        <v>72</v>
      </c>
      <c r="Z7" s="13">
        <v>40</v>
      </c>
      <c r="AA7" s="13">
        <v>44</v>
      </c>
      <c r="AB7" s="13">
        <v>26</v>
      </c>
      <c r="AC7" s="13">
        <v>16</v>
      </c>
      <c r="AD7" s="13">
        <v>26</v>
      </c>
      <c r="AE7" s="13">
        <v>24</v>
      </c>
      <c r="AF7" s="13">
        <v>26</v>
      </c>
      <c r="AG7" s="13">
        <v>72</v>
      </c>
      <c r="AH7" s="13">
        <v>40</v>
      </c>
      <c r="AI7" s="13">
        <v>81</v>
      </c>
      <c r="AJ7" s="13">
        <v>96</v>
      </c>
      <c r="AK7" s="13">
        <v>66</v>
      </c>
      <c r="AL7" s="13">
        <v>31</v>
      </c>
      <c r="AM7" s="13">
        <v>247</v>
      </c>
      <c r="AN7" s="13">
        <v>19</v>
      </c>
      <c r="AO7" s="1">
        <v>99</v>
      </c>
      <c r="AP7" s="2">
        <v>2</v>
      </c>
      <c r="AQ7" s="41">
        <v>44448</v>
      </c>
      <c r="AR7" s="4"/>
      <c r="AS7" s="4"/>
      <c r="AT7" s="4"/>
    </row>
    <row r="8" spans="1:1013" ht="30" customHeight="1" x14ac:dyDescent="0.25">
      <c r="A8" s="23" t="s">
        <v>78</v>
      </c>
      <c r="B8" s="31" t="s">
        <v>76</v>
      </c>
      <c r="C8" s="24" t="s">
        <v>69</v>
      </c>
      <c r="D8" s="25">
        <v>42</v>
      </c>
      <c r="E8" s="26" t="s">
        <v>34</v>
      </c>
      <c r="F8" s="27">
        <v>60</v>
      </c>
      <c r="G8" s="15" t="s">
        <v>70</v>
      </c>
      <c r="H8" s="15" t="s">
        <v>45</v>
      </c>
      <c r="I8" s="13">
        <v>48</v>
      </c>
      <c r="J8" s="13">
        <v>60</v>
      </c>
      <c r="K8" s="13">
        <v>20</v>
      </c>
      <c r="L8" s="13">
        <v>15</v>
      </c>
      <c r="M8" s="13">
        <v>112</v>
      </c>
      <c r="N8" s="13">
        <v>110</v>
      </c>
      <c r="O8" s="13">
        <v>116</v>
      </c>
      <c r="P8" s="13">
        <v>75</v>
      </c>
      <c r="Q8" s="13">
        <v>43</v>
      </c>
      <c r="R8" s="13">
        <v>48</v>
      </c>
      <c r="S8" s="13">
        <v>61</v>
      </c>
      <c r="T8" s="13">
        <v>19</v>
      </c>
      <c r="U8" s="13">
        <v>13</v>
      </c>
      <c r="V8" s="12">
        <v>30</v>
      </c>
      <c r="W8" s="12">
        <v>28</v>
      </c>
      <c r="X8" s="13">
        <v>30</v>
      </c>
      <c r="Y8" s="13">
        <v>75</v>
      </c>
      <c r="Z8" s="13">
        <v>43</v>
      </c>
      <c r="AA8" s="13">
        <v>48</v>
      </c>
      <c r="AB8" s="12">
        <v>25</v>
      </c>
      <c r="AC8" s="13">
        <v>19</v>
      </c>
      <c r="AD8" s="13">
        <v>30</v>
      </c>
      <c r="AE8" s="13">
        <v>28</v>
      </c>
      <c r="AF8" s="13">
        <v>30</v>
      </c>
      <c r="AG8" s="13">
        <v>75</v>
      </c>
      <c r="AH8" s="13">
        <v>43</v>
      </c>
      <c r="AI8" s="13">
        <v>102</v>
      </c>
      <c r="AJ8" s="13">
        <v>112</v>
      </c>
      <c r="AK8" s="13">
        <v>70</v>
      </c>
      <c r="AL8" s="13">
        <v>36</v>
      </c>
      <c r="AM8" s="13">
        <v>26</v>
      </c>
      <c r="AN8" s="13">
        <v>21</v>
      </c>
      <c r="AO8" s="13">
        <v>91</v>
      </c>
      <c r="AP8" s="2">
        <v>2</v>
      </c>
      <c r="AQ8" s="41">
        <v>44448</v>
      </c>
      <c r="AR8" s="4"/>
      <c r="AS8" s="4"/>
      <c r="AT8" s="4"/>
    </row>
    <row r="9" spans="1:1013" ht="30" customHeight="1" x14ac:dyDescent="0.25">
      <c r="A9" s="23" t="s">
        <v>80</v>
      </c>
      <c r="B9" s="31" t="s">
        <v>79</v>
      </c>
      <c r="C9" s="24" t="s">
        <v>69</v>
      </c>
      <c r="D9" s="25">
        <v>43</v>
      </c>
      <c r="E9" s="26" t="s">
        <v>32</v>
      </c>
      <c r="F9" s="27">
        <v>56</v>
      </c>
      <c r="G9" s="15" t="s">
        <v>70</v>
      </c>
      <c r="H9" s="15" t="s">
        <v>45</v>
      </c>
      <c r="I9" s="13">
        <v>45</v>
      </c>
      <c r="J9" s="13">
        <v>59</v>
      </c>
      <c r="K9" s="13">
        <v>19</v>
      </c>
      <c r="L9" s="13">
        <v>14</v>
      </c>
      <c r="M9" s="13">
        <v>104</v>
      </c>
      <c r="N9" s="13">
        <v>99</v>
      </c>
      <c r="O9" s="13">
        <v>108</v>
      </c>
      <c r="P9" s="13">
        <v>68</v>
      </c>
      <c r="Q9" s="13">
        <v>42</v>
      </c>
      <c r="R9" s="13">
        <v>45</v>
      </c>
      <c r="S9" s="13">
        <v>60</v>
      </c>
      <c r="T9" s="13">
        <v>18</v>
      </c>
      <c r="U9" s="13">
        <v>13</v>
      </c>
      <c r="V9" s="13">
        <v>28</v>
      </c>
      <c r="W9" s="13">
        <v>27</v>
      </c>
      <c r="X9" s="13">
        <v>28</v>
      </c>
      <c r="Y9" s="13">
        <v>68</v>
      </c>
      <c r="Z9" s="13">
        <v>42</v>
      </c>
      <c r="AA9" s="13">
        <v>45</v>
      </c>
      <c r="AB9" s="13">
        <v>24</v>
      </c>
      <c r="AC9" s="13">
        <v>18</v>
      </c>
      <c r="AD9" s="13">
        <v>28</v>
      </c>
      <c r="AE9" s="13">
        <v>27</v>
      </c>
      <c r="AF9" s="13">
        <v>28</v>
      </c>
      <c r="AG9" s="12">
        <v>68</v>
      </c>
      <c r="AH9" s="12">
        <v>42</v>
      </c>
      <c r="AI9" s="12">
        <v>92</v>
      </c>
      <c r="AJ9" s="12">
        <v>106</v>
      </c>
      <c r="AK9" s="13">
        <v>66</v>
      </c>
      <c r="AL9" s="13">
        <v>34</v>
      </c>
      <c r="AM9" s="13">
        <v>24</v>
      </c>
      <c r="AN9" s="13">
        <v>20</v>
      </c>
      <c r="AO9" s="13">
        <v>91</v>
      </c>
      <c r="AP9" s="2">
        <v>2</v>
      </c>
      <c r="AQ9" s="41">
        <v>44448</v>
      </c>
      <c r="AR9" s="4"/>
      <c r="AS9" s="4"/>
      <c r="AT9" s="4"/>
    </row>
    <row r="10" spans="1:1013" ht="30" customHeight="1" x14ac:dyDescent="0.25">
      <c r="A10" s="23"/>
      <c r="B10" s="31"/>
      <c r="C10" s="24"/>
      <c r="D10" s="25"/>
      <c r="E10" s="26"/>
      <c r="F10" s="27"/>
      <c r="G10" s="15"/>
      <c r="H10" s="15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Q10" s="4"/>
      <c r="AR10" s="4"/>
      <c r="AS10" s="4"/>
      <c r="AT10" s="4"/>
    </row>
    <row r="11" spans="1:1013" ht="30" customHeight="1" x14ac:dyDescent="0.25">
      <c r="A11" s="23"/>
      <c r="B11" s="31"/>
      <c r="C11" s="24"/>
      <c r="D11" s="20"/>
      <c r="E11" s="21"/>
      <c r="F11" s="22"/>
      <c r="G11" s="29"/>
      <c r="H11" s="29"/>
      <c r="I11" s="29"/>
      <c r="J11" s="18"/>
      <c r="K11" s="18"/>
      <c r="L11" s="29"/>
      <c r="M11" s="29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Q11" s="4"/>
      <c r="AR11" s="4"/>
      <c r="AS11" s="4"/>
      <c r="AT11" s="4"/>
    </row>
    <row r="12" spans="1:1013" ht="30" customHeight="1" x14ac:dyDescent="0.25">
      <c r="A12" s="23"/>
      <c r="B12" s="31"/>
      <c r="C12" s="24"/>
      <c r="D12" s="25"/>
      <c r="E12" s="26"/>
      <c r="F12" s="26"/>
      <c r="G12" s="29"/>
      <c r="H12" s="29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Q12" s="4"/>
      <c r="AR12" s="4"/>
      <c r="AS12" s="4"/>
      <c r="AT12" s="4"/>
    </row>
    <row r="13" spans="1:1013" ht="30" customHeight="1" x14ac:dyDescent="0.25">
      <c r="A13" s="23"/>
      <c r="B13" s="31"/>
      <c r="C13" s="24"/>
      <c r="D13" s="25"/>
      <c r="E13" s="21"/>
      <c r="F13" s="22"/>
      <c r="G13" s="29"/>
      <c r="H13" s="29"/>
      <c r="X13" s="3"/>
      <c r="Y13" s="3"/>
      <c r="Z13" s="3"/>
      <c r="AA13" s="3"/>
      <c r="AB13" s="3"/>
      <c r="AC13" s="3"/>
      <c r="AD13" s="3"/>
      <c r="AE13" s="3"/>
      <c r="AF13" s="3"/>
      <c r="AQ13" s="4"/>
      <c r="AS13" s="4"/>
      <c r="AT13" s="4"/>
    </row>
    <row r="14" spans="1:1013" ht="30" customHeight="1" x14ac:dyDescent="0.25">
      <c r="A14" s="23"/>
      <c r="B14" s="31"/>
      <c r="C14" s="24"/>
      <c r="D14" s="25"/>
      <c r="E14" s="21"/>
      <c r="F14" s="22"/>
      <c r="G14" s="29"/>
      <c r="H14" s="29"/>
      <c r="X14" s="3"/>
      <c r="Y14" s="3"/>
      <c r="Z14" s="3"/>
      <c r="AA14" s="3"/>
      <c r="AB14" s="3"/>
      <c r="AC14" s="3"/>
      <c r="AD14" s="3"/>
      <c r="AE14" s="3"/>
      <c r="AF14" s="3"/>
      <c r="AQ14" s="4"/>
      <c r="AS14" s="4"/>
      <c r="AT14" s="4"/>
    </row>
    <row r="15" spans="1:1013" ht="30" customHeight="1" x14ac:dyDescent="0.25">
      <c r="A15" s="23"/>
      <c r="B15" s="31"/>
      <c r="C15" s="24"/>
      <c r="D15" s="25"/>
      <c r="E15" s="21"/>
      <c r="F15" s="22"/>
      <c r="G15" s="29"/>
      <c r="H15" s="29"/>
      <c r="X15" s="3"/>
      <c r="Y15" s="3"/>
      <c r="Z15" s="3"/>
      <c r="AA15" s="3"/>
      <c r="AB15" s="3"/>
      <c r="AC15" s="3"/>
      <c r="AD15" s="3"/>
      <c r="AE15" s="3"/>
      <c r="AF15" s="3"/>
      <c r="AQ15" s="4"/>
    </row>
    <row r="16" spans="1:1013" ht="30" customHeight="1" x14ac:dyDescent="0.25">
      <c r="A16" s="23"/>
      <c r="B16" s="31"/>
      <c r="C16" s="24"/>
      <c r="D16" s="25"/>
      <c r="E16" s="21"/>
      <c r="F16" s="22"/>
      <c r="G16" s="29"/>
      <c r="H16" s="29"/>
      <c r="X16" s="3"/>
      <c r="Y16" s="3"/>
      <c r="Z16" s="3"/>
      <c r="AA16" s="3"/>
      <c r="AB16" s="3"/>
      <c r="AC16" s="3"/>
      <c r="AD16" s="3"/>
      <c r="AE16" s="3"/>
      <c r="AF16" s="3"/>
      <c r="AQ16" s="4"/>
    </row>
    <row r="17" spans="1:43" ht="30" customHeight="1" x14ac:dyDescent="0.25">
      <c r="A17" s="23"/>
      <c r="B17" s="31"/>
      <c r="C17" s="24"/>
      <c r="D17" s="25"/>
      <c r="E17" s="21"/>
      <c r="F17" s="22"/>
      <c r="G17" s="29"/>
      <c r="H17" s="29"/>
      <c r="X17" s="3"/>
      <c r="Y17" s="3"/>
      <c r="Z17" s="3"/>
      <c r="AA17" s="3"/>
      <c r="AB17" s="3"/>
      <c r="AC17" s="3"/>
      <c r="AD17" s="3"/>
      <c r="AE17" s="3"/>
      <c r="AF17" s="3"/>
      <c r="AQ17" s="4"/>
    </row>
    <row r="18" spans="1:43" ht="30" customHeight="1" x14ac:dyDescent="0.25">
      <c r="A18" s="23"/>
      <c r="B18" s="31"/>
      <c r="C18" s="24"/>
      <c r="D18" s="25"/>
      <c r="E18" s="21"/>
      <c r="F18" s="22"/>
      <c r="G18" s="29"/>
      <c r="H18" s="29"/>
      <c r="X18" s="3"/>
      <c r="Y18" s="3"/>
      <c r="Z18" s="3"/>
      <c r="AA18" s="3"/>
      <c r="AB18" s="3"/>
      <c r="AC18" s="3"/>
      <c r="AD18" s="3"/>
      <c r="AE18" s="3"/>
      <c r="AF18" s="3"/>
      <c r="AQ18" s="4"/>
    </row>
    <row r="19" spans="1:43" ht="30" customHeight="1" x14ac:dyDescent="0.25">
      <c r="A19" s="23"/>
      <c r="B19" s="31"/>
      <c r="C19" s="24"/>
      <c r="D19" s="25"/>
      <c r="E19" s="21"/>
      <c r="F19" s="22"/>
      <c r="G19" s="29"/>
      <c r="H19" s="29"/>
      <c r="X19" s="3"/>
      <c r="Y19" s="3"/>
      <c r="Z19" s="3"/>
      <c r="AA19" s="3"/>
      <c r="AB19" s="3"/>
      <c r="AC19" s="3"/>
      <c r="AD19" s="3"/>
      <c r="AE19" s="3"/>
      <c r="AF19" s="3"/>
      <c r="AQ19" s="4"/>
    </row>
    <row r="20" spans="1:43" ht="30" customHeight="1" x14ac:dyDescent="0.25">
      <c r="A20" s="23"/>
      <c r="B20" s="31"/>
      <c r="C20" s="24"/>
      <c r="D20" s="25"/>
      <c r="E20" s="21"/>
      <c r="F20" s="22"/>
      <c r="G20" s="29"/>
      <c r="H20" s="29"/>
      <c r="X20" s="3"/>
      <c r="Y20" s="3"/>
      <c r="Z20" s="3"/>
      <c r="AA20" s="3"/>
      <c r="AB20" s="3"/>
      <c r="AC20" s="3"/>
      <c r="AD20" s="3"/>
      <c r="AE20" s="3"/>
      <c r="AF20" s="3"/>
      <c r="AQ20" s="4"/>
    </row>
    <row r="21" spans="1:43" ht="30" customHeight="1" x14ac:dyDescent="0.25">
      <c r="A21" s="23"/>
      <c r="B21" s="31"/>
      <c r="C21" s="24"/>
      <c r="D21" s="25"/>
      <c r="E21" s="21"/>
      <c r="F21" s="22"/>
      <c r="G21" s="29"/>
      <c r="H21" s="29"/>
      <c r="X21" s="3"/>
      <c r="Y21" s="3"/>
      <c r="Z21" s="3"/>
      <c r="AA21" s="3"/>
      <c r="AB21" s="3"/>
      <c r="AC21" s="3"/>
      <c r="AD21" s="3"/>
      <c r="AE21" s="3"/>
      <c r="AF21" s="3"/>
      <c r="AQ21" s="4"/>
    </row>
    <row r="22" spans="1:43" ht="30" customHeight="1" x14ac:dyDescent="0.25">
      <c r="A22" s="23"/>
      <c r="B22" s="31"/>
      <c r="C22" s="24"/>
      <c r="D22" s="25"/>
      <c r="E22" s="21"/>
      <c r="F22" s="22"/>
      <c r="G22" s="29"/>
      <c r="H22" s="29"/>
      <c r="X22" s="3"/>
      <c r="Y22" s="3"/>
      <c r="Z22" s="3"/>
      <c r="AA22" s="3"/>
      <c r="AB22" s="3"/>
      <c r="AC22" s="3"/>
      <c r="AD22" s="3"/>
      <c r="AE22" s="3"/>
      <c r="AF22" s="3"/>
      <c r="AQ22" s="4"/>
    </row>
    <row r="23" spans="1:43" ht="30" customHeight="1" x14ac:dyDescent="0.25">
      <c r="A23" s="23"/>
      <c r="B23" s="31"/>
      <c r="C23" s="24"/>
      <c r="D23" s="25"/>
      <c r="E23" s="21"/>
      <c r="F23" s="22"/>
      <c r="G23" s="29"/>
      <c r="H23" s="29"/>
      <c r="X23" s="3"/>
      <c r="Y23" s="3"/>
      <c r="Z23" s="3"/>
      <c r="AA23" s="3"/>
      <c r="AB23" s="3"/>
      <c r="AC23" s="3"/>
      <c r="AD23" s="3"/>
      <c r="AE23" s="3"/>
      <c r="AF23" s="3"/>
      <c r="AQ23" s="4"/>
    </row>
    <row r="24" spans="1:43" ht="30" customHeight="1" x14ac:dyDescent="0.25">
      <c r="A24" s="23"/>
      <c r="B24" s="31"/>
      <c r="C24" s="24"/>
      <c r="D24" s="25"/>
      <c r="E24" s="21"/>
      <c r="F24" s="22"/>
      <c r="G24" s="29"/>
      <c r="H24" s="29"/>
      <c r="X24" s="3"/>
      <c r="Y24" s="3"/>
      <c r="Z24" s="3"/>
      <c r="AA24" s="3"/>
      <c r="AB24" s="3"/>
      <c r="AC24" s="3"/>
      <c r="AD24" s="3"/>
      <c r="AE24" s="3"/>
      <c r="AF24" s="3"/>
      <c r="AQ24" s="4"/>
    </row>
    <row r="25" spans="1:43" ht="30" customHeight="1" x14ac:dyDescent="0.25">
      <c r="A25" s="23"/>
      <c r="B25" s="31"/>
      <c r="C25" s="24"/>
      <c r="D25" s="25"/>
      <c r="E25" s="21"/>
      <c r="F25" s="22"/>
      <c r="G25" s="29"/>
      <c r="H25" s="29"/>
      <c r="X25" s="3"/>
      <c r="Y25" s="3"/>
      <c r="Z25" s="3"/>
      <c r="AA25" s="3"/>
      <c r="AB25" s="3"/>
      <c r="AC25" s="3"/>
      <c r="AD25" s="3"/>
      <c r="AE25" s="3"/>
      <c r="AF25" s="3"/>
      <c r="AQ25" s="4"/>
    </row>
    <row r="26" spans="1:43" ht="30" customHeight="1" x14ac:dyDescent="0.25">
      <c r="A26" s="23"/>
      <c r="B26" s="31"/>
      <c r="C26" s="24"/>
      <c r="D26" s="25"/>
      <c r="E26" s="21"/>
      <c r="F26" s="22"/>
      <c r="G26" s="29"/>
      <c r="H26" s="29"/>
      <c r="X26" s="3"/>
      <c r="Y26" s="3"/>
      <c r="Z26" s="3"/>
      <c r="AA26" s="3"/>
      <c r="AB26" s="3"/>
      <c r="AC26" s="3"/>
      <c r="AD26" s="3"/>
      <c r="AE26" s="3"/>
      <c r="AF26" s="3"/>
      <c r="AQ26" s="4"/>
    </row>
    <row r="27" spans="1:43" ht="30" customHeight="1" x14ac:dyDescent="0.25">
      <c r="A27" s="23"/>
      <c r="B27" s="31"/>
      <c r="C27" s="24"/>
      <c r="D27" s="25"/>
      <c r="E27" s="21"/>
      <c r="F27" s="22"/>
      <c r="G27" s="29"/>
      <c r="H27" s="29"/>
      <c r="X27" s="3"/>
      <c r="Y27" s="3"/>
      <c r="Z27" s="3"/>
      <c r="AA27" s="3"/>
      <c r="AB27" s="3"/>
      <c r="AC27" s="3"/>
      <c r="AD27" s="3"/>
      <c r="AE27" s="3"/>
      <c r="AF27" s="3"/>
      <c r="AQ27" s="4"/>
    </row>
    <row r="28" spans="1:43" ht="30" customHeight="1" x14ac:dyDescent="0.25">
      <c r="A28" s="23"/>
      <c r="B28" s="31"/>
      <c r="C28" s="24"/>
      <c r="D28" s="25"/>
      <c r="E28" s="21"/>
      <c r="F28" s="22"/>
      <c r="G28" s="29"/>
      <c r="H28" s="29"/>
      <c r="X28" s="3"/>
      <c r="Y28" s="3"/>
      <c r="Z28" s="3"/>
      <c r="AA28" s="3"/>
      <c r="AB28" s="3"/>
      <c r="AC28" s="3"/>
      <c r="AD28" s="3"/>
      <c r="AE28" s="3"/>
      <c r="AF28" s="3"/>
      <c r="AQ28" s="4"/>
    </row>
    <row r="29" spans="1:43" ht="30" customHeight="1" x14ac:dyDescent="0.25">
      <c r="A29" s="23"/>
      <c r="B29" s="31"/>
      <c r="C29" s="24"/>
      <c r="D29" s="20"/>
      <c r="E29" s="21"/>
      <c r="F29" s="22"/>
      <c r="G29" s="29"/>
      <c r="H29" s="29"/>
      <c r="X29" s="3"/>
      <c r="Y29" s="3"/>
      <c r="Z29" s="3"/>
      <c r="AA29" s="3"/>
      <c r="AB29" s="3"/>
      <c r="AC29" s="3"/>
      <c r="AD29" s="3"/>
      <c r="AE29" s="3"/>
      <c r="AF29" s="3"/>
      <c r="AQ29" s="4"/>
    </row>
    <row r="30" spans="1:43" ht="30" customHeight="1" x14ac:dyDescent="0.25">
      <c r="A30" s="23"/>
      <c r="B30" s="31"/>
      <c r="C30" s="24"/>
      <c r="D30" s="20"/>
      <c r="E30" s="21"/>
      <c r="F30" s="22"/>
      <c r="G30" s="29"/>
      <c r="H30" s="29"/>
      <c r="X30" s="3"/>
      <c r="Y30" s="3"/>
      <c r="Z30" s="3"/>
      <c r="AA30" s="3"/>
      <c r="AB30" s="3"/>
      <c r="AC30" s="3"/>
      <c r="AD30" s="3"/>
      <c r="AE30" s="3"/>
      <c r="AF30" s="3"/>
      <c r="AQ30" s="4"/>
    </row>
    <row r="31" spans="1:43" ht="30" customHeight="1" x14ac:dyDescent="0.25">
      <c r="A31" s="23"/>
      <c r="B31" s="31"/>
      <c r="C31" s="24"/>
      <c r="D31" s="20"/>
      <c r="E31" s="21"/>
      <c r="F31" s="22"/>
      <c r="G31" s="29"/>
      <c r="H31" s="29"/>
      <c r="X31" s="3"/>
      <c r="Y31" s="3"/>
      <c r="Z31" s="3"/>
      <c r="AA31" s="3"/>
      <c r="AB31" s="3"/>
      <c r="AC31" s="3"/>
      <c r="AD31" s="3"/>
      <c r="AE31" s="3"/>
      <c r="AF31" s="3"/>
      <c r="AQ31" s="4"/>
    </row>
    <row r="32" spans="1:43" ht="30" customHeight="1" x14ac:dyDescent="0.25">
      <c r="A32" s="23"/>
      <c r="B32" s="31"/>
      <c r="C32" s="24"/>
      <c r="D32" s="20"/>
      <c r="E32" s="21"/>
      <c r="F32" s="22"/>
      <c r="G32" s="29"/>
      <c r="H32" s="29"/>
      <c r="X32" s="3"/>
      <c r="Y32" s="3"/>
      <c r="Z32" s="3"/>
      <c r="AA32" s="3"/>
      <c r="AB32" s="3"/>
      <c r="AC32" s="3"/>
      <c r="AD32" s="3"/>
      <c r="AE32" s="3"/>
      <c r="AF32" s="3"/>
      <c r="AQ32" s="4"/>
    </row>
    <row r="33" spans="1:43" ht="30" customHeight="1" x14ac:dyDescent="0.25">
      <c r="A33" s="23"/>
      <c r="B33" s="31"/>
      <c r="C33" s="24"/>
      <c r="D33" s="20"/>
      <c r="E33" s="21"/>
      <c r="F33" s="22"/>
      <c r="G33" s="29"/>
      <c r="H33" s="29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3"/>
      <c r="B34" s="31"/>
      <c r="C34" s="24"/>
      <c r="D34" s="20"/>
      <c r="E34" s="21"/>
      <c r="F34" s="22"/>
      <c r="G34" s="29"/>
      <c r="H34" s="29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3"/>
      <c r="B35" s="31"/>
      <c r="C35" s="24"/>
      <c r="D35" s="20"/>
      <c r="E35" s="21"/>
      <c r="F35" s="22"/>
      <c r="G35" s="29"/>
      <c r="H35" s="29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3"/>
      <c r="B36" s="31"/>
      <c r="C36" s="24"/>
      <c r="D36" s="20"/>
      <c r="E36" s="21"/>
      <c r="F36" s="22"/>
      <c r="G36" s="29"/>
      <c r="H36" s="29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3"/>
      <c r="B37" s="31"/>
      <c r="C37" s="24"/>
      <c r="D37" s="20"/>
      <c r="E37" s="21"/>
      <c r="F37" s="30"/>
      <c r="G37" s="29"/>
      <c r="H37" s="29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3"/>
      <c r="B38" s="31"/>
      <c r="C38" s="24"/>
      <c r="D38" s="20"/>
      <c r="E38" s="21"/>
      <c r="F38" s="30"/>
      <c r="G38" s="29"/>
      <c r="H38" s="29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3"/>
      <c r="B39" s="31"/>
      <c r="C39" s="24"/>
      <c r="D39" s="20"/>
      <c r="E39" s="21"/>
      <c r="F39" s="30"/>
      <c r="G39" s="29"/>
      <c r="H39" s="29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3"/>
      <c r="B40" s="31"/>
      <c r="C40" s="24"/>
      <c r="D40" s="20"/>
      <c r="E40" s="21"/>
      <c r="F40" s="30"/>
      <c r="G40" s="29"/>
      <c r="H40" s="29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3"/>
      <c r="B41" s="31"/>
      <c r="C41" s="24"/>
      <c r="D41" s="20"/>
      <c r="E41" s="21"/>
      <c r="F41" s="30"/>
      <c r="G41" s="29"/>
      <c r="H41" s="29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3"/>
      <c r="B42" s="31"/>
      <c r="C42" s="24"/>
      <c r="D42" s="20"/>
      <c r="E42" s="21"/>
      <c r="F42" s="30"/>
      <c r="G42" s="29"/>
      <c r="H42" s="29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8"/>
    </row>
    <row r="43" spans="1:43" ht="30" customHeight="1" x14ac:dyDescent="0.25">
      <c r="A43" s="23"/>
      <c r="B43" s="31"/>
      <c r="C43" s="24"/>
      <c r="D43" s="20"/>
      <c r="E43" s="21"/>
      <c r="F43" s="30"/>
      <c r="G43" s="29"/>
      <c r="H43" s="29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8"/>
    </row>
    <row r="44" spans="1:43" ht="30" customHeight="1" x14ac:dyDescent="0.25">
      <c r="A44" s="23"/>
      <c r="B44" s="31"/>
      <c r="C44" s="24"/>
      <c r="D44" s="20"/>
      <c r="E44" s="21"/>
      <c r="F44" s="22"/>
      <c r="G44" s="29"/>
      <c r="H44" s="29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3"/>
      <c r="B45" s="31"/>
      <c r="C45" s="24"/>
      <c r="D45" s="20"/>
      <c r="E45" s="21"/>
      <c r="F45" s="22"/>
      <c r="G45" s="29"/>
      <c r="H45" s="29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3"/>
      <c r="B46" s="32"/>
      <c r="C46" s="24"/>
      <c r="D46" s="20"/>
      <c r="E46" s="21"/>
      <c r="F46" s="22"/>
      <c r="G46" s="29"/>
      <c r="H46" s="29"/>
      <c r="X46" s="3"/>
      <c r="Y46" s="3"/>
      <c r="Z46" s="3"/>
      <c r="AA46" s="3"/>
      <c r="AB46" s="3"/>
      <c r="AC46" s="3"/>
      <c r="AD46" s="3"/>
      <c r="AE46" s="3"/>
      <c r="AF46" s="3"/>
      <c r="AO46" s="19"/>
      <c r="AQ46" s="4"/>
    </row>
    <row r="47" spans="1:43" ht="30" customHeight="1" x14ac:dyDescent="0.25">
      <c r="A47" s="23"/>
      <c r="B47" s="32"/>
      <c r="C47" s="24"/>
      <c r="D47" s="20"/>
      <c r="E47" s="21"/>
      <c r="F47" s="22"/>
      <c r="G47" s="29"/>
      <c r="H47" s="29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3"/>
      <c r="B48" s="32"/>
      <c r="C48" s="24"/>
      <c r="D48" s="20"/>
      <c r="E48" s="21"/>
      <c r="F48" s="22"/>
      <c r="G48" s="29"/>
      <c r="H48" s="29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3"/>
      <c r="B49" s="32"/>
      <c r="C49" s="24"/>
      <c r="D49" s="20"/>
      <c r="E49" s="21"/>
      <c r="F49" s="22"/>
      <c r="G49" s="29"/>
      <c r="H49" s="29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3"/>
      <c r="B50" s="32"/>
      <c r="C50" s="24"/>
      <c r="D50" s="20"/>
      <c r="E50" s="21"/>
      <c r="F50" s="22"/>
      <c r="G50" s="29"/>
      <c r="H50" s="29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3"/>
      <c r="B51" s="32"/>
      <c r="C51" s="24"/>
      <c r="D51" s="20"/>
      <c r="E51" s="21"/>
      <c r="F51" s="22"/>
      <c r="G51" s="29"/>
      <c r="H51" s="29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3"/>
      <c r="B52" s="32"/>
      <c r="C52" s="24"/>
      <c r="D52" s="20"/>
      <c r="E52" s="21"/>
      <c r="F52" s="22"/>
      <c r="G52" s="29"/>
      <c r="H52" s="29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3"/>
      <c r="B53" s="32"/>
      <c r="C53" s="24"/>
      <c r="D53" s="20"/>
      <c r="E53" s="21"/>
      <c r="F53" s="22"/>
      <c r="G53" s="29"/>
      <c r="H53" s="29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3"/>
      <c r="B54" s="32"/>
      <c r="C54" s="24"/>
      <c r="D54" s="20"/>
      <c r="E54" s="21"/>
      <c r="F54" s="22"/>
      <c r="G54" s="29"/>
      <c r="H54" s="29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3"/>
      <c r="B55" s="32"/>
      <c r="C55" s="24"/>
      <c r="D55" s="20"/>
      <c r="E55" s="21"/>
      <c r="F55" s="22"/>
      <c r="G55" s="29"/>
      <c r="H55" s="29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3"/>
      <c r="B56" s="32"/>
      <c r="C56" s="24"/>
      <c r="D56" s="20"/>
      <c r="E56" s="21"/>
      <c r="F56" s="22"/>
      <c r="G56" s="29"/>
      <c r="H56" s="29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3"/>
      <c r="B57" s="32"/>
      <c r="C57" s="24"/>
      <c r="D57" s="20"/>
      <c r="E57" s="21"/>
      <c r="F57" s="22"/>
      <c r="G57" s="29"/>
      <c r="H57" s="29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3"/>
      <c r="B58" s="32"/>
      <c r="C58" s="24"/>
      <c r="D58" s="20"/>
      <c r="E58" s="21"/>
      <c r="F58" s="22"/>
      <c r="G58" s="29"/>
      <c r="H58" s="29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3"/>
      <c r="B59" s="32"/>
      <c r="C59" s="24"/>
      <c r="D59" s="20"/>
      <c r="E59" s="21"/>
      <c r="F59" s="22"/>
      <c r="G59" s="29"/>
      <c r="H59" s="29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3"/>
      <c r="B60" s="32"/>
      <c r="C60" s="24"/>
      <c r="D60" s="20"/>
      <c r="E60" s="21"/>
      <c r="F60" s="22"/>
      <c r="G60" s="29"/>
      <c r="H60" s="29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3"/>
      <c r="B61" s="32"/>
      <c r="C61" s="24"/>
      <c r="D61" s="20"/>
      <c r="E61" s="21"/>
      <c r="F61" s="22"/>
      <c r="G61" s="29"/>
      <c r="H61" s="29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3"/>
      <c r="B62" s="32"/>
      <c r="C62" s="24"/>
      <c r="D62" s="20"/>
      <c r="E62" s="21"/>
      <c r="F62" s="22"/>
      <c r="G62" s="29"/>
      <c r="H62" s="29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3"/>
      <c r="B63" s="32"/>
      <c r="C63" s="24"/>
      <c r="D63" s="20"/>
      <c r="E63" s="21"/>
      <c r="F63" s="22"/>
      <c r="G63" s="29"/>
      <c r="H63" s="29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3"/>
      <c r="B64" s="32"/>
      <c r="C64" s="24"/>
      <c r="D64" s="20"/>
      <c r="E64" s="21"/>
      <c r="F64" s="22"/>
      <c r="G64" s="29"/>
      <c r="H64" s="29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3"/>
      <c r="B65" s="32"/>
      <c r="C65" s="24"/>
      <c r="D65" s="20"/>
      <c r="E65" s="21"/>
      <c r="F65" s="22"/>
      <c r="G65" s="29"/>
      <c r="H65" s="29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3"/>
      <c r="B66" s="32"/>
      <c r="C66" s="24"/>
      <c r="D66" s="20"/>
      <c r="E66" s="21"/>
      <c r="F66" s="22"/>
      <c r="G66" s="29"/>
      <c r="H66" s="29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3"/>
      <c r="B67" s="32"/>
      <c r="C67" s="24"/>
      <c r="D67" s="20"/>
      <c r="E67" s="21"/>
      <c r="F67" s="22"/>
      <c r="G67" s="29"/>
      <c r="H67" s="29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3"/>
      <c r="B68" s="32"/>
      <c r="C68" s="24"/>
      <c r="D68" s="20"/>
      <c r="E68" s="21"/>
      <c r="F68" s="22"/>
      <c r="G68" s="29"/>
      <c r="H68" s="29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3"/>
      <c r="B69" s="32"/>
      <c r="C69" s="24"/>
      <c r="D69" s="20"/>
      <c r="E69" s="21"/>
      <c r="F69" s="22"/>
      <c r="G69" s="29"/>
      <c r="H69" s="29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3"/>
      <c r="B70" s="32"/>
      <c r="C70" s="24"/>
      <c r="D70" s="20"/>
      <c r="E70" s="21"/>
      <c r="F70" s="22"/>
      <c r="G70" s="29"/>
      <c r="H70" s="29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3"/>
      <c r="B71" s="32"/>
      <c r="C71" s="24"/>
      <c r="D71" s="20"/>
      <c r="E71" s="21"/>
      <c r="F71" s="22"/>
      <c r="G71" s="29"/>
      <c r="H71" s="29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3"/>
      <c r="B72" s="32"/>
      <c r="C72" s="24"/>
      <c r="D72" s="20"/>
      <c r="E72" s="21"/>
      <c r="F72" s="30"/>
      <c r="G72" s="29"/>
      <c r="H72" s="29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3"/>
      <c r="B73" s="32"/>
      <c r="C73" s="24"/>
      <c r="D73" s="20"/>
      <c r="E73" s="21"/>
      <c r="F73" s="30"/>
      <c r="G73" s="29"/>
      <c r="H73" s="29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8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3</v>
      </c>
      <c r="C4">
        <v>3</v>
      </c>
      <c r="D4">
        <f>SUM(B4:C4)</f>
        <v>6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0</v>
      </c>
      <c r="P4">
        <f>SUM(N4:O4)</f>
        <v>0</v>
      </c>
      <c r="Q4" s="16">
        <v>1</v>
      </c>
    </row>
    <row r="5" spans="1:18" ht="15.75" x14ac:dyDescent="0.25">
      <c r="A5" s="6" t="s">
        <v>31</v>
      </c>
      <c r="B5">
        <f>COUNTIF(SEMUA!$E$2:$E$60,REKAP!A5)</f>
        <v>1</v>
      </c>
      <c r="C5">
        <v>5</v>
      </c>
      <c r="D5">
        <f t="shared" ref="D5:D10" si="0">SUM(B5:C5)</f>
        <v>6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1</v>
      </c>
      <c r="O5">
        <v>2</v>
      </c>
      <c r="P5">
        <f t="shared" ref="P5:P11" si="1">SUM(N5:O5)</f>
        <v>3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0</v>
      </c>
      <c r="I6">
        <v>3</v>
      </c>
      <c r="J6">
        <f t="shared" ref="J6:J13" si="2">SUM(H6:I6)</f>
        <v>3</v>
      </c>
      <c r="K6" s="16">
        <v>3</v>
      </c>
      <c r="M6" s="7">
        <v>55</v>
      </c>
      <c r="N6">
        <f>COUNTIF(SEMUA!$F$2:$F$60,M6)</f>
        <v>1</v>
      </c>
      <c r="O6">
        <v>1</v>
      </c>
      <c r="P6">
        <f t="shared" si="1"/>
        <v>2</v>
      </c>
      <c r="Q6" s="16"/>
    </row>
    <row r="7" spans="1:18" ht="15.75" x14ac:dyDescent="0.25">
      <c r="A7" s="6" t="s">
        <v>34</v>
      </c>
      <c r="B7">
        <f>COUNTIF(SEMUA!$E$2:$E$60,REKAP!A7)</f>
        <v>3</v>
      </c>
      <c r="C7">
        <v>7</v>
      </c>
      <c r="D7">
        <f t="shared" si="0"/>
        <v>10</v>
      </c>
      <c r="E7" s="16">
        <v>24</v>
      </c>
      <c r="G7" s="7">
        <v>40</v>
      </c>
      <c r="H7">
        <f>COUNTIF(SEMUA!$D$1:$D$60,G7)</f>
        <v>1</v>
      </c>
      <c r="I7">
        <v>3</v>
      </c>
      <c r="J7">
        <f t="shared" si="2"/>
        <v>4</v>
      </c>
      <c r="K7" s="16">
        <v>22</v>
      </c>
      <c r="M7" s="7">
        <v>56</v>
      </c>
      <c r="N7">
        <f>COUNTIF(SEMUA!$F$2:$F$60,M7)</f>
        <v>1</v>
      </c>
      <c r="O7">
        <v>7</v>
      </c>
      <c r="P7">
        <f t="shared" si="1"/>
        <v>8</v>
      </c>
      <c r="Q7" s="16">
        <v>10</v>
      </c>
    </row>
    <row r="8" spans="1:18" ht="15.75" x14ac:dyDescent="0.25">
      <c r="A8" s="6" t="s">
        <v>33</v>
      </c>
      <c r="B8">
        <f>COUNTIF(SEMUA!$E$2:$E$60,REKAP!A8)</f>
        <v>1</v>
      </c>
      <c r="C8">
        <v>3</v>
      </c>
      <c r="D8">
        <f t="shared" si="0"/>
        <v>4</v>
      </c>
      <c r="E8" s="16">
        <v>11</v>
      </c>
      <c r="G8" s="7">
        <v>41</v>
      </c>
      <c r="H8">
        <f>COUNTIF(SEMUA!$D$1:$D$60,G8)</f>
        <v>1</v>
      </c>
      <c r="I8">
        <v>5</v>
      </c>
      <c r="J8">
        <f t="shared" si="2"/>
        <v>6</v>
      </c>
      <c r="K8" s="16">
        <v>23</v>
      </c>
      <c r="M8" s="7">
        <v>57</v>
      </c>
      <c r="N8">
        <f>COUNTIF(SEMUA!$F$2:$F$60,M8)</f>
        <v>3</v>
      </c>
      <c r="O8">
        <v>1</v>
      </c>
      <c r="P8">
        <f t="shared" si="1"/>
        <v>4</v>
      </c>
      <c r="Q8" s="16">
        <v>10</v>
      </c>
    </row>
    <row r="9" spans="1:18" ht="15.75" x14ac:dyDescent="0.25">
      <c r="A9" s="6" t="s">
        <v>36</v>
      </c>
      <c r="B9">
        <f>COUNTIF(SEMUA!$E$2:$E$60,REKAP!A9)</f>
        <v>0</v>
      </c>
      <c r="D9">
        <f t="shared" si="0"/>
        <v>0</v>
      </c>
      <c r="E9" s="16">
        <v>4</v>
      </c>
      <c r="G9" s="7">
        <v>42</v>
      </c>
      <c r="H9">
        <f>COUNTIF(SEMUA!$D$1:$D$60,G9)</f>
        <v>3</v>
      </c>
      <c r="I9">
        <v>2</v>
      </c>
      <c r="J9">
        <f t="shared" si="2"/>
        <v>5</v>
      </c>
      <c r="K9" s="16">
        <v>10</v>
      </c>
      <c r="M9" s="7">
        <v>58</v>
      </c>
      <c r="N9">
        <f>COUNTIF(SEMUA!$F$2:$F$60,M9)</f>
        <v>0</v>
      </c>
      <c r="O9">
        <v>6</v>
      </c>
      <c r="P9">
        <f t="shared" si="1"/>
        <v>6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2</v>
      </c>
      <c r="I10">
        <v>5</v>
      </c>
      <c r="J10">
        <f t="shared" si="2"/>
        <v>7</v>
      </c>
      <c r="K10" s="16">
        <v>10</v>
      </c>
      <c r="M10" s="7">
        <v>59</v>
      </c>
      <c r="N10">
        <f>COUNTIF(SEMUA!$F$2:$F$60,M10)</f>
        <v>0</v>
      </c>
      <c r="P10">
        <f t="shared" si="1"/>
        <v>0</v>
      </c>
      <c r="Q10" s="16"/>
    </row>
    <row r="11" spans="1:18" ht="15.75" x14ac:dyDescent="0.25">
      <c r="A11" s="8" t="s">
        <v>44</v>
      </c>
      <c r="B11" s="9">
        <f>SUM(B4:B10)</f>
        <v>8</v>
      </c>
      <c r="C11" s="9"/>
      <c r="D11" s="9">
        <f>SUM(D4:D10)</f>
        <v>27</v>
      </c>
      <c r="E11" s="17">
        <f>SUM(E4:E10)</f>
        <v>85</v>
      </c>
      <c r="F11" s="9"/>
      <c r="G11" s="7">
        <v>44</v>
      </c>
      <c r="H11">
        <f>COUNTIF(SEMUA!$D$1:$D$60,G11)</f>
        <v>0</v>
      </c>
      <c r="J11">
        <f t="shared" si="2"/>
        <v>0</v>
      </c>
      <c r="K11" s="16">
        <v>1</v>
      </c>
      <c r="M11" s="1">
        <v>60</v>
      </c>
      <c r="N11">
        <f>COUNTIF(SEMUA!$F$2:$F$60,M11)</f>
        <v>2</v>
      </c>
      <c r="O11">
        <v>2</v>
      </c>
      <c r="P11">
        <f t="shared" si="1"/>
        <v>4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8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8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2021-09-08T12:38:58Z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