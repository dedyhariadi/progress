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9.  BLACKNAVY DP 3T25(COKLAT MUDA DIMAP)\"/>
    </mc:Choice>
  </mc:AlternateContent>
  <xr:revisionPtr revIDLastSave="0" documentId="13_ncr:1_{C258BDC0-2044-4B7F-B67D-9F95B1F0FA4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  <sheet name="CETAK FORM" sheetId="10" r:id="rId3"/>
  </sheets>
  <definedNames>
    <definedName name="_xlnm._FilterDatabase" localSheetId="2" hidden="1">'CETAK FORM'!$A$1:$O$30</definedName>
    <definedName name="_xlnm._FilterDatabase" localSheetId="0" hidden="1">SEMUA!$A$1:$AP$30</definedName>
    <definedName name="_xlnm.Print_Titles" localSheetId="2">'CETAK FORM'!$1:$1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B4" i="7" l="1"/>
  <c r="B5" i="7"/>
  <c r="B6" i="7"/>
  <c r="B7" i="7"/>
  <c r="B8" i="7"/>
  <c r="B9" i="7"/>
  <c r="B10" i="7"/>
  <c r="B3" i="7"/>
  <c r="E8" i="7"/>
  <c r="E7" i="7"/>
  <c r="E6" i="7"/>
  <c r="E5" i="7"/>
  <c r="E4" i="7"/>
  <c r="E3" i="7"/>
  <c r="B11" i="7" l="1"/>
  <c r="E9" i="7"/>
</calcChain>
</file>

<file path=xl/sharedStrings.xml><?xml version="1.0" encoding="utf-8"?>
<sst xmlns="http://schemas.openxmlformats.org/spreadsheetml/2006/main" count="498" uniqueCount="129">
  <si>
    <t>NO</t>
  </si>
  <si>
    <t>NAMA</t>
  </si>
  <si>
    <t>KELAS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</si>
  <si>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</si>
  <si>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</si>
  <si>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</si>
  <si>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</si>
  <si>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</si>
  <si>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</si>
  <si>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</si>
  <si>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</si>
  <si>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</si>
  <si>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</si>
  <si>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</si>
  <si>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</si>
  <si>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</si>
  <si>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</si>
  <si>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</si>
  <si>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</si>
  <si>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</si>
  <si>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</si>
  <si>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</si>
  <si>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</si>
  <si>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</si>
  <si>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</si>
  <si>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</si>
  <si>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</si>
  <si>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</si>
  <si>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</si>
  <si>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</si>
  <si>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</si>
  <si>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UB_1</t>
  </si>
  <si>
    <t>UB_2</t>
  </si>
  <si>
    <t>UB_3</t>
  </si>
  <si>
    <t>UB_4</t>
  </si>
  <si>
    <t>UB_5</t>
  </si>
  <si>
    <t>UB_6</t>
  </si>
  <si>
    <t>UB_7</t>
  </si>
  <si>
    <t>UB_8</t>
  </si>
  <si>
    <t>PRIA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</si>
  <si>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</si>
  <si>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</si>
  <si>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</si>
  <si>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</si>
  <si>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</si>
  <si>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</si>
  <si>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</si>
  <si>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</si>
  <si>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</si>
  <si>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</si>
  <si>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</si>
  <si>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</si>
  <si>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</si>
  <si>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GENDER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</si>
  <si>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</si>
  <si>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</si>
  <si>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</si>
  <si>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</si>
  <si>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</si>
  <si>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</si>
  <si>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</si>
  <si>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</si>
  <si>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</si>
  <si>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</si>
  <si>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</si>
  <si>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</si>
  <si>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</si>
  <si>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</si>
  <si>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</si>
  <si>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</si>
  <si>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</si>
  <si>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</si>
  <si>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</si>
  <si>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</si>
  <si>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</si>
  <si>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</si>
  <si>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</si>
  <si>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</si>
  <si>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</si>
  <si>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</si>
  <si>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</si>
  <si>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</si>
  <si>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</si>
  <si>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ROBERT  S.</t>
  </si>
  <si>
    <t>L</t>
  </si>
  <si>
    <t>SENO ADI W.</t>
  </si>
  <si>
    <t>M</t>
  </si>
  <si>
    <t>TYOSANO R.C</t>
  </si>
  <si>
    <t>XL</t>
  </si>
  <si>
    <t>GUSLAL</t>
  </si>
  <si>
    <t>SURYONO</t>
  </si>
  <si>
    <t>ARIMING</t>
  </si>
  <si>
    <t>MUATAKIM</t>
  </si>
  <si>
    <t>ANWAR S.</t>
  </si>
  <si>
    <t>AHMAD YANI</t>
  </si>
  <si>
    <t>NANANG SUHARJO</t>
  </si>
  <si>
    <t>RUSMAN B</t>
  </si>
  <si>
    <t>AGUS DAMA LERO</t>
  </si>
  <si>
    <t>JULI SISWANTO</t>
  </si>
  <si>
    <t>XXL</t>
  </si>
  <si>
    <t>BMBANG UTOMO</t>
  </si>
  <si>
    <t>EDI SISWANTO</t>
  </si>
  <si>
    <t>IGNATIUS W.KRAENG</t>
  </si>
  <si>
    <t>JOAB.A. NDUN</t>
  </si>
  <si>
    <t>SYAFII</t>
  </si>
  <si>
    <t>ABIDIN LA ODE</t>
  </si>
  <si>
    <t>S</t>
  </si>
  <si>
    <t>M.EKA AGIUS FIAN FIADI</t>
  </si>
  <si>
    <t>RUSNAIN</t>
  </si>
  <si>
    <t>SUDIGDO</t>
  </si>
  <si>
    <t>NOPY</t>
  </si>
  <si>
    <t>LA ADID</t>
  </si>
  <si>
    <t>AHMAD AFANDI</t>
  </si>
  <si>
    <t>ARIS WIBISONO</t>
  </si>
  <si>
    <t>PRASTIAWAN</t>
  </si>
  <si>
    <t>WAHYU WICAKSONO</t>
  </si>
  <si>
    <t>SIFA FAUZI YULIANIS</t>
  </si>
  <si>
    <t>KAOS</t>
  </si>
  <si>
    <t>CETAK KE</t>
  </si>
  <si>
    <t>CETAK BN</t>
  </si>
  <si>
    <t>CETAK SEPATU</t>
  </si>
  <si>
    <t>CETAK TOPI</t>
  </si>
  <si>
    <t>DP 3 TEKNIKA / 25</t>
  </si>
  <si>
    <t>KETERANGAN</t>
  </si>
  <si>
    <t>BAJU PDH</t>
  </si>
  <si>
    <t>BAMBANG UTOMO</t>
  </si>
  <si>
    <t>07 AGUSTUS</t>
  </si>
  <si>
    <t>STREP</t>
  </si>
  <si>
    <t>STREP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</si>
</sst>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sz val="12"/>
      <color theme="1"/>
      <name val="Arial"/>
      <family val="2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theme="1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Calibri"/>
      <family val="2"/>
      <charset val="1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48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6" fillId="0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Border="1" applyAlignment="1">
      <alignment vertical="center" wrapText="1"/>
    </xf>
    <xf numFmtId="12" fontId="4" fillId="0" borderId="0" xfId="0" applyNumberFormat="1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vertical="center" wrapText="1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vertical="center" wrapText="1"/>
    </xf>
    <xf numFmtId="0" fontId="9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 wrapText="1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F104"/>
  <sheetViews>
    <sheetView tabSelected="1" zoomScale="70" zoomScaleNormal="70" workbookViewId="0">
      <pane ySplit="1" topLeftCell="A8" activePane="bottomLeft" state="frozen"/>
      <selection activeCell="H1" sqref="H1"/>
      <selection pane="bottomLeft" sqref="A1:F30"/>
    </sheetView>
  </sheetViews>
  <sheetFormatPr defaultColWidth="8.85546875" defaultRowHeight="26.25" customHeight="1" x14ac:dyDescent="0.25"/>
  <cols>
    <col min="1" max="1" width="5" style="3" bestFit="1" customWidth="1"/>
    <col min="2" max="2" width="30.28515625" style="1" bestFit="1" customWidth="1"/>
    <col min="3" max="3" width="21.85546875" style="3" bestFit="1" customWidth="1"/>
    <col min="4" max="4" width="10.85546875" style="3" bestFit="1" customWidth="1"/>
    <col min="5" max="5" width="7.85546875" style="3" bestFit="1" customWidth="1"/>
    <col min="6" max="6" width="6.7109375" style="3" bestFit="1" customWidth="1"/>
    <col min="7" max="7" width="11.28515625" style="3" bestFit="1" customWidth="1"/>
    <col min="8" max="8" width="11.28515625" style="3" customWidth="1"/>
    <col min="9" max="10" width="6.42578125" style="3" customWidth="1"/>
    <col min="11" max="11" width="8.42578125" style="3" bestFit="1" customWidth="1"/>
    <col min="12" max="17" width="6.42578125" style="3" customWidth="1"/>
    <col min="18" max="24" width="6.5703125" style="3" bestFit="1" customWidth="1"/>
    <col min="25" max="27" width="6.42578125" style="3" customWidth="1"/>
    <col min="28" max="28" width="9.140625" style="3" bestFit="1" customWidth="1"/>
    <col min="29" max="29" width="8.140625" style="3" bestFit="1" customWidth="1"/>
    <col min="30" max="33" width="6.42578125" style="3" customWidth="1"/>
    <col min="34" max="34" width="5.5703125" style="3" bestFit="1" customWidth="1"/>
    <col min="35" max="35" width="5.7109375" style="1" bestFit="1" customWidth="1"/>
    <col min="36" max="36" width="9" style="1" bestFit="1" customWidth="1"/>
    <col min="37" max="38" width="4.42578125" style="1" bestFit="1" customWidth="1"/>
    <col min="39" max="41" width="9" style="1" bestFit="1" customWidth="1"/>
    <col min="42" max="16384" width="8.85546875" style="1"/>
  </cols>
  <sheetData>
    <row r="1" spans="1:1020" s="15" customFormat="1" ht="26.25" customHeight="1" x14ac:dyDescent="0.25">
      <c r="A1" s="44" t="s">
        <v>0</v>
      </c>
      <c r="B1" s="44" t="s">
        <v>1</v>
      </c>
      <c r="C1" s="45" t="s">
        <v>2</v>
      </c>
      <c r="D1" s="44" t="s">
        <v>19</v>
      </c>
      <c r="E1" s="44" t="s">
        <v>117</v>
      </c>
      <c r="F1" s="44" t="s">
        <v>20</v>
      </c>
      <c r="G1" s="13" t="s">
        <v>53</v>
      </c>
      <c r="H1" s="13" t="s">
        <v>127</v>
      </c>
      <c r="I1" s="13" t="s">
        <v>10</v>
      </c>
      <c r="J1" s="13" t="s">
        <v>11</v>
      </c>
      <c r="K1" s="13" t="s">
        <v>12</v>
      </c>
      <c r="L1" s="13" t="s">
        <v>13</v>
      </c>
      <c r="M1" s="13" t="s">
        <v>14</v>
      </c>
      <c r="N1" s="13" t="s">
        <v>15</v>
      </c>
      <c r="O1" s="13" t="s">
        <v>16</v>
      </c>
      <c r="P1" s="13" t="s">
        <v>17</v>
      </c>
      <c r="Q1" s="13" t="s">
        <v>18</v>
      </c>
      <c r="R1" s="14" t="s">
        <v>22</v>
      </c>
      <c r="S1" s="14" t="s">
        <v>23</v>
      </c>
      <c r="T1" s="14" t="s">
        <v>24</v>
      </c>
      <c r="U1" s="14" t="s">
        <v>25</v>
      </c>
      <c r="V1" s="14" t="s">
        <v>26</v>
      </c>
      <c r="W1" s="14" t="s">
        <v>27</v>
      </c>
      <c r="X1" s="14" t="s">
        <v>28</v>
      </c>
      <c r="Y1" s="14" t="s">
        <v>29</v>
      </c>
      <c r="Z1" s="14" t="s">
        <v>30</v>
      </c>
      <c r="AA1" s="13" t="s">
        <v>31</v>
      </c>
      <c r="AB1" s="13" t="s">
        <v>32</v>
      </c>
      <c r="AC1" s="13" t="s">
        <v>33</v>
      </c>
      <c r="AD1" s="13" t="s">
        <v>34</v>
      </c>
      <c r="AE1" s="13" t="s">
        <v>35</v>
      </c>
      <c r="AF1" s="13" t="s">
        <v>36</v>
      </c>
      <c r="AG1" s="13" t="s">
        <v>37</v>
      </c>
      <c r="AH1" s="13" t="s">
        <v>38</v>
      </c>
      <c r="AI1" s="13" t="s">
        <v>3</v>
      </c>
      <c r="AJ1" s="13" t="s">
        <v>4</v>
      </c>
      <c r="AK1" s="13" t="s">
        <v>5</v>
      </c>
      <c r="AL1" s="13" t="s">
        <v>6</v>
      </c>
      <c r="AM1" s="13" t="s">
        <v>7</v>
      </c>
      <c r="AN1" s="13" t="s">
        <v>8</v>
      </c>
      <c r="AO1" s="13" t="s">
        <v>9</v>
      </c>
      <c r="AP1" s="15" t="s">
        <v>118</v>
      </c>
      <c r="AQ1" s="15" t="s">
        <v>119</v>
      </c>
      <c r="AR1" s="15" t="s">
        <v>120</v>
      </c>
      <c r="AS1" s="15" t="s">
        <v>121</v>
      </c>
    </row>
    <row r="2" spans="1:1020" ht="26.25" customHeight="1" x14ac:dyDescent="0.25">
      <c r="A2" s="46" t="s">
        <v>54</v>
      </c>
      <c r="B2" s="47" t="s">
        <v>83</v>
      </c>
      <c r="C2" s="46" t="s">
        <v>122</v>
      </c>
      <c r="D2" s="46">
        <v>42</v>
      </c>
      <c r="E2" s="46" t="s">
        <v>84</v>
      </c>
      <c r="F2" s="46">
        <v>59</v>
      </c>
      <c r="G2" s="6" t="s">
        <v>39</v>
      </c>
      <c r="H2" s="6" t="s">
        <v>128</v>
      </c>
      <c r="I2" s="6">
        <v>45</v>
      </c>
      <c r="J2" s="6">
        <v>59</v>
      </c>
      <c r="K2" s="6">
        <v>19</v>
      </c>
      <c r="L2" s="6">
        <v>14</v>
      </c>
      <c r="M2" s="6">
        <v>99</v>
      </c>
      <c r="N2" s="6">
        <v>88</v>
      </c>
      <c r="O2" s="6">
        <v>108</v>
      </c>
      <c r="P2" s="6">
        <v>71</v>
      </c>
      <c r="Q2" s="6">
        <v>38</v>
      </c>
      <c r="R2" s="6">
        <v>45</v>
      </c>
      <c r="S2" s="6">
        <v>60</v>
      </c>
      <c r="T2" s="6">
        <v>17</v>
      </c>
      <c r="U2" s="6">
        <v>12</v>
      </c>
      <c r="V2" s="6">
        <v>27</v>
      </c>
      <c r="W2" s="6">
        <v>25</v>
      </c>
      <c r="X2" s="6">
        <v>27</v>
      </c>
      <c r="Y2" s="6">
        <v>70</v>
      </c>
      <c r="Z2" s="6">
        <v>38</v>
      </c>
      <c r="AA2" s="6">
        <v>39</v>
      </c>
      <c r="AB2" s="6">
        <v>23</v>
      </c>
      <c r="AC2" s="6">
        <v>17</v>
      </c>
      <c r="AD2" s="6">
        <v>27</v>
      </c>
      <c r="AE2" s="6">
        <v>25</v>
      </c>
      <c r="AF2" s="6">
        <v>27</v>
      </c>
      <c r="AG2" s="6">
        <v>70</v>
      </c>
      <c r="AH2" s="6">
        <v>38</v>
      </c>
      <c r="AI2" s="6">
        <v>79</v>
      </c>
      <c r="AJ2" s="6">
        <v>102</v>
      </c>
      <c r="AK2" s="6">
        <v>67</v>
      </c>
      <c r="AL2" s="6">
        <v>32</v>
      </c>
      <c r="AM2" s="6">
        <v>25</v>
      </c>
      <c r="AN2" s="6">
        <v>20</v>
      </c>
      <c r="AO2" s="6">
        <v>97</v>
      </c>
      <c r="AP2" s="1">
        <v>1</v>
      </c>
      <c r="AQ2" s="1" t="s">
        <v>126</v>
      </c>
    </row>
    <row r="3" spans="1:1020" s="4" customFormat="1" ht="26.25" customHeight="1" x14ac:dyDescent="0.25">
      <c r="A3" s="46" t="s">
        <v>55</v>
      </c>
      <c r="B3" s="47" t="s">
        <v>85</v>
      </c>
      <c r="C3" s="46" t="s">
        <v>122</v>
      </c>
      <c r="D3" s="46">
        <v>41</v>
      </c>
      <c r="E3" s="46" t="s">
        <v>86</v>
      </c>
      <c r="F3" s="46">
        <v>55</v>
      </c>
      <c r="G3" s="6" t="s">
        <v>39</v>
      </c>
      <c r="H3" s="6" t="s">
        <v>128</v>
      </c>
      <c r="I3" s="6">
        <v>46</v>
      </c>
      <c r="J3" s="6">
        <v>58</v>
      </c>
      <c r="K3" s="6">
        <v>19</v>
      </c>
      <c r="L3" s="6">
        <v>14</v>
      </c>
      <c r="M3" s="6">
        <v>100</v>
      </c>
      <c r="N3" s="6">
        <v>89</v>
      </c>
      <c r="O3" s="6">
        <v>104</v>
      </c>
      <c r="P3" s="6">
        <v>71</v>
      </c>
      <c r="Q3" s="6">
        <v>40</v>
      </c>
      <c r="R3" s="6">
        <v>46</v>
      </c>
      <c r="S3" s="6">
        <v>59</v>
      </c>
      <c r="T3" s="6">
        <v>17</v>
      </c>
      <c r="U3" s="6">
        <v>12</v>
      </c>
      <c r="V3" s="6">
        <v>27</v>
      </c>
      <c r="W3" s="6">
        <v>24</v>
      </c>
      <c r="X3" s="6">
        <v>27</v>
      </c>
      <c r="Y3" s="6">
        <v>71</v>
      </c>
      <c r="Z3" s="6">
        <v>40</v>
      </c>
      <c r="AA3" s="6">
        <v>44</v>
      </c>
      <c r="AB3" s="6">
        <v>24</v>
      </c>
      <c r="AC3" s="6">
        <v>18</v>
      </c>
      <c r="AD3" s="6">
        <v>26</v>
      </c>
      <c r="AE3" s="6">
        <v>24</v>
      </c>
      <c r="AF3" s="6">
        <v>27</v>
      </c>
      <c r="AG3" s="6">
        <v>69</v>
      </c>
      <c r="AH3" s="6">
        <v>40</v>
      </c>
      <c r="AI3" s="6">
        <v>80</v>
      </c>
      <c r="AJ3" s="6">
        <v>102</v>
      </c>
      <c r="AK3" s="6">
        <v>63</v>
      </c>
      <c r="AL3" s="6">
        <v>32</v>
      </c>
      <c r="AM3" s="6">
        <v>23</v>
      </c>
      <c r="AN3" s="6">
        <v>19</v>
      </c>
      <c r="AO3" s="6">
        <v>99</v>
      </c>
      <c r="AP3" s="1">
        <v>1</v>
      </c>
      <c r="AQ3" s="1" t="s">
        <v>126</v>
      </c>
    </row>
    <row r="4" spans="1:1020" s="10" customFormat="1" ht="26.25" customHeight="1" x14ac:dyDescent="0.25">
      <c r="A4" s="46" t="s">
        <v>56</v>
      </c>
      <c r="B4" s="47" t="s">
        <v>87</v>
      </c>
      <c r="C4" s="46" t="s">
        <v>122</v>
      </c>
      <c r="D4" s="46">
        <v>43</v>
      </c>
      <c r="E4" s="46" t="s">
        <v>88</v>
      </c>
      <c r="F4" s="46">
        <v>56</v>
      </c>
      <c r="G4" s="6" t="s">
        <v>39</v>
      </c>
      <c r="H4" s="6" t="s">
        <v>128</v>
      </c>
      <c r="I4" s="6">
        <v>45</v>
      </c>
      <c r="J4" s="6">
        <v>60</v>
      </c>
      <c r="K4" s="6">
        <v>19</v>
      </c>
      <c r="L4" s="6">
        <v>14</v>
      </c>
      <c r="M4" s="6">
        <v>99</v>
      </c>
      <c r="N4" s="6">
        <v>90</v>
      </c>
      <c r="O4" s="6">
        <v>108</v>
      </c>
      <c r="P4" s="6">
        <v>74</v>
      </c>
      <c r="Q4" s="6">
        <v>39</v>
      </c>
      <c r="R4" s="6">
        <v>45</v>
      </c>
      <c r="S4" s="6">
        <v>61</v>
      </c>
      <c r="T4" s="6">
        <v>17</v>
      </c>
      <c r="U4" s="6">
        <v>12</v>
      </c>
      <c r="V4" s="6">
        <v>27</v>
      </c>
      <c r="W4" s="6">
        <v>25</v>
      </c>
      <c r="X4" s="6">
        <v>27</v>
      </c>
      <c r="Y4" s="6">
        <v>73</v>
      </c>
      <c r="Z4" s="6">
        <v>39</v>
      </c>
      <c r="AA4" s="6">
        <v>42</v>
      </c>
      <c r="AB4" s="6">
        <v>25</v>
      </c>
      <c r="AC4" s="6">
        <v>17</v>
      </c>
      <c r="AD4" s="6">
        <v>27</v>
      </c>
      <c r="AE4" s="6">
        <v>25</v>
      </c>
      <c r="AF4" s="6">
        <v>27</v>
      </c>
      <c r="AG4" s="6">
        <v>73</v>
      </c>
      <c r="AH4" s="6">
        <v>39</v>
      </c>
      <c r="AI4" s="6">
        <v>80</v>
      </c>
      <c r="AJ4" s="6">
        <v>105</v>
      </c>
      <c r="AK4" s="6">
        <v>65</v>
      </c>
      <c r="AL4" s="6">
        <v>33</v>
      </c>
      <c r="AM4" s="6">
        <v>26</v>
      </c>
      <c r="AN4" s="6">
        <v>20</v>
      </c>
      <c r="AO4" s="6">
        <v>99</v>
      </c>
      <c r="AP4" s="1">
        <v>1</v>
      </c>
      <c r="AQ4" s="1" t="s">
        <v>126</v>
      </c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  <c r="AAA4" s="5"/>
      <c r="AAB4" s="5"/>
      <c r="AAC4" s="5"/>
      <c r="AAD4" s="5"/>
      <c r="AAE4" s="5"/>
      <c r="AAF4" s="5"/>
      <c r="AAG4" s="5"/>
      <c r="AAH4" s="5"/>
      <c r="AAI4" s="5"/>
      <c r="AAJ4" s="5"/>
      <c r="AAK4" s="5"/>
      <c r="AAL4" s="5"/>
      <c r="AAM4" s="5"/>
      <c r="AAN4" s="5"/>
      <c r="AAO4" s="5"/>
      <c r="AAP4" s="5"/>
      <c r="AAQ4" s="5"/>
      <c r="AAR4" s="5"/>
      <c r="AAS4" s="5"/>
      <c r="AAT4" s="5"/>
      <c r="AAU4" s="5"/>
      <c r="AAV4" s="5"/>
      <c r="AAW4" s="5"/>
      <c r="AAX4" s="5"/>
      <c r="AAY4" s="5"/>
      <c r="AAZ4" s="5"/>
      <c r="ABA4" s="5"/>
      <c r="ABB4" s="5"/>
      <c r="ABC4" s="5"/>
      <c r="ABD4" s="5"/>
      <c r="ABE4" s="5"/>
      <c r="ABF4" s="5"/>
      <c r="ABG4" s="5"/>
      <c r="ABH4" s="5"/>
      <c r="ABI4" s="5"/>
      <c r="ABJ4" s="5"/>
      <c r="ABK4" s="5"/>
      <c r="ABL4" s="5"/>
      <c r="ABM4" s="5"/>
      <c r="ABN4" s="5"/>
      <c r="ABO4" s="5"/>
      <c r="ABP4" s="5"/>
      <c r="ABQ4" s="5"/>
      <c r="ABR4" s="5"/>
      <c r="ABS4" s="5"/>
      <c r="ABT4" s="5"/>
      <c r="ABU4" s="5"/>
      <c r="ABV4" s="5"/>
      <c r="ABW4" s="5"/>
      <c r="ABX4" s="5"/>
      <c r="ABY4" s="5"/>
      <c r="ABZ4" s="5"/>
      <c r="ACA4" s="5"/>
      <c r="ACB4" s="5"/>
      <c r="ACC4" s="5"/>
      <c r="ACD4" s="5"/>
      <c r="ACE4" s="5"/>
      <c r="ACF4" s="5"/>
      <c r="ACG4" s="5"/>
      <c r="ACH4" s="5"/>
      <c r="ACI4" s="5"/>
      <c r="ACJ4" s="5"/>
      <c r="ACK4" s="5"/>
      <c r="ACL4" s="5"/>
      <c r="ACM4" s="5"/>
      <c r="ACN4" s="5"/>
      <c r="ACO4" s="5"/>
      <c r="ACP4" s="5"/>
      <c r="ACQ4" s="5"/>
      <c r="ACR4" s="5"/>
      <c r="ACS4" s="5"/>
      <c r="ACT4" s="5"/>
      <c r="ACU4" s="5"/>
      <c r="ACV4" s="5"/>
      <c r="ACW4" s="5"/>
      <c r="ACX4" s="5"/>
      <c r="ACY4" s="5"/>
      <c r="ACZ4" s="5"/>
      <c r="ADA4" s="5"/>
      <c r="ADB4" s="5"/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5"/>
      <c r="ADN4" s="5"/>
      <c r="ADO4" s="5"/>
      <c r="ADP4" s="5"/>
      <c r="ADQ4" s="5"/>
      <c r="ADR4" s="5"/>
      <c r="ADS4" s="5"/>
      <c r="ADT4" s="5"/>
      <c r="ADU4" s="5"/>
      <c r="ADV4" s="5"/>
      <c r="ADW4" s="5"/>
      <c r="ADX4" s="5"/>
      <c r="ADY4" s="5"/>
      <c r="ADZ4" s="5"/>
      <c r="AEA4" s="5"/>
      <c r="AEB4" s="5"/>
      <c r="AEC4" s="5"/>
      <c r="AED4" s="5"/>
      <c r="AEE4" s="5"/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5"/>
      <c r="AEQ4" s="5"/>
      <c r="AER4" s="5"/>
      <c r="AES4" s="5"/>
      <c r="AET4" s="5"/>
      <c r="AEU4" s="5"/>
      <c r="AEV4" s="5"/>
      <c r="AEW4" s="5"/>
      <c r="AEX4" s="5"/>
      <c r="AEY4" s="5"/>
      <c r="AEZ4" s="5"/>
      <c r="AFA4" s="5"/>
      <c r="AFB4" s="5"/>
      <c r="AFC4" s="5"/>
      <c r="AFD4" s="5"/>
      <c r="AFE4" s="5"/>
      <c r="AFF4" s="5"/>
      <c r="AFG4" s="5"/>
      <c r="AFH4" s="5"/>
      <c r="AFI4" s="5"/>
      <c r="AFJ4" s="5"/>
      <c r="AFK4" s="5"/>
      <c r="AFL4" s="5"/>
      <c r="AFM4" s="5"/>
      <c r="AFN4" s="5"/>
      <c r="AFO4" s="5"/>
      <c r="AFP4" s="5"/>
      <c r="AFQ4" s="5"/>
      <c r="AFR4" s="5"/>
      <c r="AFS4" s="5"/>
      <c r="AFT4" s="5"/>
      <c r="AFU4" s="5"/>
      <c r="AFV4" s="5"/>
      <c r="AFW4" s="5"/>
      <c r="AFX4" s="5"/>
      <c r="AFY4" s="5"/>
      <c r="AFZ4" s="5"/>
      <c r="AGA4" s="5"/>
      <c r="AGB4" s="5"/>
      <c r="AGC4" s="5"/>
      <c r="AGD4" s="5"/>
      <c r="AGE4" s="5"/>
      <c r="AGF4" s="5"/>
      <c r="AGG4" s="5"/>
      <c r="AGH4" s="5"/>
      <c r="AGI4" s="5"/>
      <c r="AGJ4" s="5"/>
      <c r="AGK4" s="5"/>
      <c r="AGL4" s="5"/>
      <c r="AGM4" s="5"/>
      <c r="AGN4" s="5"/>
      <c r="AGO4" s="5"/>
      <c r="AGP4" s="5"/>
      <c r="AGQ4" s="5"/>
      <c r="AGR4" s="5"/>
      <c r="AGS4" s="5"/>
      <c r="AGT4" s="5"/>
      <c r="AGU4" s="5"/>
      <c r="AGV4" s="5"/>
      <c r="AGW4" s="5"/>
      <c r="AGX4" s="5"/>
      <c r="AGY4" s="5"/>
      <c r="AGZ4" s="5"/>
      <c r="AHA4" s="5"/>
      <c r="AHB4" s="5"/>
      <c r="AHC4" s="5"/>
      <c r="AHD4" s="5"/>
      <c r="AHE4" s="5"/>
      <c r="AHF4" s="5"/>
      <c r="AHG4" s="5"/>
      <c r="AHH4" s="5"/>
      <c r="AHI4" s="5"/>
      <c r="AHJ4" s="5"/>
      <c r="AHK4" s="5"/>
      <c r="AHL4" s="5"/>
      <c r="AHM4" s="5"/>
      <c r="AHN4" s="5"/>
      <c r="AHO4" s="5"/>
      <c r="AHP4" s="5"/>
      <c r="AHQ4" s="5"/>
      <c r="AHR4" s="5"/>
      <c r="AHS4" s="5"/>
      <c r="AHT4" s="5"/>
      <c r="AHU4" s="5"/>
      <c r="AHV4" s="5"/>
      <c r="AHW4" s="5"/>
      <c r="AHX4" s="5"/>
      <c r="AHY4" s="5"/>
      <c r="AHZ4" s="5"/>
      <c r="AIA4" s="5"/>
      <c r="AIB4" s="5"/>
      <c r="AIC4" s="5"/>
      <c r="AID4" s="5"/>
      <c r="AIE4" s="5"/>
      <c r="AIF4" s="5"/>
      <c r="AIG4" s="5"/>
      <c r="AIH4" s="5"/>
      <c r="AII4" s="5"/>
      <c r="AIJ4" s="5"/>
      <c r="AIK4" s="5"/>
      <c r="AIL4" s="5"/>
      <c r="AIM4" s="5"/>
      <c r="AIN4" s="5"/>
      <c r="AIO4" s="5"/>
      <c r="AIP4" s="5"/>
      <c r="AIQ4" s="5"/>
      <c r="AIR4" s="5"/>
      <c r="AIS4" s="5"/>
      <c r="AIT4" s="5"/>
      <c r="AIU4" s="5"/>
      <c r="AIV4" s="5"/>
      <c r="AIW4" s="5"/>
      <c r="AIX4" s="5"/>
      <c r="AIY4" s="5"/>
      <c r="AIZ4" s="5"/>
      <c r="AJA4" s="5"/>
      <c r="AJB4" s="5"/>
      <c r="AJC4" s="5"/>
      <c r="AJD4" s="5"/>
      <c r="AJE4" s="5"/>
      <c r="AJF4" s="5"/>
      <c r="AJG4" s="5"/>
      <c r="AJH4" s="5"/>
      <c r="AJI4" s="5"/>
      <c r="AJJ4" s="5"/>
      <c r="AJK4" s="5"/>
      <c r="AJL4" s="5"/>
      <c r="AJM4" s="5"/>
      <c r="AJN4" s="5"/>
      <c r="AJO4" s="5"/>
      <c r="AJP4" s="5"/>
      <c r="AJQ4" s="5"/>
      <c r="AJR4" s="5"/>
      <c r="AJS4" s="5"/>
      <c r="AJT4" s="5"/>
      <c r="AJU4" s="5"/>
      <c r="AJV4" s="5"/>
      <c r="AJW4" s="5"/>
      <c r="AJX4" s="5"/>
      <c r="AJY4" s="5"/>
      <c r="AJZ4" s="5"/>
      <c r="AKA4" s="5"/>
      <c r="AKB4" s="5"/>
      <c r="AKC4" s="5"/>
      <c r="AKD4" s="5"/>
      <c r="AKE4" s="5"/>
      <c r="AKF4" s="5"/>
      <c r="AKG4" s="5"/>
      <c r="AKH4" s="5"/>
      <c r="AKI4" s="5"/>
      <c r="AKJ4" s="5"/>
      <c r="AKK4" s="5"/>
      <c r="AKL4" s="5"/>
      <c r="AKM4" s="5"/>
      <c r="AKN4" s="5"/>
      <c r="AKO4" s="5"/>
      <c r="AKP4" s="5"/>
      <c r="AKQ4" s="5"/>
      <c r="AKR4" s="5"/>
      <c r="AKS4" s="5"/>
      <c r="AKT4" s="5"/>
      <c r="AKU4" s="5"/>
      <c r="AKV4" s="5"/>
      <c r="AKW4" s="5"/>
      <c r="AKX4" s="5"/>
      <c r="AKY4" s="5"/>
      <c r="AKZ4" s="5"/>
      <c r="ALA4" s="5"/>
      <c r="ALB4" s="5"/>
      <c r="ALC4" s="5"/>
      <c r="ALD4" s="5"/>
      <c r="ALE4" s="5"/>
      <c r="ALF4" s="5"/>
      <c r="ALG4" s="5"/>
      <c r="ALH4" s="5"/>
      <c r="ALI4" s="5"/>
      <c r="ALJ4" s="5"/>
      <c r="ALK4" s="5"/>
      <c r="ALL4" s="5"/>
      <c r="ALM4" s="5"/>
      <c r="ALN4" s="5"/>
      <c r="ALO4" s="5"/>
      <c r="ALP4" s="5"/>
      <c r="ALQ4" s="5"/>
      <c r="ALR4" s="5"/>
      <c r="ALS4" s="5"/>
      <c r="ALT4" s="5"/>
      <c r="ALU4" s="5"/>
      <c r="ALV4" s="5"/>
      <c r="ALW4" s="5"/>
      <c r="ALX4" s="5"/>
      <c r="ALY4" s="5"/>
      <c r="ALZ4" s="5"/>
      <c r="AMA4" s="5"/>
      <c r="AMB4" s="5"/>
      <c r="AMC4" s="5"/>
      <c r="AMD4" s="5"/>
      <c r="AME4" s="5"/>
      <c r="AMF4" s="5"/>
    </row>
    <row r="5" spans="1:1020" ht="26.25" customHeight="1" x14ac:dyDescent="0.25">
      <c r="A5" s="46" t="s">
        <v>57</v>
      </c>
      <c r="B5" s="47" t="s">
        <v>89</v>
      </c>
      <c r="C5" s="46" t="s">
        <v>122</v>
      </c>
      <c r="D5" s="46">
        <v>40</v>
      </c>
      <c r="E5" s="46" t="s">
        <v>84</v>
      </c>
      <c r="F5" s="46">
        <v>56</v>
      </c>
      <c r="G5" s="6" t="s">
        <v>39</v>
      </c>
      <c r="H5" s="6" t="s">
        <v>128</v>
      </c>
      <c r="I5" s="6">
        <v>45</v>
      </c>
      <c r="J5" s="6">
        <v>57</v>
      </c>
      <c r="K5" s="6">
        <v>19</v>
      </c>
      <c r="L5" s="6">
        <v>14</v>
      </c>
      <c r="M5" s="6">
        <v>96</v>
      </c>
      <c r="N5" s="6">
        <v>92</v>
      </c>
      <c r="O5" s="6">
        <v>107</v>
      </c>
      <c r="P5" s="6">
        <v>71</v>
      </c>
      <c r="Q5" s="6">
        <v>39</v>
      </c>
      <c r="R5" s="6">
        <v>45</v>
      </c>
      <c r="S5" s="6">
        <v>58</v>
      </c>
      <c r="T5" s="6">
        <v>17</v>
      </c>
      <c r="U5" s="6">
        <v>12</v>
      </c>
      <c r="V5" s="6">
        <v>27</v>
      </c>
      <c r="W5" s="6">
        <v>25</v>
      </c>
      <c r="X5" s="6">
        <v>27</v>
      </c>
      <c r="Y5" s="6">
        <v>70</v>
      </c>
      <c r="Z5" s="6">
        <v>39</v>
      </c>
      <c r="AA5" s="6">
        <v>42</v>
      </c>
      <c r="AB5" s="6">
        <v>24</v>
      </c>
      <c r="AC5" s="6">
        <v>16</v>
      </c>
      <c r="AD5" s="6">
        <v>27</v>
      </c>
      <c r="AE5" s="6">
        <v>25</v>
      </c>
      <c r="AF5" s="6">
        <v>27</v>
      </c>
      <c r="AG5" s="6">
        <v>70</v>
      </c>
      <c r="AH5" s="6">
        <v>39</v>
      </c>
      <c r="AI5" s="6">
        <v>81</v>
      </c>
      <c r="AJ5" s="6">
        <v>103</v>
      </c>
      <c r="AK5" s="6">
        <v>64</v>
      </c>
      <c r="AL5" s="6">
        <v>32</v>
      </c>
      <c r="AM5" s="6">
        <v>25</v>
      </c>
      <c r="AN5" s="6">
        <v>20</v>
      </c>
      <c r="AO5" s="6">
        <v>95</v>
      </c>
      <c r="AP5" s="1">
        <v>1</v>
      </c>
      <c r="AQ5" s="1" t="s">
        <v>126</v>
      </c>
    </row>
    <row r="6" spans="1:1020" ht="26.25" customHeight="1" x14ac:dyDescent="0.25">
      <c r="A6" s="46" t="s">
        <v>58</v>
      </c>
      <c r="B6" s="47" t="s">
        <v>90</v>
      </c>
      <c r="C6" s="46" t="s">
        <v>122</v>
      </c>
      <c r="D6" s="46">
        <v>42</v>
      </c>
      <c r="E6" s="46" t="s">
        <v>84</v>
      </c>
      <c r="F6" s="46">
        <v>55</v>
      </c>
      <c r="G6" s="6" t="s">
        <v>39</v>
      </c>
      <c r="H6" s="6" t="s">
        <v>128</v>
      </c>
      <c r="I6" s="6">
        <v>46</v>
      </c>
      <c r="J6" s="6">
        <v>59</v>
      </c>
      <c r="K6" s="6">
        <v>20</v>
      </c>
      <c r="L6" s="6">
        <v>15</v>
      </c>
      <c r="M6" s="6">
        <v>102</v>
      </c>
      <c r="N6" s="6">
        <v>96</v>
      </c>
      <c r="O6" s="6">
        <v>105</v>
      </c>
      <c r="P6" s="6">
        <v>72</v>
      </c>
      <c r="Q6" s="6">
        <v>41</v>
      </c>
      <c r="R6" s="6">
        <v>46</v>
      </c>
      <c r="S6" s="6">
        <v>60</v>
      </c>
      <c r="T6" s="6">
        <v>17</v>
      </c>
      <c r="U6" s="6">
        <v>12</v>
      </c>
      <c r="V6" s="6">
        <v>28</v>
      </c>
      <c r="W6" s="6">
        <v>26</v>
      </c>
      <c r="X6" s="6">
        <v>28</v>
      </c>
      <c r="Y6" s="6">
        <v>71</v>
      </c>
      <c r="Z6" s="6">
        <v>41</v>
      </c>
      <c r="AA6" s="6">
        <v>43</v>
      </c>
      <c r="AB6" s="6">
        <v>25</v>
      </c>
      <c r="AC6" s="6">
        <v>18</v>
      </c>
      <c r="AD6" s="6">
        <v>28</v>
      </c>
      <c r="AE6" s="6">
        <v>26</v>
      </c>
      <c r="AF6" s="6">
        <v>28</v>
      </c>
      <c r="AG6" s="6">
        <v>71</v>
      </c>
      <c r="AH6" s="6">
        <v>41</v>
      </c>
      <c r="AI6" s="6">
        <v>82</v>
      </c>
      <c r="AJ6" s="6">
        <v>103</v>
      </c>
      <c r="AK6" s="6">
        <v>65</v>
      </c>
      <c r="AL6" s="6">
        <v>33</v>
      </c>
      <c r="AM6" s="6">
        <v>26</v>
      </c>
      <c r="AN6" s="6">
        <v>20</v>
      </c>
      <c r="AO6" s="6">
        <v>100</v>
      </c>
      <c r="AP6" s="1">
        <v>1</v>
      </c>
      <c r="AQ6" s="1" t="s">
        <v>126</v>
      </c>
    </row>
    <row r="7" spans="1:1020" ht="26.25" customHeight="1" x14ac:dyDescent="0.25">
      <c r="A7" s="46" t="s">
        <v>59</v>
      </c>
      <c r="B7" s="47" t="s">
        <v>91</v>
      </c>
      <c r="C7" s="46" t="s">
        <v>122</v>
      </c>
      <c r="D7" s="46">
        <v>40</v>
      </c>
      <c r="E7" s="46" t="s">
        <v>86</v>
      </c>
      <c r="F7" s="46">
        <v>56</v>
      </c>
      <c r="G7" s="6" t="s">
        <v>39</v>
      </c>
      <c r="H7" s="6" t="s">
        <v>128</v>
      </c>
      <c r="I7" s="6">
        <v>46</v>
      </c>
      <c r="J7" s="6">
        <v>57</v>
      </c>
      <c r="K7" s="6">
        <v>19</v>
      </c>
      <c r="L7" s="6">
        <v>14</v>
      </c>
      <c r="M7" s="6">
        <v>106</v>
      </c>
      <c r="N7" s="6">
        <v>98</v>
      </c>
      <c r="O7" s="6">
        <v>108</v>
      </c>
      <c r="P7" s="6">
        <v>70</v>
      </c>
      <c r="Q7" s="6">
        <v>40</v>
      </c>
      <c r="R7" s="6">
        <v>46</v>
      </c>
      <c r="S7" s="6">
        <v>58</v>
      </c>
      <c r="T7" s="6">
        <v>17</v>
      </c>
      <c r="U7" s="6">
        <v>13</v>
      </c>
      <c r="V7" s="6">
        <v>28</v>
      </c>
      <c r="W7" s="6">
        <v>26</v>
      </c>
      <c r="X7" s="6">
        <v>28</v>
      </c>
      <c r="Y7" s="6">
        <v>70</v>
      </c>
      <c r="Z7" s="6">
        <v>40</v>
      </c>
      <c r="AA7" s="6">
        <v>40</v>
      </c>
      <c r="AB7" s="6">
        <v>23</v>
      </c>
      <c r="AC7" s="6">
        <v>17</v>
      </c>
      <c r="AD7" s="6">
        <v>28</v>
      </c>
      <c r="AE7" s="6">
        <v>26</v>
      </c>
      <c r="AF7" s="6">
        <v>28</v>
      </c>
      <c r="AG7" s="6">
        <v>69</v>
      </c>
      <c r="AH7" s="6">
        <v>40</v>
      </c>
      <c r="AI7" s="6">
        <v>86</v>
      </c>
      <c r="AJ7" s="6">
        <v>103</v>
      </c>
      <c r="AK7" s="6">
        <v>65</v>
      </c>
      <c r="AL7" s="6">
        <v>33</v>
      </c>
      <c r="AM7" s="6">
        <v>26</v>
      </c>
      <c r="AN7" s="6">
        <v>20</v>
      </c>
      <c r="AO7" s="6">
        <v>94</v>
      </c>
      <c r="AP7" s="1">
        <v>1</v>
      </c>
      <c r="AQ7" s="1" t="s">
        <v>126</v>
      </c>
    </row>
    <row r="8" spans="1:1020" ht="26.25" customHeight="1" x14ac:dyDescent="0.25">
      <c r="A8" s="46" t="s">
        <v>60</v>
      </c>
      <c r="B8" s="47" t="s">
        <v>92</v>
      </c>
      <c r="C8" s="46" t="s">
        <v>122</v>
      </c>
      <c r="D8" s="46">
        <v>42</v>
      </c>
      <c r="E8" s="46" t="s">
        <v>88</v>
      </c>
      <c r="F8" s="46">
        <v>57</v>
      </c>
      <c r="G8" s="6" t="s">
        <v>39</v>
      </c>
      <c r="H8" s="6" t="s">
        <v>128</v>
      </c>
      <c r="I8" s="6">
        <v>48</v>
      </c>
      <c r="J8" s="6">
        <v>62</v>
      </c>
      <c r="K8" s="6">
        <v>21</v>
      </c>
      <c r="L8" s="6">
        <v>15</v>
      </c>
      <c r="M8" s="6">
        <v>117</v>
      </c>
      <c r="N8" s="6">
        <v>113</v>
      </c>
      <c r="O8" s="6">
        <v>125</v>
      </c>
      <c r="P8" s="6">
        <v>73</v>
      </c>
      <c r="Q8" s="6">
        <v>41</v>
      </c>
      <c r="R8" s="6">
        <v>48</v>
      </c>
      <c r="S8" s="6">
        <v>63</v>
      </c>
      <c r="T8" s="6">
        <v>19</v>
      </c>
      <c r="U8" s="6">
        <v>13</v>
      </c>
      <c r="V8" s="6">
        <v>30</v>
      </c>
      <c r="W8" s="6">
        <v>28</v>
      </c>
      <c r="X8" s="6">
        <v>30</v>
      </c>
      <c r="Y8" s="6">
        <v>73</v>
      </c>
      <c r="Z8" s="6">
        <v>41</v>
      </c>
      <c r="AA8" s="6">
        <v>44</v>
      </c>
      <c r="AB8" s="6">
        <v>26</v>
      </c>
      <c r="AC8" s="6">
        <v>19</v>
      </c>
      <c r="AD8" s="6">
        <v>30</v>
      </c>
      <c r="AE8" s="6">
        <v>28</v>
      </c>
      <c r="AF8" s="6">
        <v>30</v>
      </c>
      <c r="AG8" s="6">
        <v>75</v>
      </c>
      <c r="AH8" s="6">
        <v>41</v>
      </c>
      <c r="AI8" s="6">
        <v>98</v>
      </c>
      <c r="AJ8" s="6">
        <v>119</v>
      </c>
      <c r="AK8" s="6">
        <v>69</v>
      </c>
      <c r="AL8" s="6">
        <v>35</v>
      </c>
      <c r="AM8" s="6">
        <v>27</v>
      </c>
      <c r="AN8" s="6">
        <v>22</v>
      </c>
      <c r="AO8" s="6">
        <v>97</v>
      </c>
      <c r="AP8" s="1">
        <v>1</v>
      </c>
      <c r="AQ8" s="1" t="s">
        <v>126</v>
      </c>
    </row>
    <row r="9" spans="1:1020" ht="26.25" customHeight="1" x14ac:dyDescent="0.25">
      <c r="A9" s="46" t="s">
        <v>61</v>
      </c>
      <c r="B9" s="47" t="s">
        <v>93</v>
      </c>
      <c r="C9" s="46" t="s">
        <v>122</v>
      </c>
      <c r="D9" s="46">
        <v>41</v>
      </c>
      <c r="E9" s="46" t="s">
        <v>84</v>
      </c>
      <c r="F9" s="46">
        <v>56</v>
      </c>
      <c r="G9" s="6" t="s">
        <v>39</v>
      </c>
      <c r="H9" s="6" t="s">
        <v>128</v>
      </c>
      <c r="I9" s="6">
        <v>46</v>
      </c>
      <c r="J9" s="6">
        <v>61</v>
      </c>
      <c r="K9" s="6">
        <v>19</v>
      </c>
      <c r="L9" s="6">
        <v>14</v>
      </c>
      <c r="M9" s="6">
        <v>107</v>
      </c>
      <c r="N9" s="6">
        <v>98</v>
      </c>
      <c r="O9" s="6">
        <v>110</v>
      </c>
      <c r="P9" s="6">
        <v>72</v>
      </c>
      <c r="Q9" s="6">
        <v>39</v>
      </c>
      <c r="R9" s="6">
        <v>46</v>
      </c>
      <c r="S9" s="6">
        <v>62</v>
      </c>
      <c r="T9" s="6">
        <v>17</v>
      </c>
      <c r="U9" s="6">
        <v>13</v>
      </c>
      <c r="V9" s="6">
        <v>28</v>
      </c>
      <c r="W9" s="6">
        <v>26</v>
      </c>
      <c r="X9" s="6">
        <v>28</v>
      </c>
      <c r="Y9" s="6">
        <v>71</v>
      </c>
      <c r="Z9" s="6">
        <v>39</v>
      </c>
      <c r="AA9" s="6">
        <v>43</v>
      </c>
      <c r="AB9" s="6">
        <v>24</v>
      </c>
      <c r="AC9" s="6">
        <v>18</v>
      </c>
      <c r="AD9" s="6">
        <v>28</v>
      </c>
      <c r="AE9" s="6">
        <v>26</v>
      </c>
      <c r="AF9" s="6">
        <v>28</v>
      </c>
      <c r="AG9" s="6">
        <v>70</v>
      </c>
      <c r="AH9" s="6">
        <v>39</v>
      </c>
      <c r="AI9" s="6">
        <v>87</v>
      </c>
      <c r="AJ9" s="6">
        <v>103</v>
      </c>
      <c r="AK9" s="6">
        <v>65</v>
      </c>
      <c r="AL9" s="6">
        <v>33</v>
      </c>
      <c r="AM9" s="6">
        <v>27</v>
      </c>
      <c r="AN9" s="6">
        <v>21</v>
      </c>
      <c r="AO9" s="6">
        <v>96</v>
      </c>
      <c r="AP9" s="1">
        <v>1</v>
      </c>
      <c r="AQ9" s="1" t="s">
        <v>126</v>
      </c>
    </row>
    <row r="10" spans="1:1020" ht="26.25" customHeight="1" x14ac:dyDescent="0.25">
      <c r="A10" s="46" t="s">
        <v>62</v>
      </c>
      <c r="B10" s="47" t="s">
        <v>94</v>
      </c>
      <c r="C10" s="46" t="s">
        <v>122</v>
      </c>
      <c r="D10" s="46">
        <v>41</v>
      </c>
      <c r="E10" s="46" t="s">
        <v>86</v>
      </c>
      <c r="F10" s="46">
        <v>55</v>
      </c>
      <c r="G10" s="6" t="s">
        <v>39</v>
      </c>
      <c r="H10" s="6" t="s">
        <v>128</v>
      </c>
      <c r="I10" s="6">
        <v>46</v>
      </c>
      <c r="J10" s="6">
        <v>56</v>
      </c>
      <c r="K10" s="6">
        <v>19</v>
      </c>
      <c r="L10" s="6">
        <v>14</v>
      </c>
      <c r="M10" s="6">
        <v>101</v>
      </c>
      <c r="N10" s="6">
        <v>97</v>
      </c>
      <c r="O10" s="6">
        <v>115</v>
      </c>
      <c r="P10" s="6">
        <v>71</v>
      </c>
      <c r="Q10" s="6">
        <v>40</v>
      </c>
      <c r="R10" s="6">
        <v>46</v>
      </c>
      <c r="S10" s="6">
        <v>57</v>
      </c>
      <c r="T10" s="6">
        <v>17</v>
      </c>
      <c r="U10" s="6">
        <v>13</v>
      </c>
      <c r="V10" s="6">
        <v>27</v>
      </c>
      <c r="W10" s="6">
        <v>25</v>
      </c>
      <c r="X10" s="6">
        <v>27</v>
      </c>
      <c r="Y10" s="6">
        <v>70</v>
      </c>
      <c r="Z10" s="6">
        <v>40</v>
      </c>
      <c r="AA10" s="6">
        <v>46</v>
      </c>
      <c r="AB10" s="6">
        <v>56</v>
      </c>
      <c r="AC10" s="6">
        <v>19</v>
      </c>
      <c r="AD10" s="6">
        <v>14</v>
      </c>
      <c r="AE10" s="6">
        <v>101</v>
      </c>
      <c r="AF10" s="6">
        <v>97</v>
      </c>
      <c r="AG10" s="6">
        <v>115</v>
      </c>
      <c r="AH10" s="6">
        <v>71</v>
      </c>
      <c r="AI10" s="6">
        <v>86</v>
      </c>
      <c r="AJ10" s="6">
        <v>102</v>
      </c>
      <c r="AK10" s="6">
        <v>66</v>
      </c>
      <c r="AL10" s="6">
        <v>34</v>
      </c>
      <c r="AM10" s="6">
        <v>25</v>
      </c>
      <c r="AN10" s="6">
        <v>21</v>
      </c>
      <c r="AO10" s="6">
        <v>92</v>
      </c>
      <c r="AP10" s="1">
        <v>1</v>
      </c>
      <c r="AQ10" s="1" t="s">
        <v>126</v>
      </c>
    </row>
    <row r="11" spans="1:1020" ht="26.25" customHeight="1" x14ac:dyDescent="0.25">
      <c r="A11" s="46" t="s">
        <v>63</v>
      </c>
      <c r="B11" s="47" t="s">
        <v>95</v>
      </c>
      <c r="C11" s="46" t="s">
        <v>122</v>
      </c>
      <c r="D11" s="46">
        <v>39</v>
      </c>
      <c r="E11" s="46" t="s">
        <v>86</v>
      </c>
      <c r="F11" s="46">
        <v>53</v>
      </c>
      <c r="G11" s="6" t="s">
        <v>39</v>
      </c>
      <c r="H11" s="6" t="s">
        <v>128</v>
      </c>
      <c r="I11" s="6">
        <v>44</v>
      </c>
      <c r="J11" s="6">
        <v>56</v>
      </c>
      <c r="K11" s="6">
        <v>18</v>
      </c>
      <c r="L11" s="6">
        <v>14</v>
      </c>
      <c r="M11" s="6">
        <v>97</v>
      </c>
      <c r="N11" s="6">
        <v>86</v>
      </c>
      <c r="O11" s="6">
        <v>104</v>
      </c>
      <c r="P11" s="6">
        <v>69</v>
      </c>
      <c r="Q11" s="6">
        <v>37</v>
      </c>
      <c r="R11" s="6">
        <v>44</v>
      </c>
      <c r="S11" s="6">
        <v>57</v>
      </c>
      <c r="T11" s="6">
        <v>16</v>
      </c>
      <c r="U11" s="6">
        <v>12</v>
      </c>
      <c r="V11" s="6">
        <v>26</v>
      </c>
      <c r="W11" s="6">
        <v>25</v>
      </c>
      <c r="X11" s="6">
        <v>26</v>
      </c>
      <c r="Y11" s="6">
        <v>69</v>
      </c>
      <c r="Z11" s="6">
        <v>37</v>
      </c>
      <c r="AA11" s="6">
        <v>40</v>
      </c>
      <c r="AB11" s="6">
        <v>23</v>
      </c>
      <c r="AC11" s="6">
        <v>17</v>
      </c>
      <c r="AD11" s="6">
        <v>26</v>
      </c>
      <c r="AE11" s="6">
        <v>25</v>
      </c>
      <c r="AF11" s="6">
        <v>26</v>
      </c>
      <c r="AG11" s="6">
        <v>68</v>
      </c>
      <c r="AH11" s="6">
        <v>37</v>
      </c>
      <c r="AI11" s="6">
        <v>82</v>
      </c>
      <c r="AJ11" s="6">
        <v>102</v>
      </c>
      <c r="AK11" s="6">
        <v>64</v>
      </c>
      <c r="AL11" s="6">
        <v>33</v>
      </c>
      <c r="AM11" s="6">
        <v>24</v>
      </c>
      <c r="AN11" s="6">
        <v>20</v>
      </c>
      <c r="AO11" s="6">
        <v>91</v>
      </c>
      <c r="AP11" s="1">
        <v>1</v>
      </c>
      <c r="AQ11" s="1" t="s">
        <v>126</v>
      </c>
    </row>
    <row r="12" spans="1:1020" ht="26.25" customHeight="1" x14ac:dyDescent="0.25">
      <c r="A12" s="46" t="s">
        <v>64</v>
      </c>
      <c r="B12" s="47" t="s">
        <v>96</v>
      </c>
      <c r="C12" s="46" t="s">
        <v>122</v>
      </c>
      <c r="D12" s="46">
        <v>42</v>
      </c>
      <c r="E12" s="46" t="s">
        <v>84</v>
      </c>
      <c r="F12" s="46">
        <v>57</v>
      </c>
      <c r="G12" s="6" t="s">
        <v>39</v>
      </c>
      <c r="H12" s="6" t="s">
        <v>128</v>
      </c>
      <c r="I12" s="6">
        <v>46</v>
      </c>
      <c r="J12" s="6">
        <v>58</v>
      </c>
      <c r="K12" s="6">
        <v>19</v>
      </c>
      <c r="L12" s="6">
        <v>14</v>
      </c>
      <c r="M12" s="6">
        <v>104</v>
      </c>
      <c r="N12" s="6">
        <v>98</v>
      </c>
      <c r="O12" s="6">
        <v>108</v>
      </c>
      <c r="P12" s="6">
        <v>73</v>
      </c>
      <c r="Q12" s="6">
        <v>40</v>
      </c>
      <c r="R12" s="6">
        <v>46</v>
      </c>
      <c r="S12" s="6">
        <v>59</v>
      </c>
      <c r="T12" s="6">
        <v>18</v>
      </c>
      <c r="U12" s="6">
        <v>13</v>
      </c>
      <c r="V12" s="6">
        <v>27</v>
      </c>
      <c r="W12" s="6">
        <v>25</v>
      </c>
      <c r="X12" s="6">
        <v>27</v>
      </c>
      <c r="Y12" s="6">
        <v>72</v>
      </c>
      <c r="Z12" s="6">
        <v>40</v>
      </c>
      <c r="AA12" s="6">
        <v>42</v>
      </c>
      <c r="AB12" s="6">
        <v>23</v>
      </c>
      <c r="AC12" s="6">
        <v>17</v>
      </c>
      <c r="AD12" s="6">
        <v>27</v>
      </c>
      <c r="AE12" s="6">
        <v>25</v>
      </c>
      <c r="AF12" s="6">
        <v>27</v>
      </c>
      <c r="AG12" s="6">
        <v>72</v>
      </c>
      <c r="AH12" s="6">
        <v>40</v>
      </c>
      <c r="AI12" s="6">
        <v>87</v>
      </c>
      <c r="AJ12" s="6">
        <v>106</v>
      </c>
      <c r="AK12" s="6">
        <v>65</v>
      </c>
      <c r="AL12" s="6">
        <v>33</v>
      </c>
      <c r="AM12" s="6">
        <v>25</v>
      </c>
      <c r="AN12" s="6">
        <v>20</v>
      </c>
      <c r="AO12" s="6">
        <v>100</v>
      </c>
      <c r="AP12" s="1">
        <v>1</v>
      </c>
      <c r="AQ12" s="1" t="s">
        <v>126</v>
      </c>
    </row>
    <row r="13" spans="1:1020" ht="26.25" customHeight="1" x14ac:dyDescent="0.25">
      <c r="A13" s="46" t="s">
        <v>65</v>
      </c>
      <c r="B13" s="47" t="s">
        <v>97</v>
      </c>
      <c r="C13" s="46" t="s">
        <v>122</v>
      </c>
      <c r="D13" s="46">
        <v>40</v>
      </c>
      <c r="E13" s="46" t="s">
        <v>86</v>
      </c>
      <c r="F13" s="46">
        <v>56</v>
      </c>
      <c r="G13" s="6" t="s">
        <v>39</v>
      </c>
      <c r="H13" s="6" t="s">
        <v>128</v>
      </c>
      <c r="I13" s="6">
        <v>47</v>
      </c>
      <c r="J13" s="6">
        <v>55</v>
      </c>
      <c r="K13" s="6">
        <v>19</v>
      </c>
      <c r="L13" s="6">
        <v>15</v>
      </c>
      <c r="M13" s="6">
        <v>100</v>
      </c>
      <c r="N13" s="6">
        <v>96</v>
      </c>
      <c r="O13" s="6">
        <v>106</v>
      </c>
      <c r="P13" s="6">
        <v>39</v>
      </c>
      <c r="Q13" s="6">
        <v>69</v>
      </c>
      <c r="R13" s="6">
        <v>47</v>
      </c>
      <c r="S13" s="6">
        <v>56</v>
      </c>
      <c r="T13" s="6">
        <v>18</v>
      </c>
      <c r="U13" s="6">
        <v>13</v>
      </c>
      <c r="V13" s="6">
        <v>29</v>
      </c>
      <c r="W13" s="6">
        <v>27</v>
      </c>
      <c r="X13" s="6">
        <v>29</v>
      </c>
      <c r="Y13" s="6">
        <v>69</v>
      </c>
      <c r="Z13" s="6">
        <v>39</v>
      </c>
      <c r="AA13" s="6">
        <v>43</v>
      </c>
      <c r="AB13" s="6">
        <v>20</v>
      </c>
      <c r="AC13" s="6">
        <v>16</v>
      </c>
      <c r="AD13" s="6">
        <v>27</v>
      </c>
      <c r="AE13" s="6">
        <v>27</v>
      </c>
      <c r="AF13" s="6">
        <v>27</v>
      </c>
      <c r="AG13" s="6">
        <v>39</v>
      </c>
      <c r="AH13" s="6">
        <v>69</v>
      </c>
      <c r="AI13" s="6">
        <v>92</v>
      </c>
      <c r="AJ13" s="6">
        <v>104</v>
      </c>
      <c r="AK13" s="6">
        <v>67</v>
      </c>
      <c r="AL13" s="6">
        <v>34</v>
      </c>
      <c r="AM13" s="6">
        <v>26</v>
      </c>
      <c r="AN13" s="6">
        <v>20</v>
      </c>
      <c r="AO13" s="6">
        <v>92</v>
      </c>
      <c r="AP13" s="1">
        <v>1</v>
      </c>
      <c r="AQ13" s="1" t="s">
        <v>126</v>
      </c>
    </row>
    <row r="14" spans="1:1020" ht="26.25" customHeight="1" x14ac:dyDescent="0.25">
      <c r="A14" s="46" t="s">
        <v>66</v>
      </c>
      <c r="B14" s="47" t="s">
        <v>98</v>
      </c>
      <c r="C14" s="46" t="s">
        <v>122</v>
      </c>
      <c r="D14" s="46">
        <v>41</v>
      </c>
      <c r="E14" s="46" t="s">
        <v>99</v>
      </c>
      <c r="F14" s="46">
        <v>56</v>
      </c>
      <c r="G14" s="6" t="s">
        <v>39</v>
      </c>
      <c r="H14" s="6" t="s">
        <v>128</v>
      </c>
      <c r="I14" s="6">
        <v>52</v>
      </c>
      <c r="J14" s="6">
        <v>54</v>
      </c>
      <c r="K14" s="6">
        <v>22</v>
      </c>
      <c r="L14" s="6">
        <v>16</v>
      </c>
      <c r="M14" s="6">
        <v>120</v>
      </c>
      <c r="N14" s="6">
        <v>115</v>
      </c>
      <c r="O14" s="6">
        <v>125</v>
      </c>
      <c r="P14" s="6">
        <v>42</v>
      </c>
      <c r="Q14" s="6">
        <v>70</v>
      </c>
      <c r="R14" s="6">
        <v>52</v>
      </c>
      <c r="S14" s="6">
        <v>55</v>
      </c>
      <c r="T14" s="6">
        <v>21</v>
      </c>
      <c r="U14" s="6">
        <v>13</v>
      </c>
      <c r="V14" s="6">
        <v>32</v>
      </c>
      <c r="W14" s="6">
        <v>30</v>
      </c>
      <c r="X14" s="6">
        <v>32</v>
      </c>
      <c r="Y14" s="6">
        <v>70</v>
      </c>
      <c r="Z14" s="6">
        <v>42</v>
      </c>
      <c r="AA14" s="6">
        <v>47</v>
      </c>
      <c r="AB14" s="6">
        <v>24</v>
      </c>
      <c r="AC14" s="6">
        <v>22</v>
      </c>
      <c r="AD14" s="6">
        <v>32</v>
      </c>
      <c r="AE14" s="6">
        <v>31</v>
      </c>
      <c r="AF14" s="6">
        <v>32</v>
      </c>
      <c r="AG14" s="6">
        <v>42</v>
      </c>
      <c r="AH14" s="6">
        <v>70</v>
      </c>
      <c r="AI14" s="6">
        <v>108</v>
      </c>
      <c r="AJ14" s="6">
        <v>116</v>
      </c>
      <c r="AK14" s="6">
        <v>73</v>
      </c>
      <c r="AL14" s="6">
        <v>36</v>
      </c>
      <c r="AM14" s="6">
        <v>32</v>
      </c>
      <c r="AN14" s="6">
        <v>22</v>
      </c>
      <c r="AO14" s="6">
        <v>91</v>
      </c>
      <c r="AP14" s="1">
        <v>1</v>
      </c>
      <c r="AQ14" s="1" t="s">
        <v>126</v>
      </c>
    </row>
    <row r="15" spans="1:1020" ht="26.25" customHeight="1" x14ac:dyDescent="0.25">
      <c r="A15" s="46" t="s">
        <v>67</v>
      </c>
      <c r="B15" s="47" t="s">
        <v>125</v>
      </c>
      <c r="C15" s="46" t="s">
        <v>122</v>
      </c>
      <c r="D15" s="46">
        <v>40</v>
      </c>
      <c r="E15" s="46" t="s">
        <v>84</v>
      </c>
      <c r="F15" s="46">
        <v>56</v>
      </c>
      <c r="G15" s="6" t="s">
        <v>39</v>
      </c>
      <c r="H15" s="6" t="s">
        <v>128</v>
      </c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>
        <v>42</v>
      </c>
      <c r="AB15" s="6">
        <v>24</v>
      </c>
      <c r="AC15" s="6">
        <v>18</v>
      </c>
      <c r="AD15" s="6">
        <v>28</v>
      </c>
      <c r="AE15" s="6">
        <v>26</v>
      </c>
      <c r="AF15" s="6">
        <v>28</v>
      </c>
      <c r="AG15" s="6">
        <v>70</v>
      </c>
      <c r="AH15" s="6">
        <v>40</v>
      </c>
      <c r="AI15" s="6">
        <v>88</v>
      </c>
      <c r="AJ15" s="6">
        <v>105</v>
      </c>
      <c r="AK15" s="6">
        <v>65</v>
      </c>
      <c r="AL15" s="6">
        <v>34</v>
      </c>
      <c r="AM15" s="6">
        <v>26</v>
      </c>
      <c r="AN15" s="6">
        <v>20</v>
      </c>
      <c r="AO15" s="6">
        <v>92</v>
      </c>
    </row>
    <row r="16" spans="1:1020" ht="26.25" customHeight="1" x14ac:dyDescent="0.25">
      <c r="A16" s="46" t="s">
        <v>68</v>
      </c>
      <c r="B16" s="47" t="s">
        <v>101</v>
      </c>
      <c r="C16" s="46" t="s">
        <v>122</v>
      </c>
      <c r="D16" s="46">
        <v>39</v>
      </c>
      <c r="E16" s="46" t="s">
        <v>86</v>
      </c>
      <c r="F16" s="46">
        <v>55</v>
      </c>
      <c r="G16" s="6" t="s">
        <v>39</v>
      </c>
      <c r="H16" s="6" t="s">
        <v>128</v>
      </c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>
        <v>43</v>
      </c>
      <c r="AB16" s="6">
        <v>23</v>
      </c>
      <c r="AC16" s="6">
        <v>18</v>
      </c>
      <c r="AD16" s="6">
        <v>28</v>
      </c>
      <c r="AE16" s="6">
        <v>26</v>
      </c>
      <c r="AF16" s="6">
        <v>28</v>
      </c>
      <c r="AG16" s="6">
        <v>67</v>
      </c>
      <c r="AH16" s="6">
        <v>38</v>
      </c>
      <c r="AI16" s="6">
        <v>87</v>
      </c>
      <c r="AJ16" s="6">
        <v>100</v>
      </c>
      <c r="AK16" s="6">
        <v>70</v>
      </c>
      <c r="AL16" s="6">
        <v>33</v>
      </c>
      <c r="AM16" s="6">
        <v>26</v>
      </c>
      <c r="AN16" s="6">
        <v>20</v>
      </c>
      <c r="AO16" s="6">
        <v>95</v>
      </c>
    </row>
    <row r="17" spans="1:43" ht="26.25" customHeight="1" x14ac:dyDescent="0.25">
      <c r="A17" s="46" t="s">
        <v>69</v>
      </c>
      <c r="B17" s="47" t="s">
        <v>102</v>
      </c>
      <c r="C17" s="46" t="s">
        <v>122</v>
      </c>
      <c r="D17" s="46">
        <v>39</v>
      </c>
      <c r="E17" s="46" t="s">
        <v>88</v>
      </c>
      <c r="F17" s="46">
        <v>57</v>
      </c>
      <c r="G17" s="6" t="s">
        <v>39</v>
      </c>
      <c r="H17" s="6" t="s">
        <v>128</v>
      </c>
      <c r="I17" s="6">
        <v>46</v>
      </c>
      <c r="J17" s="6">
        <v>59</v>
      </c>
      <c r="K17" s="6">
        <v>20</v>
      </c>
      <c r="L17" s="6">
        <v>15</v>
      </c>
      <c r="M17" s="6">
        <v>108</v>
      </c>
      <c r="N17" s="6">
        <v>104</v>
      </c>
      <c r="O17" s="6">
        <v>118</v>
      </c>
      <c r="P17" s="6">
        <v>72</v>
      </c>
      <c r="Q17" s="6">
        <v>40</v>
      </c>
      <c r="R17" s="6">
        <v>45</v>
      </c>
      <c r="S17" s="6">
        <v>60</v>
      </c>
      <c r="T17" s="6">
        <v>17</v>
      </c>
      <c r="U17" s="6">
        <v>12</v>
      </c>
      <c r="V17" s="6">
        <v>27</v>
      </c>
      <c r="W17" s="6">
        <v>25</v>
      </c>
      <c r="X17" s="6">
        <v>27</v>
      </c>
      <c r="Y17" s="6">
        <v>72</v>
      </c>
      <c r="Z17" s="6">
        <v>41</v>
      </c>
      <c r="AA17" s="6">
        <v>43</v>
      </c>
      <c r="AB17" s="6">
        <v>24</v>
      </c>
      <c r="AC17" s="6">
        <v>19</v>
      </c>
      <c r="AD17" s="6">
        <v>29</v>
      </c>
      <c r="AE17" s="6">
        <v>28</v>
      </c>
      <c r="AF17" s="6">
        <v>29</v>
      </c>
      <c r="AG17" s="6">
        <v>71</v>
      </c>
      <c r="AH17" s="6">
        <v>40</v>
      </c>
      <c r="AI17" s="6">
        <v>97</v>
      </c>
      <c r="AJ17" s="6">
        <v>112</v>
      </c>
      <c r="AK17" s="6">
        <v>67</v>
      </c>
      <c r="AL17" s="6">
        <v>35</v>
      </c>
      <c r="AM17" s="6">
        <v>27</v>
      </c>
      <c r="AN17" s="6">
        <v>21</v>
      </c>
      <c r="AO17" s="6">
        <v>96</v>
      </c>
      <c r="AP17" s="1">
        <v>1</v>
      </c>
      <c r="AQ17" s="1" t="s">
        <v>126</v>
      </c>
    </row>
    <row r="18" spans="1:43" ht="26.25" customHeight="1" x14ac:dyDescent="0.25">
      <c r="A18" s="46" t="s">
        <v>70</v>
      </c>
      <c r="B18" s="47" t="s">
        <v>103</v>
      </c>
      <c r="C18" s="46" t="s">
        <v>122</v>
      </c>
      <c r="D18" s="46">
        <v>41</v>
      </c>
      <c r="E18" s="46" t="s">
        <v>84</v>
      </c>
      <c r="F18" s="46">
        <v>55</v>
      </c>
      <c r="G18" s="6" t="s">
        <v>39</v>
      </c>
      <c r="H18" s="6" t="s">
        <v>128</v>
      </c>
      <c r="I18" s="6">
        <v>46</v>
      </c>
      <c r="J18" s="6">
        <v>60</v>
      </c>
      <c r="K18" s="6">
        <v>20</v>
      </c>
      <c r="L18" s="6">
        <v>14</v>
      </c>
      <c r="M18" s="6">
        <v>98</v>
      </c>
      <c r="N18" s="6">
        <v>96</v>
      </c>
      <c r="O18" s="6">
        <v>108</v>
      </c>
      <c r="P18" s="6">
        <v>68</v>
      </c>
      <c r="Q18" s="6">
        <v>38</v>
      </c>
      <c r="R18" s="6">
        <v>46</v>
      </c>
      <c r="S18" s="6">
        <v>61</v>
      </c>
      <c r="T18" s="6">
        <v>18</v>
      </c>
      <c r="U18" s="6">
        <v>13</v>
      </c>
      <c r="V18" s="6">
        <v>28</v>
      </c>
      <c r="W18" s="6">
        <v>26</v>
      </c>
      <c r="X18" s="6">
        <v>28</v>
      </c>
      <c r="Y18" s="6">
        <v>68</v>
      </c>
      <c r="Z18" s="6">
        <v>38</v>
      </c>
      <c r="AA18" s="6">
        <v>44</v>
      </c>
      <c r="AB18" s="6">
        <v>24</v>
      </c>
      <c r="AC18" s="6">
        <v>18</v>
      </c>
      <c r="AD18" s="6">
        <v>28</v>
      </c>
      <c r="AE18" s="6">
        <v>26</v>
      </c>
      <c r="AF18" s="6">
        <v>28</v>
      </c>
      <c r="AG18" s="6">
        <v>68</v>
      </c>
      <c r="AH18" s="6">
        <v>38</v>
      </c>
      <c r="AI18" s="6">
        <v>90</v>
      </c>
      <c r="AJ18" s="6">
        <v>104</v>
      </c>
      <c r="AK18" s="6">
        <v>66</v>
      </c>
      <c r="AL18" s="6">
        <v>31</v>
      </c>
      <c r="AM18" s="6">
        <v>25</v>
      </c>
      <c r="AN18" s="6">
        <v>17</v>
      </c>
      <c r="AO18" s="6">
        <v>92</v>
      </c>
      <c r="AP18" s="1">
        <v>1</v>
      </c>
      <c r="AQ18" s="1" t="s">
        <v>126</v>
      </c>
    </row>
    <row r="19" spans="1:43" ht="26.25" customHeight="1" x14ac:dyDescent="0.25">
      <c r="A19" s="46" t="s">
        <v>71</v>
      </c>
      <c r="B19" s="47" t="s">
        <v>104</v>
      </c>
      <c r="C19" s="46" t="s">
        <v>122</v>
      </c>
      <c r="D19" s="46">
        <v>41</v>
      </c>
      <c r="E19" s="46" t="s">
        <v>86</v>
      </c>
      <c r="F19" s="46">
        <v>57</v>
      </c>
      <c r="G19" s="6" t="s">
        <v>39</v>
      </c>
      <c r="H19" s="6" t="s">
        <v>128</v>
      </c>
      <c r="I19" s="6">
        <v>45</v>
      </c>
      <c r="J19" s="6">
        <v>57</v>
      </c>
      <c r="K19" s="6">
        <v>19</v>
      </c>
      <c r="L19" s="6">
        <v>14</v>
      </c>
      <c r="M19" s="6">
        <v>96</v>
      </c>
      <c r="N19" s="6">
        <v>93</v>
      </c>
      <c r="O19" s="6">
        <v>102</v>
      </c>
      <c r="P19" s="6">
        <v>69</v>
      </c>
      <c r="Q19" s="6">
        <v>39</v>
      </c>
      <c r="R19" s="6">
        <v>45</v>
      </c>
      <c r="S19" s="6">
        <v>58</v>
      </c>
      <c r="T19" s="6">
        <v>17</v>
      </c>
      <c r="U19" s="6">
        <v>13</v>
      </c>
      <c r="V19" s="6">
        <v>28</v>
      </c>
      <c r="W19" s="6">
        <v>26</v>
      </c>
      <c r="X19" s="6">
        <v>28</v>
      </c>
      <c r="Y19" s="6">
        <v>69</v>
      </c>
      <c r="Z19" s="6">
        <v>39</v>
      </c>
      <c r="AA19" s="6">
        <v>43</v>
      </c>
      <c r="AB19" s="6">
        <v>23</v>
      </c>
      <c r="AC19" s="6">
        <v>17</v>
      </c>
      <c r="AD19" s="6">
        <v>27</v>
      </c>
      <c r="AE19" s="6">
        <v>27</v>
      </c>
      <c r="AF19" s="6">
        <v>27</v>
      </c>
      <c r="AG19" s="6">
        <v>67</v>
      </c>
      <c r="AH19" s="6">
        <v>39</v>
      </c>
      <c r="AI19" s="6">
        <v>87</v>
      </c>
      <c r="AJ19" s="6">
        <v>100</v>
      </c>
      <c r="AK19" s="6">
        <v>62</v>
      </c>
      <c r="AL19" s="6">
        <v>30</v>
      </c>
      <c r="AM19" s="6">
        <v>24</v>
      </c>
      <c r="AN19" s="6">
        <v>17</v>
      </c>
      <c r="AO19" s="6">
        <v>92</v>
      </c>
      <c r="AP19" s="1">
        <v>1</v>
      </c>
      <c r="AQ19" s="1" t="s">
        <v>126</v>
      </c>
    </row>
    <row r="20" spans="1:43" ht="26.25" customHeight="1" x14ac:dyDescent="0.25">
      <c r="A20" s="46" t="s">
        <v>72</v>
      </c>
      <c r="B20" s="47" t="s">
        <v>105</v>
      </c>
      <c r="C20" s="46" t="s">
        <v>122</v>
      </c>
      <c r="D20" s="46">
        <v>38</v>
      </c>
      <c r="E20" s="46" t="s">
        <v>106</v>
      </c>
      <c r="F20" s="46">
        <v>56</v>
      </c>
      <c r="G20" s="6" t="s">
        <v>39</v>
      </c>
      <c r="H20" s="6" t="s">
        <v>128</v>
      </c>
      <c r="I20" s="6">
        <v>45</v>
      </c>
      <c r="J20" s="6">
        <v>57</v>
      </c>
      <c r="K20" s="6">
        <v>19</v>
      </c>
      <c r="L20" s="6">
        <v>14</v>
      </c>
      <c r="M20" s="6">
        <v>94</v>
      </c>
      <c r="N20" s="6">
        <v>84</v>
      </c>
      <c r="O20" s="6">
        <v>100</v>
      </c>
      <c r="P20" s="6">
        <v>70</v>
      </c>
      <c r="Q20" s="6">
        <v>38</v>
      </c>
      <c r="R20" s="6">
        <v>45</v>
      </c>
      <c r="S20" s="6">
        <v>58</v>
      </c>
      <c r="T20" s="6">
        <v>16</v>
      </c>
      <c r="U20" s="6">
        <v>12</v>
      </c>
      <c r="V20" s="6">
        <v>27</v>
      </c>
      <c r="W20" s="6">
        <v>24</v>
      </c>
      <c r="X20" s="6">
        <v>27</v>
      </c>
      <c r="Y20" s="6">
        <v>70</v>
      </c>
      <c r="Z20" s="6">
        <v>38</v>
      </c>
      <c r="AA20" s="6">
        <v>42</v>
      </c>
      <c r="AB20" s="6">
        <v>24</v>
      </c>
      <c r="AC20" s="6">
        <v>18</v>
      </c>
      <c r="AD20" s="6">
        <v>27</v>
      </c>
      <c r="AE20" s="6">
        <v>25</v>
      </c>
      <c r="AF20" s="6">
        <v>27</v>
      </c>
      <c r="AG20" s="6">
        <v>68</v>
      </c>
      <c r="AH20" s="6">
        <v>38</v>
      </c>
      <c r="AI20" s="6">
        <v>77</v>
      </c>
      <c r="AJ20" s="6">
        <v>96</v>
      </c>
      <c r="AK20" s="6">
        <v>68</v>
      </c>
      <c r="AL20" s="6">
        <v>29</v>
      </c>
      <c r="AM20" s="6">
        <v>24</v>
      </c>
      <c r="AN20" s="6">
        <v>19</v>
      </c>
      <c r="AO20" s="6">
        <v>92</v>
      </c>
      <c r="AP20" s="1">
        <v>1</v>
      </c>
      <c r="AQ20" s="1" t="s">
        <v>126</v>
      </c>
    </row>
    <row r="21" spans="1:43" ht="26.25" customHeight="1" x14ac:dyDescent="0.25">
      <c r="A21" s="46" t="s">
        <v>73</v>
      </c>
      <c r="B21" s="47" t="s">
        <v>107</v>
      </c>
      <c r="C21" s="46" t="s">
        <v>122</v>
      </c>
      <c r="D21" s="46">
        <v>43</v>
      </c>
      <c r="E21" s="46" t="s">
        <v>99</v>
      </c>
      <c r="F21" s="46">
        <v>58</v>
      </c>
      <c r="G21" s="6" t="s">
        <v>39</v>
      </c>
      <c r="H21" s="6" t="s">
        <v>128</v>
      </c>
      <c r="I21" s="6">
        <v>48</v>
      </c>
      <c r="J21" s="6">
        <v>62</v>
      </c>
      <c r="K21" s="6">
        <v>21</v>
      </c>
      <c r="L21" s="6">
        <v>16</v>
      </c>
      <c r="M21" s="6">
        <v>113</v>
      </c>
      <c r="N21" s="6">
        <v>106</v>
      </c>
      <c r="O21" s="6">
        <v>124</v>
      </c>
      <c r="P21" s="6">
        <v>76</v>
      </c>
      <c r="Q21" s="6">
        <v>43</v>
      </c>
      <c r="R21" s="6">
        <v>46</v>
      </c>
      <c r="S21" s="6">
        <v>63</v>
      </c>
      <c r="T21" s="6">
        <v>20</v>
      </c>
      <c r="U21" s="6">
        <v>13</v>
      </c>
      <c r="V21" s="6">
        <v>29</v>
      </c>
      <c r="W21" s="6">
        <v>27</v>
      </c>
      <c r="X21" s="6">
        <v>29</v>
      </c>
      <c r="Y21" s="6">
        <v>75</v>
      </c>
      <c r="Z21" s="6">
        <v>43</v>
      </c>
      <c r="AA21" s="6">
        <v>46</v>
      </c>
      <c r="AB21" s="6">
        <v>25</v>
      </c>
      <c r="AC21" s="6">
        <v>19</v>
      </c>
      <c r="AD21" s="6">
        <v>30</v>
      </c>
      <c r="AE21" s="6">
        <v>28</v>
      </c>
      <c r="AF21" s="6">
        <v>30</v>
      </c>
      <c r="AG21" s="6">
        <v>75</v>
      </c>
      <c r="AH21" s="6">
        <v>43</v>
      </c>
      <c r="AI21" s="6">
        <v>96</v>
      </c>
      <c r="AJ21" s="6">
        <v>120</v>
      </c>
      <c r="AK21" s="6">
        <v>72</v>
      </c>
      <c r="AL21" s="6">
        <v>36</v>
      </c>
      <c r="AM21" s="6">
        <v>28</v>
      </c>
      <c r="AN21" s="6">
        <v>24</v>
      </c>
      <c r="AO21" s="6">
        <v>104</v>
      </c>
      <c r="AP21" s="1">
        <v>1</v>
      </c>
      <c r="AQ21" s="1" t="s">
        <v>126</v>
      </c>
    </row>
    <row r="22" spans="1:43" ht="26.25" customHeight="1" x14ac:dyDescent="0.25">
      <c r="A22" s="46" t="s">
        <v>74</v>
      </c>
      <c r="B22" s="47" t="s">
        <v>108</v>
      </c>
      <c r="C22" s="46" t="s">
        <v>122</v>
      </c>
      <c r="D22" s="46">
        <v>41</v>
      </c>
      <c r="E22" s="46" t="s">
        <v>86</v>
      </c>
      <c r="F22" s="46">
        <v>56</v>
      </c>
      <c r="G22" s="6" t="s">
        <v>39</v>
      </c>
      <c r="H22" s="6" t="s">
        <v>128</v>
      </c>
      <c r="I22" s="6">
        <v>46</v>
      </c>
      <c r="J22" s="6">
        <v>57</v>
      </c>
      <c r="K22" s="6">
        <v>19</v>
      </c>
      <c r="L22" s="6">
        <v>14</v>
      </c>
      <c r="M22" s="6">
        <v>104</v>
      </c>
      <c r="N22" s="6">
        <v>99</v>
      </c>
      <c r="O22" s="6">
        <v>107</v>
      </c>
      <c r="P22" s="6">
        <v>69</v>
      </c>
      <c r="Q22" s="6">
        <v>41</v>
      </c>
      <c r="R22" s="6">
        <v>46</v>
      </c>
      <c r="S22" s="6">
        <v>58</v>
      </c>
      <c r="T22" s="6">
        <v>18</v>
      </c>
      <c r="U22" s="6">
        <v>13</v>
      </c>
      <c r="V22" s="6">
        <v>28</v>
      </c>
      <c r="W22" s="6">
        <v>26</v>
      </c>
      <c r="X22" s="6">
        <v>28</v>
      </c>
      <c r="Y22" s="6">
        <v>69</v>
      </c>
      <c r="Z22" s="6">
        <v>41</v>
      </c>
      <c r="AA22" s="6">
        <v>42</v>
      </c>
      <c r="AB22" s="6">
        <v>23</v>
      </c>
      <c r="AC22" s="6">
        <v>17</v>
      </c>
      <c r="AD22" s="6">
        <v>27</v>
      </c>
      <c r="AE22" s="6">
        <v>26</v>
      </c>
      <c r="AF22" s="6">
        <v>27</v>
      </c>
      <c r="AG22" s="6">
        <v>68</v>
      </c>
      <c r="AH22" s="6">
        <v>41</v>
      </c>
      <c r="AI22" s="6">
        <v>89</v>
      </c>
      <c r="AJ22" s="6">
        <v>102</v>
      </c>
      <c r="AK22" s="6">
        <v>64</v>
      </c>
      <c r="AL22" s="6">
        <v>33</v>
      </c>
      <c r="AM22" s="6">
        <v>26</v>
      </c>
      <c r="AN22" s="6">
        <v>19</v>
      </c>
      <c r="AO22" s="6">
        <v>93</v>
      </c>
      <c r="AP22" s="1">
        <v>1</v>
      </c>
      <c r="AQ22" s="1" t="s">
        <v>126</v>
      </c>
    </row>
    <row r="23" spans="1:43" s="9" customFormat="1" ht="26.25" customHeight="1" x14ac:dyDescent="0.25">
      <c r="A23" s="46" t="s">
        <v>75</v>
      </c>
      <c r="B23" s="47" t="s">
        <v>109</v>
      </c>
      <c r="C23" s="46" t="s">
        <v>122</v>
      </c>
      <c r="D23" s="46">
        <v>40</v>
      </c>
      <c r="E23" s="46" t="s">
        <v>86</v>
      </c>
      <c r="F23" s="46">
        <v>53</v>
      </c>
      <c r="G23" s="6" t="s">
        <v>39</v>
      </c>
      <c r="H23" s="6" t="s">
        <v>128</v>
      </c>
      <c r="I23" s="6">
        <v>44</v>
      </c>
      <c r="J23" s="6">
        <v>57</v>
      </c>
      <c r="K23" s="6">
        <v>18</v>
      </c>
      <c r="L23" s="6">
        <v>14</v>
      </c>
      <c r="M23" s="6">
        <v>94</v>
      </c>
      <c r="N23" s="6">
        <v>84</v>
      </c>
      <c r="O23" s="6">
        <v>102</v>
      </c>
      <c r="P23" s="6">
        <v>70</v>
      </c>
      <c r="Q23" s="6">
        <v>37</v>
      </c>
      <c r="R23" s="6">
        <v>44</v>
      </c>
      <c r="S23" s="6">
        <v>58</v>
      </c>
      <c r="T23" s="6">
        <v>16</v>
      </c>
      <c r="U23" s="6">
        <v>12</v>
      </c>
      <c r="V23" s="6">
        <v>26</v>
      </c>
      <c r="W23" s="6">
        <v>24</v>
      </c>
      <c r="X23" s="6">
        <v>26</v>
      </c>
      <c r="Y23" s="6">
        <v>70</v>
      </c>
      <c r="Z23" s="6">
        <v>37</v>
      </c>
      <c r="AA23" s="6">
        <v>40</v>
      </c>
      <c r="AB23" s="6">
        <v>23</v>
      </c>
      <c r="AC23" s="6">
        <v>16</v>
      </c>
      <c r="AD23" s="6">
        <v>27</v>
      </c>
      <c r="AE23" s="6">
        <v>24</v>
      </c>
      <c r="AF23" s="6">
        <v>27</v>
      </c>
      <c r="AG23" s="6">
        <v>68</v>
      </c>
      <c r="AH23" s="6">
        <v>41</v>
      </c>
      <c r="AI23" s="6">
        <v>74</v>
      </c>
      <c r="AJ23" s="6">
        <v>98</v>
      </c>
      <c r="AK23" s="6">
        <v>65</v>
      </c>
      <c r="AL23" s="6">
        <v>32</v>
      </c>
      <c r="AM23" s="6">
        <v>26</v>
      </c>
      <c r="AN23" s="6">
        <v>19</v>
      </c>
      <c r="AO23" s="6">
        <v>93</v>
      </c>
      <c r="AP23" s="1">
        <v>1</v>
      </c>
      <c r="AQ23" s="1" t="s">
        <v>126</v>
      </c>
    </row>
    <row r="24" spans="1:43" ht="26.25" customHeight="1" x14ac:dyDescent="0.25">
      <c r="A24" s="46" t="s">
        <v>76</v>
      </c>
      <c r="B24" s="47" t="s">
        <v>110</v>
      </c>
      <c r="C24" s="46" t="s">
        <v>122</v>
      </c>
      <c r="D24" s="46">
        <v>41</v>
      </c>
      <c r="E24" s="46" t="s">
        <v>86</v>
      </c>
      <c r="F24" s="46">
        <v>54</v>
      </c>
      <c r="G24" s="6" t="s">
        <v>39</v>
      </c>
      <c r="H24" s="6" t="s">
        <v>128</v>
      </c>
      <c r="I24" s="6">
        <v>44</v>
      </c>
      <c r="J24" s="6">
        <v>56</v>
      </c>
      <c r="K24" s="16">
        <v>18</v>
      </c>
      <c r="L24" s="6">
        <v>14</v>
      </c>
      <c r="M24" s="6">
        <v>92</v>
      </c>
      <c r="N24" s="6">
        <v>85</v>
      </c>
      <c r="O24" s="6">
        <v>99</v>
      </c>
      <c r="P24" s="6">
        <v>36</v>
      </c>
      <c r="Q24" s="6">
        <v>70</v>
      </c>
      <c r="R24" s="6">
        <v>44</v>
      </c>
      <c r="S24" s="6">
        <v>57</v>
      </c>
      <c r="T24" s="6">
        <v>16</v>
      </c>
      <c r="U24" s="6">
        <v>12</v>
      </c>
      <c r="V24" s="6">
        <v>27</v>
      </c>
      <c r="W24" s="6">
        <v>24</v>
      </c>
      <c r="X24" s="6">
        <v>27</v>
      </c>
      <c r="Y24" s="6">
        <v>70</v>
      </c>
      <c r="Z24" s="6">
        <v>36</v>
      </c>
      <c r="AA24" s="6">
        <v>45</v>
      </c>
      <c r="AB24" s="6">
        <v>24</v>
      </c>
      <c r="AC24" s="16">
        <v>17</v>
      </c>
      <c r="AD24" s="6">
        <v>26</v>
      </c>
      <c r="AE24" s="6">
        <v>24</v>
      </c>
      <c r="AF24" s="6">
        <v>26</v>
      </c>
      <c r="AG24" s="6">
        <v>36</v>
      </c>
      <c r="AH24" s="6">
        <v>70</v>
      </c>
      <c r="AI24" s="6">
        <v>80</v>
      </c>
      <c r="AJ24" s="6">
        <v>97</v>
      </c>
      <c r="AK24" s="6">
        <v>66</v>
      </c>
      <c r="AL24" s="6">
        <v>31</v>
      </c>
      <c r="AM24" s="6">
        <v>24</v>
      </c>
      <c r="AN24" s="6">
        <v>29</v>
      </c>
      <c r="AO24" s="6">
        <v>95</v>
      </c>
      <c r="AP24" s="1">
        <v>1</v>
      </c>
      <c r="AQ24" s="1" t="s">
        <v>126</v>
      </c>
    </row>
    <row r="25" spans="1:43" ht="26.25" customHeight="1" x14ac:dyDescent="0.25">
      <c r="A25" s="46" t="s">
        <v>77</v>
      </c>
      <c r="B25" s="47" t="s">
        <v>111</v>
      </c>
      <c r="C25" s="46" t="s">
        <v>122</v>
      </c>
      <c r="D25" s="46">
        <v>39</v>
      </c>
      <c r="E25" s="46" t="s">
        <v>86</v>
      </c>
      <c r="F25" s="46">
        <v>55</v>
      </c>
      <c r="G25" s="6" t="s">
        <v>39</v>
      </c>
      <c r="H25" s="6" t="s">
        <v>128</v>
      </c>
      <c r="I25" s="6">
        <v>45</v>
      </c>
      <c r="J25" s="6">
        <v>57</v>
      </c>
      <c r="K25" s="6">
        <v>19</v>
      </c>
      <c r="L25" s="6">
        <v>14</v>
      </c>
      <c r="M25" s="6">
        <v>97</v>
      </c>
      <c r="N25" s="6">
        <v>91</v>
      </c>
      <c r="O25" s="6">
        <v>104</v>
      </c>
      <c r="P25" s="6">
        <v>71</v>
      </c>
      <c r="Q25" s="6">
        <v>41</v>
      </c>
      <c r="R25" s="6">
        <v>45</v>
      </c>
      <c r="S25" s="6">
        <v>57</v>
      </c>
      <c r="T25" s="6">
        <v>17</v>
      </c>
      <c r="U25" s="6">
        <v>12</v>
      </c>
      <c r="V25" s="6">
        <v>27</v>
      </c>
      <c r="W25" s="6">
        <v>24</v>
      </c>
      <c r="X25" s="6">
        <v>27</v>
      </c>
      <c r="Y25" s="6">
        <v>70</v>
      </c>
      <c r="Z25" s="6">
        <v>41</v>
      </c>
      <c r="AA25" s="6">
        <v>40</v>
      </c>
      <c r="AB25" s="6">
        <v>23</v>
      </c>
      <c r="AC25" s="6">
        <v>17</v>
      </c>
      <c r="AD25" s="6">
        <v>27</v>
      </c>
      <c r="AE25" s="6">
        <v>24</v>
      </c>
      <c r="AF25" s="6">
        <v>27</v>
      </c>
      <c r="AG25" s="6">
        <v>70</v>
      </c>
      <c r="AH25" s="6">
        <v>41</v>
      </c>
      <c r="AI25" s="6">
        <v>82</v>
      </c>
      <c r="AJ25" s="6">
        <v>102</v>
      </c>
      <c r="AK25" s="6">
        <v>64</v>
      </c>
      <c r="AL25" s="6">
        <v>32</v>
      </c>
      <c r="AM25" s="6">
        <v>24</v>
      </c>
      <c r="AN25" s="6">
        <v>19</v>
      </c>
      <c r="AO25" s="6">
        <v>94</v>
      </c>
      <c r="AP25" s="1">
        <v>1</v>
      </c>
      <c r="AQ25" s="1" t="s">
        <v>126</v>
      </c>
    </row>
    <row r="26" spans="1:43" ht="26.25" customHeight="1" x14ac:dyDescent="0.25">
      <c r="A26" s="46" t="s">
        <v>78</v>
      </c>
      <c r="B26" s="47" t="s">
        <v>112</v>
      </c>
      <c r="C26" s="46" t="s">
        <v>122</v>
      </c>
      <c r="D26" s="46">
        <v>40</v>
      </c>
      <c r="E26" s="46" t="s">
        <v>84</v>
      </c>
      <c r="F26" s="46">
        <v>54</v>
      </c>
      <c r="G26" s="6" t="s">
        <v>39</v>
      </c>
      <c r="H26" s="6" t="s">
        <v>128</v>
      </c>
      <c r="I26" s="6">
        <v>44</v>
      </c>
      <c r="J26" s="6">
        <v>62</v>
      </c>
      <c r="K26" s="6">
        <v>19</v>
      </c>
      <c r="L26" s="6">
        <v>14</v>
      </c>
      <c r="M26" s="6">
        <v>99</v>
      </c>
      <c r="N26" s="6">
        <v>89</v>
      </c>
      <c r="O26" s="6">
        <v>102</v>
      </c>
      <c r="P26" s="6">
        <v>73</v>
      </c>
      <c r="Q26" s="6">
        <v>39</v>
      </c>
      <c r="R26" s="6">
        <v>44</v>
      </c>
      <c r="S26" s="6">
        <v>63</v>
      </c>
      <c r="T26" s="6">
        <v>16</v>
      </c>
      <c r="U26" s="6">
        <v>12</v>
      </c>
      <c r="V26" s="6">
        <v>27</v>
      </c>
      <c r="W26" s="6">
        <v>25</v>
      </c>
      <c r="X26" s="6">
        <v>27</v>
      </c>
      <c r="Y26" s="6">
        <v>72</v>
      </c>
      <c r="Z26" s="6">
        <v>39</v>
      </c>
      <c r="AA26" s="6">
        <v>42</v>
      </c>
      <c r="AB26" s="6">
        <v>25</v>
      </c>
      <c r="AC26" s="6">
        <v>17</v>
      </c>
      <c r="AD26" s="6">
        <v>27</v>
      </c>
      <c r="AE26" s="6">
        <v>25</v>
      </c>
      <c r="AF26" s="6">
        <v>27</v>
      </c>
      <c r="AG26" s="6">
        <v>72</v>
      </c>
      <c r="AH26" s="6">
        <v>39</v>
      </c>
      <c r="AI26" s="6">
        <v>79</v>
      </c>
      <c r="AJ26" s="6">
        <v>95</v>
      </c>
      <c r="AK26" s="6">
        <v>64</v>
      </c>
      <c r="AL26" s="6">
        <v>32</v>
      </c>
      <c r="AM26" s="6">
        <v>24</v>
      </c>
      <c r="AN26" s="6">
        <v>19</v>
      </c>
      <c r="AO26" s="6">
        <v>99</v>
      </c>
      <c r="AP26" s="1">
        <v>1</v>
      </c>
      <c r="AQ26" s="1" t="s">
        <v>126</v>
      </c>
    </row>
    <row r="27" spans="1:43" ht="26.25" customHeight="1" x14ac:dyDescent="0.25">
      <c r="A27" s="46" t="s">
        <v>79</v>
      </c>
      <c r="B27" s="47" t="s">
        <v>113</v>
      </c>
      <c r="C27" s="46" t="s">
        <v>122</v>
      </c>
      <c r="D27" s="46">
        <v>41</v>
      </c>
      <c r="E27" s="46" t="s">
        <v>84</v>
      </c>
      <c r="F27" s="46">
        <v>54</v>
      </c>
      <c r="G27" s="6" t="s">
        <v>39</v>
      </c>
      <c r="H27" s="6" t="s">
        <v>128</v>
      </c>
      <c r="I27" s="6">
        <v>46</v>
      </c>
      <c r="J27" s="6">
        <v>56</v>
      </c>
      <c r="K27" s="6">
        <v>20</v>
      </c>
      <c r="L27" s="6">
        <v>15</v>
      </c>
      <c r="M27" s="6">
        <v>105</v>
      </c>
      <c r="N27" s="6">
        <v>97</v>
      </c>
      <c r="O27" s="6">
        <v>108</v>
      </c>
      <c r="P27" s="6">
        <v>70</v>
      </c>
      <c r="Q27" s="6">
        <v>40</v>
      </c>
      <c r="R27" s="6">
        <v>46</v>
      </c>
      <c r="S27" s="6">
        <v>57</v>
      </c>
      <c r="T27" s="6">
        <v>18</v>
      </c>
      <c r="U27" s="6">
        <v>12</v>
      </c>
      <c r="V27" s="6">
        <v>28</v>
      </c>
      <c r="W27" s="6">
        <v>26</v>
      </c>
      <c r="X27" s="6">
        <v>28</v>
      </c>
      <c r="Y27" s="6">
        <v>70</v>
      </c>
      <c r="Z27" s="6">
        <v>40</v>
      </c>
      <c r="AA27" s="6">
        <v>40</v>
      </c>
      <c r="AB27" s="6">
        <v>24</v>
      </c>
      <c r="AC27" s="6">
        <v>17</v>
      </c>
      <c r="AD27" s="6">
        <v>28</v>
      </c>
      <c r="AE27" s="6">
        <v>26</v>
      </c>
      <c r="AF27" s="6">
        <v>28</v>
      </c>
      <c r="AG27" s="6">
        <v>68</v>
      </c>
      <c r="AH27" s="6">
        <v>40</v>
      </c>
      <c r="AI27" s="6">
        <v>87</v>
      </c>
      <c r="AJ27" s="6">
        <v>103</v>
      </c>
      <c r="AK27" s="6">
        <v>61</v>
      </c>
      <c r="AL27" s="6">
        <v>33</v>
      </c>
      <c r="AM27" s="6">
        <v>25</v>
      </c>
      <c r="AN27" s="6">
        <v>20</v>
      </c>
      <c r="AO27" s="6">
        <v>90</v>
      </c>
      <c r="AP27" s="1">
        <v>1</v>
      </c>
      <c r="AQ27" s="1" t="s">
        <v>126</v>
      </c>
    </row>
    <row r="28" spans="1:43" ht="26.25" customHeight="1" x14ac:dyDescent="0.25">
      <c r="A28" s="46" t="s">
        <v>80</v>
      </c>
      <c r="B28" s="47" t="s">
        <v>114</v>
      </c>
      <c r="C28" s="46" t="s">
        <v>122</v>
      </c>
      <c r="D28" s="46">
        <v>42</v>
      </c>
      <c r="E28" s="46" t="s">
        <v>88</v>
      </c>
      <c r="F28" s="46">
        <v>56</v>
      </c>
      <c r="G28" s="6" t="s">
        <v>39</v>
      </c>
      <c r="H28" s="6" t="s">
        <v>128</v>
      </c>
      <c r="I28" s="6">
        <v>47</v>
      </c>
      <c r="J28" s="6">
        <v>58</v>
      </c>
      <c r="K28" s="6">
        <v>20</v>
      </c>
      <c r="L28" s="6">
        <v>15</v>
      </c>
      <c r="M28" s="6">
        <v>109</v>
      </c>
      <c r="N28" s="6">
        <v>107</v>
      </c>
      <c r="O28" s="6">
        <v>115</v>
      </c>
      <c r="P28" s="6">
        <v>74</v>
      </c>
      <c r="Q28" s="6">
        <v>42</v>
      </c>
      <c r="R28" s="6">
        <v>47</v>
      </c>
      <c r="S28" s="6">
        <v>59</v>
      </c>
      <c r="T28" s="6">
        <v>19</v>
      </c>
      <c r="U28" s="6">
        <v>13</v>
      </c>
      <c r="V28" s="6">
        <v>29</v>
      </c>
      <c r="W28" s="6">
        <v>28</v>
      </c>
      <c r="X28" s="6">
        <v>29</v>
      </c>
      <c r="Y28" s="6">
        <v>73</v>
      </c>
      <c r="Z28" s="6">
        <v>42</v>
      </c>
      <c r="AA28" s="6">
        <v>43</v>
      </c>
      <c r="AB28" s="6">
        <v>25</v>
      </c>
      <c r="AC28" s="6">
        <v>19</v>
      </c>
      <c r="AD28" s="6">
        <v>30</v>
      </c>
      <c r="AE28" s="6">
        <v>28</v>
      </c>
      <c r="AF28" s="6">
        <v>30</v>
      </c>
      <c r="AG28" s="6">
        <v>72</v>
      </c>
      <c r="AH28" s="6">
        <v>42</v>
      </c>
      <c r="AI28" s="6">
        <v>95</v>
      </c>
      <c r="AJ28" s="6">
        <v>110</v>
      </c>
      <c r="AK28" s="6">
        <v>67</v>
      </c>
      <c r="AL28" s="6">
        <v>34</v>
      </c>
      <c r="AM28" s="6">
        <v>26</v>
      </c>
      <c r="AN28" s="6">
        <v>21</v>
      </c>
      <c r="AO28" s="6">
        <v>98</v>
      </c>
      <c r="AP28" s="1">
        <v>1</v>
      </c>
      <c r="AQ28" s="1" t="s">
        <v>126</v>
      </c>
    </row>
    <row r="29" spans="1:43" ht="26.25" customHeight="1" x14ac:dyDescent="0.25">
      <c r="A29" s="46" t="s">
        <v>81</v>
      </c>
      <c r="B29" s="47" t="s">
        <v>115</v>
      </c>
      <c r="C29" s="46" t="s">
        <v>122</v>
      </c>
      <c r="D29" s="46">
        <v>43</v>
      </c>
      <c r="E29" s="46" t="s">
        <v>88</v>
      </c>
      <c r="F29" s="46">
        <v>57</v>
      </c>
      <c r="G29" s="6" t="s">
        <v>39</v>
      </c>
      <c r="H29" s="6" t="s">
        <v>128</v>
      </c>
      <c r="I29" s="6">
        <v>48</v>
      </c>
      <c r="J29" s="6">
        <v>60</v>
      </c>
      <c r="K29" s="6">
        <v>19</v>
      </c>
      <c r="L29" s="6">
        <v>16</v>
      </c>
      <c r="M29" s="6">
        <v>120</v>
      </c>
      <c r="N29" s="6">
        <v>118</v>
      </c>
      <c r="O29" s="6">
        <v>125</v>
      </c>
      <c r="P29" s="6">
        <v>75</v>
      </c>
      <c r="Q29" s="6">
        <v>45</v>
      </c>
      <c r="R29" s="6">
        <v>45</v>
      </c>
      <c r="S29" s="6">
        <v>61</v>
      </c>
      <c r="T29" s="6">
        <v>19</v>
      </c>
      <c r="U29" s="6">
        <v>13</v>
      </c>
      <c r="V29" s="6">
        <v>32</v>
      </c>
      <c r="W29" s="6">
        <v>32</v>
      </c>
      <c r="X29" s="6">
        <v>32</v>
      </c>
      <c r="Y29" s="6">
        <v>73</v>
      </c>
      <c r="Z29" s="6">
        <v>45</v>
      </c>
      <c r="AA29" s="6">
        <v>45</v>
      </c>
      <c r="AB29" s="6">
        <v>28</v>
      </c>
      <c r="AC29" s="6">
        <v>19</v>
      </c>
      <c r="AD29" s="6">
        <v>32</v>
      </c>
      <c r="AE29" s="6">
        <v>32</v>
      </c>
      <c r="AF29" s="6">
        <v>32</v>
      </c>
      <c r="AG29" s="6">
        <v>73</v>
      </c>
      <c r="AH29" s="6">
        <v>45</v>
      </c>
      <c r="AI29" s="6">
        <v>111</v>
      </c>
      <c r="AJ29" s="6">
        <v>125</v>
      </c>
      <c r="AK29" s="6">
        <v>68</v>
      </c>
      <c r="AL29" s="6">
        <v>40</v>
      </c>
      <c r="AM29" s="6">
        <v>28</v>
      </c>
      <c r="AN29" s="6">
        <v>22</v>
      </c>
      <c r="AO29" s="6">
        <v>98</v>
      </c>
      <c r="AP29" s="1">
        <v>1</v>
      </c>
      <c r="AQ29" s="1" t="s">
        <v>126</v>
      </c>
    </row>
    <row r="30" spans="1:43" ht="26.25" customHeight="1" x14ac:dyDescent="0.25">
      <c r="A30" s="46" t="s">
        <v>82</v>
      </c>
      <c r="B30" s="47" t="s">
        <v>116</v>
      </c>
      <c r="C30" s="46" t="s">
        <v>122</v>
      </c>
      <c r="D30" s="46">
        <v>39</v>
      </c>
      <c r="E30" s="46"/>
      <c r="F30" s="46">
        <v>56</v>
      </c>
      <c r="G30" s="6" t="s">
        <v>39</v>
      </c>
      <c r="H30" s="6" t="s">
        <v>128</v>
      </c>
      <c r="I30" s="6">
        <v>42</v>
      </c>
      <c r="J30" s="6">
        <v>57</v>
      </c>
      <c r="K30" s="6">
        <v>17</v>
      </c>
      <c r="L30" s="6">
        <v>14</v>
      </c>
      <c r="M30" s="6">
        <v>90</v>
      </c>
      <c r="N30" s="6">
        <v>80</v>
      </c>
      <c r="O30" s="6">
        <v>100</v>
      </c>
      <c r="P30" s="6">
        <v>68</v>
      </c>
      <c r="Q30" s="6">
        <v>37</v>
      </c>
      <c r="R30" s="6">
        <v>40</v>
      </c>
      <c r="S30" s="6">
        <v>60</v>
      </c>
      <c r="T30" s="6">
        <v>17</v>
      </c>
      <c r="U30" s="6">
        <v>13</v>
      </c>
      <c r="V30" s="6">
        <v>27</v>
      </c>
      <c r="W30" s="6">
        <v>25</v>
      </c>
      <c r="X30" s="6">
        <v>27</v>
      </c>
      <c r="Y30" s="6">
        <v>65</v>
      </c>
      <c r="Z30" s="6">
        <v>37</v>
      </c>
      <c r="AA30" s="6">
        <v>40</v>
      </c>
      <c r="AB30" s="6">
        <v>24</v>
      </c>
      <c r="AC30" s="6">
        <v>17</v>
      </c>
      <c r="AD30" s="6">
        <v>27</v>
      </c>
      <c r="AE30" s="6">
        <v>25</v>
      </c>
      <c r="AF30" s="6">
        <v>27</v>
      </c>
      <c r="AG30" s="6">
        <v>65</v>
      </c>
      <c r="AH30" s="6">
        <v>37</v>
      </c>
      <c r="AI30" s="6">
        <v>73</v>
      </c>
      <c r="AJ30" s="6">
        <v>95</v>
      </c>
      <c r="AK30" s="6">
        <v>60</v>
      </c>
      <c r="AL30" s="6">
        <v>28</v>
      </c>
      <c r="AM30" s="6">
        <v>23</v>
      </c>
      <c r="AN30" s="6">
        <v>18</v>
      </c>
      <c r="AO30" s="6">
        <v>96</v>
      </c>
      <c r="AP30" s="1">
        <v>1</v>
      </c>
      <c r="AQ30" s="1" t="s">
        <v>126</v>
      </c>
    </row>
    <row r="31" spans="1:43" ht="26.25" customHeight="1" x14ac:dyDescent="0.25">
      <c r="A31" s="6"/>
      <c r="B31" s="8"/>
      <c r="C31" s="1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</row>
    <row r="32" spans="1:43" ht="26.25" customHeight="1" x14ac:dyDescent="0.25">
      <c r="A32" s="6"/>
      <c r="B32" s="8"/>
      <c r="C32" s="1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</row>
    <row r="33" spans="1:33" ht="26.25" customHeight="1" x14ac:dyDescent="0.25">
      <c r="A33" s="6"/>
      <c r="B33" s="7"/>
      <c r="C33" s="1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</row>
    <row r="34" spans="1:33" ht="26.25" customHeight="1" x14ac:dyDescent="0.25">
      <c r="A34" s="6"/>
      <c r="B34" s="8"/>
      <c r="C34" s="1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</row>
    <row r="35" spans="1:33" ht="26.25" customHeight="1" x14ac:dyDescent="0.25">
      <c r="A35" s="6"/>
      <c r="B35" s="8"/>
      <c r="C35" s="1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</row>
    <row r="36" spans="1:33" ht="26.25" customHeight="1" x14ac:dyDescent="0.25">
      <c r="A36" s="6"/>
      <c r="B36" s="8"/>
      <c r="C36" s="1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</row>
    <row r="37" spans="1:33" ht="26.25" customHeight="1" x14ac:dyDescent="0.25">
      <c r="A37" s="6"/>
      <c r="B37" s="8"/>
      <c r="C37" s="1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</row>
    <row r="38" spans="1:33" ht="26.25" customHeight="1" x14ac:dyDescent="0.25">
      <c r="A38" s="6"/>
      <c r="B38" s="8"/>
      <c r="C38" s="1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</row>
    <row r="39" spans="1:33" ht="26.25" customHeight="1" x14ac:dyDescent="0.25">
      <c r="A39" s="6"/>
      <c r="B39" s="11"/>
      <c r="C39" s="1"/>
      <c r="D39" s="12"/>
      <c r="E39" s="12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12"/>
      <c r="AA39" s="12"/>
      <c r="AB39" s="12"/>
      <c r="AC39" s="12"/>
      <c r="AD39" s="12"/>
      <c r="AE39" s="12"/>
      <c r="AF39" s="12"/>
      <c r="AG39" s="12"/>
    </row>
    <row r="40" spans="1:33" ht="26.25" customHeight="1" x14ac:dyDescent="0.25">
      <c r="A40" s="6"/>
      <c r="B40" s="11"/>
      <c r="C40" s="1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1"/>
    </row>
    <row r="41" spans="1:33" ht="26.25" customHeight="1" x14ac:dyDescent="0.25">
      <c r="A41" s="6"/>
      <c r="B41" s="11"/>
      <c r="C41" s="1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1"/>
    </row>
    <row r="42" spans="1:33" ht="26.25" customHeight="1" x14ac:dyDescent="0.25">
      <c r="A42" s="6"/>
      <c r="B42" s="11"/>
      <c r="C42" s="1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1"/>
    </row>
    <row r="43" spans="1:33" ht="26.25" customHeight="1" x14ac:dyDescent="0.25">
      <c r="A43" s="6"/>
      <c r="B43" s="11"/>
      <c r="C43" s="1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1"/>
    </row>
    <row r="44" spans="1:33" ht="26.25" customHeight="1" x14ac:dyDescent="0.25">
      <c r="A44" s="6"/>
      <c r="B44" s="11"/>
      <c r="C44" s="1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</row>
    <row r="45" spans="1:33" ht="26.25" customHeight="1" x14ac:dyDescent="0.25">
      <c r="A45" s="6"/>
      <c r="B45" s="11"/>
      <c r="C45" s="1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</row>
    <row r="46" spans="1:33" ht="26.25" customHeight="1" x14ac:dyDescent="0.25">
      <c r="A46" s="6"/>
      <c r="B46" s="11"/>
      <c r="C46" s="1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</row>
    <row r="47" spans="1:33" ht="26.25" customHeight="1" x14ac:dyDescent="0.25">
      <c r="A47" s="6"/>
      <c r="B47" s="11"/>
      <c r="C47" s="1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</row>
    <row r="48" spans="1:33" ht="26.25" customHeight="1" x14ac:dyDescent="0.25">
      <c r="A48" s="6"/>
      <c r="B48" s="11"/>
      <c r="C48" s="1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 ht="26.25" customHeight="1" x14ac:dyDescent="0.25">
      <c r="A49" s="6"/>
      <c r="B49" s="11"/>
      <c r="C49" s="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</row>
    <row r="50" spans="1:33" ht="26.25" customHeight="1" x14ac:dyDescent="0.25">
      <c r="A50" s="6"/>
      <c r="B50" s="11"/>
      <c r="C50" s="1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</row>
    <row r="51" spans="1:33" ht="26.25" customHeight="1" x14ac:dyDescent="0.25">
      <c r="A51" s="6"/>
      <c r="B51" s="11"/>
      <c r="C51" s="1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</row>
    <row r="52" spans="1:33" ht="26.25" customHeight="1" x14ac:dyDescent="0.25">
      <c r="A52" s="6"/>
      <c r="B52" s="11"/>
      <c r="C52" s="1"/>
      <c r="D52" s="12"/>
      <c r="E52" s="12"/>
      <c r="F52" s="11"/>
      <c r="G52" s="11"/>
      <c r="H52" s="11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</row>
    <row r="53" spans="1:33" ht="26.25" customHeight="1" x14ac:dyDescent="0.25">
      <c r="A53" s="6"/>
      <c r="B53" s="11"/>
      <c r="C53" s="1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</row>
    <row r="54" spans="1:33" ht="26.25" customHeight="1" x14ac:dyDescent="0.25">
      <c r="A54" s="6"/>
      <c r="B54" s="11"/>
      <c r="C54" s="1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</row>
    <row r="55" spans="1:33" ht="26.25" customHeight="1" x14ac:dyDescent="0.25">
      <c r="A55" s="6"/>
      <c r="B55" s="11"/>
      <c r="C55" s="1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 ht="26.25" customHeight="1" x14ac:dyDescent="0.25">
      <c r="A56" s="6"/>
      <c r="B56" s="11"/>
      <c r="C56" s="1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</row>
    <row r="57" spans="1:33" ht="26.25" customHeight="1" x14ac:dyDescent="0.25">
      <c r="A57" s="6"/>
      <c r="B57" s="11"/>
      <c r="C57" s="1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</row>
    <row r="58" spans="1:33" ht="26.25" customHeight="1" x14ac:dyDescent="0.25">
      <c r="A58" s="6"/>
      <c r="B58" s="11"/>
      <c r="C58" s="1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</row>
    <row r="59" spans="1:33" ht="26.25" customHeight="1" x14ac:dyDescent="0.25">
      <c r="A59" s="6"/>
      <c r="B59" s="11"/>
      <c r="C59" s="1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</row>
    <row r="60" spans="1:33" ht="26.25" customHeight="1" x14ac:dyDescent="0.25">
      <c r="A60" s="6"/>
      <c r="B60" s="11"/>
      <c r="C60" s="1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</row>
    <row r="61" spans="1:33" ht="26.25" customHeight="1" x14ac:dyDescent="0.25">
      <c r="A61" s="6"/>
      <c r="B61" s="11"/>
      <c r="C61" s="1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</row>
    <row r="62" spans="1:33" ht="26.25" customHeight="1" x14ac:dyDescent="0.25">
      <c r="A62" s="6"/>
      <c r="B62" s="11"/>
      <c r="C62" s="1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</row>
    <row r="63" spans="1:33" ht="26.25" customHeight="1" x14ac:dyDescent="0.25">
      <c r="A63" s="6"/>
      <c r="B63" s="11"/>
      <c r="C63" s="1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</row>
    <row r="64" spans="1:33" ht="26.25" customHeight="1" x14ac:dyDescent="0.25">
      <c r="A64" s="6"/>
      <c r="B64" s="11"/>
      <c r="C64" s="1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</row>
    <row r="65" spans="1:33" ht="26.25" customHeight="1" x14ac:dyDescent="0.25">
      <c r="A65" s="6"/>
      <c r="B65" s="11"/>
      <c r="C65" s="1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</row>
    <row r="66" spans="1:33" ht="26.25" customHeight="1" x14ac:dyDescent="0.25">
      <c r="A66" s="6"/>
      <c r="B66" s="11"/>
      <c r="C66" s="1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</row>
    <row r="67" spans="1:33" ht="26.25" customHeight="1" x14ac:dyDescent="0.25">
      <c r="A67" s="6"/>
      <c r="B67" s="11"/>
      <c r="C67" s="1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</row>
    <row r="68" spans="1:33" ht="26.25" customHeight="1" x14ac:dyDescent="0.25">
      <c r="A68" s="6"/>
      <c r="B68" s="11"/>
      <c r="C68" s="1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</row>
    <row r="69" spans="1:33" ht="26.25" customHeight="1" x14ac:dyDescent="0.25">
      <c r="A69" s="6"/>
      <c r="B69" s="11"/>
      <c r="C69" s="1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</row>
    <row r="70" spans="1:33" ht="26.25" customHeight="1" x14ac:dyDescent="0.25">
      <c r="A70" s="6"/>
      <c r="B70" s="11"/>
      <c r="C70" s="1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</row>
    <row r="71" spans="1:33" ht="26.25" customHeight="1" x14ac:dyDescent="0.25">
      <c r="A71" s="6"/>
      <c r="B71" s="11"/>
      <c r="C71" s="1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</row>
    <row r="72" spans="1:33" ht="26.25" customHeight="1" x14ac:dyDescent="0.25">
      <c r="A72" s="6"/>
      <c r="B72" s="11"/>
      <c r="C72" s="1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</row>
    <row r="73" spans="1:33" ht="26.25" customHeight="1" x14ac:dyDescent="0.25">
      <c r="A73" s="6"/>
      <c r="B73" s="11"/>
      <c r="C73" s="1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</row>
    <row r="74" spans="1:33" ht="26.25" customHeight="1" x14ac:dyDescent="0.25">
      <c r="A74" s="6"/>
      <c r="B74" s="11"/>
      <c r="C74" s="1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</row>
    <row r="75" spans="1:33" ht="26.25" customHeight="1" x14ac:dyDescent="0.25">
      <c r="A75" s="6"/>
      <c r="B75" s="11"/>
      <c r="C75" s="1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</row>
    <row r="76" spans="1:33" ht="26.25" customHeight="1" x14ac:dyDescent="0.25">
      <c r="A76" s="6"/>
      <c r="B76" s="11"/>
      <c r="C76" s="1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</row>
    <row r="77" spans="1:33" ht="26.25" customHeight="1" x14ac:dyDescent="0.25">
      <c r="A77" s="6"/>
      <c r="B77" s="11"/>
      <c r="C77" s="1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</row>
    <row r="78" spans="1:33" ht="26.25" customHeight="1" x14ac:dyDescent="0.25">
      <c r="A78" s="6"/>
      <c r="B78" s="11"/>
      <c r="C78" s="1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</row>
    <row r="79" spans="1:33" ht="26.25" customHeight="1" x14ac:dyDescent="0.25">
      <c r="A79" s="6"/>
      <c r="B79" s="11"/>
      <c r="C79" s="1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</row>
    <row r="80" spans="1:33" ht="26.25" customHeight="1" x14ac:dyDescent="0.25">
      <c r="A80" s="6"/>
      <c r="B80" s="11"/>
      <c r="C80" s="1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</row>
    <row r="81" spans="1:33" ht="26.25" customHeight="1" x14ac:dyDescent="0.25">
      <c r="A81" s="6"/>
      <c r="B81" s="11"/>
      <c r="C81" s="1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</row>
    <row r="82" spans="1:33" ht="26.25" customHeight="1" x14ac:dyDescent="0.25">
      <c r="A82" s="6"/>
      <c r="B82" s="11"/>
      <c r="C82" s="1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</row>
    <row r="83" spans="1:33" ht="26.25" customHeight="1" x14ac:dyDescent="0.25">
      <c r="A83" s="6"/>
      <c r="B83" s="11"/>
      <c r="C83" s="1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</row>
    <row r="84" spans="1:33" ht="26.25" customHeight="1" x14ac:dyDescent="0.25">
      <c r="A84" s="6"/>
      <c r="B84" s="11"/>
      <c r="C84" s="1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</row>
    <row r="85" spans="1:33" ht="26.25" customHeight="1" x14ac:dyDescent="0.25">
      <c r="B85" s="11"/>
      <c r="C85" s="1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</row>
    <row r="86" spans="1:33" ht="26.25" customHeight="1" x14ac:dyDescent="0.25">
      <c r="B86" s="11"/>
      <c r="C86" s="1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</row>
    <row r="87" spans="1:33" ht="26.25" customHeight="1" x14ac:dyDescent="0.25">
      <c r="B87" s="11"/>
      <c r="C87" s="1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</row>
    <row r="88" spans="1:33" ht="26.25" customHeight="1" x14ac:dyDescent="0.25">
      <c r="B88" s="11"/>
      <c r="C88" s="1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</row>
    <row r="89" spans="1:33" ht="26.25" customHeight="1" x14ac:dyDescent="0.25">
      <c r="B89" s="11"/>
      <c r="C89" s="1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</row>
    <row r="90" spans="1:33" ht="26.25" customHeight="1" x14ac:dyDescent="0.25">
      <c r="B90" s="11"/>
      <c r="C90" s="1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</row>
    <row r="91" spans="1:33" ht="26.25" customHeight="1" x14ac:dyDescent="0.25">
      <c r="B91" s="11"/>
      <c r="C91" s="1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</row>
    <row r="92" spans="1:33" ht="26.25" customHeight="1" x14ac:dyDescent="0.25">
      <c r="B92" s="11"/>
      <c r="C92" s="1"/>
      <c r="D92" s="12"/>
      <c r="E92" s="12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2"/>
      <c r="AA92" s="11"/>
      <c r="AB92" s="11"/>
      <c r="AC92" s="11"/>
      <c r="AD92" s="11"/>
      <c r="AE92" s="11"/>
      <c r="AF92" s="11"/>
      <c r="AG92" s="11"/>
    </row>
    <row r="93" spans="1:33" ht="26.25" customHeight="1" x14ac:dyDescent="0.25">
      <c r="B93" s="11"/>
      <c r="C93" s="1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</row>
    <row r="94" spans="1:33" ht="26.25" customHeight="1" x14ac:dyDescent="0.25">
      <c r="B94" s="11"/>
      <c r="C94" s="1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</row>
    <row r="95" spans="1:33" ht="26.25" customHeight="1" x14ac:dyDescent="0.25">
      <c r="B95" s="11"/>
      <c r="C95" s="1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</row>
    <row r="96" spans="1:33" ht="26.25" customHeight="1" x14ac:dyDescent="0.25">
      <c r="B96" s="11"/>
      <c r="C96" s="1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</row>
    <row r="97" spans="2:33" ht="26.25" customHeight="1" x14ac:dyDescent="0.25">
      <c r="B97" s="11"/>
      <c r="C97" s="1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</row>
    <row r="98" spans="2:33" ht="26.25" customHeight="1" x14ac:dyDescent="0.25">
      <c r="B98" s="11"/>
      <c r="C98" s="1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</row>
    <row r="99" spans="2:33" ht="26.25" customHeight="1" x14ac:dyDescent="0.25">
      <c r="B99" s="11"/>
      <c r="C99" s="1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</row>
    <row r="100" spans="2:33" ht="26.25" customHeight="1" x14ac:dyDescent="0.25">
      <c r="B100" s="11"/>
      <c r="C100" s="1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</row>
    <row r="101" spans="2:33" ht="26.25" customHeight="1" x14ac:dyDescent="0.25">
      <c r="B101" s="11"/>
      <c r="C101" s="1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</row>
    <row r="102" spans="2:33" ht="26.25" customHeight="1" x14ac:dyDescent="0.25">
      <c r="B102" s="11"/>
      <c r="C102" s="1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</row>
    <row r="103" spans="2:33" ht="26.25" customHeight="1" x14ac:dyDescent="0.25">
      <c r="B103" s="11"/>
      <c r="C103" s="1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</row>
    <row r="104" spans="2:33" ht="26.25" customHeight="1" x14ac:dyDescent="0.25">
      <c r="B104" s="11"/>
      <c r="C104" s="1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</row>
  </sheetData>
  <sortState xmlns:xlrd2="http://schemas.microsoft.com/office/spreadsheetml/2017/richdata2" ref="B2:W23">
    <sortCondition ref="B24:B48"/>
  </sortState>
  <phoneticPr fontId="1" type="noConversion"/>
  <pageMargins left="1.02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1"/>
  <sheetViews>
    <sheetView workbookViewId="0">
      <selection activeCell="B3" sqref="B3:B10"/>
    </sheetView>
  </sheetViews>
  <sheetFormatPr defaultRowHeight="15" x14ac:dyDescent="0.25"/>
  <sheetData>
    <row r="1" spans="1:5" x14ac:dyDescent="0.25">
      <c r="A1" t="s">
        <v>20</v>
      </c>
      <c r="D1" t="s">
        <v>19</v>
      </c>
    </row>
    <row r="2" spans="1:5" x14ac:dyDescent="0.25">
      <c r="A2" t="s">
        <v>0</v>
      </c>
      <c r="B2" t="s">
        <v>21</v>
      </c>
      <c r="D2" t="s">
        <v>0</v>
      </c>
      <c r="E2" t="s">
        <v>21</v>
      </c>
    </row>
    <row r="3" spans="1:5" ht="15.75" x14ac:dyDescent="0.25">
      <c r="A3" s="2">
        <v>53</v>
      </c>
      <c r="B3">
        <f>COUNTIF(SEMUA!$F$2:$F$30,REKAP!A3)</f>
        <v>2</v>
      </c>
      <c r="D3" s="2">
        <v>40</v>
      </c>
      <c r="E3" t="e">
        <f>COUNTIF(SEMUA!#REF!,REKAP!D3)</f>
        <v>#REF!</v>
      </c>
    </row>
    <row r="4" spans="1:5" ht="15.75" x14ac:dyDescent="0.25">
      <c r="A4" s="2">
        <v>54</v>
      </c>
      <c r="B4">
        <f>COUNTIF(SEMUA!$F$2:$F$30,REKAP!A4)</f>
        <v>3</v>
      </c>
      <c r="D4" s="2">
        <v>41</v>
      </c>
      <c r="E4" t="e">
        <f>COUNTIF(SEMUA!#REF!,REKAP!D4)</f>
        <v>#REF!</v>
      </c>
    </row>
    <row r="5" spans="1:5" ht="15.75" x14ac:dyDescent="0.25">
      <c r="A5" s="2">
        <v>55</v>
      </c>
      <c r="B5">
        <f>COUNTIF(SEMUA!$F$2:$F$30,REKAP!A5)</f>
        <v>6</v>
      </c>
      <c r="D5" s="2">
        <v>42</v>
      </c>
      <c r="E5" t="e">
        <f>COUNTIF(SEMUA!#REF!,REKAP!D5)</f>
        <v>#REF!</v>
      </c>
    </row>
    <row r="6" spans="1:5" ht="15.75" x14ac:dyDescent="0.25">
      <c r="A6" s="2">
        <v>56</v>
      </c>
      <c r="B6">
        <f>COUNTIF(SEMUA!$F$2:$F$30,REKAP!A6)</f>
        <v>11</v>
      </c>
      <c r="D6" s="2">
        <v>43</v>
      </c>
      <c r="E6" t="e">
        <f>COUNTIF(SEMUA!#REF!,REKAP!D6)</f>
        <v>#REF!</v>
      </c>
    </row>
    <row r="7" spans="1:5" ht="15.75" x14ac:dyDescent="0.25">
      <c r="A7" s="2">
        <v>57</v>
      </c>
      <c r="B7">
        <f>COUNTIF(SEMUA!$F$2:$F$30,REKAP!A7)</f>
        <v>5</v>
      </c>
      <c r="D7" s="2">
        <v>44</v>
      </c>
      <c r="E7" t="e">
        <f>COUNTIF(SEMUA!#REF!,REKAP!D7)</f>
        <v>#REF!</v>
      </c>
    </row>
    <row r="8" spans="1:5" ht="15.75" x14ac:dyDescent="0.25">
      <c r="A8" s="2">
        <v>58</v>
      </c>
      <c r="B8">
        <f>COUNTIF(SEMUA!$F$2:$F$30,REKAP!A8)</f>
        <v>1</v>
      </c>
      <c r="D8" s="2">
        <v>45</v>
      </c>
      <c r="E8" t="e">
        <f>COUNTIF(SEMUA!#REF!,REKAP!D8)</f>
        <v>#REF!</v>
      </c>
    </row>
    <row r="9" spans="1:5" ht="15.75" x14ac:dyDescent="0.25">
      <c r="A9" s="2">
        <v>59</v>
      </c>
      <c r="B9">
        <f>COUNTIF(SEMUA!$F$2:$F$30,REKAP!A9)</f>
        <v>1</v>
      </c>
      <c r="E9" t="e">
        <f>SUM(E3:E8)</f>
        <v>#REF!</v>
      </c>
    </row>
    <row r="10" spans="1:5" ht="15.75" x14ac:dyDescent="0.25">
      <c r="A10" s="2">
        <v>60</v>
      </c>
      <c r="B10">
        <f>COUNTIF(SEMUA!$F$2:$F$30,REKAP!A10)</f>
        <v>0</v>
      </c>
    </row>
    <row r="11" spans="1:5" x14ac:dyDescent="0.25">
      <c r="B11">
        <f>SUM(B3:B10)</f>
        <v>29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747CF-78C2-4B7A-B849-E69AB8C7F75D}">
  <sheetPr>
    <tabColor rgb="FF70AD47"/>
  </sheetPr>
  <dimension ref="A1:AME117"/>
  <sheetViews>
    <sheetView zoomScale="85" zoomScaleNormal="85" workbookViewId="0">
      <pane ySplit="1" topLeftCell="A104" activePane="bottomLeft" state="frozen"/>
      <selection activeCell="H1" sqref="H1"/>
      <selection pane="bottomLeft" activeCell="M108" sqref="M108"/>
    </sheetView>
  </sheetViews>
  <sheetFormatPr defaultColWidth="8.85546875" defaultRowHeight="26.25" customHeight="1" x14ac:dyDescent="0.25"/>
  <cols>
    <col min="1" max="1" width="5" style="3" bestFit="1" customWidth="1"/>
    <col min="2" max="2" width="28.85546875" style="1" customWidth="1"/>
    <col min="3" max="3" width="21.85546875" style="3" bestFit="1" customWidth="1"/>
    <col min="4" max="4" width="4.7109375" style="3" bestFit="1" customWidth="1"/>
    <col min="5" max="5" width="6.28515625" style="3" bestFit="1" customWidth="1"/>
    <col min="6" max="6" width="5.42578125" style="3" bestFit="1" customWidth="1"/>
    <col min="7" max="7" width="5.5703125" style="3" bestFit="1" customWidth="1"/>
    <col min="8" max="8" width="5.85546875" style="3" bestFit="1" customWidth="1"/>
    <col min="9" max="9" width="6.85546875" style="3" bestFit="1" customWidth="1"/>
    <col min="10" max="15" width="5.85546875" style="3" bestFit="1" customWidth="1"/>
    <col min="16" max="16" width="14.5703125" style="1" customWidth="1"/>
    <col min="17" max="16384" width="8.85546875" style="1"/>
  </cols>
  <sheetData>
    <row r="1" spans="1:990" s="15" customFormat="1" ht="26.25" customHeight="1" thickBot="1" x14ac:dyDescent="0.3">
      <c r="A1" s="34" t="s">
        <v>0</v>
      </c>
      <c r="B1" s="34" t="s">
        <v>1</v>
      </c>
      <c r="C1" s="35" t="s">
        <v>2</v>
      </c>
      <c r="D1" s="34" t="s">
        <v>40</v>
      </c>
      <c r="E1" s="34" t="s">
        <v>117</v>
      </c>
      <c r="F1" s="34" t="s">
        <v>20</v>
      </c>
      <c r="G1" s="36" t="s">
        <v>41</v>
      </c>
      <c r="H1" s="36" t="s">
        <v>42</v>
      </c>
      <c r="I1" s="36" t="s">
        <v>43</v>
      </c>
      <c r="J1" s="36" t="s">
        <v>44</v>
      </c>
      <c r="K1" s="36" t="s">
        <v>45</v>
      </c>
      <c r="L1" s="36" t="s">
        <v>46</v>
      </c>
      <c r="M1" s="36" t="s">
        <v>47</v>
      </c>
      <c r="N1" s="36" t="s">
        <v>48</v>
      </c>
      <c r="O1" s="36" t="s">
        <v>49</v>
      </c>
      <c r="P1" s="37" t="s">
        <v>123</v>
      </c>
    </row>
    <row r="2" spans="1:990" ht="26.25" customHeight="1" thickTop="1" x14ac:dyDescent="0.25">
      <c r="A2" s="24" t="s">
        <v>54</v>
      </c>
      <c r="B2" s="25" t="s">
        <v>83</v>
      </c>
      <c r="C2" s="24" t="s">
        <v>122</v>
      </c>
      <c r="D2" s="24">
        <v>42</v>
      </c>
      <c r="E2" s="24" t="s">
        <v>84</v>
      </c>
      <c r="F2" s="24">
        <v>59</v>
      </c>
      <c r="G2" s="38">
        <v>46</v>
      </c>
      <c r="H2" s="38">
        <v>59</v>
      </c>
      <c r="I2" s="38">
        <v>19</v>
      </c>
      <c r="J2" s="38">
        <v>14</v>
      </c>
      <c r="K2" s="38">
        <v>99</v>
      </c>
      <c r="L2" s="38">
        <v>88</v>
      </c>
      <c r="M2" s="38">
        <v>108</v>
      </c>
      <c r="N2" s="38">
        <v>71</v>
      </c>
      <c r="O2" s="38">
        <v>38</v>
      </c>
      <c r="P2" s="19" t="s">
        <v>50</v>
      </c>
    </row>
    <row r="3" spans="1:990" s="4" customFormat="1" ht="26.25" customHeight="1" x14ac:dyDescent="0.25">
      <c r="A3" s="24"/>
      <c r="B3" s="25"/>
      <c r="C3" s="1"/>
      <c r="D3" s="24"/>
      <c r="E3" s="24"/>
      <c r="F3" s="24"/>
      <c r="G3" s="39"/>
      <c r="H3" s="39"/>
      <c r="I3" s="39"/>
      <c r="J3" s="39"/>
      <c r="K3" s="39"/>
      <c r="L3" s="39"/>
      <c r="M3" s="39"/>
      <c r="N3" s="39"/>
      <c r="O3" s="39"/>
      <c r="P3" s="20" t="s">
        <v>52</v>
      </c>
    </row>
    <row r="4" spans="1:990" s="17" customFormat="1" ht="26.25" customHeight="1" x14ac:dyDescent="0.25">
      <c r="A4" s="24"/>
      <c r="B4" s="26"/>
      <c r="C4" s="1"/>
      <c r="D4" s="27"/>
      <c r="E4" s="27"/>
      <c r="F4" s="27"/>
      <c r="G4" s="39">
        <v>39</v>
      </c>
      <c r="H4" s="39">
        <v>23</v>
      </c>
      <c r="I4" s="39">
        <v>17</v>
      </c>
      <c r="J4" s="39">
        <v>27</v>
      </c>
      <c r="K4" s="39">
        <v>25</v>
      </c>
      <c r="L4" s="39">
        <v>27</v>
      </c>
      <c r="M4" s="39">
        <v>70</v>
      </c>
      <c r="N4" s="39">
        <v>38</v>
      </c>
      <c r="O4" s="40"/>
      <c r="P4" s="28" t="s">
        <v>124</v>
      </c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  <c r="AAA4" s="5"/>
      <c r="AAB4" s="5"/>
      <c r="AAC4" s="5"/>
      <c r="AAD4" s="5"/>
      <c r="AAE4" s="5"/>
      <c r="AAF4" s="5"/>
      <c r="AAG4" s="5"/>
      <c r="AAH4" s="5"/>
      <c r="AAI4" s="5"/>
      <c r="AAJ4" s="5"/>
      <c r="AAK4" s="5"/>
      <c r="AAL4" s="5"/>
      <c r="AAM4" s="5"/>
      <c r="AAN4" s="5"/>
      <c r="AAO4" s="5"/>
      <c r="AAP4" s="5"/>
      <c r="AAQ4" s="5"/>
      <c r="AAR4" s="5"/>
      <c r="AAS4" s="5"/>
      <c r="AAT4" s="5"/>
      <c r="AAU4" s="5"/>
      <c r="AAV4" s="5"/>
      <c r="AAW4" s="5"/>
      <c r="AAX4" s="5"/>
      <c r="AAY4" s="5"/>
      <c r="AAZ4" s="5"/>
      <c r="ABA4" s="5"/>
      <c r="ABB4" s="5"/>
      <c r="ABC4" s="5"/>
      <c r="ABD4" s="5"/>
      <c r="ABE4" s="5"/>
      <c r="ABF4" s="5"/>
      <c r="ABG4" s="5"/>
      <c r="ABH4" s="5"/>
      <c r="ABI4" s="5"/>
      <c r="ABJ4" s="5"/>
      <c r="ABK4" s="5"/>
      <c r="ABL4" s="5"/>
      <c r="ABM4" s="5"/>
      <c r="ABN4" s="5"/>
      <c r="ABO4" s="5"/>
      <c r="ABP4" s="5"/>
      <c r="ABQ4" s="5"/>
      <c r="ABR4" s="5"/>
      <c r="ABS4" s="5"/>
      <c r="ABT4" s="5"/>
      <c r="ABU4" s="5"/>
      <c r="ABV4" s="5"/>
      <c r="ABW4" s="5"/>
      <c r="ABX4" s="5"/>
      <c r="ABY4" s="5"/>
      <c r="ABZ4" s="5"/>
      <c r="ACA4" s="5"/>
      <c r="ACB4" s="5"/>
      <c r="ACC4" s="5"/>
      <c r="ACD4" s="5"/>
      <c r="ACE4" s="5"/>
      <c r="ACF4" s="5"/>
      <c r="ACG4" s="5"/>
      <c r="ACH4" s="5"/>
      <c r="ACI4" s="5"/>
      <c r="ACJ4" s="5"/>
      <c r="ACK4" s="5"/>
      <c r="ACL4" s="5"/>
      <c r="ACM4" s="5"/>
      <c r="ACN4" s="5"/>
      <c r="ACO4" s="5"/>
      <c r="ACP4" s="5"/>
      <c r="ACQ4" s="5"/>
      <c r="ACR4" s="5"/>
      <c r="ACS4" s="5"/>
      <c r="ACT4" s="5"/>
      <c r="ACU4" s="5"/>
      <c r="ACV4" s="5"/>
      <c r="ACW4" s="5"/>
      <c r="ACX4" s="5"/>
      <c r="ACY4" s="5"/>
      <c r="ACZ4" s="5"/>
      <c r="ADA4" s="5"/>
      <c r="ADB4" s="5"/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5"/>
      <c r="ADN4" s="5"/>
      <c r="ADO4" s="5"/>
      <c r="ADP4" s="5"/>
      <c r="ADQ4" s="5"/>
      <c r="ADR4" s="5"/>
      <c r="ADS4" s="5"/>
      <c r="ADT4" s="5"/>
      <c r="ADU4" s="5"/>
      <c r="ADV4" s="5"/>
      <c r="ADW4" s="5"/>
      <c r="ADX4" s="5"/>
      <c r="ADY4" s="5"/>
      <c r="ADZ4" s="5"/>
      <c r="AEA4" s="5"/>
      <c r="AEB4" s="5"/>
      <c r="AEC4" s="5"/>
      <c r="AED4" s="5"/>
      <c r="AEE4" s="5"/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5"/>
      <c r="AEQ4" s="5"/>
      <c r="AER4" s="5"/>
      <c r="AES4" s="5"/>
      <c r="AET4" s="5"/>
      <c r="AEU4" s="5"/>
      <c r="AEV4" s="5"/>
      <c r="AEW4" s="5"/>
      <c r="AEX4" s="5"/>
      <c r="AEY4" s="5"/>
      <c r="AEZ4" s="5"/>
      <c r="AFA4" s="5"/>
      <c r="AFB4" s="5"/>
      <c r="AFC4" s="5"/>
      <c r="AFD4" s="5"/>
      <c r="AFE4" s="5"/>
      <c r="AFF4" s="5"/>
      <c r="AFG4" s="5"/>
      <c r="AFH4" s="5"/>
      <c r="AFI4" s="5"/>
      <c r="AFJ4" s="5"/>
      <c r="AFK4" s="5"/>
      <c r="AFL4" s="5"/>
      <c r="AFM4" s="5"/>
      <c r="AFN4" s="5"/>
      <c r="AFO4" s="5"/>
      <c r="AFP4" s="5"/>
      <c r="AFQ4" s="5"/>
      <c r="AFR4" s="5"/>
      <c r="AFS4" s="5"/>
      <c r="AFT4" s="5"/>
      <c r="AFU4" s="5"/>
      <c r="AFV4" s="5"/>
      <c r="AFW4" s="5"/>
      <c r="AFX4" s="5"/>
      <c r="AFY4" s="5"/>
      <c r="AFZ4" s="5"/>
      <c r="AGA4" s="5"/>
      <c r="AGB4" s="5"/>
      <c r="AGC4" s="5"/>
      <c r="AGD4" s="5"/>
      <c r="AGE4" s="5"/>
      <c r="AGF4" s="5"/>
      <c r="AGG4" s="5"/>
      <c r="AGH4" s="5"/>
      <c r="AGI4" s="5"/>
      <c r="AGJ4" s="5"/>
      <c r="AGK4" s="5"/>
      <c r="AGL4" s="5"/>
      <c r="AGM4" s="5"/>
      <c r="AGN4" s="5"/>
      <c r="AGO4" s="5"/>
      <c r="AGP4" s="5"/>
      <c r="AGQ4" s="5"/>
      <c r="AGR4" s="5"/>
      <c r="AGS4" s="5"/>
      <c r="AGT4" s="5"/>
      <c r="AGU4" s="5"/>
      <c r="AGV4" s="5"/>
      <c r="AGW4" s="5"/>
      <c r="AGX4" s="5"/>
      <c r="AGY4" s="5"/>
      <c r="AGZ4" s="5"/>
      <c r="AHA4" s="5"/>
      <c r="AHB4" s="5"/>
      <c r="AHC4" s="5"/>
      <c r="AHD4" s="5"/>
      <c r="AHE4" s="5"/>
      <c r="AHF4" s="5"/>
      <c r="AHG4" s="5"/>
      <c r="AHH4" s="5"/>
      <c r="AHI4" s="5"/>
      <c r="AHJ4" s="5"/>
      <c r="AHK4" s="5"/>
      <c r="AHL4" s="5"/>
      <c r="AHM4" s="5"/>
      <c r="AHN4" s="5"/>
      <c r="AHO4" s="5"/>
      <c r="AHP4" s="5"/>
      <c r="AHQ4" s="5"/>
      <c r="AHR4" s="5"/>
      <c r="AHS4" s="5"/>
      <c r="AHT4" s="5"/>
      <c r="AHU4" s="5"/>
      <c r="AHV4" s="5"/>
      <c r="AHW4" s="5"/>
      <c r="AHX4" s="5"/>
      <c r="AHY4" s="5"/>
      <c r="AHZ4" s="5"/>
      <c r="AIA4" s="5"/>
      <c r="AIB4" s="5"/>
      <c r="AIC4" s="5"/>
      <c r="AID4" s="5"/>
      <c r="AIE4" s="5"/>
      <c r="AIF4" s="5"/>
      <c r="AIG4" s="5"/>
      <c r="AIH4" s="5"/>
      <c r="AII4" s="5"/>
      <c r="AIJ4" s="5"/>
      <c r="AIK4" s="5"/>
      <c r="AIL4" s="5"/>
      <c r="AIM4" s="5"/>
      <c r="AIN4" s="5"/>
      <c r="AIO4" s="5"/>
      <c r="AIP4" s="5"/>
      <c r="AIQ4" s="5"/>
      <c r="AIR4" s="5"/>
      <c r="AIS4" s="5"/>
      <c r="AIT4" s="5"/>
      <c r="AIU4" s="5"/>
      <c r="AIV4" s="5"/>
      <c r="AIW4" s="5"/>
      <c r="AIX4" s="5"/>
      <c r="AIY4" s="5"/>
      <c r="AIZ4" s="5"/>
      <c r="AJA4" s="5"/>
      <c r="AJB4" s="5"/>
      <c r="AJC4" s="5"/>
      <c r="AJD4" s="5"/>
      <c r="AJE4" s="5"/>
      <c r="AJF4" s="5"/>
      <c r="AJG4" s="5"/>
      <c r="AJH4" s="5"/>
      <c r="AJI4" s="5"/>
      <c r="AJJ4" s="5"/>
      <c r="AJK4" s="5"/>
      <c r="AJL4" s="5"/>
      <c r="AJM4" s="5"/>
      <c r="AJN4" s="5"/>
      <c r="AJO4" s="5"/>
      <c r="AJP4" s="5"/>
      <c r="AJQ4" s="5"/>
      <c r="AJR4" s="5"/>
      <c r="AJS4" s="5"/>
      <c r="AJT4" s="5"/>
      <c r="AJU4" s="5"/>
      <c r="AJV4" s="5"/>
      <c r="AJW4" s="5"/>
      <c r="AJX4" s="5"/>
      <c r="AJY4" s="5"/>
      <c r="AJZ4" s="5"/>
      <c r="AKA4" s="5"/>
      <c r="AKB4" s="5"/>
      <c r="AKC4" s="5"/>
      <c r="AKD4" s="5"/>
      <c r="AKE4" s="5"/>
      <c r="AKF4" s="5"/>
      <c r="AKG4" s="5"/>
      <c r="AKH4" s="5"/>
      <c r="AKI4" s="5"/>
      <c r="AKJ4" s="5"/>
      <c r="AKK4" s="5"/>
      <c r="AKL4" s="5"/>
      <c r="AKM4" s="5"/>
      <c r="AKN4" s="5"/>
      <c r="AKO4" s="5"/>
      <c r="AKP4" s="5"/>
      <c r="AKQ4" s="5"/>
      <c r="AKR4" s="5"/>
      <c r="AKS4" s="5"/>
      <c r="AKT4" s="5"/>
      <c r="AKU4" s="5"/>
      <c r="AKV4" s="5"/>
      <c r="AKW4" s="5"/>
      <c r="AKX4" s="5"/>
      <c r="AKY4" s="5"/>
      <c r="AKZ4" s="5"/>
      <c r="ALA4" s="5"/>
      <c r="ALB4" s="5"/>
    </row>
    <row r="5" spans="1:990" ht="26.25" customHeight="1" x14ac:dyDescent="0.25">
      <c r="A5" s="29"/>
      <c r="B5" s="30"/>
      <c r="C5" s="31"/>
      <c r="D5" s="32"/>
      <c r="E5" s="32"/>
      <c r="F5" s="32"/>
      <c r="G5" s="41">
        <v>79</v>
      </c>
      <c r="H5" s="41">
        <v>102</v>
      </c>
      <c r="I5" s="41">
        <v>67</v>
      </c>
      <c r="J5" s="41">
        <v>32</v>
      </c>
      <c r="K5" s="41">
        <v>25</v>
      </c>
      <c r="L5" s="41">
        <v>20</v>
      </c>
      <c r="M5" s="41">
        <v>97</v>
      </c>
      <c r="N5" s="42"/>
      <c r="O5" s="42"/>
      <c r="P5" s="33" t="s">
        <v>51</v>
      </c>
    </row>
    <row r="6" spans="1:990" ht="26.25" customHeight="1" x14ac:dyDescent="0.25">
      <c r="A6" s="21" t="s">
        <v>55</v>
      </c>
      <c r="B6" s="22" t="s">
        <v>85</v>
      </c>
      <c r="C6" s="21" t="s">
        <v>122</v>
      </c>
      <c r="D6" s="21">
        <v>41</v>
      </c>
      <c r="E6" s="21" t="s">
        <v>86</v>
      </c>
      <c r="F6" s="21">
        <v>55</v>
      </c>
      <c r="G6" s="43">
        <v>48</v>
      </c>
      <c r="H6" s="43">
        <v>58</v>
      </c>
      <c r="I6" s="43">
        <v>19</v>
      </c>
      <c r="J6" s="43">
        <v>14</v>
      </c>
      <c r="K6" s="43">
        <v>101</v>
      </c>
      <c r="L6" s="43">
        <v>89</v>
      </c>
      <c r="M6" s="43">
        <v>104</v>
      </c>
      <c r="N6" s="43">
        <v>69</v>
      </c>
      <c r="O6" s="43">
        <v>40</v>
      </c>
      <c r="P6" s="23" t="s">
        <v>50</v>
      </c>
    </row>
    <row r="7" spans="1:990" ht="26.25" customHeight="1" x14ac:dyDescent="0.25">
      <c r="A7" s="24"/>
      <c r="B7" s="25"/>
      <c r="C7" s="1"/>
      <c r="D7" s="24"/>
      <c r="E7" s="24"/>
      <c r="F7" s="24"/>
      <c r="G7" s="39"/>
      <c r="H7" s="39"/>
      <c r="I7" s="39"/>
      <c r="J7" s="39"/>
      <c r="K7" s="39"/>
      <c r="L7" s="39"/>
      <c r="M7" s="39"/>
      <c r="N7" s="39"/>
      <c r="O7" s="39"/>
      <c r="P7" s="20" t="s">
        <v>52</v>
      </c>
    </row>
    <row r="8" spans="1:990" ht="26.25" customHeight="1" x14ac:dyDescent="0.25">
      <c r="A8" s="24"/>
      <c r="B8" s="26"/>
      <c r="C8" s="1"/>
      <c r="D8" s="27"/>
      <c r="E8" s="27"/>
      <c r="F8" s="27"/>
      <c r="G8" s="39">
        <v>44</v>
      </c>
      <c r="H8" s="39">
        <v>24</v>
      </c>
      <c r="I8" s="39">
        <v>18</v>
      </c>
      <c r="J8" s="39">
        <v>26</v>
      </c>
      <c r="K8" s="39">
        <v>24</v>
      </c>
      <c r="L8" s="39">
        <v>27</v>
      </c>
      <c r="M8" s="39">
        <v>69</v>
      </c>
      <c r="N8" s="39">
        <v>40</v>
      </c>
      <c r="O8" s="40"/>
      <c r="P8" s="28" t="s">
        <v>124</v>
      </c>
    </row>
    <row r="9" spans="1:990" ht="26.25" customHeight="1" x14ac:dyDescent="0.25">
      <c r="A9" s="29"/>
      <c r="B9" s="30"/>
      <c r="C9" s="31"/>
      <c r="D9" s="32"/>
      <c r="E9" s="32"/>
      <c r="F9" s="32"/>
      <c r="G9" s="41">
        <v>80</v>
      </c>
      <c r="H9" s="41">
        <v>102</v>
      </c>
      <c r="I9" s="41">
        <v>63</v>
      </c>
      <c r="J9" s="41">
        <v>32</v>
      </c>
      <c r="K9" s="41">
        <v>23</v>
      </c>
      <c r="L9" s="41">
        <v>19</v>
      </c>
      <c r="M9" s="41">
        <v>99</v>
      </c>
      <c r="N9" s="42"/>
      <c r="O9" s="42"/>
      <c r="P9" s="33" t="s">
        <v>51</v>
      </c>
    </row>
    <row r="10" spans="1:990" ht="26.25" customHeight="1" x14ac:dyDescent="0.25">
      <c r="A10" s="21" t="s">
        <v>56</v>
      </c>
      <c r="B10" s="22" t="s">
        <v>87</v>
      </c>
      <c r="C10" s="21" t="s">
        <v>122</v>
      </c>
      <c r="D10" s="21">
        <v>43</v>
      </c>
      <c r="E10" s="21" t="s">
        <v>88</v>
      </c>
      <c r="F10" s="21">
        <v>56</v>
      </c>
      <c r="G10" s="43">
        <v>45</v>
      </c>
      <c r="H10" s="43">
        <v>60</v>
      </c>
      <c r="I10" s="43">
        <v>19</v>
      </c>
      <c r="J10" s="43">
        <v>14</v>
      </c>
      <c r="K10" s="43">
        <v>99</v>
      </c>
      <c r="L10" s="43">
        <v>90</v>
      </c>
      <c r="M10" s="43">
        <v>108</v>
      </c>
      <c r="N10" s="43">
        <v>74</v>
      </c>
      <c r="O10" s="43">
        <v>39</v>
      </c>
      <c r="P10" s="23" t="s">
        <v>50</v>
      </c>
    </row>
    <row r="11" spans="1:990" ht="26.25" customHeight="1" x14ac:dyDescent="0.25">
      <c r="A11" s="24"/>
      <c r="B11" s="25"/>
      <c r="C11" s="1"/>
      <c r="D11" s="24"/>
      <c r="E11" s="24"/>
      <c r="F11" s="24"/>
      <c r="G11" s="39"/>
      <c r="H11" s="39"/>
      <c r="I11" s="39"/>
      <c r="J11" s="39"/>
      <c r="K11" s="39"/>
      <c r="L11" s="39"/>
      <c r="M11" s="39"/>
      <c r="N11" s="39"/>
      <c r="O11" s="39"/>
      <c r="P11" s="20" t="s">
        <v>52</v>
      </c>
    </row>
    <row r="12" spans="1:990" ht="26.25" customHeight="1" x14ac:dyDescent="0.25">
      <c r="A12" s="24"/>
      <c r="B12" s="26"/>
      <c r="C12" s="1"/>
      <c r="D12" s="27"/>
      <c r="E12" s="27"/>
      <c r="F12" s="27"/>
      <c r="G12" s="39">
        <v>42</v>
      </c>
      <c r="H12" s="39">
        <v>25</v>
      </c>
      <c r="I12" s="39">
        <v>17</v>
      </c>
      <c r="J12" s="39">
        <v>27</v>
      </c>
      <c r="K12" s="39">
        <v>25</v>
      </c>
      <c r="L12" s="39">
        <v>27</v>
      </c>
      <c r="M12" s="39">
        <v>73</v>
      </c>
      <c r="N12" s="39">
        <v>39</v>
      </c>
      <c r="O12" s="40"/>
      <c r="P12" s="28" t="s">
        <v>124</v>
      </c>
    </row>
    <row r="13" spans="1:990" ht="26.25" customHeight="1" x14ac:dyDescent="0.25">
      <c r="A13" s="29"/>
      <c r="B13" s="30"/>
      <c r="C13" s="31"/>
      <c r="D13" s="32"/>
      <c r="E13" s="32"/>
      <c r="F13" s="32"/>
      <c r="G13" s="41">
        <v>80</v>
      </c>
      <c r="H13" s="41">
        <v>105</v>
      </c>
      <c r="I13" s="41">
        <v>65</v>
      </c>
      <c r="J13" s="41">
        <v>33</v>
      </c>
      <c r="K13" s="41">
        <v>26</v>
      </c>
      <c r="L13" s="41">
        <v>20</v>
      </c>
      <c r="M13" s="41">
        <v>99</v>
      </c>
      <c r="N13" s="42"/>
      <c r="O13" s="42"/>
      <c r="P13" s="33" t="s">
        <v>51</v>
      </c>
    </row>
    <row r="14" spans="1:990" ht="26.25" customHeight="1" x14ac:dyDescent="0.25">
      <c r="A14" s="21" t="s">
        <v>57</v>
      </c>
      <c r="B14" s="22" t="s">
        <v>89</v>
      </c>
      <c r="C14" s="21" t="s">
        <v>122</v>
      </c>
      <c r="D14" s="21">
        <v>40</v>
      </c>
      <c r="E14" s="21" t="s">
        <v>84</v>
      </c>
      <c r="F14" s="21">
        <v>56</v>
      </c>
      <c r="G14" s="43">
        <v>46</v>
      </c>
      <c r="H14" s="43">
        <v>57</v>
      </c>
      <c r="I14" s="43">
        <v>19</v>
      </c>
      <c r="J14" s="43">
        <v>14</v>
      </c>
      <c r="K14" s="43">
        <v>96</v>
      </c>
      <c r="L14" s="43">
        <v>92</v>
      </c>
      <c r="M14" s="43">
        <v>107</v>
      </c>
      <c r="N14" s="43">
        <v>71</v>
      </c>
      <c r="O14" s="43">
        <v>39</v>
      </c>
      <c r="P14" s="23" t="s">
        <v>50</v>
      </c>
    </row>
    <row r="15" spans="1:990" ht="26.25" customHeight="1" x14ac:dyDescent="0.25">
      <c r="A15" s="24"/>
      <c r="B15" s="25"/>
      <c r="C15" s="1"/>
      <c r="D15" s="24"/>
      <c r="E15" s="24"/>
      <c r="F15" s="24"/>
      <c r="G15" s="39"/>
      <c r="H15" s="39"/>
      <c r="I15" s="39"/>
      <c r="J15" s="39"/>
      <c r="K15" s="39"/>
      <c r="L15" s="39"/>
      <c r="M15" s="39"/>
      <c r="N15" s="39"/>
      <c r="O15" s="39"/>
      <c r="P15" s="20" t="s">
        <v>52</v>
      </c>
    </row>
    <row r="16" spans="1:990" ht="26.25" customHeight="1" x14ac:dyDescent="0.25">
      <c r="A16" s="24"/>
      <c r="B16" s="26"/>
      <c r="C16" s="1"/>
      <c r="D16" s="27"/>
      <c r="E16" s="27"/>
      <c r="F16" s="27"/>
      <c r="G16" s="39">
        <v>42</v>
      </c>
      <c r="H16" s="39">
        <v>24</v>
      </c>
      <c r="I16" s="39">
        <v>16</v>
      </c>
      <c r="J16" s="39">
        <v>27</v>
      </c>
      <c r="K16" s="39">
        <v>25</v>
      </c>
      <c r="L16" s="39">
        <v>27</v>
      </c>
      <c r="M16" s="39">
        <v>70</v>
      </c>
      <c r="N16" s="39">
        <v>39</v>
      </c>
      <c r="O16" s="40"/>
      <c r="P16" s="28" t="s">
        <v>124</v>
      </c>
    </row>
    <row r="17" spans="1:16" ht="26.25" customHeight="1" x14ac:dyDescent="0.25">
      <c r="A17" s="29"/>
      <c r="B17" s="30"/>
      <c r="C17" s="31"/>
      <c r="D17" s="32"/>
      <c r="E17" s="32"/>
      <c r="F17" s="32"/>
      <c r="G17" s="41">
        <v>81</v>
      </c>
      <c r="H17" s="41">
        <v>103</v>
      </c>
      <c r="I17" s="41">
        <v>64</v>
      </c>
      <c r="J17" s="41">
        <v>32</v>
      </c>
      <c r="K17" s="41">
        <v>25</v>
      </c>
      <c r="L17" s="41">
        <v>20</v>
      </c>
      <c r="M17" s="41">
        <v>95</v>
      </c>
      <c r="N17" s="42"/>
      <c r="O17" s="42"/>
      <c r="P17" s="33" t="s">
        <v>51</v>
      </c>
    </row>
    <row r="18" spans="1:16" ht="26.25" customHeight="1" x14ac:dyDescent="0.25">
      <c r="A18" s="21" t="s">
        <v>58</v>
      </c>
      <c r="B18" s="22" t="s">
        <v>90</v>
      </c>
      <c r="C18" s="21" t="s">
        <v>122</v>
      </c>
      <c r="D18" s="21">
        <v>42</v>
      </c>
      <c r="E18" s="21" t="s">
        <v>84</v>
      </c>
      <c r="F18" s="21">
        <v>55</v>
      </c>
      <c r="G18" s="43">
        <v>48</v>
      </c>
      <c r="H18" s="43">
        <v>59</v>
      </c>
      <c r="I18" s="43">
        <v>20</v>
      </c>
      <c r="J18" s="43">
        <v>15</v>
      </c>
      <c r="K18" s="43">
        <v>102</v>
      </c>
      <c r="L18" s="43">
        <v>96</v>
      </c>
      <c r="M18" s="43">
        <v>113</v>
      </c>
      <c r="N18" s="43">
        <v>72</v>
      </c>
      <c r="O18" s="43">
        <v>41</v>
      </c>
      <c r="P18" s="23" t="s">
        <v>50</v>
      </c>
    </row>
    <row r="19" spans="1:16" ht="26.25" customHeight="1" x14ac:dyDescent="0.25">
      <c r="A19" s="24"/>
      <c r="B19" s="25"/>
      <c r="C19" s="1"/>
      <c r="D19" s="24"/>
      <c r="E19" s="24"/>
      <c r="F19" s="24"/>
      <c r="G19" s="39"/>
      <c r="H19" s="39"/>
      <c r="I19" s="39"/>
      <c r="J19" s="39"/>
      <c r="K19" s="39"/>
      <c r="L19" s="39"/>
      <c r="M19" s="39"/>
      <c r="N19" s="39"/>
      <c r="O19" s="39"/>
      <c r="P19" s="20" t="s">
        <v>52</v>
      </c>
    </row>
    <row r="20" spans="1:16" ht="26.25" customHeight="1" x14ac:dyDescent="0.25">
      <c r="A20" s="24"/>
      <c r="B20" s="26"/>
      <c r="C20" s="1"/>
      <c r="D20" s="27"/>
      <c r="E20" s="27"/>
      <c r="F20" s="27"/>
      <c r="G20" s="39">
        <v>43</v>
      </c>
      <c r="H20" s="39">
        <v>25</v>
      </c>
      <c r="I20" s="39">
        <v>18</v>
      </c>
      <c r="J20" s="39">
        <v>28</v>
      </c>
      <c r="K20" s="39">
        <v>26</v>
      </c>
      <c r="L20" s="39">
        <v>28</v>
      </c>
      <c r="M20" s="39">
        <v>71</v>
      </c>
      <c r="N20" s="39">
        <v>41</v>
      </c>
      <c r="O20" s="40"/>
      <c r="P20" s="28" t="s">
        <v>124</v>
      </c>
    </row>
    <row r="21" spans="1:16" ht="26.25" customHeight="1" x14ac:dyDescent="0.25">
      <c r="A21" s="29"/>
      <c r="B21" s="30"/>
      <c r="C21" s="31"/>
      <c r="D21" s="32"/>
      <c r="E21" s="32"/>
      <c r="F21" s="32"/>
      <c r="G21" s="41">
        <v>82</v>
      </c>
      <c r="H21" s="41">
        <v>103</v>
      </c>
      <c r="I21" s="41">
        <v>65</v>
      </c>
      <c r="J21" s="41">
        <v>33</v>
      </c>
      <c r="K21" s="41">
        <v>26</v>
      </c>
      <c r="L21" s="41">
        <v>20</v>
      </c>
      <c r="M21" s="41">
        <v>100</v>
      </c>
      <c r="N21" s="42"/>
      <c r="O21" s="42"/>
      <c r="P21" s="33" t="s">
        <v>51</v>
      </c>
    </row>
    <row r="22" spans="1:16" ht="26.25" customHeight="1" x14ac:dyDescent="0.25">
      <c r="A22" s="21" t="s">
        <v>59</v>
      </c>
      <c r="B22" s="22" t="s">
        <v>91</v>
      </c>
      <c r="C22" s="21" t="s">
        <v>122</v>
      </c>
      <c r="D22" s="21">
        <v>40</v>
      </c>
      <c r="E22" s="21" t="s">
        <v>86</v>
      </c>
      <c r="F22" s="21">
        <v>56</v>
      </c>
      <c r="G22" s="43">
        <v>44</v>
      </c>
      <c r="H22" s="43">
        <v>57</v>
      </c>
      <c r="I22" s="43">
        <v>19</v>
      </c>
      <c r="J22" s="43">
        <v>14</v>
      </c>
      <c r="K22" s="43">
        <v>106</v>
      </c>
      <c r="L22" s="43">
        <v>98</v>
      </c>
      <c r="M22" s="43">
        <v>108</v>
      </c>
      <c r="N22" s="43">
        <v>70</v>
      </c>
      <c r="O22" s="43">
        <v>40</v>
      </c>
      <c r="P22" s="23" t="s">
        <v>50</v>
      </c>
    </row>
    <row r="23" spans="1:16" s="18" customFormat="1" ht="26.25" customHeight="1" x14ac:dyDescent="0.25">
      <c r="A23" s="24"/>
      <c r="B23" s="25"/>
      <c r="C23" s="1"/>
      <c r="D23" s="24"/>
      <c r="E23" s="24"/>
      <c r="F23" s="24"/>
      <c r="G23" s="39"/>
      <c r="H23" s="39"/>
      <c r="I23" s="39"/>
      <c r="J23" s="39"/>
      <c r="K23" s="39"/>
      <c r="L23" s="39"/>
      <c r="M23" s="39"/>
      <c r="N23" s="39"/>
      <c r="O23" s="39"/>
      <c r="P23" s="20" t="s">
        <v>52</v>
      </c>
    </row>
    <row r="24" spans="1:16" ht="26.25" customHeight="1" x14ac:dyDescent="0.25">
      <c r="A24" s="24"/>
      <c r="B24" s="26"/>
      <c r="C24" s="1"/>
      <c r="D24" s="27"/>
      <c r="E24" s="27"/>
      <c r="F24" s="27"/>
      <c r="G24" s="39">
        <v>40</v>
      </c>
      <c r="H24" s="39">
        <v>23</v>
      </c>
      <c r="I24" s="39">
        <v>17</v>
      </c>
      <c r="J24" s="39">
        <v>28</v>
      </c>
      <c r="K24" s="39">
        <v>26</v>
      </c>
      <c r="L24" s="39">
        <v>28</v>
      </c>
      <c r="M24" s="39">
        <v>69</v>
      </c>
      <c r="N24" s="39">
        <v>40</v>
      </c>
      <c r="O24" s="40"/>
      <c r="P24" s="28" t="s">
        <v>124</v>
      </c>
    </row>
    <row r="25" spans="1:16" ht="26.25" customHeight="1" x14ac:dyDescent="0.25">
      <c r="A25" s="29"/>
      <c r="B25" s="30"/>
      <c r="C25" s="31"/>
      <c r="D25" s="32"/>
      <c r="E25" s="32"/>
      <c r="F25" s="32"/>
      <c r="G25" s="41">
        <v>86</v>
      </c>
      <c r="H25" s="41">
        <v>103</v>
      </c>
      <c r="I25" s="41">
        <v>65</v>
      </c>
      <c r="J25" s="41">
        <v>33</v>
      </c>
      <c r="K25" s="41">
        <v>26</v>
      </c>
      <c r="L25" s="41">
        <v>20</v>
      </c>
      <c r="M25" s="41">
        <v>94</v>
      </c>
      <c r="N25" s="42"/>
      <c r="O25" s="42"/>
      <c r="P25" s="33" t="s">
        <v>51</v>
      </c>
    </row>
    <row r="26" spans="1:16" ht="26.25" customHeight="1" x14ac:dyDescent="0.25">
      <c r="A26" s="21" t="s">
        <v>60</v>
      </c>
      <c r="B26" s="22" t="s">
        <v>92</v>
      </c>
      <c r="C26" s="21" t="s">
        <v>122</v>
      </c>
      <c r="D26" s="21">
        <v>42</v>
      </c>
      <c r="E26" s="21" t="s">
        <v>88</v>
      </c>
      <c r="F26" s="21">
        <v>57</v>
      </c>
      <c r="G26" s="43">
        <v>48</v>
      </c>
      <c r="H26" s="43">
        <v>62</v>
      </c>
      <c r="I26" s="43">
        <v>21</v>
      </c>
      <c r="J26" s="43">
        <v>15</v>
      </c>
      <c r="K26" s="43">
        <v>117</v>
      </c>
      <c r="L26" s="43">
        <v>113</v>
      </c>
      <c r="M26" s="43">
        <v>125</v>
      </c>
      <c r="N26" s="43">
        <v>76</v>
      </c>
      <c r="O26" s="43">
        <v>41</v>
      </c>
      <c r="P26" s="23" t="s">
        <v>50</v>
      </c>
    </row>
    <row r="27" spans="1:16" ht="26.25" customHeight="1" x14ac:dyDescent="0.25">
      <c r="A27" s="24"/>
      <c r="B27" s="25"/>
      <c r="C27" s="1"/>
      <c r="D27" s="24"/>
      <c r="E27" s="24"/>
      <c r="F27" s="24"/>
      <c r="G27" s="39"/>
      <c r="H27" s="39"/>
      <c r="I27" s="39"/>
      <c r="J27" s="39"/>
      <c r="K27" s="39"/>
      <c r="L27" s="39"/>
      <c r="M27" s="39"/>
      <c r="N27" s="39"/>
      <c r="O27" s="39"/>
      <c r="P27" s="20" t="s">
        <v>52</v>
      </c>
    </row>
    <row r="28" spans="1:16" ht="26.25" customHeight="1" x14ac:dyDescent="0.25">
      <c r="A28" s="24"/>
      <c r="B28" s="26"/>
      <c r="C28" s="1"/>
      <c r="D28" s="27"/>
      <c r="E28" s="27"/>
      <c r="F28" s="27"/>
      <c r="G28" s="39">
        <v>44</v>
      </c>
      <c r="H28" s="39">
        <v>26</v>
      </c>
      <c r="I28" s="39">
        <v>19</v>
      </c>
      <c r="J28" s="39">
        <v>30</v>
      </c>
      <c r="K28" s="39">
        <v>28</v>
      </c>
      <c r="L28" s="39">
        <v>30</v>
      </c>
      <c r="M28" s="39">
        <v>75</v>
      </c>
      <c r="N28" s="39">
        <v>41</v>
      </c>
      <c r="O28" s="40"/>
      <c r="P28" s="28" t="s">
        <v>124</v>
      </c>
    </row>
    <row r="29" spans="1:16" ht="26.25" customHeight="1" x14ac:dyDescent="0.25">
      <c r="A29" s="29"/>
      <c r="B29" s="30"/>
      <c r="C29" s="31"/>
      <c r="D29" s="32"/>
      <c r="E29" s="32"/>
      <c r="F29" s="32"/>
      <c r="G29" s="41">
        <v>98</v>
      </c>
      <c r="H29" s="41">
        <v>119</v>
      </c>
      <c r="I29" s="41">
        <v>69</v>
      </c>
      <c r="J29" s="41">
        <v>35</v>
      </c>
      <c r="K29" s="41">
        <v>27</v>
      </c>
      <c r="L29" s="41">
        <v>22</v>
      </c>
      <c r="M29" s="41">
        <v>97</v>
      </c>
      <c r="N29" s="42"/>
      <c r="O29" s="42"/>
      <c r="P29" s="33" t="s">
        <v>51</v>
      </c>
    </row>
    <row r="30" spans="1:16" ht="26.25" customHeight="1" x14ac:dyDescent="0.25">
      <c r="A30" s="21" t="s">
        <v>61</v>
      </c>
      <c r="B30" s="22" t="s">
        <v>93</v>
      </c>
      <c r="C30" s="21" t="s">
        <v>122</v>
      </c>
      <c r="D30" s="21">
        <v>41</v>
      </c>
      <c r="E30" s="21" t="s">
        <v>84</v>
      </c>
      <c r="F30" s="21">
        <v>56</v>
      </c>
      <c r="G30" s="43">
        <v>48</v>
      </c>
      <c r="H30" s="43">
        <v>61</v>
      </c>
      <c r="I30" s="43">
        <v>19</v>
      </c>
      <c r="J30" s="43">
        <v>14</v>
      </c>
      <c r="K30" s="43">
        <v>107</v>
      </c>
      <c r="L30" s="43">
        <v>98</v>
      </c>
      <c r="M30" s="43">
        <v>110</v>
      </c>
      <c r="N30" s="43">
        <v>72</v>
      </c>
      <c r="O30" s="43">
        <v>39</v>
      </c>
      <c r="P30" s="23" t="s">
        <v>50</v>
      </c>
    </row>
    <row r="31" spans="1:16" ht="26.25" customHeight="1" x14ac:dyDescent="0.25">
      <c r="A31" s="24"/>
      <c r="B31" s="25"/>
      <c r="C31" s="1"/>
      <c r="D31" s="24"/>
      <c r="E31" s="24"/>
      <c r="F31" s="24"/>
      <c r="G31" s="39"/>
      <c r="H31" s="39"/>
      <c r="I31" s="39"/>
      <c r="J31" s="39"/>
      <c r="K31" s="39"/>
      <c r="L31" s="39"/>
      <c r="M31" s="39"/>
      <c r="N31" s="39"/>
      <c r="O31" s="39"/>
      <c r="P31" s="20" t="s">
        <v>52</v>
      </c>
    </row>
    <row r="32" spans="1:16" ht="26.25" customHeight="1" x14ac:dyDescent="0.25">
      <c r="A32" s="24"/>
      <c r="B32" s="26"/>
      <c r="C32" s="1"/>
      <c r="D32" s="27"/>
      <c r="E32" s="27"/>
      <c r="F32" s="27"/>
      <c r="G32" s="39">
        <v>43</v>
      </c>
      <c r="H32" s="39">
        <v>24</v>
      </c>
      <c r="I32" s="39">
        <v>18</v>
      </c>
      <c r="J32" s="39">
        <v>28</v>
      </c>
      <c r="K32" s="39">
        <v>26</v>
      </c>
      <c r="L32" s="39">
        <v>28</v>
      </c>
      <c r="M32" s="39">
        <v>70</v>
      </c>
      <c r="N32" s="39">
        <v>39</v>
      </c>
      <c r="O32" s="40"/>
      <c r="P32" s="28" t="s">
        <v>124</v>
      </c>
    </row>
    <row r="33" spans="1:1019" s="3" customFormat="1" ht="26.25" customHeight="1" x14ac:dyDescent="0.25">
      <c r="A33" s="29"/>
      <c r="B33" s="30"/>
      <c r="C33" s="31"/>
      <c r="D33" s="32"/>
      <c r="E33" s="32"/>
      <c r="F33" s="32"/>
      <c r="G33" s="41">
        <v>87</v>
      </c>
      <c r="H33" s="41">
        <v>103</v>
      </c>
      <c r="I33" s="41">
        <v>65</v>
      </c>
      <c r="J33" s="41">
        <v>33</v>
      </c>
      <c r="K33" s="41">
        <v>27</v>
      </c>
      <c r="L33" s="41">
        <v>21</v>
      </c>
      <c r="M33" s="41">
        <v>96</v>
      </c>
      <c r="N33" s="42"/>
      <c r="O33" s="42"/>
      <c r="P33" s="33" t="s">
        <v>51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  <c r="ALA33" s="1"/>
      <c r="ALB33" s="1"/>
      <c r="ALC33" s="1"/>
      <c r="ALD33" s="1"/>
      <c r="ALE33" s="1"/>
      <c r="ALF33" s="1"/>
      <c r="ALG33" s="1"/>
      <c r="ALH33" s="1"/>
      <c r="ALI33" s="1"/>
      <c r="ALJ33" s="1"/>
      <c r="ALK33" s="1"/>
      <c r="ALL33" s="1"/>
      <c r="ALM33" s="1"/>
      <c r="ALN33" s="1"/>
      <c r="ALO33" s="1"/>
      <c r="ALP33" s="1"/>
      <c r="ALQ33" s="1"/>
      <c r="ALR33" s="1"/>
      <c r="ALS33" s="1"/>
      <c r="ALT33" s="1"/>
      <c r="ALU33" s="1"/>
      <c r="ALV33" s="1"/>
      <c r="ALW33" s="1"/>
      <c r="ALX33" s="1"/>
      <c r="ALY33" s="1"/>
      <c r="ALZ33" s="1"/>
      <c r="AMA33" s="1"/>
      <c r="AMB33" s="1"/>
      <c r="AMC33" s="1"/>
      <c r="AMD33" s="1"/>
      <c r="AME33" s="1"/>
    </row>
    <row r="34" spans="1:1019" s="3" customFormat="1" ht="26.25" customHeight="1" x14ac:dyDescent="0.25">
      <c r="A34" s="21" t="s">
        <v>62</v>
      </c>
      <c r="B34" s="22" t="s">
        <v>94</v>
      </c>
      <c r="C34" s="21" t="s">
        <v>122</v>
      </c>
      <c r="D34" s="21">
        <v>41</v>
      </c>
      <c r="E34" s="21" t="s">
        <v>86</v>
      </c>
      <c r="F34" s="21">
        <v>55</v>
      </c>
      <c r="G34" s="43">
        <v>43</v>
      </c>
      <c r="H34" s="43">
        <v>23</v>
      </c>
      <c r="I34" s="43">
        <v>17</v>
      </c>
      <c r="J34" s="43">
        <v>27</v>
      </c>
      <c r="K34" s="43">
        <v>25</v>
      </c>
      <c r="L34" s="43">
        <v>27</v>
      </c>
      <c r="M34" s="43">
        <v>68</v>
      </c>
      <c r="N34" s="43">
        <v>40</v>
      </c>
      <c r="O34" s="43">
        <v>40</v>
      </c>
      <c r="P34" s="23" t="s">
        <v>50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  <c r="ALA34" s="1"/>
      <c r="ALB34" s="1"/>
      <c r="ALC34" s="1"/>
      <c r="ALD34" s="1"/>
      <c r="ALE34" s="1"/>
      <c r="ALF34" s="1"/>
      <c r="ALG34" s="1"/>
      <c r="ALH34" s="1"/>
      <c r="ALI34" s="1"/>
      <c r="ALJ34" s="1"/>
      <c r="ALK34" s="1"/>
      <c r="ALL34" s="1"/>
      <c r="ALM34" s="1"/>
      <c r="ALN34" s="1"/>
      <c r="ALO34" s="1"/>
      <c r="ALP34" s="1"/>
      <c r="ALQ34" s="1"/>
      <c r="ALR34" s="1"/>
      <c r="ALS34" s="1"/>
      <c r="ALT34" s="1"/>
      <c r="ALU34" s="1"/>
      <c r="ALV34" s="1"/>
      <c r="ALW34" s="1"/>
      <c r="ALX34" s="1"/>
      <c r="ALY34" s="1"/>
      <c r="ALZ34" s="1"/>
      <c r="AMA34" s="1"/>
      <c r="AMB34" s="1"/>
      <c r="AMC34" s="1"/>
      <c r="AMD34" s="1"/>
      <c r="AME34" s="1"/>
    </row>
    <row r="35" spans="1:1019" s="3" customFormat="1" ht="26.25" customHeight="1" x14ac:dyDescent="0.25">
      <c r="A35" s="24"/>
      <c r="B35" s="25"/>
      <c r="C35" s="1"/>
      <c r="D35" s="24"/>
      <c r="E35" s="24"/>
      <c r="F35" s="24"/>
      <c r="G35" s="39"/>
      <c r="H35" s="39"/>
      <c r="I35" s="39"/>
      <c r="J35" s="39"/>
      <c r="K35" s="39"/>
      <c r="L35" s="39"/>
      <c r="M35" s="39"/>
      <c r="N35" s="39"/>
      <c r="O35" s="39"/>
      <c r="P35" s="20" t="s">
        <v>52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  <c r="ALA35" s="1"/>
      <c r="ALB35" s="1"/>
      <c r="ALC35" s="1"/>
      <c r="ALD35" s="1"/>
      <c r="ALE35" s="1"/>
      <c r="ALF35" s="1"/>
      <c r="ALG35" s="1"/>
      <c r="ALH35" s="1"/>
      <c r="ALI35" s="1"/>
      <c r="ALJ35" s="1"/>
      <c r="ALK35" s="1"/>
      <c r="ALL35" s="1"/>
      <c r="ALM35" s="1"/>
      <c r="ALN35" s="1"/>
      <c r="ALO35" s="1"/>
      <c r="ALP35" s="1"/>
      <c r="ALQ35" s="1"/>
      <c r="ALR35" s="1"/>
      <c r="ALS35" s="1"/>
      <c r="ALT35" s="1"/>
      <c r="ALU35" s="1"/>
      <c r="ALV35" s="1"/>
      <c r="ALW35" s="1"/>
      <c r="ALX35" s="1"/>
      <c r="ALY35" s="1"/>
      <c r="ALZ35" s="1"/>
      <c r="AMA35" s="1"/>
      <c r="AMB35" s="1"/>
      <c r="AMC35" s="1"/>
      <c r="AMD35" s="1"/>
      <c r="AME35" s="1"/>
    </row>
    <row r="36" spans="1:1019" s="3" customFormat="1" ht="26.25" customHeight="1" x14ac:dyDescent="0.25">
      <c r="A36" s="24"/>
      <c r="B36" s="26"/>
      <c r="C36" s="1"/>
      <c r="D36" s="27"/>
      <c r="E36" s="27"/>
      <c r="F36" s="27"/>
      <c r="G36" s="39">
        <v>46</v>
      </c>
      <c r="H36" s="39">
        <v>56</v>
      </c>
      <c r="I36" s="39">
        <v>19</v>
      </c>
      <c r="J36" s="39">
        <v>14</v>
      </c>
      <c r="K36" s="39">
        <v>101</v>
      </c>
      <c r="L36" s="39">
        <v>97</v>
      </c>
      <c r="M36" s="39">
        <v>115</v>
      </c>
      <c r="N36" s="39">
        <v>71</v>
      </c>
      <c r="O36" s="40"/>
      <c r="P36" s="28" t="s">
        <v>124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  <c r="ALA36" s="1"/>
      <c r="ALB36" s="1"/>
      <c r="ALC36" s="1"/>
      <c r="ALD36" s="1"/>
      <c r="ALE36" s="1"/>
      <c r="ALF36" s="1"/>
      <c r="ALG36" s="1"/>
      <c r="ALH36" s="1"/>
      <c r="ALI36" s="1"/>
      <c r="ALJ36" s="1"/>
      <c r="ALK36" s="1"/>
      <c r="ALL36" s="1"/>
      <c r="ALM36" s="1"/>
      <c r="ALN36" s="1"/>
      <c r="ALO36" s="1"/>
      <c r="ALP36" s="1"/>
      <c r="ALQ36" s="1"/>
      <c r="ALR36" s="1"/>
      <c r="ALS36" s="1"/>
      <c r="ALT36" s="1"/>
      <c r="ALU36" s="1"/>
      <c r="ALV36" s="1"/>
      <c r="ALW36" s="1"/>
      <c r="ALX36" s="1"/>
      <c r="ALY36" s="1"/>
      <c r="ALZ36" s="1"/>
      <c r="AMA36" s="1"/>
      <c r="AMB36" s="1"/>
      <c r="AMC36" s="1"/>
      <c r="AMD36" s="1"/>
      <c r="AME36" s="1"/>
    </row>
    <row r="37" spans="1:1019" s="3" customFormat="1" ht="26.25" customHeight="1" x14ac:dyDescent="0.25">
      <c r="A37" s="29"/>
      <c r="B37" s="30"/>
      <c r="C37" s="31"/>
      <c r="D37" s="32"/>
      <c r="E37" s="32"/>
      <c r="F37" s="32"/>
      <c r="G37" s="41">
        <v>86</v>
      </c>
      <c r="H37" s="41">
        <v>102</v>
      </c>
      <c r="I37" s="41">
        <v>66</v>
      </c>
      <c r="J37" s="41">
        <v>34</v>
      </c>
      <c r="K37" s="41">
        <v>25</v>
      </c>
      <c r="L37" s="41">
        <v>21</v>
      </c>
      <c r="M37" s="41">
        <v>92</v>
      </c>
      <c r="N37" s="42"/>
      <c r="O37" s="42"/>
      <c r="P37" s="33" t="s">
        <v>51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  <c r="ALA37" s="1"/>
      <c r="ALB37" s="1"/>
      <c r="ALC37" s="1"/>
      <c r="ALD37" s="1"/>
      <c r="ALE37" s="1"/>
      <c r="ALF37" s="1"/>
      <c r="ALG37" s="1"/>
      <c r="ALH37" s="1"/>
      <c r="ALI37" s="1"/>
      <c r="ALJ37" s="1"/>
      <c r="ALK37" s="1"/>
      <c r="ALL37" s="1"/>
      <c r="ALM37" s="1"/>
      <c r="ALN37" s="1"/>
      <c r="ALO37" s="1"/>
      <c r="ALP37" s="1"/>
      <c r="ALQ37" s="1"/>
      <c r="ALR37" s="1"/>
      <c r="ALS37" s="1"/>
      <c r="ALT37" s="1"/>
      <c r="ALU37" s="1"/>
      <c r="ALV37" s="1"/>
      <c r="ALW37" s="1"/>
      <c r="ALX37" s="1"/>
      <c r="ALY37" s="1"/>
      <c r="ALZ37" s="1"/>
      <c r="AMA37" s="1"/>
      <c r="AMB37" s="1"/>
      <c r="AMC37" s="1"/>
      <c r="AMD37" s="1"/>
      <c r="AME37" s="1"/>
    </row>
    <row r="38" spans="1:1019" s="3" customFormat="1" ht="26.25" customHeight="1" x14ac:dyDescent="0.25">
      <c r="A38" s="21" t="s">
        <v>63</v>
      </c>
      <c r="B38" s="22" t="s">
        <v>95</v>
      </c>
      <c r="C38" s="21" t="s">
        <v>122</v>
      </c>
      <c r="D38" s="21">
        <v>39</v>
      </c>
      <c r="E38" s="21" t="s">
        <v>86</v>
      </c>
      <c r="F38" s="21">
        <v>53</v>
      </c>
      <c r="G38" s="43">
        <v>42</v>
      </c>
      <c r="H38" s="43">
        <v>56</v>
      </c>
      <c r="I38" s="43">
        <v>18</v>
      </c>
      <c r="J38" s="43">
        <v>14</v>
      </c>
      <c r="K38" s="43">
        <v>97</v>
      </c>
      <c r="L38" s="43">
        <v>85</v>
      </c>
      <c r="M38" s="43">
        <v>104</v>
      </c>
      <c r="N38" s="43">
        <v>69</v>
      </c>
      <c r="O38" s="43">
        <v>37</v>
      </c>
      <c r="P38" s="23" t="s">
        <v>50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  <c r="ALA38" s="1"/>
      <c r="ALB38" s="1"/>
      <c r="ALC38" s="1"/>
      <c r="ALD38" s="1"/>
      <c r="ALE38" s="1"/>
      <c r="ALF38" s="1"/>
      <c r="ALG38" s="1"/>
      <c r="ALH38" s="1"/>
      <c r="ALI38" s="1"/>
      <c r="ALJ38" s="1"/>
      <c r="ALK38" s="1"/>
      <c r="ALL38" s="1"/>
      <c r="ALM38" s="1"/>
      <c r="ALN38" s="1"/>
      <c r="ALO38" s="1"/>
      <c r="ALP38" s="1"/>
      <c r="ALQ38" s="1"/>
      <c r="ALR38" s="1"/>
      <c r="ALS38" s="1"/>
      <c r="ALT38" s="1"/>
      <c r="ALU38" s="1"/>
      <c r="ALV38" s="1"/>
      <c r="ALW38" s="1"/>
      <c r="ALX38" s="1"/>
      <c r="ALY38" s="1"/>
      <c r="ALZ38" s="1"/>
      <c r="AMA38" s="1"/>
      <c r="AMB38" s="1"/>
      <c r="AMC38" s="1"/>
      <c r="AMD38" s="1"/>
      <c r="AME38" s="1"/>
    </row>
    <row r="39" spans="1:1019" s="3" customFormat="1" ht="26.25" customHeight="1" x14ac:dyDescent="0.25">
      <c r="A39" s="24"/>
      <c r="B39" s="25"/>
      <c r="C39" s="1"/>
      <c r="D39" s="24"/>
      <c r="E39" s="24"/>
      <c r="F39" s="24"/>
      <c r="G39" s="39"/>
      <c r="H39" s="39"/>
      <c r="I39" s="39"/>
      <c r="J39" s="39"/>
      <c r="K39" s="39"/>
      <c r="L39" s="39"/>
      <c r="M39" s="39"/>
      <c r="N39" s="39"/>
      <c r="O39" s="39"/>
      <c r="P39" s="20" t="s">
        <v>52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  <c r="VA39" s="1"/>
      <c r="VB39" s="1"/>
      <c r="VC39" s="1"/>
      <c r="VD39" s="1"/>
      <c r="VE39" s="1"/>
      <c r="VF39" s="1"/>
      <c r="VG39" s="1"/>
      <c r="VH39" s="1"/>
      <c r="VI39" s="1"/>
      <c r="VJ39" s="1"/>
      <c r="VK39" s="1"/>
      <c r="VL39" s="1"/>
      <c r="VM39" s="1"/>
      <c r="VN39" s="1"/>
      <c r="VO39" s="1"/>
      <c r="VP39" s="1"/>
      <c r="VQ39" s="1"/>
      <c r="VR39" s="1"/>
      <c r="VS39" s="1"/>
      <c r="VT39" s="1"/>
      <c r="VU39" s="1"/>
      <c r="VV39" s="1"/>
      <c r="VW39" s="1"/>
      <c r="VX39" s="1"/>
      <c r="VY39" s="1"/>
      <c r="VZ39" s="1"/>
      <c r="WA39" s="1"/>
      <c r="WB39" s="1"/>
      <c r="WC39" s="1"/>
      <c r="WD39" s="1"/>
      <c r="WE39" s="1"/>
      <c r="WF39" s="1"/>
      <c r="WG39" s="1"/>
      <c r="WH39" s="1"/>
      <c r="WI39" s="1"/>
      <c r="WJ39" s="1"/>
      <c r="WK39" s="1"/>
      <c r="WL39" s="1"/>
      <c r="WM39" s="1"/>
      <c r="WN39" s="1"/>
      <c r="WO39" s="1"/>
      <c r="WP39" s="1"/>
      <c r="WQ39" s="1"/>
      <c r="WR39" s="1"/>
      <c r="WS39" s="1"/>
      <c r="WT39" s="1"/>
      <c r="WU39" s="1"/>
      <c r="WV39" s="1"/>
      <c r="WW39" s="1"/>
      <c r="WX39" s="1"/>
      <c r="WY39" s="1"/>
      <c r="WZ39" s="1"/>
      <c r="XA39" s="1"/>
      <c r="XB39" s="1"/>
      <c r="XC39" s="1"/>
      <c r="XD39" s="1"/>
      <c r="XE39" s="1"/>
      <c r="XF39" s="1"/>
      <c r="XG39" s="1"/>
      <c r="XH39" s="1"/>
      <c r="XI39" s="1"/>
      <c r="XJ39" s="1"/>
      <c r="XK39" s="1"/>
      <c r="XL39" s="1"/>
      <c r="XM39" s="1"/>
      <c r="XN39" s="1"/>
      <c r="XO39" s="1"/>
      <c r="XP39" s="1"/>
      <c r="XQ39" s="1"/>
      <c r="XR39" s="1"/>
      <c r="XS39" s="1"/>
      <c r="XT39" s="1"/>
      <c r="XU39" s="1"/>
      <c r="XV39" s="1"/>
      <c r="XW39" s="1"/>
      <c r="XX39" s="1"/>
      <c r="XY39" s="1"/>
      <c r="XZ39" s="1"/>
      <c r="YA39" s="1"/>
      <c r="YB39" s="1"/>
      <c r="YC39" s="1"/>
      <c r="YD39" s="1"/>
      <c r="YE39" s="1"/>
      <c r="YF39" s="1"/>
      <c r="YG39" s="1"/>
      <c r="YH39" s="1"/>
      <c r="YI39" s="1"/>
      <c r="YJ39" s="1"/>
      <c r="YK39" s="1"/>
      <c r="YL39" s="1"/>
      <c r="YM39" s="1"/>
      <c r="YN39" s="1"/>
      <c r="YO39" s="1"/>
      <c r="YP39" s="1"/>
      <c r="YQ39" s="1"/>
      <c r="YR39" s="1"/>
      <c r="YS39" s="1"/>
      <c r="YT39" s="1"/>
      <c r="YU39" s="1"/>
      <c r="YV39" s="1"/>
      <c r="YW39" s="1"/>
      <c r="YX39" s="1"/>
      <c r="YY39" s="1"/>
      <c r="YZ39" s="1"/>
      <c r="ZA39" s="1"/>
      <c r="ZB39" s="1"/>
      <c r="ZC39" s="1"/>
      <c r="ZD39" s="1"/>
      <c r="ZE39" s="1"/>
      <c r="ZF39" s="1"/>
      <c r="ZG39" s="1"/>
      <c r="ZH39" s="1"/>
      <c r="ZI39" s="1"/>
      <c r="ZJ39" s="1"/>
      <c r="ZK39" s="1"/>
      <c r="ZL39" s="1"/>
      <c r="ZM39" s="1"/>
      <c r="ZN39" s="1"/>
      <c r="ZO39" s="1"/>
      <c r="ZP39" s="1"/>
      <c r="ZQ39" s="1"/>
      <c r="ZR39" s="1"/>
      <c r="ZS39" s="1"/>
      <c r="ZT39" s="1"/>
      <c r="ZU39" s="1"/>
      <c r="ZV39" s="1"/>
      <c r="ZW39" s="1"/>
      <c r="ZX39" s="1"/>
      <c r="ZY39" s="1"/>
      <c r="ZZ39" s="1"/>
      <c r="AAA39" s="1"/>
      <c r="AAB39" s="1"/>
      <c r="AAC39" s="1"/>
      <c r="AAD39" s="1"/>
      <c r="AAE39" s="1"/>
      <c r="AAF39" s="1"/>
      <c r="AAG39" s="1"/>
      <c r="AAH39" s="1"/>
      <c r="AAI39" s="1"/>
      <c r="AAJ39" s="1"/>
      <c r="AAK39" s="1"/>
      <c r="AAL39" s="1"/>
      <c r="AAM39" s="1"/>
      <c r="AAN39" s="1"/>
      <c r="AAO39" s="1"/>
      <c r="AAP39" s="1"/>
      <c r="AAQ39" s="1"/>
      <c r="AAR39" s="1"/>
      <c r="AAS39" s="1"/>
      <c r="AAT39" s="1"/>
      <c r="AAU39" s="1"/>
      <c r="AAV39" s="1"/>
      <c r="AAW39" s="1"/>
      <c r="AAX39" s="1"/>
      <c r="AAY39" s="1"/>
      <c r="AAZ39" s="1"/>
      <c r="ABA39" s="1"/>
      <c r="ABB39" s="1"/>
      <c r="ABC39" s="1"/>
      <c r="ABD39" s="1"/>
      <c r="ABE39" s="1"/>
      <c r="ABF39" s="1"/>
      <c r="ABG39" s="1"/>
      <c r="ABH39" s="1"/>
      <c r="ABI39" s="1"/>
      <c r="ABJ39" s="1"/>
      <c r="ABK39" s="1"/>
      <c r="ABL39" s="1"/>
      <c r="ABM39" s="1"/>
      <c r="ABN39" s="1"/>
      <c r="ABO39" s="1"/>
      <c r="ABP39" s="1"/>
      <c r="ABQ39" s="1"/>
      <c r="ABR39" s="1"/>
      <c r="ABS39" s="1"/>
      <c r="ABT39" s="1"/>
      <c r="ABU39" s="1"/>
      <c r="ABV39" s="1"/>
      <c r="ABW39" s="1"/>
      <c r="ABX39" s="1"/>
      <c r="ABY39" s="1"/>
      <c r="ABZ39" s="1"/>
      <c r="ACA39" s="1"/>
      <c r="ACB39" s="1"/>
      <c r="ACC39" s="1"/>
      <c r="ACD39" s="1"/>
      <c r="ACE39" s="1"/>
      <c r="ACF39" s="1"/>
      <c r="ACG39" s="1"/>
      <c r="ACH39" s="1"/>
      <c r="ACI39" s="1"/>
      <c r="ACJ39" s="1"/>
      <c r="ACK39" s="1"/>
      <c r="ACL39" s="1"/>
      <c r="ACM39" s="1"/>
      <c r="ACN39" s="1"/>
      <c r="ACO39" s="1"/>
      <c r="ACP39" s="1"/>
      <c r="ACQ39" s="1"/>
      <c r="ACR39" s="1"/>
      <c r="ACS39" s="1"/>
      <c r="ACT39" s="1"/>
      <c r="ACU39" s="1"/>
      <c r="ACV39" s="1"/>
      <c r="ACW39" s="1"/>
      <c r="ACX39" s="1"/>
      <c r="ACY39" s="1"/>
      <c r="ACZ39" s="1"/>
      <c r="ADA39" s="1"/>
      <c r="ADB39" s="1"/>
      <c r="ADC39" s="1"/>
      <c r="ADD39" s="1"/>
      <c r="ADE39" s="1"/>
      <c r="ADF39" s="1"/>
      <c r="ADG39" s="1"/>
      <c r="ADH39" s="1"/>
      <c r="ADI39" s="1"/>
      <c r="ADJ39" s="1"/>
      <c r="ADK39" s="1"/>
      <c r="ADL39" s="1"/>
      <c r="ADM39" s="1"/>
      <c r="ADN39" s="1"/>
      <c r="ADO39" s="1"/>
      <c r="ADP39" s="1"/>
      <c r="ADQ39" s="1"/>
      <c r="ADR39" s="1"/>
      <c r="ADS39" s="1"/>
      <c r="ADT39" s="1"/>
      <c r="ADU39" s="1"/>
      <c r="ADV39" s="1"/>
      <c r="ADW39" s="1"/>
      <c r="ADX39" s="1"/>
      <c r="ADY39" s="1"/>
      <c r="ADZ39" s="1"/>
      <c r="AEA39" s="1"/>
      <c r="AEB39" s="1"/>
      <c r="AEC39" s="1"/>
      <c r="AED39" s="1"/>
      <c r="AEE39" s="1"/>
      <c r="AEF39" s="1"/>
      <c r="AEG39" s="1"/>
      <c r="AEH39" s="1"/>
      <c r="AEI39" s="1"/>
      <c r="AEJ39" s="1"/>
      <c r="AEK39" s="1"/>
      <c r="AEL39" s="1"/>
      <c r="AEM39" s="1"/>
      <c r="AEN39" s="1"/>
      <c r="AEO39" s="1"/>
      <c r="AEP39" s="1"/>
      <c r="AEQ39" s="1"/>
      <c r="AER39" s="1"/>
      <c r="AES39" s="1"/>
      <c r="AET39" s="1"/>
      <c r="AEU39" s="1"/>
      <c r="AEV39" s="1"/>
      <c r="AEW39" s="1"/>
      <c r="AEX39" s="1"/>
      <c r="AEY39" s="1"/>
      <c r="AEZ39" s="1"/>
      <c r="AFA39" s="1"/>
      <c r="AFB39" s="1"/>
      <c r="AFC39" s="1"/>
      <c r="AFD39" s="1"/>
      <c r="AFE39" s="1"/>
      <c r="AFF39" s="1"/>
      <c r="AFG39" s="1"/>
      <c r="AFH39" s="1"/>
      <c r="AFI39" s="1"/>
      <c r="AFJ39" s="1"/>
      <c r="AFK39" s="1"/>
      <c r="AFL39" s="1"/>
      <c r="AFM39" s="1"/>
      <c r="AFN39" s="1"/>
      <c r="AFO39" s="1"/>
      <c r="AFP39" s="1"/>
      <c r="AFQ39" s="1"/>
      <c r="AFR39" s="1"/>
      <c r="AFS39" s="1"/>
      <c r="AFT39" s="1"/>
      <c r="AFU39" s="1"/>
      <c r="AFV39" s="1"/>
      <c r="AFW39" s="1"/>
      <c r="AFX39" s="1"/>
      <c r="AFY39" s="1"/>
      <c r="AFZ39" s="1"/>
      <c r="AGA39" s="1"/>
      <c r="AGB39" s="1"/>
      <c r="AGC39" s="1"/>
      <c r="AGD39" s="1"/>
      <c r="AGE39" s="1"/>
      <c r="AGF39" s="1"/>
      <c r="AGG39" s="1"/>
      <c r="AGH39" s="1"/>
      <c r="AGI39" s="1"/>
      <c r="AGJ39" s="1"/>
      <c r="AGK39" s="1"/>
      <c r="AGL39" s="1"/>
      <c r="AGM39" s="1"/>
      <c r="AGN39" s="1"/>
      <c r="AGO39" s="1"/>
      <c r="AGP39" s="1"/>
      <c r="AGQ39" s="1"/>
      <c r="AGR39" s="1"/>
      <c r="AGS39" s="1"/>
      <c r="AGT39" s="1"/>
      <c r="AGU39" s="1"/>
      <c r="AGV39" s="1"/>
      <c r="AGW39" s="1"/>
      <c r="AGX39" s="1"/>
      <c r="AGY39" s="1"/>
      <c r="AGZ39" s="1"/>
      <c r="AHA39" s="1"/>
      <c r="AHB39" s="1"/>
      <c r="AHC39" s="1"/>
      <c r="AHD39" s="1"/>
      <c r="AHE39" s="1"/>
      <c r="AHF39" s="1"/>
      <c r="AHG39" s="1"/>
      <c r="AHH39" s="1"/>
      <c r="AHI39" s="1"/>
      <c r="AHJ39" s="1"/>
      <c r="AHK39" s="1"/>
      <c r="AHL39" s="1"/>
      <c r="AHM39" s="1"/>
      <c r="AHN39" s="1"/>
      <c r="AHO39" s="1"/>
      <c r="AHP39" s="1"/>
      <c r="AHQ39" s="1"/>
      <c r="AHR39" s="1"/>
      <c r="AHS39" s="1"/>
      <c r="AHT39" s="1"/>
      <c r="AHU39" s="1"/>
      <c r="AHV39" s="1"/>
      <c r="AHW39" s="1"/>
      <c r="AHX39" s="1"/>
      <c r="AHY39" s="1"/>
      <c r="AHZ39" s="1"/>
      <c r="AIA39" s="1"/>
      <c r="AIB39" s="1"/>
      <c r="AIC39" s="1"/>
      <c r="AID39" s="1"/>
      <c r="AIE39" s="1"/>
      <c r="AIF39" s="1"/>
      <c r="AIG39" s="1"/>
      <c r="AIH39" s="1"/>
      <c r="AII39" s="1"/>
      <c r="AIJ39" s="1"/>
      <c r="AIK39" s="1"/>
      <c r="AIL39" s="1"/>
      <c r="AIM39" s="1"/>
      <c r="AIN39" s="1"/>
      <c r="AIO39" s="1"/>
      <c r="AIP39" s="1"/>
      <c r="AIQ39" s="1"/>
      <c r="AIR39" s="1"/>
      <c r="AIS39" s="1"/>
      <c r="AIT39" s="1"/>
      <c r="AIU39" s="1"/>
      <c r="AIV39" s="1"/>
      <c r="AIW39" s="1"/>
      <c r="AIX39" s="1"/>
      <c r="AIY39" s="1"/>
      <c r="AIZ39" s="1"/>
      <c r="AJA39" s="1"/>
      <c r="AJB39" s="1"/>
      <c r="AJC39" s="1"/>
      <c r="AJD39" s="1"/>
      <c r="AJE39" s="1"/>
      <c r="AJF39" s="1"/>
      <c r="AJG39" s="1"/>
      <c r="AJH39" s="1"/>
      <c r="AJI39" s="1"/>
      <c r="AJJ39" s="1"/>
      <c r="AJK39" s="1"/>
      <c r="AJL39" s="1"/>
      <c r="AJM39" s="1"/>
      <c r="AJN39" s="1"/>
      <c r="AJO39" s="1"/>
      <c r="AJP39" s="1"/>
      <c r="AJQ39" s="1"/>
      <c r="AJR39" s="1"/>
      <c r="AJS39" s="1"/>
      <c r="AJT39" s="1"/>
      <c r="AJU39" s="1"/>
      <c r="AJV39" s="1"/>
      <c r="AJW39" s="1"/>
      <c r="AJX39" s="1"/>
      <c r="AJY39" s="1"/>
      <c r="AJZ39" s="1"/>
      <c r="AKA39" s="1"/>
      <c r="AKB39" s="1"/>
      <c r="AKC39" s="1"/>
      <c r="AKD39" s="1"/>
      <c r="AKE39" s="1"/>
      <c r="AKF39" s="1"/>
      <c r="AKG39" s="1"/>
      <c r="AKH39" s="1"/>
      <c r="AKI39" s="1"/>
      <c r="AKJ39" s="1"/>
      <c r="AKK39" s="1"/>
      <c r="AKL39" s="1"/>
      <c r="AKM39" s="1"/>
      <c r="AKN39" s="1"/>
      <c r="AKO39" s="1"/>
      <c r="AKP39" s="1"/>
      <c r="AKQ39" s="1"/>
      <c r="AKR39" s="1"/>
      <c r="AKS39" s="1"/>
      <c r="AKT39" s="1"/>
      <c r="AKU39" s="1"/>
      <c r="AKV39" s="1"/>
      <c r="AKW39" s="1"/>
      <c r="AKX39" s="1"/>
      <c r="AKY39" s="1"/>
      <c r="AKZ39" s="1"/>
      <c r="ALA39" s="1"/>
      <c r="ALB39" s="1"/>
      <c r="ALC39" s="1"/>
      <c r="ALD39" s="1"/>
      <c r="ALE39" s="1"/>
      <c r="ALF39" s="1"/>
      <c r="ALG39" s="1"/>
      <c r="ALH39" s="1"/>
      <c r="ALI39" s="1"/>
      <c r="ALJ39" s="1"/>
      <c r="ALK39" s="1"/>
      <c r="ALL39" s="1"/>
      <c r="ALM39" s="1"/>
      <c r="ALN39" s="1"/>
      <c r="ALO39" s="1"/>
      <c r="ALP39" s="1"/>
      <c r="ALQ39" s="1"/>
      <c r="ALR39" s="1"/>
      <c r="ALS39" s="1"/>
      <c r="ALT39" s="1"/>
      <c r="ALU39" s="1"/>
      <c r="ALV39" s="1"/>
      <c r="ALW39" s="1"/>
      <c r="ALX39" s="1"/>
      <c r="ALY39" s="1"/>
      <c r="ALZ39" s="1"/>
      <c r="AMA39" s="1"/>
      <c r="AMB39" s="1"/>
      <c r="AMC39" s="1"/>
      <c r="AMD39" s="1"/>
      <c r="AME39" s="1"/>
    </row>
    <row r="40" spans="1:1019" s="3" customFormat="1" ht="26.25" customHeight="1" x14ac:dyDescent="0.25">
      <c r="A40" s="24"/>
      <c r="B40" s="26"/>
      <c r="C40" s="1"/>
      <c r="D40" s="27"/>
      <c r="E40" s="27"/>
      <c r="F40" s="27"/>
      <c r="G40" s="39">
        <v>40</v>
      </c>
      <c r="H40" s="39">
        <v>23</v>
      </c>
      <c r="I40" s="39">
        <v>17</v>
      </c>
      <c r="J40" s="39">
        <v>26</v>
      </c>
      <c r="K40" s="39">
        <v>25</v>
      </c>
      <c r="L40" s="39">
        <v>26</v>
      </c>
      <c r="M40" s="39">
        <v>68</v>
      </c>
      <c r="N40" s="39">
        <v>37</v>
      </c>
      <c r="O40" s="40"/>
      <c r="P40" s="28" t="s">
        <v>124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  <c r="VA40" s="1"/>
      <c r="VB40" s="1"/>
      <c r="VC40" s="1"/>
      <c r="VD40" s="1"/>
      <c r="VE40" s="1"/>
      <c r="VF40" s="1"/>
      <c r="VG40" s="1"/>
      <c r="VH40" s="1"/>
      <c r="VI40" s="1"/>
      <c r="VJ40" s="1"/>
      <c r="VK40" s="1"/>
      <c r="VL40" s="1"/>
      <c r="VM40" s="1"/>
      <c r="VN40" s="1"/>
      <c r="VO40" s="1"/>
      <c r="VP40" s="1"/>
      <c r="VQ40" s="1"/>
      <c r="VR40" s="1"/>
      <c r="VS40" s="1"/>
      <c r="VT40" s="1"/>
      <c r="VU40" s="1"/>
      <c r="VV40" s="1"/>
      <c r="VW40" s="1"/>
      <c r="VX40" s="1"/>
      <c r="VY40" s="1"/>
      <c r="VZ40" s="1"/>
      <c r="WA40" s="1"/>
      <c r="WB40" s="1"/>
      <c r="WC40" s="1"/>
      <c r="WD40" s="1"/>
      <c r="WE40" s="1"/>
      <c r="WF40" s="1"/>
      <c r="WG40" s="1"/>
      <c r="WH40" s="1"/>
      <c r="WI40" s="1"/>
      <c r="WJ40" s="1"/>
      <c r="WK40" s="1"/>
      <c r="WL40" s="1"/>
      <c r="WM40" s="1"/>
      <c r="WN40" s="1"/>
      <c r="WO40" s="1"/>
      <c r="WP40" s="1"/>
      <c r="WQ40" s="1"/>
      <c r="WR40" s="1"/>
      <c r="WS40" s="1"/>
      <c r="WT40" s="1"/>
      <c r="WU40" s="1"/>
      <c r="WV40" s="1"/>
      <c r="WW40" s="1"/>
      <c r="WX40" s="1"/>
      <c r="WY40" s="1"/>
      <c r="WZ40" s="1"/>
      <c r="XA40" s="1"/>
      <c r="XB40" s="1"/>
      <c r="XC40" s="1"/>
      <c r="XD40" s="1"/>
      <c r="XE40" s="1"/>
      <c r="XF40" s="1"/>
      <c r="XG40" s="1"/>
      <c r="XH40" s="1"/>
      <c r="XI40" s="1"/>
      <c r="XJ40" s="1"/>
      <c r="XK40" s="1"/>
      <c r="XL40" s="1"/>
      <c r="XM40" s="1"/>
      <c r="XN40" s="1"/>
      <c r="XO40" s="1"/>
      <c r="XP40" s="1"/>
      <c r="XQ40" s="1"/>
      <c r="XR40" s="1"/>
      <c r="XS40" s="1"/>
      <c r="XT40" s="1"/>
      <c r="XU40" s="1"/>
      <c r="XV40" s="1"/>
      <c r="XW40" s="1"/>
      <c r="XX40" s="1"/>
      <c r="XY40" s="1"/>
      <c r="XZ40" s="1"/>
      <c r="YA40" s="1"/>
      <c r="YB40" s="1"/>
      <c r="YC40" s="1"/>
      <c r="YD40" s="1"/>
      <c r="YE40" s="1"/>
      <c r="YF40" s="1"/>
      <c r="YG40" s="1"/>
      <c r="YH40" s="1"/>
      <c r="YI40" s="1"/>
      <c r="YJ40" s="1"/>
      <c r="YK40" s="1"/>
      <c r="YL40" s="1"/>
      <c r="YM40" s="1"/>
      <c r="YN40" s="1"/>
      <c r="YO40" s="1"/>
      <c r="YP40" s="1"/>
      <c r="YQ40" s="1"/>
      <c r="YR40" s="1"/>
      <c r="YS40" s="1"/>
      <c r="YT40" s="1"/>
      <c r="YU40" s="1"/>
      <c r="YV40" s="1"/>
      <c r="YW40" s="1"/>
      <c r="YX40" s="1"/>
      <c r="YY40" s="1"/>
      <c r="YZ40" s="1"/>
      <c r="ZA40" s="1"/>
      <c r="ZB40" s="1"/>
      <c r="ZC40" s="1"/>
      <c r="ZD40" s="1"/>
      <c r="ZE40" s="1"/>
      <c r="ZF40" s="1"/>
      <c r="ZG40" s="1"/>
      <c r="ZH40" s="1"/>
      <c r="ZI40" s="1"/>
      <c r="ZJ40" s="1"/>
      <c r="ZK40" s="1"/>
      <c r="ZL40" s="1"/>
      <c r="ZM40" s="1"/>
      <c r="ZN40" s="1"/>
      <c r="ZO40" s="1"/>
      <c r="ZP40" s="1"/>
      <c r="ZQ40" s="1"/>
      <c r="ZR40" s="1"/>
      <c r="ZS40" s="1"/>
      <c r="ZT40" s="1"/>
      <c r="ZU40" s="1"/>
      <c r="ZV40" s="1"/>
      <c r="ZW40" s="1"/>
      <c r="ZX40" s="1"/>
      <c r="ZY40" s="1"/>
      <c r="ZZ40" s="1"/>
      <c r="AAA40" s="1"/>
      <c r="AAB40" s="1"/>
      <c r="AAC40" s="1"/>
      <c r="AAD40" s="1"/>
      <c r="AAE40" s="1"/>
      <c r="AAF40" s="1"/>
      <c r="AAG40" s="1"/>
      <c r="AAH40" s="1"/>
      <c r="AAI40" s="1"/>
      <c r="AAJ40" s="1"/>
      <c r="AAK40" s="1"/>
      <c r="AAL40" s="1"/>
      <c r="AAM40" s="1"/>
      <c r="AAN40" s="1"/>
      <c r="AAO40" s="1"/>
      <c r="AAP40" s="1"/>
      <c r="AAQ40" s="1"/>
      <c r="AAR40" s="1"/>
      <c r="AAS40" s="1"/>
      <c r="AAT40" s="1"/>
      <c r="AAU40" s="1"/>
      <c r="AAV40" s="1"/>
      <c r="AAW40" s="1"/>
      <c r="AAX40" s="1"/>
      <c r="AAY40" s="1"/>
      <c r="AAZ40" s="1"/>
      <c r="ABA40" s="1"/>
      <c r="ABB40" s="1"/>
      <c r="ABC40" s="1"/>
      <c r="ABD40" s="1"/>
      <c r="ABE40" s="1"/>
      <c r="ABF40" s="1"/>
      <c r="ABG40" s="1"/>
      <c r="ABH40" s="1"/>
      <c r="ABI40" s="1"/>
      <c r="ABJ40" s="1"/>
      <c r="ABK40" s="1"/>
      <c r="ABL40" s="1"/>
      <c r="ABM40" s="1"/>
      <c r="ABN40" s="1"/>
      <c r="ABO40" s="1"/>
      <c r="ABP40" s="1"/>
      <c r="ABQ40" s="1"/>
      <c r="ABR40" s="1"/>
      <c r="ABS40" s="1"/>
      <c r="ABT40" s="1"/>
      <c r="ABU40" s="1"/>
      <c r="ABV40" s="1"/>
      <c r="ABW40" s="1"/>
      <c r="ABX40" s="1"/>
      <c r="ABY40" s="1"/>
      <c r="ABZ40" s="1"/>
      <c r="ACA40" s="1"/>
      <c r="ACB40" s="1"/>
      <c r="ACC40" s="1"/>
      <c r="ACD40" s="1"/>
      <c r="ACE40" s="1"/>
      <c r="ACF40" s="1"/>
      <c r="ACG40" s="1"/>
      <c r="ACH40" s="1"/>
      <c r="ACI40" s="1"/>
      <c r="ACJ40" s="1"/>
      <c r="ACK40" s="1"/>
      <c r="ACL40" s="1"/>
      <c r="ACM40" s="1"/>
      <c r="ACN40" s="1"/>
      <c r="ACO40" s="1"/>
      <c r="ACP40" s="1"/>
      <c r="ACQ40" s="1"/>
      <c r="ACR40" s="1"/>
      <c r="ACS40" s="1"/>
      <c r="ACT40" s="1"/>
      <c r="ACU40" s="1"/>
      <c r="ACV40" s="1"/>
      <c r="ACW40" s="1"/>
      <c r="ACX40" s="1"/>
      <c r="ACY40" s="1"/>
      <c r="ACZ40" s="1"/>
      <c r="ADA40" s="1"/>
      <c r="ADB40" s="1"/>
      <c r="ADC40" s="1"/>
      <c r="ADD40" s="1"/>
      <c r="ADE40" s="1"/>
      <c r="ADF40" s="1"/>
      <c r="ADG40" s="1"/>
      <c r="ADH40" s="1"/>
      <c r="ADI40" s="1"/>
      <c r="ADJ40" s="1"/>
      <c r="ADK40" s="1"/>
      <c r="ADL40" s="1"/>
      <c r="ADM40" s="1"/>
      <c r="ADN40" s="1"/>
      <c r="ADO40" s="1"/>
      <c r="ADP40" s="1"/>
      <c r="ADQ40" s="1"/>
      <c r="ADR40" s="1"/>
      <c r="ADS40" s="1"/>
      <c r="ADT40" s="1"/>
      <c r="ADU40" s="1"/>
      <c r="ADV40" s="1"/>
      <c r="ADW40" s="1"/>
      <c r="ADX40" s="1"/>
      <c r="ADY40" s="1"/>
      <c r="ADZ40" s="1"/>
      <c r="AEA40" s="1"/>
      <c r="AEB40" s="1"/>
      <c r="AEC40" s="1"/>
      <c r="AED40" s="1"/>
      <c r="AEE40" s="1"/>
      <c r="AEF40" s="1"/>
      <c r="AEG40" s="1"/>
      <c r="AEH40" s="1"/>
      <c r="AEI40" s="1"/>
      <c r="AEJ40" s="1"/>
      <c r="AEK40" s="1"/>
      <c r="AEL40" s="1"/>
      <c r="AEM40" s="1"/>
      <c r="AEN40" s="1"/>
      <c r="AEO40" s="1"/>
      <c r="AEP40" s="1"/>
      <c r="AEQ40" s="1"/>
      <c r="AER40" s="1"/>
      <c r="AES40" s="1"/>
      <c r="AET40" s="1"/>
      <c r="AEU40" s="1"/>
      <c r="AEV40" s="1"/>
      <c r="AEW40" s="1"/>
      <c r="AEX40" s="1"/>
      <c r="AEY40" s="1"/>
      <c r="AEZ40" s="1"/>
      <c r="AFA40" s="1"/>
      <c r="AFB40" s="1"/>
      <c r="AFC40" s="1"/>
      <c r="AFD40" s="1"/>
      <c r="AFE40" s="1"/>
      <c r="AFF40" s="1"/>
      <c r="AFG40" s="1"/>
      <c r="AFH40" s="1"/>
      <c r="AFI40" s="1"/>
      <c r="AFJ40" s="1"/>
      <c r="AFK40" s="1"/>
      <c r="AFL40" s="1"/>
      <c r="AFM40" s="1"/>
      <c r="AFN40" s="1"/>
      <c r="AFO40" s="1"/>
      <c r="AFP40" s="1"/>
      <c r="AFQ40" s="1"/>
      <c r="AFR40" s="1"/>
      <c r="AFS40" s="1"/>
      <c r="AFT40" s="1"/>
      <c r="AFU40" s="1"/>
      <c r="AFV40" s="1"/>
      <c r="AFW40" s="1"/>
      <c r="AFX40" s="1"/>
      <c r="AFY40" s="1"/>
      <c r="AFZ40" s="1"/>
      <c r="AGA40" s="1"/>
      <c r="AGB40" s="1"/>
      <c r="AGC40" s="1"/>
      <c r="AGD40" s="1"/>
      <c r="AGE40" s="1"/>
      <c r="AGF40" s="1"/>
      <c r="AGG40" s="1"/>
      <c r="AGH40" s="1"/>
      <c r="AGI40" s="1"/>
      <c r="AGJ40" s="1"/>
      <c r="AGK40" s="1"/>
      <c r="AGL40" s="1"/>
      <c r="AGM40" s="1"/>
      <c r="AGN40" s="1"/>
      <c r="AGO40" s="1"/>
      <c r="AGP40" s="1"/>
      <c r="AGQ40" s="1"/>
      <c r="AGR40" s="1"/>
      <c r="AGS40" s="1"/>
      <c r="AGT40" s="1"/>
      <c r="AGU40" s="1"/>
      <c r="AGV40" s="1"/>
      <c r="AGW40" s="1"/>
      <c r="AGX40" s="1"/>
      <c r="AGY40" s="1"/>
      <c r="AGZ40" s="1"/>
      <c r="AHA40" s="1"/>
      <c r="AHB40" s="1"/>
      <c r="AHC40" s="1"/>
      <c r="AHD40" s="1"/>
      <c r="AHE40" s="1"/>
      <c r="AHF40" s="1"/>
      <c r="AHG40" s="1"/>
      <c r="AHH40" s="1"/>
      <c r="AHI40" s="1"/>
      <c r="AHJ40" s="1"/>
      <c r="AHK40" s="1"/>
      <c r="AHL40" s="1"/>
      <c r="AHM40" s="1"/>
      <c r="AHN40" s="1"/>
      <c r="AHO40" s="1"/>
      <c r="AHP40" s="1"/>
      <c r="AHQ40" s="1"/>
      <c r="AHR40" s="1"/>
      <c r="AHS40" s="1"/>
      <c r="AHT40" s="1"/>
      <c r="AHU40" s="1"/>
      <c r="AHV40" s="1"/>
      <c r="AHW40" s="1"/>
      <c r="AHX40" s="1"/>
      <c r="AHY40" s="1"/>
      <c r="AHZ40" s="1"/>
      <c r="AIA40" s="1"/>
      <c r="AIB40" s="1"/>
      <c r="AIC40" s="1"/>
      <c r="AID40" s="1"/>
      <c r="AIE40" s="1"/>
      <c r="AIF40" s="1"/>
      <c r="AIG40" s="1"/>
      <c r="AIH40" s="1"/>
      <c r="AII40" s="1"/>
      <c r="AIJ40" s="1"/>
      <c r="AIK40" s="1"/>
      <c r="AIL40" s="1"/>
      <c r="AIM40" s="1"/>
      <c r="AIN40" s="1"/>
      <c r="AIO40" s="1"/>
      <c r="AIP40" s="1"/>
      <c r="AIQ40" s="1"/>
      <c r="AIR40" s="1"/>
      <c r="AIS40" s="1"/>
      <c r="AIT40" s="1"/>
      <c r="AIU40" s="1"/>
      <c r="AIV40" s="1"/>
      <c r="AIW40" s="1"/>
      <c r="AIX40" s="1"/>
      <c r="AIY40" s="1"/>
      <c r="AIZ40" s="1"/>
      <c r="AJA40" s="1"/>
      <c r="AJB40" s="1"/>
      <c r="AJC40" s="1"/>
      <c r="AJD40" s="1"/>
      <c r="AJE40" s="1"/>
      <c r="AJF40" s="1"/>
      <c r="AJG40" s="1"/>
      <c r="AJH40" s="1"/>
      <c r="AJI40" s="1"/>
      <c r="AJJ40" s="1"/>
      <c r="AJK40" s="1"/>
      <c r="AJL40" s="1"/>
      <c r="AJM40" s="1"/>
      <c r="AJN40" s="1"/>
      <c r="AJO40" s="1"/>
      <c r="AJP40" s="1"/>
      <c r="AJQ40" s="1"/>
      <c r="AJR40" s="1"/>
      <c r="AJS40" s="1"/>
      <c r="AJT40" s="1"/>
      <c r="AJU40" s="1"/>
      <c r="AJV40" s="1"/>
      <c r="AJW40" s="1"/>
      <c r="AJX40" s="1"/>
      <c r="AJY40" s="1"/>
      <c r="AJZ40" s="1"/>
      <c r="AKA40" s="1"/>
      <c r="AKB40" s="1"/>
      <c r="AKC40" s="1"/>
      <c r="AKD40" s="1"/>
      <c r="AKE40" s="1"/>
      <c r="AKF40" s="1"/>
      <c r="AKG40" s="1"/>
      <c r="AKH40" s="1"/>
      <c r="AKI40" s="1"/>
      <c r="AKJ40" s="1"/>
      <c r="AKK40" s="1"/>
      <c r="AKL40" s="1"/>
      <c r="AKM40" s="1"/>
      <c r="AKN40" s="1"/>
      <c r="AKO40" s="1"/>
      <c r="AKP40" s="1"/>
      <c r="AKQ40" s="1"/>
      <c r="AKR40" s="1"/>
      <c r="AKS40" s="1"/>
      <c r="AKT40" s="1"/>
      <c r="AKU40" s="1"/>
      <c r="AKV40" s="1"/>
      <c r="AKW40" s="1"/>
      <c r="AKX40" s="1"/>
      <c r="AKY40" s="1"/>
      <c r="AKZ40" s="1"/>
      <c r="ALA40" s="1"/>
      <c r="ALB40" s="1"/>
      <c r="ALC40" s="1"/>
      <c r="ALD40" s="1"/>
      <c r="ALE40" s="1"/>
      <c r="ALF40" s="1"/>
      <c r="ALG40" s="1"/>
      <c r="ALH40" s="1"/>
      <c r="ALI40" s="1"/>
      <c r="ALJ40" s="1"/>
      <c r="ALK40" s="1"/>
      <c r="ALL40" s="1"/>
      <c r="ALM40" s="1"/>
      <c r="ALN40" s="1"/>
      <c r="ALO40" s="1"/>
      <c r="ALP40" s="1"/>
      <c r="ALQ40" s="1"/>
      <c r="ALR40" s="1"/>
      <c r="ALS40" s="1"/>
      <c r="ALT40" s="1"/>
      <c r="ALU40" s="1"/>
      <c r="ALV40" s="1"/>
      <c r="ALW40" s="1"/>
      <c r="ALX40" s="1"/>
      <c r="ALY40" s="1"/>
      <c r="ALZ40" s="1"/>
      <c r="AMA40" s="1"/>
      <c r="AMB40" s="1"/>
      <c r="AMC40" s="1"/>
      <c r="AMD40" s="1"/>
      <c r="AME40" s="1"/>
    </row>
    <row r="41" spans="1:1019" s="3" customFormat="1" ht="26.25" customHeight="1" x14ac:dyDescent="0.25">
      <c r="A41" s="29"/>
      <c r="B41" s="30"/>
      <c r="C41" s="31"/>
      <c r="D41" s="32"/>
      <c r="E41" s="32"/>
      <c r="F41" s="32"/>
      <c r="G41" s="41">
        <v>82</v>
      </c>
      <c r="H41" s="41">
        <v>102</v>
      </c>
      <c r="I41" s="41">
        <v>64</v>
      </c>
      <c r="J41" s="41">
        <v>33</v>
      </c>
      <c r="K41" s="41">
        <v>24</v>
      </c>
      <c r="L41" s="41">
        <v>20</v>
      </c>
      <c r="M41" s="41">
        <v>91</v>
      </c>
      <c r="N41" s="42"/>
      <c r="O41" s="42"/>
      <c r="P41" s="33" t="s">
        <v>51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  <c r="AAA41" s="1"/>
      <c r="AAB41" s="1"/>
      <c r="AAC41" s="1"/>
      <c r="AAD41" s="1"/>
      <c r="AAE41" s="1"/>
      <c r="AAF41" s="1"/>
      <c r="AAG41" s="1"/>
      <c r="AAH41" s="1"/>
      <c r="AAI41" s="1"/>
      <c r="AAJ41" s="1"/>
      <c r="AAK41" s="1"/>
      <c r="AAL41" s="1"/>
      <c r="AAM41" s="1"/>
      <c r="AAN41" s="1"/>
      <c r="AAO41" s="1"/>
      <c r="AAP41" s="1"/>
      <c r="AAQ41" s="1"/>
      <c r="AAR41" s="1"/>
      <c r="AAS41" s="1"/>
      <c r="AAT41" s="1"/>
      <c r="AAU41" s="1"/>
      <c r="AAV41" s="1"/>
      <c r="AAW41" s="1"/>
      <c r="AAX41" s="1"/>
      <c r="AAY41" s="1"/>
      <c r="AAZ41" s="1"/>
      <c r="ABA41" s="1"/>
      <c r="ABB41" s="1"/>
      <c r="ABC41" s="1"/>
      <c r="ABD41" s="1"/>
      <c r="ABE41" s="1"/>
      <c r="ABF41" s="1"/>
      <c r="ABG41" s="1"/>
      <c r="ABH41" s="1"/>
      <c r="ABI41" s="1"/>
      <c r="ABJ41" s="1"/>
      <c r="ABK41" s="1"/>
      <c r="ABL41" s="1"/>
      <c r="ABM41" s="1"/>
      <c r="ABN41" s="1"/>
      <c r="ABO41" s="1"/>
      <c r="ABP41" s="1"/>
      <c r="ABQ41" s="1"/>
      <c r="ABR41" s="1"/>
      <c r="ABS41" s="1"/>
      <c r="ABT41" s="1"/>
      <c r="ABU41" s="1"/>
      <c r="ABV41" s="1"/>
      <c r="ABW41" s="1"/>
      <c r="ABX41" s="1"/>
      <c r="ABY41" s="1"/>
      <c r="ABZ41" s="1"/>
      <c r="ACA41" s="1"/>
      <c r="ACB41" s="1"/>
      <c r="ACC41" s="1"/>
      <c r="ACD41" s="1"/>
      <c r="ACE41" s="1"/>
      <c r="ACF41" s="1"/>
      <c r="ACG41" s="1"/>
      <c r="ACH41" s="1"/>
      <c r="ACI41" s="1"/>
      <c r="ACJ41" s="1"/>
      <c r="ACK41" s="1"/>
      <c r="ACL41" s="1"/>
      <c r="ACM41" s="1"/>
      <c r="ACN41" s="1"/>
      <c r="ACO41" s="1"/>
      <c r="ACP41" s="1"/>
      <c r="ACQ41" s="1"/>
      <c r="ACR41" s="1"/>
      <c r="ACS41" s="1"/>
      <c r="ACT41" s="1"/>
      <c r="ACU41" s="1"/>
      <c r="ACV41" s="1"/>
      <c r="ACW41" s="1"/>
      <c r="ACX41" s="1"/>
      <c r="ACY41" s="1"/>
      <c r="ACZ41" s="1"/>
      <c r="ADA41" s="1"/>
      <c r="ADB41" s="1"/>
      <c r="ADC41" s="1"/>
      <c r="ADD41" s="1"/>
      <c r="ADE41" s="1"/>
      <c r="ADF41" s="1"/>
      <c r="ADG41" s="1"/>
      <c r="ADH41" s="1"/>
      <c r="ADI41" s="1"/>
      <c r="ADJ41" s="1"/>
      <c r="ADK41" s="1"/>
      <c r="ADL41" s="1"/>
      <c r="ADM41" s="1"/>
      <c r="ADN41" s="1"/>
      <c r="ADO41" s="1"/>
      <c r="ADP41" s="1"/>
      <c r="ADQ41" s="1"/>
      <c r="ADR41" s="1"/>
      <c r="ADS41" s="1"/>
      <c r="ADT41" s="1"/>
      <c r="ADU41" s="1"/>
      <c r="ADV41" s="1"/>
      <c r="ADW41" s="1"/>
      <c r="ADX41" s="1"/>
      <c r="ADY41" s="1"/>
      <c r="ADZ41" s="1"/>
      <c r="AEA41" s="1"/>
      <c r="AEB41" s="1"/>
      <c r="AEC41" s="1"/>
      <c r="AED41" s="1"/>
      <c r="AEE41" s="1"/>
      <c r="AEF41" s="1"/>
      <c r="AEG41" s="1"/>
      <c r="AEH41" s="1"/>
      <c r="AEI41" s="1"/>
      <c r="AEJ41" s="1"/>
      <c r="AEK41" s="1"/>
      <c r="AEL41" s="1"/>
      <c r="AEM41" s="1"/>
      <c r="AEN41" s="1"/>
      <c r="AEO41" s="1"/>
      <c r="AEP41" s="1"/>
      <c r="AEQ41" s="1"/>
      <c r="AER41" s="1"/>
      <c r="AES41" s="1"/>
      <c r="AET41" s="1"/>
      <c r="AEU41" s="1"/>
      <c r="AEV41" s="1"/>
      <c r="AEW41" s="1"/>
      <c r="AEX41" s="1"/>
      <c r="AEY41" s="1"/>
      <c r="AEZ41" s="1"/>
      <c r="AFA41" s="1"/>
      <c r="AFB41" s="1"/>
      <c r="AFC41" s="1"/>
      <c r="AFD41" s="1"/>
      <c r="AFE41" s="1"/>
      <c r="AFF41" s="1"/>
      <c r="AFG41" s="1"/>
      <c r="AFH41" s="1"/>
      <c r="AFI41" s="1"/>
      <c r="AFJ41" s="1"/>
      <c r="AFK41" s="1"/>
      <c r="AFL41" s="1"/>
      <c r="AFM41" s="1"/>
      <c r="AFN41" s="1"/>
      <c r="AFO41" s="1"/>
      <c r="AFP41" s="1"/>
      <c r="AFQ41" s="1"/>
      <c r="AFR41" s="1"/>
      <c r="AFS41" s="1"/>
      <c r="AFT41" s="1"/>
      <c r="AFU41" s="1"/>
      <c r="AFV41" s="1"/>
      <c r="AFW41" s="1"/>
      <c r="AFX41" s="1"/>
      <c r="AFY41" s="1"/>
      <c r="AFZ41" s="1"/>
      <c r="AGA41" s="1"/>
      <c r="AGB41" s="1"/>
      <c r="AGC41" s="1"/>
      <c r="AGD41" s="1"/>
      <c r="AGE41" s="1"/>
      <c r="AGF41" s="1"/>
      <c r="AGG41" s="1"/>
      <c r="AGH41" s="1"/>
      <c r="AGI41" s="1"/>
      <c r="AGJ41" s="1"/>
      <c r="AGK41" s="1"/>
      <c r="AGL41" s="1"/>
      <c r="AGM41" s="1"/>
      <c r="AGN41" s="1"/>
      <c r="AGO41" s="1"/>
      <c r="AGP41" s="1"/>
      <c r="AGQ41" s="1"/>
      <c r="AGR41" s="1"/>
      <c r="AGS41" s="1"/>
      <c r="AGT41" s="1"/>
      <c r="AGU41" s="1"/>
      <c r="AGV41" s="1"/>
      <c r="AGW41" s="1"/>
      <c r="AGX41" s="1"/>
      <c r="AGY41" s="1"/>
      <c r="AGZ41" s="1"/>
      <c r="AHA41" s="1"/>
      <c r="AHB41" s="1"/>
      <c r="AHC41" s="1"/>
      <c r="AHD41" s="1"/>
      <c r="AHE41" s="1"/>
      <c r="AHF41" s="1"/>
      <c r="AHG41" s="1"/>
      <c r="AHH41" s="1"/>
      <c r="AHI41" s="1"/>
      <c r="AHJ41" s="1"/>
      <c r="AHK41" s="1"/>
      <c r="AHL41" s="1"/>
      <c r="AHM41" s="1"/>
      <c r="AHN41" s="1"/>
      <c r="AHO41" s="1"/>
      <c r="AHP41" s="1"/>
      <c r="AHQ41" s="1"/>
      <c r="AHR41" s="1"/>
      <c r="AHS41" s="1"/>
      <c r="AHT41" s="1"/>
      <c r="AHU41" s="1"/>
      <c r="AHV41" s="1"/>
      <c r="AHW41" s="1"/>
      <c r="AHX41" s="1"/>
      <c r="AHY41" s="1"/>
      <c r="AHZ41" s="1"/>
      <c r="AIA41" s="1"/>
      <c r="AIB41" s="1"/>
      <c r="AIC41" s="1"/>
      <c r="AID41" s="1"/>
      <c r="AIE41" s="1"/>
      <c r="AIF41" s="1"/>
      <c r="AIG41" s="1"/>
      <c r="AIH41" s="1"/>
      <c r="AII41" s="1"/>
      <c r="AIJ41" s="1"/>
      <c r="AIK41" s="1"/>
      <c r="AIL41" s="1"/>
      <c r="AIM41" s="1"/>
      <c r="AIN41" s="1"/>
      <c r="AIO41" s="1"/>
      <c r="AIP41" s="1"/>
      <c r="AIQ41" s="1"/>
      <c r="AIR41" s="1"/>
      <c r="AIS41" s="1"/>
      <c r="AIT41" s="1"/>
      <c r="AIU41" s="1"/>
      <c r="AIV41" s="1"/>
      <c r="AIW41" s="1"/>
      <c r="AIX41" s="1"/>
      <c r="AIY41" s="1"/>
      <c r="AIZ41" s="1"/>
      <c r="AJA41" s="1"/>
      <c r="AJB41" s="1"/>
      <c r="AJC41" s="1"/>
      <c r="AJD41" s="1"/>
      <c r="AJE41" s="1"/>
      <c r="AJF41" s="1"/>
      <c r="AJG41" s="1"/>
      <c r="AJH41" s="1"/>
      <c r="AJI41" s="1"/>
      <c r="AJJ41" s="1"/>
      <c r="AJK41" s="1"/>
      <c r="AJL41" s="1"/>
      <c r="AJM41" s="1"/>
      <c r="AJN41" s="1"/>
      <c r="AJO41" s="1"/>
      <c r="AJP41" s="1"/>
      <c r="AJQ41" s="1"/>
      <c r="AJR41" s="1"/>
      <c r="AJS41" s="1"/>
      <c r="AJT41" s="1"/>
      <c r="AJU41" s="1"/>
      <c r="AJV41" s="1"/>
      <c r="AJW41" s="1"/>
      <c r="AJX41" s="1"/>
      <c r="AJY41" s="1"/>
      <c r="AJZ41" s="1"/>
      <c r="AKA41" s="1"/>
      <c r="AKB41" s="1"/>
      <c r="AKC41" s="1"/>
      <c r="AKD41" s="1"/>
      <c r="AKE41" s="1"/>
      <c r="AKF41" s="1"/>
      <c r="AKG41" s="1"/>
      <c r="AKH41" s="1"/>
      <c r="AKI41" s="1"/>
      <c r="AKJ41" s="1"/>
      <c r="AKK41" s="1"/>
      <c r="AKL41" s="1"/>
      <c r="AKM41" s="1"/>
      <c r="AKN41" s="1"/>
      <c r="AKO41" s="1"/>
      <c r="AKP41" s="1"/>
      <c r="AKQ41" s="1"/>
      <c r="AKR41" s="1"/>
      <c r="AKS41" s="1"/>
      <c r="AKT41" s="1"/>
      <c r="AKU41" s="1"/>
      <c r="AKV41" s="1"/>
      <c r="AKW41" s="1"/>
      <c r="AKX41" s="1"/>
      <c r="AKY41" s="1"/>
      <c r="AKZ41" s="1"/>
      <c r="ALA41" s="1"/>
      <c r="ALB41" s="1"/>
      <c r="ALC41" s="1"/>
      <c r="ALD41" s="1"/>
      <c r="ALE41" s="1"/>
      <c r="ALF41" s="1"/>
      <c r="ALG41" s="1"/>
      <c r="ALH41" s="1"/>
      <c r="ALI41" s="1"/>
      <c r="ALJ41" s="1"/>
      <c r="ALK41" s="1"/>
      <c r="ALL41" s="1"/>
      <c r="ALM41" s="1"/>
      <c r="ALN41" s="1"/>
      <c r="ALO41" s="1"/>
      <c r="ALP41" s="1"/>
      <c r="ALQ41" s="1"/>
      <c r="ALR41" s="1"/>
      <c r="ALS41" s="1"/>
      <c r="ALT41" s="1"/>
      <c r="ALU41" s="1"/>
      <c r="ALV41" s="1"/>
      <c r="ALW41" s="1"/>
      <c r="ALX41" s="1"/>
      <c r="ALY41" s="1"/>
      <c r="ALZ41" s="1"/>
      <c r="AMA41" s="1"/>
      <c r="AMB41" s="1"/>
      <c r="AMC41" s="1"/>
      <c r="AMD41" s="1"/>
      <c r="AME41" s="1"/>
    </row>
    <row r="42" spans="1:1019" s="3" customFormat="1" ht="26.25" customHeight="1" x14ac:dyDescent="0.25">
      <c r="A42" s="21" t="s">
        <v>64</v>
      </c>
      <c r="B42" s="22" t="s">
        <v>96</v>
      </c>
      <c r="C42" s="21" t="s">
        <v>122</v>
      </c>
      <c r="D42" s="21">
        <v>42</v>
      </c>
      <c r="E42" s="21" t="s">
        <v>84</v>
      </c>
      <c r="F42" s="21">
        <v>57</v>
      </c>
      <c r="G42" s="43">
        <v>46</v>
      </c>
      <c r="H42" s="43">
        <v>58</v>
      </c>
      <c r="I42" s="43">
        <v>19</v>
      </c>
      <c r="J42" s="43">
        <v>14</v>
      </c>
      <c r="K42" s="43">
        <v>104</v>
      </c>
      <c r="L42" s="43">
        <v>98</v>
      </c>
      <c r="M42" s="43">
        <v>108</v>
      </c>
      <c r="N42" s="43">
        <v>73</v>
      </c>
      <c r="O42" s="43">
        <v>40</v>
      </c>
      <c r="P42" s="23" t="s">
        <v>50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</row>
    <row r="43" spans="1:1019" s="3" customFormat="1" ht="26.25" customHeight="1" x14ac:dyDescent="0.25">
      <c r="A43" s="24"/>
      <c r="B43" s="25"/>
      <c r="C43" s="1"/>
      <c r="D43" s="24"/>
      <c r="E43" s="24"/>
      <c r="F43" s="24"/>
      <c r="G43" s="39"/>
      <c r="H43" s="39"/>
      <c r="I43" s="39"/>
      <c r="J43" s="39"/>
      <c r="K43" s="39"/>
      <c r="L43" s="39"/>
      <c r="M43" s="39"/>
      <c r="N43" s="39"/>
      <c r="O43" s="39"/>
      <c r="P43" s="20" t="s">
        <v>52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  <c r="VA43" s="1"/>
      <c r="VB43" s="1"/>
      <c r="VC43" s="1"/>
      <c r="VD43" s="1"/>
      <c r="VE43" s="1"/>
      <c r="VF43" s="1"/>
      <c r="VG43" s="1"/>
      <c r="VH43" s="1"/>
      <c r="VI43" s="1"/>
      <c r="VJ43" s="1"/>
      <c r="VK43" s="1"/>
      <c r="VL43" s="1"/>
      <c r="VM43" s="1"/>
      <c r="VN43" s="1"/>
      <c r="VO43" s="1"/>
      <c r="VP43" s="1"/>
      <c r="VQ43" s="1"/>
      <c r="VR43" s="1"/>
      <c r="VS43" s="1"/>
      <c r="VT43" s="1"/>
      <c r="VU43" s="1"/>
      <c r="VV43" s="1"/>
      <c r="VW43" s="1"/>
      <c r="VX43" s="1"/>
      <c r="VY43" s="1"/>
      <c r="VZ43" s="1"/>
      <c r="WA43" s="1"/>
      <c r="WB43" s="1"/>
      <c r="WC43" s="1"/>
      <c r="WD43" s="1"/>
      <c r="WE43" s="1"/>
      <c r="WF43" s="1"/>
      <c r="WG43" s="1"/>
      <c r="WH43" s="1"/>
      <c r="WI43" s="1"/>
      <c r="WJ43" s="1"/>
      <c r="WK43" s="1"/>
      <c r="WL43" s="1"/>
      <c r="WM43" s="1"/>
      <c r="WN43" s="1"/>
      <c r="WO43" s="1"/>
      <c r="WP43" s="1"/>
      <c r="WQ43" s="1"/>
      <c r="WR43" s="1"/>
      <c r="WS43" s="1"/>
      <c r="WT43" s="1"/>
      <c r="WU43" s="1"/>
      <c r="WV43" s="1"/>
      <c r="WW43" s="1"/>
      <c r="WX43" s="1"/>
      <c r="WY43" s="1"/>
      <c r="WZ43" s="1"/>
      <c r="XA43" s="1"/>
      <c r="XB43" s="1"/>
      <c r="XC43" s="1"/>
      <c r="XD43" s="1"/>
      <c r="XE43" s="1"/>
      <c r="XF43" s="1"/>
      <c r="XG43" s="1"/>
      <c r="XH43" s="1"/>
      <c r="XI43" s="1"/>
      <c r="XJ43" s="1"/>
      <c r="XK43" s="1"/>
      <c r="XL43" s="1"/>
      <c r="XM43" s="1"/>
      <c r="XN43" s="1"/>
      <c r="XO43" s="1"/>
      <c r="XP43" s="1"/>
      <c r="XQ43" s="1"/>
      <c r="XR43" s="1"/>
      <c r="XS43" s="1"/>
      <c r="XT43" s="1"/>
      <c r="XU43" s="1"/>
      <c r="XV43" s="1"/>
      <c r="XW43" s="1"/>
      <c r="XX43" s="1"/>
      <c r="XY43" s="1"/>
      <c r="XZ43" s="1"/>
      <c r="YA43" s="1"/>
      <c r="YB43" s="1"/>
      <c r="YC43" s="1"/>
      <c r="YD43" s="1"/>
      <c r="YE43" s="1"/>
      <c r="YF43" s="1"/>
      <c r="YG43" s="1"/>
      <c r="YH43" s="1"/>
      <c r="YI43" s="1"/>
      <c r="YJ43" s="1"/>
      <c r="YK43" s="1"/>
      <c r="YL43" s="1"/>
      <c r="YM43" s="1"/>
      <c r="YN43" s="1"/>
      <c r="YO43" s="1"/>
      <c r="YP43" s="1"/>
      <c r="YQ43" s="1"/>
      <c r="YR43" s="1"/>
      <c r="YS43" s="1"/>
      <c r="YT43" s="1"/>
      <c r="YU43" s="1"/>
      <c r="YV43" s="1"/>
      <c r="YW43" s="1"/>
      <c r="YX43" s="1"/>
      <c r="YY43" s="1"/>
      <c r="YZ43" s="1"/>
      <c r="ZA43" s="1"/>
      <c r="ZB43" s="1"/>
      <c r="ZC43" s="1"/>
      <c r="ZD43" s="1"/>
      <c r="ZE43" s="1"/>
      <c r="ZF43" s="1"/>
      <c r="ZG43" s="1"/>
      <c r="ZH43" s="1"/>
      <c r="ZI43" s="1"/>
      <c r="ZJ43" s="1"/>
      <c r="ZK43" s="1"/>
      <c r="ZL43" s="1"/>
      <c r="ZM43" s="1"/>
      <c r="ZN43" s="1"/>
      <c r="ZO43" s="1"/>
      <c r="ZP43" s="1"/>
      <c r="ZQ43" s="1"/>
      <c r="ZR43" s="1"/>
      <c r="ZS43" s="1"/>
      <c r="ZT43" s="1"/>
      <c r="ZU43" s="1"/>
      <c r="ZV43" s="1"/>
      <c r="ZW43" s="1"/>
      <c r="ZX43" s="1"/>
      <c r="ZY43" s="1"/>
      <c r="ZZ43" s="1"/>
      <c r="AAA43" s="1"/>
      <c r="AAB43" s="1"/>
      <c r="AAC43" s="1"/>
      <c r="AAD43" s="1"/>
      <c r="AAE43" s="1"/>
      <c r="AAF43" s="1"/>
      <c r="AAG43" s="1"/>
      <c r="AAH43" s="1"/>
      <c r="AAI43" s="1"/>
      <c r="AAJ43" s="1"/>
      <c r="AAK43" s="1"/>
      <c r="AAL43" s="1"/>
      <c r="AAM43" s="1"/>
      <c r="AAN43" s="1"/>
      <c r="AAO43" s="1"/>
      <c r="AAP43" s="1"/>
      <c r="AAQ43" s="1"/>
      <c r="AAR43" s="1"/>
      <c r="AAS43" s="1"/>
      <c r="AAT43" s="1"/>
      <c r="AAU43" s="1"/>
      <c r="AAV43" s="1"/>
      <c r="AAW43" s="1"/>
      <c r="AAX43" s="1"/>
      <c r="AAY43" s="1"/>
      <c r="AAZ43" s="1"/>
      <c r="ABA43" s="1"/>
      <c r="ABB43" s="1"/>
      <c r="ABC43" s="1"/>
      <c r="ABD43" s="1"/>
      <c r="ABE43" s="1"/>
      <c r="ABF43" s="1"/>
      <c r="ABG43" s="1"/>
      <c r="ABH43" s="1"/>
      <c r="ABI43" s="1"/>
      <c r="ABJ43" s="1"/>
      <c r="ABK43" s="1"/>
      <c r="ABL43" s="1"/>
      <c r="ABM43" s="1"/>
      <c r="ABN43" s="1"/>
      <c r="ABO43" s="1"/>
      <c r="ABP43" s="1"/>
      <c r="ABQ43" s="1"/>
      <c r="ABR43" s="1"/>
      <c r="ABS43" s="1"/>
      <c r="ABT43" s="1"/>
      <c r="ABU43" s="1"/>
      <c r="ABV43" s="1"/>
      <c r="ABW43" s="1"/>
      <c r="ABX43" s="1"/>
      <c r="ABY43" s="1"/>
      <c r="ABZ43" s="1"/>
      <c r="ACA43" s="1"/>
      <c r="ACB43" s="1"/>
      <c r="ACC43" s="1"/>
      <c r="ACD43" s="1"/>
      <c r="ACE43" s="1"/>
      <c r="ACF43" s="1"/>
      <c r="ACG43" s="1"/>
      <c r="ACH43" s="1"/>
      <c r="ACI43" s="1"/>
      <c r="ACJ43" s="1"/>
      <c r="ACK43" s="1"/>
      <c r="ACL43" s="1"/>
      <c r="ACM43" s="1"/>
      <c r="ACN43" s="1"/>
      <c r="ACO43" s="1"/>
      <c r="ACP43" s="1"/>
      <c r="ACQ43" s="1"/>
      <c r="ACR43" s="1"/>
      <c r="ACS43" s="1"/>
      <c r="ACT43" s="1"/>
      <c r="ACU43" s="1"/>
      <c r="ACV43" s="1"/>
      <c r="ACW43" s="1"/>
      <c r="ACX43" s="1"/>
      <c r="ACY43" s="1"/>
      <c r="ACZ43" s="1"/>
      <c r="ADA43" s="1"/>
      <c r="ADB43" s="1"/>
      <c r="ADC43" s="1"/>
      <c r="ADD43" s="1"/>
      <c r="ADE43" s="1"/>
      <c r="ADF43" s="1"/>
      <c r="ADG43" s="1"/>
      <c r="ADH43" s="1"/>
      <c r="ADI43" s="1"/>
      <c r="ADJ43" s="1"/>
      <c r="ADK43" s="1"/>
      <c r="ADL43" s="1"/>
      <c r="ADM43" s="1"/>
      <c r="ADN43" s="1"/>
      <c r="ADO43" s="1"/>
      <c r="ADP43" s="1"/>
      <c r="ADQ43" s="1"/>
      <c r="ADR43" s="1"/>
      <c r="ADS43" s="1"/>
      <c r="ADT43" s="1"/>
      <c r="ADU43" s="1"/>
      <c r="ADV43" s="1"/>
      <c r="ADW43" s="1"/>
      <c r="ADX43" s="1"/>
      <c r="ADY43" s="1"/>
      <c r="ADZ43" s="1"/>
      <c r="AEA43" s="1"/>
      <c r="AEB43" s="1"/>
      <c r="AEC43" s="1"/>
      <c r="AED43" s="1"/>
      <c r="AEE43" s="1"/>
      <c r="AEF43" s="1"/>
      <c r="AEG43" s="1"/>
      <c r="AEH43" s="1"/>
      <c r="AEI43" s="1"/>
      <c r="AEJ43" s="1"/>
      <c r="AEK43" s="1"/>
      <c r="AEL43" s="1"/>
      <c r="AEM43" s="1"/>
      <c r="AEN43" s="1"/>
      <c r="AEO43" s="1"/>
      <c r="AEP43" s="1"/>
      <c r="AEQ43" s="1"/>
      <c r="AER43" s="1"/>
      <c r="AES43" s="1"/>
      <c r="AET43" s="1"/>
      <c r="AEU43" s="1"/>
      <c r="AEV43" s="1"/>
      <c r="AEW43" s="1"/>
      <c r="AEX43" s="1"/>
      <c r="AEY43" s="1"/>
      <c r="AEZ43" s="1"/>
      <c r="AFA43" s="1"/>
      <c r="AFB43" s="1"/>
      <c r="AFC43" s="1"/>
      <c r="AFD43" s="1"/>
      <c r="AFE43" s="1"/>
      <c r="AFF43" s="1"/>
      <c r="AFG43" s="1"/>
      <c r="AFH43" s="1"/>
      <c r="AFI43" s="1"/>
      <c r="AFJ43" s="1"/>
      <c r="AFK43" s="1"/>
      <c r="AFL43" s="1"/>
      <c r="AFM43" s="1"/>
      <c r="AFN43" s="1"/>
      <c r="AFO43" s="1"/>
      <c r="AFP43" s="1"/>
      <c r="AFQ43" s="1"/>
      <c r="AFR43" s="1"/>
      <c r="AFS43" s="1"/>
      <c r="AFT43" s="1"/>
      <c r="AFU43" s="1"/>
      <c r="AFV43" s="1"/>
      <c r="AFW43" s="1"/>
      <c r="AFX43" s="1"/>
      <c r="AFY43" s="1"/>
      <c r="AFZ43" s="1"/>
      <c r="AGA43" s="1"/>
      <c r="AGB43" s="1"/>
      <c r="AGC43" s="1"/>
      <c r="AGD43" s="1"/>
      <c r="AGE43" s="1"/>
      <c r="AGF43" s="1"/>
      <c r="AGG43" s="1"/>
      <c r="AGH43" s="1"/>
      <c r="AGI43" s="1"/>
      <c r="AGJ43" s="1"/>
      <c r="AGK43" s="1"/>
      <c r="AGL43" s="1"/>
      <c r="AGM43" s="1"/>
      <c r="AGN43" s="1"/>
      <c r="AGO43" s="1"/>
      <c r="AGP43" s="1"/>
      <c r="AGQ43" s="1"/>
      <c r="AGR43" s="1"/>
      <c r="AGS43" s="1"/>
      <c r="AGT43" s="1"/>
      <c r="AGU43" s="1"/>
      <c r="AGV43" s="1"/>
      <c r="AGW43" s="1"/>
      <c r="AGX43" s="1"/>
      <c r="AGY43" s="1"/>
      <c r="AGZ43" s="1"/>
      <c r="AHA43" s="1"/>
      <c r="AHB43" s="1"/>
      <c r="AHC43" s="1"/>
      <c r="AHD43" s="1"/>
      <c r="AHE43" s="1"/>
      <c r="AHF43" s="1"/>
      <c r="AHG43" s="1"/>
      <c r="AHH43" s="1"/>
      <c r="AHI43" s="1"/>
      <c r="AHJ43" s="1"/>
      <c r="AHK43" s="1"/>
      <c r="AHL43" s="1"/>
      <c r="AHM43" s="1"/>
      <c r="AHN43" s="1"/>
      <c r="AHO43" s="1"/>
      <c r="AHP43" s="1"/>
      <c r="AHQ43" s="1"/>
      <c r="AHR43" s="1"/>
      <c r="AHS43" s="1"/>
      <c r="AHT43" s="1"/>
      <c r="AHU43" s="1"/>
      <c r="AHV43" s="1"/>
      <c r="AHW43" s="1"/>
      <c r="AHX43" s="1"/>
      <c r="AHY43" s="1"/>
      <c r="AHZ43" s="1"/>
      <c r="AIA43" s="1"/>
      <c r="AIB43" s="1"/>
      <c r="AIC43" s="1"/>
      <c r="AID43" s="1"/>
      <c r="AIE43" s="1"/>
      <c r="AIF43" s="1"/>
      <c r="AIG43" s="1"/>
      <c r="AIH43" s="1"/>
      <c r="AII43" s="1"/>
      <c r="AIJ43" s="1"/>
      <c r="AIK43" s="1"/>
      <c r="AIL43" s="1"/>
      <c r="AIM43" s="1"/>
      <c r="AIN43" s="1"/>
      <c r="AIO43" s="1"/>
      <c r="AIP43" s="1"/>
      <c r="AIQ43" s="1"/>
      <c r="AIR43" s="1"/>
      <c r="AIS43" s="1"/>
      <c r="AIT43" s="1"/>
      <c r="AIU43" s="1"/>
      <c r="AIV43" s="1"/>
      <c r="AIW43" s="1"/>
      <c r="AIX43" s="1"/>
      <c r="AIY43" s="1"/>
      <c r="AIZ43" s="1"/>
      <c r="AJA43" s="1"/>
      <c r="AJB43" s="1"/>
      <c r="AJC43" s="1"/>
      <c r="AJD43" s="1"/>
      <c r="AJE43" s="1"/>
      <c r="AJF43" s="1"/>
      <c r="AJG43" s="1"/>
      <c r="AJH43" s="1"/>
      <c r="AJI43" s="1"/>
      <c r="AJJ43" s="1"/>
      <c r="AJK43" s="1"/>
      <c r="AJL43" s="1"/>
      <c r="AJM43" s="1"/>
      <c r="AJN43" s="1"/>
      <c r="AJO43" s="1"/>
      <c r="AJP43" s="1"/>
      <c r="AJQ43" s="1"/>
      <c r="AJR43" s="1"/>
      <c r="AJS43" s="1"/>
      <c r="AJT43" s="1"/>
      <c r="AJU43" s="1"/>
      <c r="AJV43" s="1"/>
      <c r="AJW43" s="1"/>
      <c r="AJX43" s="1"/>
      <c r="AJY43" s="1"/>
      <c r="AJZ43" s="1"/>
      <c r="AKA43" s="1"/>
      <c r="AKB43" s="1"/>
      <c r="AKC43" s="1"/>
      <c r="AKD43" s="1"/>
      <c r="AKE43" s="1"/>
      <c r="AKF43" s="1"/>
      <c r="AKG43" s="1"/>
      <c r="AKH43" s="1"/>
      <c r="AKI43" s="1"/>
      <c r="AKJ43" s="1"/>
      <c r="AKK43" s="1"/>
      <c r="AKL43" s="1"/>
      <c r="AKM43" s="1"/>
      <c r="AKN43" s="1"/>
      <c r="AKO43" s="1"/>
      <c r="AKP43" s="1"/>
      <c r="AKQ43" s="1"/>
      <c r="AKR43" s="1"/>
      <c r="AKS43" s="1"/>
      <c r="AKT43" s="1"/>
      <c r="AKU43" s="1"/>
      <c r="AKV43" s="1"/>
      <c r="AKW43" s="1"/>
      <c r="AKX43" s="1"/>
      <c r="AKY43" s="1"/>
      <c r="AKZ43" s="1"/>
      <c r="ALA43" s="1"/>
      <c r="ALB43" s="1"/>
      <c r="ALC43" s="1"/>
      <c r="ALD43" s="1"/>
      <c r="ALE43" s="1"/>
      <c r="ALF43" s="1"/>
      <c r="ALG43" s="1"/>
      <c r="ALH43" s="1"/>
      <c r="ALI43" s="1"/>
      <c r="ALJ43" s="1"/>
      <c r="ALK43" s="1"/>
      <c r="ALL43" s="1"/>
      <c r="ALM43" s="1"/>
      <c r="ALN43" s="1"/>
      <c r="ALO43" s="1"/>
      <c r="ALP43" s="1"/>
      <c r="ALQ43" s="1"/>
      <c r="ALR43" s="1"/>
      <c r="ALS43" s="1"/>
      <c r="ALT43" s="1"/>
      <c r="ALU43" s="1"/>
      <c r="ALV43" s="1"/>
      <c r="ALW43" s="1"/>
      <c r="ALX43" s="1"/>
      <c r="ALY43" s="1"/>
      <c r="ALZ43" s="1"/>
      <c r="AMA43" s="1"/>
      <c r="AMB43" s="1"/>
      <c r="AMC43" s="1"/>
      <c r="AMD43" s="1"/>
      <c r="AME43" s="1"/>
    </row>
    <row r="44" spans="1:1019" s="3" customFormat="1" ht="26.25" customHeight="1" x14ac:dyDescent="0.25">
      <c r="A44" s="24"/>
      <c r="B44" s="26"/>
      <c r="C44" s="1"/>
      <c r="D44" s="27"/>
      <c r="E44" s="27"/>
      <c r="F44" s="27"/>
      <c r="G44" s="39">
        <v>42</v>
      </c>
      <c r="H44" s="39">
        <v>23</v>
      </c>
      <c r="I44" s="39">
        <v>17</v>
      </c>
      <c r="J44" s="39">
        <v>27</v>
      </c>
      <c r="K44" s="39">
        <v>25</v>
      </c>
      <c r="L44" s="39">
        <v>27</v>
      </c>
      <c r="M44" s="39">
        <v>72</v>
      </c>
      <c r="N44" s="39">
        <v>40</v>
      </c>
      <c r="O44" s="40"/>
      <c r="P44" s="28" t="s">
        <v>124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  <c r="VA44" s="1"/>
      <c r="VB44" s="1"/>
      <c r="VC44" s="1"/>
      <c r="VD44" s="1"/>
      <c r="VE44" s="1"/>
      <c r="VF44" s="1"/>
      <c r="VG44" s="1"/>
      <c r="VH44" s="1"/>
      <c r="VI44" s="1"/>
      <c r="VJ44" s="1"/>
      <c r="VK44" s="1"/>
      <c r="VL44" s="1"/>
      <c r="VM44" s="1"/>
      <c r="VN44" s="1"/>
      <c r="VO44" s="1"/>
      <c r="VP44" s="1"/>
      <c r="VQ44" s="1"/>
      <c r="VR44" s="1"/>
      <c r="VS44" s="1"/>
      <c r="VT44" s="1"/>
      <c r="VU44" s="1"/>
      <c r="VV44" s="1"/>
      <c r="VW44" s="1"/>
      <c r="VX44" s="1"/>
      <c r="VY44" s="1"/>
      <c r="VZ44" s="1"/>
      <c r="WA44" s="1"/>
      <c r="WB44" s="1"/>
      <c r="WC44" s="1"/>
      <c r="WD44" s="1"/>
      <c r="WE44" s="1"/>
      <c r="WF44" s="1"/>
      <c r="WG44" s="1"/>
      <c r="WH44" s="1"/>
      <c r="WI44" s="1"/>
      <c r="WJ44" s="1"/>
      <c r="WK44" s="1"/>
      <c r="WL44" s="1"/>
      <c r="WM44" s="1"/>
      <c r="WN44" s="1"/>
      <c r="WO44" s="1"/>
      <c r="WP44" s="1"/>
      <c r="WQ44" s="1"/>
      <c r="WR44" s="1"/>
      <c r="WS44" s="1"/>
      <c r="WT44" s="1"/>
      <c r="WU44" s="1"/>
      <c r="WV44" s="1"/>
      <c r="WW44" s="1"/>
      <c r="WX44" s="1"/>
      <c r="WY44" s="1"/>
      <c r="WZ44" s="1"/>
      <c r="XA44" s="1"/>
      <c r="XB44" s="1"/>
      <c r="XC44" s="1"/>
      <c r="XD44" s="1"/>
      <c r="XE44" s="1"/>
      <c r="XF44" s="1"/>
      <c r="XG44" s="1"/>
      <c r="XH44" s="1"/>
      <c r="XI44" s="1"/>
      <c r="XJ44" s="1"/>
      <c r="XK44" s="1"/>
      <c r="XL44" s="1"/>
      <c r="XM44" s="1"/>
      <c r="XN44" s="1"/>
      <c r="XO44" s="1"/>
      <c r="XP44" s="1"/>
      <c r="XQ44" s="1"/>
      <c r="XR44" s="1"/>
      <c r="XS44" s="1"/>
      <c r="XT44" s="1"/>
      <c r="XU44" s="1"/>
      <c r="XV44" s="1"/>
      <c r="XW44" s="1"/>
      <c r="XX44" s="1"/>
      <c r="XY44" s="1"/>
      <c r="XZ44" s="1"/>
      <c r="YA44" s="1"/>
      <c r="YB44" s="1"/>
      <c r="YC44" s="1"/>
      <c r="YD44" s="1"/>
      <c r="YE44" s="1"/>
      <c r="YF44" s="1"/>
      <c r="YG44" s="1"/>
      <c r="YH44" s="1"/>
      <c r="YI44" s="1"/>
      <c r="YJ44" s="1"/>
      <c r="YK44" s="1"/>
      <c r="YL44" s="1"/>
      <c r="YM44" s="1"/>
      <c r="YN44" s="1"/>
      <c r="YO44" s="1"/>
      <c r="YP44" s="1"/>
      <c r="YQ44" s="1"/>
      <c r="YR44" s="1"/>
      <c r="YS44" s="1"/>
      <c r="YT44" s="1"/>
      <c r="YU44" s="1"/>
      <c r="YV44" s="1"/>
      <c r="YW44" s="1"/>
      <c r="YX44" s="1"/>
      <c r="YY44" s="1"/>
      <c r="YZ44" s="1"/>
      <c r="ZA44" s="1"/>
      <c r="ZB44" s="1"/>
      <c r="ZC44" s="1"/>
      <c r="ZD44" s="1"/>
      <c r="ZE44" s="1"/>
      <c r="ZF44" s="1"/>
      <c r="ZG44" s="1"/>
      <c r="ZH44" s="1"/>
      <c r="ZI44" s="1"/>
      <c r="ZJ44" s="1"/>
      <c r="ZK44" s="1"/>
      <c r="ZL44" s="1"/>
      <c r="ZM44" s="1"/>
      <c r="ZN44" s="1"/>
      <c r="ZO44" s="1"/>
      <c r="ZP44" s="1"/>
      <c r="ZQ44" s="1"/>
      <c r="ZR44" s="1"/>
      <c r="ZS44" s="1"/>
      <c r="ZT44" s="1"/>
      <c r="ZU44" s="1"/>
      <c r="ZV44" s="1"/>
      <c r="ZW44" s="1"/>
      <c r="ZX44" s="1"/>
      <c r="ZY44" s="1"/>
      <c r="ZZ44" s="1"/>
      <c r="AAA44" s="1"/>
      <c r="AAB44" s="1"/>
      <c r="AAC44" s="1"/>
      <c r="AAD44" s="1"/>
      <c r="AAE44" s="1"/>
      <c r="AAF44" s="1"/>
      <c r="AAG44" s="1"/>
      <c r="AAH44" s="1"/>
      <c r="AAI44" s="1"/>
      <c r="AAJ44" s="1"/>
      <c r="AAK44" s="1"/>
      <c r="AAL44" s="1"/>
      <c r="AAM44" s="1"/>
      <c r="AAN44" s="1"/>
      <c r="AAO44" s="1"/>
      <c r="AAP44" s="1"/>
      <c r="AAQ44" s="1"/>
      <c r="AAR44" s="1"/>
      <c r="AAS44" s="1"/>
      <c r="AAT44" s="1"/>
      <c r="AAU44" s="1"/>
      <c r="AAV44" s="1"/>
      <c r="AAW44" s="1"/>
      <c r="AAX44" s="1"/>
      <c r="AAY44" s="1"/>
      <c r="AAZ44" s="1"/>
      <c r="ABA44" s="1"/>
      <c r="ABB44" s="1"/>
      <c r="ABC44" s="1"/>
      <c r="ABD44" s="1"/>
      <c r="ABE44" s="1"/>
      <c r="ABF44" s="1"/>
      <c r="ABG44" s="1"/>
      <c r="ABH44" s="1"/>
      <c r="ABI44" s="1"/>
      <c r="ABJ44" s="1"/>
      <c r="ABK44" s="1"/>
      <c r="ABL44" s="1"/>
      <c r="ABM44" s="1"/>
      <c r="ABN44" s="1"/>
      <c r="ABO44" s="1"/>
      <c r="ABP44" s="1"/>
      <c r="ABQ44" s="1"/>
      <c r="ABR44" s="1"/>
      <c r="ABS44" s="1"/>
      <c r="ABT44" s="1"/>
      <c r="ABU44" s="1"/>
      <c r="ABV44" s="1"/>
      <c r="ABW44" s="1"/>
      <c r="ABX44" s="1"/>
      <c r="ABY44" s="1"/>
      <c r="ABZ44" s="1"/>
      <c r="ACA44" s="1"/>
      <c r="ACB44" s="1"/>
      <c r="ACC44" s="1"/>
      <c r="ACD44" s="1"/>
      <c r="ACE44" s="1"/>
      <c r="ACF44" s="1"/>
      <c r="ACG44" s="1"/>
      <c r="ACH44" s="1"/>
      <c r="ACI44" s="1"/>
      <c r="ACJ44" s="1"/>
      <c r="ACK44" s="1"/>
      <c r="ACL44" s="1"/>
      <c r="ACM44" s="1"/>
      <c r="ACN44" s="1"/>
      <c r="ACO44" s="1"/>
      <c r="ACP44" s="1"/>
      <c r="ACQ44" s="1"/>
      <c r="ACR44" s="1"/>
      <c r="ACS44" s="1"/>
      <c r="ACT44" s="1"/>
      <c r="ACU44" s="1"/>
      <c r="ACV44" s="1"/>
      <c r="ACW44" s="1"/>
      <c r="ACX44" s="1"/>
      <c r="ACY44" s="1"/>
      <c r="ACZ44" s="1"/>
      <c r="ADA44" s="1"/>
      <c r="ADB44" s="1"/>
      <c r="ADC44" s="1"/>
      <c r="ADD44" s="1"/>
      <c r="ADE44" s="1"/>
      <c r="ADF44" s="1"/>
      <c r="ADG44" s="1"/>
      <c r="ADH44" s="1"/>
      <c r="ADI44" s="1"/>
      <c r="ADJ44" s="1"/>
      <c r="ADK44" s="1"/>
      <c r="ADL44" s="1"/>
      <c r="ADM44" s="1"/>
      <c r="ADN44" s="1"/>
      <c r="ADO44" s="1"/>
      <c r="ADP44" s="1"/>
      <c r="ADQ44" s="1"/>
      <c r="ADR44" s="1"/>
      <c r="ADS44" s="1"/>
      <c r="ADT44" s="1"/>
      <c r="ADU44" s="1"/>
      <c r="ADV44" s="1"/>
      <c r="ADW44" s="1"/>
      <c r="ADX44" s="1"/>
      <c r="ADY44" s="1"/>
      <c r="ADZ44" s="1"/>
      <c r="AEA44" s="1"/>
      <c r="AEB44" s="1"/>
      <c r="AEC44" s="1"/>
      <c r="AED44" s="1"/>
      <c r="AEE44" s="1"/>
      <c r="AEF44" s="1"/>
      <c r="AEG44" s="1"/>
      <c r="AEH44" s="1"/>
      <c r="AEI44" s="1"/>
      <c r="AEJ44" s="1"/>
      <c r="AEK44" s="1"/>
      <c r="AEL44" s="1"/>
      <c r="AEM44" s="1"/>
      <c r="AEN44" s="1"/>
      <c r="AEO44" s="1"/>
      <c r="AEP44" s="1"/>
      <c r="AEQ44" s="1"/>
      <c r="AER44" s="1"/>
      <c r="AES44" s="1"/>
      <c r="AET44" s="1"/>
      <c r="AEU44" s="1"/>
      <c r="AEV44" s="1"/>
      <c r="AEW44" s="1"/>
      <c r="AEX44" s="1"/>
      <c r="AEY44" s="1"/>
      <c r="AEZ44" s="1"/>
      <c r="AFA44" s="1"/>
      <c r="AFB44" s="1"/>
      <c r="AFC44" s="1"/>
      <c r="AFD44" s="1"/>
      <c r="AFE44" s="1"/>
      <c r="AFF44" s="1"/>
      <c r="AFG44" s="1"/>
      <c r="AFH44" s="1"/>
      <c r="AFI44" s="1"/>
      <c r="AFJ44" s="1"/>
      <c r="AFK44" s="1"/>
      <c r="AFL44" s="1"/>
      <c r="AFM44" s="1"/>
      <c r="AFN44" s="1"/>
      <c r="AFO44" s="1"/>
      <c r="AFP44" s="1"/>
      <c r="AFQ44" s="1"/>
      <c r="AFR44" s="1"/>
      <c r="AFS44" s="1"/>
      <c r="AFT44" s="1"/>
      <c r="AFU44" s="1"/>
      <c r="AFV44" s="1"/>
      <c r="AFW44" s="1"/>
      <c r="AFX44" s="1"/>
      <c r="AFY44" s="1"/>
      <c r="AFZ44" s="1"/>
      <c r="AGA44" s="1"/>
      <c r="AGB44" s="1"/>
      <c r="AGC44" s="1"/>
      <c r="AGD44" s="1"/>
      <c r="AGE44" s="1"/>
      <c r="AGF44" s="1"/>
      <c r="AGG44" s="1"/>
      <c r="AGH44" s="1"/>
      <c r="AGI44" s="1"/>
      <c r="AGJ44" s="1"/>
      <c r="AGK44" s="1"/>
      <c r="AGL44" s="1"/>
      <c r="AGM44" s="1"/>
      <c r="AGN44" s="1"/>
      <c r="AGO44" s="1"/>
      <c r="AGP44" s="1"/>
      <c r="AGQ44" s="1"/>
      <c r="AGR44" s="1"/>
      <c r="AGS44" s="1"/>
      <c r="AGT44" s="1"/>
      <c r="AGU44" s="1"/>
      <c r="AGV44" s="1"/>
      <c r="AGW44" s="1"/>
      <c r="AGX44" s="1"/>
      <c r="AGY44" s="1"/>
      <c r="AGZ44" s="1"/>
      <c r="AHA44" s="1"/>
      <c r="AHB44" s="1"/>
      <c r="AHC44" s="1"/>
      <c r="AHD44" s="1"/>
      <c r="AHE44" s="1"/>
      <c r="AHF44" s="1"/>
      <c r="AHG44" s="1"/>
      <c r="AHH44" s="1"/>
      <c r="AHI44" s="1"/>
      <c r="AHJ44" s="1"/>
      <c r="AHK44" s="1"/>
      <c r="AHL44" s="1"/>
      <c r="AHM44" s="1"/>
      <c r="AHN44" s="1"/>
      <c r="AHO44" s="1"/>
      <c r="AHP44" s="1"/>
      <c r="AHQ44" s="1"/>
      <c r="AHR44" s="1"/>
      <c r="AHS44" s="1"/>
      <c r="AHT44" s="1"/>
      <c r="AHU44" s="1"/>
      <c r="AHV44" s="1"/>
      <c r="AHW44" s="1"/>
      <c r="AHX44" s="1"/>
      <c r="AHY44" s="1"/>
      <c r="AHZ44" s="1"/>
      <c r="AIA44" s="1"/>
      <c r="AIB44" s="1"/>
      <c r="AIC44" s="1"/>
      <c r="AID44" s="1"/>
      <c r="AIE44" s="1"/>
      <c r="AIF44" s="1"/>
      <c r="AIG44" s="1"/>
      <c r="AIH44" s="1"/>
      <c r="AII44" s="1"/>
      <c r="AIJ44" s="1"/>
      <c r="AIK44" s="1"/>
      <c r="AIL44" s="1"/>
      <c r="AIM44" s="1"/>
      <c r="AIN44" s="1"/>
      <c r="AIO44" s="1"/>
      <c r="AIP44" s="1"/>
      <c r="AIQ44" s="1"/>
      <c r="AIR44" s="1"/>
      <c r="AIS44" s="1"/>
      <c r="AIT44" s="1"/>
      <c r="AIU44" s="1"/>
      <c r="AIV44" s="1"/>
      <c r="AIW44" s="1"/>
      <c r="AIX44" s="1"/>
      <c r="AIY44" s="1"/>
      <c r="AIZ44" s="1"/>
      <c r="AJA44" s="1"/>
      <c r="AJB44" s="1"/>
      <c r="AJC44" s="1"/>
      <c r="AJD44" s="1"/>
      <c r="AJE44" s="1"/>
      <c r="AJF44" s="1"/>
      <c r="AJG44" s="1"/>
      <c r="AJH44" s="1"/>
      <c r="AJI44" s="1"/>
      <c r="AJJ44" s="1"/>
      <c r="AJK44" s="1"/>
      <c r="AJL44" s="1"/>
      <c r="AJM44" s="1"/>
      <c r="AJN44" s="1"/>
      <c r="AJO44" s="1"/>
      <c r="AJP44" s="1"/>
      <c r="AJQ44" s="1"/>
      <c r="AJR44" s="1"/>
      <c r="AJS44" s="1"/>
      <c r="AJT44" s="1"/>
      <c r="AJU44" s="1"/>
      <c r="AJV44" s="1"/>
      <c r="AJW44" s="1"/>
      <c r="AJX44" s="1"/>
      <c r="AJY44" s="1"/>
      <c r="AJZ44" s="1"/>
      <c r="AKA44" s="1"/>
      <c r="AKB44" s="1"/>
      <c r="AKC44" s="1"/>
      <c r="AKD44" s="1"/>
      <c r="AKE44" s="1"/>
      <c r="AKF44" s="1"/>
      <c r="AKG44" s="1"/>
      <c r="AKH44" s="1"/>
      <c r="AKI44" s="1"/>
      <c r="AKJ44" s="1"/>
      <c r="AKK44" s="1"/>
      <c r="AKL44" s="1"/>
      <c r="AKM44" s="1"/>
      <c r="AKN44" s="1"/>
      <c r="AKO44" s="1"/>
      <c r="AKP44" s="1"/>
      <c r="AKQ44" s="1"/>
      <c r="AKR44" s="1"/>
      <c r="AKS44" s="1"/>
      <c r="AKT44" s="1"/>
      <c r="AKU44" s="1"/>
      <c r="AKV44" s="1"/>
      <c r="AKW44" s="1"/>
      <c r="AKX44" s="1"/>
      <c r="AKY44" s="1"/>
      <c r="AKZ44" s="1"/>
      <c r="ALA44" s="1"/>
      <c r="ALB44" s="1"/>
      <c r="ALC44" s="1"/>
      <c r="ALD44" s="1"/>
      <c r="ALE44" s="1"/>
      <c r="ALF44" s="1"/>
      <c r="ALG44" s="1"/>
      <c r="ALH44" s="1"/>
      <c r="ALI44" s="1"/>
      <c r="ALJ44" s="1"/>
      <c r="ALK44" s="1"/>
      <c r="ALL44" s="1"/>
      <c r="ALM44" s="1"/>
      <c r="ALN44" s="1"/>
      <c r="ALO44" s="1"/>
      <c r="ALP44" s="1"/>
      <c r="ALQ44" s="1"/>
      <c r="ALR44" s="1"/>
      <c r="ALS44" s="1"/>
      <c r="ALT44" s="1"/>
      <c r="ALU44" s="1"/>
      <c r="ALV44" s="1"/>
      <c r="ALW44" s="1"/>
      <c r="ALX44" s="1"/>
      <c r="ALY44" s="1"/>
      <c r="ALZ44" s="1"/>
      <c r="AMA44" s="1"/>
      <c r="AMB44" s="1"/>
      <c r="AMC44" s="1"/>
      <c r="AMD44" s="1"/>
      <c r="AME44" s="1"/>
    </row>
    <row r="45" spans="1:1019" s="3" customFormat="1" ht="26.25" customHeight="1" x14ac:dyDescent="0.25">
      <c r="A45" s="29"/>
      <c r="B45" s="30"/>
      <c r="C45" s="31"/>
      <c r="D45" s="32"/>
      <c r="E45" s="32"/>
      <c r="F45" s="32"/>
      <c r="G45" s="41">
        <v>87</v>
      </c>
      <c r="H45" s="41">
        <v>106</v>
      </c>
      <c r="I45" s="41">
        <v>65</v>
      </c>
      <c r="J45" s="41">
        <v>33</v>
      </c>
      <c r="K45" s="41">
        <v>25</v>
      </c>
      <c r="L45" s="41">
        <v>20</v>
      </c>
      <c r="M45" s="41">
        <v>100</v>
      </c>
      <c r="N45" s="42"/>
      <c r="O45" s="42"/>
      <c r="P45" s="33" t="s">
        <v>51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  <c r="AAA45" s="1"/>
      <c r="AAB45" s="1"/>
      <c r="AAC45" s="1"/>
      <c r="AAD45" s="1"/>
      <c r="AAE45" s="1"/>
      <c r="AAF45" s="1"/>
      <c r="AAG45" s="1"/>
      <c r="AAH45" s="1"/>
      <c r="AAI45" s="1"/>
      <c r="AAJ45" s="1"/>
      <c r="AAK45" s="1"/>
      <c r="AAL45" s="1"/>
      <c r="AAM45" s="1"/>
      <c r="AAN45" s="1"/>
      <c r="AAO45" s="1"/>
      <c r="AAP45" s="1"/>
      <c r="AAQ45" s="1"/>
      <c r="AAR45" s="1"/>
      <c r="AAS45" s="1"/>
      <c r="AAT45" s="1"/>
      <c r="AAU45" s="1"/>
      <c r="AAV45" s="1"/>
      <c r="AAW45" s="1"/>
      <c r="AAX45" s="1"/>
      <c r="AAY45" s="1"/>
      <c r="AAZ45" s="1"/>
      <c r="ABA45" s="1"/>
      <c r="ABB45" s="1"/>
      <c r="ABC45" s="1"/>
      <c r="ABD45" s="1"/>
      <c r="ABE45" s="1"/>
      <c r="ABF45" s="1"/>
      <c r="ABG45" s="1"/>
      <c r="ABH45" s="1"/>
      <c r="ABI45" s="1"/>
      <c r="ABJ45" s="1"/>
      <c r="ABK45" s="1"/>
      <c r="ABL45" s="1"/>
      <c r="ABM45" s="1"/>
      <c r="ABN45" s="1"/>
      <c r="ABO45" s="1"/>
      <c r="ABP45" s="1"/>
      <c r="ABQ45" s="1"/>
      <c r="ABR45" s="1"/>
      <c r="ABS45" s="1"/>
      <c r="ABT45" s="1"/>
      <c r="ABU45" s="1"/>
      <c r="ABV45" s="1"/>
      <c r="ABW45" s="1"/>
      <c r="ABX45" s="1"/>
      <c r="ABY45" s="1"/>
      <c r="ABZ45" s="1"/>
      <c r="ACA45" s="1"/>
      <c r="ACB45" s="1"/>
      <c r="ACC45" s="1"/>
      <c r="ACD45" s="1"/>
      <c r="ACE45" s="1"/>
      <c r="ACF45" s="1"/>
      <c r="ACG45" s="1"/>
      <c r="ACH45" s="1"/>
      <c r="ACI45" s="1"/>
      <c r="ACJ45" s="1"/>
      <c r="ACK45" s="1"/>
      <c r="ACL45" s="1"/>
      <c r="ACM45" s="1"/>
      <c r="ACN45" s="1"/>
      <c r="ACO45" s="1"/>
      <c r="ACP45" s="1"/>
      <c r="ACQ45" s="1"/>
      <c r="ACR45" s="1"/>
      <c r="ACS45" s="1"/>
      <c r="ACT45" s="1"/>
      <c r="ACU45" s="1"/>
      <c r="ACV45" s="1"/>
      <c r="ACW45" s="1"/>
      <c r="ACX45" s="1"/>
      <c r="ACY45" s="1"/>
      <c r="ACZ45" s="1"/>
      <c r="ADA45" s="1"/>
      <c r="ADB45" s="1"/>
      <c r="ADC45" s="1"/>
      <c r="ADD45" s="1"/>
      <c r="ADE45" s="1"/>
      <c r="ADF45" s="1"/>
      <c r="ADG45" s="1"/>
      <c r="ADH45" s="1"/>
      <c r="ADI45" s="1"/>
      <c r="ADJ45" s="1"/>
      <c r="ADK45" s="1"/>
      <c r="ADL45" s="1"/>
      <c r="ADM45" s="1"/>
      <c r="ADN45" s="1"/>
      <c r="ADO45" s="1"/>
      <c r="ADP45" s="1"/>
      <c r="ADQ45" s="1"/>
      <c r="ADR45" s="1"/>
      <c r="ADS45" s="1"/>
      <c r="ADT45" s="1"/>
      <c r="ADU45" s="1"/>
      <c r="ADV45" s="1"/>
      <c r="ADW45" s="1"/>
      <c r="ADX45" s="1"/>
      <c r="ADY45" s="1"/>
      <c r="ADZ45" s="1"/>
      <c r="AEA45" s="1"/>
      <c r="AEB45" s="1"/>
      <c r="AEC45" s="1"/>
      <c r="AED45" s="1"/>
      <c r="AEE45" s="1"/>
      <c r="AEF45" s="1"/>
      <c r="AEG45" s="1"/>
      <c r="AEH45" s="1"/>
      <c r="AEI45" s="1"/>
      <c r="AEJ45" s="1"/>
      <c r="AEK45" s="1"/>
      <c r="AEL45" s="1"/>
      <c r="AEM45" s="1"/>
      <c r="AEN45" s="1"/>
      <c r="AEO45" s="1"/>
      <c r="AEP45" s="1"/>
      <c r="AEQ45" s="1"/>
      <c r="AER45" s="1"/>
      <c r="AES45" s="1"/>
      <c r="AET45" s="1"/>
      <c r="AEU45" s="1"/>
      <c r="AEV45" s="1"/>
      <c r="AEW45" s="1"/>
      <c r="AEX45" s="1"/>
      <c r="AEY45" s="1"/>
      <c r="AEZ45" s="1"/>
      <c r="AFA45" s="1"/>
      <c r="AFB45" s="1"/>
      <c r="AFC45" s="1"/>
      <c r="AFD45" s="1"/>
      <c r="AFE45" s="1"/>
      <c r="AFF45" s="1"/>
      <c r="AFG45" s="1"/>
      <c r="AFH45" s="1"/>
      <c r="AFI45" s="1"/>
      <c r="AFJ45" s="1"/>
      <c r="AFK45" s="1"/>
      <c r="AFL45" s="1"/>
      <c r="AFM45" s="1"/>
      <c r="AFN45" s="1"/>
      <c r="AFO45" s="1"/>
      <c r="AFP45" s="1"/>
      <c r="AFQ45" s="1"/>
      <c r="AFR45" s="1"/>
      <c r="AFS45" s="1"/>
      <c r="AFT45" s="1"/>
      <c r="AFU45" s="1"/>
      <c r="AFV45" s="1"/>
      <c r="AFW45" s="1"/>
      <c r="AFX45" s="1"/>
      <c r="AFY45" s="1"/>
      <c r="AFZ45" s="1"/>
      <c r="AGA45" s="1"/>
      <c r="AGB45" s="1"/>
      <c r="AGC45" s="1"/>
      <c r="AGD45" s="1"/>
      <c r="AGE45" s="1"/>
      <c r="AGF45" s="1"/>
      <c r="AGG45" s="1"/>
      <c r="AGH45" s="1"/>
      <c r="AGI45" s="1"/>
      <c r="AGJ45" s="1"/>
      <c r="AGK45" s="1"/>
      <c r="AGL45" s="1"/>
      <c r="AGM45" s="1"/>
      <c r="AGN45" s="1"/>
      <c r="AGO45" s="1"/>
      <c r="AGP45" s="1"/>
      <c r="AGQ45" s="1"/>
      <c r="AGR45" s="1"/>
      <c r="AGS45" s="1"/>
      <c r="AGT45" s="1"/>
      <c r="AGU45" s="1"/>
      <c r="AGV45" s="1"/>
      <c r="AGW45" s="1"/>
      <c r="AGX45" s="1"/>
      <c r="AGY45" s="1"/>
      <c r="AGZ45" s="1"/>
      <c r="AHA45" s="1"/>
      <c r="AHB45" s="1"/>
      <c r="AHC45" s="1"/>
      <c r="AHD45" s="1"/>
      <c r="AHE45" s="1"/>
      <c r="AHF45" s="1"/>
      <c r="AHG45" s="1"/>
      <c r="AHH45" s="1"/>
      <c r="AHI45" s="1"/>
      <c r="AHJ45" s="1"/>
      <c r="AHK45" s="1"/>
      <c r="AHL45" s="1"/>
      <c r="AHM45" s="1"/>
      <c r="AHN45" s="1"/>
      <c r="AHO45" s="1"/>
      <c r="AHP45" s="1"/>
      <c r="AHQ45" s="1"/>
      <c r="AHR45" s="1"/>
      <c r="AHS45" s="1"/>
      <c r="AHT45" s="1"/>
      <c r="AHU45" s="1"/>
      <c r="AHV45" s="1"/>
      <c r="AHW45" s="1"/>
      <c r="AHX45" s="1"/>
      <c r="AHY45" s="1"/>
      <c r="AHZ45" s="1"/>
      <c r="AIA45" s="1"/>
      <c r="AIB45" s="1"/>
      <c r="AIC45" s="1"/>
      <c r="AID45" s="1"/>
      <c r="AIE45" s="1"/>
      <c r="AIF45" s="1"/>
      <c r="AIG45" s="1"/>
      <c r="AIH45" s="1"/>
      <c r="AII45" s="1"/>
      <c r="AIJ45" s="1"/>
      <c r="AIK45" s="1"/>
      <c r="AIL45" s="1"/>
      <c r="AIM45" s="1"/>
      <c r="AIN45" s="1"/>
      <c r="AIO45" s="1"/>
      <c r="AIP45" s="1"/>
      <c r="AIQ45" s="1"/>
      <c r="AIR45" s="1"/>
      <c r="AIS45" s="1"/>
      <c r="AIT45" s="1"/>
      <c r="AIU45" s="1"/>
      <c r="AIV45" s="1"/>
      <c r="AIW45" s="1"/>
      <c r="AIX45" s="1"/>
      <c r="AIY45" s="1"/>
      <c r="AIZ45" s="1"/>
      <c r="AJA45" s="1"/>
      <c r="AJB45" s="1"/>
      <c r="AJC45" s="1"/>
      <c r="AJD45" s="1"/>
      <c r="AJE45" s="1"/>
      <c r="AJF45" s="1"/>
      <c r="AJG45" s="1"/>
      <c r="AJH45" s="1"/>
      <c r="AJI45" s="1"/>
      <c r="AJJ45" s="1"/>
      <c r="AJK45" s="1"/>
      <c r="AJL45" s="1"/>
      <c r="AJM45" s="1"/>
      <c r="AJN45" s="1"/>
      <c r="AJO45" s="1"/>
      <c r="AJP45" s="1"/>
      <c r="AJQ45" s="1"/>
      <c r="AJR45" s="1"/>
      <c r="AJS45" s="1"/>
      <c r="AJT45" s="1"/>
      <c r="AJU45" s="1"/>
      <c r="AJV45" s="1"/>
      <c r="AJW45" s="1"/>
      <c r="AJX45" s="1"/>
      <c r="AJY45" s="1"/>
      <c r="AJZ45" s="1"/>
      <c r="AKA45" s="1"/>
      <c r="AKB45" s="1"/>
      <c r="AKC45" s="1"/>
      <c r="AKD45" s="1"/>
      <c r="AKE45" s="1"/>
      <c r="AKF45" s="1"/>
      <c r="AKG45" s="1"/>
      <c r="AKH45" s="1"/>
      <c r="AKI45" s="1"/>
      <c r="AKJ45" s="1"/>
      <c r="AKK45" s="1"/>
      <c r="AKL45" s="1"/>
      <c r="AKM45" s="1"/>
      <c r="AKN45" s="1"/>
      <c r="AKO45" s="1"/>
      <c r="AKP45" s="1"/>
      <c r="AKQ45" s="1"/>
      <c r="AKR45" s="1"/>
      <c r="AKS45" s="1"/>
      <c r="AKT45" s="1"/>
      <c r="AKU45" s="1"/>
      <c r="AKV45" s="1"/>
      <c r="AKW45" s="1"/>
      <c r="AKX45" s="1"/>
      <c r="AKY45" s="1"/>
      <c r="AKZ45" s="1"/>
      <c r="ALA45" s="1"/>
      <c r="ALB45" s="1"/>
      <c r="ALC45" s="1"/>
      <c r="ALD45" s="1"/>
      <c r="ALE45" s="1"/>
      <c r="ALF45" s="1"/>
      <c r="ALG45" s="1"/>
      <c r="ALH45" s="1"/>
      <c r="ALI45" s="1"/>
      <c r="ALJ45" s="1"/>
      <c r="ALK45" s="1"/>
      <c r="ALL45" s="1"/>
      <c r="ALM45" s="1"/>
      <c r="ALN45" s="1"/>
      <c r="ALO45" s="1"/>
      <c r="ALP45" s="1"/>
      <c r="ALQ45" s="1"/>
      <c r="ALR45" s="1"/>
      <c r="ALS45" s="1"/>
      <c r="ALT45" s="1"/>
      <c r="ALU45" s="1"/>
      <c r="ALV45" s="1"/>
      <c r="ALW45" s="1"/>
      <c r="ALX45" s="1"/>
      <c r="ALY45" s="1"/>
      <c r="ALZ45" s="1"/>
      <c r="AMA45" s="1"/>
      <c r="AMB45" s="1"/>
      <c r="AMC45" s="1"/>
      <c r="AMD45" s="1"/>
      <c r="AME45" s="1"/>
    </row>
    <row r="46" spans="1:1019" s="3" customFormat="1" ht="26.25" customHeight="1" x14ac:dyDescent="0.25">
      <c r="A46" s="21" t="s">
        <v>65</v>
      </c>
      <c r="B46" s="22" t="s">
        <v>97</v>
      </c>
      <c r="C46" s="21" t="s">
        <v>122</v>
      </c>
      <c r="D46" s="21">
        <v>40</v>
      </c>
      <c r="E46" s="21" t="s">
        <v>86</v>
      </c>
      <c r="F46" s="21">
        <v>56</v>
      </c>
      <c r="G46" s="43">
        <v>47</v>
      </c>
      <c r="H46" s="43">
        <v>55</v>
      </c>
      <c r="I46" s="43">
        <v>19</v>
      </c>
      <c r="J46" s="43">
        <v>15</v>
      </c>
      <c r="K46" s="43">
        <v>98</v>
      </c>
      <c r="L46" s="43">
        <v>94</v>
      </c>
      <c r="M46" s="43">
        <v>106</v>
      </c>
      <c r="N46" s="43">
        <v>39</v>
      </c>
      <c r="O46" s="43">
        <v>69</v>
      </c>
      <c r="P46" s="23" t="s">
        <v>50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  <c r="AAA46" s="1"/>
      <c r="AAB46" s="1"/>
      <c r="AAC46" s="1"/>
      <c r="AAD46" s="1"/>
      <c r="AAE46" s="1"/>
      <c r="AAF46" s="1"/>
      <c r="AAG46" s="1"/>
      <c r="AAH46" s="1"/>
      <c r="AAI46" s="1"/>
      <c r="AAJ46" s="1"/>
      <c r="AAK46" s="1"/>
      <c r="AAL46" s="1"/>
      <c r="AAM46" s="1"/>
      <c r="AAN46" s="1"/>
      <c r="AAO46" s="1"/>
      <c r="AAP46" s="1"/>
      <c r="AAQ46" s="1"/>
      <c r="AAR46" s="1"/>
      <c r="AAS46" s="1"/>
      <c r="AAT46" s="1"/>
      <c r="AAU46" s="1"/>
      <c r="AAV46" s="1"/>
      <c r="AAW46" s="1"/>
      <c r="AAX46" s="1"/>
      <c r="AAY46" s="1"/>
      <c r="AAZ46" s="1"/>
      <c r="ABA46" s="1"/>
      <c r="ABB46" s="1"/>
      <c r="ABC46" s="1"/>
      <c r="ABD46" s="1"/>
      <c r="ABE46" s="1"/>
      <c r="ABF46" s="1"/>
      <c r="ABG46" s="1"/>
      <c r="ABH46" s="1"/>
      <c r="ABI46" s="1"/>
      <c r="ABJ46" s="1"/>
      <c r="ABK46" s="1"/>
      <c r="ABL46" s="1"/>
      <c r="ABM46" s="1"/>
      <c r="ABN46" s="1"/>
      <c r="ABO46" s="1"/>
      <c r="ABP46" s="1"/>
      <c r="ABQ46" s="1"/>
      <c r="ABR46" s="1"/>
      <c r="ABS46" s="1"/>
      <c r="ABT46" s="1"/>
      <c r="ABU46" s="1"/>
      <c r="ABV46" s="1"/>
      <c r="ABW46" s="1"/>
      <c r="ABX46" s="1"/>
      <c r="ABY46" s="1"/>
      <c r="ABZ46" s="1"/>
      <c r="ACA46" s="1"/>
      <c r="ACB46" s="1"/>
      <c r="ACC46" s="1"/>
      <c r="ACD46" s="1"/>
      <c r="ACE46" s="1"/>
      <c r="ACF46" s="1"/>
      <c r="ACG46" s="1"/>
      <c r="ACH46" s="1"/>
      <c r="ACI46" s="1"/>
      <c r="ACJ46" s="1"/>
      <c r="ACK46" s="1"/>
      <c r="ACL46" s="1"/>
      <c r="ACM46" s="1"/>
      <c r="ACN46" s="1"/>
      <c r="ACO46" s="1"/>
      <c r="ACP46" s="1"/>
      <c r="ACQ46" s="1"/>
      <c r="ACR46" s="1"/>
      <c r="ACS46" s="1"/>
      <c r="ACT46" s="1"/>
      <c r="ACU46" s="1"/>
      <c r="ACV46" s="1"/>
      <c r="ACW46" s="1"/>
      <c r="ACX46" s="1"/>
      <c r="ACY46" s="1"/>
      <c r="ACZ46" s="1"/>
      <c r="ADA46" s="1"/>
      <c r="ADB46" s="1"/>
      <c r="ADC46" s="1"/>
      <c r="ADD46" s="1"/>
      <c r="ADE46" s="1"/>
      <c r="ADF46" s="1"/>
      <c r="ADG46" s="1"/>
      <c r="ADH46" s="1"/>
      <c r="ADI46" s="1"/>
      <c r="ADJ46" s="1"/>
      <c r="ADK46" s="1"/>
      <c r="ADL46" s="1"/>
      <c r="ADM46" s="1"/>
      <c r="ADN46" s="1"/>
      <c r="ADO46" s="1"/>
      <c r="ADP46" s="1"/>
      <c r="ADQ46" s="1"/>
      <c r="ADR46" s="1"/>
      <c r="ADS46" s="1"/>
      <c r="ADT46" s="1"/>
      <c r="ADU46" s="1"/>
      <c r="ADV46" s="1"/>
      <c r="ADW46" s="1"/>
      <c r="ADX46" s="1"/>
      <c r="ADY46" s="1"/>
      <c r="ADZ46" s="1"/>
      <c r="AEA46" s="1"/>
      <c r="AEB46" s="1"/>
      <c r="AEC46" s="1"/>
      <c r="AED46" s="1"/>
      <c r="AEE46" s="1"/>
      <c r="AEF46" s="1"/>
      <c r="AEG46" s="1"/>
      <c r="AEH46" s="1"/>
      <c r="AEI46" s="1"/>
      <c r="AEJ46" s="1"/>
      <c r="AEK46" s="1"/>
      <c r="AEL46" s="1"/>
      <c r="AEM46" s="1"/>
      <c r="AEN46" s="1"/>
      <c r="AEO46" s="1"/>
      <c r="AEP46" s="1"/>
      <c r="AEQ46" s="1"/>
      <c r="AER46" s="1"/>
      <c r="AES46" s="1"/>
      <c r="AET46" s="1"/>
      <c r="AEU46" s="1"/>
      <c r="AEV46" s="1"/>
      <c r="AEW46" s="1"/>
      <c r="AEX46" s="1"/>
      <c r="AEY46" s="1"/>
      <c r="AEZ46" s="1"/>
      <c r="AFA46" s="1"/>
      <c r="AFB46" s="1"/>
      <c r="AFC46" s="1"/>
      <c r="AFD46" s="1"/>
      <c r="AFE46" s="1"/>
      <c r="AFF46" s="1"/>
      <c r="AFG46" s="1"/>
      <c r="AFH46" s="1"/>
      <c r="AFI46" s="1"/>
      <c r="AFJ46" s="1"/>
      <c r="AFK46" s="1"/>
      <c r="AFL46" s="1"/>
      <c r="AFM46" s="1"/>
      <c r="AFN46" s="1"/>
      <c r="AFO46" s="1"/>
      <c r="AFP46" s="1"/>
      <c r="AFQ46" s="1"/>
      <c r="AFR46" s="1"/>
      <c r="AFS46" s="1"/>
      <c r="AFT46" s="1"/>
      <c r="AFU46" s="1"/>
      <c r="AFV46" s="1"/>
      <c r="AFW46" s="1"/>
      <c r="AFX46" s="1"/>
      <c r="AFY46" s="1"/>
      <c r="AFZ46" s="1"/>
      <c r="AGA46" s="1"/>
      <c r="AGB46" s="1"/>
      <c r="AGC46" s="1"/>
      <c r="AGD46" s="1"/>
      <c r="AGE46" s="1"/>
      <c r="AGF46" s="1"/>
      <c r="AGG46" s="1"/>
      <c r="AGH46" s="1"/>
      <c r="AGI46" s="1"/>
      <c r="AGJ46" s="1"/>
      <c r="AGK46" s="1"/>
      <c r="AGL46" s="1"/>
      <c r="AGM46" s="1"/>
      <c r="AGN46" s="1"/>
      <c r="AGO46" s="1"/>
      <c r="AGP46" s="1"/>
      <c r="AGQ46" s="1"/>
      <c r="AGR46" s="1"/>
      <c r="AGS46" s="1"/>
      <c r="AGT46" s="1"/>
      <c r="AGU46" s="1"/>
      <c r="AGV46" s="1"/>
      <c r="AGW46" s="1"/>
      <c r="AGX46" s="1"/>
      <c r="AGY46" s="1"/>
      <c r="AGZ46" s="1"/>
      <c r="AHA46" s="1"/>
      <c r="AHB46" s="1"/>
      <c r="AHC46" s="1"/>
      <c r="AHD46" s="1"/>
      <c r="AHE46" s="1"/>
      <c r="AHF46" s="1"/>
      <c r="AHG46" s="1"/>
      <c r="AHH46" s="1"/>
      <c r="AHI46" s="1"/>
      <c r="AHJ46" s="1"/>
      <c r="AHK46" s="1"/>
      <c r="AHL46" s="1"/>
      <c r="AHM46" s="1"/>
      <c r="AHN46" s="1"/>
      <c r="AHO46" s="1"/>
      <c r="AHP46" s="1"/>
      <c r="AHQ46" s="1"/>
      <c r="AHR46" s="1"/>
      <c r="AHS46" s="1"/>
      <c r="AHT46" s="1"/>
      <c r="AHU46" s="1"/>
      <c r="AHV46" s="1"/>
      <c r="AHW46" s="1"/>
      <c r="AHX46" s="1"/>
      <c r="AHY46" s="1"/>
      <c r="AHZ46" s="1"/>
      <c r="AIA46" s="1"/>
      <c r="AIB46" s="1"/>
      <c r="AIC46" s="1"/>
      <c r="AID46" s="1"/>
      <c r="AIE46" s="1"/>
      <c r="AIF46" s="1"/>
      <c r="AIG46" s="1"/>
      <c r="AIH46" s="1"/>
      <c r="AII46" s="1"/>
      <c r="AIJ46" s="1"/>
      <c r="AIK46" s="1"/>
      <c r="AIL46" s="1"/>
      <c r="AIM46" s="1"/>
      <c r="AIN46" s="1"/>
      <c r="AIO46" s="1"/>
      <c r="AIP46" s="1"/>
      <c r="AIQ46" s="1"/>
      <c r="AIR46" s="1"/>
      <c r="AIS46" s="1"/>
      <c r="AIT46" s="1"/>
      <c r="AIU46" s="1"/>
      <c r="AIV46" s="1"/>
      <c r="AIW46" s="1"/>
      <c r="AIX46" s="1"/>
      <c r="AIY46" s="1"/>
      <c r="AIZ46" s="1"/>
      <c r="AJA46" s="1"/>
      <c r="AJB46" s="1"/>
      <c r="AJC46" s="1"/>
      <c r="AJD46" s="1"/>
      <c r="AJE46" s="1"/>
      <c r="AJF46" s="1"/>
      <c r="AJG46" s="1"/>
      <c r="AJH46" s="1"/>
      <c r="AJI46" s="1"/>
      <c r="AJJ46" s="1"/>
      <c r="AJK46" s="1"/>
      <c r="AJL46" s="1"/>
      <c r="AJM46" s="1"/>
      <c r="AJN46" s="1"/>
      <c r="AJO46" s="1"/>
      <c r="AJP46" s="1"/>
      <c r="AJQ46" s="1"/>
      <c r="AJR46" s="1"/>
      <c r="AJS46" s="1"/>
      <c r="AJT46" s="1"/>
      <c r="AJU46" s="1"/>
      <c r="AJV46" s="1"/>
      <c r="AJW46" s="1"/>
      <c r="AJX46" s="1"/>
      <c r="AJY46" s="1"/>
      <c r="AJZ46" s="1"/>
      <c r="AKA46" s="1"/>
      <c r="AKB46" s="1"/>
      <c r="AKC46" s="1"/>
      <c r="AKD46" s="1"/>
      <c r="AKE46" s="1"/>
      <c r="AKF46" s="1"/>
      <c r="AKG46" s="1"/>
      <c r="AKH46" s="1"/>
      <c r="AKI46" s="1"/>
      <c r="AKJ46" s="1"/>
      <c r="AKK46" s="1"/>
      <c r="AKL46" s="1"/>
      <c r="AKM46" s="1"/>
      <c r="AKN46" s="1"/>
      <c r="AKO46" s="1"/>
      <c r="AKP46" s="1"/>
      <c r="AKQ46" s="1"/>
      <c r="AKR46" s="1"/>
      <c r="AKS46" s="1"/>
      <c r="AKT46" s="1"/>
      <c r="AKU46" s="1"/>
      <c r="AKV46" s="1"/>
      <c r="AKW46" s="1"/>
      <c r="AKX46" s="1"/>
      <c r="AKY46" s="1"/>
      <c r="AKZ46" s="1"/>
      <c r="ALA46" s="1"/>
      <c r="ALB46" s="1"/>
      <c r="ALC46" s="1"/>
      <c r="ALD46" s="1"/>
      <c r="ALE46" s="1"/>
      <c r="ALF46" s="1"/>
      <c r="ALG46" s="1"/>
      <c r="ALH46" s="1"/>
      <c r="ALI46" s="1"/>
      <c r="ALJ46" s="1"/>
      <c r="ALK46" s="1"/>
      <c r="ALL46" s="1"/>
      <c r="ALM46" s="1"/>
      <c r="ALN46" s="1"/>
      <c r="ALO46" s="1"/>
      <c r="ALP46" s="1"/>
      <c r="ALQ46" s="1"/>
      <c r="ALR46" s="1"/>
      <c r="ALS46" s="1"/>
      <c r="ALT46" s="1"/>
      <c r="ALU46" s="1"/>
      <c r="ALV46" s="1"/>
      <c r="ALW46" s="1"/>
      <c r="ALX46" s="1"/>
      <c r="ALY46" s="1"/>
      <c r="ALZ46" s="1"/>
      <c r="AMA46" s="1"/>
      <c r="AMB46" s="1"/>
      <c r="AMC46" s="1"/>
      <c r="AMD46" s="1"/>
      <c r="AME46" s="1"/>
    </row>
    <row r="47" spans="1:1019" s="3" customFormat="1" ht="26.25" customHeight="1" x14ac:dyDescent="0.25">
      <c r="A47" s="24"/>
      <c r="B47" s="25"/>
      <c r="C47" s="1"/>
      <c r="D47" s="24"/>
      <c r="E47" s="24"/>
      <c r="F47" s="24"/>
      <c r="G47" s="39"/>
      <c r="H47" s="39"/>
      <c r="I47" s="39"/>
      <c r="J47" s="39"/>
      <c r="K47" s="39"/>
      <c r="L47" s="39"/>
      <c r="M47" s="39"/>
      <c r="N47" s="39"/>
      <c r="O47" s="39"/>
      <c r="P47" s="20" t="s">
        <v>52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  <c r="AAA47" s="1"/>
      <c r="AAB47" s="1"/>
      <c r="AAC47" s="1"/>
      <c r="AAD47" s="1"/>
      <c r="AAE47" s="1"/>
      <c r="AAF47" s="1"/>
      <c r="AAG47" s="1"/>
      <c r="AAH47" s="1"/>
      <c r="AAI47" s="1"/>
      <c r="AAJ47" s="1"/>
      <c r="AAK47" s="1"/>
      <c r="AAL47" s="1"/>
      <c r="AAM47" s="1"/>
      <c r="AAN47" s="1"/>
      <c r="AAO47" s="1"/>
      <c r="AAP47" s="1"/>
      <c r="AAQ47" s="1"/>
      <c r="AAR47" s="1"/>
      <c r="AAS47" s="1"/>
      <c r="AAT47" s="1"/>
      <c r="AAU47" s="1"/>
      <c r="AAV47" s="1"/>
      <c r="AAW47" s="1"/>
      <c r="AAX47" s="1"/>
      <c r="AAY47" s="1"/>
      <c r="AAZ47" s="1"/>
      <c r="ABA47" s="1"/>
      <c r="ABB47" s="1"/>
      <c r="ABC47" s="1"/>
      <c r="ABD47" s="1"/>
      <c r="ABE47" s="1"/>
      <c r="ABF47" s="1"/>
      <c r="ABG47" s="1"/>
      <c r="ABH47" s="1"/>
      <c r="ABI47" s="1"/>
      <c r="ABJ47" s="1"/>
      <c r="ABK47" s="1"/>
      <c r="ABL47" s="1"/>
      <c r="ABM47" s="1"/>
      <c r="ABN47" s="1"/>
      <c r="ABO47" s="1"/>
      <c r="ABP47" s="1"/>
      <c r="ABQ47" s="1"/>
      <c r="ABR47" s="1"/>
      <c r="ABS47" s="1"/>
      <c r="ABT47" s="1"/>
      <c r="ABU47" s="1"/>
      <c r="ABV47" s="1"/>
      <c r="ABW47" s="1"/>
      <c r="ABX47" s="1"/>
      <c r="ABY47" s="1"/>
      <c r="ABZ47" s="1"/>
      <c r="ACA47" s="1"/>
      <c r="ACB47" s="1"/>
      <c r="ACC47" s="1"/>
      <c r="ACD47" s="1"/>
      <c r="ACE47" s="1"/>
      <c r="ACF47" s="1"/>
      <c r="ACG47" s="1"/>
      <c r="ACH47" s="1"/>
      <c r="ACI47" s="1"/>
      <c r="ACJ47" s="1"/>
      <c r="ACK47" s="1"/>
      <c r="ACL47" s="1"/>
      <c r="ACM47" s="1"/>
      <c r="ACN47" s="1"/>
      <c r="ACO47" s="1"/>
      <c r="ACP47" s="1"/>
      <c r="ACQ47" s="1"/>
      <c r="ACR47" s="1"/>
      <c r="ACS47" s="1"/>
      <c r="ACT47" s="1"/>
      <c r="ACU47" s="1"/>
      <c r="ACV47" s="1"/>
      <c r="ACW47" s="1"/>
      <c r="ACX47" s="1"/>
      <c r="ACY47" s="1"/>
      <c r="ACZ47" s="1"/>
      <c r="ADA47" s="1"/>
      <c r="ADB47" s="1"/>
      <c r="ADC47" s="1"/>
      <c r="ADD47" s="1"/>
      <c r="ADE47" s="1"/>
      <c r="ADF47" s="1"/>
      <c r="ADG47" s="1"/>
      <c r="ADH47" s="1"/>
      <c r="ADI47" s="1"/>
      <c r="ADJ47" s="1"/>
      <c r="ADK47" s="1"/>
      <c r="ADL47" s="1"/>
      <c r="ADM47" s="1"/>
      <c r="ADN47" s="1"/>
      <c r="ADO47" s="1"/>
      <c r="ADP47" s="1"/>
      <c r="ADQ47" s="1"/>
      <c r="ADR47" s="1"/>
      <c r="ADS47" s="1"/>
      <c r="ADT47" s="1"/>
      <c r="ADU47" s="1"/>
      <c r="ADV47" s="1"/>
      <c r="ADW47" s="1"/>
      <c r="ADX47" s="1"/>
      <c r="ADY47" s="1"/>
      <c r="ADZ47" s="1"/>
      <c r="AEA47" s="1"/>
      <c r="AEB47" s="1"/>
      <c r="AEC47" s="1"/>
      <c r="AED47" s="1"/>
      <c r="AEE47" s="1"/>
      <c r="AEF47" s="1"/>
      <c r="AEG47" s="1"/>
      <c r="AEH47" s="1"/>
      <c r="AEI47" s="1"/>
      <c r="AEJ47" s="1"/>
      <c r="AEK47" s="1"/>
      <c r="AEL47" s="1"/>
      <c r="AEM47" s="1"/>
      <c r="AEN47" s="1"/>
      <c r="AEO47" s="1"/>
      <c r="AEP47" s="1"/>
      <c r="AEQ47" s="1"/>
      <c r="AER47" s="1"/>
      <c r="AES47" s="1"/>
      <c r="AET47" s="1"/>
      <c r="AEU47" s="1"/>
      <c r="AEV47" s="1"/>
      <c r="AEW47" s="1"/>
      <c r="AEX47" s="1"/>
      <c r="AEY47" s="1"/>
      <c r="AEZ47" s="1"/>
      <c r="AFA47" s="1"/>
      <c r="AFB47" s="1"/>
      <c r="AFC47" s="1"/>
      <c r="AFD47" s="1"/>
      <c r="AFE47" s="1"/>
      <c r="AFF47" s="1"/>
      <c r="AFG47" s="1"/>
      <c r="AFH47" s="1"/>
      <c r="AFI47" s="1"/>
      <c r="AFJ47" s="1"/>
      <c r="AFK47" s="1"/>
      <c r="AFL47" s="1"/>
      <c r="AFM47" s="1"/>
      <c r="AFN47" s="1"/>
      <c r="AFO47" s="1"/>
      <c r="AFP47" s="1"/>
      <c r="AFQ47" s="1"/>
      <c r="AFR47" s="1"/>
      <c r="AFS47" s="1"/>
      <c r="AFT47" s="1"/>
      <c r="AFU47" s="1"/>
      <c r="AFV47" s="1"/>
      <c r="AFW47" s="1"/>
      <c r="AFX47" s="1"/>
      <c r="AFY47" s="1"/>
      <c r="AFZ47" s="1"/>
      <c r="AGA47" s="1"/>
      <c r="AGB47" s="1"/>
      <c r="AGC47" s="1"/>
      <c r="AGD47" s="1"/>
      <c r="AGE47" s="1"/>
      <c r="AGF47" s="1"/>
      <c r="AGG47" s="1"/>
      <c r="AGH47" s="1"/>
      <c r="AGI47" s="1"/>
      <c r="AGJ47" s="1"/>
      <c r="AGK47" s="1"/>
      <c r="AGL47" s="1"/>
      <c r="AGM47" s="1"/>
      <c r="AGN47" s="1"/>
      <c r="AGO47" s="1"/>
      <c r="AGP47" s="1"/>
      <c r="AGQ47" s="1"/>
      <c r="AGR47" s="1"/>
      <c r="AGS47" s="1"/>
      <c r="AGT47" s="1"/>
      <c r="AGU47" s="1"/>
      <c r="AGV47" s="1"/>
      <c r="AGW47" s="1"/>
      <c r="AGX47" s="1"/>
      <c r="AGY47" s="1"/>
      <c r="AGZ47" s="1"/>
      <c r="AHA47" s="1"/>
      <c r="AHB47" s="1"/>
      <c r="AHC47" s="1"/>
      <c r="AHD47" s="1"/>
      <c r="AHE47" s="1"/>
      <c r="AHF47" s="1"/>
      <c r="AHG47" s="1"/>
      <c r="AHH47" s="1"/>
      <c r="AHI47" s="1"/>
      <c r="AHJ47" s="1"/>
      <c r="AHK47" s="1"/>
      <c r="AHL47" s="1"/>
      <c r="AHM47" s="1"/>
      <c r="AHN47" s="1"/>
      <c r="AHO47" s="1"/>
      <c r="AHP47" s="1"/>
      <c r="AHQ47" s="1"/>
      <c r="AHR47" s="1"/>
      <c r="AHS47" s="1"/>
      <c r="AHT47" s="1"/>
      <c r="AHU47" s="1"/>
      <c r="AHV47" s="1"/>
      <c r="AHW47" s="1"/>
      <c r="AHX47" s="1"/>
      <c r="AHY47" s="1"/>
      <c r="AHZ47" s="1"/>
      <c r="AIA47" s="1"/>
      <c r="AIB47" s="1"/>
      <c r="AIC47" s="1"/>
      <c r="AID47" s="1"/>
      <c r="AIE47" s="1"/>
      <c r="AIF47" s="1"/>
      <c r="AIG47" s="1"/>
      <c r="AIH47" s="1"/>
      <c r="AII47" s="1"/>
      <c r="AIJ47" s="1"/>
      <c r="AIK47" s="1"/>
      <c r="AIL47" s="1"/>
      <c r="AIM47" s="1"/>
      <c r="AIN47" s="1"/>
      <c r="AIO47" s="1"/>
      <c r="AIP47" s="1"/>
      <c r="AIQ47" s="1"/>
      <c r="AIR47" s="1"/>
      <c r="AIS47" s="1"/>
      <c r="AIT47" s="1"/>
      <c r="AIU47" s="1"/>
      <c r="AIV47" s="1"/>
      <c r="AIW47" s="1"/>
      <c r="AIX47" s="1"/>
      <c r="AIY47" s="1"/>
      <c r="AIZ47" s="1"/>
      <c r="AJA47" s="1"/>
      <c r="AJB47" s="1"/>
      <c r="AJC47" s="1"/>
      <c r="AJD47" s="1"/>
      <c r="AJE47" s="1"/>
      <c r="AJF47" s="1"/>
      <c r="AJG47" s="1"/>
      <c r="AJH47" s="1"/>
      <c r="AJI47" s="1"/>
      <c r="AJJ47" s="1"/>
      <c r="AJK47" s="1"/>
      <c r="AJL47" s="1"/>
      <c r="AJM47" s="1"/>
      <c r="AJN47" s="1"/>
      <c r="AJO47" s="1"/>
      <c r="AJP47" s="1"/>
      <c r="AJQ47" s="1"/>
      <c r="AJR47" s="1"/>
      <c r="AJS47" s="1"/>
      <c r="AJT47" s="1"/>
      <c r="AJU47" s="1"/>
      <c r="AJV47" s="1"/>
      <c r="AJW47" s="1"/>
      <c r="AJX47" s="1"/>
      <c r="AJY47" s="1"/>
      <c r="AJZ47" s="1"/>
      <c r="AKA47" s="1"/>
      <c r="AKB47" s="1"/>
      <c r="AKC47" s="1"/>
      <c r="AKD47" s="1"/>
      <c r="AKE47" s="1"/>
      <c r="AKF47" s="1"/>
      <c r="AKG47" s="1"/>
      <c r="AKH47" s="1"/>
      <c r="AKI47" s="1"/>
      <c r="AKJ47" s="1"/>
      <c r="AKK47" s="1"/>
      <c r="AKL47" s="1"/>
      <c r="AKM47" s="1"/>
      <c r="AKN47" s="1"/>
      <c r="AKO47" s="1"/>
      <c r="AKP47" s="1"/>
      <c r="AKQ47" s="1"/>
      <c r="AKR47" s="1"/>
      <c r="AKS47" s="1"/>
      <c r="AKT47" s="1"/>
      <c r="AKU47" s="1"/>
      <c r="AKV47" s="1"/>
      <c r="AKW47" s="1"/>
      <c r="AKX47" s="1"/>
      <c r="AKY47" s="1"/>
      <c r="AKZ47" s="1"/>
      <c r="ALA47" s="1"/>
      <c r="ALB47" s="1"/>
      <c r="ALC47" s="1"/>
      <c r="ALD47" s="1"/>
      <c r="ALE47" s="1"/>
      <c r="ALF47" s="1"/>
      <c r="ALG47" s="1"/>
      <c r="ALH47" s="1"/>
      <c r="ALI47" s="1"/>
      <c r="ALJ47" s="1"/>
      <c r="ALK47" s="1"/>
      <c r="ALL47" s="1"/>
      <c r="ALM47" s="1"/>
      <c r="ALN47" s="1"/>
      <c r="ALO47" s="1"/>
      <c r="ALP47" s="1"/>
      <c r="ALQ47" s="1"/>
      <c r="ALR47" s="1"/>
      <c r="ALS47" s="1"/>
      <c r="ALT47" s="1"/>
      <c r="ALU47" s="1"/>
      <c r="ALV47" s="1"/>
      <c r="ALW47" s="1"/>
      <c r="ALX47" s="1"/>
      <c r="ALY47" s="1"/>
      <c r="ALZ47" s="1"/>
      <c r="AMA47" s="1"/>
      <c r="AMB47" s="1"/>
      <c r="AMC47" s="1"/>
      <c r="AMD47" s="1"/>
      <c r="AME47" s="1"/>
    </row>
    <row r="48" spans="1:1019" s="3" customFormat="1" ht="26.25" customHeight="1" x14ac:dyDescent="0.25">
      <c r="A48" s="24"/>
      <c r="B48" s="26"/>
      <c r="C48" s="1"/>
      <c r="D48" s="27"/>
      <c r="E48" s="27"/>
      <c r="F48" s="27"/>
      <c r="G48" s="39">
        <v>43</v>
      </c>
      <c r="H48" s="39">
        <v>20</v>
      </c>
      <c r="I48" s="39">
        <v>16</v>
      </c>
      <c r="J48" s="39">
        <v>27</v>
      </c>
      <c r="K48" s="39">
        <v>27</v>
      </c>
      <c r="L48" s="39">
        <v>27</v>
      </c>
      <c r="M48" s="39">
        <v>39</v>
      </c>
      <c r="N48" s="39">
        <v>69</v>
      </c>
      <c r="O48" s="40"/>
      <c r="P48" s="28" t="s">
        <v>124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  <c r="AAA48" s="1"/>
      <c r="AAB48" s="1"/>
      <c r="AAC48" s="1"/>
      <c r="AAD48" s="1"/>
      <c r="AAE48" s="1"/>
      <c r="AAF48" s="1"/>
      <c r="AAG48" s="1"/>
      <c r="AAH48" s="1"/>
      <c r="AAI48" s="1"/>
      <c r="AAJ48" s="1"/>
      <c r="AAK48" s="1"/>
      <c r="AAL48" s="1"/>
      <c r="AAM48" s="1"/>
      <c r="AAN48" s="1"/>
      <c r="AAO48" s="1"/>
      <c r="AAP48" s="1"/>
      <c r="AAQ48" s="1"/>
      <c r="AAR48" s="1"/>
      <c r="AAS48" s="1"/>
      <c r="AAT48" s="1"/>
      <c r="AAU48" s="1"/>
      <c r="AAV48" s="1"/>
      <c r="AAW48" s="1"/>
      <c r="AAX48" s="1"/>
      <c r="AAY48" s="1"/>
      <c r="AAZ48" s="1"/>
      <c r="ABA48" s="1"/>
      <c r="ABB48" s="1"/>
      <c r="ABC48" s="1"/>
      <c r="ABD48" s="1"/>
      <c r="ABE48" s="1"/>
      <c r="ABF48" s="1"/>
      <c r="ABG48" s="1"/>
      <c r="ABH48" s="1"/>
      <c r="ABI48" s="1"/>
      <c r="ABJ48" s="1"/>
      <c r="ABK48" s="1"/>
      <c r="ABL48" s="1"/>
      <c r="ABM48" s="1"/>
      <c r="ABN48" s="1"/>
      <c r="ABO48" s="1"/>
      <c r="ABP48" s="1"/>
      <c r="ABQ48" s="1"/>
      <c r="ABR48" s="1"/>
      <c r="ABS48" s="1"/>
      <c r="ABT48" s="1"/>
      <c r="ABU48" s="1"/>
      <c r="ABV48" s="1"/>
      <c r="ABW48" s="1"/>
      <c r="ABX48" s="1"/>
      <c r="ABY48" s="1"/>
      <c r="ABZ48" s="1"/>
      <c r="ACA48" s="1"/>
      <c r="ACB48" s="1"/>
      <c r="ACC48" s="1"/>
      <c r="ACD48" s="1"/>
      <c r="ACE48" s="1"/>
      <c r="ACF48" s="1"/>
      <c r="ACG48" s="1"/>
      <c r="ACH48" s="1"/>
      <c r="ACI48" s="1"/>
      <c r="ACJ48" s="1"/>
      <c r="ACK48" s="1"/>
      <c r="ACL48" s="1"/>
      <c r="ACM48" s="1"/>
      <c r="ACN48" s="1"/>
      <c r="ACO48" s="1"/>
      <c r="ACP48" s="1"/>
      <c r="ACQ48" s="1"/>
      <c r="ACR48" s="1"/>
      <c r="ACS48" s="1"/>
      <c r="ACT48" s="1"/>
      <c r="ACU48" s="1"/>
      <c r="ACV48" s="1"/>
      <c r="ACW48" s="1"/>
      <c r="ACX48" s="1"/>
      <c r="ACY48" s="1"/>
      <c r="ACZ48" s="1"/>
      <c r="ADA48" s="1"/>
      <c r="ADB48" s="1"/>
      <c r="ADC48" s="1"/>
      <c r="ADD48" s="1"/>
      <c r="ADE48" s="1"/>
      <c r="ADF48" s="1"/>
      <c r="ADG48" s="1"/>
      <c r="ADH48" s="1"/>
      <c r="ADI48" s="1"/>
      <c r="ADJ48" s="1"/>
      <c r="ADK48" s="1"/>
      <c r="ADL48" s="1"/>
      <c r="ADM48" s="1"/>
      <c r="ADN48" s="1"/>
      <c r="ADO48" s="1"/>
      <c r="ADP48" s="1"/>
      <c r="ADQ48" s="1"/>
      <c r="ADR48" s="1"/>
      <c r="ADS48" s="1"/>
      <c r="ADT48" s="1"/>
      <c r="ADU48" s="1"/>
      <c r="ADV48" s="1"/>
      <c r="ADW48" s="1"/>
      <c r="ADX48" s="1"/>
      <c r="ADY48" s="1"/>
      <c r="ADZ48" s="1"/>
      <c r="AEA48" s="1"/>
      <c r="AEB48" s="1"/>
      <c r="AEC48" s="1"/>
      <c r="AED48" s="1"/>
      <c r="AEE48" s="1"/>
      <c r="AEF48" s="1"/>
      <c r="AEG48" s="1"/>
      <c r="AEH48" s="1"/>
      <c r="AEI48" s="1"/>
      <c r="AEJ48" s="1"/>
      <c r="AEK48" s="1"/>
      <c r="AEL48" s="1"/>
      <c r="AEM48" s="1"/>
      <c r="AEN48" s="1"/>
      <c r="AEO48" s="1"/>
      <c r="AEP48" s="1"/>
      <c r="AEQ48" s="1"/>
      <c r="AER48" s="1"/>
      <c r="AES48" s="1"/>
      <c r="AET48" s="1"/>
      <c r="AEU48" s="1"/>
      <c r="AEV48" s="1"/>
      <c r="AEW48" s="1"/>
      <c r="AEX48" s="1"/>
      <c r="AEY48" s="1"/>
      <c r="AEZ48" s="1"/>
      <c r="AFA48" s="1"/>
      <c r="AFB48" s="1"/>
      <c r="AFC48" s="1"/>
      <c r="AFD48" s="1"/>
      <c r="AFE48" s="1"/>
      <c r="AFF48" s="1"/>
      <c r="AFG48" s="1"/>
      <c r="AFH48" s="1"/>
      <c r="AFI48" s="1"/>
      <c r="AFJ48" s="1"/>
      <c r="AFK48" s="1"/>
      <c r="AFL48" s="1"/>
      <c r="AFM48" s="1"/>
      <c r="AFN48" s="1"/>
      <c r="AFO48" s="1"/>
      <c r="AFP48" s="1"/>
      <c r="AFQ48" s="1"/>
      <c r="AFR48" s="1"/>
      <c r="AFS48" s="1"/>
      <c r="AFT48" s="1"/>
      <c r="AFU48" s="1"/>
      <c r="AFV48" s="1"/>
      <c r="AFW48" s="1"/>
      <c r="AFX48" s="1"/>
      <c r="AFY48" s="1"/>
      <c r="AFZ48" s="1"/>
      <c r="AGA48" s="1"/>
      <c r="AGB48" s="1"/>
      <c r="AGC48" s="1"/>
      <c r="AGD48" s="1"/>
      <c r="AGE48" s="1"/>
      <c r="AGF48" s="1"/>
      <c r="AGG48" s="1"/>
      <c r="AGH48" s="1"/>
      <c r="AGI48" s="1"/>
      <c r="AGJ48" s="1"/>
      <c r="AGK48" s="1"/>
      <c r="AGL48" s="1"/>
      <c r="AGM48" s="1"/>
      <c r="AGN48" s="1"/>
      <c r="AGO48" s="1"/>
      <c r="AGP48" s="1"/>
      <c r="AGQ48" s="1"/>
      <c r="AGR48" s="1"/>
      <c r="AGS48" s="1"/>
      <c r="AGT48" s="1"/>
      <c r="AGU48" s="1"/>
      <c r="AGV48" s="1"/>
      <c r="AGW48" s="1"/>
      <c r="AGX48" s="1"/>
      <c r="AGY48" s="1"/>
      <c r="AGZ48" s="1"/>
      <c r="AHA48" s="1"/>
      <c r="AHB48" s="1"/>
      <c r="AHC48" s="1"/>
      <c r="AHD48" s="1"/>
      <c r="AHE48" s="1"/>
      <c r="AHF48" s="1"/>
      <c r="AHG48" s="1"/>
      <c r="AHH48" s="1"/>
      <c r="AHI48" s="1"/>
      <c r="AHJ48" s="1"/>
      <c r="AHK48" s="1"/>
      <c r="AHL48" s="1"/>
      <c r="AHM48" s="1"/>
      <c r="AHN48" s="1"/>
      <c r="AHO48" s="1"/>
      <c r="AHP48" s="1"/>
      <c r="AHQ48" s="1"/>
      <c r="AHR48" s="1"/>
      <c r="AHS48" s="1"/>
      <c r="AHT48" s="1"/>
      <c r="AHU48" s="1"/>
      <c r="AHV48" s="1"/>
      <c r="AHW48" s="1"/>
      <c r="AHX48" s="1"/>
      <c r="AHY48" s="1"/>
      <c r="AHZ48" s="1"/>
      <c r="AIA48" s="1"/>
      <c r="AIB48" s="1"/>
      <c r="AIC48" s="1"/>
      <c r="AID48" s="1"/>
      <c r="AIE48" s="1"/>
      <c r="AIF48" s="1"/>
      <c r="AIG48" s="1"/>
      <c r="AIH48" s="1"/>
      <c r="AII48" s="1"/>
      <c r="AIJ48" s="1"/>
      <c r="AIK48" s="1"/>
      <c r="AIL48" s="1"/>
      <c r="AIM48" s="1"/>
      <c r="AIN48" s="1"/>
      <c r="AIO48" s="1"/>
      <c r="AIP48" s="1"/>
      <c r="AIQ48" s="1"/>
      <c r="AIR48" s="1"/>
      <c r="AIS48" s="1"/>
      <c r="AIT48" s="1"/>
      <c r="AIU48" s="1"/>
      <c r="AIV48" s="1"/>
      <c r="AIW48" s="1"/>
      <c r="AIX48" s="1"/>
      <c r="AIY48" s="1"/>
      <c r="AIZ48" s="1"/>
      <c r="AJA48" s="1"/>
      <c r="AJB48" s="1"/>
      <c r="AJC48" s="1"/>
      <c r="AJD48" s="1"/>
      <c r="AJE48" s="1"/>
      <c r="AJF48" s="1"/>
      <c r="AJG48" s="1"/>
      <c r="AJH48" s="1"/>
      <c r="AJI48" s="1"/>
      <c r="AJJ48" s="1"/>
      <c r="AJK48" s="1"/>
      <c r="AJL48" s="1"/>
      <c r="AJM48" s="1"/>
      <c r="AJN48" s="1"/>
      <c r="AJO48" s="1"/>
      <c r="AJP48" s="1"/>
      <c r="AJQ48" s="1"/>
      <c r="AJR48" s="1"/>
      <c r="AJS48" s="1"/>
      <c r="AJT48" s="1"/>
      <c r="AJU48" s="1"/>
      <c r="AJV48" s="1"/>
      <c r="AJW48" s="1"/>
      <c r="AJX48" s="1"/>
      <c r="AJY48" s="1"/>
      <c r="AJZ48" s="1"/>
      <c r="AKA48" s="1"/>
      <c r="AKB48" s="1"/>
      <c r="AKC48" s="1"/>
      <c r="AKD48" s="1"/>
      <c r="AKE48" s="1"/>
      <c r="AKF48" s="1"/>
      <c r="AKG48" s="1"/>
      <c r="AKH48" s="1"/>
      <c r="AKI48" s="1"/>
      <c r="AKJ48" s="1"/>
      <c r="AKK48" s="1"/>
      <c r="AKL48" s="1"/>
      <c r="AKM48" s="1"/>
      <c r="AKN48" s="1"/>
      <c r="AKO48" s="1"/>
      <c r="AKP48" s="1"/>
      <c r="AKQ48" s="1"/>
      <c r="AKR48" s="1"/>
      <c r="AKS48" s="1"/>
      <c r="AKT48" s="1"/>
      <c r="AKU48" s="1"/>
      <c r="AKV48" s="1"/>
      <c r="AKW48" s="1"/>
      <c r="AKX48" s="1"/>
      <c r="AKY48" s="1"/>
      <c r="AKZ48" s="1"/>
      <c r="ALA48" s="1"/>
      <c r="ALB48" s="1"/>
      <c r="ALC48" s="1"/>
      <c r="ALD48" s="1"/>
      <c r="ALE48" s="1"/>
      <c r="ALF48" s="1"/>
      <c r="ALG48" s="1"/>
      <c r="ALH48" s="1"/>
      <c r="ALI48" s="1"/>
      <c r="ALJ48" s="1"/>
      <c r="ALK48" s="1"/>
      <c r="ALL48" s="1"/>
      <c r="ALM48" s="1"/>
      <c r="ALN48" s="1"/>
      <c r="ALO48" s="1"/>
      <c r="ALP48" s="1"/>
      <c r="ALQ48" s="1"/>
      <c r="ALR48" s="1"/>
      <c r="ALS48" s="1"/>
      <c r="ALT48" s="1"/>
      <c r="ALU48" s="1"/>
      <c r="ALV48" s="1"/>
      <c r="ALW48" s="1"/>
      <c r="ALX48" s="1"/>
      <c r="ALY48" s="1"/>
      <c r="ALZ48" s="1"/>
      <c r="AMA48" s="1"/>
      <c r="AMB48" s="1"/>
      <c r="AMC48" s="1"/>
      <c r="AMD48" s="1"/>
      <c r="AME48" s="1"/>
    </row>
    <row r="49" spans="1:1019" s="3" customFormat="1" ht="26.25" customHeight="1" x14ac:dyDescent="0.25">
      <c r="A49" s="29"/>
      <c r="B49" s="30"/>
      <c r="C49" s="31"/>
      <c r="D49" s="32"/>
      <c r="E49" s="32"/>
      <c r="F49" s="32"/>
      <c r="G49" s="41">
        <v>92</v>
      </c>
      <c r="H49" s="41">
        <v>104</v>
      </c>
      <c r="I49" s="41">
        <v>67</v>
      </c>
      <c r="J49" s="41">
        <v>34</v>
      </c>
      <c r="K49" s="41">
        <v>26</v>
      </c>
      <c r="L49" s="41">
        <v>20</v>
      </c>
      <c r="M49" s="41">
        <v>92</v>
      </c>
      <c r="N49" s="42"/>
      <c r="O49" s="42"/>
      <c r="P49" s="33" t="s">
        <v>51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  <c r="ALC49" s="1"/>
      <c r="ALD49" s="1"/>
      <c r="ALE49" s="1"/>
      <c r="ALF49" s="1"/>
      <c r="ALG49" s="1"/>
      <c r="ALH49" s="1"/>
      <c r="ALI49" s="1"/>
      <c r="ALJ49" s="1"/>
      <c r="ALK49" s="1"/>
      <c r="ALL49" s="1"/>
      <c r="ALM49" s="1"/>
      <c r="ALN49" s="1"/>
      <c r="ALO49" s="1"/>
      <c r="ALP49" s="1"/>
      <c r="ALQ49" s="1"/>
      <c r="ALR49" s="1"/>
      <c r="ALS49" s="1"/>
      <c r="ALT49" s="1"/>
      <c r="ALU49" s="1"/>
      <c r="ALV49" s="1"/>
      <c r="ALW49" s="1"/>
      <c r="ALX49" s="1"/>
      <c r="ALY49" s="1"/>
      <c r="ALZ49" s="1"/>
      <c r="AMA49" s="1"/>
      <c r="AMB49" s="1"/>
      <c r="AMC49" s="1"/>
      <c r="AMD49" s="1"/>
      <c r="AME49" s="1"/>
    </row>
    <row r="50" spans="1:1019" s="3" customFormat="1" ht="26.25" customHeight="1" x14ac:dyDescent="0.25">
      <c r="A50" s="21" t="s">
        <v>66</v>
      </c>
      <c r="B50" s="22" t="s">
        <v>98</v>
      </c>
      <c r="C50" s="21" t="s">
        <v>122</v>
      </c>
      <c r="D50" s="21">
        <v>41</v>
      </c>
      <c r="E50" s="21" t="s">
        <v>99</v>
      </c>
      <c r="F50" s="21">
        <v>56</v>
      </c>
      <c r="G50" s="43">
        <v>52</v>
      </c>
      <c r="H50" s="43">
        <v>52</v>
      </c>
      <c r="I50" s="43">
        <v>21</v>
      </c>
      <c r="J50" s="43">
        <v>16</v>
      </c>
      <c r="K50" s="43">
        <v>112</v>
      </c>
      <c r="L50" s="43">
        <v>109</v>
      </c>
      <c r="M50" s="43">
        <v>120</v>
      </c>
      <c r="N50" s="43">
        <v>42</v>
      </c>
      <c r="O50" s="43">
        <v>70</v>
      </c>
      <c r="P50" s="23" t="s">
        <v>50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  <c r="ALC50" s="1"/>
      <c r="ALD50" s="1"/>
      <c r="ALE50" s="1"/>
      <c r="ALF50" s="1"/>
      <c r="ALG50" s="1"/>
      <c r="ALH50" s="1"/>
      <c r="ALI50" s="1"/>
      <c r="ALJ50" s="1"/>
      <c r="ALK50" s="1"/>
      <c r="ALL50" s="1"/>
      <c r="ALM50" s="1"/>
      <c r="ALN50" s="1"/>
      <c r="ALO50" s="1"/>
      <c r="ALP50" s="1"/>
      <c r="ALQ50" s="1"/>
      <c r="ALR50" s="1"/>
      <c r="ALS50" s="1"/>
      <c r="ALT50" s="1"/>
      <c r="ALU50" s="1"/>
      <c r="ALV50" s="1"/>
      <c r="ALW50" s="1"/>
      <c r="ALX50" s="1"/>
      <c r="ALY50" s="1"/>
      <c r="ALZ50" s="1"/>
      <c r="AMA50" s="1"/>
      <c r="AMB50" s="1"/>
      <c r="AMC50" s="1"/>
      <c r="AMD50" s="1"/>
      <c r="AME50" s="1"/>
    </row>
    <row r="51" spans="1:1019" s="3" customFormat="1" ht="26.25" customHeight="1" x14ac:dyDescent="0.25">
      <c r="A51" s="24"/>
      <c r="B51" s="25"/>
      <c r="C51" s="1"/>
      <c r="D51" s="24"/>
      <c r="E51" s="24"/>
      <c r="F51" s="24"/>
      <c r="G51" s="39"/>
      <c r="H51" s="39"/>
      <c r="I51" s="39"/>
      <c r="J51" s="39"/>
      <c r="K51" s="39"/>
      <c r="L51" s="39"/>
      <c r="M51" s="39"/>
      <c r="N51" s="39"/>
      <c r="O51" s="39"/>
      <c r="P51" s="20" t="s">
        <v>52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</row>
    <row r="52" spans="1:1019" s="3" customFormat="1" ht="26.25" customHeight="1" x14ac:dyDescent="0.25">
      <c r="A52" s="24"/>
      <c r="B52" s="26"/>
      <c r="C52" s="1"/>
      <c r="D52" s="27"/>
      <c r="E52" s="27"/>
      <c r="F52" s="27"/>
      <c r="G52" s="39">
        <v>47</v>
      </c>
      <c r="H52" s="39">
        <v>24</v>
      </c>
      <c r="I52" s="39">
        <v>22</v>
      </c>
      <c r="J52" s="39">
        <v>32</v>
      </c>
      <c r="K52" s="39">
        <v>31</v>
      </c>
      <c r="L52" s="39">
        <v>32</v>
      </c>
      <c r="M52" s="39">
        <v>42</v>
      </c>
      <c r="N52" s="39">
        <v>70</v>
      </c>
      <c r="O52" s="40"/>
      <c r="P52" s="28" t="s">
        <v>124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  <c r="ALC52" s="1"/>
      <c r="ALD52" s="1"/>
      <c r="ALE52" s="1"/>
      <c r="ALF52" s="1"/>
      <c r="ALG52" s="1"/>
      <c r="ALH52" s="1"/>
      <c r="ALI52" s="1"/>
      <c r="ALJ52" s="1"/>
      <c r="ALK52" s="1"/>
      <c r="ALL52" s="1"/>
      <c r="ALM52" s="1"/>
      <c r="ALN52" s="1"/>
      <c r="ALO52" s="1"/>
      <c r="ALP52" s="1"/>
      <c r="ALQ52" s="1"/>
      <c r="ALR52" s="1"/>
      <c r="ALS52" s="1"/>
      <c r="ALT52" s="1"/>
      <c r="ALU52" s="1"/>
      <c r="ALV52" s="1"/>
      <c r="ALW52" s="1"/>
      <c r="ALX52" s="1"/>
      <c r="ALY52" s="1"/>
      <c r="ALZ52" s="1"/>
      <c r="AMA52" s="1"/>
      <c r="AMB52" s="1"/>
      <c r="AMC52" s="1"/>
      <c r="AMD52" s="1"/>
      <c r="AME52" s="1"/>
    </row>
    <row r="53" spans="1:1019" s="3" customFormat="1" ht="26.25" customHeight="1" x14ac:dyDescent="0.25">
      <c r="A53" s="29"/>
      <c r="B53" s="30"/>
      <c r="C53" s="31"/>
      <c r="D53" s="32"/>
      <c r="E53" s="32"/>
      <c r="F53" s="32"/>
      <c r="G53" s="41">
        <v>108</v>
      </c>
      <c r="H53" s="41">
        <v>116</v>
      </c>
      <c r="I53" s="41">
        <v>73</v>
      </c>
      <c r="J53" s="41">
        <v>36</v>
      </c>
      <c r="K53" s="41">
        <v>32</v>
      </c>
      <c r="L53" s="41">
        <v>22</v>
      </c>
      <c r="M53" s="41">
        <v>91</v>
      </c>
      <c r="N53" s="42"/>
      <c r="O53" s="42"/>
      <c r="P53" s="33" t="s">
        <v>51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  <c r="ALC53" s="1"/>
      <c r="ALD53" s="1"/>
      <c r="ALE53" s="1"/>
      <c r="ALF53" s="1"/>
      <c r="ALG53" s="1"/>
      <c r="ALH53" s="1"/>
      <c r="ALI53" s="1"/>
      <c r="ALJ53" s="1"/>
      <c r="ALK53" s="1"/>
      <c r="ALL53" s="1"/>
      <c r="ALM53" s="1"/>
      <c r="ALN53" s="1"/>
      <c r="ALO53" s="1"/>
      <c r="ALP53" s="1"/>
      <c r="ALQ53" s="1"/>
      <c r="ALR53" s="1"/>
      <c r="ALS53" s="1"/>
      <c r="ALT53" s="1"/>
      <c r="ALU53" s="1"/>
      <c r="ALV53" s="1"/>
      <c r="ALW53" s="1"/>
      <c r="ALX53" s="1"/>
      <c r="ALY53" s="1"/>
      <c r="ALZ53" s="1"/>
      <c r="AMA53" s="1"/>
      <c r="AMB53" s="1"/>
      <c r="AMC53" s="1"/>
      <c r="AMD53" s="1"/>
      <c r="AME53" s="1"/>
    </row>
    <row r="54" spans="1:1019" s="3" customFormat="1" ht="26.25" customHeight="1" x14ac:dyDescent="0.25">
      <c r="A54" s="21" t="s">
        <v>67</v>
      </c>
      <c r="B54" s="22" t="s">
        <v>100</v>
      </c>
      <c r="C54" s="21" t="s">
        <v>122</v>
      </c>
      <c r="D54" s="21">
        <v>40</v>
      </c>
      <c r="E54" s="21" t="s">
        <v>84</v>
      </c>
      <c r="F54" s="21">
        <v>56</v>
      </c>
      <c r="G54" s="43"/>
      <c r="H54" s="43"/>
      <c r="I54" s="43"/>
      <c r="J54" s="43"/>
      <c r="K54" s="43"/>
      <c r="L54" s="43"/>
      <c r="M54" s="43"/>
      <c r="N54" s="43"/>
      <c r="O54" s="43"/>
      <c r="P54" s="23" t="s">
        <v>50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  <c r="ALC54" s="1"/>
      <c r="ALD54" s="1"/>
      <c r="ALE54" s="1"/>
      <c r="ALF54" s="1"/>
      <c r="ALG54" s="1"/>
      <c r="ALH54" s="1"/>
      <c r="ALI54" s="1"/>
      <c r="ALJ54" s="1"/>
      <c r="ALK54" s="1"/>
      <c r="ALL54" s="1"/>
      <c r="ALM54" s="1"/>
      <c r="ALN54" s="1"/>
      <c r="ALO54" s="1"/>
      <c r="ALP54" s="1"/>
      <c r="ALQ54" s="1"/>
      <c r="ALR54" s="1"/>
      <c r="ALS54" s="1"/>
      <c r="ALT54" s="1"/>
      <c r="ALU54" s="1"/>
      <c r="ALV54" s="1"/>
      <c r="ALW54" s="1"/>
      <c r="ALX54" s="1"/>
      <c r="ALY54" s="1"/>
      <c r="ALZ54" s="1"/>
      <c r="AMA54" s="1"/>
      <c r="AMB54" s="1"/>
      <c r="AMC54" s="1"/>
      <c r="AMD54" s="1"/>
      <c r="AME54" s="1"/>
    </row>
    <row r="55" spans="1:1019" s="3" customFormat="1" ht="26.25" customHeight="1" x14ac:dyDescent="0.25">
      <c r="A55" s="24"/>
      <c r="B55" s="25"/>
      <c r="C55" s="1"/>
      <c r="D55" s="24"/>
      <c r="E55" s="24"/>
      <c r="F55" s="24"/>
      <c r="G55" s="39"/>
      <c r="H55" s="39"/>
      <c r="I55" s="39"/>
      <c r="J55" s="39"/>
      <c r="K55" s="39"/>
      <c r="L55" s="39"/>
      <c r="M55" s="39"/>
      <c r="N55" s="39"/>
      <c r="O55" s="39"/>
      <c r="P55" s="20" t="s">
        <v>52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  <c r="ALC55" s="1"/>
      <c r="ALD55" s="1"/>
      <c r="ALE55" s="1"/>
      <c r="ALF55" s="1"/>
      <c r="ALG55" s="1"/>
      <c r="ALH55" s="1"/>
      <c r="ALI55" s="1"/>
      <c r="ALJ55" s="1"/>
      <c r="ALK55" s="1"/>
      <c r="ALL55" s="1"/>
      <c r="ALM55" s="1"/>
      <c r="ALN55" s="1"/>
      <c r="ALO55" s="1"/>
      <c r="ALP55" s="1"/>
      <c r="ALQ55" s="1"/>
      <c r="ALR55" s="1"/>
      <c r="ALS55" s="1"/>
      <c r="ALT55" s="1"/>
      <c r="ALU55" s="1"/>
      <c r="ALV55" s="1"/>
      <c r="ALW55" s="1"/>
      <c r="ALX55" s="1"/>
      <c r="ALY55" s="1"/>
      <c r="ALZ55" s="1"/>
      <c r="AMA55" s="1"/>
      <c r="AMB55" s="1"/>
      <c r="AMC55" s="1"/>
      <c r="AMD55" s="1"/>
      <c r="AME55" s="1"/>
    </row>
    <row r="56" spans="1:1019" s="3" customFormat="1" ht="26.25" customHeight="1" x14ac:dyDescent="0.25">
      <c r="A56" s="24"/>
      <c r="B56" s="26"/>
      <c r="C56" s="1"/>
      <c r="D56" s="27"/>
      <c r="E56" s="27"/>
      <c r="F56" s="27"/>
      <c r="G56" s="39">
        <v>42</v>
      </c>
      <c r="H56" s="39">
        <v>24</v>
      </c>
      <c r="I56" s="39">
        <v>18</v>
      </c>
      <c r="J56" s="39">
        <v>28</v>
      </c>
      <c r="K56" s="39">
        <v>26</v>
      </c>
      <c r="L56" s="39">
        <v>28</v>
      </c>
      <c r="M56" s="39">
        <v>70</v>
      </c>
      <c r="N56" s="39">
        <v>40</v>
      </c>
      <c r="O56" s="40"/>
      <c r="P56" s="28" t="s">
        <v>124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  <c r="ALC56" s="1"/>
      <c r="ALD56" s="1"/>
      <c r="ALE56" s="1"/>
      <c r="ALF56" s="1"/>
      <c r="ALG56" s="1"/>
      <c r="ALH56" s="1"/>
      <c r="ALI56" s="1"/>
      <c r="ALJ56" s="1"/>
      <c r="ALK56" s="1"/>
      <c r="ALL56" s="1"/>
      <c r="ALM56" s="1"/>
      <c r="ALN56" s="1"/>
      <c r="ALO56" s="1"/>
      <c r="ALP56" s="1"/>
      <c r="ALQ56" s="1"/>
      <c r="ALR56" s="1"/>
      <c r="ALS56" s="1"/>
      <c r="ALT56" s="1"/>
      <c r="ALU56" s="1"/>
      <c r="ALV56" s="1"/>
      <c r="ALW56" s="1"/>
      <c r="ALX56" s="1"/>
      <c r="ALY56" s="1"/>
      <c r="ALZ56" s="1"/>
      <c r="AMA56" s="1"/>
      <c r="AMB56" s="1"/>
      <c r="AMC56" s="1"/>
      <c r="AMD56" s="1"/>
      <c r="AME56" s="1"/>
    </row>
    <row r="57" spans="1:1019" s="3" customFormat="1" ht="26.25" customHeight="1" x14ac:dyDescent="0.25">
      <c r="A57" s="29"/>
      <c r="B57" s="30"/>
      <c r="C57" s="31"/>
      <c r="D57" s="32"/>
      <c r="E57" s="32"/>
      <c r="F57" s="32"/>
      <c r="G57" s="41">
        <v>88</v>
      </c>
      <c r="H57" s="41">
        <v>105</v>
      </c>
      <c r="I57" s="41">
        <v>65</v>
      </c>
      <c r="J57" s="41">
        <v>34</v>
      </c>
      <c r="K57" s="41">
        <v>26</v>
      </c>
      <c r="L57" s="41">
        <v>20</v>
      </c>
      <c r="M57" s="41">
        <v>92</v>
      </c>
      <c r="N57" s="42"/>
      <c r="O57" s="42"/>
      <c r="P57" s="33" t="s">
        <v>51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  <c r="ALC57" s="1"/>
      <c r="ALD57" s="1"/>
      <c r="ALE57" s="1"/>
      <c r="ALF57" s="1"/>
      <c r="ALG57" s="1"/>
      <c r="ALH57" s="1"/>
      <c r="ALI57" s="1"/>
      <c r="ALJ57" s="1"/>
      <c r="ALK57" s="1"/>
      <c r="ALL57" s="1"/>
      <c r="ALM57" s="1"/>
      <c r="ALN57" s="1"/>
      <c r="ALO57" s="1"/>
      <c r="ALP57" s="1"/>
      <c r="ALQ57" s="1"/>
      <c r="ALR57" s="1"/>
      <c r="ALS57" s="1"/>
      <c r="ALT57" s="1"/>
      <c r="ALU57" s="1"/>
      <c r="ALV57" s="1"/>
      <c r="ALW57" s="1"/>
      <c r="ALX57" s="1"/>
      <c r="ALY57" s="1"/>
      <c r="ALZ57" s="1"/>
      <c r="AMA57" s="1"/>
      <c r="AMB57" s="1"/>
      <c r="AMC57" s="1"/>
      <c r="AMD57" s="1"/>
      <c r="AME57" s="1"/>
    </row>
    <row r="58" spans="1:1019" s="3" customFormat="1" ht="26.25" customHeight="1" x14ac:dyDescent="0.25">
      <c r="A58" s="21" t="s">
        <v>68</v>
      </c>
      <c r="B58" s="22" t="s">
        <v>101</v>
      </c>
      <c r="C58" s="21" t="s">
        <v>122</v>
      </c>
      <c r="D58" s="21">
        <v>39</v>
      </c>
      <c r="E58" s="21" t="s">
        <v>86</v>
      </c>
      <c r="F58" s="21">
        <v>55</v>
      </c>
      <c r="G58" s="43"/>
      <c r="H58" s="43"/>
      <c r="I58" s="43"/>
      <c r="J58" s="43"/>
      <c r="K58" s="43"/>
      <c r="L58" s="43"/>
      <c r="M58" s="43"/>
      <c r="N58" s="43"/>
      <c r="O58" s="43"/>
      <c r="P58" s="23" t="s">
        <v>50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  <c r="ALC58" s="1"/>
      <c r="ALD58" s="1"/>
      <c r="ALE58" s="1"/>
      <c r="ALF58" s="1"/>
      <c r="ALG58" s="1"/>
      <c r="ALH58" s="1"/>
      <c r="ALI58" s="1"/>
      <c r="ALJ58" s="1"/>
      <c r="ALK58" s="1"/>
      <c r="ALL58" s="1"/>
      <c r="ALM58" s="1"/>
      <c r="ALN58" s="1"/>
      <c r="ALO58" s="1"/>
      <c r="ALP58" s="1"/>
      <c r="ALQ58" s="1"/>
      <c r="ALR58" s="1"/>
      <c r="ALS58" s="1"/>
      <c r="ALT58" s="1"/>
      <c r="ALU58" s="1"/>
      <c r="ALV58" s="1"/>
      <c r="ALW58" s="1"/>
      <c r="ALX58" s="1"/>
      <c r="ALY58" s="1"/>
      <c r="ALZ58" s="1"/>
      <c r="AMA58" s="1"/>
      <c r="AMB58" s="1"/>
      <c r="AMC58" s="1"/>
      <c r="AMD58" s="1"/>
      <c r="AME58" s="1"/>
    </row>
    <row r="59" spans="1:1019" s="3" customFormat="1" ht="26.25" customHeight="1" x14ac:dyDescent="0.25">
      <c r="A59" s="24"/>
      <c r="B59" s="25"/>
      <c r="C59" s="1"/>
      <c r="D59" s="24"/>
      <c r="E59" s="24"/>
      <c r="F59" s="24"/>
      <c r="G59" s="39"/>
      <c r="H59" s="39"/>
      <c r="I59" s="39"/>
      <c r="J59" s="39"/>
      <c r="K59" s="39"/>
      <c r="L59" s="39"/>
      <c r="M59" s="39"/>
      <c r="N59" s="39"/>
      <c r="O59" s="39"/>
      <c r="P59" s="20" t="s">
        <v>52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  <c r="ALC59" s="1"/>
      <c r="ALD59" s="1"/>
      <c r="ALE59" s="1"/>
      <c r="ALF59" s="1"/>
      <c r="ALG59" s="1"/>
      <c r="ALH59" s="1"/>
      <c r="ALI59" s="1"/>
      <c r="ALJ59" s="1"/>
      <c r="ALK59" s="1"/>
      <c r="ALL59" s="1"/>
      <c r="ALM59" s="1"/>
      <c r="ALN59" s="1"/>
      <c r="ALO59" s="1"/>
      <c r="ALP59" s="1"/>
      <c r="ALQ59" s="1"/>
      <c r="ALR59" s="1"/>
      <c r="ALS59" s="1"/>
      <c r="ALT59" s="1"/>
      <c r="ALU59" s="1"/>
      <c r="ALV59" s="1"/>
      <c r="ALW59" s="1"/>
      <c r="ALX59" s="1"/>
      <c r="ALY59" s="1"/>
      <c r="ALZ59" s="1"/>
      <c r="AMA59" s="1"/>
      <c r="AMB59" s="1"/>
      <c r="AMC59" s="1"/>
      <c r="AMD59" s="1"/>
      <c r="AME59" s="1"/>
    </row>
    <row r="60" spans="1:1019" s="3" customFormat="1" ht="26.25" customHeight="1" x14ac:dyDescent="0.25">
      <c r="A60" s="24"/>
      <c r="B60" s="26"/>
      <c r="C60" s="1"/>
      <c r="D60" s="27"/>
      <c r="E60" s="27"/>
      <c r="F60" s="27"/>
      <c r="G60" s="39">
        <v>43</v>
      </c>
      <c r="H60" s="39">
        <v>23</v>
      </c>
      <c r="I60" s="39">
        <v>18</v>
      </c>
      <c r="J60" s="39">
        <v>28</v>
      </c>
      <c r="K60" s="39">
        <v>26</v>
      </c>
      <c r="L60" s="39">
        <v>28</v>
      </c>
      <c r="M60" s="39">
        <v>67</v>
      </c>
      <c r="N60" s="39">
        <v>38</v>
      </c>
      <c r="O60" s="40"/>
      <c r="P60" s="28" t="s">
        <v>124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  <c r="ALC60" s="1"/>
      <c r="ALD60" s="1"/>
      <c r="ALE60" s="1"/>
      <c r="ALF60" s="1"/>
      <c r="ALG60" s="1"/>
      <c r="ALH60" s="1"/>
      <c r="ALI60" s="1"/>
      <c r="ALJ60" s="1"/>
      <c r="ALK60" s="1"/>
      <c r="ALL60" s="1"/>
      <c r="ALM60" s="1"/>
      <c r="ALN60" s="1"/>
      <c r="ALO60" s="1"/>
      <c r="ALP60" s="1"/>
      <c r="ALQ60" s="1"/>
      <c r="ALR60" s="1"/>
      <c r="ALS60" s="1"/>
      <c r="ALT60" s="1"/>
      <c r="ALU60" s="1"/>
      <c r="ALV60" s="1"/>
      <c r="ALW60" s="1"/>
      <c r="ALX60" s="1"/>
      <c r="ALY60" s="1"/>
      <c r="ALZ60" s="1"/>
      <c r="AMA60" s="1"/>
      <c r="AMB60" s="1"/>
      <c r="AMC60" s="1"/>
      <c r="AMD60" s="1"/>
      <c r="AME60" s="1"/>
    </row>
    <row r="61" spans="1:1019" s="3" customFormat="1" ht="26.25" customHeight="1" x14ac:dyDescent="0.25">
      <c r="A61" s="29"/>
      <c r="B61" s="30"/>
      <c r="C61" s="31"/>
      <c r="D61" s="32"/>
      <c r="E61" s="32"/>
      <c r="F61" s="32"/>
      <c r="G61" s="41">
        <v>87</v>
      </c>
      <c r="H61" s="41">
        <v>100</v>
      </c>
      <c r="I61" s="41">
        <v>70</v>
      </c>
      <c r="J61" s="41">
        <v>33</v>
      </c>
      <c r="K61" s="41">
        <v>26</v>
      </c>
      <c r="L61" s="41">
        <v>20</v>
      </c>
      <c r="M61" s="41">
        <v>95</v>
      </c>
      <c r="N61" s="42"/>
      <c r="O61" s="42"/>
      <c r="P61" s="33" t="s">
        <v>51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  <c r="ALC61" s="1"/>
      <c r="ALD61" s="1"/>
      <c r="ALE61" s="1"/>
      <c r="ALF61" s="1"/>
      <c r="ALG61" s="1"/>
      <c r="ALH61" s="1"/>
      <c r="ALI61" s="1"/>
      <c r="ALJ61" s="1"/>
      <c r="ALK61" s="1"/>
      <c r="ALL61" s="1"/>
      <c r="ALM61" s="1"/>
      <c r="ALN61" s="1"/>
      <c r="ALO61" s="1"/>
      <c r="ALP61" s="1"/>
      <c r="ALQ61" s="1"/>
      <c r="ALR61" s="1"/>
      <c r="ALS61" s="1"/>
      <c r="ALT61" s="1"/>
      <c r="ALU61" s="1"/>
      <c r="ALV61" s="1"/>
      <c r="ALW61" s="1"/>
      <c r="ALX61" s="1"/>
      <c r="ALY61" s="1"/>
      <c r="ALZ61" s="1"/>
      <c r="AMA61" s="1"/>
      <c r="AMB61" s="1"/>
      <c r="AMC61" s="1"/>
      <c r="AMD61" s="1"/>
      <c r="AME61" s="1"/>
    </row>
    <row r="62" spans="1:1019" s="3" customFormat="1" ht="26.25" customHeight="1" x14ac:dyDescent="0.25">
      <c r="A62" s="21" t="s">
        <v>69</v>
      </c>
      <c r="B62" s="22" t="s">
        <v>102</v>
      </c>
      <c r="C62" s="21" t="s">
        <v>122</v>
      </c>
      <c r="D62" s="21">
        <v>39</v>
      </c>
      <c r="E62" s="21" t="s">
        <v>88</v>
      </c>
      <c r="F62" s="21">
        <v>57</v>
      </c>
      <c r="G62" s="43">
        <v>46</v>
      </c>
      <c r="H62" s="43">
        <v>59</v>
      </c>
      <c r="I62" s="43">
        <v>20</v>
      </c>
      <c r="J62" s="43">
        <v>15</v>
      </c>
      <c r="K62" s="43">
        <v>106</v>
      </c>
      <c r="L62" s="43">
        <v>104</v>
      </c>
      <c r="M62" s="43">
        <v>118</v>
      </c>
      <c r="N62" s="43">
        <v>72</v>
      </c>
      <c r="O62" s="43">
        <v>40</v>
      </c>
      <c r="P62" s="23" t="s">
        <v>50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  <c r="ALC62" s="1"/>
      <c r="ALD62" s="1"/>
      <c r="ALE62" s="1"/>
      <c r="ALF62" s="1"/>
      <c r="ALG62" s="1"/>
      <c r="ALH62" s="1"/>
      <c r="ALI62" s="1"/>
      <c r="ALJ62" s="1"/>
      <c r="ALK62" s="1"/>
      <c r="ALL62" s="1"/>
      <c r="ALM62" s="1"/>
      <c r="ALN62" s="1"/>
      <c r="ALO62" s="1"/>
      <c r="ALP62" s="1"/>
      <c r="ALQ62" s="1"/>
      <c r="ALR62" s="1"/>
      <c r="ALS62" s="1"/>
      <c r="ALT62" s="1"/>
      <c r="ALU62" s="1"/>
      <c r="ALV62" s="1"/>
      <c r="ALW62" s="1"/>
      <c r="ALX62" s="1"/>
      <c r="ALY62" s="1"/>
      <c r="ALZ62" s="1"/>
      <c r="AMA62" s="1"/>
      <c r="AMB62" s="1"/>
      <c r="AMC62" s="1"/>
      <c r="AMD62" s="1"/>
      <c r="AME62" s="1"/>
    </row>
    <row r="63" spans="1:1019" s="3" customFormat="1" ht="26.25" customHeight="1" x14ac:dyDescent="0.25">
      <c r="A63" s="24"/>
      <c r="B63" s="25"/>
      <c r="C63" s="1"/>
      <c r="D63" s="24"/>
      <c r="E63" s="24"/>
      <c r="F63" s="24"/>
      <c r="G63" s="39">
        <v>45</v>
      </c>
      <c r="H63" s="39">
        <v>60</v>
      </c>
      <c r="I63" s="39">
        <v>17</v>
      </c>
      <c r="J63" s="39">
        <v>12</v>
      </c>
      <c r="K63" s="39">
        <v>27</v>
      </c>
      <c r="L63" s="39">
        <v>25</v>
      </c>
      <c r="M63" s="39">
        <v>27</v>
      </c>
      <c r="N63" s="39">
        <v>72</v>
      </c>
      <c r="O63" s="39">
        <v>41</v>
      </c>
      <c r="P63" s="20" t="s">
        <v>52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  <c r="ALC63" s="1"/>
      <c r="ALD63" s="1"/>
      <c r="ALE63" s="1"/>
      <c r="ALF63" s="1"/>
      <c r="ALG63" s="1"/>
      <c r="ALH63" s="1"/>
      <c r="ALI63" s="1"/>
      <c r="ALJ63" s="1"/>
      <c r="ALK63" s="1"/>
      <c r="ALL63" s="1"/>
      <c r="ALM63" s="1"/>
      <c r="ALN63" s="1"/>
      <c r="ALO63" s="1"/>
      <c r="ALP63" s="1"/>
      <c r="ALQ63" s="1"/>
      <c r="ALR63" s="1"/>
      <c r="ALS63" s="1"/>
      <c r="ALT63" s="1"/>
      <c r="ALU63" s="1"/>
      <c r="ALV63" s="1"/>
      <c r="ALW63" s="1"/>
      <c r="ALX63" s="1"/>
      <c r="ALY63" s="1"/>
      <c r="ALZ63" s="1"/>
      <c r="AMA63" s="1"/>
      <c r="AMB63" s="1"/>
      <c r="AMC63" s="1"/>
      <c r="AMD63" s="1"/>
      <c r="AME63" s="1"/>
    </row>
    <row r="64" spans="1:1019" s="3" customFormat="1" ht="26.25" customHeight="1" x14ac:dyDescent="0.25">
      <c r="A64" s="24"/>
      <c r="B64" s="26"/>
      <c r="C64" s="1"/>
      <c r="D64" s="27"/>
      <c r="E64" s="27"/>
      <c r="F64" s="27"/>
      <c r="G64" s="39">
        <v>43</v>
      </c>
      <c r="H64" s="39">
        <v>24</v>
      </c>
      <c r="I64" s="39">
        <v>19</v>
      </c>
      <c r="J64" s="39">
        <v>29</v>
      </c>
      <c r="K64" s="39">
        <v>28</v>
      </c>
      <c r="L64" s="39">
        <v>29</v>
      </c>
      <c r="M64" s="39">
        <v>71</v>
      </c>
      <c r="N64" s="39">
        <v>40</v>
      </c>
      <c r="O64" s="40"/>
      <c r="P64" s="28" t="s">
        <v>124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  <c r="ALC64" s="1"/>
      <c r="ALD64" s="1"/>
      <c r="ALE64" s="1"/>
      <c r="ALF64" s="1"/>
      <c r="ALG64" s="1"/>
      <c r="ALH64" s="1"/>
      <c r="ALI64" s="1"/>
      <c r="ALJ64" s="1"/>
      <c r="ALK64" s="1"/>
      <c r="ALL64" s="1"/>
      <c r="ALM64" s="1"/>
      <c r="ALN64" s="1"/>
      <c r="ALO64" s="1"/>
      <c r="ALP64" s="1"/>
      <c r="ALQ64" s="1"/>
      <c r="ALR64" s="1"/>
      <c r="ALS64" s="1"/>
      <c r="ALT64" s="1"/>
      <c r="ALU64" s="1"/>
      <c r="ALV64" s="1"/>
      <c r="ALW64" s="1"/>
      <c r="ALX64" s="1"/>
      <c r="ALY64" s="1"/>
      <c r="ALZ64" s="1"/>
      <c r="AMA64" s="1"/>
      <c r="AMB64" s="1"/>
      <c r="AMC64" s="1"/>
      <c r="AMD64" s="1"/>
      <c r="AME64" s="1"/>
    </row>
    <row r="65" spans="1:1019" s="3" customFormat="1" ht="26.25" customHeight="1" x14ac:dyDescent="0.25">
      <c r="A65" s="29"/>
      <c r="B65" s="30"/>
      <c r="C65" s="31"/>
      <c r="D65" s="32"/>
      <c r="E65" s="32"/>
      <c r="F65" s="32"/>
      <c r="G65" s="41">
        <v>97</v>
      </c>
      <c r="H65" s="41">
        <v>112</v>
      </c>
      <c r="I65" s="41">
        <v>67</v>
      </c>
      <c r="J65" s="41">
        <v>35</v>
      </c>
      <c r="K65" s="41">
        <v>27</v>
      </c>
      <c r="L65" s="41">
        <v>21</v>
      </c>
      <c r="M65" s="41">
        <v>96</v>
      </c>
      <c r="N65" s="42"/>
      <c r="O65" s="42"/>
      <c r="P65" s="33" t="s">
        <v>51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  <c r="ALC65" s="1"/>
      <c r="ALD65" s="1"/>
      <c r="ALE65" s="1"/>
      <c r="ALF65" s="1"/>
      <c r="ALG65" s="1"/>
      <c r="ALH65" s="1"/>
      <c r="ALI65" s="1"/>
      <c r="ALJ65" s="1"/>
      <c r="ALK65" s="1"/>
      <c r="ALL65" s="1"/>
      <c r="ALM65" s="1"/>
      <c r="ALN65" s="1"/>
      <c r="ALO65" s="1"/>
      <c r="ALP65" s="1"/>
      <c r="ALQ65" s="1"/>
      <c r="ALR65" s="1"/>
      <c r="ALS65" s="1"/>
      <c r="ALT65" s="1"/>
      <c r="ALU65" s="1"/>
      <c r="ALV65" s="1"/>
      <c r="ALW65" s="1"/>
      <c r="ALX65" s="1"/>
      <c r="ALY65" s="1"/>
      <c r="ALZ65" s="1"/>
      <c r="AMA65" s="1"/>
      <c r="AMB65" s="1"/>
      <c r="AMC65" s="1"/>
      <c r="AMD65" s="1"/>
      <c r="AME65" s="1"/>
    </row>
    <row r="66" spans="1:1019" s="3" customFormat="1" ht="26.25" customHeight="1" x14ac:dyDescent="0.25">
      <c r="A66" s="21" t="s">
        <v>70</v>
      </c>
      <c r="B66" s="22" t="s">
        <v>103</v>
      </c>
      <c r="C66" s="21" t="s">
        <v>122</v>
      </c>
      <c r="D66" s="21">
        <v>41</v>
      </c>
      <c r="E66" s="21" t="s">
        <v>84</v>
      </c>
      <c r="F66" s="21">
        <v>55</v>
      </c>
      <c r="G66" s="43">
        <v>46</v>
      </c>
      <c r="H66" s="43">
        <v>60</v>
      </c>
      <c r="I66" s="43">
        <v>19</v>
      </c>
      <c r="J66" s="43">
        <v>14</v>
      </c>
      <c r="K66" s="43">
        <v>98</v>
      </c>
      <c r="L66" s="43">
        <v>96</v>
      </c>
      <c r="M66" s="43">
        <v>108</v>
      </c>
      <c r="N66" s="43">
        <v>68</v>
      </c>
      <c r="O66" s="43">
        <v>38</v>
      </c>
      <c r="P66" s="23" t="s">
        <v>50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  <c r="ALC66" s="1"/>
      <c r="ALD66" s="1"/>
      <c r="ALE66" s="1"/>
      <c r="ALF66" s="1"/>
      <c r="ALG66" s="1"/>
      <c r="ALH66" s="1"/>
      <c r="ALI66" s="1"/>
      <c r="ALJ66" s="1"/>
      <c r="ALK66" s="1"/>
      <c r="ALL66" s="1"/>
      <c r="ALM66" s="1"/>
      <c r="ALN66" s="1"/>
      <c r="ALO66" s="1"/>
      <c r="ALP66" s="1"/>
      <c r="ALQ66" s="1"/>
      <c r="ALR66" s="1"/>
      <c r="ALS66" s="1"/>
      <c r="ALT66" s="1"/>
      <c r="ALU66" s="1"/>
      <c r="ALV66" s="1"/>
      <c r="ALW66" s="1"/>
      <c r="ALX66" s="1"/>
      <c r="ALY66" s="1"/>
      <c r="ALZ66" s="1"/>
      <c r="AMA66" s="1"/>
      <c r="AMB66" s="1"/>
      <c r="AMC66" s="1"/>
      <c r="AMD66" s="1"/>
      <c r="AME66" s="1"/>
    </row>
    <row r="67" spans="1:1019" s="3" customFormat="1" ht="26.25" customHeight="1" x14ac:dyDescent="0.25">
      <c r="A67" s="24"/>
      <c r="B67" s="25"/>
      <c r="C67" s="1"/>
      <c r="D67" s="24"/>
      <c r="E67" s="24"/>
      <c r="F67" s="24"/>
      <c r="G67" s="39"/>
      <c r="H67" s="39"/>
      <c r="I67" s="39"/>
      <c r="J67" s="39"/>
      <c r="K67" s="39"/>
      <c r="L67" s="39"/>
      <c r="M67" s="39"/>
      <c r="N67" s="39"/>
      <c r="O67" s="39"/>
      <c r="P67" s="20" t="s">
        <v>52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  <c r="ALC67" s="1"/>
      <c r="ALD67" s="1"/>
      <c r="ALE67" s="1"/>
      <c r="ALF67" s="1"/>
      <c r="ALG67" s="1"/>
      <c r="ALH67" s="1"/>
      <c r="ALI67" s="1"/>
      <c r="ALJ67" s="1"/>
      <c r="ALK67" s="1"/>
      <c r="ALL67" s="1"/>
      <c r="ALM67" s="1"/>
      <c r="ALN67" s="1"/>
      <c r="ALO67" s="1"/>
      <c r="ALP67" s="1"/>
      <c r="ALQ67" s="1"/>
      <c r="ALR67" s="1"/>
      <c r="ALS67" s="1"/>
      <c r="ALT67" s="1"/>
      <c r="ALU67" s="1"/>
      <c r="ALV67" s="1"/>
      <c r="ALW67" s="1"/>
      <c r="ALX67" s="1"/>
      <c r="ALY67" s="1"/>
      <c r="ALZ67" s="1"/>
      <c r="AMA67" s="1"/>
      <c r="AMB67" s="1"/>
      <c r="AMC67" s="1"/>
      <c r="AMD67" s="1"/>
      <c r="AME67" s="1"/>
    </row>
    <row r="68" spans="1:1019" s="3" customFormat="1" ht="26.25" customHeight="1" x14ac:dyDescent="0.25">
      <c r="A68" s="24"/>
      <c r="B68" s="26"/>
      <c r="C68" s="1"/>
      <c r="D68" s="27"/>
      <c r="E68" s="27"/>
      <c r="F68" s="27"/>
      <c r="G68" s="39">
        <v>44</v>
      </c>
      <c r="H68" s="39">
        <v>24</v>
      </c>
      <c r="I68" s="39">
        <v>18</v>
      </c>
      <c r="J68" s="39">
        <v>28</v>
      </c>
      <c r="K68" s="39">
        <v>26</v>
      </c>
      <c r="L68" s="39">
        <v>28</v>
      </c>
      <c r="M68" s="39">
        <v>68</v>
      </c>
      <c r="N68" s="39">
        <v>38</v>
      </c>
      <c r="O68" s="40"/>
      <c r="P68" s="28" t="s">
        <v>124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  <c r="ALC68" s="1"/>
      <c r="ALD68" s="1"/>
      <c r="ALE68" s="1"/>
      <c r="ALF68" s="1"/>
      <c r="ALG68" s="1"/>
      <c r="ALH68" s="1"/>
      <c r="ALI68" s="1"/>
      <c r="ALJ68" s="1"/>
      <c r="ALK68" s="1"/>
      <c r="ALL68" s="1"/>
      <c r="ALM68" s="1"/>
      <c r="ALN68" s="1"/>
      <c r="ALO68" s="1"/>
      <c r="ALP68" s="1"/>
      <c r="ALQ68" s="1"/>
      <c r="ALR68" s="1"/>
      <c r="ALS68" s="1"/>
      <c r="ALT68" s="1"/>
      <c r="ALU68" s="1"/>
      <c r="ALV68" s="1"/>
      <c r="ALW68" s="1"/>
      <c r="ALX68" s="1"/>
      <c r="ALY68" s="1"/>
      <c r="ALZ68" s="1"/>
      <c r="AMA68" s="1"/>
      <c r="AMB68" s="1"/>
      <c r="AMC68" s="1"/>
      <c r="AMD68" s="1"/>
      <c r="AME68" s="1"/>
    </row>
    <row r="69" spans="1:1019" s="3" customFormat="1" ht="26.25" customHeight="1" x14ac:dyDescent="0.25">
      <c r="A69" s="29"/>
      <c r="B69" s="30"/>
      <c r="C69" s="31"/>
      <c r="D69" s="32"/>
      <c r="E69" s="32"/>
      <c r="F69" s="32"/>
      <c r="G69" s="41">
        <v>90</v>
      </c>
      <c r="H69" s="41">
        <v>104</v>
      </c>
      <c r="I69" s="41">
        <v>66</v>
      </c>
      <c r="J69" s="41">
        <v>31</v>
      </c>
      <c r="K69" s="41">
        <v>25</v>
      </c>
      <c r="L69" s="41">
        <v>17</v>
      </c>
      <c r="M69" s="41">
        <v>92</v>
      </c>
      <c r="N69" s="42"/>
      <c r="O69" s="42"/>
      <c r="P69" s="33" t="s">
        <v>51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  <c r="ALC69" s="1"/>
      <c r="ALD69" s="1"/>
      <c r="ALE69" s="1"/>
      <c r="ALF69" s="1"/>
      <c r="ALG69" s="1"/>
      <c r="ALH69" s="1"/>
      <c r="ALI69" s="1"/>
      <c r="ALJ69" s="1"/>
      <c r="ALK69" s="1"/>
      <c r="ALL69" s="1"/>
      <c r="ALM69" s="1"/>
      <c r="ALN69" s="1"/>
      <c r="ALO69" s="1"/>
      <c r="ALP69" s="1"/>
      <c r="ALQ69" s="1"/>
      <c r="ALR69" s="1"/>
      <c r="ALS69" s="1"/>
      <c r="ALT69" s="1"/>
      <c r="ALU69" s="1"/>
      <c r="ALV69" s="1"/>
      <c r="ALW69" s="1"/>
      <c r="ALX69" s="1"/>
      <c r="ALY69" s="1"/>
      <c r="ALZ69" s="1"/>
      <c r="AMA69" s="1"/>
      <c r="AMB69" s="1"/>
      <c r="AMC69" s="1"/>
      <c r="AMD69" s="1"/>
      <c r="AME69" s="1"/>
    </row>
    <row r="70" spans="1:1019" s="3" customFormat="1" ht="26.25" customHeight="1" x14ac:dyDescent="0.25">
      <c r="A70" s="21" t="s">
        <v>71</v>
      </c>
      <c r="B70" s="22" t="s">
        <v>104</v>
      </c>
      <c r="C70" s="21" t="s">
        <v>122</v>
      </c>
      <c r="D70" s="21">
        <v>41</v>
      </c>
      <c r="E70" s="21" t="s">
        <v>86</v>
      </c>
      <c r="F70" s="21">
        <v>57</v>
      </c>
      <c r="G70" s="43">
        <v>45</v>
      </c>
      <c r="H70" s="43">
        <v>57</v>
      </c>
      <c r="I70" s="43">
        <v>19</v>
      </c>
      <c r="J70" s="43">
        <v>14</v>
      </c>
      <c r="K70" s="43">
        <v>93</v>
      </c>
      <c r="L70" s="43">
        <v>93</v>
      </c>
      <c r="M70" s="43">
        <v>102</v>
      </c>
      <c r="N70" s="43">
        <v>69</v>
      </c>
      <c r="O70" s="43">
        <v>39</v>
      </c>
      <c r="P70" s="23" t="s">
        <v>50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  <c r="ALC70" s="1"/>
      <c r="ALD70" s="1"/>
      <c r="ALE70" s="1"/>
      <c r="ALF70" s="1"/>
      <c r="ALG70" s="1"/>
      <c r="ALH70" s="1"/>
      <c r="ALI70" s="1"/>
      <c r="ALJ70" s="1"/>
      <c r="ALK70" s="1"/>
      <c r="ALL70" s="1"/>
      <c r="ALM70" s="1"/>
      <c r="ALN70" s="1"/>
      <c r="ALO70" s="1"/>
      <c r="ALP70" s="1"/>
      <c r="ALQ70" s="1"/>
      <c r="ALR70" s="1"/>
      <c r="ALS70" s="1"/>
      <c r="ALT70" s="1"/>
      <c r="ALU70" s="1"/>
      <c r="ALV70" s="1"/>
      <c r="ALW70" s="1"/>
      <c r="ALX70" s="1"/>
      <c r="ALY70" s="1"/>
      <c r="ALZ70" s="1"/>
      <c r="AMA70" s="1"/>
      <c r="AMB70" s="1"/>
      <c r="AMC70" s="1"/>
      <c r="AMD70" s="1"/>
      <c r="AME70" s="1"/>
    </row>
    <row r="71" spans="1:1019" s="3" customFormat="1" ht="26.25" customHeight="1" x14ac:dyDescent="0.25">
      <c r="A71" s="24"/>
      <c r="B71" s="25"/>
      <c r="C71" s="1"/>
      <c r="D71" s="24"/>
      <c r="E71" s="24"/>
      <c r="F71" s="24"/>
      <c r="G71" s="39"/>
      <c r="H71" s="39"/>
      <c r="I71" s="39"/>
      <c r="J71" s="39"/>
      <c r="K71" s="39"/>
      <c r="L71" s="39"/>
      <c r="M71" s="39"/>
      <c r="N71" s="39"/>
      <c r="O71" s="39"/>
      <c r="P71" s="20" t="s">
        <v>52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  <c r="ALC71" s="1"/>
      <c r="ALD71" s="1"/>
      <c r="ALE71" s="1"/>
      <c r="ALF71" s="1"/>
      <c r="ALG71" s="1"/>
      <c r="ALH71" s="1"/>
      <c r="ALI71" s="1"/>
      <c r="ALJ71" s="1"/>
      <c r="ALK71" s="1"/>
      <c r="ALL71" s="1"/>
      <c r="ALM71" s="1"/>
      <c r="ALN71" s="1"/>
      <c r="ALO71" s="1"/>
      <c r="ALP71" s="1"/>
      <c r="ALQ71" s="1"/>
      <c r="ALR71" s="1"/>
      <c r="ALS71" s="1"/>
      <c r="ALT71" s="1"/>
      <c r="ALU71" s="1"/>
      <c r="ALV71" s="1"/>
      <c r="ALW71" s="1"/>
      <c r="ALX71" s="1"/>
      <c r="ALY71" s="1"/>
      <c r="ALZ71" s="1"/>
      <c r="AMA71" s="1"/>
      <c r="AMB71" s="1"/>
      <c r="AMC71" s="1"/>
      <c r="AMD71" s="1"/>
      <c r="AME71" s="1"/>
    </row>
    <row r="72" spans="1:1019" s="3" customFormat="1" ht="26.25" customHeight="1" x14ac:dyDescent="0.25">
      <c r="A72" s="24"/>
      <c r="B72" s="26"/>
      <c r="C72" s="1"/>
      <c r="D72" s="27"/>
      <c r="E72" s="27"/>
      <c r="F72" s="27"/>
      <c r="G72" s="39">
        <v>43</v>
      </c>
      <c r="H72" s="39">
        <v>23</v>
      </c>
      <c r="I72" s="39">
        <v>17</v>
      </c>
      <c r="J72" s="39">
        <v>27</v>
      </c>
      <c r="K72" s="39">
        <v>27</v>
      </c>
      <c r="L72" s="39">
        <v>27</v>
      </c>
      <c r="M72" s="39">
        <v>67</v>
      </c>
      <c r="N72" s="39">
        <v>39</v>
      </c>
      <c r="O72" s="40"/>
      <c r="P72" s="28" t="s">
        <v>124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  <c r="ALC72" s="1"/>
      <c r="ALD72" s="1"/>
      <c r="ALE72" s="1"/>
      <c r="ALF72" s="1"/>
      <c r="ALG72" s="1"/>
      <c r="ALH72" s="1"/>
      <c r="ALI72" s="1"/>
      <c r="ALJ72" s="1"/>
      <c r="ALK72" s="1"/>
      <c r="ALL72" s="1"/>
      <c r="ALM72" s="1"/>
      <c r="ALN72" s="1"/>
      <c r="ALO72" s="1"/>
      <c r="ALP72" s="1"/>
      <c r="ALQ72" s="1"/>
      <c r="ALR72" s="1"/>
      <c r="ALS72" s="1"/>
      <c r="ALT72" s="1"/>
      <c r="ALU72" s="1"/>
      <c r="ALV72" s="1"/>
      <c r="ALW72" s="1"/>
      <c r="ALX72" s="1"/>
      <c r="ALY72" s="1"/>
      <c r="ALZ72" s="1"/>
      <c r="AMA72" s="1"/>
      <c r="AMB72" s="1"/>
      <c r="AMC72" s="1"/>
      <c r="AMD72" s="1"/>
      <c r="AME72" s="1"/>
    </row>
    <row r="73" spans="1:1019" s="3" customFormat="1" ht="26.25" customHeight="1" x14ac:dyDescent="0.25">
      <c r="A73" s="29"/>
      <c r="B73" s="30"/>
      <c r="C73" s="31"/>
      <c r="D73" s="32"/>
      <c r="E73" s="32"/>
      <c r="F73" s="32"/>
      <c r="G73" s="41">
        <v>87</v>
      </c>
      <c r="H73" s="41">
        <v>100</v>
      </c>
      <c r="I73" s="41">
        <v>62</v>
      </c>
      <c r="J73" s="41">
        <v>30</v>
      </c>
      <c r="K73" s="41">
        <v>24</v>
      </c>
      <c r="L73" s="41">
        <v>17</v>
      </c>
      <c r="M73" s="41">
        <v>92</v>
      </c>
      <c r="N73" s="42"/>
      <c r="O73" s="42"/>
      <c r="P73" s="33" t="s">
        <v>51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  <c r="ALC73" s="1"/>
      <c r="ALD73" s="1"/>
      <c r="ALE73" s="1"/>
      <c r="ALF73" s="1"/>
      <c r="ALG73" s="1"/>
      <c r="ALH73" s="1"/>
      <c r="ALI73" s="1"/>
      <c r="ALJ73" s="1"/>
      <c r="ALK73" s="1"/>
      <c r="ALL73" s="1"/>
      <c r="ALM73" s="1"/>
      <c r="ALN73" s="1"/>
      <c r="ALO73" s="1"/>
      <c r="ALP73" s="1"/>
      <c r="ALQ73" s="1"/>
      <c r="ALR73" s="1"/>
      <c r="ALS73" s="1"/>
      <c r="ALT73" s="1"/>
      <c r="ALU73" s="1"/>
      <c r="ALV73" s="1"/>
      <c r="ALW73" s="1"/>
      <c r="ALX73" s="1"/>
      <c r="ALY73" s="1"/>
      <c r="ALZ73" s="1"/>
      <c r="AMA73" s="1"/>
      <c r="AMB73" s="1"/>
      <c r="AMC73" s="1"/>
      <c r="AMD73" s="1"/>
      <c r="AME73" s="1"/>
    </row>
    <row r="74" spans="1:1019" s="3" customFormat="1" ht="26.25" customHeight="1" x14ac:dyDescent="0.25">
      <c r="A74" s="21" t="s">
        <v>72</v>
      </c>
      <c r="B74" s="22" t="s">
        <v>105</v>
      </c>
      <c r="C74" s="21" t="s">
        <v>122</v>
      </c>
      <c r="D74" s="21">
        <v>38</v>
      </c>
      <c r="E74" s="21" t="s">
        <v>106</v>
      </c>
      <c r="F74" s="21">
        <v>56</v>
      </c>
      <c r="G74" s="43">
        <v>45</v>
      </c>
      <c r="H74" s="43">
        <v>57</v>
      </c>
      <c r="I74" s="43">
        <v>19</v>
      </c>
      <c r="J74" s="43">
        <v>14</v>
      </c>
      <c r="K74" s="43">
        <v>94</v>
      </c>
      <c r="L74" s="43">
        <v>84</v>
      </c>
      <c r="M74" s="43">
        <v>100</v>
      </c>
      <c r="N74" s="43">
        <v>70</v>
      </c>
      <c r="O74" s="43">
        <v>38</v>
      </c>
      <c r="P74" s="23" t="s">
        <v>50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  <c r="ALC74" s="1"/>
      <c r="ALD74" s="1"/>
      <c r="ALE74" s="1"/>
      <c r="ALF74" s="1"/>
      <c r="ALG74" s="1"/>
      <c r="ALH74" s="1"/>
      <c r="ALI74" s="1"/>
      <c r="ALJ74" s="1"/>
      <c r="ALK74" s="1"/>
      <c r="ALL74" s="1"/>
      <c r="ALM74" s="1"/>
      <c r="ALN74" s="1"/>
      <c r="ALO74" s="1"/>
      <c r="ALP74" s="1"/>
      <c r="ALQ74" s="1"/>
      <c r="ALR74" s="1"/>
      <c r="ALS74" s="1"/>
      <c r="ALT74" s="1"/>
      <c r="ALU74" s="1"/>
      <c r="ALV74" s="1"/>
      <c r="ALW74" s="1"/>
      <c r="ALX74" s="1"/>
      <c r="ALY74" s="1"/>
      <c r="ALZ74" s="1"/>
      <c r="AMA74" s="1"/>
      <c r="AMB74" s="1"/>
      <c r="AMC74" s="1"/>
      <c r="AMD74" s="1"/>
      <c r="AME74" s="1"/>
    </row>
    <row r="75" spans="1:1019" s="3" customFormat="1" ht="26.25" customHeight="1" x14ac:dyDescent="0.25">
      <c r="A75" s="24"/>
      <c r="B75" s="25"/>
      <c r="C75" s="1"/>
      <c r="D75" s="24"/>
      <c r="E75" s="24"/>
      <c r="F75" s="24"/>
      <c r="G75" s="39"/>
      <c r="H75" s="39"/>
      <c r="I75" s="39"/>
      <c r="J75" s="39"/>
      <c r="K75" s="39"/>
      <c r="L75" s="39"/>
      <c r="M75" s="39"/>
      <c r="N75" s="39"/>
      <c r="O75" s="39"/>
      <c r="P75" s="20" t="s">
        <v>52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  <c r="ALC75" s="1"/>
      <c r="ALD75" s="1"/>
      <c r="ALE75" s="1"/>
      <c r="ALF75" s="1"/>
      <c r="ALG75" s="1"/>
      <c r="ALH75" s="1"/>
      <c r="ALI75" s="1"/>
      <c r="ALJ75" s="1"/>
      <c r="ALK75" s="1"/>
      <c r="ALL75" s="1"/>
      <c r="ALM75" s="1"/>
      <c r="ALN75" s="1"/>
      <c r="ALO75" s="1"/>
      <c r="ALP75" s="1"/>
      <c r="ALQ75" s="1"/>
      <c r="ALR75" s="1"/>
      <c r="ALS75" s="1"/>
      <c r="ALT75" s="1"/>
      <c r="ALU75" s="1"/>
      <c r="ALV75" s="1"/>
      <c r="ALW75" s="1"/>
      <c r="ALX75" s="1"/>
      <c r="ALY75" s="1"/>
      <c r="ALZ75" s="1"/>
      <c r="AMA75" s="1"/>
      <c r="AMB75" s="1"/>
      <c r="AMC75" s="1"/>
      <c r="AMD75" s="1"/>
      <c r="AME75" s="1"/>
    </row>
    <row r="76" spans="1:1019" s="3" customFormat="1" ht="26.25" customHeight="1" x14ac:dyDescent="0.25">
      <c r="A76" s="24"/>
      <c r="B76" s="26"/>
      <c r="C76" s="1"/>
      <c r="D76" s="27"/>
      <c r="E76" s="27"/>
      <c r="F76" s="27"/>
      <c r="G76" s="39">
        <v>42</v>
      </c>
      <c r="H76" s="39">
        <v>24</v>
      </c>
      <c r="I76" s="39">
        <v>18</v>
      </c>
      <c r="J76" s="39">
        <v>27</v>
      </c>
      <c r="K76" s="39">
        <v>25</v>
      </c>
      <c r="L76" s="39">
        <v>27</v>
      </c>
      <c r="M76" s="39">
        <v>68</v>
      </c>
      <c r="N76" s="39">
        <v>38</v>
      </c>
      <c r="O76" s="40"/>
      <c r="P76" s="28" t="s">
        <v>124</v>
      </c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  <c r="ALC76" s="1"/>
      <c r="ALD76" s="1"/>
      <c r="ALE76" s="1"/>
      <c r="ALF76" s="1"/>
      <c r="ALG76" s="1"/>
      <c r="ALH76" s="1"/>
      <c r="ALI76" s="1"/>
      <c r="ALJ76" s="1"/>
      <c r="ALK76" s="1"/>
      <c r="ALL76" s="1"/>
      <c r="ALM76" s="1"/>
      <c r="ALN76" s="1"/>
      <c r="ALO76" s="1"/>
      <c r="ALP76" s="1"/>
      <c r="ALQ76" s="1"/>
      <c r="ALR76" s="1"/>
      <c r="ALS76" s="1"/>
      <c r="ALT76" s="1"/>
      <c r="ALU76" s="1"/>
      <c r="ALV76" s="1"/>
      <c r="ALW76" s="1"/>
      <c r="ALX76" s="1"/>
      <c r="ALY76" s="1"/>
      <c r="ALZ76" s="1"/>
      <c r="AMA76" s="1"/>
      <c r="AMB76" s="1"/>
      <c r="AMC76" s="1"/>
      <c r="AMD76" s="1"/>
      <c r="AME76" s="1"/>
    </row>
    <row r="77" spans="1:1019" s="3" customFormat="1" ht="26.25" customHeight="1" x14ac:dyDescent="0.25">
      <c r="A77" s="29"/>
      <c r="B77" s="30"/>
      <c r="C77" s="31"/>
      <c r="D77" s="32"/>
      <c r="E77" s="32"/>
      <c r="F77" s="32"/>
      <c r="G77" s="41">
        <v>77</v>
      </c>
      <c r="H77" s="41">
        <v>96</v>
      </c>
      <c r="I77" s="41">
        <v>68</v>
      </c>
      <c r="J77" s="41">
        <v>29</v>
      </c>
      <c r="K77" s="41">
        <v>24</v>
      </c>
      <c r="L77" s="41">
        <v>19</v>
      </c>
      <c r="M77" s="41">
        <v>92</v>
      </c>
      <c r="N77" s="42"/>
      <c r="O77" s="42"/>
      <c r="P77" s="33" t="s">
        <v>51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  <c r="ALC77" s="1"/>
      <c r="ALD77" s="1"/>
      <c r="ALE77" s="1"/>
      <c r="ALF77" s="1"/>
      <c r="ALG77" s="1"/>
      <c r="ALH77" s="1"/>
      <c r="ALI77" s="1"/>
      <c r="ALJ77" s="1"/>
      <c r="ALK77" s="1"/>
      <c r="ALL77" s="1"/>
      <c r="ALM77" s="1"/>
      <c r="ALN77" s="1"/>
      <c r="ALO77" s="1"/>
      <c r="ALP77" s="1"/>
      <c r="ALQ77" s="1"/>
      <c r="ALR77" s="1"/>
      <c r="ALS77" s="1"/>
      <c r="ALT77" s="1"/>
      <c r="ALU77" s="1"/>
      <c r="ALV77" s="1"/>
      <c r="ALW77" s="1"/>
      <c r="ALX77" s="1"/>
      <c r="ALY77" s="1"/>
      <c r="ALZ77" s="1"/>
      <c r="AMA77" s="1"/>
      <c r="AMB77" s="1"/>
      <c r="AMC77" s="1"/>
      <c r="AMD77" s="1"/>
      <c r="AME77" s="1"/>
    </row>
    <row r="78" spans="1:1019" s="3" customFormat="1" ht="26.25" customHeight="1" x14ac:dyDescent="0.25">
      <c r="A78" s="21" t="s">
        <v>73</v>
      </c>
      <c r="B78" s="22" t="s">
        <v>107</v>
      </c>
      <c r="C78" s="21" t="s">
        <v>122</v>
      </c>
      <c r="D78" s="21">
        <v>43</v>
      </c>
      <c r="E78" s="21" t="s">
        <v>99</v>
      </c>
      <c r="F78" s="21">
        <v>58</v>
      </c>
      <c r="G78" s="43">
        <v>49</v>
      </c>
      <c r="H78" s="43">
        <v>62</v>
      </c>
      <c r="I78" s="43">
        <v>21</v>
      </c>
      <c r="J78" s="43">
        <v>16</v>
      </c>
      <c r="K78" s="43">
        <v>113</v>
      </c>
      <c r="L78" s="43">
        <v>108</v>
      </c>
      <c r="M78" s="43">
        <v>124</v>
      </c>
      <c r="N78" s="43">
        <v>76</v>
      </c>
      <c r="O78" s="43">
        <v>43</v>
      </c>
      <c r="P78" s="23" t="s">
        <v>50</v>
      </c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  <c r="ALC78" s="1"/>
      <c r="ALD78" s="1"/>
      <c r="ALE78" s="1"/>
      <c r="ALF78" s="1"/>
      <c r="ALG78" s="1"/>
      <c r="ALH78" s="1"/>
      <c r="ALI78" s="1"/>
      <c r="ALJ78" s="1"/>
      <c r="ALK78" s="1"/>
      <c r="ALL78" s="1"/>
      <c r="ALM78" s="1"/>
      <c r="ALN78" s="1"/>
      <c r="ALO78" s="1"/>
      <c r="ALP78" s="1"/>
      <c r="ALQ78" s="1"/>
      <c r="ALR78" s="1"/>
      <c r="ALS78" s="1"/>
      <c r="ALT78" s="1"/>
      <c r="ALU78" s="1"/>
      <c r="ALV78" s="1"/>
      <c r="ALW78" s="1"/>
      <c r="ALX78" s="1"/>
      <c r="ALY78" s="1"/>
      <c r="ALZ78" s="1"/>
      <c r="AMA78" s="1"/>
      <c r="AMB78" s="1"/>
      <c r="AMC78" s="1"/>
      <c r="AMD78" s="1"/>
      <c r="AME78" s="1"/>
    </row>
    <row r="79" spans="1:1019" s="3" customFormat="1" ht="26.25" customHeight="1" x14ac:dyDescent="0.25">
      <c r="A79" s="24"/>
      <c r="B79" s="25"/>
      <c r="C79" s="1"/>
      <c r="D79" s="24"/>
      <c r="E79" s="24"/>
      <c r="F79" s="24"/>
      <c r="G79" s="39"/>
      <c r="H79" s="39"/>
      <c r="I79" s="39"/>
      <c r="J79" s="39"/>
      <c r="K79" s="39"/>
      <c r="L79" s="39"/>
      <c r="M79" s="39"/>
      <c r="N79" s="39"/>
      <c r="O79" s="39"/>
      <c r="P79" s="20" t="s">
        <v>52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  <c r="ALC79" s="1"/>
      <c r="ALD79" s="1"/>
      <c r="ALE79" s="1"/>
      <c r="ALF79" s="1"/>
      <c r="ALG79" s="1"/>
      <c r="ALH79" s="1"/>
      <c r="ALI79" s="1"/>
      <c r="ALJ79" s="1"/>
      <c r="ALK79" s="1"/>
      <c r="ALL79" s="1"/>
      <c r="ALM79" s="1"/>
      <c r="ALN79" s="1"/>
      <c r="ALO79" s="1"/>
      <c r="ALP79" s="1"/>
      <c r="ALQ79" s="1"/>
      <c r="ALR79" s="1"/>
      <c r="ALS79" s="1"/>
      <c r="ALT79" s="1"/>
      <c r="ALU79" s="1"/>
      <c r="ALV79" s="1"/>
      <c r="ALW79" s="1"/>
      <c r="ALX79" s="1"/>
      <c r="ALY79" s="1"/>
      <c r="ALZ79" s="1"/>
      <c r="AMA79" s="1"/>
      <c r="AMB79" s="1"/>
      <c r="AMC79" s="1"/>
      <c r="AMD79" s="1"/>
      <c r="AME79" s="1"/>
    </row>
    <row r="80" spans="1:1019" s="3" customFormat="1" ht="26.25" customHeight="1" x14ac:dyDescent="0.25">
      <c r="A80" s="24"/>
      <c r="B80" s="26"/>
      <c r="C80" s="1"/>
      <c r="D80" s="27"/>
      <c r="E80" s="27"/>
      <c r="F80" s="27"/>
      <c r="G80" s="39">
        <v>46</v>
      </c>
      <c r="H80" s="39">
        <v>25</v>
      </c>
      <c r="I80" s="39">
        <v>19</v>
      </c>
      <c r="J80" s="39">
        <v>30</v>
      </c>
      <c r="K80" s="39">
        <v>28</v>
      </c>
      <c r="L80" s="39">
        <v>30</v>
      </c>
      <c r="M80" s="39">
        <v>75</v>
      </c>
      <c r="N80" s="39">
        <v>43</v>
      </c>
      <c r="O80" s="40"/>
      <c r="P80" s="28" t="s">
        <v>124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  <c r="ALC80" s="1"/>
      <c r="ALD80" s="1"/>
      <c r="ALE80" s="1"/>
      <c r="ALF80" s="1"/>
      <c r="ALG80" s="1"/>
      <c r="ALH80" s="1"/>
      <c r="ALI80" s="1"/>
      <c r="ALJ80" s="1"/>
      <c r="ALK80" s="1"/>
      <c r="ALL80" s="1"/>
      <c r="ALM80" s="1"/>
      <c r="ALN80" s="1"/>
      <c r="ALO80" s="1"/>
      <c r="ALP80" s="1"/>
      <c r="ALQ80" s="1"/>
      <c r="ALR80" s="1"/>
      <c r="ALS80" s="1"/>
      <c r="ALT80" s="1"/>
      <c r="ALU80" s="1"/>
      <c r="ALV80" s="1"/>
      <c r="ALW80" s="1"/>
      <c r="ALX80" s="1"/>
      <c r="ALY80" s="1"/>
      <c r="ALZ80" s="1"/>
      <c r="AMA80" s="1"/>
      <c r="AMB80" s="1"/>
      <c r="AMC80" s="1"/>
      <c r="AMD80" s="1"/>
      <c r="AME80" s="1"/>
    </row>
    <row r="81" spans="1:1019" s="3" customFormat="1" ht="26.25" customHeight="1" x14ac:dyDescent="0.25">
      <c r="A81" s="29"/>
      <c r="B81" s="30"/>
      <c r="C81" s="31"/>
      <c r="D81" s="32"/>
      <c r="E81" s="32"/>
      <c r="F81" s="32"/>
      <c r="G81" s="41">
        <v>96</v>
      </c>
      <c r="H81" s="41">
        <v>120</v>
      </c>
      <c r="I81" s="41">
        <v>72</v>
      </c>
      <c r="J81" s="41">
        <v>36</v>
      </c>
      <c r="K81" s="41">
        <v>28</v>
      </c>
      <c r="L81" s="41">
        <v>24</v>
      </c>
      <c r="M81" s="41">
        <v>104</v>
      </c>
      <c r="N81" s="42"/>
      <c r="O81" s="42"/>
      <c r="P81" s="33" t="s">
        <v>51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  <c r="ALC81" s="1"/>
      <c r="ALD81" s="1"/>
      <c r="ALE81" s="1"/>
      <c r="ALF81" s="1"/>
      <c r="ALG81" s="1"/>
      <c r="ALH81" s="1"/>
      <c r="ALI81" s="1"/>
      <c r="ALJ81" s="1"/>
      <c r="ALK81" s="1"/>
      <c r="ALL81" s="1"/>
      <c r="ALM81" s="1"/>
      <c r="ALN81" s="1"/>
      <c r="ALO81" s="1"/>
      <c r="ALP81" s="1"/>
      <c r="ALQ81" s="1"/>
      <c r="ALR81" s="1"/>
      <c r="ALS81" s="1"/>
      <c r="ALT81" s="1"/>
      <c r="ALU81" s="1"/>
      <c r="ALV81" s="1"/>
      <c r="ALW81" s="1"/>
      <c r="ALX81" s="1"/>
      <c r="ALY81" s="1"/>
      <c r="ALZ81" s="1"/>
      <c r="AMA81" s="1"/>
      <c r="AMB81" s="1"/>
      <c r="AMC81" s="1"/>
      <c r="AMD81" s="1"/>
      <c r="AME81" s="1"/>
    </row>
    <row r="82" spans="1:1019" s="3" customFormat="1" ht="26.25" customHeight="1" x14ac:dyDescent="0.25">
      <c r="A82" s="21" t="s">
        <v>74</v>
      </c>
      <c r="B82" s="22" t="s">
        <v>108</v>
      </c>
      <c r="C82" s="21" t="s">
        <v>122</v>
      </c>
      <c r="D82" s="21">
        <v>41</v>
      </c>
      <c r="E82" s="21" t="s">
        <v>86</v>
      </c>
      <c r="F82" s="21">
        <v>56</v>
      </c>
      <c r="G82" s="43">
        <v>45</v>
      </c>
      <c r="H82" s="43">
        <v>57</v>
      </c>
      <c r="I82" s="43">
        <v>19</v>
      </c>
      <c r="J82" s="43">
        <v>14</v>
      </c>
      <c r="K82" s="43">
        <v>104</v>
      </c>
      <c r="L82" s="43">
        <v>99</v>
      </c>
      <c r="M82" s="43">
        <v>107</v>
      </c>
      <c r="N82" s="43">
        <v>69</v>
      </c>
      <c r="O82" s="43">
        <v>41</v>
      </c>
      <c r="P82" s="23" t="s">
        <v>50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  <c r="ALC82" s="1"/>
      <c r="ALD82" s="1"/>
      <c r="ALE82" s="1"/>
      <c r="ALF82" s="1"/>
      <c r="ALG82" s="1"/>
      <c r="ALH82" s="1"/>
      <c r="ALI82" s="1"/>
      <c r="ALJ82" s="1"/>
      <c r="ALK82" s="1"/>
      <c r="ALL82" s="1"/>
      <c r="ALM82" s="1"/>
      <c r="ALN82" s="1"/>
      <c r="ALO82" s="1"/>
      <c r="ALP82" s="1"/>
      <c r="ALQ82" s="1"/>
      <c r="ALR82" s="1"/>
      <c r="ALS82" s="1"/>
      <c r="ALT82" s="1"/>
      <c r="ALU82" s="1"/>
      <c r="ALV82" s="1"/>
      <c r="ALW82" s="1"/>
      <c r="ALX82" s="1"/>
      <c r="ALY82" s="1"/>
      <c r="ALZ82" s="1"/>
      <c r="AMA82" s="1"/>
      <c r="AMB82" s="1"/>
      <c r="AMC82" s="1"/>
      <c r="AMD82" s="1"/>
      <c r="AME82" s="1"/>
    </row>
    <row r="83" spans="1:1019" s="3" customFormat="1" ht="26.25" customHeight="1" x14ac:dyDescent="0.25">
      <c r="A83" s="24"/>
      <c r="B83" s="25"/>
      <c r="C83" s="1"/>
      <c r="D83" s="24"/>
      <c r="E83" s="24"/>
      <c r="F83" s="24"/>
      <c r="G83" s="39"/>
      <c r="H83" s="39"/>
      <c r="I83" s="39"/>
      <c r="J83" s="39"/>
      <c r="K83" s="39"/>
      <c r="L83" s="39"/>
      <c r="M83" s="39"/>
      <c r="N83" s="39"/>
      <c r="O83" s="39"/>
      <c r="P83" s="20" t="s">
        <v>52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  <c r="ALC83" s="1"/>
      <c r="ALD83" s="1"/>
      <c r="ALE83" s="1"/>
      <c r="ALF83" s="1"/>
      <c r="ALG83" s="1"/>
      <c r="ALH83" s="1"/>
      <c r="ALI83" s="1"/>
      <c r="ALJ83" s="1"/>
      <c r="ALK83" s="1"/>
      <c r="ALL83" s="1"/>
      <c r="ALM83" s="1"/>
      <c r="ALN83" s="1"/>
      <c r="ALO83" s="1"/>
      <c r="ALP83" s="1"/>
      <c r="ALQ83" s="1"/>
      <c r="ALR83" s="1"/>
      <c r="ALS83" s="1"/>
      <c r="ALT83" s="1"/>
      <c r="ALU83" s="1"/>
      <c r="ALV83" s="1"/>
      <c r="ALW83" s="1"/>
      <c r="ALX83" s="1"/>
      <c r="ALY83" s="1"/>
      <c r="ALZ83" s="1"/>
      <c r="AMA83" s="1"/>
      <c r="AMB83" s="1"/>
      <c r="AMC83" s="1"/>
      <c r="AMD83" s="1"/>
      <c r="AME83" s="1"/>
    </row>
    <row r="84" spans="1:1019" s="3" customFormat="1" ht="26.25" customHeight="1" x14ac:dyDescent="0.25">
      <c r="A84" s="24"/>
      <c r="B84" s="26"/>
      <c r="C84" s="1"/>
      <c r="D84" s="27"/>
      <c r="E84" s="27"/>
      <c r="F84" s="27"/>
      <c r="G84" s="39">
        <v>42</v>
      </c>
      <c r="H84" s="39">
        <v>23</v>
      </c>
      <c r="I84" s="39">
        <v>17</v>
      </c>
      <c r="J84" s="39">
        <v>27</v>
      </c>
      <c r="K84" s="39">
        <v>26</v>
      </c>
      <c r="L84" s="39">
        <v>27</v>
      </c>
      <c r="M84" s="39">
        <v>68</v>
      </c>
      <c r="N84" s="39">
        <v>41</v>
      </c>
      <c r="O84" s="40"/>
      <c r="P84" s="28" t="s">
        <v>124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  <c r="ALC84" s="1"/>
      <c r="ALD84" s="1"/>
      <c r="ALE84" s="1"/>
      <c r="ALF84" s="1"/>
      <c r="ALG84" s="1"/>
      <c r="ALH84" s="1"/>
      <c r="ALI84" s="1"/>
      <c r="ALJ84" s="1"/>
      <c r="ALK84" s="1"/>
      <c r="ALL84" s="1"/>
      <c r="ALM84" s="1"/>
      <c r="ALN84" s="1"/>
      <c r="ALO84" s="1"/>
      <c r="ALP84" s="1"/>
      <c r="ALQ84" s="1"/>
      <c r="ALR84" s="1"/>
      <c r="ALS84" s="1"/>
      <c r="ALT84" s="1"/>
      <c r="ALU84" s="1"/>
      <c r="ALV84" s="1"/>
      <c r="ALW84" s="1"/>
      <c r="ALX84" s="1"/>
      <c r="ALY84" s="1"/>
      <c r="ALZ84" s="1"/>
      <c r="AMA84" s="1"/>
      <c r="AMB84" s="1"/>
      <c r="AMC84" s="1"/>
      <c r="AMD84" s="1"/>
      <c r="AME84" s="1"/>
    </row>
    <row r="85" spans="1:1019" s="3" customFormat="1" ht="26.25" customHeight="1" x14ac:dyDescent="0.25">
      <c r="A85" s="29"/>
      <c r="B85" s="30"/>
      <c r="C85" s="31"/>
      <c r="D85" s="32"/>
      <c r="E85" s="32"/>
      <c r="F85" s="32"/>
      <c r="G85" s="41">
        <v>89</v>
      </c>
      <c r="H85" s="41">
        <v>102</v>
      </c>
      <c r="I85" s="41">
        <v>64</v>
      </c>
      <c r="J85" s="41">
        <v>33</v>
      </c>
      <c r="K85" s="41">
        <v>26</v>
      </c>
      <c r="L85" s="41">
        <v>19</v>
      </c>
      <c r="M85" s="41">
        <v>93</v>
      </c>
      <c r="N85" s="42"/>
      <c r="O85" s="42"/>
      <c r="P85" s="33" t="s">
        <v>51</v>
      </c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  <c r="ALC85" s="1"/>
      <c r="ALD85" s="1"/>
      <c r="ALE85" s="1"/>
      <c r="ALF85" s="1"/>
      <c r="ALG85" s="1"/>
      <c r="ALH85" s="1"/>
      <c r="ALI85" s="1"/>
      <c r="ALJ85" s="1"/>
      <c r="ALK85" s="1"/>
      <c r="ALL85" s="1"/>
      <c r="ALM85" s="1"/>
      <c r="ALN85" s="1"/>
      <c r="ALO85" s="1"/>
      <c r="ALP85" s="1"/>
      <c r="ALQ85" s="1"/>
      <c r="ALR85" s="1"/>
      <c r="ALS85" s="1"/>
      <c r="ALT85" s="1"/>
      <c r="ALU85" s="1"/>
      <c r="ALV85" s="1"/>
      <c r="ALW85" s="1"/>
      <c r="ALX85" s="1"/>
      <c r="ALY85" s="1"/>
      <c r="ALZ85" s="1"/>
      <c r="AMA85" s="1"/>
      <c r="AMB85" s="1"/>
      <c r="AMC85" s="1"/>
      <c r="AMD85" s="1"/>
      <c r="AME85" s="1"/>
    </row>
    <row r="86" spans="1:1019" s="3" customFormat="1" ht="26.25" customHeight="1" x14ac:dyDescent="0.25">
      <c r="A86" s="21" t="s">
        <v>75</v>
      </c>
      <c r="B86" s="22" t="s">
        <v>109</v>
      </c>
      <c r="C86" s="21" t="s">
        <v>122</v>
      </c>
      <c r="D86" s="21">
        <v>40</v>
      </c>
      <c r="E86" s="21" t="s">
        <v>86</v>
      </c>
      <c r="F86" s="21">
        <v>53</v>
      </c>
      <c r="G86" s="43">
        <v>43</v>
      </c>
      <c r="H86" s="43">
        <v>57</v>
      </c>
      <c r="I86" s="43">
        <v>18</v>
      </c>
      <c r="J86" s="43">
        <v>14</v>
      </c>
      <c r="K86" s="43">
        <v>94</v>
      </c>
      <c r="L86" s="43">
        <v>84</v>
      </c>
      <c r="M86" s="43">
        <v>102</v>
      </c>
      <c r="N86" s="43">
        <v>70</v>
      </c>
      <c r="O86" s="43">
        <v>37</v>
      </c>
      <c r="P86" s="23" t="s">
        <v>50</v>
      </c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  <c r="ALC86" s="1"/>
      <c r="ALD86" s="1"/>
      <c r="ALE86" s="1"/>
      <c r="ALF86" s="1"/>
      <c r="ALG86" s="1"/>
      <c r="ALH86" s="1"/>
      <c r="ALI86" s="1"/>
      <c r="ALJ86" s="1"/>
      <c r="ALK86" s="1"/>
      <c r="ALL86" s="1"/>
      <c r="ALM86" s="1"/>
      <c r="ALN86" s="1"/>
      <c r="ALO86" s="1"/>
      <c r="ALP86" s="1"/>
      <c r="ALQ86" s="1"/>
      <c r="ALR86" s="1"/>
      <c r="ALS86" s="1"/>
      <c r="ALT86" s="1"/>
      <c r="ALU86" s="1"/>
      <c r="ALV86" s="1"/>
      <c r="ALW86" s="1"/>
      <c r="ALX86" s="1"/>
      <c r="ALY86" s="1"/>
      <c r="ALZ86" s="1"/>
      <c r="AMA86" s="1"/>
      <c r="AMB86" s="1"/>
      <c r="AMC86" s="1"/>
      <c r="AMD86" s="1"/>
      <c r="AME86" s="1"/>
    </row>
    <row r="87" spans="1:1019" s="3" customFormat="1" ht="26.25" customHeight="1" x14ac:dyDescent="0.25">
      <c r="A87" s="24"/>
      <c r="B87" s="25"/>
      <c r="C87" s="1"/>
      <c r="D87" s="24"/>
      <c r="E87" s="24"/>
      <c r="F87" s="24"/>
      <c r="G87" s="39"/>
      <c r="H87" s="39"/>
      <c r="I87" s="39"/>
      <c r="J87" s="39"/>
      <c r="K87" s="39"/>
      <c r="L87" s="39"/>
      <c r="M87" s="39"/>
      <c r="N87" s="39"/>
      <c r="O87" s="39"/>
      <c r="P87" s="20" t="s">
        <v>52</v>
      </c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  <c r="ALC87" s="1"/>
      <c r="ALD87" s="1"/>
      <c r="ALE87" s="1"/>
      <c r="ALF87" s="1"/>
      <c r="ALG87" s="1"/>
      <c r="ALH87" s="1"/>
      <c r="ALI87" s="1"/>
      <c r="ALJ87" s="1"/>
      <c r="ALK87" s="1"/>
      <c r="ALL87" s="1"/>
      <c r="ALM87" s="1"/>
      <c r="ALN87" s="1"/>
      <c r="ALO87" s="1"/>
      <c r="ALP87" s="1"/>
      <c r="ALQ87" s="1"/>
      <c r="ALR87" s="1"/>
      <c r="ALS87" s="1"/>
      <c r="ALT87" s="1"/>
      <c r="ALU87" s="1"/>
      <c r="ALV87" s="1"/>
      <c r="ALW87" s="1"/>
      <c r="ALX87" s="1"/>
      <c r="ALY87" s="1"/>
      <c r="ALZ87" s="1"/>
      <c r="AMA87" s="1"/>
      <c r="AMB87" s="1"/>
      <c r="AMC87" s="1"/>
      <c r="AMD87" s="1"/>
      <c r="AME87" s="1"/>
    </row>
    <row r="88" spans="1:1019" s="3" customFormat="1" ht="26.25" customHeight="1" x14ac:dyDescent="0.25">
      <c r="A88" s="24"/>
      <c r="B88" s="26"/>
      <c r="C88" s="1"/>
      <c r="D88" s="27"/>
      <c r="E88" s="27"/>
      <c r="F88" s="27"/>
      <c r="G88" s="39">
        <v>40</v>
      </c>
      <c r="H88" s="39">
        <v>23</v>
      </c>
      <c r="I88" s="39">
        <v>16</v>
      </c>
      <c r="J88" s="39">
        <v>27</v>
      </c>
      <c r="K88" s="39">
        <v>24</v>
      </c>
      <c r="L88" s="39">
        <v>27</v>
      </c>
      <c r="M88" s="39">
        <v>68</v>
      </c>
      <c r="N88" s="39">
        <v>41</v>
      </c>
      <c r="O88" s="40"/>
      <c r="P88" s="28" t="s">
        <v>124</v>
      </c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  <c r="ALC88" s="1"/>
      <c r="ALD88" s="1"/>
      <c r="ALE88" s="1"/>
      <c r="ALF88" s="1"/>
      <c r="ALG88" s="1"/>
      <c r="ALH88" s="1"/>
      <c r="ALI88" s="1"/>
      <c r="ALJ88" s="1"/>
      <c r="ALK88" s="1"/>
      <c r="ALL88" s="1"/>
      <c r="ALM88" s="1"/>
      <c r="ALN88" s="1"/>
      <c r="ALO88" s="1"/>
      <c r="ALP88" s="1"/>
      <c r="ALQ88" s="1"/>
      <c r="ALR88" s="1"/>
      <c r="ALS88" s="1"/>
      <c r="ALT88" s="1"/>
      <c r="ALU88" s="1"/>
      <c r="ALV88" s="1"/>
      <c r="ALW88" s="1"/>
      <c r="ALX88" s="1"/>
      <c r="ALY88" s="1"/>
      <c r="ALZ88" s="1"/>
      <c r="AMA88" s="1"/>
      <c r="AMB88" s="1"/>
      <c r="AMC88" s="1"/>
      <c r="AMD88" s="1"/>
      <c r="AME88" s="1"/>
    </row>
    <row r="89" spans="1:1019" s="3" customFormat="1" ht="26.25" customHeight="1" x14ac:dyDescent="0.25">
      <c r="A89" s="29"/>
      <c r="B89" s="30"/>
      <c r="C89" s="31"/>
      <c r="D89" s="32"/>
      <c r="E89" s="32"/>
      <c r="F89" s="32"/>
      <c r="G89" s="41">
        <v>74</v>
      </c>
      <c r="H89" s="41">
        <v>98</v>
      </c>
      <c r="I89" s="41">
        <v>65</v>
      </c>
      <c r="J89" s="41">
        <v>32</v>
      </c>
      <c r="K89" s="41">
        <v>26</v>
      </c>
      <c r="L89" s="41">
        <v>19</v>
      </c>
      <c r="M89" s="41">
        <v>93</v>
      </c>
      <c r="N89" s="42"/>
      <c r="O89" s="42"/>
      <c r="P89" s="33" t="s">
        <v>51</v>
      </c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  <c r="ALC89" s="1"/>
      <c r="ALD89" s="1"/>
      <c r="ALE89" s="1"/>
      <c r="ALF89" s="1"/>
      <c r="ALG89" s="1"/>
      <c r="ALH89" s="1"/>
      <c r="ALI89" s="1"/>
      <c r="ALJ89" s="1"/>
      <c r="ALK89" s="1"/>
      <c r="ALL89" s="1"/>
      <c r="ALM89" s="1"/>
      <c r="ALN89" s="1"/>
      <c r="ALO89" s="1"/>
      <c r="ALP89" s="1"/>
      <c r="ALQ89" s="1"/>
      <c r="ALR89" s="1"/>
      <c r="ALS89" s="1"/>
      <c r="ALT89" s="1"/>
      <c r="ALU89" s="1"/>
      <c r="ALV89" s="1"/>
      <c r="ALW89" s="1"/>
      <c r="ALX89" s="1"/>
      <c r="ALY89" s="1"/>
      <c r="ALZ89" s="1"/>
      <c r="AMA89" s="1"/>
      <c r="AMB89" s="1"/>
      <c r="AMC89" s="1"/>
      <c r="AMD89" s="1"/>
      <c r="AME89" s="1"/>
    </row>
    <row r="90" spans="1:1019" s="3" customFormat="1" ht="26.25" customHeight="1" x14ac:dyDescent="0.25">
      <c r="A90" s="21" t="s">
        <v>76</v>
      </c>
      <c r="B90" s="22" t="s">
        <v>110</v>
      </c>
      <c r="C90" s="21" t="s">
        <v>122</v>
      </c>
      <c r="D90" s="21">
        <v>41</v>
      </c>
      <c r="E90" s="21" t="s">
        <v>86</v>
      </c>
      <c r="F90" s="21">
        <v>54</v>
      </c>
      <c r="G90" s="43">
        <v>44</v>
      </c>
      <c r="H90" s="43">
        <v>56</v>
      </c>
      <c r="I90" s="43">
        <v>16.5</v>
      </c>
      <c r="J90" s="43">
        <v>14</v>
      </c>
      <c r="K90" s="43">
        <v>86</v>
      </c>
      <c r="L90" s="43">
        <v>78</v>
      </c>
      <c r="M90" s="43">
        <v>99</v>
      </c>
      <c r="N90" s="43">
        <v>36</v>
      </c>
      <c r="O90" s="43">
        <v>70</v>
      </c>
      <c r="P90" s="23" t="s">
        <v>50</v>
      </c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  <c r="ALC90" s="1"/>
      <c r="ALD90" s="1"/>
      <c r="ALE90" s="1"/>
      <c r="ALF90" s="1"/>
      <c r="ALG90" s="1"/>
      <c r="ALH90" s="1"/>
      <c r="ALI90" s="1"/>
      <c r="ALJ90" s="1"/>
      <c r="ALK90" s="1"/>
      <c r="ALL90" s="1"/>
      <c r="ALM90" s="1"/>
      <c r="ALN90" s="1"/>
      <c r="ALO90" s="1"/>
      <c r="ALP90" s="1"/>
      <c r="ALQ90" s="1"/>
      <c r="ALR90" s="1"/>
      <c r="ALS90" s="1"/>
      <c r="ALT90" s="1"/>
      <c r="ALU90" s="1"/>
      <c r="ALV90" s="1"/>
      <c r="ALW90" s="1"/>
      <c r="ALX90" s="1"/>
      <c r="ALY90" s="1"/>
      <c r="ALZ90" s="1"/>
      <c r="AMA90" s="1"/>
      <c r="AMB90" s="1"/>
      <c r="AMC90" s="1"/>
      <c r="AMD90" s="1"/>
      <c r="AME90" s="1"/>
    </row>
    <row r="91" spans="1:1019" s="3" customFormat="1" ht="26.25" customHeight="1" x14ac:dyDescent="0.25">
      <c r="A91" s="24"/>
      <c r="B91" s="25"/>
      <c r="C91" s="1"/>
      <c r="D91" s="24"/>
      <c r="E91" s="24"/>
      <c r="F91" s="24"/>
      <c r="G91" s="39"/>
      <c r="H91" s="39"/>
      <c r="I91" s="39"/>
      <c r="J91" s="39"/>
      <c r="K91" s="39"/>
      <c r="L91" s="39"/>
      <c r="M91" s="39"/>
      <c r="N91" s="39"/>
      <c r="O91" s="39"/>
      <c r="P91" s="20" t="s">
        <v>52</v>
      </c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  <c r="ALC91" s="1"/>
      <c r="ALD91" s="1"/>
      <c r="ALE91" s="1"/>
      <c r="ALF91" s="1"/>
      <c r="ALG91" s="1"/>
      <c r="ALH91" s="1"/>
      <c r="ALI91" s="1"/>
      <c r="ALJ91" s="1"/>
      <c r="ALK91" s="1"/>
      <c r="ALL91" s="1"/>
      <c r="ALM91" s="1"/>
      <c r="ALN91" s="1"/>
      <c r="ALO91" s="1"/>
      <c r="ALP91" s="1"/>
      <c r="ALQ91" s="1"/>
      <c r="ALR91" s="1"/>
      <c r="ALS91" s="1"/>
      <c r="ALT91" s="1"/>
      <c r="ALU91" s="1"/>
      <c r="ALV91" s="1"/>
      <c r="ALW91" s="1"/>
      <c r="ALX91" s="1"/>
      <c r="ALY91" s="1"/>
      <c r="ALZ91" s="1"/>
      <c r="AMA91" s="1"/>
      <c r="AMB91" s="1"/>
      <c r="AMC91" s="1"/>
      <c r="AMD91" s="1"/>
      <c r="AME91" s="1"/>
    </row>
    <row r="92" spans="1:1019" s="3" customFormat="1" ht="26.25" customHeight="1" x14ac:dyDescent="0.25">
      <c r="A92" s="24"/>
      <c r="B92" s="26"/>
      <c r="C92" s="1"/>
      <c r="D92" s="27"/>
      <c r="E92" s="27"/>
      <c r="F92" s="27"/>
      <c r="G92" s="39">
        <v>45</v>
      </c>
      <c r="H92" s="39">
        <v>24</v>
      </c>
      <c r="I92" s="39">
        <v>17</v>
      </c>
      <c r="J92" s="39">
        <v>26</v>
      </c>
      <c r="K92" s="39">
        <v>24</v>
      </c>
      <c r="L92" s="39">
        <v>26</v>
      </c>
      <c r="M92" s="39">
        <v>36</v>
      </c>
      <c r="N92" s="39">
        <v>70</v>
      </c>
      <c r="O92" s="40"/>
      <c r="P92" s="28" t="s">
        <v>124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  <c r="ALC92" s="1"/>
      <c r="ALD92" s="1"/>
      <c r="ALE92" s="1"/>
      <c r="ALF92" s="1"/>
      <c r="ALG92" s="1"/>
      <c r="ALH92" s="1"/>
      <c r="ALI92" s="1"/>
      <c r="ALJ92" s="1"/>
      <c r="ALK92" s="1"/>
      <c r="ALL92" s="1"/>
      <c r="ALM92" s="1"/>
      <c r="ALN92" s="1"/>
      <c r="ALO92" s="1"/>
      <c r="ALP92" s="1"/>
      <c r="ALQ92" s="1"/>
      <c r="ALR92" s="1"/>
      <c r="ALS92" s="1"/>
      <c r="ALT92" s="1"/>
      <c r="ALU92" s="1"/>
      <c r="ALV92" s="1"/>
      <c r="ALW92" s="1"/>
      <c r="ALX92" s="1"/>
      <c r="ALY92" s="1"/>
      <c r="ALZ92" s="1"/>
      <c r="AMA92" s="1"/>
      <c r="AMB92" s="1"/>
      <c r="AMC92" s="1"/>
      <c r="AMD92" s="1"/>
      <c r="AME92" s="1"/>
    </row>
    <row r="93" spans="1:1019" s="3" customFormat="1" ht="26.25" customHeight="1" x14ac:dyDescent="0.25">
      <c r="A93" s="29"/>
      <c r="B93" s="30"/>
      <c r="C93" s="31"/>
      <c r="D93" s="32"/>
      <c r="E93" s="32"/>
      <c r="F93" s="32"/>
      <c r="G93" s="41">
        <v>80</v>
      </c>
      <c r="H93" s="41">
        <v>97</v>
      </c>
      <c r="I93" s="41">
        <v>66</v>
      </c>
      <c r="J93" s="41">
        <v>31</v>
      </c>
      <c r="K93" s="41">
        <v>24</v>
      </c>
      <c r="L93" s="41">
        <v>29</v>
      </c>
      <c r="M93" s="41">
        <v>95</v>
      </c>
      <c r="N93" s="42"/>
      <c r="O93" s="42"/>
      <c r="P93" s="33" t="s">
        <v>51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  <c r="ALC93" s="1"/>
      <c r="ALD93" s="1"/>
      <c r="ALE93" s="1"/>
      <c r="ALF93" s="1"/>
      <c r="ALG93" s="1"/>
      <c r="ALH93" s="1"/>
      <c r="ALI93" s="1"/>
      <c r="ALJ93" s="1"/>
      <c r="ALK93" s="1"/>
      <c r="ALL93" s="1"/>
      <c r="ALM93" s="1"/>
      <c r="ALN93" s="1"/>
      <c r="ALO93" s="1"/>
      <c r="ALP93" s="1"/>
      <c r="ALQ93" s="1"/>
      <c r="ALR93" s="1"/>
      <c r="ALS93" s="1"/>
      <c r="ALT93" s="1"/>
      <c r="ALU93" s="1"/>
      <c r="ALV93" s="1"/>
      <c r="ALW93" s="1"/>
      <c r="ALX93" s="1"/>
      <c r="ALY93" s="1"/>
      <c r="ALZ93" s="1"/>
      <c r="AMA93" s="1"/>
      <c r="AMB93" s="1"/>
      <c r="AMC93" s="1"/>
      <c r="AMD93" s="1"/>
      <c r="AME93" s="1"/>
    </row>
    <row r="94" spans="1:1019" s="3" customFormat="1" ht="26.25" customHeight="1" x14ac:dyDescent="0.25">
      <c r="A94" s="21" t="s">
        <v>77</v>
      </c>
      <c r="B94" s="22" t="s">
        <v>111</v>
      </c>
      <c r="C94" s="21" t="s">
        <v>122</v>
      </c>
      <c r="D94" s="21">
        <v>39</v>
      </c>
      <c r="E94" s="21" t="s">
        <v>86</v>
      </c>
      <c r="F94" s="21">
        <v>55</v>
      </c>
      <c r="G94" s="43">
        <v>70</v>
      </c>
      <c r="H94" s="43">
        <v>45</v>
      </c>
      <c r="I94" s="43">
        <v>57</v>
      </c>
      <c r="J94" s="43">
        <v>14</v>
      </c>
      <c r="K94" s="43">
        <v>97</v>
      </c>
      <c r="L94" s="43">
        <v>91</v>
      </c>
      <c r="M94" s="43">
        <v>104</v>
      </c>
      <c r="N94" s="43">
        <v>71</v>
      </c>
      <c r="O94" s="43">
        <v>41</v>
      </c>
      <c r="P94" s="23" t="s">
        <v>50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  <c r="ALC94" s="1"/>
      <c r="ALD94" s="1"/>
      <c r="ALE94" s="1"/>
      <c r="ALF94" s="1"/>
      <c r="ALG94" s="1"/>
      <c r="ALH94" s="1"/>
      <c r="ALI94" s="1"/>
      <c r="ALJ94" s="1"/>
      <c r="ALK94" s="1"/>
      <c r="ALL94" s="1"/>
      <c r="ALM94" s="1"/>
      <c r="ALN94" s="1"/>
      <c r="ALO94" s="1"/>
      <c r="ALP94" s="1"/>
      <c r="ALQ94" s="1"/>
      <c r="ALR94" s="1"/>
      <c r="ALS94" s="1"/>
      <c r="ALT94" s="1"/>
      <c r="ALU94" s="1"/>
      <c r="ALV94" s="1"/>
      <c r="ALW94" s="1"/>
      <c r="ALX94" s="1"/>
      <c r="ALY94" s="1"/>
      <c r="ALZ94" s="1"/>
      <c r="AMA94" s="1"/>
      <c r="AMB94" s="1"/>
      <c r="AMC94" s="1"/>
      <c r="AMD94" s="1"/>
      <c r="AME94" s="1"/>
    </row>
    <row r="95" spans="1:1019" s="3" customFormat="1" ht="26.25" customHeight="1" x14ac:dyDescent="0.25">
      <c r="A95" s="24"/>
      <c r="B95" s="25"/>
      <c r="C95" s="1"/>
      <c r="D95" s="24"/>
      <c r="E95" s="24"/>
      <c r="F95" s="24"/>
      <c r="G95" s="39"/>
      <c r="H95" s="39"/>
      <c r="I95" s="39"/>
      <c r="J95" s="39"/>
      <c r="K95" s="39"/>
      <c r="L95" s="39"/>
      <c r="M95" s="39"/>
      <c r="N95" s="39"/>
      <c r="O95" s="39"/>
      <c r="P95" s="20" t="s">
        <v>52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  <c r="ALC95" s="1"/>
      <c r="ALD95" s="1"/>
      <c r="ALE95" s="1"/>
      <c r="ALF95" s="1"/>
      <c r="ALG95" s="1"/>
      <c r="ALH95" s="1"/>
      <c r="ALI95" s="1"/>
      <c r="ALJ95" s="1"/>
      <c r="ALK95" s="1"/>
      <c r="ALL95" s="1"/>
      <c r="ALM95" s="1"/>
      <c r="ALN95" s="1"/>
      <c r="ALO95" s="1"/>
      <c r="ALP95" s="1"/>
      <c r="ALQ95" s="1"/>
      <c r="ALR95" s="1"/>
      <c r="ALS95" s="1"/>
      <c r="ALT95" s="1"/>
      <c r="ALU95" s="1"/>
      <c r="ALV95" s="1"/>
      <c r="ALW95" s="1"/>
      <c r="ALX95" s="1"/>
      <c r="ALY95" s="1"/>
      <c r="ALZ95" s="1"/>
      <c r="AMA95" s="1"/>
      <c r="AMB95" s="1"/>
      <c r="AMC95" s="1"/>
      <c r="AMD95" s="1"/>
      <c r="AME95" s="1"/>
    </row>
    <row r="96" spans="1:1019" s="3" customFormat="1" ht="26.25" customHeight="1" x14ac:dyDescent="0.25">
      <c r="A96" s="24"/>
      <c r="B96" s="26"/>
      <c r="C96" s="1"/>
      <c r="D96" s="27"/>
      <c r="E96" s="27"/>
      <c r="F96" s="27"/>
      <c r="G96" s="39">
        <v>40</v>
      </c>
      <c r="H96" s="39">
        <v>23</v>
      </c>
      <c r="I96" s="39">
        <v>17</v>
      </c>
      <c r="J96" s="39">
        <v>27</v>
      </c>
      <c r="K96" s="39">
        <v>24</v>
      </c>
      <c r="L96" s="39">
        <v>27</v>
      </c>
      <c r="M96" s="39">
        <v>70</v>
      </c>
      <c r="N96" s="39">
        <v>41</v>
      </c>
      <c r="O96" s="40"/>
      <c r="P96" s="28" t="s">
        <v>124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  <c r="ALC96" s="1"/>
      <c r="ALD96" s="1"/>
      <c r="ALE96" s="1"/>
      <c r="ALF96" s="1"/>
      <c r="ALG96" s="1"/>
      <c r="ALH96" s="1"/>
      <c r="ALI96" s="1"/>
      <c r="ALJ96" s="1"/>
      <c r="ALK96" s="1"/>
      <c r="ALL96" s="1"/>
      <c r="ALM96" s="1"/>
      <c r="ALN96" s="1"/>
      <c r="ALO96" s="1"/>
      <c r="ALP96" s="1"/>
      <c r="ALQ96" s="1"/>
      <c r="ALR96" s="1"/>
      <c r="ALS96" s="1"/>
      <c r="ALT96" s="1"/>
      <c r="ALU96" s="1"/>
      <c r="ALV96" s="1"/>
      <c r="ALW96" s="1"/>
      <c r="ALX96" s="1"/>
      <c r="ALY96" s="1"/>
      <c r="ALZ96" s="1"/>
      <c r="AMA96" s="1"/>
      <c r="AMB96" s="1"/>
      <c r="AMC96" s="1"/>
      <c r="AMD96" s="1"/>
      <c r="AME96" s="1"/>
    </row>
    <row r="97" spans="1:1019" s="3" customFormat="1" ht="26.25" customHeight="1" x14ac:dyDescent="0.25">
      <c r="A97" s="29"/>
      <c r="B97" s="30"/>
      <c r="C97" s="31"/>
      <c r="D97" s="32"/>
      <c r="E97" s="32"/>
      <c r="F97" s="32"/>
      <c r="G97" s="41">
        <v>82</v>
      </c>
      <c r="H97" s="41">
        <v>102</v>
      </c>
      <c r="I97" s="41">
        <v>64</v>
      </c>
      <c r="J97" s="41">
        <v>32</v>
      </c>
      <c r="K97" s="41">
        <v>24</v>
      </c>
      <c r="L97" s="41">
        <v>19</v>
      </c>
      <c r="M97" s="41">
        <v>94</v>
      </c>
      <c r="N97" s="42"/>
      <c r="O97" s="42"/>
      <c r="P97" s="33" t="s">
        <v>51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  <c r="ALC97" s="1"/>
      <c r="ALD97" s="1"/>
      <c r="ALE97" s="1"/>
      <c r="ALF97" s="1"/>
      <c r="ALG97" s="1"/>
      <c r="ALH97" s="1"/>
      <c r="ALI97" s="1"/>
      <c r="ALJ97" s="1"/>
      <c r="ALK97" s="1"/>
      <c r="ALL97" s="1"/>
      <c r="ALM97" s="1"/>
      <c r="ALN97" s="1"/>
      <c r="ALO97" s="1"/>
      <c r="ALP97" s="1"/>
      <c r="ALQ97" s="1"/>
      <c r="ALR97" s="1"/>
      <c r="ALS97" s="1"/>
      <c r="ALT97" s="1"/>
      <c r="ALU97" s="1"/>
      <c r="ALV97" s="1"/>
      <c r="ALW97" s="1"/>
      <c r="ALX97" s="1"/>
      <c r="ALY97" s="1"/>
      <c r="ALZ97" s="1"/>
      <c r="AMA97" s="1"/>
      <c r="AMB97" s="1"/>
      <c r="AMC97" s="1"/>
      <c r="AMD97" s="1"/>
      <c r="AME97" s="1"/>
    </row>
    <row r="98" spans="1:1019" s="3" customFormat="1" ht="26.25" customHeight="1" x14ac:dyDescent="0.25">
      <c r="A98" s="21" t="s">
        <v>78</v>
      </c>
      <c r="B98" s="22" t="s">
        <v>112</v>
      </c>
      <c r="C98" s="21" t="s">
        <v>122</v>
      </c>
      <c r="D98" s="21">
        <v>40</v>
      </c>
      <c r="E98" s="21" t="s">
        <v>84</v>
      </c>
      <c r="F98" s="21">
        <v>54</v>
      </c>
      <c r="G98" s="43">
        <v>45</v>
      </c>
      <c r="H98" s="43">
        <v>62</v>
      </c>
      <c r="I98" s="43">
        <v>19</v>
      </c>
      <c r="J98" s="43">
        <v>14</v>
      </c>
      <c r="K98" s="43">
        <v>99</v>
      </c>
      <c r="L98" s="43">
        <v>89</v>
      </c>
      <c r="M98" s="43">
        <v>102</v>
      </c>
      <c r="N98" s="43">
        <v>73</v>
      </c>
      <c r="O98" s="43">
        <v>39</v>
      </c>
      <c r="P98" s="23" t="s">
        <v>50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  <c r="ALC98" s="1"/>
      <c r="ALD98" s="1"/>
      <c r="ALE98" s="1"/>
      <c r="ALF98" s="1"/>
      <c r="ALG98" s="1"/>
      <c r="ALH98" s="1"/>
      <c r="ALI98" s="1"/>
      <c r="ALJ98" s="1"/>
      <c r="ALK98" s="1"/>
      <c r="ALL98" s="1"/>
      <c r="ALM98" s="1"/>
      <c r="ALN98" s="1"/>
      <c r="ALO98" s="1"/>
      <c r="ALP98" s="1"/>
      <c r="ALQ98" s="1"/>
      <c r="ALR98" s="1"/>
      <c r="ALS98" s="1"/>
      <c r="ALT98" s="1"/>
      <c r="ALU98" s="1"/>
      <c r="ALV98" s="1"/>
      <c r="ALW98" s="1"/>
      <c r="ALX98" s="1"/>
      <c r="ALY98" s="1"/>
      <c r="ALZ98" s="1"/>
      <c r="AMA98" s="1"/>
      <c r="AMB98" s="1"/>
      <c r="AMC98" s="1"/>
      <c r="AMD98" s="1"/>
      <c r="AME98" s="1"/>
    </row>
    <row r="99" spans="1:1019" s="3" customFormat="1" ht="26.25" customHeight="1" x14ac:dyDescent="0.25">
      <c r="A99" s="24"/>
      <c r="B99" s="25"/>
      <c r="C99" s="1"/>
      <c r="D99" s="24"/>
      <c r="E99" s="24"/>
      <c r="F99" s="24"/>
      <c r="G99" s="39"/>
      <c r="H99" s="39"/>
      <c r="I99" s="39"/>
      <c r="J99" s="39"/>
      <c r="K99" s="39"/>
      <c r="L99" s="39"/>
      <c r="M99" s="39"/>
      <c r="N99" s="39"/>
      <c r="O99" s="39"/>
      <c r="P99" s="20" t="s">
        <v>52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  <c r="ALC99" s="1"/>
      <c r="ALD99" s="1"/>
      <c r="ALE99" s="1"/>
      <c r="ALF99" s="1"/>
      <c r="ALG99" s="1"/>
      <c r="ALH99" s="1"/>
      <c r="ALI99" s="1"/>
      <c r="ALJ99" s="1"/>
      <c r="ALK99" s="1"/>
      <c r="ALL99" s="1"/>
      <c r="ALM99" s="1"/>
      <c r="ALN99" s="1"/>
      <c r="ALO99" s="1"/>
      <c r="ALP99" s="1"/>
      <c r="ALQ99" s="1"/>
      <c r="ALR99" s="1"/>
      <c r="ALS99" s="1"/>
      <c r="ALT99" s="1"/>
      <c r="ALU99" s="1"/>
      <c r="ALV99" s="1"/>
      <c r="ALW99" s="1"/>
      <c r="ALX99" s="1"/>
      <c r="ALY99" s="1"/>
      <c r="ALZ99" s="1"/>
      <c r="AMA99" s="1"/>
      <c r="AMB99" s="1"/>
      <c r="AMC99" s="1"/>
      <c r="AMD99" s="1"/>
      <c r="AME99" s="1"/>
    </row>
    <row r="100" spans="1:1019" s="3" customFormat="1" ht="26.25" customHeight="1" x14ac:dyDescent="0.25">
      <c r="A100" s="24"/>
      <c r="B100" s="26"/>
      <c r="C100" s="1"/>
      <c r="D100" s="27"/>
      <c r="E100" s="27"/>
      <c r="F100" s="27"/>
      <c r="G100" s="39">
        <v>42</v>
      </c>
      <c r="H100" s="39">
        <v>25</v>
      </c>
      <c r="I100" s="39">
        <v>17</v>
      </c>
      <c r="J100" s="39">
        <v>27</v>
      </c>
      <c r="K100" s="39">
        <v>25</v>
      </c>
      <c r="L100" s="39">
        <v>27</v>
      </c>
      <c r="M100" s="39">
        <v>72</v>
      </c>
      <c r="N100" s="39">
        <v>39</v>
      </c>
      <c r="O100" s="40"/>
      <c r="P100" s="28" t="s">
        <v>124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  <c r="ALC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P100" s="1"/>
      <c r="ALQ100" s="1"/>
      <c r="ALR100" s="1"/>
      <c r="ALS100" s="1"/>
      <c r="ALT100" s="1"/>
      <c r="ALU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</row>
    <row r="101" spans="1:1019" s="3" customFormat="1" ht="26.25" customHeight="1" x14ac:dyDescent="0.25">
      <c r="A101" s="29"/>
      <c r="B101" s="30"/>
      <c r="C101" s="31"/>
      <c r="D101" s="32"/>
      <c r="E101" s="32"/>
      <c r="F101" s="32"/>
      <c r="G101" s="41">
        <v>79</v>
      </c>
      <c r="H101" s="41">
        <v>95</v>
      </c>
      <c r="I101" s="41">
        <v>64</v>
      </c>
      <c r="J101" s="41">
        <v>32</v>
      </c>
      <c r="K101" s="41">
        <v>24</v>
      </c>
      <c r="L101" s="41">
        <v>19</v>
      </c>
      <c r="M101" s="41">
        <v>99</v>
      </c>
      <c r="N101" s="42"/>
      <c r="O101" s="42"/>
      <c r="P101" s="33" t="s">
        <v>51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  <c r="ALC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P101" s="1"/>
      <c r="ALQ101" s="1"/>
      <c r="ALR101" s="1"/>
      <c r="ALS101" s="1"/>
      <c r="ALT101" s="1"/>
      <c r="ALU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</row>
    <row r="102" spans="1:1019" s="3" customFormat="1" ht="26.25" customHeight="1" x14ac:dyDescent="0.25">
      <c r="A102" s="21" t="s">
        <v>79</v>
      </c>
      <c r="B102" s="22" t="s">
        <v>113</v>
      </c>
      <c r="C102" s="21" t="s">
        <v>122</v>
      </c>
      <c r="D102" s="21">
        <v>41</v>
      </c>
      <c r="E102" s="21" t="s">
        <v>84</v>
      </c>
      <c r="F102" s="21">
        <v>54</v>
      </c>
      <c r="G102" s="43">
        <v>44</v>
      </c>
      <c r="H102" s="43">
        <v>56</v>
      </c>
      <c r="I102" s="43">
        <v>20</v>
      </c>
      <c r="J102" s="43">
        <v>15</v>
      </c>
      <c r="K102" s="43">
        <v>105</v>
      </c>
      <c r="L102" s="43">
        <v>100</v>
      </c>
      <c r="M102" s="43">
        <v>108</v>
      </c>
      <c r="N102" s="43">
        <v>70</v>
      </c>
      <c r="O102" s="43">
        <v>40</v>
      </c>
      <c r="P102" s="23" t="s">
        <v>50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  <c r="ALC102" s="1"/>
      <c r="ALD102" s="1"/>
      <c r="ALE102" s="1"/>
      <c r="ALF102" s="1"/>
      <c r="ALG102" s="1"/>
      <c r="ALH102" s="1"/>
      <c r="ALI102" s="1"/>
      <c r="ALJ102" s="1"/>
      <c r="ALK102" s="1"/>
      <c r="ALL102" s="1"/>
      <c r="ALM102" s="1"/>
      <c r="ALN102" s="1"/>
      <c r="ALO102" s="1"/>
      <c r="ALP102" s="1"/>
      <c r="ALQ102" s="1"/>
      <c r="ALR102" s="1"/>
      <c r="ALS102" s="1"/>
      <c r="ALT102" s="1"/>
      <c r="ALU102" s="1"/>
      <c r="ALV102" s="1"/>
      <c r="ALW102" s="1"/>
      <c r="ALX102" s="1"/>
      <c r="ALY102" s="1"/>
      <c r="ALZ102" s="1"/>
      <c r="AMA102" s="1"/>
      <c r="AMB102" s="1"/>
      <c r="AMC102" s="1"/>
      <c r="AMD102" s="1"/>
      <c r="AME102" s="1"/>
    </row>
    <row r="103" spans="1:1019" s="3" customFormat="1" ht="26.25" customHeight="1" x14ac:dyDescent="0.25">
      <c r="A103" s="24"/>
      <c r="B103" s="25"/>
      <c r="C103" s="1"/>
      <c r="D103" s="24"/>
      <c r="E103" s="24"/>
      <c r="F103" s="24"/>
      <c r="G103" s="39"/>
      <c r="H103" s="39"/>
      <c r="I103" s="39"/>
      <c r="J103" s="39"/>
      <c r="K103" s="39"/>
      <c r="L103" s="39"/>
      <c r="M103" s="39"/>
      <c r="N103" s="39"/>
      <c r="O103" s="39"/>
      <c r="P103" s="20" t="s">
        <v>52</v>
      </c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  <c r="ALC103" s="1"/>
      <c r="ALD103" s="1"/>
      <c r="ALE103" s="1"/>
      <c r="ALF103" s="1"/>
      <c r="ALG103" s="1"/>
      <c r="ALH103" s="1"/>
      <c r="ALI103" s="1"/>
      <c r="ALJ103" s="1"/>
      <c r="ALK103" s="1"/>
      <c r="ALL103" s="1"/>
      <c r="ALM103" s="1"/>
      <c r="ALN103" s="1"/>
      <c r="ALO103" s="1"/>
      <c r="ALP103" s="1"/>
      <c r="ALQ103" s="1"/>
      <c r="ALR103" s="1"/>
      <c r="ALS103" s="1"/>
      <c r="ALT103" s="1"/>
      <c r="ALU103" s="1"/>
      <c r="ALV103" s="1"/>
      <c r="ALW103" s="1"/>
      <c r="ALX103" s="1"/>
      <c r="ALY103" s="1"/>
      <c r="ALZ103" s="1"/>
      <c r="AMA103" s="1"/>
      <c r="AMB103" s="1"/>
      <c r="AMC103" s="1"/>
      <c r="AMD103" s="1"/>
      <c r="AME103" s="1"/>
    </row>
    <row r="104" spans="1:1019" s="3" customFormat="1" ht="26.25" customHeight="1" x14ac:dyDescent="0.25">
      <c r="A104" s="24"/>
      <c r="B104" s="26"/>
      <c r="C104" s="1"/>
      <c r="D104" s="27"/>
      <c r="E104" s="27"/>
      <c r="F104" s="27"/>
      <c r="G104" s="39">
        <v>40</v>
      </c>
      <c r="H104" s="39">
        <v>24</v>
      </c>
      <c r="I104" s="39">
        <v>17</v>
      </c>
      <c r="J104" s="39">
        <v>28</v>
      </c>
      <c r="K104" s="39">
        <v>26</v>
      </c>
      <c r="L104" s="39">
        <v>28</v>
      </c>
      <c r="M104" s="39">
        <v>68</v>
      </c>
      <c r="N104" s="39">
        <v>40</v>
      </c>
      <c r="O104" s="40"/>
      <c r="P104" s="28" t="s">
        <v>124</v>
      </c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  <c r="ALC104" s="1"/>
      <c r="ALD104" s="1"/>
      <c r="ALE104" s="1"/>
      <c r="ALF104" s="1"/>
      <c r="ALG104" s="1"/>
      <c r="ALH104" s="1"/>
      <c r="ALI104" s="1"/>
      <c r="ALJ104" s="1"/>
      <c r="ALK104" s="1"/>
      <c r="ALL104" s="1"/>
      <c r="ALM104" s="1"/>
      <c r="ALN104" s="1"/>
      <c r="ALO104" s="1"/>
      <c r="ALP104" s="1"/>
      <c r="ALQ104" s="1"/>
      <c r="ALR104" s="1"/>
      <c r="ALS104" s="1"/>
      <c r="ALT104" s="1"/>
      <c r="ALU104" s="1"/>
      <c r="ALV104" s="1"/>
      <c r="ALW104" s="1"/>
      <c r="ALX104" s="1"/>
      <c r="ALY104" s="1"/>
      <c r="ALZ104" s="1"/>
      <c r="AMA104" s="1"/>
      <c r="AMB104" s="1"/>
      <c r="AMC104" s="1"/>
      <c r="AMD104" s="1"/>
      <c r="AME104" s="1"/>
    </row>
    <row r="105" spans="1:1019" ht="26.25" customHeight="1" x14ac:dyDescent="0.25">
      <c r="A105" s="29"/>
      <c r="B105" s="30"/>
      <c r="C105" s="31"/>
      <c r="D105" s="32"/>
      <c r="E105" s="32"/>
      <c r="F105" s="32"/>
      <c r="G105" s="41">
        <v>87</v>
      </c>
      <c r="H105" s="41">
        <v>103</v>
      </c>
      <c r="I105" s="41">
        <v>61</v>
      </c>
      <c r="J105" s="41">
        <v>33</v>
      </c>
      <c r="K105" s="41">
        <v>25</v>
      </c>
      <c r="L105" s="41">
        <v>20</v>
      </c>
      <c r="M105" s="41">
        <v>90</v>
      </c>
      <c r="N105" s="42"/>
      <c r="O105" s="42"/>
      <c r="P105" s="33" t="s">
        <v>51</v>
      </c>
    </row>
    <row r="106" spans="1:1019" ht="26.25" customHeight="1" x14ac:dyDescent="0.25">
      <c r="A106" s="21" t="s">
        <v>80</v>
      </c>
      <c r="B106" s="22" t="s">
        <v>114</v>
      </c>
      <c r="C106" s="21" t="s">
        <v>122</v>
      </c>
      <c r="D106" s="21">
        <v>42</v>
      </c>
      <c r="E106" s="21" t="s">
        <v>88</v>
      </c>
      <c r="F106" s="21">
        <v>56</v>
      </c>
      <c r="G106" s="43">
        <v>47</v>
      </c>
      <c r="H106" s="43">
        <v>58</v>
      </c>
      <c r="I106" s="43">
        <v>19</v>
      </c>
      <c r="J106" s="43">
        <v>14</v>
      </c>
      <c r="K106" s="43">
        <v>109</v>
      </c>
      <c r="L106" s="43">
        <v>107</v>
      </c>
      <c r="M106" s="43">
        <v>115</v>
      </c>
      <c r="N106" s="43">
        <v>74</v>
      </c>
      <c r="O106" s="43">
        <v>42</v>
      </c>
      <c r="P106" s="23" t="s">
        <v>50</v>
      </c>
    </row>
    <row r="107" spans="1:1019" ht="26.25" customHeight="1" x14ac:dyDescent="0.25">
      <c r="A107" s="24"/>
      <c r="B107" s="25"/>
      <c r="C107" s="1"/>
      <c r="D107" s="24"/>
      <c r="E107" s="24"/>
      <c r="F107" s="24"/>
      <c r="G107" s="39"/>
      <c r="H107" s="39"/>
      <c r="I107" s="39"/>
      <c r="J107" s="39"/>
      <c r="K107" s="39"/>
      <c r="L107" s="39"/>
      <c r="M107" s="39"/>
      <c r="N107" s="39"/>
      <c r="O107" s="39"/>
      <c r="P107" s="20" t="s">
        <v>52</v>
      </c>
    </row>
    <row r="108" spans="1:1019" ht="26.25" customHeight="1" x14ac:dyDescent="0.25">
      <c r="A108" s="24"/>
      <c r="B108" s="26"/>
      <c r="C108" s="1"/>
      <c r="D108" s="27"/>
      <c r="E108" s="27"/>
      <c r="F108" s="27"/>
      <c r="G108" s="39">
        <v>43</v>
      </c>
      <c r="H108" s="39">
        <v>25</v>
      </c>
      <c r="I108" s="39">
        <v>19</v>
      </c>
      <c r="J108" s="39">
        <v>30</v>
      </c>
      <c r="K108" s="39">
        <v>28</v>
      </c>
      <c r="L108" s="39">
        <v>30</v>
      </c>
      <c r="M108" s="39">
        <v>72</v>
      </c>
      <c r="N108" s="39">
        <v>42</v>
      </c>
      <c r="O108" s="40"/>
      <c r="P108" s="28" t="s">
        <v>124</v>
      </c>
    </row>
    <row r="109" spans="1:1019" ht="26.25" customHeight="1" x14ac:dyDescent="0.25">
      <c r="A109" s="29"/>
      <c r="B109" s="30"/>
      <c r="C109" s="31"/>
      <c r="D109" s="32"/>
      <c r="E109" s="32"/>
      <c r="F109" s="32"/>
      <c r="G109" s="41">
        <v>95</v>
      </c>
      <c r="H109" s="41">
        <v>110</v>
      </c>
      <c r="I109" s="41">
        <v>67</v>
      </c>
      <c r="J109" s="41">
        <v>34</v>
      </c>
      <c r="K109" s="41">
        <v>26</v>
      </c>
      <c r="L109" s="41">
        <v>21</v>
      </c>
      <c r="M109" s="41">
        <v>98</v>
      </c>
      <c r="N109" s="42"/>
      <c r="O109" s="42"/>
      <c r="P109" s="33" t="s">
        <v>51</v>
      </c>
    </row>
    <row r="110" spans="1:1019" ht="26.25" customHeight="1" x14ac:dyDescent="0.25">
      <c r="A110" s="21" t="s">
        <v>81</v>
      </c>
      <c r="B110" s="22" t="s">
        <v>115</v>
      </c>
      <c r="C110" s="21" t="s">
        <v>122</v>
      </c>
      <c r="D110" s="21">
        <v>43</v>
      </c>
      <c r="E110" s="21" t="s">
        <v>88</v>
      </c>
      <c r="F110" s="21">
        <v>57</v>
      </c>
      <c r="G110" s="43">
        <v>48</v>
      </c>
      <c r="H110" s="43">
        <v>60</v>
      </c>
      <c r="I110" s="43">
        <v>19</v>
      </c>
      <c r="J110" s="43">
        <v>16</v>
      </c>
      <c r="K110" s="43">
        <v>115</v>
      </c>
      <c r="L110" s="43">
        <v>115</v>
      </c>
      <c r="M110" s="43">
        <v>125</v>
      </c>
      <c r="N110" s="43">
        <v>75</v>
      </c>
      <c r="O110" s="43">
        <v>45</v>
      </c>
      <c r="P110" s="23" t="s">
        <v>50</v>
      </c>
    </row>
    <row r="111" spans="1:1019" ht="26.25" customHeight="1" x14ac:dyDescent="0.25">
      <c r="A111" s="24"/>
      <c r="B111" s="25"/>
      <c r="C111" s="1"/>
      <c r="D111" s="24"/>
      <c r="E111" s="24"/>
      <c r="F111" s="24"/>
      <c r="G111" s="39">
        <v>45</v>
      </c>
      <c r="H111" s="39">
        <v>61</v>
      </c>
      <c r="I111" s="39">
        <v>19</v>
      </c>
      <c r="J111" s="39">
        <v>13</v>
      </c>
      <c r="K111" s="39">
        <v>32</v>
      </c>
      <c r="L111" s="39">
        <v>32</v>
      </c>
      <c r="M111" s="39">
        <v>32</v>
      </c>
      <c r="N111" s="39">
        <v>73</v>
      </c>
      <c r="O111" s="39">
        <v>45</v>
      </c>
      <c r="P111" s="20" t="s">
        <v>52</v>
      </c>
    </row>
    <row r="112" spans="1:1019" ht="26.25" customHeight="1" x14ac:dyDescent="0.25">
      <c r="A112" s="24"/>
      <c r="B112" s="26"/>
      <c r="C112" s="1"/>
      <c r="D112" s="27"/>
      <c r="E112" s="27"/>
      <c r="F112" s="27"/>
      <c r="G112" s="39">
        <v>45</v>
      </c>
      <c r="H112" s="39">
        <v>28</v>
      </c>
      <c r="I112" s="39">
        <v>19</v>
      </c>
      <c r="J112" s="39">
        <v>32</v>
      </c>
      <c r="K112" s="39">
        <v>32</v>
      </c>
      <c r="L112" s="39">
        <v>32</v>
      </c>
      <c r="M112" s="39">
        <v>73</v>
      </c>
      <c r="N112" s="39">
        <v>45</v>
      </c>
      <c r="O112" s="40"/>
      <c r="P112" s="28" t="s">
        <v>124</v>
      </c>
    </row>
    <row r="113" spans="1:16" ht="26.25" customHeight="1" x14ac:dyDescent="0.25">
      <c r="A113" s="29"/>
      <c r="B113" s="30"/>
      <c r="C113" s="31"/>
      <c r="D113" s="32"/>
      <c r="E113" s="32"/>
      <c r="F113" s="32"/>
      <c r="G113" s="41">
        <v>111</v>
      </c>
      <c r="H113" s="41">
        <v>125</v>
      </c>
      <c r="I113" s="41">
        <v>68</v>
      </c>
      <c r="J113" s="41">
        <v>40</v>
      </c>
      <c r="K113" s="41">
        <v>28</v>
      </c>
      <c r="L113" s="41">
        <v>22</v>
      </c>
      <c r="M113" s="41">
        <v>98</v>
      </c>
      <c r="N113" s="42"/>
      <c r="O113" s="42"/>
      <c r="P113" s="33" t="s">
        <v>51</v>
      </c>
    </row>
    <row r="114" spans="1:16" ht="26.25" customHeight="1" x14ac:dyDescent="0.25">
      <c r="A114" s="21" t="s">
        <v>82</v>
      </c>
      <c r="B114" s="22" t="s">
        <v>116</v>
      </c>
      <c r="C114" s="21" t="s">
        <v>122</v>
      </c>
      <c r="D114" s="21">
        <v>39</v>
      </c>
      <c r="E114" s="21"/>
      <c r="F114" s="21">
        <v>56</v>
      </c>
      <c r="G114" s="43">
        <v>42</v>
      </c>
      <c r="H114" s="43">
        <v>57</v>
      </c>
      <c r="I114" s="43">
        <v>17</v>
      </c>
      <c r="J114" s="43">
        <v>14</v>
      </c>
      <c r="K114" s="43">
        <v>90</v>
      </c>
      <c r="L114" s="43">
        <v>80</v>
      </c>
      <c r="M114" s="43">
        <v>100</v>
      </c>
      <c r="N114" s="43">
        <v>68</v>
      </c>
      <c r="O114" s="43">
        <v>37</v>
      </c>
      <c r="P114" s="23" t="s">
        <v>50</v>
      </c>
    </row>
    <row r="115" spans="1:16" ht="26.25" customHeight="1" x14ac:dyDescent="0.25">
      <c r="A115" s="24"/>
      <c r="B115" s="25"/>
      <c r="C115" s="1"/>
      <c r="D115" s="24"/>
      <c r="E115" s="24"/>
      <c r="F115" s="24"/>
      <c r="G115" s="39">
        <v>40</v>
      </c>
      <c r="H115" s="39">
        <v>60</v>
      </c>
      <c r="I115" s="39">
        <v>17</v>
      </c>
      <c r="J115" s="39">
        <v>13</v>
      </c>
      <c r="K115" s="39">
        <v>27</v>
      </c>
      <c r="L115" s="39">
        <v>25</v>
      </c>
      <c r="M115" s="39">
        <v>27</v>
      </c>
      <c r="N115" s="39">
        <v>65</v>
      </c>
      <c r="O115" s="39">
        <v>37</v>
      </c>
      <c r="P115" s="20" t="s">
        <v>52</v>
      </c>
    </row>
    <row r="116" spans="1:16" ht="26.25" customHeight="1" x14ac:dyDescent="0.25">
      <c r="A116" s="24"/>
      <c r="B116" s="26"/>
      <c r="C116" s="1"/>
      <c r="D116" s="27"/>
      <c r="E116" s="27"/>
      <c r="F116" s="27"/>
      <c r="G116" s="39">
        <v>40</v>
      </c>
      <c r="H116" s="39">
        <v>24</v>
      </c>
      <c r="I116" s="39">
        <v>17</v>
      </c>
      <c r="J116" s="39">
        <v>27</v>
      </c>
      <c r="K116" s="39">
        <v>25</v>
      </c>
      <c r="L116" s="39">
        <v>27</v>
      </c>
      <c r="M116" s="39">
        <v>65</v>
      </c>
      <c r="N116" s="39">
        <v>37</v>
      </c>
      <c r="O116" s="40"/>
      <c r="P116" s="28" t="s">
        <v>124</v>
      </c>
    </row>
    <row r="117" spans="1:16" ht="26.25" customHeight="1" x14ac:dyDescent="0.25">
      <c r="A117" s="29"/>
      <c r="B117" s="30"/>
      <c r="C117" s="31"/>
      <c r="D117" s="32"/>
      <c r="E117" s="32"/>
      <c r="F117" s="32"/>
      <c r="G117" s="41">
        <v>73</v>
      </c>
      <c r="H117" s="41">
        <v>95</v>
      </c>
      <c r="I117" s="41">
        <v>60</v>
      </c>
      <c r="J117" s="41">
        <v>28</v>
      </c>
      <c r="K117" s="41">
        <v>23</v>
      </c>
      <c r="L117" s="41">
        <v>18</v>
      </c>
      <c r="M117" s="41">
        <v>96</v>
      </c>
      <c r="N117" s="42"/>
      <c r="O117" s="42"/>
      <c r="P117" s="33" t="s">
        <v>51</v>
      </c>
    </row>
  </sheetData>
  <phoneticPr fontId="1" type="noConversion"/>
  <pageMargins left="0.37" right="3.937007874015748E-2" top="0.46" bottom="0.11811023622047245" header="0.23622047244094491" footer="0.51181102362204722"/>
  <pageSetup paperSize="9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SEMUA</vt:lpstr>
      <vt:lpstr>REKAP</vt:lpstr>
      <vt:lpstr>CETAK FORM</vt:lpstr>
      <vt:lpstr>'CETAK FORM'!Print_Titles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2021-09-23T22:04:21Z</cp:lastPrinted>
  <dcterms:created xsi:type="dcterms:W3CDTF">2016-10-31T03:59:44Z</dcterms:created>
  <dcterms:modified xsi:type="dcterms:W3CDTF">2021-09-23T22:04:24Z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