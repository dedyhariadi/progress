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E:\Mapan\1. PROGRES\8. PDH ETO (F4 COKLAT TUA)\"/>
    </mc:Choice>
  </mc:AlternateContent>
  <xr:revisionPtr revIDLastSave="0" documentId="13_ncr:1_{99EA6B0F-9F08-40BB-ADD2-2B027D86C7EE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SEMUA!$A$1:$AO$34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11" i="3" l="1"/>
  <c r="B5" i="3"/>
  <c r="B6" i="3"/>
  <c r="B7" i="3"/>
  <c r="B8" i="3"/>
  <c r="B9" i="3"/>
  <c r="B10" i="3"/>
  <c r="B4" i="3"/>
  <c r="L11" i="3"/>
  <c r="N11" i="3" s="1"/>
  <c r="L10" i="3"/>
  <c r="N10" i="3" s="1"/>
  <c r="L9" i="3"/>
  <c r="N9" i="3" s="1"/>
  <c r="L8" i="3"/>
  <c r="L7" i="3"/>
  <c r="N7" i="3" s="1"/>
  <c r="L6" i="3"/>
  <c r="N6" i="3" s="1"/>
  <c r="L5" i="3"/>
  <c r="N5" i="3" s="1"/>
  <c r="L4" i="3"/>
  <c r="N4" i="3" s="1"/>
  <c r="G5" i="3"/>
  <c r="I5" i="3" s="1"/>
  <c r="G6" i="3"/>
  <c r="I6" i="3" s="1"/>
  <c r="G7" i="3"/>
  <c r="I7" i="3" s="1"/>
  <c r="G8" i="3"/>
  <c r="I8" i="3" s="1"/>
  <c r="G9" i="3"/>
  <c r="I9" i="3" s="1"/>
  <c r="G10" i="3"/>
  <c r="I10" i="3" s="1"/>
  <c r="G11" i="3"/>
  <c r="I11" i="3" s="1"/>
  <c r="G12" i="3"/>
  <c r="G13" i="3"/>
  <c r="I13" i="3" s="1"/>
  <c r="N8" i="3"/>
  <c r="R5" i="3"/>
  <c r="R6" i="3"/>
  <c r="R7" i="3"/>
  <c r="R8" i="3"/>
  <c r="R4" i="3"/>
  <c r="J14" i="3"/>
  <c r="I12" i="3"/>
  <c r="M12" i="3"/>
  <c r="G14" i="3" l="1"/>
  <c r="N12" i="3"/>
  <c r="L12" i="3"/>
  <c r="B11" i="3"/>
</calcChain>
</file>

<file path=xl/sharedStrings.xml><?xml version="1.0" encoding="utf-8"?>
<sst xmlns="http://schemas.openxmlformats.org/spreadsheetml/2006/main" count="104" uniqueCount="82">
  <si>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</si>
  <si>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</si>
  <si>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</si>
  <si>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</si>
  <si>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</si>
  <si>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</si>
  <si>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</si>
  <si>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</si>
  <si>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</si>
  <si>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</si>
  <si>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</si>
  <si>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</si>
  <si>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</si>
  <si>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</si>
  <si>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</si>
  <si>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</si>
  <si>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</si>
  <si>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</si>
  <si>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</si>
  <si>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</si>
  <si>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</si>
  <si>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</si>
  <si>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</si>
  <si>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</si>
  <si>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</si>
  <si>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</si>
  <si>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</si>
  <si>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</si>
  <si>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</si>
  <si>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</si>
  <si>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</si>
  <si>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CETAK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</si>
  <si>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</si>
  <si>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</si>
  <si>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</si>
  <si>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</si>
  <si>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</si>
  <si>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</si>
  <si>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</si>
  <si>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</si>
  <si>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</si>
  <si>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3 NAUTIKA / 30</t>
  </si>
  <si>
    <t>M</t>
  </si>
  <si>
    <t>L</t>
  </si>
  <si>
    <t>XXL</t>
  </si>
  <si>
    <t>XL</t>
  </si>
  <si>
    <t>DP 3 TEKNIKA / 25</t>
  </si>
  <si>
    <t>S</t>
  </si>
  <si>
    <t>DP 4 NAUTIKA / 31</t>
  </si>
  <si>
    <t>XXXL</t>
  </si>
  <si>
    <t>XXXXL</t>
  </si>
  <si>
    <t>kaos</t>
  </si>
  <si>
    <t>sepatu</t>
  </si>
  <si>
    <t>topi</t>
  </si>
  <si>
    <t>ukuran</t>
  </si>
  <si>
    <t>jml</t>
  </si>
  <si>
    <t>no</t>
  </si>
  <si>
    <t>pesan</t>
  </si>
  <si>
    <t>jumlah</t>
  </si>
  <si>
    <t>DP 5 TEKNIK / 38</t>
  </si>
  <si>
    <t>DP 5 NAUTIKA / 38</t>
  </si>
  <si>
    <t>rekap jumlah siswa</t>
  </si>
  <si>
    <t>PRIA</t>
  </si>
  <si>
    <t>26</t>
  </si>
  <si>
    <t>27</t>
  </si>
  <si>
    <t>ETO</t>
  </si>
  <si>
    <t>IRWAN FIRMANSYAH</t>
  </si>
  <si>
    <t>MARSHAL</t>
  </si>
  <si>
    <t>HAMZAH</t>
  </si>
  <si>
    <t>M. MATIN Z.</t>
  </si>
  <si>
    <t>REJEKI ADI W.</t>
  </si>
  <si>
    <t>43</t>
  </si>
  <si>
    <t>17</t>
  </si>
  <si>
    <t>70</t>
  </si>
  <si>
    <t>38</t>
  </si>
  <si>
    <t>89</t>
  </si>
  <si>
    <t>Y1</t>
  </si>
  <si>
    <t>Y2</t>
  </si>
  <si>
    <t>Y3</t>
  </si>
  <si>
    <t>Y4</t>
  </si>
  <si>
    <t>Y5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</si>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</sst>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sz val="11"/>
      <color rgb="FF000000"/>
      <name val="Arial1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19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49" fontId="15" fillId="0" borderId="0" xfId="0" applyNumberFormat="1" applyFont="1" applyAlignment="1">
      <alignment horizontal="center" vertical="center"/>
    </xf>
    <xf numFmtId="0" fontId="15" fillId="0" borderId="0" xfId="0" applyFont="1" applyAlignment="1">
      <alignment vertical="center" wrapText="1"/>
    </xf>
    <xf numFmtId="0" fontId="16" fillId="0" borderId="0" xfId="15" applyFont="1"/>
    <xf numFmtId="0" fontId="17" fillId="0" borderId="0" xfId="0" applyFont="1"/>
    <xf numFmtId="0" fontId="17" fillId="0" borderId="0" xfId="0" applyFont="1" applyAlignment="1">
      <alignment horizontal="center"/>
    </xf>
    <xf numFmtId="49" fontId="18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Font="1"/>
    <xf numFmtId="0" fontId="0" fillId="9" borderId="0" xfId="0" applyFill="1"/>
    <xf numFmtId="0" fontId="17" fillId="9" borderId="0" xfId="0" applyFont="1" applyFill="1" applyAlignment="1">
      <alignment horizontal="center"/>
    </xf>
    <xf numFmtId="0" fontId="15" fillId="9" borderId="0" xfId="0" applyFont="1" applyFill="1" applyBorder="1" applyAlignment="1">
      <alignment horizontal="center" vertical="center" wrapText="1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MA36"/>
  <sheetViews>
    <sheetView tabSelected="1" zoomScale="70" zoomScaleNormal="70" workbookViewId="0">
      <pane ySplit="1" topLeftCell="A2" activePane="bottomLeft" state="frozen"/>
      <selection pane="bottomLeft" activeCell="W3" sqref="W3:W6"/>
    </sheetView>
  </sheetViews>
  <sheetFormatPr defaultColWidth="8.7109375" defaultRowHeight="15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6" width="9.28515625" style="3" customWidth="1"/>
    <col min="7" max="7" width="9.28515625" style="1" customWidth="1"/>
    <col min="8" max="22" width="7.7109375" style="3" customWidth="1"/>
    <col min="23" max="23" width="6.7109375" style="1" customWidth="1"/>
    <col min="24" max="25" width="8.28515625" style="2" customWidth="1"/>
    <col min="26" max="26" width="9.28515625" style="2" customWidth="1"/>
    <col min="27" max="32" width="8.28515625" style="2" customWidth="1"/>
    <col min="33" max="41" width="6.85546875" style="2" customWidth="1"/>
    <col min="42" max="1014" width="8.7109375" style="2"/>
    <col min="1015" max="1015" width="8.7109375" style="4"/>
  </cols>
  <sheetData>
    <row r="1" spans="1:41" ht="28.15" customHeight="1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7" t="s">
        <v>31</v>
      </c>
      <c r="X1" s="8" t="s">
        <v>22</v>
      </c>
      <c r="Y1" s="2" t="s">
        <v>23</v>
      </c>
      <c r="Z1" s="8" t="s">
        <v>24</v>
      </c>
      <c r="AA1" s="2" t="s">
        <v>25</v>
      </c>
      <c r="AB1" s="8" t="s">
        <v>26</v>
      </c>
      <c r="AC1" s="2" t="s">
        <v>27</v>
      </c>
      <c r="AD1" s="8" t="s">
        <v>28</v>
      </c>
      <c r="AE1" s="2" t="s">
        <v>29</v>
      </c>
      <c r="AF1" s="8" t="s">
        <v>30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  <c r="AN1" s="2" t="s">
        <v>39</v>
      </c>
      <c r="AO1" s="2" t="s">
        <v>40</v>
      </c>
    </row>
    <row r="2" spans="1:41" ht="28.15" customHeight="1">
      <c r="A2" s="9" t="s">
        <v>76</v>
      </c>
      <c r="B2" s="10" t="s">
        <v>66</v>
      </c>
      <c r="C2" s="11" t="s">
        <v>65</v>
      </c>
      <c r="D2" s="11" t="s">
        <v>62</v>
      </c>
      <c r="E2" s="11">
        <v>43</v>
      </c>
      <c r="F2" s="11">
        <v>54</v>
      </c>
      <c r="G2" s="17" t="s">
        <v>43</v>
      </c>
      <c r="H2" s="11">
        <v>43</v>
      </c>
      <c r="I2" s="11">
        <v>26</v>
      </c>
      <c r="J2" s="11">
        <v>17</v>
      </c>
      <c r="K2" s="11">
        <v>27</v>
      </c>
      <c r="L2" s="11">
        <v>24</v>
      </c>
      <c r="M2" s="11">
        <v>26</v>
      </c>
      <c r="N2" s="11">
        <v>72</v>
      </c>
      <c r="O2" s="11">
        <v>37</v>
      </c>
      <c r="P2" s="11">
        <v>83</v>
      </c>
      <c r="Q2" s="11">
        <v>100</v>
      </c>
      <c r="R2" s="11">
        <v>68</v>
      </c>
      <c r="S2" s="11">
        <v>33</v>
      </c>
      <c r="T2" s="11">
        <v>24</v>
      </c>
      <c r="U2" s="11">
        <v>20</v>
      </c>
      <c r="V2" s="11">
        <v>100</v>
      </c>
      <c r="W2" s="12" t="s">
        <v>81</v>
      </c>
      <c r="X2" s="8">
        <v>44</v>
      </c>
      <c r="Y2" s="2">
        <v>61</v>
      </c>
      <c r="Z2" s="2">
        <v>18</v>
      </c>
      <c r="AA2" s="2">
        <v>14</v>
      </c>
      <c r="AB2" s="2">
        <v>95</v>
      </c>
      <c r="AC2" s="2">
        <v>86</v>
      </c>
      <c r="AD2" s="2">
        <v>105</v>
      </c>
      <c r="AE2" s="2">
        <v>73</v>
      </c>
      <c r="AF2" s="2">
        <v>37</v>
      </c>
      <c r="AG2" s="2">
        <v>44</v>
      </c>
      <c r="AH2" s="2">
        <v>61</v>
      </c>
      <c r="AI2" s="2">
        <v>16</v>
      </c>
      <c r="AJ2" s="2">
        <v>12</v>
      </c>
      <c r="AK2" s="2">
        <v>278</v>
      </c>
      <c r="AL2" s="2">
        <v>24</v>
      </c>
      <c r="AM2" s="2">
        <v>26</v>
      </c>
      <c r="AN2" s="2">
        <v>72</v>
      </c>
      <c r="AO2" s="2">
        <v>37</v>
      </c>
    </row>
    <row r="3" spans="1:41" ht="28.15" customHeight="1">
      <c r="A3" s="9" t="s">
        <v>77</v>
      </c>
      <c r="B3" s="10" t="s">
        <v>67</v>
      </c>
      <c r="C3" s="11" t="s">
        <v>65</v>
      </c>
      <c r="D3" s="11" t="s">
        <v>62</v>
      </c>
      <c r="E3" s="11">
        <v>43</v>
      </c>
      <c r="F3" s="11">
        <v>56</v>
      </c>
      <c r="G3" s="17" t="s">
        <v>45</v>
      </c>
      <c r="H3" s="11">
        <v>46</v>
      </c>
      <c r="I3" s="11">
        <v>26</v>
      </c>
      <c r="J3" s="11">
        <v>18</v>
      </c>
      <c r="K3" s="11">
        <v>29</v>
      </c>
      <c r="L3" s="11">
        <v>27</v>
      </c>
      <c r="M3" s="11">
        <v>29</v>
      </c>
      <c r="N3" s="11">
        <v>70</v>
      </c>
      <c r="O3" s="11">
        <v>41</v>
      </c>
      <c r="P3" s="11">
        <v>99</v>
      </c>
      <c r="Q3" s="11">
        <v>115</v>
      </c>
      <c r="R3" s="11">
        <v>71</v>
      </c>
      <c r="S3" s="11">
        <v>35</v>
      </c>
      <c r="T3" s="11">
        <v>26</v>
      </c>
      <c r="U3" s="11">
        <v>21</v>
      </c>
      <c r="V3" s="11">
        <v>97</v>
      </c>
      <c r="W3" s="12" t="s">
        <v>81</v>
      </c>
      <c r="X3" s="8">
        <v>46</v>
      </c>
      <c r="Y3" s="2">
        <v>59</v>
      </c>
      <c r="Z3" s="2">
        <v>20</v>
      </c>
      <c r="AA3" s="2">
        <v>15</v>
      </c>
      <c r="AB3" s="2">
        <v>109</v>
      </c>
      <c r="AC3" s="2">
        <v>107</v>
      </c>
      <c r="AD3" s="2">
        <v>118</v>
      </c>
      <c r="AE3" s="2">
        <v>72</v>
      </c>
      <c r="AF3" s="2">
        <v>41</v>
      </c>
      <c r="AG3" s="2">
        <v>46</v>
      </c>
      <c r="AH3" s="2">
        <v>59</v>
      </c>
      <c r="AI3" s="2">
        <v>19</v>
      </c>
      <c r="AJ3" s="2">
        <v>13</v>
      </c>
      <c r="AK3" s="2">
        <v>29</v>
      </c>
      <c r="AL3" s="2">
        <v>27</v>
      </c>
      <c r="AM3" s="2">
        <v>29</v>
      </c>
      <c r="AN3" s="2">
        <v>71</v>
      </c>
      <c r="AO3" s="2">
        <v>41</v>
      </c>
    </row>
    <row r="4" spans="1:41" ht="28.15" customHeight="1">
      <c r="A4" s="9" t="s">
        <v>78</v>
      </c>
      <c r="B4" s="10" t="s">
        <v>68</v>
      </c>
      <c r="C4" s="11" t="s">
        <v>65</v>
      </c>
      <c r="D4" s="11" t="s">
        <v>62</v>
      </c>
      <c r="E4" s="11">
        <v>43</v>
      </c>
      <c r="F4" s="11">
        <v>57</v>
      </c>
      <c r="G4" s="17" t="s">
        <v>45</v>
      </c>
      <c r="H4" s="11">
        <v>49</v>
      </c>
      <c r="I4" s="11">
        <v>26</v>
      </c>
      <c r="J4" s="11">
        <v>19</v>
      </c>
      <c r="K4" s="11">
        <v>29</v>
      </c>
      <c r="L4" s="11">
        <v>28</v>
      </c>
      <c r="M4" s="11">
        <v>29</v>
      </c>
      <c r="N4" s="11">
        <v>72</v>
      </c>
      <c r="O4" s="11">
        <v>42</v>
      </c>
      <c r="P4" s="11">
        <v>100</v>
      </c>
      <c r="Q4" s="11">
        <v>115</v>
      </c>
      <c r="R4" s="11">
        <v>65</v>
      </c>
      <c r="S4" s="11">
        <v>31</v>
      </c>
      <c r="T4" s="11">
        <v>25</v>
      </c>
      <c r="U4" s="11">
        <v>20</v>
      </c>
      <c r="V4" s="11">
        <v>97</v>
      </c>
      <c r="W4" s="12" t="s">
        <v>81</v>
      </c>
      <c r="X4" s="8">
        <v>49</v>
      </c>
      <c r="Y4" s="2">
        <v>61</v>
      </c>
      <c r="Z4" s="2">
        <v>20</v>
      </c>
      <c r="AA4" s="2">
        <v>15</v>
      </c>
      <c r="AB4" s="2">
        <v>108</v>
      </c>
      <c r="AC4" s="2">
        <v>105</v>
      </c>
      <c r="AD4" s="2">
        <v>118</v>
      </c>
      <c r="AE4" s="2">
        <v>73</v>
      </c>
      <c r="AF4" s="2">
        <v>42</v>
      </c>
      <c r="AG4" s="2">
        <v>49</v>
      </c>
      <c r="AH4" s="2">
        <v>61</v>
      </c>
      <c r="AI4" s="2">
        <v>19</v>
      </c>
      <c r="AJ4" s="2">
        <v>13</v>
      </c>
      <c r="AK4" s="2">
        <v>29</v>
      </c>
      <c r="AL4" s="2">
        <v>28</v>
      </c>
      <c r="AM4" s="2">
        <v>29</v>
      </c>
      <c r="AN4" s="2">
        <v>72</v>
      </c>
      <c r="AO4" s="2">
        <v>42</v>
      </c>
    </row>
    <row r="5" spans="1:41" ht="28.15" customHeight="1">
      <c r="A5" s="9" t="s">
        <v>79</v>
      </c>
      <c r="B5" s="10" t="s">
        <v>69</v>
      </c>
      <c r="C5" s="11" t="s">
        <v>65</v>
      </c>
      <c r="D5" s="11" t="s">
        <v>62</v>
      </c>
      <c r="E5" s="11">
        <v>43</v>
      </c>
      <c r="F5" s="11">
        <v>56</v>
      </c>
      <c r="G5" s="17" t="s">
        <v>45</v>
      </c>
      <c r="H5" s="3" t="s">
        <v>71</v>
      </c>
      <c r="I5" s="3" t="s">
        <v>64</v>
      </c>
      <c r="J5" s="3" t="s">
        <v>72</v>
      </c>
      <c r="K5" s="3" t="s">
        <v>64</v>
      </c>
      <c r="L5" s="3" t="s">
        <v>63</v>
      </c>
      <c r="M5" s="3" t="s">
        <v>64</v>
      </c>
      <c r="N5" s="3" t="s">
        <v>73</v>
      </c>
      <c r="O5" s="3" t="s">
        <v>74</v>
      </c>
      <c r="P5" s="3" t="s">
        <v>75</v>
      </c>
      <c r="Q5" s="11">
        <v>110</v>
      </c>
      <c r="R5" s="11">
        <v>68</v>
      </c>
      <c r="S5" s="11">
        <v>34</v>
      </c>
      <c r="T5" s="11">
        <v>26</v>
      </c>
      <c r="U5" s="11">
        <v>20</v>
      </c>
      <c r="V5" s="11">
        <v>97</v>
      </c>
      <c r="W5" s="12" t="s">
        <v>81</v>
      </c>
      <c r="X5" s="11">
        <v>43</v>
      </c>
      <c r="Y5" s="11">
        <v>61</v>
      </c>
      <c r="Z5" s="11">
        <v>18</v>
      </c>
      <c r="AA5" s="11">
        <v>14</v>
      </c>
      <c r="AB5" s="11">
        <v>100</v>
      </c>
      <c r="AC5" s="11">
        <v>97</v>
      </c>
      <c r="AD5" s="11">
        <v>112</v>
      </c>
      <c r="AE5" s="11">
        <v>72</v>
      </c>
      <c r="AF5" s="11">
        <v>38</v>
      </c>
      <c r="AG5" s="2">
        <v>43</v>
      </c>
      <c r="AH5" s="2">
        <v>61</v>
      </c>
      <c r="AI5" s="2">
        <v>18</v>
      </c>
      <c r="AJ5" s="2">
        <v>13</v>
      </c>
      <c r="AK5" s="2">
        <v>27</v>
      </c>
      <c r="AL5" s="2">
        <v>26</v>
      </c>
      <c r="AM5" s="2">
        <v>27</v>
      </c>
      <c r="AN5" s="2">
        <v>71</v>
      </c>
      <c r="AO5" s="2">
        <v>38</v>
      </c>
    </row>
    <row r="6" spans="1:41" ht="28.15" customHeight="1">
      <c r="A6" s="9" t="s">
        <v>80</v>
      </c>
      <c r="B6" s="10" t="s">
        <v>70</v>
      </c>
      <c r="C6" s="11" t="s">
        <v>65</v>
      </c>
      <c r="D6" s="11" t="s">
        <v>62</v>
      </c>
      <c r="E6" s="11">
        <v>41</v>
      </c>
      <c r="F6" s="11">
        <v>56</v>
      </c>
      <c r="G6" s="17" t="s">
        <v>42</v>
      </c>
      <c r="H6" s="11">
        <v>44</v>
      </c>
      <c r="I6" s="11">
        <v>23</v>
      </c>
      <c r="J6" s="11">
        <v>16</v>
      </c>
      <c r="K6" s="11">
        <v>27</v>
      </c>
      <c r="L6" s="11">
        <v>25</v>
      </c>
      <c r="M6" s="11">
        <v>27</v>
      </c>
      <c r="N6" s="11">
        <v>68</v>
      </c>
      <c r="O6" s="11">
        <v>38</v>
      </c>
      <c r="P6" s="11">
        <v>76</v>
      </c>
      <c r="Q6" s="11">
        <v>99</v>
      </c>
      <c r="R6" s="11">
        <v>61</v>
      </c>
      <c r="S6" s="11">
        <v>30</v>
      </c>
      <c r="T6" s="11">
        <v>23</v>
      </c>
      <c r="U6" s="11">
        <v>19</v>
      </c>
      <c r="V6" s="11">
        <v>95</v>
      </c>
      <c r="W6" s="12" t="s">
        <v>81</v>
      </c>
      <c r="X6" s="8">
        <v>44</v>
      </c>
      <c r="Y6" s="2">
        <v>56</v>
      </c>
      <c r="Z6" s="2">
        <v>18</v>
      </c>
      <c r="AA6" s="2">
        <v>14</v>
      </c>
      <c r="AB6" s="2">
        <v>91</v>
      </c>
      <c r="AC6" s="2">
        <v>83</v>
      </c>
      <c r="AD6" s="2">
        <v>101</v>
      </c>
      <c r="AE6" s="2">
        <v>69</v>
      </c>
      <c r="AF6" s="2">
        <v>38</v>
      </c>
      <c r="AG6" s="2">
        <v>44</v>
      </c>
      <c r="AH6" s="2">
        <v>56</v>
      </c>
      <c r="AI6" s="2">
        <v>16</v>
      </c>
      <c r="AJ6" s="2">
        <v>12</v>
      </c>
      <c r="AK6" s="2">
        <v>27</v>
      </c>
      <c r="AL6" s="2">
        <v>24</v>
      </c>
      <c r="AM6" s="2">
        <v>27</v>
      </c>
      <c r="AN6" s="2">
        <v>68</v>
      </c>
      <c r="AO6" s="2">
        <v>38</v>
      </c>
    </row>
    <row r="7" spans="1:41" ht="28.15" customHeight="1">
      <c r="A7" s="9"/>
      <c r="B7" s="10"/>
      <c r="C7" s="11"/>
      <c r="D7" s="11"/>
      <c r="E7" s="11"/>
      <c r="F7" s="11"/>
      <c r="G7" s="17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7"/>
      <c r="X7" s="8"/>
    </row>
    <row r="8" spans="1:41" ht="28.15" customHeight="1">
      <c r="A8" s="9"/>
      <c r="B8" s="10"/>
      <c r="C8" s="11"/>
      <c r="D8" s="11"/>
      <c r="E8" s="11"/>
      <c r="F8" s="11"/>
      <c r="G8" s="18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7"/>
      <c r="X8" s="8"/>
    </row>
    <row r="9" spans="1:41" ht="28.15" customHeight="1">
      <c r="A9" s="9"/>
      <c r="B9" s="10"/>
      <c r="C9" s="11"/>
      <c r="D9" s="11"/>
      <c r="F9" s="1"/>
      <c r="G9" s="18"/>
      <c r="H9" s="11"/>
      <c r="I9" s="11"/>
      <c r="J9" s="11"/>
      <c r="K9" s="11"/>
      <c r="L9" s="11"/>
      <c r="M9" s="11"/>
      <c r="O9" s="11"/>
      <c r="P9" s="11"/>
      <c r="Q9" s="11"/>
      <c r="R9" s="11"/>
      <c r="T9" s="11"/>
      <c r="U9" s="11"/>
      <c r="V9" s="11"/>
      <c r="W9" s="7"/>
      <c r="X9" s="8"/>
    </row>
    <row r="10" spans="1:41" ht="28.15" customHeight="1">
      <c r="A10" s="9"/>
      <c r="B10" s="10"/>
      <c r="C10" s="11"/>
      <c r="D10" s="11"/>
      <c r="E10" s="11"/>
      <c r="F10" s="11"/>
      <c r="G10" s="17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7"/>
      <c r="X10" s="8"/>
    </row>
    <row r="11" spans="1:41" ht="28.15" customHeight="1">
      <c r="A11" s="9"/>
      <c r="B11" s="10"/>
      <c r="C11" s="11"/>
      <c r="D11" s="11"/>
      <c r="E11" s="11"/>
      <c r="F11" s="11"/>
      <c r="G11" s="17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7"/>
      <c r="X11" s="8"/>
    </row>
    <row r="12" spans="1:41" ht="28.15" customHeight="1">
      <c r="A12" s="9"/>
      <c r="B12" s="10"/>
      <c r="C12" s="11"/>
      <c r="D12" s="11"/>
      <c r="E12" s="11"/>
      <c r="F12" s="11"/>
      <c r="G12" s="17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7"/>
      <c r="X12" s="8"/>
    </row>
    <row r="13" spans="1:41" ht="28.15" customHeight="1">
      <c r="A13" s="9"/>
      <c r="B13" s="10"/>
      <c r="C13" s="11"/>
      <c r="D13" s="11"/>
      <c r="E13" s="11"/>
      <c r="F13" s="11"/>
      <c r="G13" s="17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7"/>
      <c r="X13" s="8"/>
    </row>
    <row r="14" spans="1:41" ht="28.15" customHeight="1">
      <c r="A14" s="9"/>
      <c r="B14" s="10"/>
      <c r="C14" s="11"/>
      <c r="D14" s="11"/>
      <c r="E14" s="11"/>
      <c r="F14" s="11"/>
      <c r="G14" s="17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7"/>
      <c r="X14" s="8"/>
    </row>
    <row r="15" spans="1:41" ht="28.15" customHeight="1">
      <c r="A15" s="9"/>
      <c r="B15" s="10"/>
      <c r="C15" s="11"/>
      <c r="D15" s="11"/>
      <c r="E15" s="11"/>
      <c r="F15" s="11"/>
      <c r="G15" s="17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7"/>
      <c r="X15" s="8"/>
    </row>
    <row r="16" spans="1:41" ht="28.15" customHeight="1">
      <c r="A16" s="9"/>
      <c r="B16" s="10"/>
      <c r="C16" s="11"/>
      <c r="D16" s="11"/>
      <c r="E16" s="11"/>
      <c r="F16" s="11"/>
      <c r="G16" s="17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7"/>
      <c r="X16" s="8"/>
    </row>
    <row r="17" spans="1:24" ht="28.15" customHeight="1">
      <c r="A17" s="9"/>
      <c r="B17" s="10"/>
      <c r="C17" s="11"/>
      <c r="D17" s="11"/>
      <c r="E17" s="11"/>
      <c r="F17" s="11"/>
      <c r="G17" s="17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7"/>
      <c r="X17" s="8"/>
    </row>
    <row r="18" spans="1:24" ht="28.15" customHeight="1">
      <c r="A18" s="9"/>
      <c r="B18" s="10"/>
      <c r="C18" s="11"/>
      <c r="D18" s="11"/>
      <c r="E18" s="11"/>
      <c r="F18" s="11"/>
      <c r="G18" s="17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7"/>
      <c r="X18" s="8"/>
    </row>
    <row r="19" spans="1:24" ht="28.15" customHeight="1">
      <c r="A19" s="9"/>
      <c r="B19" s="10"/>
      <c r="C19" s="11"/>
      <c r="D19" s="11"/>
      <c r="E19" s="11"/>
      <c r="F19" s="11"/>
      <c r="G19" s="17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7"/>
      <c r="X19" s="8"/>
    </row>
    <row r="20" spans="1:24" ht="28.15" customHeight="1">
      <c r="A20" s="9"/>
      <c r="B20" s="10"/>
      <c r="C20" s="11"/>
      <c r="D20" s="11"/>
      <c r="E20" s="11"/>
      <c r="F20" s="11"/>
      <c r="G20" s="17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7"/>
      <c r="X20" s="8"/>
    </row>
    <row r="21" spans="1:24" ht="28.15" customHeight="1">
      <c r="A21" s="9"/>
      <c r="B21" s="10"/>
      <c r="C21" s="11"/>
      <c r="D21" s="11"/>
      <c r="E21" s="11"/>
      <c r="F21" s="11"/>
      <c r="G21" s="17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7"/>
      <c r="X21" s="8"/>
    </row>
    <row r="22" spans="1:24" ht="28.15" customHeight="1">
      <c r="A22" s="9"/>
      <c r="B22" s="10"/>
      <c r="C22" s="11"/>
      <c r="D22" s="11"/>
      <c r="E22" s="11"/>
      <c r="F22" s="11"/>
      <c r="G22" s="17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7"/>
      <c r="X22" s="8"/>
    </row>
    <row r="23" spans="1:24" ht="28.15" customHeight="1">
      <c r="A23" s="9"/>
      <c r="B23" s="10"/>
      <c r="C23" s="11"/>
      <c r="D23" s="11"/>
      <c r="E23" s="11"/>
      <c r="F23" s="11"/>
      <c r="G23" s="17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7"/>
      <c r="X23" s="8"/>
    </row>
    <row r="24" spans="1:24" ht="28.15" customHeight="1">
      <c r="A24" s="9"/>
      <c r="B24" s="10"/>
      <c r="C24" s="11"/>
      <c r="D24" s="11"/>
      <c r="E24" s="11"/>
      <c r="F24" s="11"/>
      <c r="G24" s="17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7"/>
      <c r="X24" s="8"/>
    </row>
    <row r="25" spans="1:24" ht="28.15" customHeight="1">
      <c r="A25" s="9"/>
      <c r="B25" s="10"/>
      <c r="C25" s="11"/>
      <c r="D25" s="11"/>
      <c r="E25" s="11"/>
      <c r="F25" s="11"/>
      <c r="G25" s="17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7"/>
      <c r="X25" s="8"/>
    </row>
    <row r="26" spans="1:24" ht="28.15" customHeight="1">
      <c r="A26" s="9"/>
      <c r="B26" s="10"/>
      <c r="C26" s="11"/>
      <c r="D26" s="11"/>
      <c r="E26" s="11"/>
      <c r="F26" s="11"/>
      <c r="G26" s="17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7"/>
      <c r="X26" s="8"/>
    </row>
    <row r="27" spans="1:24" ht="28.15" customHeight="1">
      <c r="A27" s="9"/>
      <c r="B27" s="10"/>
      <c r="C27" s="11"/>
      <c r="D27" s="11"/>
      <c r="E27" s="11"/>
      <c r="F27" s="11"/>
      <c r="G27" s="17"/>
      <c r="H27" s="11"/>
      <c r="I27" s="11"/>
      <c r="J27" s="11"/>
      <c r="K27" s="11"/>
      <c r="L27" s="11"/>
      <c r="M27" s="11"/>
      <c r="N27" s="11"/>
      <c r="O27" s="11"/>
      <c r="Q27" s="11"/>
      <c r="R27" s="11"/>
      <c r="S27" s="11"/>
      <c r="T27" s="11"/>
      <c r="U27" s="11"/>
      <c r="V27" s="11"/>
      <c r="W27" s="7"/>
      <c r="X27" s="8"/>
    </row>
    <row r="28" spans="1:24" ht="28.15" customHeight="1">
      <c r="A28" s="9"/>
      <c r="B28" s="10"/>
      <c r="C28" s="11"/>
      <c r="D28" s="11"/>
      <c r="E28" s="11"/>
      <c r="F28" s="11"/>
      <c r="G28" s="17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7"/>
      <c r="X28" s="8"/>
    </row>
    <row r="29" spans="1:24" ht="28.15" customHeight="1">
      <c r="A29" s="9"/>
      <c r="B29" s="10"/>
      <c r="C29" s="11"/>
      <c r="D29" s="11"/>
      <c r="E29" s="11"/>
      <c r="F29" s="11"/>
      <c r="G29" s="17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7"/>
      <c r="X29" s="8"/>
    </row>
    <row r="30" spans="1:24" ht="28.15" customHeight="1">
      <c r="A30" s="9"/>
      <c r="B30" s="10"/>
      <c r="C30" s="11"/>
      <c r="D30" s="11"/>
      <c r="E30" s="11"/>
      <c r="F30" s="11"/>
      <c r="G30" s="17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7"/>
      <c r="X30" s="8"/>
    </row>
    <row r="31" spans="1:24" ht="28.15" customHeight="1">
      <c r="A31" s="9"/>
      <c r="B31" s="10"/>
      <c r="C31" s="11"/>
      <c r="D31" s="11"/>
      <c r="E31" s="11"/>
      <c r="F31" s="11"/>
      <c r="G31" s="17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7"/>
      <c r="X31" s="8"/>
    </row>
    <row r="32" spans="1:24" ht="28.15" customHeight="1">
      <c r="A32" s="9"/>
      <c r="B32" s="10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7"/>
      <c r="X32" s="8"/>
    </row>
    <row r="33" spans="1:24" ht="28.15" customHeight="1">
      <c r="A33" s="9"/>
      <c r="B33" s="10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7"/>
      <c r="X33" s="8"/>
    </row>
    <row r="34" spans="1:24" ht="28.15" customHeight="1">
      <c r="A34" s="9"/>
      <c r="B34" s="10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7"/>
      <c r="X34" s="8"/>
    </row>
    <row r="35" spans="1:24" ht="15.75">
      <c r="A35" s="9"/>
      <c r="C35" s="11"/>
      <c r="D35" s="11"/>
      <c r="G35" s="3"/>
    </row>
    <row r="36" spans="1:24" ht="15.75">
      <c r="A36" s="9"/>
      <c r="C36" s="11"/>
      <c r="D36" s="11"/>
      <c r="G36" s="3"/>
    </row>
  </sheetData>
  <phoneticPr fontId="21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/>
  <sheetData>
    <row r="3" spans="6:6" ht="15.75">
      <c r="F3" s="11"/>
    </row>
    <row r="4" spans="6:6" ht="15.75">
      <c r="F4" s="11"/>
    </row>
    <row r="5" spans="6:6" ht="15.75">
      <c r="F5" s="11"/>
    </row>
    <row r="6" spans="6:6" ht="15.75">
      <c r="F6" s="11"/>
    </row>
    <row r="7" spans="6:6" ht="15.75">
      <c r="F7" s="11"/>
    </row>
    <row r="8" spans="6:6" ht="15.75">
      <c r="F8" s="11"/>
    </row>
    <row r="9" spans="6:6" ht="15.75">
      <c r="F9" s="11"/>
    </row>
    <row r="10" spans="6:6" ht="15.75">
      <c r="F10" s="11"/>
    </row>
    <row r="11" spans="6:6" ht="15.75">
      <c r="F11" s="1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83"/>
  <sheetViews>
    <sheetView zoomScale="115" zoomScaleNormal="115" workbookViewId="0">
      <selection activeCell="H16" sqref="H16"/>
    </sheetView>
  </sheetViews>
  <sheetFormatPr defaultColWidth="8.5703125" defaultRowHeight="15"/>
  <cols>
    <col min="7" max="9" width="8.5703125" customWidth="1"/>
    <col min="11" max="11" width="10.42578125" style="1" customWidth="1"/>
    <col min="17" max="17" width="21.140625" bestFit="1" customWidth="1"/>
  </cols>
  <sheetData>
    <row r="1" spans="1:18">
      <c r="K1" s="5"/>
    </row>
    <row r="2" spans="1:18">
      <c r="A2" t="s">
        <v>51</v>
      </c>
      <c r="F2" t="s">
        <v>52</v>
      </c>
      <c r="K2" s="1" t="s">
        <v>53</v>
      </c>
    </row>
    <row r="3" spans="1:18">
      <c r="A3" t="s">
        <v>54</v>
      </c>
      <c r="B3" t="s">
        <v>55</v>
      </c>
      <c r="F3" t="s">
        <v>56</v>
      </c>
      <c r="G3" t="s">
        <v>55</v>
      </c>
      <c r="J3" t="s">
        <v>57</v>
      </c>
      <c r="K3" s="1" t="s">
        <v>56</v>
      </c>
      <c r="L3" t="s">
        <v>55</v>
      </c>
      <c r="P3" t="s">
        <v>61</v>
      </c>
    </row>
    <row r="4" spans="1:18" ht="15.75">
      <c r="A4" s="1" t="s">
        <v>43</v>
      </c>
      <c r="B4">
        <f>COUNTIF(SEMUA!$G$2:$G$36,REKAP!A4)</f>
        <v>1</v>
      </c>
      <c r="C4">
        <v>22</v>
      </c>
      <c r="F4">
        <v>37</v>
      </c>
      <c r="H4">
        <v>1</v>
      </c>
      <c r="I4">
        <v>1</v>
      </c>
      <c r="J4" s="16">
        <v>1</v>
      </c>
      <c r="K4" s="13">
        <v>53</v>
      </c>
      <c r="L4">
        <f>COUNTIF(SEMUA!$F$2:$F$36,K4)</f>
        <v>0</v>
      </c>
      <c r="M4" s="11">
        <v>4</v>
      </c>
      <c r="N4">
        <f>L4-M4</f>
        <v>-4</v>
      </c>
      <c r="P4" s="11">
        <v>1</v>
      </c>
      <c r="Q4" s="11" t="s">
        <v>41</v>
      </c>
      <c r="R4">
        <f>COUNTIF(SEMUA!$C$1:$C$34,REKAP!Q4)</f>
        <v>0</v>
      </c>
    </row>
    <row r="5" spans="1:18" ht="15.75">
      <c r="A5" s="11" t="s">
        <v>42</v>
      </c>
      <c r="B5">
        <f>COUNTIF(SEMUA!$G$2:$G$36,REKAP!A5)</f>
        <v>1</v>
      </c>
      <c r="C5">
        <v>15</v>
      </c>
      <c r="F5">
        <v>38</v>
      </c>
      <c r="G5">
        <f>COUNTIF(SEMUA!$E$2:$E$36,F5)</f>
        <v>0</v>
      </c>
      <c r="H5">
        <v>1</v>
      </c>
      <c r="I5">
        <f>H5+G5</f>
        <v>1</v>
      </c>
      <c r="J5" s="16">
        <v>4</v>
      </c>
      <c r="K5" s="13">
        <v>54</v>
      </c>
      <c r="L5">
        <f>COUNTIF(SEMUA!$F$2:$F$36,K5)</f>
        <v>1</v>
      </c>
      <c r="M5" s="11">
        <v>10</v>
      </c>
      <c r="N5">
        <f t="shared" ref="N5:N11" si="0">L5-M5</f>
        <v>-9</v>
      </c>
      <c r="P5" s="11">
        <v>2</v>
      </c>
      <c r="Q5" s="11" t="s">
        <v>46</v>
      </c>
      <c r="R5">
        <f>COUNTIF(SEMUA!$C$1:$C$34,REKAP!Q5)</f>
        <v>0</v>
      </c>
    </row>
    <row r="6" spans="1:18" ht="15.75">
      <c r="A6" s="11" t="s">
        <v>47</v>
      </c>
      <c r="B6">
        <f>COUNTIF(SEMUA!$G$2:$G$36,REKAP!A6)</f>
        <v>0</v>
      </c>
      <c r="C6">
        <v>2</v>
      </c>
      <c r="F6" s="13">
        <v>39</v>
      </c>
      <c r="G6">
        <f>COUNTIF(SEMUA!$E$2:$E$36,F6)</f>
        <v>0</v>
      </c>
      <c r="H6">
        <v>1</v>
      </c>
      <c r="I6">
        <f t="shared" ref="I6:I13" si="1">H6+G6</f>
        <v>1</v>
      </c>
      <c r="J6" s="16">
        <v>15</v>
      </c>
      <c r="K6" s="13">
        <v>55</v>
      </c>
      <c r="L6">
        <f>COUNTIF(SEMUA!$F$2:$F$36,K6)</f>
        <v>0</v>
      </c>
      <c r="M6" s="11">
        <v>25</v>
      </c>
      <c r="N6">
        <f t="shared" si="0"/>
        <v>-25</v>
      </c>
      <c r="P6" s="11">
        <v>3</v>
      </c>
      <c r="Q6" s="11" t="s">
        <v>48</v>
      </c>
      <c r="R6">
        <f>COUNTIF(SEMUA!$C$1:$C$34,REKAP!Q6)</f>
        <v>0</v>
      </c>
    </row>
    <row r="7" spans="1:18" ht="15.75">
      <c r="A7" s="11" t="s">
        <v>45</v>
      </c>
      <c r="B7">
        <f>COUNTIF(SEMUA!$G$2:$G$36,REKAP!A7)</f>
        <v>3</v>
      </c>
      <c r="C7">
        <v>21</v>
      </c>
      <c r="F7" s="13">
        <v>40</v>
      </c>
      <c r="G7">
        <f>COUNTIF(SEMUA!$E$2:$E$36,F7)</f>
        <v>0</v>
      </c>
      <c r="H7">
        <v>14</v>
      </c>
      <c r="I7">
        <f t="shared" si="1"/>
        <v>14</v>
      </c>
      <c r="J7" s="16">
        <v>35</v>
      </c>
      <c r="K7" s="13">
        <v>56</v>
      </c>
      <c r="L7">
        <f>COUNTIF(SEMUA!$F$2:$F$36,K7)</f>
        <v>3</v>
      </c>
      <c r="M7" s="11">
        <v>25</v>
      </c>
      <c r="N7">
        <f t="shared" si="0"/>
        <v>-22</v>
      </c>
      <c r="P7" s="11">
        <v>4</v>
      </c>
      <c r="Q7" s="11" t="s">
        <v>60</v>
      </c>
      <c r="R7">
        <f>COUNTIF(SEMUA!$C$1:$C$34,REKAP!Q7)</f>
        <v>0</v>
      </c>
    </row>
    <row r="8" spans="1:18" ht="15.75">
      <c r="A8" s="11" t="s">
        <v>44</v>
      </c>
      <c r="B8">
        <f>COUNTIF(SEMUA!$G$2:$G$36,REKAP!A8)</f>
        <v>0</v>
      </c>
      <c r="C8">
        <v>5</v>
      </c>
      <c r="F8" s="13">
        <v>41</v>
      </c>
      <c r="G8">
        <f>COUNTIF(SEMUA!$E$2:$E$36,F8)</f>
        <v>1</v>
      </c>
      <c r="H8">
        <v>23</v>
      </c>
      <c r="I8">
        <f t="shared" si="1"/>
        <v>24</v>
      </c>
      <c r="J8" s="16">
        <v>62</v>
      </c>
      <c r="K8" s="13">
        <v>57</v>
      </c>
      <c r="L8">
        <f>COUNTIF(SEMUA!$F$2:$F$36,K8)</f>
        <v>1</v>
      </c>
      <c r="M8" s="11">
        <v>25</v>
      </c>
      <c r="N8">
        <f t="shared" si="0"/>
        <v>-24</v>
      </c>
      <c r="P8" s="11">
        <v>5</v>
      </c>
      <c r="Q8" s="11" t="s">
        <v>59</v>
      </c>
      <c r="R8">
        <f>COUNTIF(SEMUA!$C$1:$C$34,REKAP!Q8)</f>
        <v>0</v>
      </c>
    </row>
    <row r="9" spans="1:18" ht="15.75">
      <c r="A9" s="11" t="s">
        <v>49</v>
      </c>
      <c r="B9">
        <f>COUNTIF(SEMUA!$G$2:$G$36,REKAP!A9)</f>
        <v>0</v>
      </c>
      <c r="F9" s="13">
        <v>42</v>
      </c>
      <c r="G9">
        <f>COUNTIF(SEMUA!$E$2:$E$36,F9)</f>
        <v>0</v>
      </c>
      <c r="H9">
        <v>25</v>
      </c>
      <c r="I9">
        <f t="shared" si="1"/>
        <v>25</v>
      </c>
      <c r="J9" s="16">
        <v>90</v>
      </c>
      <c r="K9" s="13">
        <v>58</v>
      </c>
      <c r="L9">
        <f>COUNTIF(SEMUA!$F$2:$F$36,K9)</f>
        <v>0</v>
      </c>
      <c r="M9" s="11">
        <v>14</v>
      </c>
      <c r="N9">
        <f t="shared" si="0"/>
        <v>-14</v>
      </c>
      <c r="P9" s="11"/>
    </row>
    <row r="10" spans="1:18" ht="15.75">
      <c r="A10" s="11" t="s">
        <v>50</v>
      </c>
      <c r="B10">
        <f>COUNTIF(SEMUA!$G$2:$G$36,REKAP!A10)</f>
        <v>0</v>
      </c>
      <c r="F10" s="13">
        <v>43</v>
      </c>
      <c r="G10">
        <f>COUNTIF(SEMUA!$E$2:$E$36,F10)</f>
        <v>4</v>
      </c>
      <c r="H10">
        <v>13</v>
      </c>
      <c r="I10">
        <f t="shared" si="1"/>
        <v>17</v>
      </c>
      <c r="J10" s="16">
        <v>43</v>
      </c>
      <c r="K10" s="13">
        <v>59</v>
      </c>
      <c r="L10">
        <f>COUNTIF(SEMUA!$F$2:$F$36,K10)</f>
        <v>0</v>
      </c>
      <c r="M10" s="11">
        <v>10</v>
      </c>
      <c r="N10">
        <f t="shared" si="0"/>
        <v>-10</v>
      </c>
      <c r="P10" s="11"/>
    </row>
    <row r="11" spans="1:18" ht="15.75">
      <c r="A11" s="14" t="s">
        <v>58</v>
      </c>
      <c r="B11" s="15">
        <f>SUM(B4:B10)</f>
        <v>5</v>
      </c>
      <c r="C11" s="15">
        <f>SUM(C4:C10)</f>
        <v>65</v>
      </c>
      <c r="D11" s="15"/>
      <c r="E11" s="15"/>
      <c r="F11" s="13">
        <v>44</v>
      </c>
      <c r="G11">
        <f>COUNTIF(SEMUA!$E$2:$E$36,F11)</f>
        <v>0</v>
      </c>
      <c r="H11">
        <v>4</v>
      </c>
      <c r="I11">
        <f t="shared" si="1"/>
        <v>4</v>
      </c>
      <c r="J11" s="16">
        <v>12</v>
      </c>
      <c r="K11" s="1">
        <v>60</v>
      </c>
      <c r="L11">
        <f>COUNTIF(SEMUA!$F$2:$F$36,K11)</f>
        <v>0</v>
      </c>
      <c r="M11" s="11">
        <v>2</v>
      </c>
      <c r="N11">
        <f t="shared" si="0"/>
        <v>-2</v>
      </c>
      <c r="P11" s="11"/>
    </row>
    <row r="12" spans="1:18" ht="15.75">
      <c r="F12" s="13">
        <v>45</v>
      </c>
      <c r="G12">
        <f>COUNTIF(SEMUA!$E$2:$E$36,F12)</f>
        <v>0</v>
      </c>
      <c r="H12">
        <v>3</v>
      </c>
      <c r="I12">
        <f t="shared" si="1"/>
        <v>3</v>
      </c>
      <c r="J12" s="16">
        <v>4</v>
      </c>
      <c r="L12">
        <f>SUM(L4:L11)</f>
        <v>5</v>
      </c>
      <c r="M12">
        <f>SUM(M4:M11)</f>
        <v>115</v>
      </c>
      <c r="N12">
        <f>SUM(N4:N11)</f>
        <v>-110</v>
      </c>
      <c r="P12" s="11"/>
    </row>
    <row r="13" spans="1:18" ht="15.75">
      <c r="F13" s="13">
        <v>46</v>
      </c>
      <c r="G13">
        <f>COUNTIF(SEMUA!$E$2:$E$36,F13)</f>
        <v>0</v>
      </c>
      <c r="I13">
        <f t="shared" si="1"/>
        <v>0</v>
      </c>
      <c r="J13" s="16">
        <v>4</v>
      </c>
    </row>
    <row r="14" spans="1:18" ht="15.75">
      <c r="F14" s="13"/>
      <c r="G14">
        <f>SUM(G5:G13)</f>
        <v>5</v>
      </c>
      <c r="J14" s="16">
        <f>SUM(J4:J13)</f>
        <v>270</v>
      </c>
    </row>
    <row r="15" spans="1:18" ht="15.75">
      <c r="F15" s="13"/>
      <c r="N15" s="11">
        <v>44</v>
      </c>
    </row>
    <row r="16" spans="1:18" ht="15.75">
      <c r="F16" s="13"/>
      <c r="N16" s="11">
        <v>41</v>
      </c>
    </row>
    <row r="17" spans="6:14" ht="15.75">
      <c r="F17" s="13"/>
      <c r="N17" s="11">
        <v>39</v>
      </c>
    </row>
    <row r="18" spans="6:14" ht="15.75">
      <c r="F18" s="13"/>
      <c r="N18" s="11">
        <v>40</v>
      </c>
    </row>
    <row r="19" spans="6:14" ht="15.75">
      <c r="F19" s="13"/>
      <c r="N19" s="11">
        <v>43</v>
      </c>
    </row>
    <row r="20" spans="6:14" ht="15.75">
      <c r="F20" s="13"/>
      <c r="N20" s="11">
        <v>42</v>
      </c>
    </row>
    <row r="21" spans="6:14" ht="15.75">
      <c r="F21" s="13"/>
      <c r="N21" s="11">
        <v>38</v>
      </c>
    </row>
    <row r="22" spans="6:14" ht="15.75">
      <c r="F22" s="13"/>
    </row>
    <row r="23" spans="6:14" ht="15.75">
      <c r="F23" s="13"/>
    </row>
    <row r="24" spans="6:14" ht="15.75">
      <c r="F24" s="13"/>
    </row>
    <row r="25" spans="6:14" ht="15.75">
      <c r="F25" s="13"/>
    </row>
    <row r="26" spans="6:14" ht="15.75">
      <c r="F26" s="13"/>
    </row>
    <row r="27" spans="6:14" ht="15.75">
      <c r="F27" s="13"/>
    </row>
    <row r="28" spans="6:14" ht="15.75">
      <c r="F28" s="13"/>
    </row>
    <row r="29" spans="6:14" ht="15.75">
      <c r="F29" s="13"/>
    </row>
    <row r="30" spans="6:14" ht="15.75">
      <c r="F30" s="13"/>
    </row>
    <row r="31" spans="6:14" ht="15.75">
      <c r="F31" s="13"/>
    </row>
    <row r="32" spans="6:14" ht="15.75">
      <c r="F32" s="13"/>
    </row>
    <row r="33" spans="6:6" ht="15.75">
      <c r="F33" s="13"/>
    </row>
    <row r="34" spans="6:6" ht="15.75">
      <c r="F34" s="13"/>
    </row>
    <row r="35" spans="6:6" ht="15.75">
      <c r="F35" s="13"/>
    </row>
    <row r="36" spans="6:6" ht="15.75">
      <c r="F36" s="13"/>
    </row>
    <row r="37" spans="6:6" ht="15.75">
      <c r="F37" s="13"/>
    </row>
    <row r="38" spans="6:6" ht="15.75">
      <c r="F38" s="13"/>
    </row>
    <row r="39" spans="6:6" ht="15.75">
      <c r="F39" s="13"/>
    </row>
    <row r="40" spans="6:6" ht="15.75">
      <c r="F40" s="13"/>
    </row>
    <row r="41" spans="6:6" ht="15.75">
      <c r="F41" s="13"/>
    </row>
    <row r="42" spans="6:6" ht="15.75">
      <c r="F42" s="13"/>
    </row>
    <row r="43" spans="6:6" ht="15.75">
      <c r="F43" s="13"/>
    </row>
    <row r="44" spans="6:6" ht="15.75">
      <c r="F44" s="13"/>
    </row>
    <row r="45" spans="6:6" ht="15.75">
      <c r="F45" s="13"/>
    </row>
    <row r="46" spans="6:6" ht="15.75">
      <c r="F46" s="13"/>
    </row>
    <row r="47" spans="6:6" ht="15.75">
      <c r="F47" s="13"/>
    </row>
    <row r="48" spans="6:6" ht="15.75">
      <c r="F48" s="13"/>
    </row>
    <row r="49" spans="6:6" ht="15.75">
      <c r="F49" s="13"/>
    </row>
    <row r="50" spans="6:6" ht="15.75">
      <c r="F50" s="13"/>
    </row>
    <row r="51" spans="6:6" ht="15.75">
      <c r="F51" s="13"/>
    </row>
    <row r="52" spans="6:6" ht="15.75">
      <c r="F52" s="13"/>
    </row>
    <row r="53" spans="6:6" ht="15.75">
      <c r="F53" s="13"/>
    </row>
    <row r="54" spans="6:6" ht="15.75">
      <c r="F54" s="13"/>
    </row>
    <row r="55" spans="6:6" ht="15.75">
      <c r="F55" s="13"/>
    </row>
    <row r="56" spans="6:6" ht="15.75">
      <c r="F56" s="13"/>
    </row>
    <row r="57" spans="6:6" ht="15.75">
      <c r="F57" s="13"/>
    </row>
    <row r="58" spans="6:6" ht="15.75">
      <c r="F58" s="13"/>
    </row>
    <row r="59" spans="6:6" ht="15.75">
      <c r="F59" s="13"/>
    </row>
    <row r="60" spans="6:6" ht="15.75">
      <c r="F60" s="13"/>
    </row>
    <row r="61" spans="6:6" ht="15.75">
      <c r="F61" s="13"/>
    </row>
    <row r="62" spans="6:6" ht="15.75">
      <c r="F62" s="13"/>
    </row>
    <row r="63" spans="6:6" ht="15.75">
      <c r="F63" s="13"/>
    </row>
    <row r="64" spans="6:6" ht="15.75">
      <c r="F64" s="13"/>
    </row>
    <row r="65" spans="6:6" ht="15.75">
      <c r="F65" s="13"/>
    </row>
    <row r="66" spans="6:6" ht="15.75">
      <c r="F66" s="13"/>
    </row>
    <row r="67" spans="6:6" ht="15.75">
      <c r="F67" s="13"/>
    </row>
    <row r="68" spans="6:6" ht="15.75">
      <c r="F68" s="13"/>
    </row>
    <row r="69" spans="6:6" ht="15.75">
      <c r="F69" s="13"/>
    </row>
    <row r="70" spans="6:6" ht="15.75">
      <c r="F70" s="13"/>
    </row>
    <row r="71" spans="6:6" ht="15.75">
      <c r="F71" s="13"/>
    </row>
    <row r="72" spans="6:6" ht="15.75">
      <c r="F72" s="13"/>
    </row>
    <row r="73" spans="6:6" ht="15.75">
      <c r="F73" s="13"/>
    </row>
    <row r="74" spans="6:6" ht="15.75">
      <c r="F74" s="13"/>
    </row>
    <row r="75" spans="6:6" ht="15.75">
      <c r="F75" s="13"/>
    </row>
    <row r="76" spans="6:6" ht="15.75">
      <c r="F76" s="13"/>
    </row>
    <row r="77" spans="6:6" ht="15.75">
      <c r="F77" s="13"/>
    </row>
    <row r="78" spans="6:6" ht="15.75">
      <c r="F78" s="13"/>
    </row>
    <row r="79" spans="6:6">
      <c r="F79" s="1"/>
    </row>
    <row r="80" spans="6:6">
      <c r="F80" s="1"/>
    </row>
    <row r="81" spans="6:6">
      <c r="F81" s="1"/>
    </row>
    <row r="82" spans="6:6">
      <c r="F82" s="1"/>
    </row>
    <row r="83" spans="6:6">
      <c r="F83" s="1"/>
    </row>
  </sheetData>
  <sortState xmlns:xlrd2="http://schemas.microsoft.com/office/spreadsheetml/2017/richdata2" ref="P4:P153">
    <sortCondition ref="P4:P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2021-02-25T22:38:57Z</cp:lastPrinted>
  <dcterms:created xsi:type="dcterms:W3CDTF">2016-10-31T03:59:44Z</dcterms:created>
  <dcterms:modified xsi:type="dcterms:W3CDTF">2021-03-02T22:15:21Z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