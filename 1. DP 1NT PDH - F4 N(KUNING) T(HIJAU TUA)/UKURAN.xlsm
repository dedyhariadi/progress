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1. DP 1NT PDH - F4 N(KUNING) T(HIJAU TUA)\"/>
    </mc:Choice>
  </mc:AlternateContent>
  <xr:revisionPtr revIDLastSave="0" documentId="13_ncr:1_{B28286E8-65C9-4FCE-9D16-3590E9195012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blm ada lengan panjang" sheetId="12" r:id="rId2"/>
    <sheet name="CETAK" sheetId="13" r:id="rId3"/>
    <sheet name="Sheet3" sheetId="10" r:id="rId4"/>
    <sheet name="Sheet1" sheetId="2" r:id="rId5"/>
    <sheet name="SETOR 2" sheetId="8" r:id="rId6"/>
  </sheets>
  <definedNames>
    <definedName name="_xlnm._FilterDatabase" localSheetId="2" hidden="1">CETAK!$A$1:$O$62</definedName>
    <definedName name="_xlnm._FilterDatabase" localSheetId="0" hidden="1">SEMUA!$A$1:$AG$62</definedName>
    <definedName name="_xlnm._FilterDatabase" localSheetId="5">'SETOR 2'!$A$1:$O$1</definedName>
    <definedName name="_xlnm.Print_Titles" localSheetId="1">'blm ada lengan panjang'!$1:$1</definedName>
    <definedName name="_xlnm.Print_Titles" localSheetId="2">CETAK!$1:$1</definedName>
    <definedName name="_xlnm.Print_Titles" localSheetId="0">SEMUA!#REF!</definedName>
    <definedName name="_xlnm.Print_Titles" localSheetId="5">'SETOR 2'!$1:$1</definedName>
  </definedNames>
  <calcPr calcId="191029" iterateDelta="1E-4"/>
</workbook>
</file>

<file path=xl/calcChain.xml><?xml version="1.0" encoding="utf-8"?>
<calcChain xmlns="http://schemas.openxmlformats.org/spreadsheetml/2006/main">
  <c r="K11" i="2" l="1"/>
  <c r="K5" i="2"/>
  <c r="K6" i="2"/>
  <c r="K7" i="2"/>
  <c r="K8" i="2"/>
  <c r="K9" i="2"/>
  <c r="K10" i="2"/>
  <c r="K4" i="2"/>
  <c r="G4" i="2"/>
  <c r="G11" i="2"/>
  <c r="G10" i="2"/>
  <c r="G9" i="2"/>
  <c r="G8" i="2"/>
  <c r="C8" i="2"/>
  <c r="G7" i="2"/>
  <c r="B7" i="2"/>
  <c r="G6" i="2"/>
  <c r="B6" i="2"/>
  <c r="G5" i="2"/>
  <c r="B5" i="2"/>
  <c r="B4" i="2"/>
  <c r="K12" i="2" l="1"/>
  <c r="B8" i="2"/>
  <c r="G12" i="2"/>
</calcChain>
</file>

<file path=xl/sharedStrings.xml><?xml version="1.0" encoding="utf-8"?>
<sst xmlns="http://schemas.openxmlformats.org/spreadsheetml/2006/main" count="1821" uniqueCount="263">
  <si>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</si>
  <si>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</si>
  <si>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</si>
  <si>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</si>
  <si>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</si>
  <si>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</si>
  <si>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</si>
  <si>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</si>
  <si>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</si>
  <si>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</si>
  <si>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</si>
  <si>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</si>
  <si>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</si>
  <si>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</si>
  <si>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</si>
  <si>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</si>
  <si>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</si>
  <si>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</si>
  <si>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</si>
  <si>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</si>
  <si>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</si>
  <si>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</si>
  <si>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</si>
  <si>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</si>
  <si>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</si>
  <si>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</si>
  <si>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</si>
  <si>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</si>
  <si>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</si>
  <si>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</si>
  <si>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</si>
  <si>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</si>
  <si>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PRIA</t>
  </si>
  <si>
    <t>XL</t>
  </si>
  <si>
    <t>L</t>
  </si>
  <si>
    <t>XXL</t>
  </si>
  <si>
    <t>M</t>
  </si>
  <si>
    <t>kaos</t>
  </si>
  <si>
    <t>sepatu</t>
  </si>
  <si>
    <t>topi</t>
  </si>
  <si>
    <t>ukuran</t>
  </si>
  <si>
    <t>jml</t>
  </si>
  <si>
    <t>no</t>
  </si>
  <si>
    <t>pesan</t>
  </si>
  <si>
    <t>jumlah</t>
  </si>
  <si>
    <t>ANTONIUS SETIAWAN</t>
  </si>
  <si>
    <t>DP I NAUTIKA</t>
  </si>
  <si>
    <t>NUR SYAMSI</t>
  </si>
  <si>
    <t>ERIK HANDOYO</t>
  </si>
  <si>
    <t>SURIYANSYAH</t>
  </si>
  <si>
    <t>AMRUL GAZALI</t>
  </si>
  <si>
    <t>ACHMAD MAULANS</t>
  </si>
  <si>
    <t>PERSONA G.S.</t>
  </si>
  <si>
    <t>ARUNG</t>
  </si>
  <si>
    <t>SUHEDI</t>
  </si>
  <si>
    <t>DP I TEKNIKA</t>
  </si>
  <si>
    <t>ABDULLAH MUNIB</t>
  </si>
  <si>
    <t>SUGENG GUNADI</t>
  </si>
  <si>
    <t>MAULID LAILA WIJAYANTO</t>
  </si>
  <si>
    <t>TRIYONO</t>
  </si>
  <si>
    <t>LUTFI ANSORI</t>
  </si>
  <si>
    <t>FUNGKY</t>
  </si>
  <si>
    <t>DWI SUMARI YONO</t>
  </si>
  <si>
    <t>K1</t>
  </si>
  <si>
    <t>K2</t>
  </si>
  <si>
    <t>K3</t>
  </si>
  <si>
    <t>K4</t>
  </si>
  <si>
    <t>K5</t>
  </si>
  <si>
    <t>K6</t>
  </si>
  <si>
    <t>K7</t>
  </si>
  <si>
    <t>K8</t>
  </si>
  <si>
    <t>L1</t>
  </si>
  <si>
    <t>L2</t>
  </si>
  <si>
    <t>L3</t>
  </si>
  <si>
    <t>L4</t>
  </si>
  <si>
    <t>L5</t>
  </si>
  <si>
    <t>L6</t>
  </si>
  <si>
    <t>L7</t>
  </si>
  <si>
    <t>L8</t>
  </si>
  <si>
    <t>2</t>
  </si>
  <si>
    <t>AGUS SUSANTO</t>
  </si>
  <si>
    <t>CAHYO PRADONO</t>
  </si>
  <si>
    <t>ELPAN NOVANDI</t>
  </si>
  <si>
    <t>TYAS ARIASMITO</t>
  </si>
  <si>
    <t>IMAM BUKHORI</t>
  </si>
  <si>
    <t>K10</t>
  </si>
  <si>
    <t>K11</t>
  </si>
  <si>
    <t>K12</t>
  </si>
  <si>
    <t>K13</t>
  </si>
  <si>
    <t>K14</t>
  </si>
  <si>
    <t>SUBIYANTO</t>
  </si>
  <si>
    <t>NATANAEL SUBA</t>
  </si>
  <si>
    <t>NARTO</t>
  </si>
  <si>
    <t>DWI PUTRO BUDI</t>
  </si>
  <si>
    <t>L9</t>
  </si>
  <si>
    <t>L10</t>
  </si>
  <si>
    <t>L11</t>
  </si>
  <si>
    <t>L12</t>
  </si>
  <si>
    <t>3</t>
  </si>
  <si>
    <t>CHAIRUDIN</t>
  </si>
  <si>
    <t>SUPRIYANTO</t>
  </si>
  <si>
    <t>ANDIKA PUTRA</t>
  </si>
  <si>
    <t>ANDI ERDIJANTO</t>
  </si>
  <si>
    <t>ROSULIN</t>
  </si>
  <si>
    <t>HALIKO</t>
  </si>
  <si>
    <t>BANGKIT SUDRAJAT</t>
  </si>
  <si>
    <t>ARIF HARTONO</t>
  </si>
  <si>
    <t>DIKY P.A.</t>
  </si>
  <si>
    <t>EKO FAJARIANTO</t>
  </si>
  <si>
    <t>HAMDI YAZID</t>
  </si>
  <si>
    <t>JOKO WALUYO</t>
  </si>
  <si>
    <t>DENY ARIO BIMO</t>
  </si>
  <si>
    <t>ANCA AUGUS I</t>
  </si>
  <si>
    <t>RURI DORES A.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</si>
  <si>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</si>
  <si>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</si>
  <si>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</si>
  <si>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</si>
  <si>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</si>
  <si>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</si>
  <si>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</si>
  <si>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</si>
  <si>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</si>
  <si>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</si>
  <si>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</si>
  <si>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</si>
  <si>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L13</t>
  </si>
  <si>
    <t>L14</t>
  </si>
  <si>
    <t>L15</t>
  </si>
  <si>
    <t>SETIYONO</t>
  </si>
  <si>
    <t>AFRIYONI</t>
  </si>
  <si>
    <t>YUSTIKA IRAWAN</t>
  </si>
  <si>
    <t>ADITYA WISNU</t>
  </si>
  <si>
    <t>ZUNAIDI ABDU</t>
  </si>
  <si>
    <t>K27</t>
  </si>
  <si>
    <t>K28</t>
  </si>
  <si>
    <t>K29</t>
  </si>
  <si>
    <t>K30</t>
  </si>
  <si>
    <t>K31</t>
  </si>
  <si>
    <t>BASUKI</t>
  </si>
  <si>
    <t>YOS HEFRYANDI</t>
  </si>
  <si>
    <t>ARIEF POERNAMA</t>
  </si>
  <si>
    <t>RISKA HERY</t>
  </si>
  <si>
    <t>I MADE ADI PUTERA</t>
  </si>
  <si>
    <t>XXXL</t>
  </si>
  <si>
    <t>L16</t>
  </si>
  <si>
    <t>L17</t>
  </si>
  <si>
    <t>L18</t>
  </si>
  <si>
    <t>L19</t>
  </si>
  <si>
    <t>L20</t>
  </si>
  <si>
    <t>K32</t>
  </si>
  <si>
    <t>TAUFIK BUDI HARTO</t>
  </si>
  <si>
    <t>K33</t>
  </si>
  <si>
    <t>ARINTO MCM</t>
  </si>
  <si>
    <t>24</t>
  </si>
  <si>
    <t>17</t>
  </si>
  <si>
    <t>27</t>
  </si>
  <si>
    <t>26</t>
  </si>
  <si>
    <t>70</t>
  </si>
  <si>
    <t>38</t>
  </si>
  <si>
    <t>25</t>
  </si>
  <si>
    <t>20</t>
  </si>
  <si>
    <t>95</t>
  </si>
  <si>
    <t>VIKY IRFANI</t>
  </si>
  <si>
    <t>HENDRA HANAWIJAYA</t>
  </si>
  <si>
    <t>43</t>
  </si>
  <si>
    <t>19</t>
  </si>
  <si>
    <t>29</t>
  </si>
  <si>
    <t>68</t>
  </si>
  <si>
    <t>94</t>
  </si>
  <si>
    <t>110</t>
  </si>
  <si>
    <t>35</t>
  </si>
  <si>
    <t>42</t>
  </si>
  <si>
    <t>39</t>
  </si>
  <si>
    <t>84</t>
  </si>
  <si>
    <t>98</t>
  </si>
  <si>
    <t>64</t>
  </si>
  <si>
    <t>32</t>
  </si>
  <si>
    <t>L21</t>
  </si>
  <si>
    <t>L22</t>
  </si>
  <si>
    <t>AGUNG TRIANDANA</t>
  </si>
  <si>
    <t>WINANGSIT PRIYA</t>
  </si>
  <si>
    <t>ARIA SUPRIATNA</t>
  </si>
  <si>
    <t>K34</t>
  </si>
  <si>
    <t>K35</t>
  </si>
  <si>
    <t>K36</t>
  </si>
  <si>
    <t>KET</t>
  </si>
  <si>
    <t>BAJU PDH</t>
  </si>
  <si>
    <t>CELANA</t>
  </si>
  <si>
    <t>BLACKNAVY</t>
  </si>
  <si>
    <t>HEM PUTIH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</si>
  <si>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</si>
  <si>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</si>
  <si>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</si>
  <si>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</si>
  <si>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</si>
  <si>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</si>
  <si>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</si>
  <si>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</si>
  <si>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</si>
  <si>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K37</t>
  </si>
  <si>
    <t>K38</t>
  </si>
  <si>
    <t>K39</t>
  </si>
  <si>
    <t>SURYA HIDAYAT</t>
  </si>
  <si>
    <t>K40</t>
  </si>
  <si>
    <t>SETIO SUWARNO</t>
  </si>
  <si>
    <t>ABDUL MALIK</t>
  </si>
  <si>
    <t>RAHMAD HIDAYAT</t>
  </si>
  <si>
    <t>PANJANG LENGAN</t>
  </si>
  <si>
    <t>L23</t>
  </si>
  <si>
    <t>TAMRIN ISMAIL</t>
  </si>
  <si>
    <t>23</t>
  </si>
  <si>
    <t>16</t>
  </si>
  <si>
    <t>76</t>
  </si>
  <si>
    <t>91</t>
  </si>
  <si>
    <t>67</t>
  </si>
  <si>
    <t>30</t>
  </si>
  <si>
    <t>90</t>
  </si>
  <si>
    <t>SRIYANTO</t>
  </si>
  <si>
    <t>THOMAS RUDI</t>
  </si>
  <si>
    <t>BAMBANG TRI PUTRANTO</t>
  </si>
  <si>
    <t>EKO BUDI UTOMO</t>
  </si>
  <si>
    <t>46</t>
  </si>
  <si>
    <t>45</t>
  </si>
  <si>
    <t>31</t>
  </si>
  <si>
    <t>69</t>
  </si>
  <si>
    <t>100</t>
  </si>
  <si>
    <t>114</t>
  </si>
  <si>
    <t>21</t>
  </si>
  <si>
    <t>18</t>
  </si>
  <si>
    <t>28</t>
  </si>
  <si>
    <t>92</t>
  </si>
  <si>
    <t>104</t>
  </si>
  <si>
    <t>34</t>
  </si>
  <si>
    <t>ARFIN FEBRIYANTO</t>
  </si>
  <si>
    <t>89</t>
  </si>
  <si>
    <t>103</t>
  </si>
  <si>
    <t>33</t>
  </si>
  <si>
    <t>101</t>
  </si>
  <si>
    <t>47</t>
  </si>
  <si>
    <t>112</t>
  </si>
  <si>
    <t>73</t>
  </si>
  <si>
    <t>88</t>
  </si>
  <si>
    <t>65</t>
  </si>
  <si>
    <t>L24</t>
  </si>
  <si>
    <t>L25</t>
  </si>
  <si>
    <t>L26</t>
  </si>
  <si>
    <t>L27</t>
  </si>
  <si>
    <t>L28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</si>
  <si>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</si>
  <si>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</si>
  <si>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</si>
  <si>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</si>
  <si>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</si>
  <si>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</si>
  <si>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</si>
  <si>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</si>
  <si>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</si>
  <si>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ACHMAD MAULANA</t>
  </si>
  <si>
    <t>BN_CETAK</t>
  </si>
  <si>
    <t>STREP</t>
  </si>
  <si>
    <t>STREP 4</t>
  </si>
  <si>
    <t>UB_9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</si>
</sst>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2"/>
      <color theme="1"/>
      <name val="Arial"/>
      <family val="2"/>
    </font>
    <font>
      <sz val="8"/>
      <name val="Arial"/>
      <family val="2"/>
      <charset val="1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  <charset val="1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0" borderId="0">
      <alignment vertical="center"/>
    </xf>
    <xf numFmtId="0" fontId="8" fillId="0" borderId="0"/>
    <xf numFmtId="0" fontId="16" fillId="0" borderId="0"/>
    <xf numFmtId="0" fontId="17" fillId="0" borderId="0"/>
    <xf numFmtId="0" fontId="14" fillId="7" borderId="0"/>
    <xf numFmtId="0" fontId="11" fillId="5" borderId="0"/>
    <xf numFmtId="0" fontId="19" fillId="8" borderId="0"/>
    <xf numFmtId="0" fontId="20" fillId="8" borderId="2"/>
    <xf numFmtId="0" fontId="9" fillId="0" borderId="0"/>
    <xf numFmtId="0" fontId="10" fillId="2" borderId="0"/>
    <xf numFmtId="0" fontId="10" fillId="3" borderId="0"/>
    <xf numFmtId="0" fontId="9" fillId="4" borderId="0"/>
    <xf numFmtId="0" fontId="12" fillId="6" borderId="0"/>
    <xf numFmtId="0" fontId="13" fillId="0" borderId="0"/>
    <xf numFmtId="0" fontId="15" fillId="0" borderId="0"/>
    <xf numFmtId="0" fontId="18" fillId="0" borderId="0"/>
    <xf numFmtId="0" fontId="8" fillId="0" borderId="0"/>
    <xf numFmtId="0" fontId="8" fillId="0" borderId="0"/>
    <xf numFmtId="0" fontId="11" fillId="0" borderId="0"/>
  </cellStyleXfs>
  <cellXfs count="78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1" fillId="0" borderId="0" xfId="2" applyFont="1"/>
    <xf numFmtId="0" fontId="21" fillId="0" borderId="0" xfId="2" applyFont="1" applyAlignment="1">
      <alignment horizontal="center"/>
    </xf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2" applyFont="1" applyBorder="1" applyAlignment="1">
      <alignment vertical="center"/>
    </xf>
    <xf numFmtId="0" fontId="21" fillId="0" borderId="3" xfId="2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1" fillId="0" borderId="0" xfId="2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49" fontId="21" fillId="0" borderId="0" xfId="2" applyNumberFormat="1" applyFont="1" applyBorder="1" applyAlignment="1">
      <alignment horizontal="center" vertical="center"/>
    </xf>
    <xf numFmtId="49" fontId="21" fillId="0" borderId="3" xfId="2" applyNumberFormat="1" applyFont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center" wrapText="1"/>
    </xf>
    <xf numFmtId="49" fontId="23" fillId="0" borderId="4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vertical="center" wrapText="1"/>
    </xf>
    <xf numFmtId="49" fontId="25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25" fillId="0" borderId="1" xfId="0" applyNumberFormat="1" applyFont="1" applyBorder="1" applyAlignment="1">
      <alignment horizontal="left" vertical="center"/>
    </xf>
    <xf numFmtId="0" fontId="2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21" fillId="0" borderId="1" xfId="2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vertical="center" wrapText="1"/>
    </xf>
    <xf numFmtId="0" fontId="2" fillId="0" borderId="0" xfId="0" applyNumberFormat="1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 wrapText="1"/>
    </xf>
    <xf numFmtId="49" fontId="23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49" fontId="28" fillId="0" borderId="3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49" fontId="23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49" fontId="23" fillId="0" borderId="4" xfId="0" applyNumberFormat="1" applyFont="1" applyBorder="1" applyAlignment="1">
      <alignment horizontal="center" vertical="center"/>
    </xf>
  </cellXfs>
  <cellStyles count="20">
    <cellStyle name="Accent" xfId="9" xr:uid="{2F05886C-ECEE-43AB-A1DD-7A281886244B}"/>
    <cellStyle name="Accent 1" xfId="10" xr:uid="{28F4C6E5-5008-4924-ADF5-F0832176DA5E}"/>
    <cellStyle name="Accent 2" xfId="11" xr:uid="{C433E07E-D478-4067-ADAD-24094874BE6F}"/>
    <cellStyle name="Accent 3" xfId="12" xr:uid="{F738DC5E-6C77-4764-900D-A50393BE71AF}"/>
    <cellStyle name="Bad 2" xfId="6" xr:uid="{6CAD3046-6069-4103-AB37-798181E9718D}"/>
    <cellStyle name="Error" xfId="13" xr:uid="{C7DEDD81-A049-4565-8D2C-5A52B9A788D2}"/>
    <cellStyle name="Footnote" xfId="14" xr:uid="{594E7D2E-03B4-4E2F-95F6-5FDADBEA5157}"/>
    <cellStyle name="Good 2" xfId="5" xr:uid="{06CA948C-56AE-45A4-8895-1EE089F262FB}"/>
    <cellStyle name="Heading" xfId="15" xr:uid="{05D9D98E-2050-4CE1-9B7F-D0BBEC852499}"/>
    <cellStyle name="Heading 1 2" xfId="3" xr:uid="{BAF7C591-6C43-448D-8468-E946DDD63818}"/>
    <cellStyle name="Heading 2 2" xfId="4" xr:uid="{226F5D22-9A80-4C27-8DEF-4C476AA152F9}"/>
    <cellStyle name="Hyperlink" xfId="16" xr:uid="{6078ACE1-83CE-47E8-9963-00794A64C8C6}"/>
    <cellStyle name="Neutral 2" xfId="7" xr:uid="{0F15539A-1E5C-44F7-ADC3-1EC150FD6D7E}"/>
    <cellStyle name="Normal" xfId="0" builtinId="0"/>
    <cellStyle name="Normal 2" xfId="1" xr:uid="{00000000-0005-0000-0000-000006000000}"/>
    <cellStyle name="Normal 3" xfId="2" xr:uid="{FF714B4E-5938-40C6-8306-B52522CDFCAA}"/>
    <cellStyle name="Note 2" xfId="8" xr:uid="{CBB99AA9-90AB-4B4C-938F-719ACB52A836}"/>
    <cellStyle name="Status" xfId="17" xr:uid="{5827694B-454E-4232-9B56-C422C6B329C1}"/>
    <cellStyle name="Text" xfId="18" xr:uid="{5756F93A-DE40-4012-9E7E-1CF96EFC50BF}"/>
    <cellStyle name="Warning" xfId="19" xr:uid="{4A2BFCAC-081F-4B3B-95B0-4FDD4D916DA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0AD47"/>
  </sheetPr>
  <dimension ref="A1:AMB119"/>
  <sheetViews>
    <sheetView zoomScale="69" zoomScaleNormal="85" workbookViewId="0">
      <pane ySplit="1" topLeftCell="A56" activePane="bottomLeft" state="frozen"/>
      <selection pane="bottomLeft" activeCell="B69" sqref="B69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5" width="8" style="1" customWidth="1"/>
    <col min="6" max="6" width="7.28515625" style="1" customWidth="1"/>
    <col min="7" max="7" width="9.140625" style="1" customWidth="1"/>
    <col min="8" max="8" width="9.140625" style="3" customWidth="1"/>
    <col min="9" max="23" width="7.85546875" style="3" customWidth="1"/>
    <col min="24" max="24" width="6.7109375" style="1" customWidth="1"/>
    <col min="25" max="33" width="7.85546875" style="2" bestFit="1" customWidth="1"/>
    <col min="34" max="1015" width="8.85546875" style="2"/>
    <col min="1016" max="1016" width="8.855468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260</v>
      </c>
      <c r="F1" s="5" t="s">
        <v>4</v>
      </c>
      <c r="G1" s="5" t="s">
        <v>6</v>
      </c>
      <c r="H1" s="5" t="s">
        <v>5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68" t="s">
        <v>22</v>
      </c>
      <c r="Z1" s="68" t="s">
        <v>23</v>
      </c>
      <c r="AA1" s="68" t="s">
        <v>24</v>
      </c>
      <c r="AB1" s="68" t="s">
        <v>25</v>
      </c>
      <c r="AC1" s="68" t="s">
        <v>26</v>
      </c>
      <c r="AD1" s="68" t="s">
        <v>27</v>
      </c>
      <c r="AE1" s="68" t="s">
        <v>28</v>
      </c>
      <c r="AF1" s="68" t="s">
        <v>29</v>
      </c>
      <c r="AG1" s="68" t="s">
        <v>30</v>
      </c>
      <c r="AH1" s="3" t="s">
        <v>249</v>
      </c>
      <c r="AI1" s="3" t="s">
        <v>250</v>
      </c>
      <c r="AJ1" s="3" t="s">
        <v>251</v>
      </c>
      <c r="AK1" s="3" t="s">
        <v>252</v>
      </c>
      <c r="AL1" s="3" t="s">
        <v>253</v>
      </c>
      <c r="AM1" s="3" t="s">
        <v>254</v>
      </c>
      <c r="AN1" s="3" t="s">
        <v>255</v>
      </c>
      <c r="AO1" s="3" t="s">
        <v>256</v>
      </c>
      <c r="AP1" s="3" t="s">
        <v>257</v>
      </c>
      <c r="AQ1" s="3" t="s">
        <v>259</v>
      </c>
    </row>
    <row r="2" spans="1:43" ht="28.15" customHeight="1">
      <c r="A2" s="19" t="s">
        <v>63</v>
      </c>
      <c r="B2" s="19" t="s">
        <v>45</v>
      </c>
      <c r="C2" s="20" t="s">
        <v>46</v>
      </c>
      <c r="D2" s="20" t="s">
        <v>32</v>
      </c>
      <c r="E2" s="20" t="s">
        <v>261</v>
      </c>
      <c r="F2" s="20">
        <v>40</v>
      </c>
      <c r="G2" s="20" t="s">
        <v>34</v>
      </c>
      <c r="H2" s="20">
        <v>55</v>
      </c>
      <c r="I2" s="33">
        <v>43</v>
      </c>
      <c r="J2" s="33">
        <v>23</v>
      </c>
      <c r="K2" s="33">
        <v>19</v>
      </c>
      <c r="L2" s="33">
        <v>29</v>
      </c>
      <c r="M2" s="33">
        <v>28</v>
      </c>
      <c r="N2" s="33">
        <v>69</v>
      </c>
      <c r="O2" s="33">
        <v>69</v>
      </c>
      <c r="P2" s="33">
        <v>40</v>
      </c>
      <c r="Q2" s="33">
        <v>93</v>
      </c>
      <c r="R2" s="33">
        <v>110</v>
      </c>
      <c r="S2" s="33">
        <v>72</v>
      </c>
      <c r="T2" s="33">
        <v>35</v>
      </c>
      <c r="U2" s="33">
        <v>26</v>
      </c>
      <c r="V2" s="33">
        <v>21</v>
      </c>
      <c r="W2" s="33">
        <v>97</v>
      </c>
      <c r="X2" s="11"/>
      <c r="Y2" s="3">
        <v>47</v>
      </c>
      <c r="Z2" s="3">
        <v>60</v>
      </c>
      <c r="AA2" s="3">
        <v>20</v>
      </c>
      <c r="AB2" s="3">
        <v>15</v>
      </c>
      <c r="AC2" s="3">
        <v>106</v>
      </c>
      <c r="AD2" s="3">
        <v>101</v>
      </c>
      <c r="AE2" s="3">
        <v>114</v>
      </c>
      <c r="AF2" s="3">
        <v>70</v>
      </c>
      <c r="AG2" s="3">
        <v>40</v>
      </c>
      <c r="AH2" s="3">
        <v>43</v>
      </c>
      <c r="AI2" s="3">
        <v>60</v>
      </c>
      <c r="AJ2" s="3">
        <v>19</v>
      </c>
      <c r="AK2" s="3">
        <v>13</v>
      </c>
      <c r="AL2" s="3">
        <v>29</v>
      </c>
      <c r="AM2" s="3">
        <v>28</v>
      </c>
      <c r="AN2" s="3">
        <v>29</v>
      </c>
      <c r="AO2" s="3">
        <v>69</v>
      </c>
      <c r="AP2" s="3">
        <v>40</v>
      </c>
      <c r="AQ2" s="3">
        <v>1</v>
      </c>
    </row>
    <row r="3" spans="1:43" ht="28.15" customHeight="1">
      <c r="A3" s="19" t="s">
        <v>64</v>
      </c>
      <c r="B3" s="19" t="s">
        <v>47</v>
      </c>
      <c r="C3" s="20" t="s">
        <v>46</v>
      </c>
      <c r="D3" s="20" t="s">
        <v>32</v>
      </c>
      <c r="E3" s="20" t="s">
        <v>261</v>
      </c>
      <c r="F3" s="20">
        <v>42</v>
      </c>
      <c r="G3" s="20" t="s">
        <v>33</v>
      </c>
      <c r="H3" s="20">
        <v>57</v>
      </c>
      <c r="I3" s="33">
        <v>45</v>
      </c>
      <c r="J3" s="33">
        <v>26</v>
      </c>
      <c r="K3" s="33">
        <v>19</v>
      </c>
      <c r="L3" s="33">
        <v>31</v>
      </c>
      <c r="M3" s="33">
        <v>29</v>
      </c>
      <c r="N3" s="33">
        <v>31</v>
      </c>
      <c r="O3" s="33">
        <v>72</v>
      </c>
      <c r="P3" s="33">
        <v>42</v>
      </c>
      <c r="Q3" s="33">
        <v>100</v>
      </c>
      <c r="R3" s="33">
        <v>117</v>
      </c>
      <c r="S3" s="33">
        <v>76</v>
      </c>
      <c r="T3" s="33">
        <v>36</v>
      </c>
      <c r="U3" s="33">
        <v>27</v>
      </c>
      <c r="V3" s="33">
        <v>22</v>
      </c>
      <c r="W3" s="33">
        <v>102</v>
      </c>
      <c r="X3" s="7"/>
      <c r="Y3" s="3">
        <v>48</v>
      </c>
      <c r="Z3" s="3">
        <v>65</v>
      </c>
      <c r="AA3" s="3">
        <v>21</v>
      </c>
      <c r="AB3" s="3">
        <v>15</v>
      </c>
      <c r="AC3" s="3">
        <v>115</v>
      </c>
      <c r="AD3" s="3">
        <v>110</v>
      </c>
      <c r="AE3" s="3">
        <v>120</v>
      </c>
      <c r="AF3" s="3">
        <v>73</v>
      </c>
      <c r="AG3" s="3">
        <v>42</v>
      </c>
      <c r="AH3" s="3">
        <v>45</v>
      </c>
      <c r="AI3" s="3">
        <v>65</v>
      </c>
      <c r="AJ3" s="3">
        <v>20</v>
      </c>
      <c r="AK3" s="3">
        <v>13</v>
      </c>
      <c r="AL3" s="3">
        <v>31</v>
      </c>
      <c r="AM3" s="3">
        <v>28</v>
      </c>
      <c r="AN3" s="3">
        <v>31</v>
      </c>
      <c r="AO3" s="3">
        <v>72</v>
      </c>
      <c r="AP3" s="3">
        <v>42</v>
      </c>
      <c r="AQ3" s="3">
        <v>1</v>
      </c>
    </row>
    <row r="4" spans="1:43" ht="28.15" customHeight="1">
      <c r="A4" s="19" t="s">
        <v>65</v>
      </c>
      <c r="B4" s="19" t="s">
        <v>48</v>
      </c>
      <c r="C4" s="20" t="s">
        <v>46</v>
      </c>
      <c r="D4" s="20" t="s">
        <v>32</v>
      </c>
      <c r="E4" s="20" t="s">
        <v>261</v>
      </c>
      <c r="F4" s="20">
        <v>42</v>
      </c>
      <c r="G4" s="20" t="s">
        <v>33</v>
      </c>
      <c r="H4" s="20">
        <v>56</v>
      </c>
      <c r="I4" s="33">
        <v>45</v>
      </c>
      <c r="J4" s="33">
        <v>25</v>
      </c>
      <c r="K4" s="33">
        <v>18</v>
      </c>
      <c r="L4" s="33">
        <v>29</v>
      </c>
      <c r="M4" s="33">
        <v>27</v>
      </c>
      <c r="N4" s="33">
        <v>29</v>
      </c>
      <c r="O4" s="33">
        <v>72</v>
      </c>
      <c r="P4" s="33">
        <v>42</v>
      </c>
      <c r="Q4" s="33">
        <v>93</v>
      </c>
      <c r="R4" s="33">
        <v>111</v>
      </c>
      <c r="S4" s="33">
        <v>71</v>
      </c>
      <c r="T4" s="33">
        <v>35</v>
      </c>
      <c r="U4" s="33">
        <v>27</v>
      </c>
      <c r="V4" s="33">
        <v>21</v>
      </c>
      <c r="W4" s="33">
        <v>98</v>
      </c>
      <c r="X4" s="7"/>
      <c r="Y4" s="3">
        <v>47</v>
      </c>
      <c r="Z4" s="3">
        <v>61</v>
      </c>
      <c r="AA4" s="3">
        <v>20</v>
      </c>
      <c r="AB4" s="3">
        <v>15</v>
      </c>
      <c r="AC4" s="3">
        <v>108</v>
      </c>
      <c r="AD4" s="3">
        <v>102</v>
      </c>
      <c r="AE4" s="3">
        <v>115</v>
      </c>
      <c r="AF4" s="3">
        <v>73</v>
      </c>
      <c r="AG4" s="3">
        <v>42</v>
      </c>
      <c r="AH4" s="3">
        <v>45</v>
      </c>
      <c r="AI4" s="3">
        <v>61</v>
      </c>
      <c r="AJ4" s="3">
        <v>19</v>
      </c>
      <c r="AK4" s="3">
        <v>13</v>
      </c>
      <c r="AL4" s="3">
        <v>29</v>
      </c>
      <c r="AM4" s="3">
        <v>27</v>
      </c>
      <c r="AN4" s="3">
        <v>29</v>
      </c>
      <c r="AO4" s="3">
        <v>72</v>
      </c>
      <c r="AP4" s="3">
        <v>42</v>
      </c>
      <c r="AQ4" s="3">
        <v>1</v>
      </c>
    </row>
    <row r="5" spans="1:43" ht="28.15" customHeight="1">
      <c r="A5" s="19" t="s">
        <v>66</v>
      </c>
      <c r="B5" s="19" t="s">
        <v>49</v>
      </c>
      <c r="C5" s="20" t="s">
        <v>46</v>
      </c>
      <c r="D5" s="20" t="s">
        <v>32</v>
      </c>
      <c r="E5" s="20" t="s">
        <v>261</v>
      </c>
      <c r="F5" s="20">
        <v>43</v>
      </c>
      <c r="G5" s="20" t="s">
        <v>35</v>
      </c>
      <c r="H5" s="20">
        <v>57</v>
      </c>
      <c r="I5" s="33">
        <v>49</v>
      </c>
      <c r="J5" s="33">
        <v>26</v>
      </c>
      <c r="K5" s="33">
        <v>21</v>
      </c>
      <c r="L5" s="33">
        <v>33</v>
      </c>
      <c r="M5" s="33">
        <v>32</v>
      </c>
      <c r="N5" s="33">
        <v>33</v>
      </c>
      <c r="O5" s="33">
        <v>76</v>
      </c>
      <c r="P5" s="33">
        <v>45</v>
      </c>
      <c r="Q5" s="33">
        <v>117</v>
      </c>
      <c r="R5" s="33">
        <v>126</v>
      </c>
      <c r="S5" s="33">
        <v>76</v>
      </c>
      <c r="T5" s="33">
        <v>39</v>
      </c>
      <c r="U5" s="33">
        <v>28</v>
      </c>
      <c r="V5" s="33">
        <v>23</v>
      </c>
      <c r="W5" s="33">
        <v>99</v>
      </c>
      <c r="X5" s="7"/>
      <c r="Y5" s="3">
        <v>52</v>
      </c>
      <c r="Z5" s="3">
        <v>61</v>
      </c>
      <c r="AA5" s="3">
        <v>22</v>
      </c>
      <c r="AB5" s="3">
        <v>16</v>
      </c>
      <c r="AC5" s="3">
        <v>130</v>
      </c>
      <c r="AD5" s="3">
        <v>125</v>
      </c>
      <c r="AE5" s="3">
        <v>132</v>
      </c>
      <c r="AF5" s="3">
        <v>77</v>
      </c>
      <c r="AG5" s="3">
        <v>45</v>
      </c>
      <c r="AH5" s="3">
        <v>49</v>
      </c>
      <c r="AI5" s="3">
        <v>61</v>
      </c>
      <c r="AJ5" s="3">
        <v>21</v>
      </c>
      <c r="AK5" s="3">
        <v>13</v>
      </c>
      <c r="AL5" s="3">
        <v>33</v>
      </c>
      <c r="AM5" s="3">
        <v>32</v>
      </c>
      <c r="AN5" s="3">
        <v>33</v>
      </c>
      <c r="AO5" s="3">
        <v>76</v>
      </c>
      <c r="AP5" s="3">
        <v>45</v>
      </c>
      <c r="AQ5" s="3">
        <v>1</v>
      </c>
    </row>
    <row r="6" spans="1:43" ht="28.15" customHeight="1">
      <c r="A6" s="19" t="s">
        <v>67</v>
      </c>
      <c r="B6" s="19" t="s">
        <v>50</v>
      </c>
      <c r="C6" s="20" t="s">
        <v>46</v>
      </c>
      <c r="D6" s="20" t="s">
        <v>32</v>
      </c>
      <c r="E6" s="20" t="s">
        <v>261</v>
      </c>
      <c r="F6" s="20">
        <v>40</v>
      </c>
      <c r="G6" s="20" t="s">
        <v>35</v>
      </c>
      <c r="H6" s="20">
        <v>55</v>
      </c>
      <c r="I6" s="33">
        <v>47</v>
      </c>
      <c r="J6" s="33">
        <v>26</v>
      </c>
      <c r="K6" s="33">
        <v>20</v>
      </c>
      <c r="L6" s="33">
        <v>32</v>
      </c>
      <c r="M6" s="33">
        <v>31</v>
      </c>
      <c r="N6" s="33">
        <v>32</v>
      </c>
      <c r="O6" s="33">
        <v>71</v>
      </c>
      <c r="P6" s="33">
        <v>44</v>
      </c>
      <c r="Q6" s="33">
        <v>109</v>
      </c>
      <c r="R6" s="33">
        <v>120</v>
      </c>
      <c r="S6" s="33">
        <v>75</v>
      </c>
      <c r="T6" s="33">
        <v>38</v>
      </c>
      <c r="U6" s="33">
        <v>28</v>
      </c>
      <c r="V6" s="33">
        <v>22</v>
      </c>
      <c r="W6" s="33">
        <v>95</v>
      </c>
      <c r="X6" s="7"/>
      <c r="Y6" s="3">
        <v>50</v>
      </c>
      <c r="Z6" s="3">
        <v>64</v>
      </c>
      <c r="AA6" s="3">
        <v>21</v>
      </c>
      <c r="AB6" s="3">
        <v>16</v>
      </c>
      <c r="AC6" s="3">
        <v>120</v>
      </c>
      <c r="AD6" s="3">
        <v>116</v>
      </c>
      <c r="AE6" s="3">
        <v>126</v>
      </c>
      <c r="AF6" s="3">
        <v>72</v>
      </c>
      <c r="AG6" s="3">
        <v>44</v>
      </c>
      <c r="AH6" s="3">
        <v>47</v>
      </c>
      <c r="AI6" s="3">
        <v>64</v>
      </c>
      <c r="AJ6" s="3">
        <v>20</v>
      </c>
      <c r="AK6" s="3">
        <v>13</v>
      </c>
      <c r="AL6" s="3">
        <v>32</v>
      </c>
      <c r="AM6" s="3">
        <v>31</v>
      </c>
      <c r="AN6" s="3">
        <v>32</v>
      </c>
      <c r="AO6" s="3">
        <v>74</v>
      </c>
      <c r="AP6" s="3">
        <v>44</v>
      </c>
      <c r="AQ6" s="3">
        <v>1</v>
      </c>
    </row>
    <row r="7" spans="1:43" ht="28.15" customHeight="1">
      <c r="A7" s="19" t="s">
        <v>68</v>
      </c>
      <c r="B7" s="19" t="s">
        <v>258</v>
      </c>
      <c r="C7" s="20" t="s">
        <v>46</v>
      </c>
      <c r="D7" s="20" t="s">
        <v>32</v>
      </c>
      <c r="E7" s="20" t="s">
        <v>261</v>
      </c>
      <c r="F7" s="20">
        <v>40</v>
      </c>
      <c r="G7" s="20" t="s">
        <v>36</v>
      </c>
      <c r="H7" s="20">
        <v>57</v>
      </c>
      <c r="I7" s="33">
        <v>42</v>
      </c>
      <c r="J7" s="33">
        <v>23</v>
      </c>
      <c r="K7" s="33">
        <v>18</v>
      </c>
      <c r="L7" s="33">
        <v>28</v>
      </c>
      <c r="M7" s="33">
        <v>26</v>
      </c>
      <c r="N7" s="33">
        <v>28</v>
      </c>
      <c r="O7" s="33">
        <v>69</v>
      </c>
      <c r="P7" s="33">
        <v>40</v>
      </c>
      <c r="Q7" s="33">
        <v>91</v>
      </c>
      <c r="R7" s="33">
        <v>110</v>
      </c>
      <c r="S7" s="33">
        <v>69</v>
      </c>
      <c r="T7" s="33">
        <v>34</v>
      </c>
      <c r="U7" s="33">
        <v>26</v>
      </c>
      <c r="V7" s="33">
        <v>20</v>
      </c>
      <c r="W7" s="33">
        <v>95</v>
      </c>
      <c r="X7" s="7"/>
      <c r="Y7" s="3">
        <v>46</v>
      </c>
      <c r="Z7" s="3">
        <v>53</v>
      </c>
      <c r="AA7" s="3">
        <v>19</v>
      </c>
      <c r="AB7" s="3">
        <v>14</v>
      </c>
      <c r="AC7" s="3">
        <v>105</v>
      </c>
      <c r="AD7" s="3">
        <v>100</v>
      </c>
      <c r="AE7" s="3">
        <v>115</v>
      </c>
      <c r="AF7" s="3">
        <v>70</v>
      </c>
      <c r="AG7" s="3">
        <v>40</v>
      </c>
      <c r="AH7" s="3">
        <v>42</v>
      </c>
      <c r="AI7" s="3">
        <v>53</v>
      </c>
      <c r="AJ7" s="3">
        <v>18</v>
      </c>
      <c r="AK7" s="3">
        <v>13</v>
      </c>
      <c r="AL7" s="3">
        <v>28</v>
      </c>
      <c r="AM7" s="3">
        <v>26</v>
      </c>
      <c r="AN7" s="3">
        <v>28</v>
      </c>
      <c r="AO7" s="3">
        <v>69</v>
      </c>
      <c r="AP7" s="3">
        <v>40</v>
      </c>
      <c r="AQ7" s="3">
        <v>1</v>
      </c>
    </row>
    <row r="8" spans="1:43" ht="28.15" customHeight="1">
      <c r="A8" s="19" t="s">
        <v>69</v>
      </c>
      <c r="B8" s="19" t="s">
        <v>52</v>
      </c>
      <c r="C8" s="20" t="s">
        <v>46</v>
      </c>
      <c r="D8" s="20" t="s">
        <v>32</v>
      </c>
      <c r="E8" s="20" t="s">
        <v>261</v>
      </c>
      <c r="F8" s="20">
        <v>42</v>
      </c>
      <c r="G8" s="20" t="s">
        <v>33</v>
      </c>
      <c r="H8" s="20">
        <v>56</v>
      </c>
      <c r="I8" s="33">
        <v>45</v>
      </c>
      <c r="J8" s="33">
        <v>25</v>
      </c>
      <c r="K8" s="33">
        <v>19</v>
      </c>
      <c r="L8" s="33">
        <v>31</v>
      </c>
      <c r="M8" s="33">
        <v>29</v>
      </c>
      <c r="N8" s="33">
        <v>31</v>
      </c>
      <c r="O8" s="33">
        <v>73</v>
      </c>
      <c r="P8" s="33">
        <v>41</v>
      </c>
      <c r="Q8" s="33">
        <v>100</v>
      </c>
      <c r="R8" s="33">
        <v>118</v>
      </c>
      <c r="S8" s="33">
        <v>68</v>
      </c>
      <c r="T8" s="33">
        <v>36</v>
      </c>
      <c r="U8" s="33">
        <v>27</v>
      </c>
      <c r="V8" s="33">
        <v>22</v>
      </c>
      <c r="W8" s="33">
        <v>98</v>
      </c>
      <c r="X8" s="7"/>
      <c r="Y8" s="3">
        <v>48</v>
      </c>
      <c r="Z8" s="3">
        <v>59</v>
      </c>
      <c r="AA8" s="3">
        <v>20</v>
      </c>
      <c r="AB8" s="3">
        <v>15</v>
      </c>
      <c r="AC8" s="3">
        <v>116</v>
      </c>
      <c r="AD8" s="3">
        <v>108</v>
      </c>
      <c r="AE8" s="3">
        <v>121</v>
      </c>
      <c r="AF8" s="3">
        <v>75</v>
      </c>
      <c r="AG8" s="3">
        <v>41</v>
      </c>
      <c r="AH8" s="3">
        <v>45</v>
      </c>
      <c r="AI8" s="3">
        <v>59</v>
      </c>
      <c r="AJ8" s="3">
        <v>19</v>
      </c>
      <c r="AK8" s="3">
        <v>13</v>
      </c>
      <c r="AL8" s="3">
        <v>31</v>
      </c>
      <c r="AM8" s="3">
        <v>29</v>
      </c>
      <c r="AN8" s="3">
        <v>31</v>
      </c>
      <c r="AO8" s="3">
        <v>74</v>
      </c>
      <c r="AP8" s="3">
        <v>41</v>
      </c>
      <c r="AQ8" s="3">
        <v>1</v>
      </c>
    </row>
    <row r="9" spans="1:43" ht="28.15" customHeight="1">
      <c r="A9" s="19" t="s">
        <v>70</v>
      </c>
      <c r="B9" s="19" t="s">
        <v>53</v>
      </c>
      <c r="C9" s="20" t="s">
        <v>46</v>
      </c>
      <c r="D9" s="20" t="s">
        <v>32</v>
      </c>
      <c r="E9" s="20" t="s">
        <v>261</v>
      </c>
      <c r="F9" s="20">
        <v>44</v>
      </c>
      <c r="G9" s="20" t="s">
        <v>35</v>
      </c>
      <c r="H9" s="20">
        <v>59</v>
      </c>
      <c r="I9" s="33">
        <v>50</v>
      </c>
      <c r="J9" s="33">
        <v>26</v>
      </c>
      <c r="K9" s="33">
        <v>20</v>
      </c>
      <c r="L9" s="33">
        <v>36</v>
      </c>
      <c r="M9" s="33">
        <v>36</v>
      </c>
      <c r="N9" s="33">
        <v>36</v>
      </c>
      <c r="O9" s="33">
        <v>74</v>
      </c>
      <c r="P9" s="33">
        <v>42</v>
      </c>
      <c r="Q9" s="33">
        <v>114</v>
      </c>
      <c r="R9" s="33">
        <v>126</v>
      </c>
      <c r="S9" s="33">
        <v>83</v>
      </c>
      <c r="T9" s="33">
        <v>39</v>
      </c>
      <c r="U9" s="33">
        <v>28</v>
      </c>
      <c r="V9" s="33">
        <v>22</v>
      </c>
      <c r="W9" s="33">
        <v>104</v>
      </c>
      <c r="X9" s="7"/>
      <c r="Y9" s="3">
        <v>52</v>
      </c>
      <c r="Z9" s="3">
        <v>65</v>
      </c>
      <c r="AA9" s="3">
        <v>22</v>
      </c>
      <c r="AB9" s="3">
        <v>16</v>
      </c>
      <c r="AC9" s="3">
        <v>128</v>
      </c>
      <c r="AD9" s="3">
        <v>122</v>
      </c>
      <c r="AE9" s="3">
        <v>132</v>
      </c>
      <c r="AF9" s="3">
        <v>75</v>
      </c>
      <c r="AG9" s="3">
        <v>42</v>
      </c>
      <c r="AH9" s="3">
        <v>50</v>
      </c>
      <c r="AI9" s="3">
        <v>62</v>
      </c>
      <c r="AJ9" s="3">
        <v>21</v>
      </c>
      <c r="AK9" s="3">
        <v>13</v>
      </c>
      <c r="AL9" s="3">
        <v>36</v>
      </c>
      <c r="AM9" s="3">
        <v>36</v>
      </c>
      <c r="AN9" s="3">
        <v>36</v>
      </c>
      <c r="AO9" s="3">
        <v>74</v>
      </c>
      <c r="AP9" s="3">
        <v>42</v>
      </c>
      <c r="AQ9" s="3">
        <v>1</v>
      </c>
    </row>
    <row r="10" spans="1:43" ht="28.15" customHeight="1">
      <c r="A10" s="19" t="s">
        <v>85</v>
      </c>
      <c r="B10" s="19" t="s">
        <v>80</v>
      </c>
      <c r="C10" s="20" t="s">
        <v>46</v>
      </c>
      <c r="D10" s="20" t="s">
        <v>32</v>
      </c>
      <c r="E10" s="20" t="s">
        <v>261</v>
      </c>
      <c r="F10" s="20">
        <v>41</v>
      </c>
      <c r="G10" s="20" t="s">
        <v>34</v>
      </c>
      <c r="H10" s="20">
        <v>54</v>
      </c>
      <c r="I10" s="33">
        <v>42</v>
      </c>
      <c r="J10" s="33">
        <v>24</v>
      </c>
      <c r="K10" s="33">
        <v>17</v>
      </c>
      <c r="L10" s="33">
        <v>27</v>
      </c>
      <c r="M10" s="33">
        <v>26</v>
      </c>
      <c r="N10" s="33">
        <v>27</v>
      </c>
      <c r="O10" s="33">
        <v>70</v>
      </c>
      <c r="P10" s="33">
        <v>38</v>
      </c>
      <c r="Q10" s="33">
        <v>88</v>
      </c>
      <c r="R10" s="33">
        <v>104</v>
      </c>
      <c r="S10" s="33">
        <v>67</v>
      </c>
      <c r="T10" s="33">
        <v>34</v>
      </c>
      <c r="U10" s="33">
        <v>27</v>
      </c>
      <c r="V10" s="33">
        <v>22</v>
      </c>
      <c r="W10" s="33">
        <v>100</v>
      </c>
      <c r="X10" s="7" t="s">
        <v>79</v>
      </c>
      <c r="Y10" s="3">
        <v>45</v>
      </c>
      <c r="Z10" s="3">
        <v>58</v>
      </c>
      <c r="AA10" s="3">
        <v>19</v>
      </c>
      <c r="AB10" s="3">
        <v>14</v>
      </c>
      <c r="AC10" s="3">
        <v>102</v>
      </c>
      <c r="AD10" s="3">
        <v>100</v>
      </c>
      <c r="AE10" s="3">
        <v>109</v>
      </c>
      <c r="AF10" s="3">
        <v>71</v>
      </c>
      <c r="AG10" s="3">
        <v>38</v>
      </c>
      <c r="AH10" s="3">
        <v>42</v>
      </c>
      <c r="AI10" s="3">
        <v>58</v>
      </c>
      <c r="AJ10" s="3">
        <v>18</v>
      </c>
      <c r="AK10" s="3">
        <v>13</v>
      </c>
      <c r="AL10" s="3">
        <v>27</v>
      </c>
      <c r="AM10" s="3">
        <v>26</v>
      </c>
      <c r="AN10" s="3">
        <v>27</v>
      </c>
      <c r="AO10" s="3">
        <v>70</v>
      </c>
      <c r="AP10" s="3">
        <v>39</v>
      </c>
      <c r="AQ10" s="3">
        <v>1</v>
      </c>
    </row>
    <row r="11" spans="1:43" ht="28.15" customHeight="1">
      <c r="A11" s="19" t="s">
        <v>86</v>
      </c>
      <c r="B11" s="19" t="s">
        <v>81</v>
      </c>
      <c r="C11" s="20" t="s">
        <v>46</v>
      </c>
      <c r="D11" s="20" t="s">
        <v>32</v>
      </c>
      <c r="E11" s="20" t="s">
        <v>261</v>
      </c>
      <c r="F11" s="20">
        <v>40</v>
      </c>
      <c r="G11" s="20" t="s">
        <v>33</v>
      </c>
      <c r="H11" s="20">
        <v>58</v>
      </c>
      <c r="I11" s="33">
        <v>46</v>
      </c>
      <c r="J11" s="33">
        <v>25</v>
      </c>
      <c r="K11" s="33">
        <v>20</v>
      </c>
      <c r="L11" s="33">
        <v>33</v>
      </c>
      <c r="M11" s="33">
        <v>31</v>
      </c>
      <c r="N11" s="33">
        <v>33</v>
      </c>
      <c r="O11" s="33">
        <v>70</v>
      </c>
      <c r="P11" s="33">
        <v>44</v>
      </c>
      <c r="Q11" s="33">
        <v>106</v>
      </c>
      <c r="R11" s="33">
        <v>118</v>
      </c>
      <c r="S11" s="33">
        <v>74</v>
      </c>
      <c r="T11" s="33">
        <v>36</v>
      </c>
      <c r="U11" s="33">
        <v>27</v>
      </c>
      <c r="V11" s="33">
        <v>21</v>
      </c>
      <c r="W11" s="33">
        <v>98</v>
      </c>
      <c r="X11" s="7" t="s">
        <v>79</v>
      </c>
      <c r="Y11" s="3">
        <v>49</v>
      </c>
      <c r="Z11" s="3">
        <v>56</v>
      </c>
      <c r="AA11" s="3">
        <v>21</v>
      </c>
      <c r="AB11" s="3">
        <v>16</v>
      </c>
      <c r="AC11" s="3">
        <v>118</v>
      </c>
      <c r="AD11" s="3">
        <v>115</v>
      </c>
      <c r="AE11" s="3">
        <v>124</v>
      </c>
      <c r="AF11" s="3">
        <v>71</v>
      </c>
      <c r="AG11" s="3">
        <v>44</v>
      </c>
      <c r="AH11" s="3">
        <v>46</v>
      </c>
      <c r="AI11" s="3">
        <v>56</v>
      </c>
      <c r="AJ11" s="3">
        <v>20</v>
      </c>
      <c r="AK11" s="3">
        <v>13</v>
      </c>
      <c r="AL11" s="3">
        <v>32</v>
      </c>
      <c r="AM11" s="3">
        <v>30</v>
      </c>
      <c r="AN11" s="3">
        <v>32</v>
      </c>
      <c r="AO11" s="3">
        <v>70</v>
      </c>
      <c r="AP11" s="3">
        <v>44</v>
      </c>
      <c r="AQ11" s="3">
        <v>1</v>
      </c>
    </row>
    <row r="12" spans="1:43" ht="28.15" customHeight="1">
      <c r="A12" s="19" t="s">
        <v>87</v>
      </c>
      <c r="B12" s="19" t="s">
        <v>82</v>
      </c>
      <c r="C12" s="20" t="s">
        <v>46</v>
      </c>
      <c r="D12" s="20" t="s">
        <v>32</v>
      </c>
      <c r="E12" s="20" t="s">
        <v>261</v>
      </c>
      <c r="F12" s="20">
        <v>43</v>
      </c>
      <c r="G12" s="20" t="s">
        <v>35</v>
      </c>
      <c r="H12" s="20">
        <v>58</v>
      </c>
      <c r="I12" s="33">
        <v>50</v>
      </c>
      <c r="J12" s="33">
        <v>25</v>
      </c>
      <c r="K12" s="33">
        <v>21</v>
      </c>
      <c r="L12" s="33">
        <v>35</v>
      </c>
      <c r="M12" s="33">
        <v>35</v>
      </c>
      <c r="N12" s="33">
        <v>35</v>
      </c>
      <c r="O12" s="33">
        <v>78</v>
      </c>
      <c r="P12" s="33">
        <v>48</v>
      </c>
      <c r="Q12" s="33">
        <v>124</v>
      </c>
      <c r="R12" s="33">
        <v>135</v>
      </c>
      <c r="S12" s="33">
        <v>75</v>
      </c>
      <c r="T12" s="33">
        <v>39</v>
      </c>
      <c r="U12" s="33">
        <v>30</v>
      </c>
      <c r="V12" s="33">
        <v>23</v>
      </c>
      <c r="W12" s="33">
        <v>97</v>
      </c>
      <c r="X12" s="7" t="s">
        <v>79</v>
      </c>
      <c r="Y12" s="3">
        <v>53</v>
      </c>
      <c r="Z12" s="3">
        <v>65</v>
      </c>
      <c r="AA12" s="3">
        <v>22</v>
      </c>
      <c r="AB12" s="3">
        <v>16</v>
      </c>
      <c r="AC12" s="3">
        <v>132</v>
      </c>
      <c r="AD12" s="3">
        <v>132</v>
      </c>
      <c r="AE12" s="3">
        <v>140</v>
      </c>
      <c r="AF12" s="3">
        <v>79</v>
      </c>
      <c r="AG12" s="3">
        <v>48</v>
      </c>
      <c r="AH12" s="3">
        <v>53</v>
      </c>
      <c r="AI12" s="3">
        <v>65</v>
      </c>
      <c r="AJ12" s="3">
        <v>21</v>
      </c>
      <c r="AK12" s="3">
        <v>13</v>
      </c>
      <c r="AL12" s="3">
        <v>35</v>
      </c>
      <c r="AM12" s="3">
        <v>35</v>
      </c>
      <c r="AN12" s="3">
        <v>36</v>
      </c>
      <c r="AO12" s="3">
        <v>78</v>
      </c>
      <c r="AP12" s="3">
        <v>48</v>
      </c>
      <c r="AQ12" s="3">
        <v>1</v>
      </c>
    </row>
    <row r="13" spans="1:43" ht="28.15" customHeight="1">
      <c r="A13" s="19" t="s">
        <v>88</v>
      </c>
      <c r="B13" s="19" t="s">
        <v>83</v>
      </c>
      <c r="C13" s="20" t="s">
        <v>46</v>
      </c>
      <c r="D13" s="20" t="s">
        <v>32</v>
      </c>
      <c r="E13" s="20" t="s">
        <v>261</v>
      </c>
      <c r="F13" s="20">
        <v>40</v>
      </c>
      <c r="G13" s="20" t="s">
        <v>34</v>
      </c>
      <c r="H13" s="20">
        <v>58</v>
      </c>
      <c r="I13" s="33">
        <v>45</v>
      </c>
      <c r="J13" s="33">
        <v>24</v>
      </c>
      <c r="K13" s="33">
        <v>18</v>
      </c>
      <c r="L13" s="33">
        <v>30</v>
      </c>
      <c r="M13" s="33">
        <v>28</v>
      </c>
      <c r="N13" s="33">
        <v>30</v>
      </c>
      <c r="O13" s="33">
        <v>74</v>
      </c>
      <c r="P13" s="33">
        <v>40</v>
      </c>
      <c r="Q13" s="33">
        <v>92</v>
      </c>
      <c r="R13" s="33">
        <v>110</v>
      </c>
      <c r="S13" s="33">
        <v>66</v>
      </c>
      <c r="T13" s="33">
        <v>35</v>
      </c>
      <c r="U13" s="33">
        <v>26</v>
      </c>
      <c r="V13" s="33">
        <v>21</v>
      </c>
      <c r="W13" s="33">
        <v>101</v>
      </c>
      <c r="X13" s="7" t="s">
        <v>79</v>
      </c>
      <c r="Y13" s="3">
        <v>47</v>
      </c>
      <c r="Z13" s="3">
        <v>57</v>
      </c>
      <c r="AA13" s="3">
        <v>19</v>
      </c>
      <c r="AB13" s="3">
        <v>14</v>
      </c>
      <c r="AC13" s="3">
        <v>104</v>
      </c>
      <c r="AD13" s="3">
        <v>100</v>
      </c>
      <c r="AE13" s="3">
        <v>114</v>
      </c>
      <c r="AF13" s="3">
        <v>75</v>
      </c>
      <c r="AG13" s="3">
        <v>40</v>
      </c>
      <c r="AH13" s="3">
        <v>45</v>
      </c>
      <c r="AI13" s="3">
        <v>57</v>
      </c>
      <c r="AJ13" s="3">
        <v>18</v>
      </c>
      <c r="AK13" s="3">
        <v>13</v>
      </c>
      <c r="AL13" s="3">
        <v>30</v>
      </c>
      <c r="AM13" s="3">
        <v>28</v>
      </c>
      <c r="AN13" s="3">
        <v>30</v>
      </c>
      <c r="AO13" s="3">
        <v>74</v>
      </c>
      <c r="AP13" s="3">
        <v>40</v>
      </c>
      <c r="AQ13" s="3">
        <v>1</v>
      </c>
    </row>
    <row r="14" spans="1:43" ht="28.15" customHeight="1">
      <c r="A14" s="19" t="s">
        <v>89</v>
      </c>
      <c r="B14" s="19" t="s">
        <v>84</v>
      </c>
      <c r="C14" s="20" t="s">
        <v>46</v>
      </c>
      <c r="D14" s="20" t="s">
        <v>32</v>
      </c>
      <c r="E14" s="20" t="s">
        <v>261</v>
      </c>
      <c r="F14" s="20">
        <v>43</v>
      </c>
      <c r="G14" s="20" t="s">
        <v>33</v>
      </c>
      <c r="H14" s="20">
        <v>58</v>
      </c>
      <c r="I14" s="33">
        <v>45</v>
      </c>
      <c r="J14" s="33">
        <v>25</v>
      </c>
      <c r="K14" s="33">
        <v>19</v>
      </c>
      <c r="L14" s="33">
        <v>29</v>
      </c>
      <c r="M14" s="33">
        <v>28</v>
      </c>
      <c r="N14" s="33">
        <v>29</v>
      </c>
      <c r="O14" s="33">
        <v>69</v>
      </c>
      <c r="P14" s="33">
        <v>42</v>
      </c>
      <c r="Q14" s="33">
        <v>93</v>
      </c>
      <c r="R14" s="33">
        <v>112</v>
      </c>
      <c r="S14" s="33">
        <v>67</v>
      </c>
      <c r="T14" s="33">
        <v>35</v>
      </c>
      <c r="U14" s="33">
        <v>25</v>
      </c>
      <c r="V14" s="33">
        <v>20</v>
      </c>
      <c r="W14" s="33">
        <v>95</v>
      </c>
      <c r="X14" s="7" t="s">
        <v>79</v>
      </c>
      <c r="Y14" s="3">
        <v>47</v>
      </c>
      <c r="Z14" s="3">
        <v>63</v>
      </c>
      <c r="AA14" s="3">
        <v>20</v>
      </c>
      <c r="AB14" s="3">
        <v>15</v>
      </c>
      <c r="AC14" s="3">
        <v>107</v>
      </c>
      <c r="AD14" s="3">
        <v>101</v>
      </c>
      <c r="AE14" s="3">
        <v>115</v>
      </c>
      <c r="AF14" s="3">
        <v>70</v>
      </c>
      <c r="AG14" s="3">
        <v>42</v>
      </c>
      <c r="AH14" s="3">
        <v>45</v>
      </c>
      <c r="AI14" s="3">
        <v>63</v>
      </c>
      <c r="AJ14" s="3">
        <v>19</v>
      </c>
      <c r="AK14" s="3">
        <v>13</v>
      </c>
      <c r="AL14" s="3">
        <v>29</v>
      </c>
      <c r="AM14" s="3">
        <v>28</v>
      </c>
      <c r="AN14" s="3">
        <v>29</v>
      </c>
      <c r="AO14" s="3">
        <v>69</v>
      </c>
      <c r="AP14" s="3">
        <v>42</v>
      </c>
      <c r="AQ14" s="3">
        <v>1</v>
      </c>
    </row>
    <row r="15" spans="1:43" ht="28.15" customHeight="1">
      <c r="A15" s="19" t="s">
        <v>114</v>
      </c>
      <c r="B15" s="19" t="s">
        <v>99</v>
      </c>
      <c r="C15" s="20" t="s">
        <v>46</v>
      </c>
      <c r="D15" s="20" t="s">
        <v>32</v>
      </c>
      <c r="E15" s="20" t="s">
        <v>261</v>
      </c>
      <c r="F15" s="20">
        <v>43</v>
      </c>
      <c r="G15" s="20" t="s">
        <v>33</v>
      </c>
      <c r="H15" s="20">
        <v>56</v>
      </c>
      <c r="I15" s="33">
        <v>43</v>
      </c>
      <c r="J15" s="33">
        <v>25</v>
      </c>
      <c r="K15" s="33">
        <v>17</v>
      </c>
      <c r="L15" s="33">
        <v>28</v>
      </c>
      <c r="M15" s="33">
        <v>26</v>
      </c>
      <c r="N15" s="33">
        <v>28</v>
      </c>
      <c r="O15" s="33">
        <v>72</v>
      </c>
      <c r="P15" s="33">
        <v>40</v>
      </c>
      <c r="Q15" s="33">
        <v>86</v>
      </c>
      <c r="R15" s="33">
        <v>106</v>
      </c>
      <c r="S15" s="33">
        <v>67</v>
      </c>
      <c r="T15" s="33">
        <v>34</v>
      </c>
      <c r="U15" s="33">
        <v>27</v>
      </c>
      <c r="V15" s="33">
        <v>21</v>
      </c>
      <c r="W15" s="33">
        <v>100</v>
      </c>
      <c r="X15" s="7" t="s">
        <v>98</v>
      </c>
      <c r="Y15" s="3">
        <v>44</v>
      </c>
      <c r="Z15" s="3">
        <v>61</v>
      </c>
      <c r="AA15" s="3">
        <v>19</v>
      </c>
      <c r="AB15" s="3">
        <v>14</v>
      </c>
      <c r="AC15" s="3">
        <v>100</v>
      </c>
      <c r="AD15" s="3">
        <v>96</v>
      </c>
      <c r="AE15" s="3">
        <v>109</v>
      </c>
      <c r="AF15" s="3">
        <v>74</v>
      </c>
      <c r="AG15" s="3">
        <v>40</v>
      </c>
      <c r="AH15" s="3">
        <v>43</v>
      </c>
      <c r="AI15" s="3">
        <v>61</v>
      </c>
      <c r="AJ15" s="3">
        <v>18</v>
      </c>
      <c r="AK15" s="3">
        <v>13</v>
      </c>
      <c r="AL15" s="3">
        <v>28</v>
      </c>
      <c r="AM15" s="3">
        <v>26</v>
      </c>
      <c r="AN15" s="3">
        <v>28</v>
      </c>
      <c r="AO15" s="3">
        <v>72</v>
      </c>
      <c r="AP15" s="3">
        <v>40</v>
      </c>
      <c r="AQ15" s="3">
        <v>1</v>
      </c>
    </row>
    <row r="16" spans="1:43" ht="28.15" customHeight="1">
      <c r="A16" s="19" t="s">
        <v>115</v>
      </c>
      <c r="B16" s="19" t="s">
        <v>100</v>
      </c>
      <c r="C16" s="20" t="s">
        <v>46</v>
      </c>
      <c r="D16" s="20" t="s">
        <v>32</v>
      </c>
      <c r="E16" s="20" t="s">
        <v>261</v>
      </c>
      <c r="F16" s="20">
        <v>41</v>
      </c>
      <c r="G16" s="20" t="s">
        <v>36</v>
      </c>
      <c r="H16" s="20">
        <v>57</v>
      </c>
      <c r="I16" s="33">
        <v>43</v>
      </c>
      <c r="J16" s="33">
        <v>23</v>
      </c>
      <c r="K16" s="33">
        <v>18</v>
      </c>
      <c r="L16" s="33">
        <v>29</v>
      </c>
      <c r="M16" s="33">
        <v>27</v>
      </c>
      <c r="N16" s="33">
        <v>29</v>
      </c>
      <c r="O16" s="33">
        <v>67</v>
      </c>
      <c r="P16" s="33">
        <v>41</v>
      </c>
      <c r="Q16" s="33">
        <v>92.5</v>
      </c>
      <c r="R16" s="33">
        <v>105</v>
      </c>
      <c r="S16" s="33">
        <v>64</v>
      </c>
      <c r="T16" s="33">
        <v>33</v>
      </c>
      <c r="U16" s="33">
        <v>26</v>
      </c>
      <c r="V16" s="33">
        <v>20</v>
      </c>
      <c r="W16" s="33">
        <v>89</v>
      </c>
      <c r="X16" s="7" t="s">
        <v>98</v>
      </c>
      <c r="Y16" s="3">
        <v>46</v>
      </c>
      <c r="Z16" s="3">
        <v>55</v>
      </c>
      <c r="AA16" s="3">
        <v>20</v>
      </c>
      <c r="AB16" s="3">
        <v>15</v>
      </c>
      <c r="AC16" s="3">
        <v>106</v>
      </c>
      <c r="AD16" s="3">
        <v>101</v>
      </c>
      <c r="AE16" s="3">
        <v>109</v>
      </c>
      <c r="AF16" s="3">
        <v>68</v>
      </c>
      <c r="AG16" s="3">
        <v>41</v>
      </c>
      <c r="AH16" s="3">
        <v>43</v>
      </c>
      <c r="AI16" s="3">
        <v>56</v>
      </c>
      <c r="AJ16" s="3">
        <v>19</v>
      </c>
      <c r="AK16" s="3">
        <v>13</v>
      </c>
      <c r="AL16" s="3">
        <v>29</v>
      </c>
      <c r="AM16" s="3">
        <v>27</v>
      </c>
      <c r="AN16" s="3">
        <v>29</v>
      </c>
      <c r="AO16" s="3">
        <v>68</v>
      </c>
      <c r="AP16" s="3">
        <v>41</v>
      </c>
      <c r="AQ16" s="3">
        <v>1</v>
      </c>
    </row>
    <row r="17" spans="1:43" ht="28.15" customHeight="1">
      <c r="A17" s="19" t="s">
        <v>116</v>
      </c>
      <c r="B17" s="19" t="s">
        <v>104</v>
      </c>
      <c r="C17" s="20" t="s">
        <v>46</v>
      </c>
      <c r="D17" s="20" t="s">
        <v>32</v>
      </c>
      <c r="E17" s="20" t="s">
        <v>261</v>
      </c>
      <c r="F17" s="20">
        <v>40</v>
      </c>
      <c r="G17" s="20" t="s">
        <v>34</v>
      </c>
      <c r="H17" s="20">
        <v>55</v>
      </c>
      <c r="I17" s="33">
        <v>40</v>
      </c>
      <c r="J17" s="33">
        <v>24</v>
      </c>
      <c r="K17" s="33">
        <v>17</v>
      </c>
      <c r="L17" s="33">
        <v>27</v>
      </c>
      <c r="M17" s="33">
        <v>25</v>
      </c>
      <c r="N17" s="33">
        <v>27</v>
      </c>
      <c r="O17" s="33">
        <v>67</v>
      </c>
      <c r="P17" s="33">
        <v>40</v>
      </c>
      <c r="Q17" s="33">
        <v>82</v>
      </c>
      <c r="R17" s="33">
        <v>106</v>
      </c>
      <c r="S17" s="33">
        <v>62</v>
      </c>
      <c r="T17" s="33">
        <v>30</v>
      </c>
      <c r="U17" s="33">
        <v>24</v>
      </c>
      <c r="V17" s="33">
        <v>21</v>
      </c>
      <c r="W17" s="33">
        <v>94</v>
      </c>
      <c r="X17" s="7" t="s">
        <v>98</v>
      </c>
      <c r="Y17" s="3">
        <v>44</v>
      </c>
      <c r="Z17" s="3">
        <v>58</v>
      </c>
      <c r="AA17" s="3">
        <v>19</v>
      </c>
      <c r="AB17" s="3">
        <v>14</v>
      </c>
      <c r="AC17" s="3">
        <v>106</v>
      </c>
      <c r="AD17" s="3">
        <v>100</v>
      </c>
      <c r="AE17" s="3">
        <v>108</v>
      </c>
      <c r="AF17" s="3">
        <v>69</v>
      </c>
      <c r="AG17" s="3">
        <v>40</v>
      </c>
      <c r="AH17" s="3">
        <v>40</v>
      </c>
      <c r="AI17" s="3">
        <v>58</v>
      </c>
      <c r="AJ17" s="3">
        <v>17</v>
      </c>
      <c r="AK17" s="3">
        <v>12</v>
      </c>
      <c r="AL17" s="3">
        <v>27</v>
      </c>
      <c r="AM17" s="3">
        <v>25</v>
      </c>
      <c r="AN17" s="3">
        <v>27</v>
      </c>
      <c r="AO17" s="3">
        <v>67</v>
      </c>
      <c r="AP17" s="3">
        <v>40</v>
      </c>
      <c r="AQ17" s="3">
        <v>1</v>
      </c>
    </row>
    <row r="18" spans="1:43" ht="28.15" customHeight="1">
      <c r="A18" s="19" t="s">
        <v>117</v>
      </c>
      <c r="B18" s="19" t="s">
        <v>105</v>
      </c>
      <c r="C18" s="20" t="s">
        <v>46</v>
      </c>
      <c r="D18" s="20" t="s">
        <v>32</v>
      </c>
      <c r="E18" s="20" t="s">
        <v>261</v>
      </c>
      <c r="F18" s="20">
        <v>42</v>
      </c>
      <c r="G18" s="20" t="s">
        <v>33</v>
      </c>
      <c r="H18" s="20">
        <v>58</v>
      </c>
      <c r="I18" s="33">
        <v>43</v>
      </c>
      <c r="J18" s="33">
        <v>25</v>
      </c>
      <c r="K18" s="33">
        <v>18</v>
      </c>
      <c r="L18" s="33">
        <v>30</v>
      </c>
      <c r="M18" s="33">
        <v>28</v>
      </c>
      <c r="N18" s="33">
        <v>30</v>
      </c>
      <c r="O18" s="33">
        <v>69</v>
      </c>
      <c r="P18" s="33">
        <v>41</v>
      </c>
      <c r="Q18" s="33">
        <v>96</v>
      </c>
      <c r="R18" s="33">
        <v>109</v>
      </c>
      <c r="S18" s="33">
        <v>69</v>
      </c>
      <c r="T18" s="33">
        <v>35</v>
      </c>
      <c r="U18" s="33">
        <v>27</v>
      </c>
      <c r="V18" s="33">
        <v>20</v>
      </c>
      <c r="W18" s="33">
        <v>96</v>
      </c>
      <c r="X18" s="7" t="s">
        <v>98</v>
      </c>
      <c r="Y18" s="3">
        <v>47</v>
      </c>
      <c r="Z18" s="3">
        <v>58</v>
      </c>
      <c r="AA18" s="3">
        <v>20</v>
      </c>
      <c r="AB18" s="3">
        <v>15</v>
      </c>
      <c r="AC18" s="3">
        <v>109</v>
      </c>
      <c r="AD18" s="3">
        <v>103</v>
      </c>
      <c r="AE18" s="3">
        <v>113</v>
      </c>
      <c r="AF18" s="3">
        <v>70</v>
      </c>
      <c r="AG18" s="3">
        <v>41</v>
      </c>
      <c r="AH18" s="3">
        <v>43</v>
      </c>
      <c r="AI18" s="3">
        <v>58</v>
      </c>
      <c r="AJ18" s="3">
        <v>19</v>
      </c>
      <c r="AK18" s="3">
        <v>13</v>
      </c>
      <c r="AL18" s="3">
        <v>30</v>
      </c>
      <c r="AM18" s="3">
        <v>28</v>
      </c>
      <c r="AN18" s="3">
        <v>30</v>
      </c>
      <c r="AO18" s="3">
        <v>69</v>
      </c>
      <c r="AP18" s="3">
        <v>41</v>
      </c>
      <c r="AQ18" s="3">
        <v>1</v>
      </c>
    </row>
    <row r="19" spans="1:43" ht="28.15" customHeight="1">
      <c r="A19" s="19" t="s">
        <v>118</v>
      </c>
      <c r="B19" s="19" t="s">
        <v>106</v>
      </c>
      <c r="C19" s="20" t="s">
        <v>46</v>
      </c>
      <c r="D19" s="20" t="s">
        <v>32</v>
      </c>
      <c r="E19" s="20" t="s">
        <v>261</v>
      </c>
      <c r="F19" s="20">
        <v>42</v>
      </c>
      <c r="G19" s="20" t="s">
        <v>33</v>
      </c>
      <c r="H19" s="20">
        <v>58</v>
      </c>
      <c r="I19" s="33">
        <v>44</v>
      </c>
      <c r="J19" s="33">
        <v>26</v>
      </c>
      <c r="K19" s="33">
        <v>19</v>
      </c>
      <c r="L19" s="33">
        <v>30</v>
      </c>
      <c r="M19" s="33">
        <v>28</v>
      </c>
      <c r="N19" s="33">
        <v>30</v>
      </c>
      <c r="O19" s="33">
        <v>72</v>
      </c>
      <c r="P19" s="33">
        <v>42</v>
      </c>
      <c r="Q19" s="33">
        <v>95</v>
      </c>
      <c r="R19" s="33">
        <v>108</v>
      </c>
      <c r="S19" s="33">
        <v>68</v>
      </c>
      <c r="T19" s="33">
        <v>35</v>
      </c>
      <c r="U19" s="33">
        <v>27</v>
      </c>
      <c r="V19" s="33">
        <v>22</v>
      </c>
      <c r="W19" s="33">
        <v>99</v>
      </c>
      <c r="X19" s="7" t="s">
        <v>98</v>
      </c>
      <c r="Y19" s="3">
        <v>46</v>
      </c>
      <c r="Z19" s="3">
        <v>63</v>
      </c>
      <c r="AA19" s="3">
        <v>20</v>
      </c>
      <c r="AB19" s="3">
        <v>15</v>
      </c>
      <c r="AC19" s="3">
        <v>108</v>
      </c>
      <c r="AD19" s="3">
        <v>102</v>
      </c>
      <c r="AE19" s="3">
        <v>110</v>
      </c>
      <c r="AF19" s="3">
        <v>73</v>
      </c>
      <c r="AG19" s="3">
        <v>42</v>
      </c>
      <c r="AH19" s="3">
        <v>44</v>
      </c>
      <c r="AI19" s="3">
        <v>63</v>
      </c>
      <c r="AJ19" s="3">
        <v>19</v>
      </c>
      <c r="AK19" s="3">
        <v>13</v>
      </c>
      <c r="AL19" s="3">
        <v>30</v>
      </c>
      <c r="AM19" s="3">
        <v>28</v>
      </c>
      <c r="AN19" s="3">
        <v>30</v>
      </c>
      <c r="AO19" s="3">
        <v>72</v>
      </c>
      <c r="AP19" s="3">
        <v>42</v>
      </c>
      <c r="AQ19" s="3">
        <v>1</v>
      </c>
    </row>
    <row r="20" spans="1:43" ht="28.15" customHeight="1">
      <c r="A20" s="19" t="s">
        <v>119</v>
      </c>
      <c r="B20" s="19" t="s">
        <v>107</v>
      </c>
      <c r="C20" s="20" t="s">
        <v>46</v>
      </c>
      <c r="D20" s="20" t="s">
        <v>32</v>
      </c>
      <c r="E20" s="20" t="s">
        <v>261</v>
      </c>
      <c r="F20" s="20">
        <v>43</v>
      </c>
      <c r="G20" s="20" t="s">
        <v>34</v>
      </c>
      <c r="H20" s="20">
        <v>57</v>
      </c>
      <c r="I20" s="33">
        <v>40</v>
      </c>
      <c r="J20" s="33">
        <v>25</v>
      </c>
      <c r="K20" s="33">
        <v>17</v>
      </c>
      <c r="L20" s="33">
        <v>25</v>
      </c>
      <c r="M20" s="33">
        <v>23</v>
      </c>
      <c r="N20" s="33">
        <v>25</v>
      </c>
      <c r="O20" s="33">
        <v>71</v>
      </c>
      <c r="P20" s="33">
        <v>36</v>
      </c>
      <c r="Q20" s="33">
        <v>71</v>
      </c>
      <c r="R20" s="33">
        <v>94</v>
      </c>
      <c r="S20" s="33">
        <v>66</v>
      </c>
      <c r="T20" s="33">
        <v>28</v>
      </c>
      <c r="U20" s="33">
        <v>25</v>
      </c>
      <c r="V20" s="33">
        <v>20</v>
      </c>
      <c r="W20" s="33">
        <v>107</v>
      </c>
      <c r="X20" s="7" t="s">
        <v>98</v>
      </c>
      <c r="Y20" s="3">
        <v>43</v>
      </c>
      <c r="Z20" s="3">
        <v>60</v>
      </c>
      <c r="AA20" s="3">
        <v>18</v>
      </c>
      <c r="AB20" s="3">
        <v>14</v>
      </c>
      <c r="AC20" s="3">
        <v>87</v>
      </c>
      <c r="AD20" s="3">
        <v>80</v>
      </c>
      <c r="AE20" s="3">
        <v>98</v>
      </c>
      <c r="AF20" s="3">
        <v>72</v>
      </c>
      <c r="AG20" s="3">
        <v>36</v>
      </c>
      <c r="AH20" s="3">
        <v>40</v>
      </c>
      <c r="AI20" s="3">
        <v>60</v>
      </c>
      <c r="AJ20" s="3">
        <v>16</v>
      </c>
      <c r="AK20" s="3">
        <v>12</v>
      </c>
      <c r="AL20" s="3">
        <v>25</v>
      </c>
      <c r="AM20" s="3">
        <v>23</v>
      </c>
      <c r="AN20" s="3">
        <v>25</v>
      </c>
      <c r="AO20" s="3">
        <v>71</v>
      </c>
      <c r="AP20" s="3">
        <v>36</v>
      </c>
      <c r="AQ20" s="3">
        <v>1</v>
      </c>
    </row>
    <row r="21" spans="1:43" ht="28.15" customHeight="1">
      <c r="A21" s="19" t="s">
        <v>120</v>
      </c>
      <c r="B21" s="19" t="s">
        <v>108</v>
      </c>
      <c r="C21" s="20" t="s">
        <v>46</v>
      </c>
      <c r="D21" s="20" t="s">
        <v>32</v>
      </c>
      <c r="E21" s="20" t="s">
        <v>261</v>
      </c>
      <c r="F21" s="20">
        <v>43</v>
      </c>
      <c r="G21" s="20" t="s">
        <v>35</v>
      </c>
      <c r="H21" s="20">
        <v>55</v>
      </c>
      <c r="I21" s="33">
        <v>44</v>
      </c>
      <c r="J21" s="33">
        <v>25</v>
      </c>
      <c r="K21" s="33">
        <v>19</v>
      </c>
      <c r="L21" s="33">
        <v>30</v>
      </c>
      <c r="M21" s="33">
        <v>28</v>
      </c>
      <c r="N21" s="33">
        <v>30</v>
      </c>
      <c r="O21" s="33">
        <v>74</v>
      </c>
      <c r="P21" s="33">
        <v>42</v>
      </c>
      <c r="Q21" s="33">
        <v>96</v>
      </c>
      <c r="R21" s="33">
        <v>110</v>
      </c>
      <c r="S21" s="33">
        <v>75</v>
      </c>
      <c r="T21" s="33">
        <v>68</v>
      </c>
      <c r="U21" s="33">
        <v>27</v>
      </c>
      <c r="V21" s="33">
        <v>22</v>
      </c>
      <c r="W21" s="33">
        <v>102</v>
      </c>
      <c r="X21" s="7" t="s">
        <v>98</v>
      </c>
      <c r="Y21" s="3">
        <v>48</v>
      </c>
      <c r="Z21" s="3">
        <v>62</v>
      </c>
      <c r="AA21" s="3">
        <v>20</v>
      </c>
      <c r="AB21" s="3">
        <v>15</v>
      </c>
      <c r="AC21" s="3">
        <v>108</v>
      </c>
      <c r="AD21" s="3">
        <v>104</v>
      </c>
      <c r="AE21" s="3">
        <v>112</v>
      </c>
      <c r="AF21" s="3">
        <v>74</v>
      </c>
      <c r="AG21" s="3">
        <v>42</v>
      </c>
      <c r="AH21" s="3">
        <v>44</v>
      </c>
      <c r="AI21" s="3">
        <v>62</v>
      </c>
      <c r="AJ21" s="3">
        <v>19</v>
      </c>
      <c r="AK21" s="3">
        <v>13</v>
      </c>
      <c r="AL21" s="3">
        <v>30</v>
      </c>
      <c r="AM21" s="3">
        <v>28</v>
      </c>
      <c r="AN21" s="3">
        <v>30</v>
      </c>
      <c r="AO21" s="3">
        <v>73</v>
      </c>
      <c r="AP21" s="3">
        <v>42</v>
      </c>
      <c r="AQ21" s="3">
        <v>1</v>
      </c>
    </row>
    <row r="22" spans="1:43" ht="28.15" customHeight="1">
      <c r="A22" s="19" t="s">
        <v>121</v>
      </c>
      <c r="B22" s="19" t="s">
        <v>109</v>
      </c>
      <c r="C22" s="20" t="s">
        <v>46</v>
      </c>
      <c r="D22" s="20" t="s">
        <v>32</v>
      </c>
      <c r="E22" s="20" t="s">
        <v>261</v>
      </c>
      <c r="F22" s="20">
        <v>43</v>
      </c>
      <c r="G22" s="20" t="s">
        <v>35</v>
      </c>
      <c r="H22" s="20">
        <v>58</v>
      </c>
      <c r="I22" s="33">
        <v>48</v>
      </c>
      <c r="J22" s="33">
        <v>26</v>
      </c>
      <c r="K22" s="33">
        <v>20</v>
      </c>
      <c r="L22" s="33">
        <v>32</v>
      </c>
      <c r="M22" s="33">
        <v>30</v>
      </c>
      <c r="N22" s="33">
        <v>32</v>
      </c>
      <c r="O22" s="33">
        <v>75</v>
      </c>
      <c r="P22" s="33">
        <v>46</v>
      </c>
      <c r="Q22" s="33">
        <v>106</v>
      </c>
      <c r="R22" s="33">
        <v>116</v>
      </c>
      <c r="S22" s="33">
        <v>70</v>
      </c>
      <c r="T22" s="33">
        <v>36</v>
      </c>
      <c r="U22" s="33">
        <v>27</v>
      </c>
      <c r="V22" s="33">
        <v>20</v>
      </c>
      <c r="W22" s="33">
        <v>102</v>
      </c>
      <c r="X22" s="7" t="s">
        <v>98</v>
      </c>
      <c r="Y22" s="3">
        <v>50</v>
      </c>
      <c r="Z22" s="3">
        <v>58</v>
      </c>
      <c r="AA22" s="3">
        <v>21</v>
      </c>
      <c r="AB22" s="3">
        <v>15</v>
      </c>
      <c r="AC22" s="3">
        <v>118</v>
      </c>
      <c r="AD22" s="3">
        <v>116</v>
      </c>
      <c r="AE22" s="3">
        <v>120</v>
      </c>
      <c r="AF22" s="3">
        <v>76</v>
      </c>
      <c r="AG22" s="3">
        <v>46</v>
      </c>
      <c r="AH22" s="3">
        <v>48</v>
      </c>
      <c r="AI22" s="3">
        <v>58</v>
      </c>
      <c r="AJ22" s="3">
        <v>20</v>
      </c>
      <c r="AK22" s="3">
        <v>13</v>
      </c>
      <c r="AL22" s="3">
        <v>32</v>
      </c>
      <c r="AM22" s="3">
        <v>30</v>
      </c>
      <c r="AN22" s="3">
        <v>32</v>
      </c>
      <c r="AO22" s="3">
        <v>75</v>
      </c>
      <c r="AP22" s="3">
        <v>46</v>
      </c>
      <c r="AQ22" s="3">
        <v>1</v>
      </c>
    </row>
    <row r="23" spans="1:43" ht="28.15" customHeight="1">
      <c r="A23" s="19" t="s">
        <v>122</v>
      </c>
      <c r="B23" s="19" t="s">
        <v>110</v>
      </c>
      <c r="C23" s="20" t="s">
        <v>46</v>
      </c>
      <c r="D23" s="20" t="s">
        <v>32</v>
      </c>
      <c r="E23" s="20" t="s">
        <v>261</v>
      </c>
      <c r="F23" s="20">
        <v>41</v>
      </c>
      <c r="G23" s="20" t="s">
        <v>34</v>
      </c>
      <c r="H23" s="20">
        <v>56</v>
      </c>
      <c r="I23" s="33">
        <v>43</v>
      </c>
      <c r="J23" s="33">
        <v>26</v>
      </c>
      <c r="K23" s="33">
        <v>19</v>
      </c>
      <c r="L23" s="33">
        <v>30</v>
      </c>
      <c r="M23" s="33">
        <v>28</v>
      </c>
      <c r="N23" s="33">
        <v>30</v>
      </c>
      <c r="O23" s="33">
        <v>75</v>
      </c>
      <c r="P23" s="33">
        <v>43</v>
      </c>
      <c r="Q23" s="33">
        <v>95</v>
      </c>
      <c r="R23" s="33">
        <v>105</v>
      </c>
      <c r="S23" s="33">
        <v>66</v>
      </c>
      <c r="T23" s="33">
        <v>35</v>
      </c>
      <c r="U23" s="33">
        <v>27</v>
      </c>
      <c r="V23" s="33">
        <v>20</v>
      </c>
      <c r="W23" s="33">
        <v>97</v>
      </c>
      <c r="X23" s="7" t="s">
        <v>98</v>
      </c>
      <c r="Y23" s="3">
        <v>47</v>
      </c>
      <c r="Z23" s="3">
        <v>60</v>
      </c>
      <c r="AA23" s="3">
        <v>20</v>
      </c>
      <c r="AB23" s="3">
        <v>15</v>
      </c>
      <c r="AC23" s="3">
        <v>107</v>
      </c>
      <c r="AD23" s="3">
        <v>104</v>
      </c>
      <c r="AE23" s="3">
        <v>109</v>
      </c>
      <c r="AF23" s="3">
        <v>75</v>
      </c>
      <c r="AG23" s="3">
        <v>43</v>
      </c>
      <c r="AH23" s="3">
        <v>43</v>
      </c>
      <c r="AI23" s="3">
        <v>60</v>
      </c>
      <c r="AJ23" s="3">
        <v>19</v>
      </c>
      <c r="AK23" s="3">
        <v>13</v>
      </c>
      <c r="AL23" s="3">
        <v>30</v>
      </c>
      <c r="AM23" s="3">
        <v>28</v>
      </c>
      <c r="AN23" s="3">
        <v>30</v>
      </c>
      <c r="AO23" s="3">
        <v>74</v>
      </c>
      <c r="AP23" s="3">
        <v>43</v>
      </c>
      <c r="AQ23" s="3">
        <v>1</v>
      </c>
    </row>
    <row r="24" spans="1:43" ht="28.15" customHeight="1">
      <c r="A24" s="19" t="s">
        <v>123</v>
      </c>
      <c r="B24" s="19" t="s">
        <v>111</v>
      </c>
      <c r="C24" s="20" t="s">
        <v>46</v>
      </c>
      <c r="D24" s="20" t="s">
        <v>32</v>
      </c>
      <c r="E24" s="20" t="s">
        <v>261</v>
      </c>
      <c r="F24" s="20">
        <v>42</v>
      </c>
      <c r="G24" s="20" t="s">
        <v>33</v>
      </c>
      <c r="H24" s="20">
        <v>57</v>
      </c>
      <c r="I24" s="33">
        <v>47</v>
      </c>
      <c r="J24" s="33">
        <v>27</v>
      </c>
      <c r="K24" s="33">
        <v>20</v>
      </c>
      <c r="L24" s="33">
        <v>31</v>
      </c>
      <c r="M24" s="33">
        <v>30</v>
      </c>
      <c r="N24" s="33">
        <v>31</v>
      </c>
      <c r="O24" s="33">
        <v>74</v>
      </c>
      <c r="P24" s="33">
        <v>43</v>
      </c>
      <c r="Q24" s="33">
        <v>102</v>
      </c>
      <c r="R24" s="33">
        <v>115</v>
      </c>
      <c r="S24" s="33">
        <v>76</v>
      </c>
      <c r="T24" s="33">
        <v>37</v>
      </c>
      <c r="U24" s="33">
        <v>27</v>
      </c>
      <c r="V24" s="33">
        <v>22</v>
      </c>
      <c r="W24" s="33">
        <v>102</v>
      </c>
      <c r="X24" s="7" t="s">
        <v>98</v>
      </c>
      <c r="Y24" s="3">
        <v>48</v>
      </c>
      <c r="Z24" s="3">
        <v>62</v>
      </c>
      <c r="AA24" s="3">
        <v>21</v>
      </c>
      <c r="AB24" s="3">
        <v>16</v>
      </c>
      <c r="AC24" s="3">
        <v>118</v>
      </c>
      <c r="AD24" s="3">
        <v>112</v>
      </c>
      <c r="AE24" s="3">
        <v>118</v>
      </c>
      <c r="AF24" s="3">
        <v>75</v>
      </c>
      <c r="AG24" s="3">
        <v>43</v>
      </c>
      <c r="AH24" s="3">
        <v>47</v>
      </c>
      <c r="AI24" s="3">
        <v>62</v>
      </c>
      <c r="AJ24" s="3">
        <v>20</v>
      </c>
      <c r="AK24" s="3">
        <v>13</v>
      </c>
      <c r="AL24" s="3">
        <v>31</v>
      </c>
      <c r="AM24" s="3">
        <v>30</v>
      </c>
      <c r="AN24" s="3">
        <v>31</v>
      </c>
      <c r="AO24" s="3">
        <v>74</v>
      </c>
      <c r="AP24" s="3">
        <v>43</v>
      </c>
      <c r="AQ24" s="3">
        <v>1</v>
      </c>
    </row>
    <row r="25" spans="1:43" ht="28.15" customHeight="1">
      <c r="A25" s="19" t="s">
        <v>124</v>
      </c>
      <c r="B25" s="19" t="s">
        <v>112</v>
      </c>
      <c r="C25" s="20" t="s">
        <v>46</v>
      </c>
      <c r="D25" s="20" t="s">
        <v>32</v>
      </c>
      <c r="E25" s="20" t="s">
        <v>261</v>
      </c>
      <c r="F25" s="20">
        <v>41</v>
      </c>
      <c r="G25" s="20" t="s">
        <v>34</v>
      </c>
      <c r="H25" s="20">
        <v>56</v>
      </c>
      <c r="I25" s="33">
        <v>42</v>
      </c>
      <c r="J25" s="33">
        <v>26</v>
      </c>
      <c r="K25" s="33">
        <v>17</v>
      </c>
      <c r="L25" s="33">
        <v>27</v>
      </c>
      <c r="M25" s="33">
        <v>26</v>
      </c>
      <c r="N25" s="33">
        <v>27</v>
      </c>
      <c r="O25" s="33">
        <v>72</v>
      </c>
      <c r="P25" s="7">
        <v>39</v>
      </c>
      <c r="Q25" s="32">
        <v>84</v>
      </c>
      <c r="R25" s="31">
        <v>100</v>
      </c>
      <c r="S25" s="31">
        <v>64</v>
      </c>
      <c r="T25" s="31">
        <v>31</v>
      </c>
      <c r="U25" s="31">
        <v>24</v>
      </c>
      <c r="V25" s="31">
        <v>19</v>
      </c>
      <c r="W25" s="31">
        <v>99</v>
      </c>
      <c r="X25" s="7">
        <v>3</v>
      </c>
      <c r="Y25" s="3">
        <v>46</v>
      </c>
      <c r="Z25" s="3">
        <v>61</v>
      </c>
      <c r="AA25" s="3">
        <v>19</v>
      </c>
      <c r="AB25" s="3">
        <v>14</v>
      </c>
      <c r="AC25" s="3">
        <v>96</v>
      </c>
      <c r="AD25" s="3">
        <v>90</v>
      </c>
      <c r="AE25" s="3">
        <v>104</v>
      </c>
      <c r="AF25" s="3">
        <v>73</v>
      </c>
      <c r="AG25" s="3">
        <v>39</v>
      </c>
      <c r="AH25" s="3">
        <v>42</v>
      </c>
      <c r="AI25" s="3">
        <v>61</v>
      </c>
      <c r="AJ25" s="3">
        <v>17</v>
      </c>
      <c r="AK25" s="3">
        <v>13</v>
      </c>
      <c r="AL25" s="3">
        <v>27</v>
      </c>
      <c r="AM25" s="3">
        <v>26</v>
      </c>
      <c r="AN25" s="3">
        <v>27</v>
      </c>
      <c r="AO25" s="3">
        <v>72</v>
      </c>
      <c r="AP25" s="3">
        <v>39</v>
      </c>
      <c r="AQ25" s="3">
        <v>1</v>
      </c>
    </row>
    <row r="26" spans="1:43" ht="28.15" customHeight="1">
      <c r="A26" s="19" t="s">
        <v>125</v>
      </c>
      <c r="B26" s="19" t="s">
        <v>113</v>
      </c>
      <c r="C26" s="20" t="s">
        <v>46</v>
      </c>
      <c r="D26" s="20" t="s">
        <v>32</v>
      </c>
      <c r="E26" s="20" t="s">
        <v>261</v>
      </c>
      <c r="F26" s="20">
        <v>42</v>
      </c>
      <c r="G26" s="20" t="s">
        <v>33</v>
      </c>
      <c r="H26" s="20">
        <v>55</v>
      </c>
      <c r="I26" s="33">
        <v>48</v>
      </c>
      <c r="J26" s="33">
        <v>26</v>
      </c>
      <c r="K26" s="33">
        <v>20</v>
      </c>
      <c r="L26" s="33">
        <v>31</v>
      </c>
      <c r="M26" s="33">
        <v>30</v>
      </c>
      <c r="N26" s="33">
        <v>31</v>
      </c>
      <c r="O26" s="33">
        <v>78</v>
      </c>
      <c r="P26" s="7">
        <v>44</v>
      </c>
      <c r="Q26" s="32">
        <v>98</v>
      </c>
      <c r="R26" s="31">
        <v>116</v>
      </c>
      <c r="S26" s="31">
        <v>67</v>
      </c>
      <c r="T26" s="31">
        <v>35</v>
      </c>
      <c r="U26" s="31">
        <v>27</v>
      </c>
      <c r="V26" s="31">
        <v>20</v>
      </c>
      <c r="W26" s="31">
        <v>99</v>
      </c>
      <c r="X26" s="7">
        <v>3</v>
      </c>
      <c r="Y26" s="3">
        <v>52</v>
      </c>
      <c r="Z26" s="3">
        <v>61</v>
      </c>
      <c r="AA26" s="3">
        <v>21</v>
      </c>
      <c r="AB26" s="3">
        <v>16</v>
      </c>
      <c r="AC26" s="3">
        <v>118</v>
      </c>
      <c r="AD26" s="3">
        <v>116</v>
      </c>
      <c r="AE26" s="3">
        <v>120</v>
      </c>
      <c r="AF26" s="3">
        <v>79</v>
      </c>
      <c r="AG26" s="3">
        <v>44</v>
      </c>
      <c r="AH26" s="3">
        <v>48</v>
      </c>
      <c r="AI26" s="3">
        <v>61</v>
      </c>
      <c r="AJ26" s="3">
        <v>20</v>
      </c>
      <c r="AK26" s="3">
        <v>13</v>
      </c>
      <c r="AL26" s="3">
        <v>31</v>
      </c>
      <c r="AM26" s="3">
        <v>30</v>
      </c>
      <c r="AN26" s="3">
        <v>31</v>
      </c>
      <c r="AO26" s="3">
        <v>78</v>
      </c>
      <c r="AP26" s="3">
        <v>44</v>
      </c>
      <c r="AQ26" s="3">
        <v>1</v>
      </c>
    </row>
    <row r="27" spans="1:43" ht="28.15" customHeight="1">
      <c r="A27" s="19" t="s">
        <v>134</v>
      </c>
      <c r="B27" s="19" t="s">
        <v>129</v>
      </c>
      <c r="C27" s="20" t="s">
        <v>46</v>
      </c>
      <c r="D27" s="20" t="s">
        <v>32</v>
      </c>
      <c r="E27" s="20" t="s">
        <v>261</v>
      </c>
      <c r="F27" s="20">
        <v>40</v>
      </c>
      <c r="G27" s="20" t="s">
        <v>34</v>
      </c>
      <c r="H27" s="20">
        <v>55</v>
      </c>
      <c r="I27" s="33">
        <v>42</v>
      </c>
      <c r="J27" s="33">
        <v>25</v>
      </c>
      <c r="K27" s="33">
        <v>18</v>
      </c>
      <c r="L27" s="33">
        <v>28</v>
      </c>
      <c r="M27" s="33">
        <v>26</v>
      </c>
      <c r="N27" s="33">
        <v>28</v>
      </c>
      <c r="O27" s="33">
        <v>69</v>
      </c>
      <c r="P27" s="7">
        <v>41</v>
      </c>
      <c r="Q27" s="32">
        <v>91</v>
      </c>
      <c r="R27" s="31">
        <v>108</v>
      </c>
      <c r="S27" s="31">
        <v>66</v>
      </c>
      <c r="T27" s="31">
        <v>34</v>
      </c>
      <c r="U27" s="31">
        <v>26</v>
      </c>
      <c r="V27" s="31">
        <v>19</v>
      </c>
      <c r="W27" s="31">
        <v>95</v>
      </c>
      <c r="X27" s="7">
        <v>4</v>
      </c>
      <c r="Y27" s="3">
        <v>47</v>
      </c>
      <c r="Z27" s="3">
        <v>58</v>
      </c>
      <c r="AA27" s="3">
        <v>20</v>
      </c>
      <c r="AB27" s="3">
        <v>15</v>
      </c>
      <c r="AC27" s="3">
        <v>104</v>
      </c>
      <c r="AD27" s="3">
        <v>103</v>
      </c>
      <c r="AE27" s="3">
        <v>115</v>
      </c>
      <c r="AF27" s="3">
        <v>70</v>
      </c>
      <c r="AG27" s="3">
        <v>41</v>
      </c>
      <c r="AH27" s="3">
        <v>42</v>
      </c>
      <c r="AI27" s="3">
        <v>58</v>
      </c>
      <c r="AJ27" s="3">
        <v>19</v>
      </c>
      <c r="AK27" s="3">
        <v>13</v>
      </c>
      <c r="AL27" s="3">
        <v>28</v>
      </c>
      <c r="AM27" s="3">
        <v>26</v>
      </c>
      <c r="AN27" s="3">
        <v>28</v>
      </c>
      <c r="AO27" s="3">
        <v>69</v>
      </c>
      <c r="AP27" s="3">
        <v>41</v>
      </c>
      <c r="AQ27" s="3">
        <v>1</v>
      </c>
    </row>
    <row r="28" spans="1:43" ht="28.15" customHeight="1">
      <c r="A28" s="19" t="s">
        <v>135</v>
      </c>
      <c r="B28" s="19" t="s">
        <v>130</v>
      </c>
      <c r="C28" s="20" t="s">
        <v>46</v>
      </c>
      <c r="D28" s="20" t="s">
        <v>32</v>
      </c>
      <c r="E28" s="20" t="s">
        <v>261</v>
      </c>
      <c r="F28" s="20">
        <v>41</v>
      </c>
      <c r="G28" s="20" t="s">
        <v>33</v>
      </c>
      <c r="H28" s="20">
        <v>53</v>
      </c>
      <c r="I28" s="33">
        <v>45</v>
      </c>
      <c r="J28" s="33">
        <v>23</v>
      </c>
      <c r="K28" s="33">
        <v>18</v>
      </c>
      <c r="L28" s="33">
        <v>30</v>
      </c>
      <c r="M28" s="33">
        <v>30</v>
      </c>
      <c r="N28" s="33">
        <v>30</v>
      </c>
      <c r="O28" s="33">
        <v>70</v>
      </c>
      <c r="P28" s="7">
        <v>43</v>
      </c>
      <c r="Q28" s="32">
        <v>95</v>
      </c>
      <c r="R28" s="31">
        <v>114</v>
      </c>
      <c r="S28" s="31">
        <v>72</v>
      </c>
      <c r="T28" s="31">
        <v>34</v>
      </c>
      <c r="U28" s="31">
        <v>27</v>
      </c>
      <c r="V28" s="31">
        <v>22</v>
      </c>
      <c r="W28" s="31">
        <v>95</v>
      </c>
      <c r="X28" s="7">
        <v>4</v>
      </c>
      <c r="Y28" s="3">
        <v>48</v>
      </c>
      <c r="Z28" s="3">
        <v>56</v>
      </c>
      <c r="AA28" s="3">
        <v>20</v>
      </c>
      <c r="AB28" s="3">
        <v>15</v>
      </c>
      <c r="AC28" s="3">
        <v>110</v>
      </c>
      <c r="AD28" s="3">
        <v>105</v>
      </c>
      <c r="AE28" s="3">
        <v>118</v>
      </c>
      <c r="AF28" s="3">
        <v>72</v>
      </c>
      <c r="AG28" s="3">
        <v>43</v>
      </c>
      <c r="AH28" s="3">
        <v>45</v>
      </c>
      <c r="AI28" s="3">
        <v>56</v>
      </c>
      <c r="AJ28" s="3">
        <v>19</v>
      </c>
      <c r="AK28" s="3">
        <v>13</v>
      </c>
      <c r="AL28" s="3">
        <v>30</v>
      </c>
      <c r="AM28" s="3">
        <v>29</v>
      </c>
      <c r="AN28" s="3">
        <v>30</v>
      </c>
      <c r="AO28" s="3">
        <v>70</v>
      </c>
      <c r="AP28" s="3">
        <v>43</v>
      </c>
      <c r="AQ28" s="3">
        <v>1</v>
      </c>
    </row>
    <row r="29" spans="1:43" ht="28.15" customHeight="1">
      <c r="A29" s="19" t="s">
        <v>136</v>
      </c>
      <c r="B29" s="19" t="s">
        <v>131</v>
      </c>
      <c r="C29" s="20" t="s">
        <v>46</v>
      </c>
      <c r="D29" s="20" t="s">
        <v>32</v>
      </c>
      <c r="E29" s="20" t="s">
        <v>261</v>
      </c>
      <c r="F29" s="20">
        <v>43</v>
      </c>
      <c r="G29" s="20" t="s">
        <v>33</v>
      </c>
      <c r="H29" s="20">
        <v>54</v>
      </c>
      <c r="I29" s="33">
        <v>46</v>
      </c>
      <c r="J29" s="33">
        <v>26</v>
      </c>
      <c r="K29" s="33">
        <v>20</v>
      </c>
      <c r="L29" s="33">
        <v>32</v>
      </c>
      <c r="M29" s="33">
        <v>31</v>
      </c>
      <c r="N29" s="33">
        <v>32</v>
      </c>
      <c r="O29" s="33">
        <v>75</v>
      </c>
      <c r="P29" s="7">
        <v>43</v>
      </c>
      <c r="Q29" s="32">
        <v>100</v>
      </c>
      <c r="R29" s="31">
        <v>112</v>
      </c>
      <c r="S29" s="31">
        <v>76</v>
      </c>
      <c r="T29" s="31">
        <v>37</v>
      </c>
      <c r="U29" s="31">
        <v>28</v>
      </c>
      <c r="V29" s="31">
        <v>22</v>
      </c>
      <c r="W29" s="31">
        <v>102</v>
      </c>
      <c r="X29" s="7">
        <v>4</v>
      </c>
      <c r="Y29" s="3">
        <v>48</v>
      </c>
      <c r="Z29" s="3">
        <v>63</v>
      </c>
      <c r="AA29" s="3">
        <v>21</v>
      </c>
      <c r="AB29" s="3">
        <v>15</v>
      </c>
      <c r="AC29" s="3">
        <v>112</v>
      </c>
      <c r="AD29" s="3">
        <v>110</v>
      </c>
      <c r="AE29" s="3">
        <v>116</v>
      </c>
      <c r="AF29" s="3">
        <v>75</v>
      </c>
      <c r="AG29" s="3">
        <v>43</v>
      </c>
      <c r="AH29" s="3">
        <v>46</v>
      </c>
      <c r="AI29" s="3">
        <v>63</v>
      </c>
      <c r="AJ29" s="3">
        <v>20</v>
      </c>
      <c r="AK29" s="3">
        <v>13</v>
      </c>
      <c r="AL29" s="3">
        <v>31</v>
      </c>
      <c r="AM29" s="3">
        <v>30</v>
      </c>
      <c r="AN29" s="3">
        <v>31</v>
      </c>
      <c r="AO29" s="3">
        <v>75</v>
      </c>
      <c r="AP29" s="3">
        <v>43</v>
      </c>
      <c r="AQ29" s="3">
        <v>1</v>
      </c>
    </row>
    <row r="30" spans="1:43" ht="28.15" customHeight="1">
      <c r="A30" s="19" t="s">
        <v>137</v>
      </c>
      <c r="B30" s="19" t="s">
        <v>132</v>
      </c>
      <c r="C30" s="20" t="s">
        <v>46</v>
      </c>
      <c r="D30" s="20" t="s">
        <v>32</v>
      </c>
      <c r="E30" s="20" t="s">
        <v>261</v>
      </c>
      <c r="F30" s="20">
        <v>43</v>
      </c>
      <c r="G30" s="20" t="s">
        <v>34</v>
      </c>
      <c r="H30" s="20">
        <v>59</v>
      </c>
      <c r="I30" s="33">
        <v>48</v>
      </c>
      <c r="J30" s="33">
        <v>26</v>
      </c>
      <c r="K30" s="33">
        <v>20</v>
      </c>
      <c r="L30" s="33">
        <v>31</v>
      </c>
      <c r="M30" s="33">
        <v>31</v>
      </c>
      <c r="N30" s="33">
        <v>31</v>
      </c>
      <c r="O30" s="33">
        <v>75</v>
      </c>
      <c r="P30" s="7">
        <v>46</v>
      </c>
      <c r="Q30" s="32">
        <v>98</v>
      </c>
      <c r="R30" s="31">
        <v>120</v>
      </c>
      <c r="S30" s="31">
        <v>68</v>
      </c>
      <c r="T30" s="31">
        <v>36</v>
      </c>
      <c r="U30" s="31">
        <v>27</v>
      </c>
      <c r="V30" s="31">
        <v>22</v>
      </c>
      <c r="W30" s="31">
        <v>99</v>
      </c>
      <c r="X30" s="7">
        <v>4</v>
      </c>
      <c r="Y30" s="3">
        <v>50</v>
      </c>
      <c r="Z30" s="3">
        <v>62</v>
      </c>
      <c r="AA30" s="3">
        <v>22</v>
      </c>
      <c r="AB30" s="3">
        <v>16</v>
      </c>
      <c r="AC30" s="3">
        <v>120</v>
      </c>
      <c r="AD30" s="3">
        <v>118</v>
      </c>
      <c r="AE30" s="3">
        <v>122</v>
      </c>
      <c r="AF30" s="3">
        <v>78</v>
      </c>
      <c r="AG30" s="3">
        <v>46</v>
      </c>
      <c r="AH30" s="3">
        <v>48</v>
      </c>
      <c r="AI30" s="3">
        <v>62</v>
      </c>
      <c r="AJ30" s="3">
        <v>20</v>
      </c>
      <c r="AK30" s="3">
        <v>13</v>
      </c>
      <c r="AL30" s="3">
        <v>31</v>
      </c>
      <c r="AM30" s="3">
        <v>30</v>
      </c>
      <c r="AN30" s="3">
        <v>31</v>
      </c>
      <c r="AO30" s="3">
        <v>75</v>
      </c>
      <c r="AP30" s="3">
        <v>45</v>
      </c>
      <c r="AQ30" s="3">
        <v>1</v>
      </c>
    </row>
    <row r="31" spans="1:43" ht="28.15" customHeight="1">
      <c r="A31" s="19" t="s">
        <v>138</v>
      </c>
      <c r="B31" s="19" t="s">
        <v>133</v>
      </c>
      <c r="C31" s="20" t="s">
        <v>46</v>
      </c>
      <c r="D31" s="20" t="s">
        <v>32</v>
      </c>
      <c r="E31" s="20" t="s">
        <v>261</v>
      </c>
      <c r="F31" s="20">
        <v>40</v>
      </c>
      <c r="G31" s="20" t="s">
        <v>36</v>
      </c>
      <c r="H31" s="20">
        <v>57</v>
      </c>
      <c r="I31" s="33">
        <v>39</v>
      </c>
      <c r="J31" s="33">
        <v>25</v>
      </c>
      <c r="K31" s="33">
        <v>16</v>
      </c>
      <c r="L31" s="33">
        <v>26</v>
      </c>
      <c r="M31" s="33">
        <v>24</v>
      </c>
      <c r="N31" s="33">
        <v>26</v>
      </c>
      <c r="O31" s="33">
        <v>66</v>
      </c>
      <c r="P31" s="7">
        <v>37</v>
      </c>
      <c r="Q31" s="32">
        <v>74</v>
      </c>
      <c r="R31" s="31">
        <v>90</v>
      </c>
      <c r="S31" s="31">
        <v>60</v>
      </c>
      <c r="T31" s="31">
        <v>29</v>
      </c>
      <c r="U31" s="31">
        <v>23</v>
      </c>
      <c r="V31" s="31">
        <v>19</v>
      </c>
      <c r="W31" s="31">
        <v>97</v>
      </c>
      <c r="X31" s="7">
        <v>4</v>
      </c>
      <c r="Y31" s="3">
        <v>42</v>
      </c>
      <c r="Z31" s="3">
        <v>58</v>
      </c>
      <c r="AA31" s="3">
        <v>18</v>
      </c>
      <c r="AB31" s="3">
        <v>14</v>
      </c>
      <c r="AC31" s="3">
        <v>96</v>
      </c>
      <c r="AD31" s="3">
        <v>90</v>
      </c>
      <c r="AE31" s="3">
        <v>96</v>
      </c>
      <c r="AF31" s="3">
        <v>67</v>
      </c>
      <c r="AG31" s="3">
        <v>37</v>
      </c>
      <c r="AH31" s="3">
        <v>39</v>
      </c>
      <c r="AI31" s="3">
        <v>58</v>
      </c>
      <c r="AJ31" s="3">
        <v>16</v>
      </c>
      <c r="AK31" s="3">
        <v>12</v>
      </c>
      <c r="AL31" s="3">
        <v>26</v>
      </c>
      <c r="AM31" s="3">
        <v>24</v>
      </c>
      <c r="AN31" s="3">
        <v>26</v>
      </c>
      <c r="AO31" s="3">
        <v>66</v>
      </c>
      <c r="AP31" s="3">
        <v>37</v>
      </c>
      <c r="AQ31" s="3">
        <v>1</v>
      </c>
    </row>
    <row r="32" spans="1:43" ht="28.15" customHeight="1">
      <c r="A32" s="19" t="s">
        <v>150</v>
      </c>
      <c r="B32" s="19" t="s">
        <v>151</v>
      </c>
      <c r="C32" s="20" t="s">
        <v>46</v>
      </c>
      <c r="D32" s="20" t="s">
        <v>32</v>
      </c>
      <c r="E32" s="20" t="s">
        <v>261</v>
      </c>
      <c r="F32" s="20">
        <v>40</v>
      </c>
      <c r="G32" s="20" t="s">
        <v>36</v>
      </c>
      <c r="H32" s="20">
        <v>58</v>
      </c>
      <c r="I32" s="33">
        <v>47</v>
      </c>
      <c r="J32" s="33">
        <v>22</v>
      </c>
      <c r="K32" s="33">
        <v>19</v>
      </c>
      <c r="L32" s="33">
        <v>29</v>
      </c>
      <c r="M32" s="33">
        <v>29</v>
      </c>
      <c r="N32" s="33">
        <v>29</v>
      </c>
      <c r="O32" s="33">
        <v>67</v>
      </c>
      <c r="P32" s="7">
        <v>40</v>
      </c>
      <c r="Q32" s="65">
        <v>91</v>
      </c>
      <c r="R32" s="31">
        <v>102</v>
      </c>
      <c r="S32" s="31">
        <v>65</v>
      </c>
      <c r="T32" s="64">
        <v>33</v>
      </c>
      <c r="U32" s="31">
        <v>25</v>
      </c>
      <c r="V32" s="31">
        <v>20</v>
      </c>
      <c r="W32" s="64">
        <v>90</v>
      </c>
      <c r="X32" s="7">
        <v>4</v>
      </c>
      <c r="Y32" s="3">
        <v>46</v>
      </c>
      <c r="Z32" s="3">
        <v>58</v>
      </c>
      <c r="AA32" s="3">
        <v>19</v>
      </c>
      <c r="AB32" s="3">
        <v>14</v>
      </c>
      <c r="AC32" s="3">
        <v>102</v>
      </c>
      <c r="AD32" s="3">
        <v>98</v>
      </c>
      <c r="AE32" s="3">
        <v>104</v>
      </c>
      <c r="AF32" s="3">
        <v>68</v>
      </c>
      <c r="AG32" s="3">
        <v>41</v>
      </c>
      <c r="AH32" s="3">
        <v>46</v>
      </c>
      <c r="AI32" s="3">
        <v>58</v>
      </c>
      <c r="AJ32" s="3">
        <v>18</v>
      </c>
      <c r="AK32" s="3">
        <v>13</v>
      </c>
      <c r="AL32" s="3">
        <v>28</v>
      </c>
      <c r="AM32" s="3">
        <v>28</v>
      </c>
      <c r="AN32" s="3">
        <v>28</v>
      </c>
      <c r="AO32" s="3">
        <v>67</v>
      </c>
      <c r="AP32" s="3">
        <v>41</v>
      </c>
      <c r="AQ32" s="3">
        <v>1</v>
      </c>
    </row>
    <row r="33" spans="1:43" ht="28.15" customHeight="1">
      <c r="A33" s="19" t="s">
        <v>152</v>
      </c>
      <c r="B33" s="19" t="s">
        <v>153</v>
      </c>
      <c r="C33" s="20" t="s">
        <v>46</v>
      </c>
      <c r="D33" s="20" t="s">
        <v>32</v>
      </c>
      <c r="E33" s="20" t="s">
        <v>261</v>
      </c>
      <c r="F33" s="20">
        <v>41</v>
      </c>
      <c r="G33" s="20" t="s">
        <v>36</v>
      </c>
      <c r="H33" s="20">
        <v>59</v>
      </c>
      <c r="I33" s="33">
        <v>41</v>
      </c>
      <c r="J33" s="33">
        <v>24</v>
      </c>
      <c r="K33" s="33">
        <v>17</v>
      </c>
      <c r="L33" s="33">
        <v>27</v>
      </c>
      <c r="M33" s="33">
        <v>26</v>
      </c>
      <c r="N33" s="33">
        <v>27</v>
      </c>
      <c r="O33" s="33">
        <v>70</v>
      </c>
      <c r="P33" s="7">
        <v>38</v>
      </c>
      <c r="Q33" s="32">
        <v>87</v>
      </c>
      <c r="R33" s="31">
        <v>108</v>
      </c>
      <c r="S33" s="31">
        <v>65</v>
      </c>
      <c r="T33" s="31">
        <v>34</v>
      </c>
      <c r="U33" s="31">
        <v>25</v>
      </c>
      <c r="V33" s="31">
        <v>20</v>
      </c>
      <c r="W33" s="31">
        <v>95</v>
      </c>
      <c r="X33" s="7">
        <v>4</v>
      </c>
      <c r="Y33" s="3">
        <v>45</v>
      </c>
      <c r="Z33" s="3">
        <v>56</v>
      </c>
      <c r="AA33" s="3">
        <v>19</v>
      </c>
      <c r="AB33" s="3">
        <v>14</v>
      </c>
      <c r="AC33" s="3">
        <v>101</v>
      </c>
      <c r="AD33" s="3">
        <v>95</v>
      </c>
      <c r="AE33" s="3">
        <v>111</v>
      </c>
      <c r="AF33" s="3">
        <v>71</v>
      </c>
      <c r="AG33" s="3">
        <v>38</v>
      </c>
      <c r="AH33" s="3">
        <v>41</v>
      </c>
      <c r="AI33" s="3">
        <v>56</v>
      </c>
      <c r="AJ33" s="3">
        <v>18</v>
      </c>
      <c r="AK33" s="3">
        <v>13</v>
      </c>
      <c r="AL33" s="3">
        <v>27</v>
      </c>
      <c r="AM33" s="3">
        <v>26</v>
      </c>
      <c r="AN33" s="3">
        <v>27</v>
      </c>
      <c r="AO33" s="3">
        <v>70</v>
      </c>
      <c r="AP33" s="3">
        <v>38</v>
      </c>
      <c r="AQ33" s="3">
        <v>1</v>
      </c>
    </row>
    <row r="34" spans="1:43" ht="28.15" customHeight="1">
      <c r="A34" s="19" t="s">
        <v>183</v>
      </c>
      <c r="B34" s="19" t="s">
        <v>180</v>
      </c>
      <c r="C34" s="20" t="s">
        <v>46</v>
      </c>
      <c r="D34" s="20" t="s">
        <v>32</v>
      </c>
      <c r="E34" s="20" t="s">
        <v>261</v>
      </c>
      <c r="F34" s="20">
        <v>44</v>
      </c>
      <c r="G34" s="20" t="s">
        <v>33</v>
      </c>
      <c r="H34" s="20">
        <v>59</v>
      </c>
      <c r="I34" s="33">
        <v>46</v>
      </c>
      <c r="J34" s="33">
        <v>27</v>
      </c>
      <c r="K34" s="33">
        <v>21</v>
      </c>
      <c r="L34" s="33">
        <v>32</v>
      </c>
      <c r="M34" s="33">
        <v>30</v>
      </c>
      <c r="N34" s="33">
        <v>32</v>
      </c>
      <c r="O34" s="33">
        <v>73</v>
      </c>
      <c r="P34" s="7">
        <v>44</v>
      </c>
      <c r="Q34" s="32">
        <v>106</v>
      </c>
      <c r="R34" s="31">
        <v>122</v>
      </c>
      <c r="S34" s="31">
        <v>74</v>
      </c>
      <c r="T34" s="31">
        <v>39</v>
      </c>
      <c r="U34" s="31">
        <v>30</v>
      </c>
      <c r="V34" s="31">
        <v>22</v>
      </c>
      <c r="W34" s="31">
        <v>97</v>
      </c>
      <c r="X34" s="7">
        <v>5</v>
      </c>
      <c r="Y34" s="3">
        <v>48</v>
      </c>
      <c r="Z34" s="3">
        <v>63</v>
      </c>
      <c r="AA34" s="3">
        <v>22</v>
      </c>
      <c r="AB34" s="3">
        <v>16</v>
      </c>
      <c r="AC34" s="3">
        <v>114</v>
      </c>
      <c r="AD34" s="3">
        <v>114</v>
      </c>
      <c r="AE34" s="3">
        <v>125</v>
      </c>
      <c r="AF34" s="3">
        <v>75</v>
      </c>
      <c r="AG34" s="3">
        <v>44</v>
      </c>
      <c r="AH34" s="3">
        <v>46</v>
      </c>
      <c r="AI34" s="3">
        <v>63</v>
      </c>
      <c r="AJ34" s="3">
        <v>21</v>
      </c>
      <c r="AK34" s="3">
        <v>13</v>
      </c>
      <c r="AL34" s="3">
        <v>32</v>
      </c>
      <c r="AM34" s="3">
        <v>30</v>
      </c>
      <c r="AN34" s="3">
        <v>32</v>
      </c>
      <c r="AO34" s="3">
        <v>73</v>
      </c>
      <c r="AP34" s="3">
        <v>44</v>
      </c>
      <c r="AQ34" s="3">
        <v>1</v>
      </c>
    </row>
    <row r="35" spans="1:43" ht="28.15" customHeight="1">
      <c r="A35" s="19" t="s">
        <v>184</v>
      </c>
      <c r="B35" s="19" t="s">
        <v>181</v>
      </c>
      <c r="C35" s="20" t="s">
        <v>46</v>
      </c>
      <c r="D35" s="20" t="s">
        <v>32</v>
      </c>
      <c r="E35" s="20" t="s">
        <v>261</v>
      </c>
      <c r="F35" s="20">
        <v>41</v>
      </c>
      <c r="G35" s="20" t="s">
        <v>35</v>
      </c>
      <c r="H35" s="20">
        <v>56</v>
      </c>
      <c r="I35" s="33">
        <v>46</v>
      </c>
      <c r="J35" s="33">
        <v>25</v>
      </c>
      <c r="K35" s="33">
        <v>20</v>
      </c>
      <c r="L35" s="33">
        <v>31</v>
      </c>
      <c r="M35" s="33">
        <v>29</v>
      </c>
      <c r="N35" s="33">
        <v>31</v>
      </c>
      <c r="O35" s="33">
        <v>72</v>
      </c>
      <c r="P35" s="7">
        <v>41</v>
      </c>
      <c r="Q35" s="32">
        <v>102</v>
      </c>
      <c r="R35" s="31">
        <v>116</v>
      </c>
      <c r="S35" s="31">
        <v>71</v>
      </c>
      <c r="T35" s="31">
        <v>37</v>
      </c>
      <c r="U35" s="31">
        <v>27</v>
      </c>
      <c r="V35" s="31">
        <v>22</v>
      </c>
      <c r="W35" s="31">
        <v>101</v>
      </c>
      <c r="X35" s="7">
        <v>5</v>
      </c>
      <c r="Y35" s="3">
        <v>48</v>
      </c>
      <c r="Z35" s="3">
        <v>61</v>
      </c>
      <c r="AA35" s="3">
        <v>21</v>
      </c>
      <c r="AB35" s="3">
        <v>16</v>
      </c>
      <c r="AC35" s="3">
        <v>115</v>
      </c>
      <c r="AD35" s="3">
        <v>110</v>
      </c>
      <c r="AE35" s="3">
        <v>119</v>
      </c>
      <c r="AF35" s="3">
        <v>73</v>
      </c>
      <c r="AG35" s="3">
        <v>41</v>
      </c>
      <c r="AH35" s="3">
        <v>46</v>
      </c>
      <c r="AI35" s="3">
        <v>61</v>
      </c>
      <c r="AJ35" s="3">
        <v>21</v>
      </c>
      <c r="AK35" s="3">
        <v>13</v>
      </c>
      <c r="AL35" s="3">
        <v>31</v>
      </c>
      <c r="AM35" s="3">
        <v>29</v>
      </c>
      <c r="AN35" s="3">
        <v>31</v>
      </c>
      <c r="AO35" s="3">
        <v>72</v>
      </c>
      <c r="AP35" s="3">
        <v>41</v>
      </c>
      <c r="AQ35" s="3">
        <v>1</v>
      </c>
    </row>
    <row r="36" spans="1:43" ht="28.15" customHeight="1">
      <c r="A36" s="19" t="s">
        <v>185</v>
      </c>
      <c r="B36" s="19" t="s">
        <v>182</v>
      </c>
      <c r="C36" s="20" t="s">
        <v>46</v>
      </c>
      <c r="D36" s="20" t="s">
        <v>32</v>
      </c>
      <c r="E36" s="20" t="s">
        <v>261</v>
      </c>
      <c r="F36" s="20">
        <v>43</v>
      </c>
      <c r="G36" s="20" t="s">
        <v>35</v>
      </c>
      <c r="H36" s="20">
        <v>57</v>
      </c>
      <c r="I36" s="33">
        <v>46</v>
      </c>
      <c r="J36" s="33">
        <v>26</v>
      </c>
      <c r="K36" s="33">
        <v>19</v>
      </c>
      <c r="L36" s="33">
        <v>31</v>
      </c>
      <c r="M36" s="33">
        <v>30</v>
      </c>
      <c r="N36" s="33">
        <v>31</v>
      </c>
      <c r="O36" s="33">
        <v>73</v>
      </c>
      <c r="P36" s="7">
        <v>43</v>
      </c>
      <c r="Q36" s="32">
        <v>103</v>
      </c>
      <c r="R36" s="31">
        <v>115</v>
      </c>
      <c r="S36" s="31">
        <v>74</v>
      </c>
      <c r="T36" s="31">
        <v>36</v>
      </c>
      <c r="U36" s="31">
        <v>27</v>
      </c>
      <c r="V36" s="31">
        <v>22</v>
      </c>
      <c r="W36" s="31">
        <v>102</v>
      </c>
      <c r="X36" s="7">
        <v>5</v>
      </c>
      <c r="Y36" s="3">
        <v>48</v>
      </c>
      <c r="Z36" s="3">
        <v>62</v>
      </c>
      <c r="AA36" s="3">
        <v>21</v>
      </c>
      <c r="AB36" s="3">
        <v>16</v>
      </c>
      <c r="AC36" s="3">
        <v>110</v>
      </c>
      <c r="AD36" s="3">
        <v>108</v>
      </c>
      <c r="AE36" s="3">
        <v>118</v>
      </c>
      <c r="AF36" s="3">
        <v>75</v>
      </c>
      <c r="AG36" s="3">
        <v>43</v>
      </c>
      <c r="AH36" s="3">
        <v>46</v>
      </c>
      <c r="AI36" s="3">
        <v>62</v>
      </c>
      <c r="AJ36" s="3">
        <v>21</v>
      </c>
      <c r="AK36" s="3">
        <v>13</v>
      </c>
      <c r="AL36" s="3">
        <v>31</v>
      </c>
      <c r="AM36" s="3">
        <v>30</v>
      </c>
      <c r="AN36" s="3">
        <v>31</v>
      </c>
      <c r="AO36" s="3">
        <v>73</v>
      </c>
      <c r="AP36" s="3">
        <v>43</v>
      </c>
      <c r="AQ36" s="3">
        <v>1</v>
      </c>
    </row>
    <row r="37" spans="1:43" ht="28.15" customHeight="1">
      <c r="A37" s="19" t="s">
        <v>200</v>
      </c>
      <c r="B37" s="19" t="s">
        <v>203</v>
      </c>
      <c r="C37" s="20" t="s">
        <v>46</v>
      </c>
      <c r="D37" s="20" t="s">
        <v>32</v>
      </c>
      <c r="E37" s="20" t="s">
        <v>261</v>
      </c>
      <c r="F37" s="20">
        <v>42</v>
      </c>
      <c r="G37" s="20" t="s">
        <v>34</v>
      </c>
      <c r="H37" s="20">
        <v>56</v>
      </c>
      <c r="I37" s="33">
        <v>46</v>
      </c>
      <c r="J37" s="33">
        <v>26</v>
      </c>
      <c r="K37" s="33">
        <v>18</v>
      </c>
      <c r="L37" s="33">
        <v>27</v>
      </c>
      <c r="M37" s="33">
        <v>27</v>
      </c>
      <c r="N37" s="33">
        <v>27</v>
      </c>
      <c r="O37" s="33">
        <v>72</v>
      </c>
      <c r="P37" s="7">
        <v>38</v>
      </c>
      <c r="Q37" s="32">
        <v>81</v>
      </c>
      <c r="R37" s="31">
        <v>102</v>
      </c>
      <c r="S37" s="31">
        <v>65</v>
      </c>
      <c r="T37" s="31">
        <v>31</v>
      </c>
      <c r="U37" s="31">
        <v>25</v>
      </c>
      <c r="V37" s="31">
        <v>20</v>
      </c>
      <c r="W37" s="31">
        <v>102</v>
      </c>
      <c r="X37" s="7">
        <v>6</v>
      </c>
      <c r="Y37" s="3">
        <v>46</v>
      </c>
      <c r="Z37" s="3">
        <v>61</v>
      </c>
      <c r="AA37" s="3">
        <v>21</v>
      </c>
      <c r="AB37" s="3">
        <v>15</v>
      </c>
      <c r="AC37" s="3">
        <v>94</v>
      </c>
      <c r="AD37" s="3">
        <v>83</v>
      </c>
      <c r="AE37" s="3">
        <v>106</v>
      </c>
      <c r="AF37" s="3">
        <v>72</v>
      </c>
      <c r="AG37" s="3">
        <v>38</v>
      </c>
      <c r="AH37" s="3">
        <v>44</v>
      </c>
      <c r="AI37" s="3">
        <v>61</v>
      </c>
      <c r="AJ37" s="3">
        <v>21</v>
      </c>
      <c r="AK37" s="3">
        <v>12</v>
      </c>
      <c r="AL37" s="3">
        <v>27</v>
      </c>
      <c r="AM37" s="3">
        <v>27</v>
      </c>
      <c r="AN37" s="3">
        <v>27</v>
      </c>
      <c r="AO37" s="3">
        <v>72</v>
      </c>
      <c r="AP37" s="3">
        <v>38</v>
      </c>
      <c r="AQ37" s="3">
        <v>1</v>
      </c>
    </row>
    <row r="38" spans="1:43" ht="28.15" customHeight="1">
      <c r="A38" s="19" t="s">
        <v>201</v>
      </c>
      <c r="B38" s="19" t="s">
        <v>205</v>
      </c>
      <c r="C38" s="20" t="s">
        <v>46</v>
      </c>
      <c r="D38" s="20" t="s">
        <v>32</v>
      </c>
      <c r="E38" s="20" t="s">
        <v>261</v>
      </c>
      <c r="F38" s="20">
        <v>40</v>
      </c>
      <c r="G38" s="20" t="s">
        <v>34</v>
      </c>
      <c r="H38" s="20">
        <v>60</v>
      </c>
      <c r="I38" s="33">
        <v>43</v>
      </c>
      <c r="J38" s="33">
        <v>24</v>
      </c>
      <c r="K38" s="33">
        <v>18</v>
      </c>
      <c r="L38" s="33">
        <v>29</v>
      </c>
      <c r="M38" s="33">
        <v>27</v>
      </c>
      <c r="N38" s="33">
        <v>29</v>
      </c>
      <c r="O38" s="33">
        <v>68</v>
      </c>
      <c r="P38" s="7">
        <v>40</v>
      </c>
      <c r="Q38" s="32">
        <v>92</v>
      </c>
      <c r="R38" s="31">
        <v>108</v>
      </c>
      <c r="S38" s="31">
        <v>66</v>
      </c>
      <c r="T38" s="31">
        <v>34</v>
      </c>
      <c r="U38" s="31">
        <v>25</v>
      </c>
      <c r="V38" s="31">
        <v>19</v>
      </c>
      <c r="W38" s="31">
        <v>94</v>
      </c>
      <c r="X38" s="7">
        <v>7</v>
      </c>
      <c r="Y38" s="3">
        <v>46</v>
      </c>
      <c r="Z38" s="3">
        <v>56</v>
      </c>
      <c r="AA38" s="3">
        <v>20</v>
      </c>
      <c r="AB38" s="3">
        <v>15</v>
      </c>
      <c r="AC38" s="3">
        <v>100</v>
      </c>
      <c r="AD38" s="3">
        <v>97</v>
      </c>
      <c r="AE38" s="3">
        <v>110</v>
      </c>
      <c r="AF38" s="3">
        <v>70</v>
      </c>
      <c r="AG38" s="3">
        <v>40</v>
      </c>
      <c r="AH38" s="3">
        <v>44</v>
      </c>
      <c r="AI38" s="3">
        <v>56</v>
      </c>
      <c r="AJ38" s="3">
        <v>20</v>
      </c>
      <c r="AK38" s="3">
        <v>13</v>
      </c>
      <c r="AL38" s="3">
        <v>29</v>
      </c>
      <c r="AM38" s="3">
        <v>27</v>
      </c>
      <c r="AN38" s="3">
        <v>29</v>
      </c>
      <c r="AO38" s="3">
        <v>68</v>
      </c>
      <c r="AP38" s="3">
        <v>40</v>
      </c>
      <c r="AQ38" s="3">
        <v>1</v>
      </c>
    </row>
    <row r="39" spans="1:43" ht="28.15" customHeight="1">
      <c r="A39" s="19" t="s">
        <v>202</v>
      </c>
      <c r="B39" s="19" t="s">
        <v>206</v>
      </c>
      <c r="C39" s="20" t="s">
        <v>46</v>
      </c>
      <c r="D39" s="20" t="s">
        <v>32</v>
      </c>
      <c r="E39" s="20" t="s">
        <v>261</v>
      </c>
      <c r="F39" s="20">
        <v>41</v>
      </c>
      <c r="G39" s="20" t="s">
        <v>34</v>
      </c>
      <c r="H39" s="20">
        <v>57</v>
      </c>
      <c r="I39" s="33">
        <v>43</v>
      </c>
      <c r="J39" s="33">
        <v>25</v>
      </c>
      <c r="K39" s="33">
        <v>18</v>
      </c>
      <c r="L39" s="33">
        <v>29</v>
      </c>
      <c r="M39" s="33">
        <v>27</v>
      </c>
      <c r="N39" s="33">
        <v>29</v>
      </c>
      <c r="O39" s="33">
        <v>70</v>
      </c>
      <c r="P39" s="7">
        <v>40</v>
      </c>
      <c r="Q39" s="32">
        <v>90</v>
      </c>
      <c r="R39" s="31">
        <v>106</v>
      </c>
      <c r="S39" s="31">
        <v>66</v>
      </c>
      <c r="T39" s="31">
        <v>33</v>
      </c>
      <c r="U39" s="31">
        <v>24</v>
      </c>
      <c r="V39" s="31">
        <v>19</v>
      </c>
      <c r="W39" s="31">
        <v>95</v>
      </c>
      <c r="X39" s="7">
        <v>7</v>
      </c>
      <c r="Y39" s="3">
        <v>47</v>
      </c>
      <c r="Z39" s="3">
        <v>56</v>
      </c>
      <c r="AA39" s="3">
        <v>19</v>
      </c>
      <c r="AB39" s="3">
        <v>14</v>
      </c>
      <c r="AC39" s="3">
        <v>102</v>
      </c>
      <c r="AD39" s="3">
        <v>96</v>
      </c>
      <c r="AE39" s="3">
        <v>108</v>
      </c>
      <c r="AF39" s="3">
        <v>71</v>
      </c>
      <c r="AG39" s="3">
        <v>40</v>
      </c>
      <c r="AH39" s="3">
        <v>45</v>
      </c>
      <c r="AI39" s="3">
        <v>56</v>
      </c>
      <c r="AJ39" s="3">
        <v>19</v>
      </c>
      <c r="AK39" s="3">
        <v>12</v>
      </c>
      <c r="AL39" s="3">
        <v>29</v>
      </c>
      <c r="AM39" s="3">
        <v>27</v>
      </c>
      <c r="AN39" s="3">
        <v>29</v>
      </c>
      <c r="AO39" s="3">
        <v>70</v>
      </c>
      <c r="AP39" s="3">
        <v>40</v>
      </c>
      <c r="AQ39" s="3">
        <v>1</v>
      </c>
    </row>
    <row r="40" spans="1:43" ht="28.15" customHeight="1">
      <c r="A40" s="19" t="s">
        <v>204</v>
      </c>
      <c r="B40" s="19" t="s">
        <v>207</v>
      </c>
      <c r="C40" s="20" t="s">
        <v>46</v>
      </c>
      <c r="D40" s="20" t="s">
        <v>32</v>
      </c>
      <c r="E40" s="20" t="s">
        <v>261</v>
      </c>
      <c r="F40" s="20">
        <v>40</v>
      </c>
      <c r="G40" s="20" t="s">
        <v>33</v>
      </c>
      <c r="H40" s="20"/>
      <c r="I40" s="33">
        <v>44</v>
      </c>
      <c r="J40" s="33">
        <v>24</v>
      </c>
      <c r="K40" s="33">
        <v>19</v>
      </c>
      <c r="L40" s="33">
        <v>29</v>
      </c>
      <c r="M40" s="33">
        <v>28</v>
      </c>
      <c r="N40" s="33">
        <v>29</v>
      </c>
      <c r="O40" s="33">
        <v>71</v>
      </c>
      <c r="P40" s="7">
        <v>40</v>
      </c>
      <c r="Q40" s="32">
        <v>93</v>
      </c>
      <c r="R40" s="31">
        <v>116</v>
      </c>
      <c r="S40" s="31">
        <v>70</v>
      </c>
      <c r="T40" s="31">
        <v>36</v>
      </c>
      <c r="U40" s="31">
        <v>28</v>
      </c>
      <c r="V40" s="31">
        <v>22</v>
      </c>
      <c r="W40" s="31">
        <v>98</v>
      </c>
      <c r="X40" s="7">
        <v>7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ht="28.15" customHeight="1">
      <c r="A41" s="19" t="s">
        <v>71</v>
      </c>
      <c r="B41" s="19" t="s">
        <v>54</v>
      </c>
      <c r="C41" s="20" t="s">
        <v>55</v>
      </c>
      <c r="D41" s="20" t="s">
        <v>32</v>
      </c>
      <c r="E41" s="20" t="s">
        <v>261</v>
      </c>
      <c r="F41" s="20">
        <v>41</v>
      </c>
      <c r="G41" s="20" t="s">
        <v>33</v>
      </c>
      <c r="H41" s="20">
        <v>57</v>
      </c>
      <c r="I41" s="33">
        <v>46</v>
      </c>
      <c r="J41" s="33">
        <v>26</v>
      </c>
      <c r="K41" s="33">
        <v>20</v>
      </c>
      <c r="L41" s="33">
        <v>32</v>
      </c>
      <c r="M41" s="33">
        <v>31</v>
      </c>
      <c r="N41" s="33">
        <v>33</v>
      </c>
      <c r="O41" s="33">
        <v>74</v>
      </c>
      <c r="P41" s="33">
        <v>42</v>
      </c>
      <c r="Q41" s="33">
        <v>105</v>
      </c>
      <c r="R41" s="33">
        <v>121</v>
      </c>
      <c r="S41" s="33">
        <v>72</v>
      </c>
      <c r="T41" s="33">
        <v>39</v>
      </c>
      <c r="U41" s="33">
        <v>28</v>
      </c>
      <c r="V41" s="33">
        <v>22</v>
      </c>
      <c r="W41" s="33">
        <v>97</v>
      </c>
      <c r="X41" s="7"/>
      <c r="Y41" s="3">
        <v>50</v>
      </c>
      <c r="Z41" s="3">
        <v>59</v>
      </c>
      <c r="AA41" s="3">
        <v>21</v>
      </c>
      <c r="AB41" s="3">
        <v>16</v>
      </c>
      <c r="AC41" s="3">
        <v>120</v>
      </c>
      <c r="AD41" s="3">
        <v>115</v>
      </c>
      <c r="AE41" s="3">
        <v>125</v>
      </c>
      <c r="AF41" s="3">
        <v>75</v>
      </c>
      <c r="AG41" s="3">
        <v>42</v>
      </c>
      <c r="AH41" s="3">
        <v>46</v>
      </c>
      <c r="AI41" s="3">
        <v>59</v>
      </c>
      <c r="AJ41" s="3">
        <v>20</v>
      </c>
      <c r="AK41" s="3">
        <v>13</v>
      </c>
      <c r="AL41" s="3">
        <v>32</v>
      </c>
      <c r="AM41" s="3">
        <v>31</v>
      </c>
      <c r="AN41" s="3">
        <v>32</v>
      </c>
      <c r="AO41" s="3">
        <v>74</v>
      </c>
      <c r="AP41" s="3">
        <v>42</v>
      </c>
      <c r="AQ41" s="3">
        <v>1</v>
      </c>
    </row>
    <row r="42" spans="1:43" ht="28.15" customHeight="1">
      <c r="A42" s="19" t="s">
        <v>72</v>
      </c>
      <c r="B42" s="19" t="s">
        <v>56</v>
      </c>
      <c r="C42" s="20" t="s">
        <v>55</v>
      </c>
      <c r="D42" s="20" t="s">
        <v>32</v>
      </c>
      <c r="E42" s="20" t="s">
        <v>261</v>
      </c>
      <c r="F42" s="20">
        <v>41</v>
      </c>
      <c r="G42" s="20" t="s">
        <v>34</v>
      </c>
      <c r="H42" s="20">
        <v>56</v>
      </c>
      <c r="I42" s="33">
        <v>43</v>
      </c>
      <c r="J42" s="33">
        <v>24</v>
      </c>
      <c r="K42" s="33">
        <v>17</v>
      </c>
      <c r="L42" s="33">
        <v>29</v>
      </c>
      <c r="M42" s="33">
        <v>27</v>
      </c>
      <c r="N42" s="33">
        <v>28</v>
      </c>
      <c r="O42" s="33">
        <v>71</v>
      </c>
      <c r="P42" s="33">
        <v>38</v>
      </c>
      <c r="Q42" s="33">
        <v>88</v>
      </c>
      <c r="R42" s="33">
        <v>108</v>
      </c>
      <c r="S42" s="33">
        <v>68</v>
      </c>
      <c r="T42" s="33">
        <v>34</v>
      </c>
      <c r="U42" s="33">
        <v>26</v>
      </c>
      <c r="V42" s="33">
        <v>20</v>
      </c>
      <c r="W42" s="33">
        <v>97</v>
      </c>
      <c r="X42" s="7"/>
      <c r="Y42" s="3">
        <v>46</v>
      </c>
      <c r="Z42" s="3">
        <v>60</v>
      </c>
      <c r="AA42" s="3">
        <v>19</v>
      </c>
      <c r="AB42" s="3">
        <v>14</v>
      </c>
      <c r="AC42" s="3">
        <v>103</v>
      </c>
      <c r="AD42" s="3">
        <v>98</v>
      </c>
      <c r="AE42" s="3">
        <v>112</v>
      </c>
      <c r="AF42" s="3">
        <v>72</v>
      </c>
      <c r="AG42" s="3">
        <v>38</v>
      </c>
      <c r="AH42" s="3">
        <v>43</v>
      </c>
      <c r="AI42" s="3">
        <v>60</v>
      </c>
      <c r="AJ42" s="3">
        <v>18</v>
      </c>
      <c r="AK42" s="3">
        <v>13</v>
      </c>
      <c r="AL42" s="3">
        <v>28</v>
      </c>
      <c r="AM42" s="3">
        <v>27</v>
      </c>
      <c r="AN42" s="3">
        <v>28</v>
      </c>
      <c r="AO42" s="3">
        <v>71</v>
      </c>
      <c r="AP42" s="3">
        <v>38</v>
      </c>
      <c r="AQ42" s="3">
        <v>1</v>
      </c>
    </row>
    <row r="43" spans="1:43" ht="28.15" customHeight="1">
      <c r="A43" s="19" t="s">
        <v>73</v>
      </c>
      <c r="B43" s="19" t="s">
        <v>57</v>
      </c>
      <c r="C43" s="20" t="s">
        <v>55</v>
      </c>
      <c r="D43" s="20" t="s">
        <v>32</v>
      </c>
      <c r="E43" s="20" t="s">
        <v>261</v>
      </c>
      <c r="F43" s="20">
        <v>41</v>
      </c>
      <c r="G43" s="20" t="s">
        <v>34</v>
      </c>
      <c r="H43" s="20">
        <v>56</v>
      </c>
      <c r="I43" s="33">
        <v>40</v>
      </c>
      <c r="J43" s="33">
        <v>22</v>
      </c>
      <c r="K43" s="33">
        <v>18</v>
      </c>
      <c r="L43" s="33">
        <v>27</v>
      </c>
      <c r="M43" s="33">
        <v>26</v>
      </c>
      <c r="N43" s="33">
        <v>27</v>
      </c>
      <c r="O43" s="33">
        <v>69</v>
      </c>
      <c r="P43" s="33">
        <v>39</v>
      </c>
      <c r="Q43" s="33">
        <v>82</v>
      </c>
      <c r="R43" s="33">
        <v>102</v>
      </c>
      <c r="S43" s="33">
        <v>67</v>
      </c>
      <c r="T43" s="33">
        <v>33</v>
      </c>
      <c r="U43" s="33">
        <v>26</v>
      </c>
      <c r="V43" s="33">
        <v>20</v>
      </c>
      <c r="W43" s="33">
        <v>97</v>
      </c>
      <c r="X43" s="7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ht="28.15" customHeight="1">
      <c r="A44" s="19" t="s">
        <v>74</v>
      </c>
      <c r="B44" s="19" t="s">
        <v>58</v>
      </c>
      <c r="C44" s="20" t="s">
        <v>55</v>
      </c>
      <c r="D44" s="20" t="s">
        <v>32</v>
      </c>
      <c r="E44" s="20" t="s">
        <v>261</v>
      </c>
      <c r="F44" s="20">
        <v>41</v>
      </c>
      <c r="G44" s="20" t="s">
        <v>36</v>
      </c>
      <c r="H44" s="20">
        <v>55</v>
      </c>
      <c r="I44" s="33">
        <v>41</v>
      </c>
      <c r="J44" s="33">
        <v>24</v>
      </c>
      <c r="K44" s="33">
        <v>17</v>
      </c>
      <c r="L44" s="33">
        <v>26</v>
      </c>
      <c r="M44" s="33">
        <v>23</v>
      </c>
      <c r="N44" s="33">
        <v>26</v>
      </c>
      <c r="O44" s="33">
        <v>66</v>
      </c>
      <c r="P44" s="33">
        <v>37</v>
      </c>
      <c r="Q44" s="33">
        <v>79</v>
      </c>
      <c r="R44" s="33">
        <v>99</v>
      </c>
      <c r="S44" s="33">
        <v>65</v>
      </c>
      <c r="T44" s="33">
        <v>33</v>
      </c>
      <c r="U44" s="33">
        <v>25</v>
      </c>
      <c r="V44" s="33">
        <v>19</v>
      </c>
      <c r="W44" s="33">
        <v>96</v>
      </c>
      <c r="X44" s="7"/>
      <c r="Y44" s="3">
        <v>44</v>
      </c>
      <c r="Z44" s="3">
        <v>56</v>
      </c>
      <c r="AA44" s="3">
        <v>18</v>
      </c>
      <c r="AB44" s="3">
        <v>14</v>
      </c>
      <c r="AC44" s="3">
        <v>99</v>
      </c>
      <c r="AD44" s="3">
        <v>89</v>
      </c>
      <c r="AE44" s="3">
        <v>107</v>
      </c>
      <c r="AF44" s="3">
        <v>69</v>
      </c>
      <c r="AG44" s="3">
        <v>41</v>
      </c>
      <c r="AH44" s="3">
        <v>41</v>
      </c>
      <c r="AI44" s="3">
        <v>56</v>
      </c>
      <c r="AJ44" s="3">
        <v>16</v>
      </c>
      <c r="AK44" s="3">
        <v>12</v>
      </c>
      <c r="AL44" s="3">
        <v>26</v>
      </c>
      <c r="AM44" s="3">
        <v>23</v>
      </c>
      <c r="AN44" s="3">
        <v>26</v>
      </c>
      <c r="AO44" s="3">
        <v>67</v>
      </c>
      <c r="AP44" s="3">
        <v>37</v>
      </c>
      <c r="AQ44" s="3">
        <v>1</v>
      </c>
    </row>
    <row r="45" spans="1:43" ht="28.15" customHeight="1">
      <c r="A45" s="19" t="s">
        <v>75</v>
      </c>
      <c r="B45" s="19" t="s">
        <v>59</v>
      </c>
      <c r="C45" s="20" t="s">
        <v>55</v>
      </c>
      <c r="D45" s="20" t="s">
        <v>32</v>
      </c>
      <c r="E45" s="20" t="s">
        <v>261</v>
      </c>
      <c r="F45" s="20">
        <v>40</v>
      </c>
      <c r="G45" s="20" t="s">
        <v>36</v>
      </c>
      <c r="H45" s="20">
        <v>55</v>
      </c>
      <c r="I45" s="33">
        <v>39</v>
      </c>
      <c r="J45" s="33">
        <v>24</v>
      </c>
      <c r="K45" s="33">
        <v>17</v>
      </c>
      <c r="L45" s="33">
        <v>26</v>
      </c>
      <c r="M45" s="33">
        <v>23</v>
      </c>
      <c r="N45" s="33">
        <v>26</v>
      </c>
      <c r="O45" s="33">
        <v>67</v>
      </c>
      <c r="P45" s="33">
        <v>38</v>
      </c>
      <c r="Q45" s="33">
        <v>79</v>
      </c>
      <c r="R45" s="33">
        <v>99</v>
      </c>
      <c r="S45" s="33">
        <v>63</v>
      </c>
      <c r="T45" s="33">
        <v>32</v>
      </c>
      <c r="U45" s="33">
        <v>25</v>
      </c>
      <c r="V45" s="33">
        <v>19</v>
      </c>
      <c r="W45" s="33">
        <v>97</v>
      </c>
      <c r="X45" s="7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ht="28.15" customHeight="1">
      <c r="A46" s="19" t="s">
        <v>76</v>
      </c>
      <c r="B46" s="19" t="s">
        <v>60</v>
      </c>
      <c r="C46" s="20" t="s">
        <v>55</v>
      </c>
      <c r="D46" s="20" t="s">
        <v>32</v>
      </c>
      <c r="E46" s="20" t="s">
        <v>261</v>
      </c>
      <c r="F46" s="20">
        <v>42</v>
      </c>
      <c r="G46" s="20" t="s">
        <v>33</v>
      </c>
      <c r="H46" s="20">
        <v>57</v>
      </c>
      <c r="I46" s="33">
        <v>43</v>
      </c>
      <c r="J46" s="33">
        <v>25</v>
      </c>
      <c r="K46" s="33">
        <v>19</v>
      </c>
      <c r="L46" s="33">
        <v>29</v>
      </c>
      <c r="M46" s="33">
        <v>27</v>
      </c>
      <c r="N46" s="33">
        <v>29</v>
      </c>
      <c r="O46" s="33">
        <v>72</v>
      </c>
      <c r="P46" s="33">
        <v>42</v>
      </c>
      <c r="Q46" s="33">
        <v>91</v>
      </c>
      <c r="R46" s="33">
        <v>111</v>
      </c>
      <c r="S46" s="33">
        <v>66</v>
      </c>
      <c r="T46" s="33">
        <v>34</v>
      </c>
      <c r="U46" s="33">
        <v>26</v>
      </c>
      <c r="V46" s="33">
        <v>20</v>
      </c>
      <c r="W46" s="33">
        <v>98</v>
      </c>
      <c r="X46" s="7"/>
      <c r="Y46" s="3">
        <v>46</v>
      </c>
      <c r="Z46" s="3">
        <v>62.5</v>
      </c>
      <c r="AA46" s="3">
        <v>20</v>
      </c>
      <c r="AB46" s="3">
        <v>15</v>
      </c>
      <c r="AC46" s="3">
        <v>106</v>
      </c>
      <c r="AD46" s="3">
        <v>101</v>
      </c>
      <c r="AE46" s="3">
        <v>115</v>
      </c>
      <c r="AF46" s="3">
        <v>73</v>
      </c>
      <c r="AG46" s="3">
        <v>42</v>
      </c>
      <c r="AH46" s="3">
        <v>43</v>
      </c>
      <c r="AI46" s="3">
        <v>62</v>
      </c>
      <c r="AJ46" s="3">
        <v>18</v>
      </c>
      <c r="AK46" s="3">
        <v>13</v>
      </c>
      <c r="AL46" s="3">
        <v>29</v>
      </c>
      <c r="AM46" s="3">
        <v>27</v>
      </c>
      <c r="AN46" s="3">
        <v>29</v>
      </c>
      <c r="AO46" s="3">
        <v>72</v>
      </c>
      <c r="AP46" s="3">
        <v>42</v>
      </c>
      <c r="AQ46" s="3">
        <v>1</v>
      </c>
    </row>
    <row r="47" spans="1:43" ht="28.15" customHeight="1">
      <c r="A47" s="19" t="s">
        <v>77</v>
      </c>
      <c r="B47" s="19" t="s">
        <v>61</v>
      </c>
      <c r="C47" s="20" t="s">
        <v>55</v>
      </c>
      <c r="D47" s="20" t="s">
        <v>32</v>
      </c>
      <c r="E47" s="20" t="s">
        <v>261</v>
      </c>
      <c r="F47" s="20">
        <v>42</v>
      </c>
      <c r="G47" s="20" t="s">
        <v>33</v>
      </c>
      <c r="H47" s="20">
        <v>57</v>
      </c>
      <c r="I47" s="33">
        <v>45</v>
      </c>
      <c r="J47" s="33">
        <v>26</v>
      </c>
      <c r="K47" s="33">
        <v>20</v>
      </c>
      <c r="L47" s="33">
        <v>31</v>
      </c>
      <c r="M47" s="33">
        <v>30</v>
      </c>
      <c r="N47" s="33">
        <v>31</v>
      </c>
      <c r="O47" s="33">
        <v>72</v>
      </c>
      <c r="P47" s="33">
        <v>43</v>
      </c>
      <c r="Q47" s="33">
        <v>100</v>
      </c>
      <c r="R47" s="33">
        <v>119</v>
      </c>
      <c r="S47" s="33">
        <v>72</v>
      </c>
      <c r="T47" s="33">
        <v>38</v>
      </c>
      <c r="U47" s="33">
        <v>27</v>
      </c>
      <c r="V47" s="33">
        <v>22</v>
      </c>
      <c r="W47" s="33">
        <v>95</v>
      </c>
      <c r="X47" s="7"/>
      <c r="Y47" s="3">
        <v>48</v>
      </c>
      <c r="Z47" s="3">
        <v>56</v>
      </c>
      <c r="AA47" s="3">
        <v>20</v>
      </c>
      <c r="AB47" s="3">
        <v>15</v>
      </c>
      <c r="AC47" s="3">
        <v>115</v>
      </c>
      <c r="AD47" s="3">
        <v>110</v>
      </c>
      <c r="AE47" s="3">
        <v>124</v>
      </c>
      <c r="AF47" s="3">
        <v>73</v>
      </c>
      <c r="AG47" s="3">
        <v>43</v>
      </c>
      <c r="AH47" s="3">
        <v>45</v>
      </c>
      <c r="AI47" s="3">
        <v>56</v>
      </c>
      <c r="AJ47" s="3">
        <v>19</v>
      </c>
      <c r="AK47" s="3">
        <v>13</v>
      </c>
      <c r="AL47" s="3">
        <v>31</v>
      </c>
      <c r="AM47" s="3">
        <v>30</v>
      </c>
      <c r="AN47" s="3">
        <v>31</v>
      </c>
      <c r="AO47" s="3">
        <v>72</v>
      </c>
      <c r="AP47" s="3">
        <v>43</v>
      </c>
      <c r="AQ47" s="3">
        <v>1</v>
      </c>
    </row>
    <row r="48" spans="1:43" ht="28.15" customHeight="1">
      <c r="A48" s="19" t="s">
        <v>78</v>
      </c>
      <c r="B48" s="19" t="s">
        <v>62</v>
      </c>
      <c r="C48" s="20" t="s">
        <v>55</v>
      </c>
      <c r="D48" s="20" t="s">
        <v>32</v>
      </c>
      <c r="E48" s="20" t="s">
        <v>261</v>
      </c>
      <c r="F48" s="20">
        <v>39</v>
      </c>
      <c r="G48" s="20" t="s">
        <v>34</v>
      </c>
      <c r="H48" s="20">
        <v>55</v>
      </c>
      <c r="I48" s="33">
        <v>41</v>
      </c>
      <c r="J48" s="33">
        <v>24</v>
      </c>
      <c r="K48" s="33">
        <v>17</v>
      </c>
      <c r="L48" s="33">
        <v>27</v>
      </c>
      <c r="M48" s="33">
        <v>25</v>
      </c>
      <c r="N48" s="33">
        <v>27</v>
      </c>
      <c r="O48" s="33">
        <v>68</v>
      </c>
      <c r="P48" s="33">
        <v>41</v>
      </c>
      <c r="Q48" s="33">
        <v>82</v>
      </c>
      <c r="R48" s="33">
        <v>98</v>
      </c>
      <c r="S48" s="33">
        <v>68</v>
      </c>
      <c r="T48" s="33">
        <v>33</v>
      </c>
      <c r="U48" s="33">
        <v>26</v>
      </c>
      <c r="V48" s="33">
        <v>20</v>
      </c>
      <c r="W48" s="33">
        <v>99</v>
      </c>
      <c r="X48" s="7"/>
      <c r="Y48" s="3">
        <v>45</v>
      </c>
      <c r="Z48" s="3">
        <v>59</v>
      </c>
      <c r="AA48" s="3">
        <v>19</v>
      </c>
      <c r="AB48" s="3">
        <v>14</v>
      </c>
      <c r="AC48" s="3">
        <v>97</v>
      </c>
      <c r="AD48" s="3">
        <v>92</v>
      </c>
      <c r="AE48" s="3">
        <v>103</v>
      </c>
      <c r="AF48" s="3">
        <v>69</v>
      </c>
      <c r="AG48" s="3">
        <v>41</v>
      </c>
      <c r="AH48" s="3">
        <v>41</v>
      </c>
      <c r="AI48" s="3">
        <v>59</v>
      </c>
      <c r="AJ48" s="3">
        <v>17</v>
      </c>
      <c r="AK48" s="3">
        <v>12</v>
      </c>
      <c r="AL48" s="3">
        <v>27</v>
      </c>
      <c r="AM48" s="3">
        <v>25</v>
      </c>
      <c r="AN48" s="3">
        <v>27</v>
      </c>
      <c r="AO48" s="3">
        <v>68</v>
      </c>
      <c r="AP48" s="3">
        <v>41</v>
      </c>
      <c r="AQ48" s="3">
        <v>1</v>
      </c>
    </row>
    <row r="49" spans="1:43" ht="28.15" customHeight="1">
      <c r="A49" s="19" t="s">
        <v>94</v>
      </c>
      <c r="B49" s="9" t="s">
        <v>90</v>
      </c>
      <c r="C49" s="20" t="s">
        <v>55</v>
      </c>
      <c r="D49" s="20" t="s">
        <v>32</v>
      </c>
      <c r="E49" s="20" t="s">
        <v>261</v>
      </c>
      <c r="F49" s="8">
        <v>42</v>
      </c>
      <c r="G49" s="8" t="s">
        <v>35</v>
      </c>
      <c r="H49" s="8">
        <v>57</v>
      </c>
      <c r="I49" s="10">
        <v>48</v>
      </c>
      <c r="J49" s="10">
        <v>26</v>
      </c>
      <c r="K49" s="10">
        <v>20</v>
      </c>
      <c r="L49" s="10">
        <v>36</v>
      </c>
      <c r="M49" s="10">
        <v>36</v>
      </c>
      <c r="N49" s="10">
        <v>36</v>
      </c>
      <c r="O49" s="10">
        <v>71</v>
      </c>
      <c r="P49" s="10">
        <v>43</v>
      </c>
      <c r="Q49" s="10">
        <v>113</v>
      </c>
      <c r="R49" s="10">
        <v>118</v>
      </c>
      <c r="S49" s="10">
        <v>72</v>
      </c>
      <c r="T49" s="10">
        <v>36</v>
      </c>
      <c r="U49" s="10">
        <v>26</v>
      </c>
      <c r="V49" s="10">
        <v>20</v>
      </c>
      <c r="W49" s="10">
        <v>89</v>
      </c>
      <c r="X49" s="7">
        <v>2</v>
      </c>
      <c r="Y49" s="3">
        <v>51</v>
      </c>
      <c r="Z49" s="3">
        <v>59</v>
      </c>
      <c r="AA49" s="3">
        <v>21</v>
      </c>
      <c r="AB49" s="3">
        <v>16</v>
      </c>
      <c r="AC49" s="3">
        <v>124</v>
      </c>
      <c r="AD49" s="3">
        <v>124</v>
      </c>
      <c r="AE49" s="3">
        <v>124</v>
      </c>
      <c r="AF49" s="3">
        <v>72</v>
      </c>
      <c r="AG49" s="3">
        <v>43</v>
      </c>
      <c r="AH49" s="3">
        <v>48</v>
      </c>
      <c r="AI49" s="3">
        <v>59</v>
      </c>
      <c r="AJ49" s="3">
        <v>20</v>
      </c>
      <c r="AK49" s="3">
        <v>13</v>
      </c>
      <c r="AL49" s="3">
        <v>36</v>
      </c>
      <c r="AM49" s="3">
        <v>36</v>
      </c>
      <c r="AN49" s="3">
        <v>36</v>
      </c>
      <c r="AO49" s="3">
        <v>71</v>
      </c>
      <c r="AP49" s="3">
        <v>43</v>
      </c>
      <c r="AQ49" s="3">
        <v>1</v>
      </c>
    </row>
    <row r="50" spans="1:43" ht="28.15" customHeight="1">
      <c r="A50" s="19" t="s">
        <v>95</v>
      </c>
      <c r="B50" s="9" t="s">
        <v>91</v>
      </c>
      <c r="C50" s="20" t="s">
        <v>55</v>
      </c>
      <c r="D50" s="20" t="s">
        <v>32</v>
      </c>
      <c r="E50" s="20" t="s">
        <v>261</v>
      </c>
      <c r="F50" s="8">
        <v>40</v>
      </c>
      <c r="G50" s="8" t="s">
        <v>34</v>
      </c>
      <c r="H50" s="8">
        <v>57</v>
      </c>
      <c r="I50" s="10">
        <v>43</v>
      </c>
      <c r="J50" s="10">
        <v>25</v>
      </c>
      <c r="K50" s="10">
        <v>17</v>
      </c>
      <c r="L50" s="10">
        <v>27</v>
      </c>
      <c r="M50" s="10">
        <v>25</v>
      </c>
      <c r="N50" s="10">
        <v>27</v>
      </c>
      <c r="O50" s="10">
        <v>72</v>
      </c>
      <c r="P50" s="10">
        <v>41</v>
      </c>
      <c r="Q50" s="10">
        <v>86</v>
      </c>
      <c r="R50" s="10">
        <v>101</v>
      </c>
      <c r="S50" s="10">
        <v>65</v>
      </c>
      <c r="T50" s="10">
        <v>32</v>
      </c>
      <c r="U50" s="10">
        <v>26</v>
      </c>
      <c r="V50" s="10">
        <v>20</v>
      </c>
      <c r="W50" s="10">
        <v>97</v>
      </c>
      <c r="X50" s="7">
        <v>2</v>
      </c>
      <c r="Y50" s="3">
        <v>46</v>
      </c>
      <c r="Z50" s="3">
        <v>59</v>
      </c>
      <c r="AA50" s="3">
        <v>19</v>
      </c>
      <c r="AB50" s="3">
        <v>14</v>
      </c>
      <c r="AC50" s="3">
        <v>100</v>
      </c>
      <c r="AD50" s="3">
        <v>94</v>
      </c>
      <c r="AE50" s="3">
        <v>107</v>
      </c>
      <c r="AF50" s="3">
        <v>73</v>
      </c>
      <c r="AG50" s="3">
        <v>41</v>
      </c>
      <c r="AH50" s="3">
        <v>43</v>
      </c>
      <c r="AI50" s="3">
        <v>59</v>
      </c>
      <c r="AJ50" s="3">
        <v>18</v>
      </c>
      <c r="AK50" s="3">
        <v>13</v>
      </c>
      <c r="AL50" s="3">
        <v>27</v>
      </c>
      <c r="AM50" s="3">
        <v>25</v>
      </c>
      <c r="AN50" s="3">
        <v>27</v>
      </c>
      <c r="AO50" s="3">
        <v>72</v>
      </c>
      <c r="AP50" s="3">
        <v>41</v>
      </c>
      <c r="AQ50" s="3">
        <v>1</v>
      </c>
    </row>
    <row r="51" spans="1:43" ht="28.15" customHeight="1">
      <c r="A51" s="19" t="s">
        <v>96</v>
      </c>
      <c r="B51" s="9" t="s">
        <v>92</v>
      </c>
      <c r="C51" s="20" t="s">
        <v>55</v>
      </c>
      <c r="D51" s="20" t="s">
        <v>32</v>
      </c>
      <c r="E51" s="20" t="s">
        <v>261</v>
      </c>
      <c r="F51" s="8">
        <v>42</v>
      </c>
      <c r="G51" s="8" t="s">
        <v>33</v>
      </c>
      <c r="H51" s="8">
        <v>57</v>
      </c>
      <c r="I51" s="10">
        <v>45</v>
      </c>
      <c r="J51" s="10">
        <v>25</v>
      </c>
      <c r="K51" s="10">
        <v>19</v>
      </c>
      <c r="L51" s="10">
        <v>30</v>
      </c>
      <c r="M51" s="10">
        <v>28</v>
      </c>
      <c r="N51" s="10">
        <v>30</v>
      </c>
      <c r="O51" s="10">
        <v>72</v>
      </c>
      <c r="P51" s="10">
        <v>43</v>
      </c>
      <c r="Q51" s="10">
        <v>93</v>
      </c>
      <c r="R51" s="10">
        <v>105</v>
      </c>
      <c r="S51" s="10">
        <v>68</v>
      </c>
      <c r="T51" s="10">
        <v>34</v>
      </c>
      <c r="U51" s="10">
        <v>26</v>
      </c>
      <c r="V51" s="10">
        <v>20</v>
      </c>
      <c r="W51" s="10">
        <v>100</v>
      </c>
      <c r="X51" s="7">
        <v>2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ht="28.15" customHeight="1">
      <c r="A52" s="19" t="s">
        <v>97</v>
      </c>
      <c r="B52" s="9" t="s">
        <v>93</v>
      </c>
      <c r="C52" s="20" t="s">
        <v>55</v>
      </c>
      <c r="D52" s="20" t="s">
        <v>32</v>
      </c>
      <c r="E52" s="20" t="s">
        <v>261</v>
      </c>
      <c r="F52" s="8">
        <v>41</v>
      </c>
      <c r="G52" s="8" t="s">
        <v>35</v>
      </c>
      <c r="H52" s="8">
        <v>56</v>
      </c>
      <c r="I52" s="10">
        <v>47</v>
      </c>
      <c r="J52" s="10">
        <v>26</v>
      </c>
      <c r="K52" s="10">
        <v>21</v>
      </c>
      <c r="L52" s="10">
        <v>32</v>
      </c>
      <c r="M52" s="10">
        <v>32</v>
      </c>
      <c r="N52" s="10">
        <v>32</v>
      </c>
      <c r="O52" s="10">
        <v>71</v>
      </c>
      <c r="P52" s="10">
        <v>46</v>
      </c>
      <c r="Q52" s="10">
        <v>107</v>
      </c>
      <c r="R52" s="10">
        <v>120</v>
      </c>
      <c r="S52" s="10">
        <v>72</v>
      </c>
      <c r="T52" s="10">
        <v>39</v>
      </c>
      <c r="U52" s="10">
        <v>29</v>
      </c>
      <c r="V52" s="10">
        <v>23</v>
      </c>
      <c r="W52" s="10">
        <v>90</v>
      </c>
      <c r="X52" s="7">
        <v>2</v>
      </c>
      <c r="Y52" s="3">
        <v>50</v>
      </c>
      <c r="Z52" s="3">
        <v>57</v>
      </c>
      <c r="AA52" s="3">
        <v>21</v>
      </c>
      <c r="AB52" s="3">
        <v>16</v>
      </c>
      <c r="AC52" s="3">
        <v>120</v>
      </c>
      <c r="AD52" s="3">
        <v>116</v>
      </c>
      <c r="AE52" s="3">
        <v>125</v>
      </c>
      <c r="AF52" s="3">
        <v>72</v>
      </c>
      <c r="AG52" s="3">
        <v>46</v>
      </c>
      <c r="AH52" s="3">
        <v>47</v>
      </c>
      <c r="AI52" s="3">
        <v>57</v>
      </c>
      <c r="AJ52" s="3">
        <v>20</v>
      </c>
      <c r="AK52" s="3">
        <v>13</v>
      </c>
      <c r="AL52" s="3">
        <v>32</v>
      </c>
      <c r="AM52" s="3">
        <v>32</v>
      </c>
      <c r="AN52" s="3">
        <v>32</v>
      </c>
      <c r="AO52" s="3">
        <v>71</v>
      </c>
      <c r="AP52" s="3">
        <v>46</v>
      </c>
      <c r="AQ52" s="3">
        <v>1</v>
      </c>
    </row>
    <row r="53" spans="1:43" ht="28.15" customHeight="1">
      <c r="A53" s="19" t="s">
        <v>126</v>
      </c>
      <c r="B53" s="9" t="s">
        <v>101</v>
      </c>
      <c r="C53" s="20" t="s">
        <v>55</v>
      </c>
      <c r="D53" s="20" t="s">
        <v>32</v>
      </c>
      <c r="E53" s="20" t="s">
        <v>261</v>
      </c>
      <c r="F53" s="1">
        <v>40</v>
      </c>
      <c r="G53" s="1" t="s">
        <v>36</v>
      </c>
      <c r="H53" s="3">
        <v>58</v>
      </c>
      <c r="I53" s="10">
        <v>41</v>
      </c>
      <c r="J53" s="10">
        <v>25</v>
      </c>
      <c r="K53" s="10">
        <v>17</v>
      </c>
      <c r="L53" s="10">
        <v>27</v>
      </c>
      <c r="M53" s="10">
        <v>24</v>
      </c>
      <c r="N53" s="10">
        <v>27</v>
      </c>
      <c r="O53" s="10">
        <v>70</v>
      </c>
      <c r="P53" s="10">
        <v>40</v>
      </c>
      <c r="Q53" s="10">
        <v>83</v>
      </c>
      <c r="R53" s="10">
        <v>102</v>
      </c>
      <c r="S53" s="10">
        <v>66</v>
      </c>
      <c r="T53" s="10">
        <v>31</v>
      </c>
      <c r="U53" s="10">
        <v>24</v>
      </c>
      <c r="V53" s="10">
        <v>19</v>
      </c>
      <c r="W53" s="10">
        <v>96</v>
      </c>
      <c r="X53" s="7">
        <v>3</v>
      </c>
      <c r="Y53" s="3">
        <v>44</v>
      </c>
      <c r="Z53" s="3">
        <v>60</v>
      </c>
      <c r="AA53" s="3">
        <v>19</v>
      </c>
      <c r="AB53" s="3">
        <v>14</v>
      </c>
      <c r="AC53" s="3">
        <v>98</v>
      </c>
      <c r="AD53" s="3">
        <v>90</v>
      </c>
      <c r="AE53" s="3">
        <v>105</v>
      </c>
      <c r="AF53" s="3">
        <v>71</v>
      </c>
      <c r="AG53" s="3">
        <v>40</v>
      </c>
      <c r="AH53" s="3">
        <v>41</v>
      </c>
      <c r="AI53" s="3">
        <v>60</v>
      </c>
      <c r="AJ53" s="3">
        <v>16</v>
      </c>
      <c r="AK53" s="3">
        <v>12</v>
      </c>
      <c r="AL53" s="3">
        <v>27</v>
      </c>
      <c r="AM53" s="3">
        <v>24</v>
      </c>
      <c r="AN53" s="3">
        <v>27</v>
      </c>
      <c r="AO53" s="3">
        <v>70</v>
      </c>
      <c r="AP53" s="3">
        <v>40</v>
      </c>
      <c r="AQ53" s="3">
        <v>1</v>
      </c>
    </row>
    <row r="54" spans="1:43" ht="28.15" customHeight="1">
      <c r="A54" s="19" t="s">
        <v>127</v>
      </c>
      <c r="B54" s="9" t="s">
        <v>102</v>
      </c>
      <c r="C54" s="20" t="s">
        <v>55</v>
      </c>
      <c r="D54" s="20" t="s">
        <v>32</v>
      </c>
      <c r="E54" s="20" t="s">
        <v>261</v>
      </c>
      <c r="F54" s="8">
        <v>43</v>
      </c>
      <c r="G54" s="8" t="s">
        <v>33</v>
      </c>
      <c r="H54" s="10">
        <v>58</v>
      </c>
      <c r="I54" s="10">
        <v>43</v>
      </c>
      <c r="J54" s="10">
        <v>26</v>
      </c>
      <c r="K54" s="10">
        <v>18</v>
      </c>
      <c r="L54" s="10">
        <v>30</v>
      </c>
      <c r="M54" s="10">
        <v>29</v>
      </c>
      <c r="N54" s="10">
        <v>30</v>
      </c>
      <c r="O54" s="10">
        <v>74</v>
      </c>
      <c r="P54" s="10">
        <v>42</v>
      </c>
      <c r="Q54" s="10">
        <v>90</v>
      </c>
      <c r="R54" s="10">
        <v>110</v>
      </c>
      <c r="S54" s="10">
        <v>68</v>
      </c>
      <c r="T54" s="10">
        <v>34</v>
      </c>
      <c r="U54" s="10">
        <v>27</v>
      </c>
      <c r="V54" s="10">
        <v>21</v>
      </c>
      <c r="W54" s="10">
        <v>96</v>
      </c>
      <c r="X54" s="7">
        <v>3</v>
      </c>
      <c r="Y54" s="3">
        <v>46</v>
      </c>
      <c r="Z54" s="3">
        <v>61</v>
      </c>
      <c r="AA54" s="3">
        <v>20</v>
      </c>
      <c r="AB54" s="3">
        <v>15</v>
      </c>
      <c r="AC54" s="3">
        <v>105</v>
      </c>
      <c r="AD54" s="3">
        <v>100</v>
      </c>
      <c r="AE54" s="3">
        <v>115</v>
      </c>
      <c r="AF54" s="3">
        <v>75</v>
      </c>
      <c r="AG54" s="3">
        <v>42</v>
      </c>
      <c r="AH54" s="3">
        <v>43</v>
      </c>
      <c r="AI54" s="3">
        <v>61</v>
      </c>
      <c r="AJ54" s="3">
        <v>19</v>
      </c>
      <c r="AK54" s="3">
        <v>13</v>
      </c>
      <c r="AL54" s="3">
        <v>30</v>
      </c>
      <c r="AM54" s="3">
        <v>29</v>
      </c>
      <c r="AN54" s="3">
        <v>30</v>
      </c>
      <c r="AO54" s="3">
        <v>74</v>
      </c>
      <c r="AP54" s="3">
        <v>42</v>
      </c>
      <c r="AQ54" s="3">
        <v>1</v>
      </c>
    </row>
    <row r="55" spans="1:43" ht="28.15" customHeight="1">
      <c r="A55" s="19" t="s">
        <v>128</v>
      </c>
      <c r="B55" s="9" t="s">
        <v>103</v>
      </c>
      <c r="C55" s="20" t="s">
        <v>55</v>
      </c>
      <c r="D55" s="20" t="s">
        <v>32</v>
      </c>
      <c r="E55" s="20" t="s">
        <v>261</v>
      </c>
      <c r="F55" s="1">
        <v>42</v>
      </c>
      <c r="G55" s="1" t="s">
        <v>35</v>
      </c>
      <c r="H55" s="3">
        <v>56</v>
      </c>
      <c r="I55" s="10">
        <v>48</v>
      </c>
      <c r="J55" s="10">
        <v>27</v>
      </c>
      <c r="K55" s="10">
        <v>20</v>
      </c>
      <c r="L55" s="10">
        <v>32</v>
      </c>
      <c r="M55" s="10">
        <v>30</v>
      </c>
      <c r="N55" s="10">
        <v>32</v>
      </c>
      <c r="O55" s="10">
        <v>75</v>
      </c>
      <c r="P55" s="10">
        <v>43</v>
      </c>
      <c r="Q55" s="10">
        <v>102</v>
      </c>
      <c r="R55" s="10">
        <v>124</v>
      </c>
      <c r="S55" s="10">
        <v>74</v>
      </c>
      <c r="T55" s="10">
        <v>36</v>
      </c>
      <c r="U55" s="10">
        <v>29</v>
      </c>
      <c r="V55" s="10">
        <v>23</v>
      </c>
      <c r="W55" s="10">
        <v>105</v>
      </c>
      <c r="X55" s="7">
        <v>3</v>
      </c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ht="28.15" customHeight="1">
      <c r="A56" s="19" t="s">
        <v>145</v>
      </c>
      <c r="B56" s="9" t="s">
        <v>139</v>
      </c>
      <c r="C56" s="20" t="s">
        <v>55</v>
      </c>
      <c r="D56" s="20" t="s">
        <v>32</v>
      </c>
      <c r="E56" s="20" t="s">
        <v>261</v>
      </c>
      <c r="F56" s="8">
        <v>41</v>
      </c>
      <c r="G56" s="8" t="s">
        <v>34</v>
      </c>
      <c r="H56" s="8">
        <v>57</v>
      </c>
      <c r="I56" s="10">
        <v>43</v>
      </c>
      <c r="J56" s="10">
        <v>24</v>
      </c>
      <c r="K56" s="10">
        <v>18</v>
      </c>
      <c r="L56" s="10">
        <v>28</v>
      </c>
      <c r="M56" s="10">
        <v>26</v>
      </c>
      <c r="N56" s="10">
        <v>28</v>
      </c>
      <c r="O56" s="10">
        <v>73</v>
      </c>
      <c r="P56" s="10">
        <v>40</v>
      </c>
      <c r="Q56" s="10">
        <v>87</v>
      </c>
      <c r="R56" s="10">
        <v>102</v>
      </c>
      <c r="S56" s="10">
        <v>65</v>
      </c>
      <c r="T56" s="10">
        <v>33</v>
      </c>
      <c r="U56" s="10">
        <v>27</v>
      </c>
      <c r="V56" s="10">
        <v>20</v>
      </c>
      <c r="W56" s="10">
        <v>95</v>
      </c>
      <c r="X56" s="7">
        <v>4</v>
      </c>
      <c r="Y56" s="3">
        <v>46</v>
      </c>
      <c r="Z56" s="3">
        <v>58</v>
      </c>
      <c r="AA56" s="3">
        <v>19</v>
      </c>
      <c r="AB56" s="3">
        <v>14</v>
      </c>
      <c r="AC56" s="3">
        <v>112</v>
      </c>
      <c r="AD56" s="3">
        <v>118</v>
      </c>
      <c r="AE56" s="3">
        <v>110</v>
      </c>
      <c r="AF56" s="3">
        <v>75</v>
      </c>
      <c r="AG56" s="3">
        <v>40</v>
      </c>
      <c r="AH56" s="3">
        <v>43</v>
      </c>
      <c r="AI56" s="3">
        <v>58</v>
      </c>
      <c r="AJ56" s="3">
        <v>18</v>
      </c>
      <c r="AK56" s="3">
        <v>13</v>
      </c>
      <c r="AL56" s="3">
        <v>28</v>
      </c>
      <c r="AM56" s="3">
        <v>26</v>
      </c>
      <c r="AN56" s="3">
        <v>28</v>
      </c>
      <c r="AO56" s="3">
        <v>73</v>
      </c>
      <c r="AP56" s="3">
        <v>40</v>
      </c>
      <c r="AQ56" s="3">
        <v>1</v>
      </c>
    </row>
    <row r="57" spans="1:43" ht="28.15" customHeight="1">
      <c r="A57" s="19" t="s">
        <v>146</v>
      </c>
      <c r="B57" s="9" t="s">
        <v>140</v>
      </c>
      <c r="C57" s="20" t="s">
        <v>55</v>
      </c>
      <c r="D57" s="20" t="s">
        <v>32</v>
      </c>
      <c r="E57" s="20" t="s">
        <v>261</v>
      </c>
      <c r="F57" s="8">
        <v>40</v>
      </c>
      <c r="G57" s="8" t="s">
        <v>34</v>
      </c>
      <c r="H57" s="8">
        <v>59</v>
      </c>
      <c r="I57" s="10">
        <v>43</v>
      </c>
      <c r="J57" s="10">
        <v>22</v>
      </c>
      <c r="K57" s="10">
        <v>17</v>
      </c>
      <c r="L57" s="10">
        <v>28</v>
      </c>
      <c r="M57" s="10">
        <v>26</v>
      </c>
      <c r="N57" s="10">
        <v>28</v>
      </c>
      <c r="O57" s="10">
        <v>767</v>
      </c>
      <c r="P57" s="10">
        <v>41</v>
      </c>
      <c r="Q57" s="10">
        <v>88</v>
      </c>
      <c r="R57" s="10">
        <v>104</v>
      </c>
      <c r="S57" s="10">
        <v>70</v>
      </c>
      <c r="T57" s="10">
        <v>34</v>
      </c>
      <c r="U57" s="10">
        <v>26</v>
      </c>
      <c r="V57" s="10">
        <v>20</v>
      </c>
      <c r="W57" s="10">
        <v>90</v>
      </c>
      <c r="X57" s="7">
        <v>4</v>
      </c>
      <c r="Y57" s="3">
        <v>46</v>
      </c>
      <c r="Z57" s="3">
        <v>54</v>
      </c>
      <c r="AA57" s="3">
        <v>19</v>
      </c>
      <c r="AB57" s="3">
        <v>14</v>
      </c>
      <c r="AC57" s="3">
        <v>102</v>
      </c>
      <c r="AD57" s="3">
        <v>98</v>
      </c>
      <c r="AE57" s="3">
        <v>109</v>
      </c>
      <c r="AF57" s="3">
        <v>69</v>
      </c>
      <c r="AG57" s="3">
        <v>41</v>
      </c>
      <c r="AH57" s="3">
        <v>43</v>
      </c>
      <c r="AI57" s="3">
        <v>54</v>
      </c>
      <c r="AJ57" s="3">
        <v>17</v>
      </c>
      <c r="AK57" s="3">
        <v>13</v>
      </c>
      <c r="AL57" s="3">
        <v>28</v>
      </c>
      <c r="AM57" s="3">
        <v>26</v>
      </c>
      <c r="AN57" s="3">
        <v>28</v>
      </c>
      <c r="AO57" s="3">
        <v>67</v>
      </c>
      <c r="AP57" s="3">
        <v>41</v>
      </c>
      <c r="AQ57" s="3">
        <v>1</v>
      </c>
    </row>
    <row r="58" spans="1:43" ht="28.15" customHeight="1">
      <c r="A58" s="19" t="s">
        <v>147</v>
      </c>
      <c r="B58" s="9" t="s">
        <v>141</v>
      </c>
      <c r="C58" s="20" t="s">
        <v>55</v>
      </c>
      <c r="D58" s="20" t="s">
        <v>32</v>
      </c>
      <c r="E58" s="20" t="s">
        <v>261</v>
      </c>
      <c r="F58" s="8">
        <v>42</v>
      </c>
      <c r="G58" s="8" t="s">
        <v>33</v>
      </c>
      <c r="H58" s="8">
        <v>57</v>
      </c>
      <c r="I58" s="10">
        <v>44</v>
      </c>
      <c r="J58" s="10">
        <v>25</v>
      </c>
      <c r="K58" s="10">
        <v>18</v>
      </c>
      <c r="L58" s="10">
        <v>30</v>
      </c>
      <c r="M58" s="10">
        <v>28</v>
      </c>
      <c r="N58" s="10">
        <v>30</v>
      </c>
      <c r="O58" s="10">
        <v>71</v>
      </c>
      <c r="P58" s="10">
        <v>40</v>
      </c>
      <c r="Q58" s="10">
        <v>92</v>
      </c>
      <c r="R58" s="10">
        <v>105</v>
      </c>
      <c r="S58" s="10">
        <v>70</v>
      </c>
      <c r="T58" s="10">
        <v>34</v>
      </c>
      <c r="U58" s="10">
        <v>27</v>
      </c>
      <c r="V58" s="10">
        <v>22</v>
      </c>
      <c r="W58" s="10">
        <v>98</v>
      </c>
      <c r="X58" s="7">
        <v>4</v>
      </c>
      <c r="Y58" s="3">
        <v>46</v>
      </c>
      <c r="Z58" s="3">
        <v>56</v>
      </c>
      <c r="AA58" s="3">
        <v>20</v>
      </c>
      <c r="AB58" s="3">
        <v>15</v>
      </c>
      <c r="AC58" s="3">
        <v>105</v>
      </c>
      <c r="AD58" s="3">
        <v>102</v>
      </c>
      <c r="AE58" s="3">
        <v>107</v>
      </c>
      <c r="AF58" s="3">
        <v>72</v>
      </c>
      <c r="AG58" s="3">
        <v>40</v>
      </c>
      <c r="AH58" s="3">
        <v>44</v>
      </c>
      <c r="AI58" s="3">
        <v>56</v>
      </c>
      <c r="AJ58" s="3">
        <v>18</v>
      </c>
      <c r="AK58" s="3">
        <v>13</v>
      </c>
      <c r="AL58" s="3">
        <v>30</v>
      </c>
      <c r="AM58" s="3">
        <v>28</v>
      </c>
      <c r="AN58" s="3">
        <v>30</v>
      </c>
      <c r="AO58" s="3">
        <v>71</v>
      </c>
      <c r="AP58" s="3">
        <v>40</v>
      </c>
      <c r="AQ58" s="3">
        <v>1</v>
      </c>
    </row>
    <row r="59" spans="1:43" ht="28.15" customHeight="1">
      <c r="A59" s="19" t="s">
        <v>148</v>
      </c>
      <c r="B59" s="9" t="s">
        <v>142</v>
      </c>
      <c r="C59" s="20" t="s">
        <v>55</v>
      </c>
      <c r="D59" s="20" t="s">
        <v>32</v>
      </c>
      <c r="E59" s="20" t="s">
        <v>261</v>
      </c>
      <c r="F59" s="8">
        <v>44</v>
      </c>
      <c r="G59" s="8" t="s">
        <v>144</v>
      </c>
      <c r="H59" s="8">
        <v>60</v>
      </c>
      <c r="I59" s="10">
        <v>50</v>
      </c>
      <c r="J59" s="10">
        <v>28</v>
      </c>
      <c r="K59" s="10">
        <v>22</v>
      </c>
      <c r="L59" s="10">
        <v>36</v>
      </c>
      <c r="M59" s="10">
        <v>36</v>
      </c>
      <c r="N59" s="10">
        <v>36</v>
      </c>
      <c r="O59" s="10">
        <v>80</v>
      </c>
      <c r="P59" s="10">
        <v>47</v>
      </c>
      <c r="Q59" s="10">
        <v>132</v>
      </c>
      <c r="R59" s="10">
        <v>144</v>
      </c>
      <c r="S59" s="10">
        <v>86</v>
      </c>
      <c r="T59" s="10">
        <v>45</v>
      </c>
      <c r="U59" s="10">
        <v>32</v>
      </c>
      <c r="V59" s="10">
        <v>24</v>
      </c>
      <c r="W59" s="10">
        <v>107</v>
      </c>
      <c r="X59" s="7">
        <v>4</v>
      </c>
      <c r="Y59" s="3">
        <v>52</v>
      </c>
      <c r="Z59" s="3">
        <v>65</v>
      </c>
      <c r="AA59" s="3">
        <v>23</v>
      </c>
      <c r="AB59" s="3">
        <v>16</v>
      </c>
      <c r="AC59" s="3">
        <v>149</v>
      </c>
      <c r="AD59" s="3">
        <v>149</v>
      </c>
      <c r="AE59" s="3">
        <v>149</v>
      </c>
      <c r="AF59" s="3">
        <v>81</v>
      </c>
      <c r="AG59" s="3">
        <v>47</v>
      </c>
      <c r="AH59" s="3">
        <v>50</v>
      </c>
      <c r="AI59" s="3">
        <v>65</v>
      </c>
      <c r="AJ59" s="3">
        <v>22</v>
      </c>
      <c r="AK59" s="3">
        <v>14</v>
      </c>
      <c r="AL59" s="3">
        <v>36</v>
      </c>
      <c r="AM59" s="3">
        <v>36</v>
      </c>
      <c r="AN59" s="3">
        <v>36</v>
      </c>
      <c r="AO59" s="3">
        <v>80</v>
      </c>
      <c r="AP59" s="3">
        <v>47</v>
      </c>
      <c r="AQ59" s="3">
        <v>1</v>
      </c>
    </row>
    <row r="60" spans="1:43" ht="28.15" customHeight="1">
      <c r="A60" s="19" t="s">
        <v>149</v>
      </c>
      <c r="B60" s="9" t="s">
        <v>143</v>
      </c>
      <c r="C60" s="20" t="s">
        <v>55</v>
      </c>
      <c r="D60" s="20" t="s">
        <v>32</v>
      </c>
      <c r="E60" s="20" t="s">
        <v>261</v>
      </c>
      <c r="F60" s="8">
        <v>42</v>
      </c>
      <c r="G60" s="8" t="s">
        <v>34</v>
      </c>
      <c r="H60" s="8">
        <v>54</v>
      </c>
      <c r="I60" s="10">
        <v>43</v>
      </c>
      <c r="J60" s="10">
        <v>24</v>
      </c>
      <c r="K60" s="10">
        <v>18</v>
      </c>
      <c r="L60" s="10">
        <v>28</v>
      </c>
      <c r="M60" s="10">
        <v>26</v>
      </c>
      <c r="N60" s="10">
        <v>28</v>
      </c>
      <c r="O60" s="10">
        <v>73</v>
      </c>
      <c r="P60" s="10">
        <v>41</v>
      </c>
      <c r="Q60" s="10">
        <v>87</v>
      </c>
      <c r="R60" s="10">
        <v>100</v>
      </c>
      <c r="S60" s="10">
        <v>66</v>
      </c>
      <c r="T60" s="10">
        <v>33</v>
      </c>
      <c r="U60" s="10">
        <v>26</v>
      </c>
      <c r="V60" s="10">
        <v>20</v>
      </c>
      <c r="W60" s="10">
        <v>92</v>
      </c>
      <c r="X60" s="7">
        <v>4</v>
      </c>
      <c r="Y60" s="3">
        <v>46</v>
      </c>
      <c r="Z60" s="3">
        <v>58</v>
      </c>
      <c r="AA60" s="3">
        <v>19</v>
      </c>
      <c r="AB60" s="3">
        <v>14</v>
      </c>
      <c r="AC60" s="3">
        <v>114</v>
      </c>
      <c r="AD60" s="3">
        <v>108</v>
      </c>
      <c r="AE60" s="3">
        <v>110</v>
      </c>
      <c r="AF60" s="3">
        <v>75</v>
      </c>
      <c r="AG60" s="3">
        <v>41</v>
      </c>
      <c r="AH60" s="3">
        <v>43</v>
      </c>
      <c r="AI60" s="3">
        <v>58</v>
      </c>
      <c r="AJ60" s="3">
        <v>18</v>
      </c>
      <c r="AK60" s="3">
        <v>13</v>
      </c>
      <c r="AL60" s="3">
        <v>28</v>
      </c>
      <c r="AM60" s="3">
        <v>26</v>
      </c>
      <c r="AN60" s="3">
        <v>28</v>
      </c>
      <c r="AO60" s="3">
        <v>73</v>
      </c>
      <c r="AP60" s="3">
        <v>41</v>
      </c>
      <c r="AQ60" s="3">
        <v>1</v>
      </c>
    </row>
    <row r="61" spans="1:43" ht="28.15" customHeight="1">
      <c r="A61" s="19" t="s">
        <v>178</v>
      </c>
      <c r="B61" s="9" t="s">
        <v>163</v>
      </c>
      <c r="C61" s="20" t="s">
        <v>55</v>
      </c>
      <c r="D61" s="20" t="s">
        <v>32</v>
      </c>
      <c r="E61" s="20" t="s">
        <v>261</v>
      </c>
      <c r="F61" s="8">
        <v>41</v>
      </c>
      <c r="G61" s="8" t="s">
        <v>34</v>
      </c>
      <c r="H61" s="8">
        <v>55</v>
      </c>
      <c r="I61" s="10">
        <v>43</v>
      </c>
      <c r="J61" s="10">
        <v>24</v>
      </c>
      <c r="K61" s="10">
        <v>19</v>
      </c>
      <c r="L61" s="10">
        <v>29</v>
      </c>
      <c r="M61" s="10">
        <v>27</v>
      </c>
      <c r="N61" s="10">
        <v>29</v>
      </c>
      <c r="O61" s="10">
        <v>68</v>
      </c>
      <c r="P61" s="10">
        <v>38</v>
      </c>
      <c r="Q61" s="10">
        <v>94</v>
      </c>
      <c r="R61" s="10">
        <v>110</v>
      </c>
      <c r="S61" s="10">
        <v>70</v>
      </c>
      <c r="T61" s="10">
        <v>35</v>
      </c>
      <c r="U61" s="10">
        <v>26</v>
      </c>
      <c r="V61" s="10">
        <v>20</v>
      </c>
      <c r="W61" s="10">
        <v>94</v>
      </c>
      <c r="X61" s="3">
        <v>4</v>
      </c>
      <c r="Y61" s="3">
        <v>46</v>
      </c>
      <c r="Z61" s="3">
        <v>57</v>
      </c>
      <c r="AA61" s="3">
        <v>20</v>
      </c>
      <c r="AB61" s="3">
        <v>15</v>
      </c>
      <c r="AC61" s="3">
        <v>108</v>
      </c>
      <c r="AD61" s="3">
        <v>104</v>
      </c>
      <c r="AE61" s="3">
        <v>113</v>
      </c>
      <c r="AF61" s="3">
        <v>70</v>
      </c>
      <c r="AG61" s="3">
        <v>38</v>
      </c>
      <c r="AH61" s="3">
        <v>43</v>
      </c>
      <c r="AI61" s="3">
        <v>57</v>
      </c>
      <c r="AJ61" s="3">
        <v>19</v>
      </c>
      <c r="AK61" s="3">
        <v>13</v>
      </c>
      <c r="AL61" s="3">
        <v>29</v>
      </c>
      <c r="AM61" s="3">
        <v>27</v>
      </c>
      <c r="AN61" s="3">
        <v>29</v>
      </c>
      <c r="AO61" s="3">
        <v>69</v>
      </c>
      <c r="AP61" s="3">
        <v>38</v>
      </c>
      <c r="AQ61" s="3">
        <v>1</v>
      </c>
    </row>
    <row r="62" spans="1:43" ht="28.15" customHeight="1">
      <c r="A62" s="19" t="s">
        <v>179</v>
      </c>
      <c r="B62" s="9" t="s">
        <v>164</v>
      </c>
      <c r="C62" s="20" t="s">
        <v>55</v>
      </c>
      <c r="D62" s="20" t="s">
        <v>32</v>
      </c>
      <c r="E62" s="20" t="s">
        <v>261</v>
      </c>
      <c r="F62" s="8">
        <v>41</v>
      </c>
      <c r="G62" s="8" t="s">
        <v>36</v>
      </c>
      <c r="H62" s="8">
        <v>56</v>
      </c>
      <c r="I62" s="10">
        <v>42</v>
      </c>
      <c r="J62" s="10">
        <v>24</v>
      </c>
      <c r="K62" s="10">
        <v>17</v>
      </c>
      <c r="L62" s="10">
        <v>27</v>
      </c>
      <c r="M62" s="10">
        <v>25</v>
      </c>
      <c r="N62" s="10">
        <v>27</v>
      </c>
      <c r="O62" s="10">
        <v>70</v>
      </c>
      <c r="P62" s="10">
        <v>39</v>
      </c>
      <c r="Q62" s="10">
        <v>84</v>
      </c>
      <c r="R62" s="10">
        <v>98</v>
      </c>
      <c r="S62" s="10">
        <v>64</v>
      </c>
      <c r="T62" s="10">
        <v>32</v>
      </c>
      <c r="U62" s="10">
        <v>26</v>
      </c>
      <c r="V62" s="10">
        <v>19</v>
      </c>
      <c r="W62" s="10">
        <v>95</v>
      </c>
      <c r="X62" s="3">
        <v>4</v>
      </c>
      <c r="Y62" s="3">
        <v>45</v>
      </c>
      <c r="Z62" s="3">
        <v>60</v>
      </c>
      <c r="AA62" s="3">
        <v>19</v>
      </c>
      <c r="AB62" s="3">
        <v>14</v>
      </c>
      <c r="AC62" s="3">
        <v>106</v>
      </c>
      <c r="AD62" s="3">
        <v>92</v>
      </c>
      <c r="AE62" s="3">
        <v>106</v>
      </c>
      <c r="AF62" s="3">
        <v>72</v>
      </c>
      <c r="AG62" s="3">
        <v>39</v>
      </c>
      <c r="AH62" s="3">
        <v>42</v>
      </c>
      <c r="AI62" s="3">
        <v>60</v>
      </c>
      <c r="AJ62" s="3">
        <v>17</v>
      </c>
      <c r="AK62" s="3">
        <v>12</v>
      </c>
      <c r="AL62" s="3">
        <v>27</v>
      </c>
      <c r="AM62" s="3">
        <v>25</v>
      </c>
      <c r="AN62" s="3">
        <v>27</v>
      </c>
      <c r="AO62" s="3">
        <v>70</v>
      </c>
      <c r="AP62" s="3">
        <v>39</v>
      </c>
      <c r="AQ62" s="3">
        <v>1</v>
      </c>
    </row>
    <row r="63" spans="1:43" ht="28.15" customHeight="1">
      <c r="A63" s="8" t="s">
        <v>209</v>
      </c>
      <c r="B63" s="9" t="s">
        <v>210</v>
      </c>
      <c r="C63" s="20" t="s">
        <v>55</v>
      </c>
      <c r="D63" s="20" t="s">
        <v>32</v>
      </c>
      <c r="E63" s="20" t="s">
        <v>261</v>
      </c>
      <c r="F63" s="8">
        <v>41</v>
      </c>
      <c r="G63" s="8"/>
      <c r="H63" s="8">
        <v>56</v>
      </c>
      <c r="I63" s="10" t="s">
        <v>173</v>
      </c>
      <c r="J63" s="10" t="s">
        <v>211</v>
      </c>
      <c r="K63" s="10" t="s">
        <v>212</v>
      </c>
      <c r="L63" s="10" t="s">
        <v>157</v>
      </c>
      <c r="M63" s="10" t="s">
        <v>211</v>
      </c>
      <c r="N63" s="10" t="s">
        <v>157</v>
      </c>
      <c r="O63" s="10" t="s">
        <v>176</v>
      </c>
      <c r="P63" s="10" t="s">
        <v>159</v>
      </c>
      <c r="Q63" s="10" t="s">
        <v>213</v>
      </c>
      <c r="R63" s="10" t="s">
        <v>214</v>
      </c>
      <c r="S63" s="10" t="s">
        <v>215</v>
      </c>
      <c r="T63" s="10" t="s">
        <v>216</v>
      </c>
      <c r="U63" s="10" t="s">
        <v>154</v>
      </c>
      <c r="V63" s="10" t="s">
        <v>166</v>
      </c>
      <c r="W63" s="10" t="s">
        <v>217</v>
      </c>
      <c r="X63" s="13">
        <v>8</v>
      </c>
      <c r="Y63" s="3">
        <v>41</v>
      </c>
      <c r="Z63" s="3">
        <v>55</v>
      </c>
      <c r="AA63" s="3">
        <v>18</v>
      </c>
      <c r="AB63" s="3">
        <v>14</v>
      </c>
      <c r="AC63" s="3">
        <v>93</v>
      </c>
      <c r="AD63" s="3">
        <v>83</v>
      </c>
      <c r="AE63" s="3">
        <v>96</v>
      </c>
      <c r="AF63" s="3">
        <v>65</v>
      </c>
      <c r="AG63" s="3">
        <v>38</v>
      </c>
      <c r="AH63" s="3">
        <v>39</v>
      </c>
      <c r="AI63" s="3">
        <v>55</v>
      </c>
      <c r="AJ63" s="3">
        <v>16</v>
      </c>
      <c r="AK63" s="3">
        <v>12</v>
      </c>
      <c r="AL63" s="3">
        <v>27</v>
      </c>
      <c r="AM63" s="3">
        <v>25</v>
      </c>
      <c r="AN63" s="3">
        <v>27</v>
      </c>
      <c r="AO63" s="3">
        <v>70</v>
      </c>
      <c r="AP63" s="3">
        <v>39</v>
      </c>
      <c r="AQ63" s="3">
        <v>1</v>
      </c>
    </row>
    <row r="64" spans="1:43" ht="28.15" customHeight="1">
      <c r="A64" s="8" t="s">
        <v>244</v>
      </c>
      <c r="B64" s="9" t="s">
        <v>218</v>
      </c>
      <c r="C64" s="20" t="s">
        <v>55</v>
      </c>
      <c r="D64" s="20" t="s">
        <v>32</v>
      </c>
      <c r="E64" s="20" t="s">
        <v>261</v>
      </c>
      <c r="F64" s="8">
        <v>40</v>
      </c>
      <c r="G64" s="8" t="s">
        <v>33</v>
      </c>
      <c r="H64" s="8">
        <v>56</v>
      </c>
      <c r="I64" s="10" t="s">
        <v>222</v>
      </c>
      <c r="J64" s="10" t="s">
        <v>160</v>
      </c>
      <c r="K64" s="10" t="s">
        <v>166</v>
      </c>
      <c r="L64" s="10" t="s">
        <v>224</v>
      </c>
      <c r="M64" s="10" t="s">
        <v>216</v>
      </c>
      <c r="N64" s="10" t="s">
        <v>224</v>
      </c>
      <c r="O64" s="10" t="s">
        <v>225</v>
      </c>
      <c r="P64" s="10" t="s">
        <v>223</v>
      </c>
      <c r="Q64" s="10" t="s">
        <v>226</v>
      </c>
      <c r="R64" s="10" t="s">
        <v>227</v>
      </c>
      <c r="S64" s="10" t="s">
        <v>158</v>
      </c>
      <c r="T64" s="10" t="s">
        <v>171</v>
      </c>
      <c r="U64" s="10" t="s">
        <v>156</v>
      </c>
      <c r="V64" s="10" t="s">
        <v>228</v>
      </c>
      <c r="W64" s="10" t="s">
        <v>162</v>
      </c>
      <c r="X64" s="13">
        <v>8</v>
      </c>
      <c r="Y64" s="3">
        <v>48</v>
      </c>
      <c r="Z64" s="3">
        <v>59</v>
      </c>
      <c r="AA64" s="3">
        <v>20</v>
      </c>
      <c r="AB64" s="3">
        <v>15</v>
      </c>
      <c r="AC64" s="3">
        <v>110</v>
      </c>
      <c r="AD64" s="3">
        <v>108</v>
      </c>
      <c r="AE64" s="3">
        <v>116</v>
      </c>
      <c r="AF64" s="3">
        <v>70</v>
      </c>
      <c r="AG64" s="3">
        <v>45</v>
      </c>
      <c r="AH64" s="3">
        <v>46</v>
      </c>
      <c r="AI64" s="3">
        <v>59</v>
      </c>
      <c r="AJ64" s="3">
        <v>19</v>
      </c>
      <c r="AK64" s="3">
        <v>13</v>
      </c>
      <c r="AL64" s="3">
        <v>31</v>
      </c>
      <c r="AM64" s="3">
        <v>30</v>
      </c>
      <c r="AN64" s="3">
        <v>31</v>
      </c>
      <c r="AO64" s="3">
        <v>69</v>
      </c>
      <c r="AP64" s="3">
        <v>45</v>
      </c>
      <c r="AQ64" s="3">
        <v>1</v>
      </c>
    </row>
    <row r="65" spans="1:43" ht="28.15" customHeight="1">
      <c r="A65" s="8" t="s">
        <v>245</v>
      </c>
      <c r="B65" s="66" t="s">
        <v>219</v>
      </c>
      <c r="C65" s="20" t="s">
        <v>55</v>
      </c>
      <c r="D65" s="20" t="s">
        <v>32</v>
      </c>
      <c r="E65" s="20" t="s">
        <v>261</v>
      </c>
      <c r="F65" s="8">
        <v>41</v>
      </c>
      <c r="G65" s="8" t="s">
        <v>36</v>
      </c>
      <c r="H65" s="8">
        <v>55</v>
      </c>
      <c r="I65" s="10" t="s">
        <v>165</v>
      </c>
      <c r="J65" s="10" t="s">
        <v>160</v>
      </c>
      <c r="K65" s="10" t="s">
        <v>229</v>
      </c>
      <c r="L65" s="10" t="s">
        <v>167</v>
      </c>
      <c r="M65" s="10" t="s">
        <v>230</v>
      </c>
      <c r="N65" s="10" t="s">
        <v>167</v>
      </c>
      <c r="O65" s="10" t="s">
        <v>168</v>
      </c>
      <c r="P65" s="10" t="s">
        <v>165</v>
      </c>
      <c r="Q65" s="10" t="s">
        <v>231</v>
      </c>
      <c r="R65" s="10" t="s">
        <v>232</v>
      </c>
      <c r="S65" s="10" t="s">
        <v>176</v>
      </c>
      <c r="T65" s="10" t="s">
        <v>233</v>
      </c>
      <c r="U65" s="10" t="s">
        <v>160</v>
      </c>
      <c r="V65" s="10" t="s">
        <v>166</v>
      </c>
      <c r="W65" s="10" t="s">
        <v>169</v>
      </c>
      <c r="X65" s="13">
        <v>8</v>
      </c>
      <c r="Y65" s="3">
        <v>46</v>
      </c>
      <c r="Z65" s="3">
        <v>58</v>
      </c>
      <c r="AA65" s="3">
        <v>19</v>
      </c>
      <c r="AB65" s="3">
        <v>14</v>
      </c>
      <c r="AC65" s="3">
        <v>102</v>
      </c>
      <c r="AD65" s="3">
        <v>100</v>
      </c>
      <c r="AE65" s="3">
        <v>107</v>
      </c>
      <c r="AF65" s="3">
        <v>69</v>
      </c>
      <c r="AG65" s="3">
        <v>43</v>
      </c>
      <c r="AH65" s="3">
        <v>43</v>
      </c>
      <c r="AI65" s="3">
        <v>58</v>
      </c>
      <c r="AJ65" s="3">
        <v>18</v>
      </c>
      <c r="AK65" s="3">
        <v>13</v>
      </c>
      <c r="AL65" s="3">
        <v>29</v>
      </c>
      <c r="AM65" s="3">
        <v>28</v>
      </c>
      <c r="AN65" s="3">
        <v>29</v>
      </c>
      <c r="AO65" s="3">
        <v>68</v>
      </c>
      <c r="AP65" s="3">
        <v>43</v>
      </c>
      <c r="AQ65" s="3">
        <v>1</v>
      </c>
    </row>
    <row r="66" spans="1:43" ht="28.15" customHeight="1">
      <c r="A66" s="8" t="s">
        <v>246</v>
      </c>
      <c r="B66" s="67" t="s">
        <v>234</v>
      </c>
      <c r="C66" s="20" t="s">
        <v>55</v>
      </c>
      <c r="D66" s="20" t="s">
        <v>32</v>
      </c>
      <c r="E66" s="20" t="s">
        <v>261</v>
      </c>
      <c r="F66" s="8">
        <v>42</v>
      </c>
      <c r="G66" s="8" t="s">
        <v>34</v>
      </c>
      <c r="H66" s="8">
        <v>55</v>
      </c>
      <c r="I66" s="10" t="s">
        <v>165</v>
      </c>
      <c r="J66" s="10" t="s">
        <v>157</v>
      </c>
      <c r="K66" s="10" t="s">
        <v>229</v>
      </c>
      <c r="L66" s="10" t="s">
        <v>230</v>
      </c>
      <c r="M66" s="10" t="s">
        <v>230</v>
      </c>
      <c r="N66" s="10" t="s">
        <v>230</v>
      </c>
      <c r="O66" s="10" t="s">
        <v>158</v>
      </c>
      <c r="P66" s="10" t="s">
        <v>172</v>
      </c>
      <c r="Q66" s="10" t="s">
        <v>235</v>
      </c>
      <c r="R66" s="10" t="s">
        <v>236</v>
      </c>
      <c r="S66" s="10" t="s">
        <v>215</v>
      </c>
      <c r="T66" s="10" t="s">
        <v>237</v>
      </c>
      <c r="U66" s="10" t="s">
        <v>160</v>
      </c>
      <c r="V66" s="10" t="s">
        <v>166</v>
      </c>
      <c r="W66" s="10" t="s">
        <v>238</v>
      </c>
      <c r="X66" s="13">
        <v>8</v>
      </c>
      <c r="Y66" s="3">
        <v>46</v>
      </c>
      <c r="Z66" s="3">
        <v>62</v>
      </c>
      <c r="AA66" s="3">
        <v>19</v>
      </c>
      <c r="AB66" s="3">
        <v>14</v>
      </c>
      <c r="AC66" s="3">
        <v>98</v>
      </c>
      <c r="AD66" s="3">
        <v>94</v>
      </c>
      <c r="AE66" s="3">
        <v>105</v>
      </c>
      <c r="AF66" s="3">
        <v>71</v>
      </c>
      <c r="AG66" s="3">
        <v>42</v>
      </c>
      <c r="AH66" s="3">
        <v>43</v>
      </c>
      <c r="AI66" s="3">
        <v>62</v>
      </c>
      <c r="AJ66" s="3">
        <v>18</v>
      </c>
      <c r="AK66" s="3">
        <v>13</v>
      </c>
      <c r="AL66" s="3">
        <v>28</v>
      </c>
      <c r="AM66" s="3">
        <v>28</v>
      </c>
      <c r="AN66" s="3">
        <v>28</v>
      </c>
      <c r="AO66" s="3">
        <v>70</v>
      </c>
      <c r="AP66" s="3">
        <v>42</v>
      </c>
      <c r="AQ66" s="3">
        <v>1</v>
      </c>
    </row>
    <row r="67" spans="1:43" ht="28.15" customHeight="1">
      <c r="A67" s="8" t="s">
        <v>247</v>
      </c>
      <c r="B67" s="9" t="s">
        <v>220</v>
      </c>
      <c r="C67" s="20" t="s">
        <v>55</v>
      </c>
      <c r="D67" s="20" t="s">
        <v>32</v>
      </c>
      <c r="E67" s="20" t="s">
        <v>261</v>
      </c>
      <c r="F67" s="8">
        <v>42</v>
      </c>
      <c r="G67" s="8" t="s">
        <v>33</v>
      </c>
      <c r="H67" s="8">
        <v>55</v>
      </c>
      <c r="I67" s="10" t="s">
        <v>239</v>
      </c>
      <c r="J67" s="10" t="s">
        <v>160</v>
      </c>
      <c r="K67" s="10" t="s">
        <v>166</v>
      </c>
      <c r="L67" s="10" t="s">
        <v>216</v>
      </c>
      <c r="M67" s="10" t="s">
        <v>216</v>
      </c>
      <c r="N67" s="10" t="s">
        <v>216</v>
      </c>
      <c r="O67" s="10" t="s">
        <v>225</v>
      </c>
      <c r="P67" s="10" t="s">
        <v>165</v>
      </c>
      <c r="Q67" s="10" t="s">
        <v>175</v>
      </c>
      <c r="R67" s="10" t="s">
        <v>240</v>
      </c>
      <c r="S67" s="10" t="s">
        <v>241</v>
      </c>
      <c r="T67" s="10" t="s">
        <v>171</v>
      </c>
      <c r="U67" s="10" t="s">
        <v>157</v>
      </c>
      <c r="V67" s="10" t="s">
        <v>228</v>
      </c>
      <c r="W67" s="10" t="s">
        <v>175</v>
      </c>
      <c r="X67" s="13">
        <v>8</v>
      </c>
      <c r="Y67" s="3">
        <v>50</v>
      </c>
      <c r="Z67" s="3">
        <v>59</v>
      </c>
      <c r="AA67" s="3">
        <v>20</v>
      </c>
      <c r="AB67" s="3">
        <v>15</v>
      </c>
      <c r="AC67" s="3">
        <v>112</v>
      </c>
      <c r="AD67" s="3">
        <v>105</v>
      </c>
      <c r="AE67" s="3">
        <v>116</v>
      </c>
      <c r="AF67" s="3">
        <v>70</v>
      </c>
      <c r="AG67" s="3">
        <v>43</v>
      </c>
      <c r="AH67" s="3">
        <v>47</v>
      </c>
      <c r="AI67" s="3">
        <v>59</v>
      </c>
      <c r="AJ67" s="3">
        <v>19</v>
      </c>
      <c r="AK67" s="3">
        <v>13</v>
      </c>
      <c r="AL67" s="3">
        <v>30</v>
      </c>
      <c r="AM67" s="3">
        <v>30</v>
      </c>
      <c r="AN67" s="3">
        <v>30</v>
      </c>
      <c r="AO67" s="3">
        <v>69</v>
      </c>
      <c r="AP67" s="3">
        <v>43</v>
      </c>
      <c r="AQ67" s="3">
        <v>1</v>
      </c>
    </row>
    <row r="68" spans="1:43" ht="28.15" customHeight="1">
      <c r="A68" s="8" t="s">
        <v>248</v>
      </c>
      <c r="B68" s="9" t="s">
        <v>221</v>
      </c>
      <c r="C68" s="20" t="s">
        <v>55</v>
      </c>
      <c r="D68" s="20" t="s">
        <v>32</v>
      </c>
      <c r="E68" s="20" t="s">
        <v>261</v>
      </c>
      <c r="F68" s="8">
        <v>42</v>
      </c>
      <c r="G68" s="8" t="s">
        <v>34</v>
      </c>
      <c r="H68" s="8">
        <v>60</v>
      </c>
      <c r="I68" s="10" t="s">
        <v>165</v>
      </c>
      <c r="J68" s="10" t="s">
        <v>160</v>
      </c>
      <c r="K68" s="10" t="s">
        <v>229</v>
      </c>
      <c r="L68" s="10" t="s">
        <v>230</v>
      </c>
      <c r="M68" s="10" t="s">
        <v>230</v>
      </c>
      <c r="N68" s="10" t="s">
        <v>230</v>
      </c>
      <c r="O68" s="10" t="s">
        <v>225</v>
      </c>
      <c r="P68" s="10" t="s">
        <v>165</v>
      </c>
      <c r="Q68" s="10" t="s">
        <v>242</v>
      </c>
      <c r="R68" s="10" t="s">
        <v>232</v>
      </c>
      <c r="S68" s="10" t="s">
        <v>243</v>
      </c>
      <c r="T68" s="10" t="s">
        <v>233</v>
      </c>
      <c r="U68" s="10" t="s">
        <v>157</v>
      </c>
      <c r="V68" s="10" t="s">
        <v>161</v>
      </c>
      <c r="W68" s="10" t="s">
        <v>226</v>
      </c>
      <c r="X68" s="13">
        <v>8</v>
      </c>
      <c r="Y68" s="3">
        <v>46</v>
      </c>
      <c r="Z68" s="3">
        <v>59</v>
      </c>
      <c r="AA68" s="3">
        <v>19</v>
      </c>
      <c r="AB68" s="3">
        <v>14</v>
      </c>
      <c r="AC68" s="3">
        <v>100</v>
      </c>
      <c r="AD68" s="3">
        <v>95</v>
      </c>
      <c r="AE68" s="3">
        <v>107</v>
      </c>
      <c r="AF68" s="3">
        <v>70</v>
      </c>
      <c r="AG68" s="3">
        <v>43</v>
      </c>
      <c r="AH68" s="3">
        <v>43</v>
      </c>
      <c r="AI68" s="3">
        <v>59</v>
      </c>
      <c r="AJ68" s="3">
        <v>18</v>
      </c>
      <c r="AK68" s="3">
        <v>13</v>
      </c>
      <c r="AL68" s="3">
        <v>28</v>
      </c>
      <c r="AM68" s="3">
        <v>28</v>
      </c>
      <c r="AN68" s="3">
        <v>28</v>
      </c>
      <c r="AO68" s="3">
        <v>69</v>
      </c>
      <c r="AP68" s="3">
        <v>43</v>
      </c>
      <c r="AQ68" s="3">
        <v>1</v>
      </c>
    </row>
    <row r="69" spans="1:43" ht="28.15" customHeight="1">
      <c r="A69" s="8"/>
      <c r="B69" s="9"/>
      <c r="C69" s="8"/>
      <c r="D69" s="8"/>
      <c r="E69" s="8"/>
      <c r="F69" s="8"/>
      <c r="G69" s="8"/>
      <c r="H69" s="8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3"/>
    </row>
    <row r="70" spans="1:43" ht="28.15" customHeight="1">
      <c r="A70" s="8"/>
      <c r="B70" s="9"/>
      <c r="C70" s="8"/>
      <c r="D70" s="8"/>
      <c r="E70" s="8"/>
      <c r="F70" s="8"/>
      <c r="G70" s="8"/>
      <c r="H70" s="8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3"/>
    </row>
    <row r="71" spans="1:43" ht="28.15" customHeight="1">
      <c r="A71" s="8"/>
      <c r="B71" s="9"/>
      <c r="C71" s="8"/>
      <c r="D71" s="8"/>
      <c r="E71" s="8"/>
      <c r="F71" s="8"/>
      <c r="G71" s="8"/>
      <c r="H71" s="8"/>
      <c r="X71" s="13"/>
    </row>
    <row r="72" spans="1:43" ht="28.15" customHeight="1">
      <c r="A72" s="8"/>
      <c r="B72" s="9"/>
      <c r="C72" s="8"/>
      <c r="D72" s="8"/>
      <c r="E72" s="8"/>
      <c r="F72" s="8"/>
      <c r="G72" s="8"/>
      <c r="H72" s="8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3"/>
    </row>
    <row r="73" spans="1:43" ht="28.15" customHeight="1">
      <c r="A73" s="8"/>
      <c r="B73" s="9"/>
      <c r="C73" s="8"/>
      <c r="D73" s="8"/>
      <c r="E73" s="8"/>
      <c r="F73" s="8"/>
      <c r="G73" s="8"/>
      <c r="H73" s="8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3"/>
    </row>
    <row r="74" spans="1:43" ht="28.15" customHeight="1">
      <c r="A74" s="8"/>
      <c r="B74" s="9"/>
      <c r="C74" s="8"/>
      <c r="D74" s="8"/>
      <c r="E74" s="8"/>
      <c r="F74" s="8"/>
      <c r="G74" s="8"/>
      <c r="H74" s="8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3"/>
    </row>
    <row r="75" spans="1:43" ht="28.15" customHeight="1">
      <c r="A75" s="8"/>
      <c r="B75" s="9"/>
      <c r="C75" s="8"/>
      <c r="D75" s="8"/>
      <c r="E75" s="8"/>
      <c r="F75" s="8"/>
      <c r="G75" s="8"/>
      <c r="H75" s="8"/>
      <c r="X75" s="13"/>
    </row>
    <row r="76" spans="1:43" ht="28.15" customHeight="1">
      <c r="A76" s="8"/>
      <c r="B76" s="9"/>
      <c r="C76" s="8"/>
      <c r="D76" s="8"/>
      <c r="E76" s="8"/>
      <c r="F76" s="8"/>
      <c r="G76" s="8"/>
      <c r="H76" s="8"/>
      <c r="X76" s="13"/>
    </row>
    <row r="77" spans="1:43" ht="28.15" customHeight="1">
      <c r="A77" s="8"/>
      <c r="B77" s="9"/>
      <c r="C77" s="8"/>
      <c r="D77" s="8"/>
      <c r="E77" s="8"/>
      <c r="F77" s="8"/>
      <c r="G77" s="8"/>
      <c r="H77" s="8"/>
      <c r="X77" s="13"/>
    </row>
    <row r="78" spans="1:43" ht="28.15" customHeight="1">
      <c r="A78" s="8"/>
      <c r="B78" s="9"/>
      <c r="C78" s="8"/>
      <c r="D78" s="8"/>
      <c r="E78" s="8"/>
      <c r="F78" s="8"/>
      <c r="G78" s="8"/>
      <c r="H78" s="8"/>
      <c r="X78" s="13"/>
    </row>
    <row r="79" spans="1:43" ht="28.15" customHeight="1">
      <c r="A79" s="8"/>
      <c r="B79" s="9"/>
      <c r="C79" s="8"/>
      <c r="D79" s="8"/>
      <c r="E79" s="8"/>
      <c r="F79" s="8"/>
      <c r="G79" s="8"/>
      <c r="H79" s="8"/>
      <c r="X79" s="13"/>
    </row>
    <row r="80" spans="1:43" ht="28.15" customHeight="1">
      <c r="A80" s="8"/>
      <c r="B80" s="9"/>
      <c r="C80" s="8"/>
      <c r="D80" s="8"/>
      <c r="E80" s="8"/>
      <c r="F80" s="8"/>
      <c r="G80" s="8"/>
      <c r="H80" s="8"/>
      <c r="X80" s="13"/>
    </row>
    <row r="81" spans="1:24" ht="28.15" customHeight="1">
      <c r="A81" s="8"/>
      <c r="B81" s="9"/>
      <c r="C81" s="8"/>
      <c r="D81" s="8"/>
      <c r="E81" s="8"/>
      <c r="F81" s="8"/>
      <c r="G81" s="8"/>
      <c r="H81" s="8"/>
      <c r="X81" s="13"/>
    </row>
    <row r="82" spans="1:24" ht="28.15" customHeight="1">
      <c r="A82" s="8"/>
      <c r="B82" s="9"/>
      <c r="C82" s="8"/>
      <c r="D82" s="8"/>
      <c r="E82" s="8"/>
      <c r="F82" s="8"/>
      <c r="G82" s="8"/>
      <c r="H82" s="8"/>
      <c r="X82" s="13"/>
    </row>
    <row r="83" spans="1:24" ht="28.15" customHeight="1">
      <c r="A83" s="8"/>
      <c r="B83" s="9"/>
      <c r="C83" s="8"/>
      <c r="D83" s="8"/>
      <c r="E83" s="8"/>
      <c r="F83" s="8"/>
      <c r="G83" s="8"/>
      <c r="H83" s="8"/>
      <c r="X83" s="13"/>
    </row>
    <row r="84" spans="1:24" ht="28.15" customHeight="1">
      <c r="A84" s="8"/>
      <c r="B84" s="9"/>
      <c r="C84" s="8"/>
      <c r="D84" s="8"/>
      <c r="E84" s="8"/>
      <c r="F84" s="8"/>
      <c r="G84" s="8"/>
      <c r="H84" s="8"/>
      <c r="X84" s="13"/>
    </row>
    <row r="85" spans="1:24" ht="28.15" customHeight="1">
      <c r="A85" s="8"/>
      <c r="B85" s="9"/>
      <c r="C85" s="8"/>
      <c r="D85" s="8"/>
      <c r="E85" s="8"/>
      <c r="F85" s="8"/>
      <c r="G85" s="8"/>
      <c r="H85" s="8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1:24" ht="28.15" customHeight="1">
      <c r="A86" s="8"/>
      <c r="B86" s="9"/>
      <c r="C86" s="14"/>
      <c r="D86" s="12"/>
      <c r="E86" s="12"/>
      <c r="F86" s="8"/>
      <c r="G86" s="8"/>
      <c r="H86" s="8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1:24" ht="28.15" customHeight="1">
      <c r="A87" s="8"/>
      <c r="B87" s="9"/>
      <c r="C87" s="8"/>
      <c r="D87" s="8"/>
      <c r="E87" s="8"/>
      <c r="F87" s="8"/>
      <c r="G87" s="8"/>
      <c r="H87" s="8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1:24" ht="28.15" customHeight="1">
      <c r="A88" s="8"/>
      <c r="B88" s="9"/>
      <c r="C88" s="8"/>
      <c r="D88" s="8"/>
      <c r="E88" s="8"/>
      <c r="F88" s="8"/>
      <c r="G88" s="8"/>
      <c r="H88" s="8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1:24" ht="28.15" customHeight="1">
      <c r="A89" s="8"/>
      <c r="B89" s="9"/>
      <c r="C89" s="8"/>
      <c r="D89" s="8"/>
      <c r="E89" s="8"/>
      <c r="F89" s="8"/>
      <c r="G89" s="8"/>
      <c r="H89" s="8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1:24" ht="28.15" customHeight="1">
      <c r="A90" s="8"/>
      <c r="B90" s="9"/>
      <c r="C90" s="8"/>
      <c r="D90" s="8"/>
      <c r="E90" s="8"/>
      <c r="F90" s="8"/>
      <c r="G90" s="8"/>
      <c r="H90" s="8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1:24" ht="28.15" customHeight="1">
      <c r="A91" s="8"/>
      <c r="B91" s="9"/>
      <c r="C91" s="8"/>
      <c r="D91" s="8"/>
      <c r="E91" s="8"/>
      <c r="F91" s="8"/>
      <c r="G91" s="8"/>
      <c r="H91" s="8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1:24" ht="28.15" customHeight="1">
      <c r="A92" s="8"/>
      <c r="B92" s="9"/>
      <c r="C92" s="8"/>
      <c r="D92" s="8"/>
      <c r="E92" s="8"/>
      <c r="F92" s="8"/>
      <c r="G92" s="8"/>
      <c r="H92" s="8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1:24" ht="28.15" customHeight="1">
      <c r="A93" s="8"/>
      <c r="B93" s="9"/>
      <c r="C93" s="8"/>
      <c r="D93" s="8"/>
      <c r="E93" s="8"/>
      <c r="F93" s="8"/>
      <c r="G93" s="8"/>
      <c r="H93" s="8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1:24" ht="28.15" customHeight="1">
      <c r="A94" s="8"/>
      <c r="B94" s="9"/>
      <c r="C94" s="8"/>
      <c r="D94" s="8"/>
      <c r="E94" s="8"/>
      <c r="F94" s="8"/>
      <c r="G94" s="8"/>
      <c r="H94" s="8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1:24" ht="28.15" customHeight="1">
      <c r="A95" s="8"/>
      <c r="B95" s="9"/>
      <c r="C95" s="8"/>
      <c r="D95" s="8"/>
      <c r="E95" s="8"/>
      <c r="F95" s="8"/>
      <c r="G95" s="8"/>
      <c r="H95" s="8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1:24" ht="28.15" customHeight="1">
      <c r="A96" s="8"/>
      <c r="B96" s="9"/>
      <c r="C96" s="8"/>
      <c r="D96" s="8"/>
      <c r="E96" s="8"/>
      <c r="F96" s="8"/>
      <c r="G96" s="8"/>
      <c r="H96" s="8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1:24" ht="28.15" customHeight="1">
      <c r="A97" s="8"/>
      <c r="B97" s="9"/>
      <c r="C97" s="8"/>
      <c r="D97" s="8"/>
      <c r="E97" s="8"/>
      <c r="F97" s="8"/>
      <c r="G97" s="8"/>
      <c r="H97" s="8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1:24" ht="28.15" customHeight="1">
      <c r="A98" s="8"/>
      <c r="B98" s="9"/>
      <c r="C98" s="8"/>
      <c r="D98" s="8"/>
      <c r="E98" s="8"/>
      <c r="F98" s="8"/>
      <c r="G98" s="8"/>
      <c r="H98" s="8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1:24" ht="28.15" customHeight="1">
      <c r="A99" s="8"/>
      <c r="B99" s="9"/>
      <c r="C99" s="8"/>
      <c r="D99" s="8"/>
      <c r="E99" s="8"/>
      <c r="F99" s="8"/>
      <c r="G99" s="8"/>
      <c r="H99" s="8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1:24" ht="28.15" customHeight="1">
      <c r="A100" s="8"/>
      <c r="B100" s="9"/>
      <c r="C100" s="8"/>
      <c r="D100" s="8"/>
      <c r="E100" s="8"/>
      <c r="F100" s="8"/>
      <c r="G100" s="8"/>
      <c r="H100" s="8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:24" ht="28.15" customHeight="1">
      <c r="A101" s="8"/>
      <c r="B101" s="9"/>
      <c r="C101" s="8"/>
      <c r="D101" s="8"/>
      <c r="E101" s="8"/>
      <c r="F101" s="8"/>
      <c r="G101" s="8"/>
      <c r="H101" s="8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:24" ht="28.15" customHeight="1">
      <c r="A102" s="8"/>
      <c r="B102" s="9"/>
      <c r="C102" s="8"/>
      <c r="D102" s="8"/>
      <c r="E102" s="8"/>
      <c r="F102" s="8"/>
      <c r="G102" s="8"/>
      <c r="H102" s="8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:24" ht="28.15" customHeight="1">
      <c r="A103" s="8"/>
      <c r="B103" s="9"/>
      <c r="C103" s="8"/>
      <c r="D103" s="8"/>
      <c r="E103" s="8"/>
      <c r="F103" s="8"/>
      <c r="G103" s="8"/>
      <c r="H103" s="8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:24" ht="28.15" customHeight="1">
      <c r="A104" s="8"/>
      <c r="B104" s="9"/>
      <c r="C104" s="8"/>
      <c r="D104" s="12"/>
      <c r="E104" s="12"/>
      <c r="F104" s="8"/>
      <c r="G104" s="8"/>
      <c r="H104" s="8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:24" ht="28.15" customHeight="1">
      <c r="A105" s="8"/>
      <c r="B105" s="9"/>
      <c r="C105" s="8"/>
      <c r="D105" s="8"/>
      <c r="E105" s="8"/>
      <c r="F105" s="8"/>
      <c r="G105" s="8"/>
      <c r="H105" s="8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:24" ht="28.15" customHeight="1">
      <c r="A106" s="8"/>
      <c r="B106" s="9"/>
      <c r="C106" s="8"/>
      <c r="D106" s="8"/>
      <c r="E106" s="8"/>
      <c r="F106" s="8"/>
      <c r="G106" s="8"/>
      <c r="H106" s="8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:24" ht="28.15" customHeight="1">
      <c r="A107" s="8"/>
      <c r="B107" s="9"/>
      <c r="C107" s="8"/>
      <c r="D107" s="8"/>
      <c r="E107" s="8"/>
      <c r="F107" s="8"/>
      <c r="G107" s="8"/>
      <c r="H107" s="8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:24" ht="28.15" customHeight="1">
      <c r="A108" s="8"/>
      <c r="B108" s="9"/>
      <c r="C108" s="8"/>
      <c r="D108" s="8"/>
      <c r="E108" s="8"/>
      <c r="F108" s="8"/>
      <c r="G108" s="8"/>
      <c r="H108" s="8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:24" ht="28.15" customHeight="1">
      <c r="A109" s="8"/>
      <c r="C109" s="8"/>
      <c r="D109" s="8"/>
      <c r="E109" s="8"/>
    </row>
    <row r="110" spans="1:24" ht="28.15" customHeight="1">
      <c r="A110" s="8"/>
      <c r="C110" s="8"/>
      <c r="D110" s="8"/>
      <c r="E110" s="8"/>
    </row>
    <row r="111" spans="1:24" ht="28.15" customHeight="1">
      <c r="A111" s="8"/>
      <c r="C111" s="8"/>
      <c r="D111" s="8"/>
      <c r="E111" s="8"/>
    </row>
    <row r="112" spans="1:24" ht="28.15" customHeight="1">
      <c r="A112" s="8"/>
      <c r="C112" s="8"/>
      <c r="D112" s="8"/>
      <c r="E112" s="8"/>
      <c r="X112" s="13"/>
    </row>
    <row r="113" spans="1:24" ht="28.15" customHeight="1">
      <c r="A113" s="8"/>
      <c r="C113" s="8"/>
      <c r="D113" s="8"/>
      <c r="E113" s="8"/>
      <c r="X113" s="15"/>
    </row>
    <row r="114" spans="1:24" ht="28.15" customHeight="1">
      <c r="A114" s="8"/>
      <c r="C114" s="8"/>
      <c r="D114" s="8"/>
      <c r="E114" s="8"/>
    </row>
    <row r="115" spans="1:24" ht="28.15" customHeight="1">
      <c r="A115" s="8"/>
      <c r="C115" s="8"/>
      <c r="D115" s="8"/>
      <c r="E115" s="8"/>
    </row>
    <row r="116" spans="1:24" ht="28.15" customHeight="1">
      <c r="A116" s="8"/>
      <c r="C116" s="8"/>
      <c r="D116" s="8"/>
      <c r="E116" s="8"/>
    </row>
    <row r="117" spans="1:24">
      <c r="A117" s="8"/>
      <c r="C117" s="8"/>
      <c r="D117" s="8"/>
      <c r="E117" s="8"/>
    </row>
    <row r="118" spans="1:24">
      <c r="A118" s="8"/>
      <c r="C118" s="8"/>
      <c r="D118" s="8"/>
      <c r="E118" s="8"/>
    </row>
    <row r="119" spans="1:24">
      <c r="A119" s="8"/>
      <c r="C119" s="8"/>
      <c r="D119" s="8"/>
      <c r="E119" s="8"/>
    </row>
  </sheetData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199F-312B-4262-B447-77BE4144AE97}">
  <dimension ref="A1:E30"/>
  <sheetViews>
    <sheetView topLeftCell="A16" workbookViewId="0">
      <selection activeCell="D6" sqref="D6"/>
    </sheetView>
  </sheetViews>
  <sheetFormatPr defaultColWidth="9.140625" defaultRowHeight="21.75" customHeight="1"/>
  <cols>
    <col min="1" max="1" width="5.42578125" style="60" bestFit="1" customWidth="1"/>
    <col min="2" max="2" width="30.42578125" style="4" bestFit="1" customWidth="1"/>
    <col min="3" max="3" width="15.85546875" style="4" bestFit="1" customWidth="1"/>
    <col min="4" max="4" width="10" style="4" bestFit="1" customWidth="1"/>
    <col min="5" max="5" width="23.7109375" style="4" customWidth="1"/>
    <col min="6" max="16384" width="9.140625" style="4"/>
  </cols>
  <sheetData>
    <row r="1" spans="1:5" ht="21.75" customHeight="1">
      <c r="A1" s="61" t="s">
        <v>0</v>
      </c>
      <c r="B1" s="62" t="s">
        <v>1</v>
      </c>
      <c r="C1" s="61" t="s">
        <v>2</v>
      </c>
      <c r="D1" s="61" t="s">
        <v>3</v>
      </c>
      <c r="E1" s="63" t="s">
        <v>208</v>
      </c>
    </row>
    <row r="2" spans="1:5" ht="21.75" customHeight="1">
      <c r="A2" s="58">
        <v>1</v>
      </c>
      <c r="B2" s="57" t="s">
        <v>45</v>
      </c>
      <c r="C2" s="58" t="s">
        <v>46</v>
      </c>
      <c r="D2" s="58" t="s">
        <v>32</v>
      </c>
      <c r="E2" s="59"/>
    </row>
    <row r="3" spans="1:5" ht="21.75" customHeight="1">
      <c r="A3" s="58">
        <v>2</v>
      </c>
      <c r="B3" s="57" t="s">
        <v>47</v>
      </c>
      <c r="C3" s="58" t="s">
        <v>46</v>
      </c>
      <c r="D3" s="58" t="s">
        <v>32</v>
      </c>
      <c r="E3" s="59"/>
    </row>
    <row r="4" spans="1:5" ht="21.75" customHeight="1">
      <c r="A4" s="58">
        <v>3</v>
      </c>
      <c r="B4" s="57" t="s">
        <v>48</v>
      </c>
      <c r="C4" s="58" t="s">
        <v>46</v>
      </c>
      <c r="D4" s="58" t="s">
        <v>32</v>
      </c>
      <c r="E4" s="59"/>
    </row>
    <row r="5" spans="1:5" ht="21.75" customHeight="1">
      <c r="A5" s="58">
        <v>4</v>
      </c>
      <c r="B5" s="57" t="s">
        <v>49</v>
      </c>
      <c r="C5" s="58" t="s">
        <v>46</v>
      </c>
      <c r="D5" s="58" t="s">
        <v>32</v>
      </c>
      <c r="E5" s="59"/>
    </row>
    <row r="6" spans="1:5" ht="21.75" customHeight="1">
      <c r="A6" s="58">
        <v>5</v>
      </c>
      <c r="B6" s="57" t="s">
        <v>50</v>
      </c>
      <c r="C6" s="58" t="s">
        <v>46</v>
      </c>
      <c r="D6" s="58" t="s">
        <v>32</v>
      </c>
      <c r="E6" s="59"/>
    </row>
    <row r="7" spans="1:5" ht="21.75" customHeight="1">
      <c r="A7" s="58">
        <v>6</v>
      </c>
      <c r="B7" s="57" t="s">
        <v>51</v>
      </c>
      <c r="C7" s="58" t="s">
        <v>46</v>
      </c>
      <c r="D7" s="58" t="s">
        <v>32</v>
      </c>
      <c r="E7" s="59"/>
    </row>
    <row r="8" spans="1:5" ht="21.75" customHeight="1">
      <c r="A8" s="58">
        <v>7</v>
      </c>
      <c r="B8" s="57" t="s">
        <v>53</v>
      </c>
      <c r="C8" s="58" t="s">
        <v>46</v>
      </c>
      <c r="D8" s="58" t="s">
        <v>32</v>
      </c>
      <c r="E8" s="59"/>
    </row>
    <row r="9" spans="1:5" ht="21.75" customHeight="1">
      <c r="A9" s="58">
        <v>8</v>
      </c>
      <c r="B9" s="57" t="s">
        <v>81</v>
      </c>
      <c r="C9" s="58" t="s">
        <v>46</v>
      </c>
      <c r="D9" s="58" t="s">
        <v>32</v>
      </c>
      <c r="E9" s="59"/>
    </row>
    <row r="10" spans="1:5" ht="21.75" customHeight="1">
      <c r="A10" s="58">
        <v>9</v>
      </c>
      <c r="B10" s="57" t="s">
        <v>82</v>
      </c>
      <c r="C10" s="58" t="s">
        <v>46</v>
      </c>
      <c r="D10" s="58" t="s">
        <v>32</v>
      </c>
      <c r="E10" s="59"/>
    </row>
    <row r="11" spans="1:5" ht="21.75" customHeight="1">
      <c r="A11" s="58">
        <v>10</v>
      </c>
      <c r="B11" s="57" t="s">
        <v>83</v>
      </c>
      <c r="C11" s="58" t="s">
        <v>46</v>
      </c>
      <c r="D11" s="58" t="s">
        <v>32</v>
      </c>
      <c r="E11" s="59"/>
    </row>
    <row r="12" spans="1:5" ht="21.75" customHeight="1">
      <c r="A12" s="58">
        <v>11</v>
      </c>
      <c r="B12" s="57" t="s">
        <v>84</v>
      </c>
      <c r="C12" s="58" t="s">
        <v>46</v>
      </c>
      <c r="D12" s="58" t="s">
        <v>32</v>
      </c>
      <c r="E12" s="59"/>
    </row>
    <row r="13" spans="1:5" ht="21.75" customHeight="1">
      <c r="A13" s="58">
        <v>12</v>
      </c>
      <c r="B13" s="57" t="s">
        <v>107</v>
      </c>
      <c r="C13" s="58" t="s">
        <v>46</v>
      </c>
      <c r="D13" s="58" t="s">
        <v>32</v>
      </c>
      <c r="E13" s="59"/>
    </row>
    <row r="14" spans="1:5" ht="21.75" customHeight="1">
      <c r="A14" s="58">
        <v>13</v>
      </c>
      <c r="B14" s="57" t="s">
        <v>151</v>
      </c>
      <c r="C14" s="58" t="s">
        <v>46</v>
      </c>
      <c r="D14" s="58" t="s">
        <v>32</v>
      </c>
      <c r="E14" s="59"/>
    </row>
    <row r="15" spans="1:5" ht="21.75" customHeight="1">
      <c r="A15" s="58">
        <v>14</v>
      </c>
      <c r="B15" s="57" t="s">
        <v>207</v>
      </c>
      <c r="C15" s="58" t="s">
        <v>46</v>
      </c>
      <c r="D15" s="58" t="s">
        <v>32</v>
      </c>
      <c r="E15" s="59"/>
    </row>
    <row r="16" spans="1:5" ht="21.75" customHeight="1">
      <c r="A16" s="58">
        <v>1</v>
      </c>
      <c r="B16" s="57" t="s">
        <v>54</v>
      </c>
      <c r="C16" s="58" t="s">
        <v>55</v>
      </c>
      <c r="D16" s="58" t="s">
        <v>32</v>
      </c>
      <c r="E16" s="59"/>
    </row>
    <row r="17" spans="1:5" ht="21.75" customHeight="1">
      <c r="A17" s="58">
        <v>2</v>
      </c>
      <c r="B17" s="57" t="s">
        <v>56</v>
      </c>
      <c r="C17" s="58" t="s">
        <v>55</v>
      </c>
      <c r="D17" s="58" t="s">
        <v>32</v>
      </c>
      <c r="E17" s="59"/>
    </row>
    <row r="18" spans="1:5" ht="21.75" customHeight="1">
      <c r="A18" s="58">
        <v>3</v>
      </c>
      <c r="B18" s="57" t="s">
        <v>57</v>
      </c>
      <c r="C18" s="58" t="s">
        <v>55</v>
      </c>
      <c r="D18" s="58" t="s">
        <v>32</v>
      </c>
      <c r="E18" s="59"/>
    </row>
    <row r="19" spans="1:5" ht="21.75" customHeight="1">
      <c r="A19" s="58">
        <v>4</v>
      </c>
      <c r="B19" s="57" t="s">
        <v>58</v>
      </c>
      <c r="C19" s="58" t="s">
        <v>55</v>
      </c>
      <c r="D19" s="58" t="s">
        <v>32</v>
      </c>
      <c r="E19" s="59"/>
    </row>
    <row r="20" spans="1:5" ht="21.75" customHeight="1">
      <c r="A20" s="58">
        <v>5</v>
      </c>
      <c r="B20" s="57" t="s">
        <v>59</v>
      </c>
      <c r="C20" s="58" t="s">
        <v>55</v>
      </c>
      <c r="D20" s="58" t="s">
        <v>32</v>
      </c>
      <c r="E20" s="59"/>
    </row>
    <row r="21" spans="1:5" ht="21.75" customHeight="1">
      <c r="A21" s="58">
        <v>6</v>
      </c>
      <c r="B21" s="57" t="s">
        <v>60</v>
      </c>
      <c r="C21" s="58" t="s">
        <v>55</v>
      </c>
      <c r="D21" s="58" t="s">
        <v>32</v>
      </c>
      <c r="E21" s="59"/>
    </row>
    <row r="22" spans="1:5" ht="21.75" customHeight="1">
      <c r="A22" s="58">
        <v>7</v>
      </c>
      <c r="B22" s="57" t="s">
        <v>61</v>
      </c>
      <c r="C22" s="58" t="s">
        <v>55</v>
      </c>
      <c r="D22" s="58" t="s">
        <v>32</v>
      </c>
      <c r="E22" s="59"/>
    </row>
    <row r="23" spans="1:5" ht="21.75" customHeight="1">
      <c r="A23" s="58">
        <v>8</v>
      </c>
      <c r="B23" s="57" t="s">
        <v>62</v>
      </c>
      <c r="C23" s="58" t="s">
        <v>55</v>
      </c>
      <c r="D23" s="58" t="s">
        <v>32</v>
      </c>
      <c r="E23" s="59"/>
    </row>
    <row r="24" spans="1:5" ht="21.75" customHeight="1">
      <c r="A24" s="58">
        <v>9</v>
      </c>
      <c r="B24" s="56" t="s">
        <v>90</v>
      </c>
      <c r="C24" s="58" t="s">
        <v>55</v>
      </c>
      <c r="D24" s="58" t="s">
        <v>32</v>
      </c>
      <c r="E24" s="59"/>
    </row>
    <row r="25" spans="1:5" ht="21.75" customHeight="1">
      <c r="A25" s="58">
        <v>10</v>
      </c>
      <c r="B25" s="56" t="s">
        <v>91</v>
      </c>
      <c r="C25" s="58" t="s">
        <v>55</v>
      </c>
      <c r="D25" s="58" t="s">
        <v>32</v>
      </c>
      <c r="E25" s="59"/>
    </row>
    <row r="26" spans="1:5" ht="21.75" customHeight="1">
      <c r="A26" s="58">
        <v>11</v>
      </c>
      <c r="B26" s="56" t="s">
        <v>92</v>
      </c>
      <c r="C26" s="58" t="s">
        <v>55</v>
      </c>
      <c r="D26" s="58" t="s">
        <v>32</v>
      </c>
      <c r="E26" s="59"/>
    </row>
    <row r="27" spans="1:5" ht="21.75" customHeight="1">
      <c r="A27" s="58">
        <v>12</v>
      </c>
      <c r="B27" s="56" t="s">
        <v>93</v>
      </c>
      <c r="C27" s="58" t="s">
        <v>55</v>
      </c>
      <c r="D27" s="58" t="s">
        <v>32</v>
      </c>
      <c r="E27" s="59"/>
    </row>
    <row r="28" spans="1:5" ht="21.75" customHeight="1">
      <c r="A28" s="58">
        <v>13</v>
      </c>
      <c r="B28" s="56" t="s">
        <v>101</v>
      </c>
      <c r="C28" s="58" t="s">
        <v>55</v>
      </c>
      <c r="D28" s="58" t="s">
        <v>32</v>
      </c>
      <c r="E28" s="59"/>
    </row>
    <row r="29" spans="1:5" ht="21.75" customHeight="1">
      <c r="A29" s="58">
        <v>14</v>
      </c>
      <c r="B29" s="56" t="s">
        <v>102</v>
      </c>
      <c r="C29" s="58" t="s">
        <v>55</v>
      </c>
      <c r="D29" s="58" t="s">
        <v>32</v>
      </c>
      <c r="E29" s="59"/>
    </row>
    <row r="30" spans="1:5" ht="21.75" customHeight="1">
      <c r="A30" s="58">
        <v>15</v>
      </c>
      <c r="B30" s="56" t="s">
        <v>103</v>
      </c>
      <c r="C30" s="58" t="s">
        <v>55</v>
      </c>
      <c r="D30" s="58" t="s">
        <v>32</v>
      </c>
      <c r="E30" s="5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6D88-3C7B-4227-84F5-0842E25B5180}">
  <sheetPr codeName="Sheet8">
    <tabColor rgb="FF70AD47"/>
  </sheetPr>
  <dimension ref="A1:AMC480"/>
  <sheetViews>
    <sheetView tabSelected="1" topLeftCell="A184" zoomScale="69" zoomScaleNormal="85" workbookViewId="0">
      <selection activeCell="A119" sqref="A119:N202"/>
    </sheetView>
  </sheetViews>
  <sheetFormatPr defaultColWidth="8.85546875" defaultRowHeight="19.5" customHeight="1"/>
  <cols>
    <col min="1" max="1" width="5.7109375" style="40" customWidth="1"/>
    <col min="2" max="2" width="26.7109375" style="38" customWidth="1"/>
    <col min="3" max="3" width="15.85546875" style="40" bestFit="1" customWidth="1"/>
    <col min="4" max="4" width="10" style="40" bestFit="1" customWidth="1"/>
    <col min="5" max="5" width="10" style="40" customWidth="1"/>
    <col min="6" max="6" width="6.140625" style="40" customWidth="1"/>
    <col min="7" max="7" width="5.5703125" style="40" customWidth="1"/>
    <col min="8" max="15" width="5.5703125" style="41" customWidth="1"/>
    <col min="16" max="16384" width="8.85546875" style="37"/>
  </cols>
  <sheetData>
    <row r="1" spans="1:1017" s="38" customFormat="1" ht="19.5" customHeight="1">
      <c r="A1" s="69" t="s">
        <v>0</v>
      </c>
      <c r="B1" s="70" t="s">
        <v>1</v>
      </c>
      <c r="C1" s="69" t="s">
        <v>2</v>
      </c>
      <c r="D1" s="69" t="s">
        <v>3</v>
      </c>
      <c r="E1" s="69" t="s">
        <v>260</v>
      </c>
      <c r="F1" s="69" t="s">
        <v>4</v>
      </c>
      <c r="G1" s="71" t="s">
        <v>7</v>
      </c>
      <c r="H1" s="71" t="s">
        <v>8</v>
      </c>
      <c r="I1" s="71" t="s">
        <v>9</v>
      </c>
      <c r="J1" s="71" t="s">
        <v>10</v>
      </c>
      <c r="K1" s="71" t="s">
        <v>11</v>
      </c>
      <c r="L1" s="71" t="s">
        <v>12</v>
      </c>
      <c r="M1" s="71" t="s">
        <v>13</v>
      </c>
      <c r="N1" s="71" t="s">
        <v>14</v>
      </c>
      <c r="O1" s="71" t="s">
        <v>262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  <c r="NZ1" s="37"/>
      <c r="OA1" s="37"/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7"/>
      <c r="AKE1" s="37"/>
      <c r="AKF1" s="37"/>
      <c r="AKG1" s="37"/>
      <c r="AKH1" s="37"/>
      <c r="AKI1" s="37"/>
      <c r="AKJ1" s="37"/>
      <c r="AKK1" s="37"/>
      <c r="AKL1" s="37"/>
      <c r="AKM1" s="37"/>
      <c r="AKN1" s="37"/>
      <c r="AKO1" s="37"/>
      <c r="AKP1" s="37"/>
      <c r="AKQ1" s="37"/>
      <c r="AKR1" s="37"/>
      <c r="AKS1" s="37"/>
      <c r="AKT1" s="37"/>
      <c r="AKU1" s="37"/>
      <c r="AKV1" s="37"/>
      <c r="AKW1" s="37"/>
      <c r="AKX1" s="37"/>
      <c r="AKY1" s="37"/>
      <c r="AKZ1" s="37"/>
      <c r="ALA1" s="37"/>
      <c r="ALB1" s="37"/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7"/>
      <c r="ALT1" s="37"/>
      <c r="ALU1" s="37"/>
      <c r="ALV1" s="37"/>
      <c r="ALW1" s="37"/>
      <c r="ALX1" s="37"/>
      <c r="ALY1" s="37"/>
      <c r="ALZ1" s="37"/>
      <c r="AMA1" s="37"/>
      <c r="AMB1" s="37"/>
      <c r="AMC1" s="37"/>
    </row>
    <row r="2" spans="1:1017" s="38" customFormat="1" ht="19.5" customHeight="1">
      <c r="A2" s="26" t="s">
        <v>63</v>
      </c>
      <c r="B2" s="25" t="s">
        <v>45</v>
      </c>
      <c r="C2" s="26" t="s">
        <v>46</v>
      </c>
      <c r="D2" s="26" t="s">
        <v>32</v>
      </c>
      <c r="E2" s="26" t="s">
        <v>261</v>
      </c>
      <c r="F2" s="26">
        <v>40</v>
      </c>
      <c r="G2" s="26" t="s">
        <v>34</v>
      </c>
      <c r="H2" s="26">
        <v>55</v>
      </c>
      <c r="I2" s="36">
        <v>43</v>
      </c>
      <c r="J2" s="36">
        <v>23</v>
      </c>
      <c r="K2" s="36">
        <v>19</v>
      </c>
      <c r="L2" s="36">
        <v>29</v>
      </c>
      <c r="M2" s="36">
        <v>28</v>
      </c>
      <c r="N2" s="36">
        <v>69</v>
      </c>
      <c r="O2" s="36">
        <v>69</v>
      </c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</row>
    <row r="3" spans="1:1017" s="38" customFormat="1" ht="19.5" customHeight="1">
      <c r="A3" s="72"/>
      <c r="B3" s="73"/>
      <c r="C3" s="72"/>
      <c r="D3" s="72"/>
      <c r="E3" s="72"/>
      <c r="F3" s="72"/>
      <c r="G3" s="35">
        <v>40</v>
      </c>
      <c r="H3" s="35">
        <v>93</v>
      </c>
      <c r="I3" s="35">
        <v>110</v>
      </c>
      <c r="J3" s="35">
        <v>72</v>
      </c>
      <c r="K3" s="35">
        <v>35</v>
      </c>
      <c r="L3" s="35">
        <v>26</v>
      </c>
      <c r="M3" s="35">
        <v>21</v>
      </c>
      <c r="N3" s="35">
        <v>97</v>
      </c>
      <c r="O3" s="74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  <c r="NZ3" s="37"/>
      <c r="OA3" s="37"/>
      <c r="OB3" s="37"/>
      <c r="OC3" s="37"/>
      <c r="OD3" s="37"/>
      <c r="OE3" s="37"/>
      <c r="OF3" s="37"/>
      <c r="OG3" s="37"/>
      <c r="OH3" s="37"/>
      <c r="OI3" s="37"/>
      <c r="OJ3" s="37"/>
      <c r="OK3" s="37"/>
      <c r="OL3" s="37"/>
      <c r="OM3" s="37"/>
      <c r="ON3" s="37"/>
      <c r="OO3" s="37"/>
      <c r="OP3" s="37"/>
      <c r="OQ3" s="37"/>
      <c r="OR3" s="37"/>
      <c r="OS3" s="37"/>
      <c r="OT3" s="37"/>
      <c r="OU3" s="37"/>
      <c r="OV3" s="37"/>
      <c r="OW3" s="37"/>
      <c r="OX3" s="37"/>
      <c r="OY3" s="37"/>
      <c r="OZ3" s="37"/>
      <c r="PA3" s="37"/>
      <c r="PB3" s="37"/>
      <c r="PC3" s="37"/>
      <c r="PD3" s="37"/>
      <c r="PE3" s="37"/>
      <c r="PF3" s="37"/>
      <c r="PG3" s="37"/>
      <c r="PH3" s="37"/>
      <c r="PI3" s="37"/>
      <c r="PJ3" s="37"/>
      <c r="PK3" s="37"/>
      <c r="PL3" s="37"/>
      <c r="PM3" s="37"/>
      <c r="PN3" s="37"/>
      <c r="PO3" s="37"/>
      <c r="PP3" s="37"/>
      <c r="PQ3" s="37"/>
      <c r="PR3" s="37"/>
      <c r="PS3" s="37"/>
      <c r="PT3" s="37"/>
      <c r="PU3" s="37"/>
      <c r="PV3" s="37"/>
      <c r="PW3" s="37"/>
      <c r="PX3" s="37"/>
      <c r="PY3" s="37"/>
      <c r="PZ3" s="37"/>
      <c r="QA3" s="37"/>
      <c r="QB3" s="37"/>
      <c r="QC3" s="37"/>
      <c r="QD3" s="37"/>
      <c r="QE3" s="37"/>
      <c r="QF3" s="37"/>
      <c r="QG3" s="37"/>
      <c r="QH3" s="37"/>
      <c r="QI3" s="37"/>
      <c r="QJ3" s="37"/>
      <c r="QK3" s="37"/>
      <c r="QL3" s="37"/>
      <c r="QM3" s="37"/>
      <c r="QN3" s="37"/>
      <c r="QO3" s="37"/>
      <c r="QP3" s="37"/>
      <c r="QQ3" s="37"/>
      <c r="QR3" s="37"/>
      <c r="QS3" s="37"/>
      <c r="QT3" s="37"/>
      <c r="QU3" s="37"/>
      <c r="QV3" s="37"/>
      <c r="QW3" s="37"/>
      <c r="QX3" s="37"/>
      <c r="QY3" s="37"/>
      <c r="QZ3" s="37"/>
      <c r="RA3" s="37"/>
      <c r="RB3" s="37"/>
      <c r="RC3" s="37"/>
      <c r="RD3" s="37"/>
      <c r="RE3" s="37"/>
      <c r="RF3" s="37"/>
      <c r="RG3" s="37"/>
      <c r="RH3" s="37"/>
      <c r="RI3" s="37"/>
      <c r="RJ3" s="37"/>
      <c r="RK3" s="37"/>
      <c r="RL3" s="37"/>
      <c r="RM3" s="37"/>
      <c r="RN3" s="37"/>
      <c r="RO3" s="37"/>
      <c r="RP3" s="37"/>
      <c r="RQ3" s="37"/>
      <c r="RR3" s="37"/>
      <c r="RS3" s="37"/>
      <c r="RT3" s="37"/>
      <c r="RU3" s="37"/>
      <c r="RV3" s="37"/>
      <c r="RW3" s="37"/>
      <c r="RX3" s="37"/>
      <c r="RY3" s="37"/>
      <c r="RZ3" s="37"/>
      <c r="SA3" s="37"/>
      <c r="SB3" s="37"/>
      <c r="SC3" s="37"/>
      <c r="SD3" s="37"/>
      <c r="SE3" s="37"/>
      <c r="SF3" s="37"/>
      <c r="SG3" s="37"/>
      <c r="SH3" s="37"/>
      <c r="SI3" s="37"/>
      <c r="SJ3" s="37"/>
      <c r="SK3" s="37"/>
      <c r="SL3" s="37"/>
      <c r="SM3" s="37"/>
      <c r="SN3" s="37"/>
      <c r="SO3" s="37"/>
      <c r="SP3" s="37"/>
      <c r="SQ3" s="37"/>
      <c r="SR3" s="37"/>
      <c r="SS3" s="37"/>
      <c r="ST3" s="37"/>
      <c r="SU3" s="37"/>
      <c r="SV3" s="37"/>
      <c r="SW3" s="37"/>
      <c r="SX3" s="37"/>
      <c r="SY3" s="37"/>
      <c r="SZ3" s="37"/>
      <c r="TA3" s="37"/>
      <c r="TB3" s="37"/>
      <c r="TC3" s="37"/>
      <c r="TD3" s="37"/>
      <c r="TE3" s="37"/>
      <c r="TF3" s="37"/>
      <c r="TG3" s="37"/>
      <c r="TH3" s="37"/>
      <c r="TI3" s="37"/>
      <c r="TJ3" s="37"/>
      <c r="TK3" s="37"/>
      <c r="TL3" s="37"/>
      <c r="TM3" s="37"/>
      <c r="TN3" s="37"/>
      <c r="TO3" s="37"/>
      <c r="TP3" s="37"/>
      <c r="TQ3" s="37"/>
      <c r="TR3" s="37"/>
      <c r="TS3" s="37"/>
      <c r="TT3" s="37"/>
      <c r="TU3" s="37"/>
      <c r="TV3" s="37"/>
      <c r="TW3" s="37"/>
      <c r="TX3" s="37"/>
      <c r="TY3" s="37"/>
      <c r="TZ3" s="37"/>
      <c r="UA3" s="37"/>
      <c r="UB3" s="37"/>
      <c r="UC3" s="37"/>
      <c r="UD3" s="37"/>
      <c r="UE3" s="37"/>
      <c r="UF3" s="37"/>
      <c r="UG3" s="37"/>
      <c r="UH3" s="37"/>
      <c r="UI3" s="37"/>
      <c r="UJ3" s="37"/>
      <c r="UK3" s="37"/>
      <c r="UL3" s="37"/>
      <c r="UM3" s="37"/>
      <c r="UN3" s="37"/>
      <c r="UO3" s="37"/>
      <c r="UP3" s="37"/>
      <c r="UQ3" s="37"/>
      <c r="UR3" s="37"/>
      <c r="US3" s="37"/>
      <c r="UT3" s="37"/>
      <c r="UU3" s="37"/>
      <c r="UV3" s="37"/>
      <c r="UW3" s="37"/>
      <c r="UX3" s="37"/>
      <c r="UY3" s="37"/>
      <c r="UZ3" s="37"/>
      <c r="VA3" s="37"/>
      <c r="VB3" s="37"/>
      <c r="VC3" s="37"/>
      <c r="VD3" s="37"/>
      <c r="VE3" s="37"/>
      <c r="VF3" s="37"/>
      <c r="VG3" s="37"/>
      <c r="VH3" s="37"/>
      <c r="VI3" s="37"/>
      <c r="VJ3" s="37"/>
      <c r="VK3" s="37"/>
      <c r="VL3" s="37"/>
      <c r="VM3" s="37"/>
      <c r="VN3" s="37"/>
      <c r="VO3" s="37"/>
      <c r="VP3" s="37"/>
      <c r="VQ3" s="37"/>
      <c r="VR3" s="37"/>
      <c r="VS3" s="37"/>
      <c r="VT3" s="37"/>
      <c r="VU3" s="37"/>
      <c r="VV3" s="37"/>
      <c r="VW3" s="37"/>
      <c r="VX3" s="37"/>
      <c r="VY3" s="37"/>
      <c r="VZ3" s="37"/>
      <c r="WA3" s="37"/>
      <c r="WB3" s="37"/>
      <c r="WC3" s="37"/>
      <c r="WD3" s="37"/>
      <c r="WE3" s="37"/>
      <c r="WF3" s="37"/>
      <c r="WG3" s="37"/>
      <c r="WH3" s="37"/>
      <c r="WI3" s="37"/>
      <c r="WJ3" s="37"/>
      <c r="WK3" s="37"/>
      <c r="WL3" s="37"/>
      <c r="WM3" s="37"/>
      <c r="WN3" s="37"/>
      <c r="WO3" s="37"/>
      <c r="WP3" s="37"/>
      <c r="WQ3" s="37"/>
      <c r="WR3" s="37"/>
      <c r="WS3" s="37"/>
      <c r="WT3" s="37"/>
      <c r="WU3" s="37"/>
      <c r="WV3" s="37"/>
      <c r="WW3" s="37"/>
      <c r="WX3" s="37"/>
      <c r="WY3" s="37"/>
      <c r="WZ3" s="37"/>
      <c r="XA3" s="37"/>
      <c r="XB3" s="37"/>
      <c r="XC3" s="37"/>
      <c r="XD3" s="37"/>
      <c r="XE3" s="37"/>
      <c r="XF3" s="37"/>
      <c r="XG3" s="37"/>
      <c r="XH3" s="37"/>
      <c r="XI3" s="37"/>
      <c r="XJ3" s="37"/>
      <c r="XK3" s="37"/>
      <c r="XL3" s="37"/>
      <c r="XM3" s="37"/>
      <c r="XN3" s="37"/>
      <c r="XO3" s="37"/>
      <c r="XP3" s="37"/>
      <c r="XQ3" s="37"/>
      <c r="XR3" s="37"/>
      <c r="XS3" s="37"/>
      <c r="XT3" s="37"/>
      <c r="XU3" s="37"/>
      <c r="XV3" s="37"/>
      <c r="XW3" s="37"/>
      <c r="XX3" s="37"/>
      <c r="XY3" s="37"/>
      <c r="XZ3" s="37"/>
      <c r="YA3" s="37"/>
      <c r="YB3" s="37"/>
      <c r="YC3" s="37"/>
      <c r="YD3" s="37"/>
      <c r="YE3" s="37"/>
      <c r="YF3" s="37"/>
      <c r="YG3" s="37"/>
      <c r="YH3" s="37"/>
      <c r="YI3" s="37"/>
      <c r="YJ3" s="37"/>
      <c r="YK3" s="37"/>
      <c r="YL3" s="37"/>
      <c r="YM3" s="37"/>
      <c r="YN3" s="37"/>
      <c r="YO3" s="37"/>
      <c r="YP3" s="37"/>
      <c r="YQ3" s="37"/>
      <c r="YR3" s="37"/>
      <c r="YS3" s="37"/>
      <c r="YT3" s="37"/>
      <c r="YU3" s="37"/>
      <c r="YV3" s="37"/>
      <c r="YW3" s="37"/>
      <c r="YX3" s="37"/>
      <c r="YY3" s="37"/>
      <c r="YZ3" s="37"/>
      <c r="ZA3" s="37"/>
      <c r="ZB3" s="37"/>
      <c r="ZC3" s="37"/>
      <c r="ZD3" s="37"/>
      <c r="ZE3" s="37"/>
      <c r="ZF3" s="37"/>
      <c r="ZG3" s="37"/>
      <c r="ZH3" s="37"/>
      <c r="ZI3" s="37"/>
      <c r="ZJ3" s="37"/>
      <c r="ZK3" s="37"/>
      <c r="ZL3" s="37"/>
      <c r="ZM3" s="37"/>
      <c r="ZN3" s="37"/>
      <c r="ZO3" s="37"/>
      <c r="ZP3" s="37"/>
      <c r="ZQ3" s="37"/>
      <c r="ZR3" s="37"/>
      <c r="ZS3" s="37"/>
      <c r="ZT3" s="37"/>
      <c r="ZU3" s="37"/>
      <c r="ZV3" s="37"/>
      <c r="ZW3" s="37"/>
      <c r="ZX3" s="37"/>
      <c r="ZY3" s="37"/>
      <c r="ZZ3" s="37"/>
      <c r="AAA3" s="37"/>
      <c r="AAB3" s="37"/>
      <c r="AAC3" s="37"/>
      <c r="AAD3" s="37"/>
      <c r="AAE3" s="37"/>
      <c r="AAF3" s="37"/>
      <c r="AAG3" s="37"/>
      <c r="AAH3" s="37"/>
      <c r="AAI3" s="37"/>
      <c r="AAJ3" s="37"/>
      <c r="AAK3" s="37"/>
      <c r="AAL3" s="37"/>
      <c r="AAM3" s="37"/>
      <c r="AAN3" s="37"/>
      <c r="AAO3" s="37"/>
      <c r="AAP3" s="37"/>
      <c r="AAQ3" s="37"/>
      <c r="AAR3" s="37"/>
      <c r="AAS3" s="37"/>
      <c r="AAT3" s="37"/>
      <c r="AAU3" s="37"/>
      <c r="AAV3" s="37"/>
      <c r="AAW3" s="37"/>
      <c r="AAX3" s="37"/>
      <c r="AAY3" s="37"/>
      <c r="AAZ3" s="37"/>
      <c r="ABA3" s="37"/>
      <c r="ABB3" s="37"/>
      <c r="ABC3" s="37"/>
      <c r="ABD3" s="37"/>
      <c r="ABE3" s="37"/>
      <c r="ABF3" s="37"/>
      <c r="ABG3" s="37"/>
      <c r="ABH3" s="37"/>
      <c r="ABI3" s="37"/>
      <c r="ABJ3" s="37"/>
      <c r="ABK3" s="37"/>
      <c r="ABL3" s="37"/>
      <c r="ABM3" s="37"/>
      <c r="ABN3" s="37"/>
      <c r="ABO3" s="37"/>
      <c r="ABP3" s="37"/>
      <c r="ABQ3" s="37"/>
      <c r="ABR3" s="37"/>
      <c r="ABS3" s="37"/>
      <c r="ABT3" s="37"/>
      <c r="ABU3" s="37"/>
      <c r="ABV3" s="37"/>
      <c r="ABW3" s="37"/>
      <c r="ABX3" s="37"/>
      <c r="ABY3" s="37"/>
      <c r="ABZ3" s="37"/>
      <c r="ACA3" s="37"/>
      <c r="ACB3" s="37"/>
      <c r="ACC3" s="37"/>
      <c r="ACD3" s="37"/>
      <c r="ACE3" s="37"/>
      <c r="ACF3" s="37"/>
      <c r="ACG3" s="37"/>
      <c r="ACH3" s="37"/>
      <c r="ACI3" s="37"/>
      <c r="ACJ3" s="37"/>
      <c r="ACK3" s="37"/>
      <c r="ACL3" s="37"/>
      <c r="ACM3" s="37"/>
      <c r="ACN3" s="37"/>
      <c r="ACO3" s="37"/>
      <c r="ACP3" s="37"/>
      <c r="ACQ3" s="37"/>
      <c r="ACR3" s="37"/>
      <c r="ACS3" s="37"/>
      <c r="ACT3" s="37"/>
      <c r="ACU3" s="37"/>
      <c r="ACV3" s="37"/>
      <c r="ACW3" s="37"/>
      <c r="ACX3" s="37"/>
      <c r="ACY3" s="37"/>
      <c r="ACZ3" s="37"/>
      <c r="ADA3" s="37"/>
      <c r="ADB3" s="37"/>
      <c r="ADC3" s="37"/>
      <c r="ADD3" s="37"/>
      <c r="ADE3" s="37"/>
      <c r="ADF3" s="37"/>
      <c r="ADG3" s="37"/>
      <c r="ADH3" s="37"/>
      <c r="ADI3" s="37"/>
      <c r="ADJ3" s="37"/>
      <c r="ADK3" s="37"/>
      <c r="ADL3" s="37"/>
      <c r="ADM3" s="37"/>
      <c r="ADN3" s="37"/>
      <c r="ADO3" s="37"/>
      <c r="ADP3" s="37"/>
      <c r="ADQ3" s="37"/>
      <c r="ADR3" s="37"/>
      <c r="ADS3" s="37"/>
      <c r="ADT3" s="37"/>
      <c r="ADU3" s="37"/>
      <c r="ADV3" s="37"/>
      <c r="ADW3" s="37"/>
      <c r="ADX3" s="37"/>
      <c r="ADY3" s="37"/>
      <c r="ADZ3" s="37"/>
      <c r="AEA3" s="37"/>
      <c r="AEB3" s="37"/>
      <c r="AEC3" s="37"/>
      <c r="AED3" s="37"/>
      <c r="AEE3" s="37"/>
      <c r="AEF3" s="37"/>
      <c r="AEG3" s="37"/>
      <c r="AEH3" s="37"/>
      <c r="AEI3" s="37"/>
      <c r="AEJ3" s="37"/>
      <c r="AEK3" s="37"/>
      <c r="AEL3" s="37"/>
      <c r="AEM3" s="37"/>
      <c r="AEN3" s="37"/>
      <c r="AEO3" s="37"/>
      <c r="AEP3" s="37"/>
      <c r="AEQ3" s="37"/>
      <c r="AER3" s="37"/>
      <c r="AES3" s="37"/>
      <c r="AET3" s="37"/>
      <c r="AEU3" s="37"/>
      <c r="AEV3" s="37"/>
      <c r="AEW3" s="37"/>
      <c r="AEX3" s="37"/>
      <c r="AEY3" s="37"/>
      <c r="AEZ3" s="37"/>
      <c r="AFA3" s="37"/>
      <c r="AFB3" s="37"/>
      <c r="AFC3" s="37"/>
      <c r="AFD3" s="37"/>
      <c r="AFE3" s="37"/>
      <c r="AFF3" s="37"/>
      <c r="AFG3" s="37"/>
      <c r="AFH3" s="37"/>
      <c r="AFI3" s="37"/>
      <c r="AFJ3" s="37"/>
      <c r="AFK3" s="37"/>
      <c r="AFL3" s="37"/>
      <c r="AFM3" s="37"/>
      <c r="AFN3" s="37"/>
      <c r="AFO3" s="37"/>
      <c r="AFP3" s="37"/>
      <c r="AFQ3" s="37"/>
      <c r="AFR3" s="37"/>
      <c r="AFS3" s="37"/>
      <c r="AFT3" s="37"/>
      <c r="AFU3" s="37"/>
      <c r="AFV3" s="37"/>
      <c r="AFW3" s="37"/>
      <c r="AFX3" s="37"/>
      <c r="AFY3" s="37"/>
      <c r="AFZ3" s="37"/>
      <c r="AGA3" s="37"/>
      <c r="AGB3" s="37"/>
      <c r="AGC3" s="37"/>
      <c r="AGD3" s="37"/>
      <c r="AGE3" s="37"/>
      <c r="AGF3" s="37"/>
      <c r="AGG3" s="37"/>
      <c r="AGH3" s="37"/>
      <c r="AGI3" s="37"/>
      <c r="AGJ3" s="37"/>
      <c r="AGK3" s="37"/>
      <c r="AGL3" s="37"/>
      <c r="AGM3" s="37"/>
      <c r="AGN3" s="37"/>
      <c r="AGO3" s="37"/>
      <c r="AGP3" s="37"/>
      <c r="AGQ3" s="37"/>
      <c r="AGR3" s="37"/>
      <c r="AGS3" s="37"/>
      <c r="AGT3" s="37"/>
      <c r="AGU3" s="37"/>
      <c r="AGV3" s="37"/>
      <c r="AGW3" s="37"/>
      <c r="AGX3" s="37"/>
      <c r="AGY3" s="37"/>
      <c r="AGZ3" s="37"/>
      <c r="AHA3" s="37"/>
      <c r="AHB3" s="37"/>
      <c r="AHC3" s="37"/>
      <c r="AHD3" s="37"/>
      <c r="AHE3" s="37"/>
      <c r="AHF3" s="37"/>
      <c r="AHG3" s="37"/>
      <c r="AHH3" s="37"/>
      <c r="AHI3" s="37"/>
      <c r="AHJ3" s="37"/>
      <c r="AHK3" s="37"/>
      <c r="AHL3" s="37"/>
      <c r="AHM3" s="37"/>
      <c r="AHN3" s="37"/>
      <c r="AHO3" s="37"/>
      <c r="AHP3" s="37"/>
      <c r="AHQ3" s="37"/>
      <c r="AHR3" s="37"/>
      <c r="AHS3" s="37"/>
      <c r="AHT3" s="37"/>
      <c r="AHU3" s="37"/>
      <c r="AHV3" s="37"/>
      <c r="AHW3" s="37"/>
      <c r="AHX3" s="37"/>
      <c r="AHY3" s="37"/>
      <c r="AHZ3" s="37"/>
      <c r="AIA3" s="37"/>
      <c r="AIB3" s="37"/>
      <c r="AIC3" s="37"/>
      <c r="AID3" s="37"/>
      <c r="AIE3" s="37"/>
      <c r="AIF3" s="37"/>
      <c r="AIG3" s="37"/>
      <c r="AIH3" s="37"/>
      <c r="AII3" s="37"/>
      <c r="AIJ3" s="37"/>
      <c r="AIK3" s="37"/>
      <c r="AIL3" s="37"/>
      <c r="AIM3" s="37"/>
      <c r="AIN3" s="37"/>
      <c r="AIO3" s="37"/>
      <c r="AIP3" s="37"/>
      <c r="AIQ3" s="37"/>
      <c r="AIR3" s="37"/>
      <c r="AIS3" s="37"/>
      <c r="AIT3" s="37"/>
      <c r="AIU3" s="37"/>
      <c r="AIV3" s="37"/>
      <c r="AIW3" s="37"/>
      <c r="AIX3" s="37"/>
      <c r="AIY3" s="37"/>
      <c r="AIZ3" s="37"/>
      <c r="AJA3" s="37"/>
      <c r="AJB3" s="37"/>
      <c r="AJC3" s="37"/>
      <c r="AJD3" s="37"/>
      <c r="AJE3" s="37"/>
      <c r="AJF3" s="37"/>
      <c r="AJG3" s="37"/>
      <c r="AJH3" s="37"/>
      <c r="AJI3" s="37"/>
      <c r="AJJ3" s="37"/>
      <c r="AJK3" s="37"/>
      <c r="AJL3" s="37"/>
      <c r="AJM3" s="37"/>
      <c r="AJN3" s="37"/>
      <c r="AJO3" s="37"/>
      <c r="AJP3" s="37"/>
      <c r="AJQ3" s="37"/>
      <c r="AJR3" s="37"/>
      <c r="AJS3" s="37"/>
      <c r="AJT3" s="37"/>
      <c r="AJU3" s="37"/>
      <c r="AJV3" s="37"/>
      <c r="AJW3" s="37"/>
      <c r="AJX3" s="37"/>
      <c r="AJY3" s="37"/>
      <c r="AJZ3" s="37"/>
      <c r="AKA3" s="37"/>
      <c r="AKB3" s="37"/>
      <c r="AKC3" s="37"/>
      <c r="AKD3" s="37"/>
      <c r="AKE3" s="37"/>
      <c r="AKF3" s="37"/>
      <c r="AKG3" s="37"/>
      <c r="AKH3" s="37"/>
      <c r="AKI3" s="37"/>
      <c r="AKJ3" s="37"/>
      <c r="AKK3" s="37"/>
      <c r="AKL3" s="37"/>
      <c r="AKM3" s="37"/>
      <c r="AKN3" s="37"/>
      <c r="AKO3" s="37"/>
      <c r="AKP3" s="37"/>
      <c r="AKQ3" s="37"/>
      <c r="AKR3" s="37"/>
      <c r="AKS3" s="37"/>
      <c r="AKT3" s="37"/>
      <c r="AKU3" s="37"/>
      <c r="AKV3" s="37"/>
      <c r="AKW3" s="37"/>
      <c r="AKX3" s="37"/>
      <c r="AKY3" s="37"/>
      <c r="AKZ3" s="37"/>
      <c r="ALA3" s="37"/>
      <c r="ALB3" s="37"/>
      <c r="ALC3" s="37"/>
      <c r="ALD3" s="37"/>
      <c r="ALE3" s="37"/>
      <c r="ALF3" s="37"/>
      <c r="ALG3" s="37"/>
      <c r="ALH3" s="37"/>
      <c r="ALI3" s="37"/>
      <c r="ALJ3" s="37"/>
      <c r="ALK3" s="37"/>
      <c r="ALL3" s="37"/>
      <c r="ALM3" s="37"/>
      <c r="ALN3" s="37"/>
      <c r="ALO3" s="37"/>
      <c r="ALP3" s="37"/>
      <c r="ALQ3" s="37"/>
      <c r="ALR3" s="37"/>
      <c r="ALS3" s="37"/>
      <c r="ALT3" s="37"/>
      <c r="ALU3" s="37"/>
      <c r="ALV3" s="37"/>
      <c r="ALW3" s="37"/>
      <c r="ALX3" s="37"/>
      <c r="ALY3" s="37"/>
      <c r="ALZ3" s="37"/>
      <c r="AMA3" s="37"/>
      <c r="AMB3" s="37"/>
      <c r="AMC3" s="37"/>
    </row>
    <row r="4" spans="1:1017" s="38" customFormat="1" ht="19.5" customHeight="1">
      <c r="A4" s="75"/>
      <c r="B4" s="76"/>
      <c r="C4" s="75"/>
      <c r="D4" s="75"/>
      <c r="E4" s="75"/>
      <c r="F4" s="75"/>
      <c r="G4" s="77">
        <v>47</v>
      </c>
      <c r="H4" s="77">
        <v>60</v>
      </c>
      <c r="I4" s="77">
        <v>20</v>
      </c>
      <c r="J4" s="77">
        <v>15</v>
      </c>
      <c r="K4" s="77">
        <v>106</v>
      </c>
      <c r="L4" s="77">
        <v>101</v>
      </c>
      <c r="M4" s="77">
        <v>114</v>
      </c>
      <c r="N4" s="77"/>
      <c r="O4" s="7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37"/>
      <c r="NU4" s="37"/>
      <c r="NV4" s="37"/>
      <c r="NW4" s="37"/>
      <c r="NX4" s="37"/>
      <c r="NY4" s="37"/>
      <c r="NZ4" s="37"/>
      <c r="OA4" s="37"/>
      <c r="OB4" s="37"/>
      <c r="OC4" s="37"/>
      <c r="OD4" s="37"/>
      <c r="OE4" s="37"/>
      <c r="OF4" s="37"/>
      <c r="OG4" s="37"/>
      <c r="OH4" s="37"/>
      <c r="OI4" s="37"/>
      <c r="OJ4" s="37"/>
      <c r="OK4" s="37"/>
      <c r="OL4" s="37"/>
      <c r="OM4" s="37"/>
      <c r="ON4" s="37"/>
      <c r="OO4" s="37"/>
      <c r="OP4" s="37"/>
      <c r="OQ4" s="37"/>
      <c r="OR4" s="37"/>
      <c r="OS4" s="37"/>
      <c r="OT4" s="37"/>
      <c r="OU4" s="37"/>
      <c r="OV4" s="37"/>
      <c r="OW4" s="37"/>
      <c r="OX4" s="37"/>
      <c r="OY4" s="37"/>
      <c r="OZ4" s="37"/>
      <c r="PA4" s="37"/>
      <c r="PB4" s="37"/>
      <c r="PC4" s="37"/>
      <c r="PD4" s="37"/>
      <c r="PE4" s="37"/>
      <c r="PF4" s="37"/>
      <c r="PG4" s="37"/>
      <c r="PH4" s="37"/>
      <c r="PI4" s="37"/>
      <c r="PJ4" s="37"/>
      <c r="PK4" s="37"/>
      <c r="PL4" s="37"/>
      <c r="PM4" s="37"/>
      <c r="PN4" s="37"/>
      <c r="PO4" s="37"/>
      <c r="PP4" s="37"/>
      <c r="PQ4" s="37"/>
      <c r="PR4" s="37"/>
      <c r="PS4" s="37"/>
      <c r="PT4" s="37"/>
      <c r="PU4" s="37"/>
      <c r="PV4" s="37"/>
      <c r="PW4" s="37"/>
      <c r="PX4" s="37"/>
      <c r="PY4" s="37"/>
      <c r="PZ4" s="37"/>
      <c r="QA4" s="37"/>
      <c r="QB4" s="37"/>
      <c r="QC4" s="37"/>
      <c r="QD4" s="37"/>
      <c r="QE4" s="37"/>
      <c r="QF4" s="37"/>
      <c r="QG4" s="37"/>
      <c r="QH4" s="37"/>
      <c r="QI4" s="37"/>
      <c r="QJ4" s="37"/>
      <c r="QK4" s="37"/>
      <c r="QL4" s="37"/>
      <c r="QM4" s="37"/>
      <c r="QN4" s="37"/>
      <c r="QO4" s="37"/>
      <c r="QP4" s="37"/>
      <c r="QQ4" s="37"/>
      <c r="QR4" s="37"/>
      <c r="QS4" s="37"/>
      <c r="QT4" s="37"/>
      <c r="QU4" s="37"/>
      <c r="QV4" s="37"/>
      <c r="QW4" s="37"/>
      <c r="QX4" s="37"/>
      <c r="QY4" s="37"/>
      <c r="QZ4" s="37"/>
      <c r="RA4" s="37"/>
      <c r="RB4" s="37"/>
      <c r="RC4" s="37"/>
      <c r="RD4" s="37"/>
      <c r="RE4" s="37"/>
      <c r="RF4" s="37"/>
      <c r="RG4" s="37"/>
      <c r="RH4" s="37"/>
      <c r="RI4" s="37"/>
      <c r="RJ4" s="37"/>
      <c r="RK4" s="37"/>
      <c r="RL4" s="37"/>
      <c r="RM4" s="37"/>
      <c r="RN4" s="37"/>
      <c r="RO4" s="37"/>
      <c r="RP4" s="37"/>
      <c r="RQ4" s="37"/>
      <c r="RR4" s="37"/>
      <c r="RS4" s="37"/>
      <c r="RT4" s="37"/>
      <c r="RU4" s="37"/>
      <c r="RV4" s="37"/>
      <c r="RW4" s="37"/>
      <c r="RX4" s="37"/>
      <c r="RY4" s="37"/>
      <c r="RZ4" s="37"/>
      <c r="SA4" s="37"/>
      <c r="SB4" s="37"/>
      <c r="SC4" s="37"/>
      <c r="SD4" s="37"/>
      <c r="SE4" s="37"/>
      <c r="SF4" s="37"/>
      <c r="SG4" s="37"/>
      <c r="SH4" s="37"/>
      <c r="SI4" s="37"/>
      <c r="SJ4" s="37"/>
      <c r="SK4" s="37"/>
      <c r="SL4" s="37"/>
      <c r="SM4" s="37"/>
      <c r="SN4" s="37"/>
      <c r="SO4" s="37"/>
      <c r="SP4" s="37"/>
      <c r="SQ4" s="37"/>
      <c r="SR4" s="37"/>
      <c r="SS4" s="37"/>
      <c r="ST4" s="37"/>
      <c r="SU4" s="37"/>
      <c r="SV4" s="37"/>
      <c r="SW4" s="37"/>
      <c r="SX4" s="37"/>
      <c r="SY4" s="37"/>
      <c r="SZ4" s="37"/>
      <c r="TA4" s="37"/>
      <c r="TB4" s="37"/>
      <c r="TC4" s="37"/>
      <c r="TD4" s="37"/>
      <c r="TE4" s="37"/>
      <c r="TF4" s="37"/>
      <c r="TG4" s="37"/>
      <c r="TH4" s="37"/>
      <c r="TI4" s="37"/>
      <c r="TJ4" s="37"/>
      <c r="TK4" s="37"/>
      <c r="TL4" s="37"/>
      <c r="TM4" s="37"/>
      <c r="TN4" s="37"/>
      <c r="TO4" s="37"/>
      <c r="TP4" s="37"/>
      <c r="TQ4" s="37"/>
      <c r="TR4" s="37"/>
      <c r="TS4" s="37"/>
      <c r="TT4" s="37"/>
      <c r="TU4" s="37"/>
      <c r="TV4" s="37"/>
      <c r="TW4" s="37"/>
      <c r="TX4" s="37"/>
      <c r="TY4" s="37"/>
      <c r="TZ4" s="37"/>
      <c r="UA4" s="37"/>
      <c r="UB4" s="37"/>
      <c r="UC4" s="37"/>
      <c r="UD4" s="37"/>
      <c r="UE4" s="37"/>
      <c r="UF4" s="37"/>
      <c r="UG4" s="37"/>
      <c r="UH4" s="37"/>
      <c r="UI4" s="37"/>
      <c r="UJ4" s="37"/>
      <c r="UK4" s="37"/>
      <c r="UL4" s="37"/>
      <c r="UM4" s="37"/>
      <c r="UN4" s="37"/>
      <c r="UO4" s="37"/>
      <c r="UP4" s="37"/>
      <c r="UQ4" s="37"/>
      <c r="UR4" s="37"/>
      <c r="US4" s="37"/>
      <c r="UT4" s="37"/>
      <c r="UU4" s="37"/>
      <c r="UV4" s="37"/>
      <c r="UW4" s="37"/>
      <c r="UX4" s="37"/>
      <c r="UY4" s="37"/>
      <c r="UZ4" s="37"/>
      <c r="VA4" s="37"/>
      <c r="VB4" s="37"/>
      <c r="VC4" s="37"/>
      <c r="VD4" s="37"/>
      <c r="VE4" s="37"/>
      <c r="VF4" s="37"/>
      <c r="VG4" s="37"/>
      <c r="VH4" s="37"/>
      <c r="VI4" s="37"/>
      <c r="VJ4" s="37"/>
      <c r="VK4" s="37"/>
      <c r="VL4" s="37"/>
      <c r="VM4" s="37"/>
      <c r="VN4" s="37"/>
      <c r="VO4" s="37"/>
      <c r="VP4" s="37"/>
      <c r="VQ4" s="37"/>
      <c r="VR4" s="37"/>
      <c r="VS4" s="37"/>
      <c r="VT4" s="37"/>
      <c r="VU4" s="37"/>
      <c r="VV4" s="37"/>
      <c r="VW4" s="37"/>
      <c r="VX4" s="37"/>
      <c r="VY4" s="37"/>
      <c r="VZ4" s="37"/>
      <c r="WA4" s="37"/>
      <c r="WB4" s="37"/>
      <c r="WC4" s="37"/>
      <c r="WD4" s="37"/>
      <c r="WE4" s="37"/>
      <c r="WF4" s="37"/>
      <c r="WG4" s="37"/>
      <c r="WH4" s="37"/>
      <c r="WI4" s="37"/>
      <c r="WJ4" s="37"/>
      <c r="WK4" s="37"/>
      <c r="WL4" s="37"/>
      <c r="WM4" s="37"/>
      <c r="WN4" s="37"/>
      <c r="WO4" s="37"/>
      <c r="WP4" s="37"/>
      <c r="WQ4" s="37"/>
      <c r="WR4" s="37"/>
      <c r="WS4" s="37"/>
      <c r="WT4" s="37"/>
      <c r="WU4" s="37"/>
      <c r="WV4" s="37"/>
      <c r="WW4" s="37"/>
      <c r="WX4" s="37"/>
      <c r="WY4" s="37"/>
      <c r="WZ4" s="37"/>
      <c r="XA4" s="37"/>
      <c r="XB4" s="37"/>
      <c r="XC4" s="37"/>
      <c r="XD4" s="37"/>
      <c r="XE4" s="37"/>
      <c r="XF4" s="37"/>
      <c r="XG4" s="37"/>
      <c r="XH4" s="37"/>
      <c r="XI4" s="37"/>
      <c r="XJ4" s="37"/>
      <c r="XK4" s="37"/>
      <c r="XL4" s="37"/>
      <c r="XM4" s="37"/>
      <c r="XN4" s="37"/>
      <c r="XO4" s="37"/>
      <c r="XP4" s="37"/>
      <c r="XQ4" s="37"/>
      <c r="XR4" s="37"/>
      <c r="XS4" s="37"/>
      <c r="XT4" s="37"/>
      <c r="XU4" s="37"/>
      <c r="XV4" s="37"/>
      <c r="XW4" s="37"/>
      <c r="XX4" s="37"/>
      <c r="XY4" s="37"/>
      <c r="XZ4" s="37"/>
      <c r="YA4" s="37"/>
      <c r="YB4" s="37"/>
      <c r="YC4" s="37"/>
      <c r="YD4" s="37"/>
      <c r="YE4" s="37"/>
      <c r="YF4" s="37"/>
      <c r="YG4" s="37"/>
      <c r="YH4" s="37"/>
      <c r="YI4" s="37"/>
      <c r="YJ4" s="37"/>
      <c r="YK4" s="37"/>
      <c r="YL4" s="37"/>
      <c r="YM4" s="37"/>
      <c r="YN4" s="37"/>
      <c r="YO4" s="37"/>
      <c r="YP4" s="37"/>
      <c r="YQ4" s="37"/>
      <c r="YR4" s="37"/>
      <c r="YS4" s="37"/>
      <c r="YT4" s="37"/>
      <c r="YU4" s="37"/>
      <c r="YV4" s="37"/>
      <c r="YW4" s="37"/>
      <c r="YX4" s="37"/>
      <c r="YY4" s="37"/>
      <c r="YZ4" s="37"/>
      <c r="ZA4" s="37"/>
      <c r="ZB4" s="37"/>
      <c r="ZC4" s="37"/>
      <c r="ZD4" s="37"/>
      <c r="ZE4" s="37"/>
      <c r="ZF4" s="37"/>
      <c r="ZG4" s="37"/>
      <c r="ZH4" s="37"/>
      <c r="ZI4" s="37"/>
      <c r="ZJ4" s="37"/>
      <c r="ZK4" s="37"/>
      <c r="ZL4" s="37"/>
      <c r="ZM4" s="37"/>
      <c r="ZN4" s="37"/>
      <c r="ZO4" s="37"/>
      <c r="ZP4" s="37"/>
      <c r="ZQ4" s="37"/>
      <c r="ZR4" s="37"/>
      <c r="ZS4" s="37"/>
      <c r="ZT4" s="37"/>
      <c r="ZU4" s="37"/>
      <c r="ZV4" s="37"/>
      <c r="ZW4" s="37"/>
      <c r="ZX4" s="37"/>
      <c r="ZY4" s="37"/>
      <c r="ZZ4" s="37"/>
      <c r="AAA4" s="37"/>
      <c r="AAB4" s="37"/>
      <c r="AAC4" s="37"/>
      <c r="AAD4" s="37"/>
      <c r="AAE4" s="37"/>
      <c r="AAF4" s="37"/>
      <c r="AAG4" s="37"/>
      <c r="AAH4" s="37"/>
      <c r="AAI4" s="37"/>
      <c r="AAJ4" s="37"/>
      <c r="AAK4" s="37"/>
      <c r="AAL4" s="37"/>
      <c r="AAM4" s="37"/>
      <c r="AAN4" s="37"/>
      <c r="AAO4" s="37"/>
      <c r="AAP4" s="37"/>
      <c r="AAQ4" s="37"/>
      <c r="AAR4" s="37"/>
      <c r="AAS4" s="37"/>
      <c r="AAT4" s="37"/>
      <c r="AAU4" s="37"/>
      <c r="AAV4" s="37"/>
      <c r="AAW4" s="37"/>
      <c r="AAX4" s="37"/>
      <c r="AAY4" s="37"/>
      <c r="AAZ4" s="37"/>
      <c r="ABA4" s="37"/>
      <c r="ABB4" s="37"/>
      <c r="ABC4" s="37"/>
      <c r="ABD4" s="37"/>
      <c r="ABE4" s="37"/>
      <c r="ABF4" s="37"/>
      <c r="ABG4" s="37"/>
      <c r="ABH4" s="37"/>
      <c r="ABI4" s="37"/>
      <c r="ABJ4" s="37"/>
      <c r="ABK4" s="37"/>
      <c r="ABL4" s="37"/>
      <c r="ABM4" s="37"/>
      <c r="ABN4" s="37"/>
      <c r="ABO4" s="37"/>
      <c r="ABP4" s="37"/>
      <c r="ABQ4" s="37"/>
      <c r="ABR4" s="37"/>
      <c r="ABS4" s="37"/>
      <c r="ABT4" s="37"/>
      <c r="ABU4" s="37"/>
      <c r="ABV4" s="37"/>
      <c r="ABW4" s="37"/>
      <c r="ABX4" s="37"/>
      <c r="ABY4" s="37"/>
      <c r="ABZ4" s="37"/>
      <c r="ACA4" s="37"/>
      <c r="ACB4" s="37"/>
      <c r="ACC4" s="37"/>
      <c r="ACD4" s="37"/>
      <c r="ACE4" s="37"/>
      <c r="ACF4" s="37"/>
      <c r="ACG4" s="37"/>
      <c r="ACH4" s="37"/>
      <c r="ACI4" s="37"/>
      <c r="ACJ4" s="37"/>
      <c r="ACK4" s="37"/>
      <c r="ACL4" s="37"/>
      <c r="ACM4" s="37"/>
      <c r="ACN4" s="37"/>
      <c r="ACO4" s="37"/>
      <c r="ACP4" s="37"/>
      <c r="ACQ4" s="37"/>
      <c r="ACR4" s="37"/>
      <c r="ACS4" s="37"/>
      <c r="ACT4" s="37"/>
      <c r="ACU4" s="37"/>
      <c r="ACV4" s="37"/>
      <c r="ACW4" s="37"/>
      <c r="ACX4" s="37"/>
      <c r="ACY4" s="37"/>
      <c r="ACZ4" s="37"/>
      <c r="ADA4" s="37"/>
      <c r="ADB4" s="37"/>
      <c r="ADC4" s="37"/>
      <c r="ADD4" s="37"/>
      <c r="ADE4" s="37"/>
      <c r="ADF4" s="37"/>
      <c r="ADG4" s="37"/>
      <c r="ADH4" s="37"/>
      <c r="ADI4" s="37"/>
      <c r="ADJ4" s="37"/>
      <c r="ADK4" s="37"/>
      <c r="ADL4" s="37"/>
      <c r="ADM4" s="37"/>
      <c r="ADN4" s="37"/>
      <c r="ADO4" s="37"/>
      <c r="ADP4" s="37"/>
      <c r="ADQ4" s="37"/>
      <c r="ADR4" s="37"/>
      <c r="ADS4" s="37"/>
      <c r="ADT4" s="37"/>
      <c r="ADU4" s="37"/>
      <c r="ADV4" s="37"/>
      <c r="ADW4" s="37"/>
      <c r="ADX4" s="37"/>
      <c r="ADY4" s="37"/>
      <c r="ADZ4" s="37"/>
      <c r="AEA4" s="37"/>
      <c r="AEB4" s="37"/>
      <c r="AEC4" s="37"/>
      <c r="AED4" s="37"/>
      <c r="AEE4" s="37"/>
      <c r="AEF4" s="37"/>
      <c r="AEG4" s="37"/>
      <c r="AEH4" s="37"/>
      <c r="AEI4" s="37"/>
      <c r="AEJ4" s="37"/>
      <c r="AEK4" s="37"/>
      <c r="AEL4" s="37"/>
      <c r="AEM4" s="37"/>
      <c r="AEN4" s="37"/>
      <c r="AEO4" s="37"/>
      <c r="AEP4" s="37"/>
      <c r="AEQ4" s="37"/>
      <c r="AER4" s="37"/>
      <c r="AES4" s="37"/>
      <c r="AET4" s="37"/>
      <c r="AEU4" s="37"/>
      <c r="AEV4" s="37"/>
      <c r="AEW4" s="37"/>
      <c r="AEX4" s="37"/>
      <c r="AEY4" s="37"/>
      <c r="AEZ4" s="37"/>
      <c r="AFA4" s="37"/>
      <c r="AFB4" s="37"/>
      <c r="AFC4" s="37"/>
      <c r="AFD4" s="37"/>
      <c r="AFE4" s="37"/>
      <c r="AFF4" s="37"/>
      <c r="AFG4" s="37"/>
      <c r="AFH4" s="37"/>
      <c r="AFI4" s="37"/>
      <c r="AFJ4" s="37"/>
      <c r="AFK4" s="37"/>
      <c r="AFL4" s="37"/>
      <c r="AFM4" s="37"/>
      <c r="AFN4" s="37"/>
      <c r="AFO4" s="37"/>
      <c r="AFP4" s="37"/>
      <c r="AFQ4" s="37"/>
      <c r="AFR4" s="37"/>
      <c r="AFS4" s="37"/>
      <c r="AFT4" s="37"/>
      <c r="AFU4" s="37"/>
      <c r="AFV4" s="37"/>
      <c r="AFW4" s="37"/>
      <c r="AFX4" s="37"/>
      <c r="AFY4" s="37"/>
      <c r="AFZ4" s="37"/>
      <c r="AGA4" s="37"/>
      <c r="AGB4" s="37"/>
      <c r="AGC4" s="37"/>
      <c r="AGD4" s="37"/>
      <c r="AGE4" s="37"/>
      <c r="AGF4" s="37"/>
      <c r="AGG4" s="37"/>
      <c r="AGH4" s="37"/>
      <c r="AGI4" s="37"/>
      <c r="AGJ4" s="37"/>
      <c r="AGK4" s="37"/>
      <c r="AGL4" s="37"/>
      <c r="AGM4" s="37"/>
      <c r="AGN4" s="37"/>
      <c r="AGO4" s="37"/>
      <c r="AGP4" s="37"/>
      <c r="AGQ4" s="37"/>
      <c r="AGR4" s="37"/>
      <c r="AGS4" s="37"/>
      <c r="AGT4" s="37"/>
      <c r="AGU4" s="37"/>
      <c r="AGV4" s="37"/>
      <c r="AGW4" s="37"/>
      <c r="AGX4" s="37"/>
      <c r="AGY4" s="37"/>
      <c r="AGZ4" s="37"/>
      <c r="AHA4" s="37"/>
      <c r="AHB4" s="37"/>
      <c r="AHC4" s="37"/>
      <c r="AHD4" s="37"/>
      <c r="AHE4" s="37"/>
      <c r="AHF4" s="37"/>
      <c r="AHG4" s="37"/>
      <c r="AHH4" s="37"/>
      <c r="AHI4" s="37"/>
      <c r="AHJ4" s="37"/>
      <c r="AHK4" s="37"/>
      <c r="AHL4" s="37"/>
      <c r="AHM4" s="37"/>
      <c r="AHN4" s="37"/>
      <c r="AHO4" s="37"/>
      <c r="AHP4" s="37"/>
      <c r="AHQ4" s="37"/>
      <c r="AHR4" s="37"/>
      <c r="AHS4" s="37"/>
      <c r="AHT4" s="37"/>
      <c r="AHU4" s="37"/>
      <c r="AHV4" s="37"/>
      <c r="AHW4" s="37"/>
      <c r="AHX4" s="37"/>
      <c r="AHY4" s="37"/>
      <c r="AHZ4" s="37"/>
      <c r="AIA4" s="37"/>
      <c r="AIB4" s="37"/>
      <c r="AIC4" s="37"/>
      <c r="AID4" s="37"/>
      <c r="AIE4" s="37"/>
      <c r="AIF4" s="37"/>
      <c r="AIG4" s="37"/>
      <c r="AIH4" s="37"/>
      <c r="AII4" s="37"/>
      <c r="AIJ4" s="37"/>
      <c r="AIK4" s="37"/>
      <c r="AIL4" s="37"/>
      <c r="AIM4" s="37"/>
      <c r="AIN4" s="37"/>
      <c r="AIO4" s="37"/>
      <c r="AIP4" s="37"/>
      <c r="AIQ4" s="37"/>
      <c r="AIR4" s="37"/>
      <c r="AIS4" s="37"/>
      <c r="AIT4" s="37"/>
      <c r="AIU4" s="37"/>
      <c r="AIV4" s="37"/>
      <c r="AIW4" s="37"/>
      <c r="AIX4" s="37"/>
      <c r="AIY4" s="37"/>
      <c r="AIZ4" s="37"/>
      <c r="AJA4" s="37"/>
      <c r="AJB4" s="37"/>
      <c r="AJC4" s="37"/>
      <c r="AJD4" s="37"/>
      <c r="AJE4" s="37"/>
      <c r="AJF4" s="37"/>
      <c r="AJG4" s="37"/>
      <c r="AJH4" s="37"/>
      <c r="AJI4" s="37"/>
      <c r="AJJ4" s="37"/>
      <c r="AJK4" s="37"/>
      <c r="AJL4" s="37"/>
      <c r="AJM4" s="37"/>
      <c r="AJN4" s="37"/>
      <c r="AJO4" s="37"/>
      <c r="AJP4" s="37"/>
      <c r="AJQ4" s="37"/>
      <c r="AJR4" s="37"/>
      <c r="AJS4" s="37"/>
      <c r="AJT4" s="37"/>
      <c r="AJU4" s="37"/>
      <c r="AJV4" s="37"/>
      <c r="AJW4" s="37"/>
      <c r="AJX4" s="37"/>
      <c r="AJY4" s="37"/>
      <c r="AJZ4" s="37"/>
      <c r="AKA4" s="37"/>
      <c r="AKB4" s="37"/>
      <c r="AKC4" s="37"/>
      <c r="AKD4" s="37"/>
      <c r="AKE4" s="37"/>
      <c r="AKF4" s="37"/>
      <c r="AKG4" s="37"/>
      <c r="AKH4" s="37"/>
      <c r="AKI4" s="37"/>
      <c r="AKJ4" s="37"/>
      <c r="AKK4" s="37"/>
      <c r="AKL4" s="37"/>
      <c r="AKM4" s="37"/>
      <c r="AKN4" s="37"/>
      <c r="AKO4" s="37"/>
      <c r="AKP4" s="37"/>
      <c r="AKQ4" s="37"/>
      <c r="AKR4" s="37"/>
      <c r="AKS4" s="37"/>
      <c r="AKT4" s="37"/>
      <c r="AKU4" s="37"/>
      <c r="AKV4" s="37"/>
      <c r="AKW4" s="37"/>
      <c r="AKX4" s="37"/>
      <c r="AKY4" s="37"/>
      <c r="AKZ4" s="37"/>
      <c r="ALA4" s="37"/>
      <c r="ALB4" s="37"/>
      <c r="ALC4" s="37"/>
      <c r="ALD4" s="37"/>
      <c r="ALE4" s="37"/>
      <c r="ALF4" s="37"/>
      <c r="ALG4" s="37"/>
      <c r="ALH4" s="37"/>
      <c r="ALI4" s="37"/>
      <c r="ALJ4" s="37"/>
      <c r="ALK4" s="37"/>
      <c r="ALL4" s="37"/>
      <c r="ALM4" s="37"/>
      <c r="ALN4" s="37"/>
      <c r="ALO4" s="37"/>
      <c r="ALP4" s="37"/>
      <c r="ALQ4" s="37"/>
      <c r="ALR4" s="37"/>
      <c r="ALS4" s="37"/>
      <c r="ALT4" s="37"/>
      <c r="ALU4" s="37"/>
      <c r="ALV4" s="37"/>
      <c r="ALW4" s="37"/>
      <c r="ALX4" s="37"/>
      <c r="ALY4" s="37"/>
      <c r="ALZ4" s="37"/>
      <c r="AMA4" s="37"/>
      <c r="AMB4" s="37"/>
      <c r="AMC4" s="37"/>
    </row>
    <row r="5" spans="1:1017" s="38" customFormat="1" ht="19.5" customHeight="1">
      <c r="A5" s="26" t="s">
        <v>64</v>
      </c>
      <c r="B5" s="25" t="s">
        <v>47</v>
      </c>
      <c r="C5" s="26" t="s">
        <v>46</v>
      </c>
      <c r="D5" s="26" t="s">
        <v>32</v>
      </c>
      <c r="E5" s="26" t="s">
        <v>261</v>
      </c>
      <c r="F5" s="26">
        <v>42</v>
      </c>
      <c r="G5" s="26" t="s">
        <v>33</v>
      </c>
      <c r="H5" s="26">
        <v>57</v>
      </c>
      <c r="I5" s="36">
        <v>45</v>
      </c>
      <c r="J5" s="36">
        <v>26</v>
      </c>
      <c r="K5" s="36">
        <v>19</v>
      </c>
      <c r="L5" s="36">
        <v>31</v>
      </c>
      <c r="M5" s="36">
        <v>29</v>
      </c>
      <c r="N5" s="36">
        <v>31</v>
      </c>
      <c r="O5" s="36">
        <v>72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37"/>
      <c r="QL5" s="37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37"/>
      <c r="QX5" s="37"/>
      <c r="QY5" s="37"/>
      <c r="QZ5" s="37"/>
      <c r="RA5" s="37"/>
      <c r="RB5" s="37"/>
      <c r="RC5" s="37"/>
      <c r="RD5" s="37"/>
      <c r="RE5" s="37"/>
      <c r="RF5" s="37"/>
      <c r="RG5" s="37"/>
      <c r="RH5" s="37"/>
      <c r="RI5" s="37"/>
      <c r="RJ5" s="37"/>
      <c r="RK5" s="37"/>
      <c r="RL5" s="37"/>
      <c r="RM5" s="37"/>
      <c r="RN5" s="37"/>
      <c r="RO5" s="37"/>
      <c r="RP5" s="37"/>
      <c r="RQ5" s="37"/>
      <c r="RR5" s="37"/>
      <c r="RS5" s="37"/>
      <c r="RT5" s="37"/>
      <c r="RU5" s="37"/>
      <c r="RV5" s="37"/>
      <c r="RW5" s="37"/>
      <c r="RX5" s="37"/>
      <c r="RY5" s="37"/>
      <c r="RZ5" s="37"/>
      <c r="SA5" s="37"/>
      <c r="SB5" s="37"/>
      <c r="SC5" s="37"/>
      <c r="SD5" s="37"/>
      <c r="SE5" s="37"/>
      <c r="SF5" s="37"/>
      <c r="SG5" s="37"/>
      <c r="SH5" s="37"/>
      <c r="SI5" s="37"/>
      <c r="SJ5" s="37"/>
      <c r="SK5" s="37"/>
      <c r="SL5" s="37"/>
      <c r="SM5" s="37"/>
      <c r="SN5" s="37"/>
      <c r="SO5" s="37"/>
      <c r="SP5" s="37"/>
      <c r="SQ5" s="37"/>
      <c r="SR5" s="37"/>
      <c r="SS5" s="37"/>
      <c r="ST5" s="37"/>
      <c r="SU5" s="37"/>
      <c r="SV5" s="37"/>
      <c r="SW5" s="37"/>
      <c r="SX5" s="37"/>
      <c r="SY5" s="37"/>
      <c r="SZ5" s="37"/>
      <c r="TA5" s="37"/>
      <c r="TB5" s="37"/>
      <c r="TC5" s="37"/>
      <c r="TD5" s="37"/>
      <c r="TE5" s="37"/>
      <c r="TF5" s="37"/>
      <c r="TG5" s="37"/>
      <c r="TH5" s="37"/>
      <c r="TI5" s="37"/>
      <c r="TJ5" s="37"/>
      <c r="TK5" s="37"/>
      <c r="TL5" s="37"/>
      <c r="TM5" s="37"/>
      <c r="TN5" s="37"/>
      <c r="TO5" s="37"/>
      <c r="TP5" s="37"/>
      <c r="TQ5" s="37"/>
      <c r="TR5" s="37"/>
      <c r="TS5" s="37"/>
      <c r="TT5" s="37"/>
      <c r="TU5" s="37"/>
      <c r="TV5" s="37"/>
      <c r="TW5" s="37"/>
      <c r="TX5" s="37"/>
      <c r="TY5" s="37"/>
      <c r="TZ5" s="37"/>
      <c r="UA5" s="37"/>
      <c r="UB5" s="37"/>
      <c r="UC5" s="37"/>
      <c r="UD5" s="37"/>
      <c r="UE5" s="37"/>
      <c r="UF5" s="37"/>
      <c r="UG5" s="37"/>
      <c r="UH5" s="37"/>
      <c r="UI5" s="37"/>
      <c r="UJ5" s="37"/>
      <c r="UK5" s="37"/>
      <c r="UL5" s="37"/>
      <c r="UM5" s="37"/>
      <c r="UN5" s="37"/>
      <c r="UO5" s="37"/>
      <c r="UP5" s="37"/>
      <c r="UQ5" s="37"/>
      <c r="UR5" s="37"/>
      <c r="US5" s="37"/>
      <c r="UT5" s="37"/>
      <c r="UU5" s="37"/>
      <c r="UV5" s="37"/>
      <c r="UW5" s="37"/>
      <c r="UX5" s="37"/>
      <c r="UY5" s="37"/>
      <c r="UZ5" s="37"/>
      <c r="VA5" s="37"/>
      <c r="VB5" s="37"/>
      <c r="VC5" s="37"/>
      <c r="VD5" s="37"/>
      <c r="VE5" s="37"/>
      <c r="VF5" s="37"/>
      <c r="VG5" s="37"/>
      <c r="VH5" s="37"/>
      <c r="VI5" s="37"/>
      <c r="VJ5" s="37"/>
      <c r="VK5" s="37"/>
      <c r="VL5" s="37"/>
      <c r="VM5" s="37"/>
      <c r="VN5" s="37"/>
      <c r="VO5" s="37"/>
      <c r="VP5" s="37"/>
      <c r="VQ5" s="37"/>
      <c r="VR5" s="37"/>
      <c r="VS5" s="37"/>
      <c r="VT5" s="37"/>
      <c r="VU5" s="37"/>
      <c r="VV5" s="37"/>
      <c r="VW5" s="37"/>
      <c r="VX5" s="37"/>
      <c r="VY5" s="37"/>
      <c r="VZ5" s="37"/>
      <c r="WA5" s="37"/>
      <c r="WB5" s="37"/>
      <c r="WC5" s="37"/>
      <c r="WD5" s="37"/>
      <c r="WE5" s="37"/>
      <c r="WF5" s="37"/>
      <c r="WG5" s="37"/>
      <c r="WH5" s="37"/>
      <c r="WI5" s="37"/>
      <c r="WJ5" s="37"/>
      <c r="WK5" s="37"/>
      <c r="WL5" s="37"/>
      <c r="WM5" s="37"/>
      <c r="WN5" s="37"/>
      <c r="WO5" s="37"/>
      <c r="WP5" s="37"/>
      <c r="WQ5" s="37"/>
      <c r="WR5" s="37"/>
      <c r="WS5" s="37"/>
      <c r="WT5" s="37"/>
      <c r="WU5" s="37"/>
      <c r="WV5" s="37"/>
      <c r="WW5" s="37"/>
      <c r="WX5" s="37"/>
      <c r="WY5" s="37"/>
      <c r="WZ5" s="37"/>
      <c r="XA5" s="37"/>
      <c r="XB5" s="37"/>
      <c r="XC5" s="37"/>
      <c r="XD5" s="37"/>
      <c r="XE5" s="37"/>
      <c r="XF5" s="37"/>
      <c r="XG5" s="37"/>
      <c r="XH5" s="37"/>
      <c r="XI5" s="37"/>
      <c r="XJ5" s="37"/>
      <c r="XK5" s="37"/>
      <c r="XL5" s="37"/>
      <c r="XM5" s="37"/>
      <c r="XN5" s="37"/>
      <c r="XO5" s="37"/>
      <c r="XP5" s="37"/>
      <c r="XQ5" s="37"/>
      <c r="XR5" s="37"/>
      <c r="XS5" s="37"/>
      <c r="XT5" s="37"/>
      <c r="XU5" s="37"/>
      <c r="XV5" s="37"/>
      <c r="XW5" s="37"/>
      <c r="XX5" s="37"/>
      <c r="XY5" s="37"/>
      <c r="XZ5" s="37"/>
      <c r="YA5" s="37"/>
      <c r="YB5" s="37"/>
      <c r="YC5" s="37"/>
      <c r="YD5" s="37"/>
      <c r="YE5" s="37"/>
      <c r="YF5" s="37"/>
      <c r="YG5" s="37"/>
      <c r="YH5" s="37"/>
      <c r="YI5" s="37"/>
      <c r="YJ5" s="37"/>
      <c r="YK5" s="37"/>
      <c r="YL5" s="37"/>
      <c r="YM5" s="37"/>
      <c r="YN5" s="37"/>
      <c r="YO5" s="37"/>
      <c r="YP5" s="37"/>
      <c r="YQ5" s="37"/>
      <c r="YR5" s="37"/>
      <c r="YS5" s="37"/>
      <c r="YT5" s="37"/>
      <c r="YU5" s="37"/>
      <c r="YV5" s="37"/>
      <c r="YW5" s="37"/>
      <c r="YX5" s="37"/>
      <c r="YY5" s="37"/>
      <c r="YZ5" s="37"/>
      <c r="ZA5" s="37"/>
      <c r="ZB5" s="37"/>
      <c r="ZC5" s="37"/>
      <c r="ZD5" s="37"/>
      <c r="ZE5" s="37"/>
      <c r="ZF5" s="37"/>
      <c r="ZG5" s="37"/>
      <c r="ZH5" s="37"/>
      <c r="ZI5" s="37"/>
      <c r="ZJ5" s="37"/>
      <c r="ZK5" s="37"/>
      <c r="ZL5" s="37"/>
      <c r="ZM5" s="37"/>
      <c r="ZN5" s="37"/>
      <c r="ZO5" s="37"/>
      <c r="ZP5" s="37"/>
      <c r="ZQ5" s="37"/>
      <c r="ZR5" s="37"/>
      <c r="ZS5" s="37"/>
      <c r="ZT5" s="37"/>
      <c r="ZU5" s="37"/>
      <c r="ZV5" s="37"/>
      <c r="ZW5" s="37"/>
      <c r="ZX5" s="37"/>
      <c r="ZY5" s="37"/>
      <c r="ZZ5" s="37"/>
      <c r="AAA5" s="37"/>
      <c r="AAB5" s="37"/>
      <c r="AAC5" s="37"/>
      <c r="AAD5" s="37"/>
      <c r="AAE5" s="37"/>
      <c r="AAF5" s="37"/>
      <c r="AAG5" s="37"/>
      <c r="AAH5" s="37"/>
      <c r="AAI5" s="37"/>
      <c r="AAJ5" s="37"/>
      <c r="AAK5" s="37"/>
      <c r="AAL5" s="37"/>
      <c r="AAM5" s="37"/>
      <c r="AAN5" s="37"/>
      <c r="AAO5" s="37"/>
      <c r="AAP5" s="37"/>
      <c r="AAQ5" s="37"/>
      <c r="AAR5" s="37"/>
      <c r="AAS5" s="37"/>
      <c r="AAT5" s="37"/>
      <c r="AAU5" s="37"/>
      <c r="AAV5" s="37"/>
      <c r="AAW5" s="37"/>
      <c r="AAX5" s="37"/>
      <c r="AAY5" s="37"/>
      <c r="AAZ5" s="37"/>
      <c r="ABA5" s="37"/>
      <c r="ABB5" s="37"/>
      <c r="ABC5" s="37"/>
      <c r="ABD5" s="37"/>
      <c r="ABE5" s="37"/>
      <c r="ABF5" s="37"/>
      <c r="ABG5" s="37"/>
      <c r="ABH5" s="37"/>
      <c r="ABI5" s="37"/>
      <c r="ABJ5" s="37"/>
      <c r="ABK5" s="37"/>
      <c r="ABL5" s="37"/>
      <c r="ABM5" s="37"/>
      <c r="ABN5" s="37"/>
      <c r="ABO5" s="37"/>
      <c r="ABP5" s="37"/>
      <c r="ABQ5" s="37"/>
      <c r="ABR5" s="37"/>
      <c r="ABS5" s="37"/>
      <c r="ABT5" s="37"/>
      <c r="ABU5" s="37"/>
      <c r="ABV5" s="37"/>
      <c r="ABW5" s="37"/>
      <c r="ABX5" s="37"/>
      <c r="ABY5" s="37"/>
      <c r="ABZ5" s="37"/>
      <c r="ACA5" s="37"/>
      <c r="ACB5" s="37"/>
      <c r="ACC5" s="37"/>
      <c r="ACD5" s="37"/>
      <c r="ACE5" s="37"/>
      <c r="ACF5" s="37"/>
      <c r="ACG5" s="37"/>
      <c r="ACH5" s="37"/>
      <c r="ACI5" s="37"/>
      <c r="ACJ5" s="37"/>
      <c r="ACK5" s="37"/>
      <c r="ACL5" s="37"/>
      <c r="ACM5" s="37"/>
      <c r="ACN5" s="37"/>
      <c r="ACO5" s="37"/>
      <c r="ACP5" s="37"/>
      <c r="ACQ5" s="37"/>
      <c r="ACR5" s="37"/>
      <c r="ACS5" s="37"/>
      <c r="ACT5" s="37"/>
      <c r="ACU5" s="37"/>
      <c r="ACV5" s="37"/>
      <c r="ACW5" s="37"/>
      <c r="ACX5" s="37"/>
      <c r="ACY5" s="37"/>
      <c r="ACZ5" s="37"/>
      <c r="ADA5" s="37"/>
      <c r="ADB5" s="37"/>
      <c r="ADC5" s="37"/>
      <c r="ADD5" s="37"/>
      <c r="ADE5" s="37"/>
      <c r="ADF5" s="37"/>
      <c r="ADG5" s="37"/>
      <c r="ADH5" s="37"/>
      <c r="ADI5" s="37"/>
      <c r="ADJ5" s="37"/>
      <c r="ADK5" s="37"/>
      <c r="ADL5" s="37"/>
      <c r="ADM5" s="37"/>
      <c r="ADN5" s="37"/>
      <c r="ADO5" s="37"/>
      <c r="ADP5" s="37"/>
      <c r="ADQ5" s="37"/>
      <c r="ADR5" s="37"/>
      <c r="ADS5" s="37"/>
      <c r="ADT5" s="37"/>
      <c r="ADU5" s="37"/>
      <c r="ADV5" s="37"/>
      <c r="ADW5" s="37"/>
      <c r="ADX5" s="37"/>
      <c r="ADY5" s="37"/>
      <c r="ADZ5" s="37"/>
      <c r="AEA5" s="37"/>
      <c r="AEB5" s="37"/>
      <c r="AEC5" s="37"/>
      <c r="AED5" s="37"/>
      <c r="AEE5" s="37"/>
      <c r="AEF5" s="37"/>
      <c r="AEG5" s="37"/>
      <c r="AEH5" s="37"/>
      <c r="AEI5" s="37"/>
      <c r="AEJ5" s="37"/>
      <c r="AEK5" s="37"/>
      <c r="AEL5" s="37"/>
      <c r="AEM5" s="37"/>
      <c r="AEN5" s="37"/>
      <c r="AEO5" s="37"/>
      <c r="AEP5" s="37"/>
      <c r="AEQ5" s="37"/>
      <c r="AER5" s="37"/>
      <c r="AES5" s="37"/>
      <c r="AET5" s="37"/>
      <c r="AEU5" s="37"/>
      <c r="AEV5" s="37"/>
      <c r="AEW5" s="37"/>
      <c r="AEX5" s="37"/>
      <c r="AEY5" s="37"/>
      <c r="AEZ5" s="37"/>
      <c r="AFA5" s="37"/>
      <c r="AFB5" s="37"/>
      <c r="AFC5" s="37"/>
      <c r="AFD5" s="37"/>
      <c r="AFE5" s="37"/>
      <c r="AFF5" s="37"/>
      <c r="AFG5" s="37"/>
      <c r="AFH5" s="37"/>
      <c r="AFI5" s="37"/>
      <c r="AFJ5" s="37"/>
      <c r="AFK5" s="37"/>
      <c r="AFL5" s="37"/>
      <c r="AFM5" s="37"/>
      <c r="AFN5" s="37"/>
      <c r="AFO5" s="37"/>
      <c r="AFP5" s="37"/>
      <c r="AFQ5" s="37"/>
      <c r="AFR5" s="37"/>
      <c r="AFS5" s="37"/>
      <c r="AFT5" s="37"/>
      <c r="AFU5" s="37"/>
      <c r="AFV5" s="37"/>
      <c r="AFW5" s="37"/>
      <c r="AFX5" s="37"/>
      <c r="AFY5" s="37"/>
      <c r="AFZ5" s="37"/>
      <c r="AGA5" s="37"/>
      <c r="AGB5" s="37"/>
      <c r="AGC5" s="37"/>
      <c r="AGD5" s="37"/>
      <c r="AGE5" s="37"/>
      <c r="AGF5" s="37"/>
      <c r="AGG5" s="37"/>
      <c r="AGH5" s="37"/>
      <c r="AGI5" s="37"/>
      <c r="AGJ5" s="37"/>
      <c r="AGK5" s="37"/>
      <c r="AGL5" s="37"/>
      <c r="AGM5" s="37"/>
      <c r="AGN5" s="37"/>
      <c r="AGO5" s="37"/>
      <c r="AGP5" s="37"/>
      <c r="AGQ5" s="37"/>
      <c r="AGR5" s="37"/>
      <c r="AGS5" s="37"/>
      <c r="AGT5" s="37"/>
      <c r="AGU5" s="37"/>
      <c r="AGV5" s="37"/>
      <c r="AGW5" s="37"/>
      <c r="AGX5" s="37"/>
      <c r="AGY5" s="37"/>
      <c r="AGZ5" s="37"/>
      <c r="AHA5" s="37"/>
      <c r="AHB5" s="37"/>
      <c r="AHC5" s="37"/>
      <c r="AHD5" s="37"/>
      <c r="AHE5" s="37"/>
      <c r="AHF5" s="37"/>
      <c r="AHG5" s="37"/>
      <c r="AHH5" s="37"/>
      <c r="AHI5" s="37"/>
      <c r="AHJ5" s="37"/>
      <c r="AHK5" s="37"/>
      <c r="AHL5" s="37"/>
      <c r="AHM5" s="37"/>
      <c r="AHN5" s="37"/>
      <c r="AHO5" s="37"/>
      <c r="AHP5" s="37"/>
      <c r="AHQ5" s="37"/>
      <c r="AHR5" s="37"/>
      <c r="AHS5" s="37"/>
      <c r="AHT5" s="37"/>
      <c r="AHU5" s="37"/>
      <c r="AHV5" s="37"/>
      <c r="AHW5" s="37"/>
      <c r="AHX5" s="37"/>
      <c r="AHY5" s="37"/>
      <c r="AHZ5" s="37"/>
      <c r="AIA5" s="37"/>
      <c r="AIB5" s="37"/>
      <c r="AIC5" s="37"/>
      <c r="AID5" s="37"/>
      <c r="AIE5" s="37"/>
      <c r="AIF5" s="37"/>
      <c r="AIG5" s="37"/>
      <c r="AIH5" s="37"/>
      <c r="AII5" s="37"/>
      <c r="AIJ5" s="37"/>
      <c r="AIK5" s="37"/>
      <c r="AIL5" s="37"/>
      <c r="AIM5" s="37"/>
      <c r="AIN5" s="37"/>
      <c r="AIO5" s="37"/>
      <c r="AIP5" s="37"/>
      <c r="AIQ5" s="37"/>
      <c r="AIR5" s="37"/>
      <c r="AIS5" s="37"/>
      <c r="AIT5" s="37"/>
      <c r="AIU5" s="37"/>
      <c r="AIV5" s="37"/>
      <c r="AIW5" s="37"/>
      <c r="AIX5" s="37"/>
      <c r="AIY5" s="37"/>
      <c r="AIZ5" s="37"/>
      <c r="AJA5" s="37"/>
      <c r="AJB5" s="37"/>
      <c r="AJC5" s="37"/>
      <c r="AJD5" s="37"/>
      <c r="AJE5" s="37"/>
      <c r="AJF5" s="37"/>
      <c r="AJG5" s="37"/>
      <c r="AJH5" s="37"/>
      <c r="AJI5" s="37"/>
      <c r="AJJ5" s="37"/>
      <c r="AJK5" s="37"/>
      <c r="AJL5" s="37"/>
      <c r="AJM5" s="37"/>
      <c r="AJN5" s="37"/>
      <c r="AJO5" s="37"/>
      <c r="AJP5" s="37"/>
      <c r="AJQ5" s="37"/>
      <c r="AJR5" s="37"/>
      <c r="AJS5" s="37"/>
      <c r="AJT5" s="37"/>
      <c r="AJU5" s="37"/>
      <c r="AJV5" s="37"/>
      <c r="AJW5" s="37"/>
      <c r="AJX5" s="37"/>
      <c r="AJY5" s="37"/>
      <c r="AJZ5" s="37"/>
      <c r="AKA5" s="37"/>
      <c r="AKB5" s="37"/>
      <c r="AKC5" s="37"/>
      <c r="AKD5" s="37"/>
      <c r="AKE5" s="37"/>
      <c r="AKF5" s="37"/>
      <c r="AKG5" s="37"/>
      <c r="AKH5" s="37"/>
      <c r="AKI5" s="37"/>
      <c r="AKJ5" s="37"/>
      <c r="AKK5" s="37"/>
      <c r="AKL5" s="37"/>
      <c r="AKM5" s="37"/>
      <c r="AKN5" s="37"/>
      <c r="AKO5" s="37"/>
      <c r="AKP5" s="37"/>
      <c r="AKQ5" s="37"/>
      <c r="AKR5" s="37"/>
      <c r="AKS5" s="37"/>
      <c r="AKT5" s="37"/>
      <c r="AKU5" s="37"/>
      <c r="AKV5" s="37"/>
      <c r="AKW5" s="37"/>
      <c r="AKX5" s="37"/>
      <c r="AKY5" s="37"/>
      <c r="AKZ5" s="37"/>
      <c r="ALA5" s="37"/>
      <c r="ALB5" s="37"/>
      <c r="ALC5" s="37"/>
      <c r="ALD5" s="37"/>
      <c r="ALE5" s="37"/>
      <c r="ALF5" s="37"/>
      <c r="ALG5" s="37"/>
      <c r="ALH5" s="37"/>
      <c r="ALI5" s="37"/>
      <c r="ALJ5" s="37"/>
      <c r="ALK5" s="37"/>
      <c r="ALL5" s="37"/>
      <c r="ALM5" s="37"/>
      <c r="ALN5" s="37"/>
      <c r="ALO5" s="37"/>
      <c r="ALP5" s="37"/>
      <c r="ALQ5" s="37"/>
      <c r="ALR5" s="37"/>
      <c r="ALS5" s="37"/>
      <c r="ALT5" s="37"/>
      <c r="ALU5" s="37"/>
      <c r="ALV5" s="37"/>
      <c r="ALW5" s="37"/>
      <c r="ALX5" s="37"/>
      <c r="ALY5" s="37"/>
      <c r="ALZ5" s="37"/>
      <c r="AMA5" s="37"/>
      <c r="AMB5" s="37"/>
      <c r="AMC5" s="37"/>
    </row>
    <row r="6" spans="1:1017" s="38" customFormat="1" ht="19.5" customHeight="1">
      <c r="A6" s="72"/>
      <c r="B6" s="73"/>
      <c r="C6" s="72"/>
      <c r="D6" s="72"/>
      <c r="E6" s="72"/>
      <c r="F6" s="72"/>
      <c r="G6" s="35">
        <v>42</v>
      </c>
      <c r="H6" s="35">
        <v>100</v>
      </c>
      <c r="I6" s="35">
        <v>117</v>
      </c>
      <c r="J6" s="35">
        <v>76</v>
      </c>
      <c r="K6" s="35">
        <v>36</v>
      </c>
      <c r="L6" s="35">
        <v>27</v>
      </c>
      <c r="M6" s="35">
        <v>22</v>
      </c>
      <c r="N6" s="35">
        <v>102</v>
      </c>
      <c r="O6" s="74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</row>
    <row r="7" spans="1:1017" s="38" customFormat="1" ht="19.5" customHeight="1">
      <c r="A7" s="75"/>
      <c r="B7" s="76"/>
      <c r="C7" s="75"/>
      <c r="D7" s="75"/>
      <c r="E7" s="75"/>
      <c r="F7" s="75"/>
      <c r="G7" s="77">
        <v>48</v>
      </c>
      <c r="H7" s="77">
        <v>65</v>
      </c>
      <c r="I7" s="77">
        <v>21</v>
      </c>
      <c r="J7" s="77">
        <v>15</v>
      </c>
      <c r="K7" s="77">
        <v>115</v>
      </c>
      <c r="L7" s="77">
        <v>110</v>
      </c>
      <c r="M7" s="77">
        <v>120</v>
      </c>
      <c r="N7" s="77"/>
      <c r="O7" s="7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</row>
    <row r="8" spans="1:1017" s="38" customFormat="1" ht="19.5" customHeight="1">
      <c r="A8" s="26" t="s">
        <v>65</v>
      </c>
      <c r="B8" s="25" t="s">
        <v>48</v>
      </c>
      <c r="C8" s="26" t="s">
        <v>46</v>
      </c>
      <c r="D8" s="26" t="s">
        <v>32</v>
      </c>
      <c r="E8" s="26" t="s">
        <v>261</v>
      </c>
      <c r="F8" s="26">
        <v>42</v>
      </c>
      <c r="G8" s="26" t="s">
        <v>33</v>
      </c>
      <c r="H8" s="26">
        <v>56</v>
      </c>
      <c r="I8" s="36">
        <v>45</v>
      </c>
      <c r="J8" s="36">
        <v>25</v>
      </c>
      <c r="K8" s="36">
        <v>18</v>
      </c>
      <c r="L8" s="36">
        <v>29</v>
      </c>
      <c r="M8" s="36">
        <v>27</v>
      </c>
      <c r="N8" s="36">
        <v>29</v>
      </c>
      <c r="O8" s="36">
        <v>72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</row>
    <row r="9" spans="1:1017" s="38" customFormat="1" ht="19.5" customHeight="1">
      <c r="A9" s="72"/>
      <c r="B9" s="73"/>
      <c r="C9" s="72"/>
      <c r="D9" s="72"/>
      <c r="E9" s="72"/>
      <c r="F9" s="72"/>
      <c r="G9" s="35">
        <v>42</v>
      </c>
      <c r="H9" s="35">
        <v>93</v>
      </c>
      <c r="I9" s="35">
        <v>111</v>
      </c>
      <c r="J9" s="35">
        <v>71</v>
      </c>
      <c r="K9" s="35">
        <v>35</v>
      </c>
      <c r="L9" s="35">
        <v>27</v>
      </c>
      <c r="M9" s="35">
        <v>21</v>
      </c>
      <c r="N9" s="35">
        <v>98</v>
      </c>
      <c r="O9" s="74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</row>
    <row r="10" spans="1:1017" s="38" customFormat="1" ht="19.5" customHeight="1">
      <c r="A10" s="75"/>
      <c r="B10" s="76"/>
      <c r="C10" s="75"/>
      <c r="D10" s="75"/>
      <c r="E10" s="75"/>
      <c r="F10" s="75"/>
      <c r="G10" s="77">
        <v>47</v>
      </c>
      <c r="H10" s="77">
        <v>61</v>
      </c>
      <c r="I10" s="77">
        <v>20</v>
      </c>
      <c r="J10" s="77">
        <v>15</v>
      </c>
      <c r="K10" s="77">
        <v>108</v>
      </c>
      <c r="L10" s="77">
        <v>102</v>
      </c>
      <c r="M10" s="77">
        <v>115</v>
      </c>
      <c r="N10" s="77"/>
      <c r="O10" s="7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</row>
    <row r="11" spans="1:1017" s="38" customFormat="1" ht="19.5" customHeight="1">
      <c r="A11" s="26" t="s">
        <v>66</v>
      </c>
      <c r="B11" s="25" t="s">
        <v>49</v>
      </c>
      <c r="C11" s="26" t="s">
        <v>46</v>
      </c>
      <c r="D11" s="26" t="s">
        <v>32</v>
      </c>
      <c r="E11" s="26" t="s">
        <v>261</v>
      </c>
      <c r="F11" s="26">
        <v>43</v>
      </c>
      <c r="G11" s="26" t="s">
        <v>35</v>
      </c>
      <c r="H11" s="26">
        <v>57</v>
      </c>
      <c r="I11" s="36">
        <v>49</v>
      </c>
      <c r="J11" s="36">
        <v>26</v>
      </c>
      <c r="K11" s="36">
        <v>21</v>
      </c>
      <c r="L11" s="36">
        <v>33</v>
      </c>
      <c r="M11" s="36">
        <v>32</v>
      </c>
      <c r="N11" s="36">
        <v>33</v>
      </c>
      <c r="O11" s="36">
        <v>76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</row>
    <row r="12" spans="1:1017" s="38" customFormat="1" ht="19.5" customHeight="1">
      <c r="A12" s="72"/>
      <c r="B12" s="73"/>
      <c r="C12" s="72"/>
      <c r="D12" s="72"/>
      <c r="E12" s="72"/>
      <c r="F12" s="72"/>
      <c r="G12" s="35">
        <v>45</v>
      </c>
      <c r="H12" s="35">
        <v>117</v>
      </c>
      <c r="I12" s="35">
        <v>126</v>
      </c>
      <c r="J12" s="35">
        <v>76</v>
      </c>
      <c r="K12" s="35">
        <v>39</v>
      </c>
      <c r="L12" s="35">
        <v>28</v>
      </c>
      <c r="M12" s="35">
        <v>23</v>
      </c>
      <c r="N12" s="35">
        <v>99</v>
      </c>
      <c r="O12" s="74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</row>
    <row r="13" spans="1:1017" s="38" customFormat="1" ht="19.5" customHeight="1">
      <c r="A13" s="75"/>
      <c r="B13" s="76"/>
      <c r="C13" s="75"/>
      <c r="D13" s="75"/>
      <c r="E13" s="75"/>
      <c r="F13" s="75"/>
      <c r="G13" s="77">
        <v>52</v>
      </c>
      <c r="H13" s="77">
        <v>61</v>
      </c>
      <c r="I13" s="77">
        <v>22</v>
      </c>
      <c r="J13" s="77">
        <v>16</v>
      </c>
      <c r="K13" s="77">
        <v>130</v>
      </c>
      <c r="L13" s="77">
        <v>125</v>
      </c>
      <c r="M13" s="77">
        <v>132</v>
      </c>
      <c r="N13" s="77"/>
      <c r="O13" s="7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</row>
    <row r="14" spans="1:1017" s="38" customFormat="1" ht="19.5" customHeight="1">
      <c r="A14" s="26" t="s">
        <v>67</v>
      </c>
      <c r="B14" s="25" t="s">
        <v>50</v>
      </c>
      <c r="C14" s="26" t="s">
        <v>46</v>
      </c>
      <c r="D14" s="26" t="s">
        <v>32</v>
      </c>
      <c r="E14" s="26" t="s">
        <v>261</v>
      </c>
      <c r="F14" s="26">
        <v>40</v>
      </c>
      <c r="G14" s="26" t="s">
        <v>35</v>
      </c>
      <c r="H14" s="26">
        <v>55</v>
      </c>
      <c r="I14" s="36">
        <v>47</v>
      </c>
      <c r="J14" s="36">
        <v>26</v>
      </c>
      <c r="K14" s="36">
        <v>20</v>
      </c>
      <c r="L14" s="36">
        <v>32</v>
      </c>
      <c r="M14" s="36">
        <v>31</v>
      </c>
      <c r="N14" s="36">
        <v>32</v>
      </c>
      <c r="O14" s="36">
        <v>71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</row>
    <row r="15" spans="1:1017" s="38" customFormat="1" ht="19.5" customHeight="1">
      <c r="A15" s="72"/>
      <c r="B15" s="73"/>
      <c r="C15" s="72"/>
      <c r="D15" s="72"/>
      <c r="E15" s="72"/>
      <c r="F15" s="72"/>
      <c r="G15" s="35">
        <v>44</v>
      </c>
      <c r="H15" s="35">
        <v>109</v>
      </c>
      <c r="I15" s="35">
        <v>120</v>
      </c>
      <c r="J15" s="35">
        <v>75</v>
      </c>
      <c r="K15" s="35">
        <v>38</v>
      </c>
      <c r="L15" s="35">
        <v>28</v>
      </c>
      <c r="M15" s="35">
        <v>22</v>
      </c>
      <c r="N15" s="35">
        <v>95</v>
      </c>
      <c r="O15" s="74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</row>
    <row r="16" spans="1:1017" s="38" customFormat="1" ht="19.5" customHeight="1">
      <c r="A16" s="75"/>
      <c r="B16" s="76"/>
      <c r="C16" s="75"/>
      <c r="D16" s="75"/>
      <c r="E16" s="75"/>
      <c r="F16" s="75"/>
      <c r="G16" s="77">
        <v>50</v>
      </c>
      <c r="H16" s="77">
        <v>64</v>
      </c>
      <c r="I16" s="77">
        <v>21</v>
      </c>
      <c r="J16" s="77">
        <v>16</v>
      </c>
      <c r="K16" s="77">
        <v>120</v>
      </c>
      <c r="L16" s="77">
        <v>116</v>
      </c>
      <c r="M16" s="77">
        <v>126</v>
      </c>
      <c r="N16" s="77"/>
      <c r="O16" s="7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</row>
    <row r="17" spans="1:1017" s="38" customFormat="1" ht="19.5" customHeight="1">
      <c r="A17" s="26" t="s">
        <v>68</v>
      </c>
      <c r="B17" s="25" t="s">
        <v>258</v>
      </c>
      <c r="C17" s="26" t="s">
        <v>46</v>
      </c>
      <c r="D17" s="26" t="s">
        <v>32</v>
      </c>
      <c r="E17" s="26" t="s">
        <v>261</v>
      </c>
      <c r="F17" s="26">
        <v>40</v>
      </c>
      <c r="G17" s="26" t="s">
        <v>36</v>
      </c>
      <c r="H17" s="26">
        <v>57</v>
      </c>
      <c r="I17" s="36">
        <v>42</v>
      </c>
      <c r="J17" s="36">
        <v>23</v>
      </c>
      <c r="K17" s="36">
        <v>18</v>
      </c>
      <c r="L17" s="36">
        <v>28</v>
      </c>
      <c r="M17" s="36">
        <v>26</v>
      </c>
      <c r="N17" s="36">
        <v>28</v>
      </c>
      <c r="O17" s="36">
        <v>69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</row>
    <row r="18" spans="1:1017" s="38" customFormat="1" ht="19.5" customHeight="1">
      <c r="A18" s="72"/>
      <c r="B18" s="73"/>
      <c r="C18" s="72"/>
      <c r="D18" s="72"/>
      <c r="E18" s="72"/>
      <c r="F18" s="72"/>
      <c r="G18" s="35">
        <v>40</v>
      </c>
      <c r="H18" s="35">
        <v>91</v>
      </c>
      <c r="I18" s="35">
        <v>110</v>
      </c>
      <c r="J18" s="35">
        <v>69</v>
      </c>
      <c r="K18" s="35">
        <v>34</v>
      </c>
      <c r="L18" s="35">
        <v>26</v>
      </c>
      <c r="M18" s="35">
        <v>20</v>
      </c>
      <c r="N18" s="35">
        <v>95</v>
      </c>
      <c r="O18" s="74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</row>
    <row r="19" spans="1:1017" s="38" customFormat="1" ht="19.5" customHeight="1">
      <c r="A19" s="75"/>
      <c r="B19" s="76"/>
      <c r="C19" s="75"/>
      <c r="D19" s="75"/>
      <c r="E19" s="75"/>
      <c r="F19" s="75"/>
      <c r="G19" s="77">
        <v>46</v>
      </c>
      <c r="H19" s="77">
        <v>53</v>
      </c>
      <c r="I19" s="77">
        <v>19</v>
      </c>
      <c r="J19" s="77">
        <v>14</v>
      </c>
      <c r="K19" s="77">
        <v>105</v>
      </c>
      <c r="L19" s="77">
        <v>100</v>
      </c>
      <c r="M19" s="77">
        <v>115</v>
      </c>
      <c r="N19" s="77"/>
      <c r="O19" s="7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</row>
    <row r="20" spans="1:1017" s="38" customFormat="1" ht="19.5" customHeight="1">
      <c r="A20" s="26" t="s">
        <v>69</v>
      </c>
      <c r="B20" s="25" t="s">
        <v>52</v>
      </c>
      <c r="C20" s="26" t="s">
        <v>46</v>
      </c>
      <c r="D20" s="26" t="s">
        <v>32</v>
      </c>
      <c r="E20" s="26" t="s">
        <v>261</v>
      </c>
      <c r="F20" s="26">
        <v>42</v>
      </c>
      <c r="G20" s="26" t="s">
        <v>33</v>
      </c>
      <c r="H20" s="26">
        <v>56</v>
      </c>
      <c r="I20" s="36">
        <v>45</v>
      </c>
      <c r="J20" s="36">
        <v>25</v>
      </c>
      <c r="K20" s="36">
        <v>19</v>
      </c>
      <c r="L20" s="36">
        <v>31</v>
      </c>
      <c r="M20" s="36">
        <v>29</v>
      </c>
      <c r="N20" s="36">
        <v>31</v>
      </c>
      <c r="O20" s="36">
        <v>73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</row>
    <row r="21" spans="1:1017" s="38" customFormat="1" ht="19.5" customHeight="1">
      <c r="A21" s="72"/>
      <c r="B21" s="73"/>
      <c r="C21" s="72"/>
      <c r="D21" s="72"/>
      <c r="E21" s="72"/>
      <c r="F21" s="72"/>
      <c r="G21" s="35">
        <v>41</v>
      </c>
      <c r="H21" s="35">
        <v>100</v>
      </c>
      <c r="I21" s="35">
        <v>118</v>
      </c>
      <c r="J21" s="35">
        <v>68</v>
      </c>
      <c r="K21" s="35">
        <v>36</v>
      </c>
      <c r="L21" s="35">
        <v>27</v>
      </c>
      <c r="M21" s="35">
        <v>22</v>
      </c>
      <c r="N21" s="35">
        <v>98</v>
      </c>
      <c r="O21" s="74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</row>
    <row r="22" spans="1:1017" s="38" customFormat="1" ht="19.5" customHeight="1">
      <c r="A22" s="75"/>
      <c r="B22" s="76"/>
      <c r="C22" s="75"/>
      <c r="D22" s="75"/>
      <c r="E22" s="75"/>
      <c r="F22" s="75"/>
      <c r="G22" s="77">
        <v>48</v>
      </c>
      <c r="H22" s="77">
        <v>59</v>
      </c>
      <c r="I22" s="77">
        <v>20</v>
      </c>
      <c r="J22" s="77">
        <v>15</v>
      </c>
      <c r="K22" s="77">
        <v>116</v>
      </c>
      <c r="L22" s="77">
        <v>108</v>
      </c>
      <c r="M22" s="77">
        <v>121</v>
      </c>
      <c r="N22" s="77"/>
      <c r="O22" s="7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</row>
    <row r="23" spans="1:1017" s="38" customFormat="1" ht="19.5" customHeight="1">
      <c r="A23" s="26" t="s">
        <v>70</v>
      </c>
      <c r="B23" s="25" t="s">
        <v>53</v>
      </c>
      <c r="C23" s="26" t="s">
        <v>46</v>
      </c>
      <c r="D23" s="26" t="s">
        <v>32</v>
      </c>
      <c r="E23" s="26" t="s">
        <v>261</v>
      </c>
      <c r="F23" s="26">
        <v>44</v>
      </c>
      <c r="G23" s="26" t="s">
        <v>35</v>
      </c>
      <c r="H23" s="26">
        <v>59</v>
      </c>
      <c r="I23" s="36">
        <v>50</v>
      </c>
      <c r="J23" s="36">
        <v>26</v>
      </c>
      <c r="K23" s="36">
        <v>20</v>
      </c>
      <c r="L23" s="36">
        <v>36</v>
      </c>
      <c r="M23" s="36">
        <v>36</v>
      </c>
      <c r="N23" s="36">
        <v>36</v>
      </c>
      <c r="O23" s="36">
        <v>74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</row>
    <row r="24" spans="1:1017" s="38" customFormat="1" ht="19.5" customHeight="1">
      <c r="A24" s="72"/>
      <c r="B24" s="73"/>
      <c r="C24" s="72"/>
      <c r="D24" s="72"/>
      <c r="E24" s="72"/>
      <c r="F24" s="72"/>
      <c r="G24" s="35">
        <v>42</v>
      </c>
      <c r="H24" s="35">
        <v>114</v>
      </c>
      <c r="I24" s="35">
        <v>126</v>
      </c>
      <c r="J24" s="35">
        <v>83</v>
      </c>
      <c r="K24" s="35">
        <v>39</v>
      </c>
      <c r="L24" s="35">
        <v>28</v>
      </c>
      <c r="M24" s="35">
        <v>22</v>
      </c>
      <c r="N24" s="35">
        <v>104</v>
      </c>
      <c r="O24" s="74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</row>
    <row r="25" spans="1:1017" s="38" customFormat="1" ht="19.5" customHeight="1">
      <c r="A25" s="75"/>
      <c r="B25" s="76"/>
      <c r="C25" s="75"/>
      <c r="D25" s="75"/>
      <c r="E25" s="75"/>
      <c r="F25" s="75"/>
      <c r="G25" s="77">
        <v>52</v>
      </c>
      <c r="H25" s="77">
        <v>65</v>
      </c>
      <c r="I25" s="77">
        <v>22</v>
      </c>
      <c r="J25" s="77">
        <v>16</v>
      </c>
      <c r="K25" s="77">
        <v>128</v>
      </c>
      <c r="L25" s="77">
        <v>122</v>
      </c>
      <c r="M25" s="77">
        <v>132</v>
      </c>
      <c r="N25" s="77"/>
      <c r="O25" s="7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</row>
    <row r="26" spans="1:1017" s="38" customFormat="1" ht="19.5" customHeight="1">
      <c r="A26" s="26" t="s">
        <v>85</v>
      </c>
      <c r="B26" s="25" t="s">
        <v>80</v>
      </c>
      <c r="C26" s="26" t="s">
        <v>46</v>
      </c>
      <c r="D26" s="26" t="s">
        <v>32</v>
      </c>
      <c r="E26" s="26" t="s">
        <v>261</v>
      </c>
      <c r="F26" s="26">
        <v>41</v>
      </c>
      <c r="G26" s="26" t="s">
        <v>34</v>
      </c>
      <c r="H26" s="26">
        <v>54</v>
      </c>
      <c r="I26" s="36">
        <v>42</v>
      </c>
      <c r="J26" s="36">
        <v>24</v>
      </c>
      <c r="K26" s="36">
        <v>17</v>
      </c>
      <c r="L26" s="36">
        <v>27</v>
      </c>
      <c r="M26" s="36">
        <v>26</v>
      </c>
      <c r="N26" s="36">
        <v>27</v>
      </c>
      <c r="O26" s="36">
        <v>70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</row>
    <row r="27" spans="1:1017" s="38" customFormat="1" ht="19.5" customHeight="1">
      <c r="A27" s="72"/>
      <c r="B27" s="73"/>
      <c r="C27" s="72"/>
      <c r="D27" s="72"/>
      <c r="E27" s="72"/>
      <c r="F27" s="72"/>
      <c r="G27" s="35">
        <v>38</v>
      </c>
      <c r="H27" s="35">
        <v>88</v>
      </c>
      <c r="I27" s="35">
        <v>104</v>
      </c>
      <c r="J27" s="35">
        <v>67</v>
      </c>
      <c r="K27" s="35">
        <v>34</v>
      </c>
      <c r="L27" s="35">
        <v>27</v>
      </c>
      <c r="M27" s="35">
        <v>22</v>
      </c>
      <c r="N27" s="35">
        <v>100</v>
      </c>
      <c r="O27" s="74" t="s">
        <v>79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</row>
    <row r="28" spans="1:1017" s="38" customFormat="1" ht="19.5" customHeight="1">
      <c r="A28" s="75"/>
      <c r="B28" s="76"/>
      <c r="C28" s="75"/>
      <c r="D28" s="75"/>
      <c r="E28" s="75"/>
      <c r="F28" s="75"/>
      <c r="G28" s="77">
        <v>45</v>
      </c>
      <c r="H28" s="77">
        <v>58</v>
      </c>
      <c r="I28" s="77">
        <v>19</v>
      </c>
      <c r="J28" s="77">
        <v>14</v>
      </c>
      <c r="K28" s="77">
        <v>102</v>
      </c>
      <c r="L28" s="77">
        <v>100</v>
      </c>
      <c r="M28" s="77">
        <v>109</v>
      </c>
      <c r="N28" s="77"/>
      <c r="O28" s="7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</row>
    <row r="29" spans="1:1017" s="38" customFormat="1" ht="19.5" customHeight="1">
      <c r="A29" s="26" t="s">
        <v>86</v>
      </c>
      <c r="B29" s="25" t="s">
        <v>81</v>
      </c>
      <c r="C29" s="26" t="s">
        <v>46</v>
      </c>
      <c r="D29" s="26" t="s">
        <v>32</v>
      </c>
      <c r="E29" s="26" t="s">
        <v>261</v>
      </c>
      <c r="F29" s="26">
        <v>40</v>
      </c>
      <c r="G29" s="26" t="s">
        <v>33</v>
      </c>
      <c r="H29" s="26">
        <v>58</v>
      </c>
      <c r="I29" s="36">
        <v>46</v>
      </c>
      <c r="J29" s="36">
        <v>25</v>
      </c>
      <c r="K29" s="36">
        <v>20</v>
      </c>
      <c r="L29" s="36">
        <v>33</v>
      </c>
      <c r="M29" s="36">
        <v>31</v>
      </c>
      <c r="N29" s="36">
        <v>33</v>
      </c>
      <c r="O29" s="36">
        <v>70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  <c r="OU29" s="37"/>
      <c r="OV29" s="37"/>
      <c r="OW29" s="37"/>
      <c r="OX29" s="37"/>
      <c r="OY29" s="37"/>
      <c r="OZ29" s="37"/>
      <c r="PA29" s="37"/>
      <c r="PB29" s="37"/>
      <c r="PC29" s="37"/>
      <c r="PD29" s="37"/>
      <c r="PE29" s="37"/>
      <c r="PF29" s="37"/>
      <c r="PG29" s="37"/>
      <c r="PH29" s="37"/>
      <c r="PI29" s="37"/>
      <c r="PJ29" s="37"/>
      <c r="PK29" s="37"/>
      <c r="PL29" s="37"/>
      <c r="PM29" s="37"/>
      <c r="PN29" s="37"/>
      <c r="PO29" s="37"/>
      <c r="PP29" s="37"/>
      <c r="PQ29" s="37"/>
      <c r="PR29" s="37"/>
      <c r="PS29" s="37"/>
      <c r="PT29" s="37"/>
      <c r="PU29" s="37"/>
      <c r="PV29" s="37"/>
      <c r="PW29" s="37"/>
      <c r="PX29" s="37"/>
      <c r="PY29" s="37"/>
      <c r="PZ29" s="37"/>
      <c r="QA29" s="37"/>
      <c r="QB29" s="37"/>
      <c r="QC29" s="37"/>
      <c r="QD29" s="37"/>
      <c r="QE29" s="37"/>
      <c r="QF29" s="37"/>
      <c r="QG29" s="37"/>
      <c r="QH29" s="37"/>
      <c r="QI29" s="37"/>
      <c r="QJ29" s="37"/>
      <c r="QK29" s="37"/>
      <c r="QL29" s="37"/>
      <c r="QM29" s="37"/>
      <c r="QN29" s="37"/>
      <c r="QO29" s="37"/>
      <c r="QP29" s="37"/>
      <c r="QQ29" s="37"/>
      <c r="QR29" s="37"/>
      <c r="QS29" s="37"/>
      <c r="QT29" s="37"/>
      <c r="QU29" s="37"/>
      <c r="QV29" s="37"/>
      <c r="QW29" s="37"/>
      <c r="QX29" s="37"/>
      <c r="QY29" s="37"/>
      <c r="QZ29" s="37"/>
      <c r="RA29" s="37"/>
      <c r="RB29" s="37"/>
      <c r="RC29" s="37"/>
      <c r="RD29" s="37"/>
      <c r="RE29" s="37"/>
      <c r="RF29" s="37"/>
      <c r="RG29" s="37"/>
      <c r="RH29" s="37"/>
      <c r="RI29" s="37"/>
      <c r="RJ29" s="37"/>
      <c r="RK29" s="37"/>
      <c r="RL29" s="37"/>
      <c r="RM29" s="37"/>
      <c r="RN29" s="37"/>
      <c r="RO29" s="37"/>
      <c r="RP29" s="37"/>
      <c r="RQ29" s="37"/>
      <c r="RR29" s="37"/>
      <c r="RS29" s="37"/>
      <c r="RT29" s="37"/>
      <c r="RU29" s="37"/>
      <c r="RV29" s="37"/>
      <c r="RW29" s="37"/>
      <c r="RX29" s="37"/>
      <c r="RY29" s="37"/>
      <c r="RZ29" s="37"/>
      <c r="SA29" s="37"/>
      <c r="SB29" s="37"/>
      <c r="SC29" s="37"/>
      <c r="SD29" s="37"/>
      <c r="SE29" s="37"/>
      <c r="SF29" s="37"/>
      <c r="SG29" s="37"/>
      <c r="SH29" s="37"/>
      <c r="SI29" s="37"/>
      <c r="SJ29" s="37"/>
      <c r="SK29" s="37"/>
      <c r="SL29" s="37"/>
      <c r="SM29" s="37"/>
      <c r="SN29" s="37"/>
      <c r="SO29" s="37"/>
      <c r="SP29" s="37"/>
      <c r="SQ29" s="37"/>
      <c r="SR29" s="37"/>
      <c r="SS29" s="37"/>
      <c r="ST29" s="37"/>
      <c r="SU29" s="37"/>
      <c r="SV29" s="37"/>
      <c r="SW29" s="37"/>
      <c r="SX29" s="37"/>
      <c r="SY29" s="37"/>
      <c r="SZ29" s="37"/>
      <c r="TA29" s="37"/>
      <c r="TB29" s="37"/>
      <c r="TC29" s="37"/>
      <c r="TD29" s="37"/>
      <c r="TE29" s="37"/>
      <c r="TF29" s="37"/>
      <c r="TG29" s="37"/>
      <c r="TH29" s="37"/>
      <c r="TI29" s="37"/>
      <c r="TJ29" s="37"/>
      <c r="TK29" s="37"/>
      <c r="TL29" s="37"/>
      <c r="TM29" s="37"/>
      <c r="TN29" s="37"/>
      <c r="TO29" s="37"/>
      <c r="TP29" s="37"/>
      <c r="TQ29" s="37"/>
      <c r="TR29" s="37"/>
      <c r="TS29" s="37"/>
      <c r="TT29" s="37"/>
      <c r="TU29" s="37"/>
      <c r="TV29" s="37"/>
      <c r="TW29" s="37"/>
      <c r="TX29" s="37"/>
      <c r="TY29" s="37"/>
      <c r="TZ29" s="37"/>
      <c r="UA29" s="37"/>
      <c r="UB29" s="37"/>
      <c r="UC29" s="37"/>
      <c r="UD29" s="37"/>
      <c r="UE29" s="37"/>
      <c r="UF29" s="37"/>
      <c r="UG29" s="37"/>
      <c r="UH29" s="37"/>
      <c r="UI29" s="37"/>
      <c r="UJ29" s="37"/>
      <c r="UK29" s="37"/>
      <c r="UL29" s="37"/>
      <c r="UM29" s="37"/>
      <c r="UN29" s="37"/>
      <c r="UO29" s="37"/>
      <c r="UP29" s="37"/>
      <c r="UQ29" s="37"/>
      <c r="UR29" s="37"/>
      <c r="US29" s="37"/>
      <c r="UT29" s="37"/>
      <c r="UU29" s="37"/>
      <c r="UV29" s="37"/>
      <c r="UW29" s="37"/>
      <c r="UX29" s="37"/>
      <c r="UY29" s="37"/>
      <c r="UZ29" s="37"/>
      <c r="VA29" s="37"/>
      <c r="VB29" s="37"/>
      <c r="VC29" s="37"/>
      <c r="VD29" s="37"/>
      <c r="VE29" s="37"/>
      <c r="VF29" s="37"/>
      <c r="VG29" s="37"/>
      <c r="VH29" s="37"/>
      <c r="VI29" s="37"/>
      <c r="VJ29" s="37"/>
      <c r="VK29" s="37"/>
      <c r="VL29" s="37"/>
      <c r="VM29" s="37"/>
      <c r="VN29" s="37"/>
      <c r="VO29" s="37"/>
      <c r="VP29" s="37"/>
      <c r="VQ29" s="37"/>
      <c r="VR29" s="37"/>
      <c r="VS29" s="37"/>
      <c r="VT29" s="37"/>
      <c r="VU29" s="37"/>
      <c r="VV29" s="37"/>
      <c r="VW29" s="37"/>
      <c r="VX29" s="37"/>
      <c r="VY29" s="37"/>
      <c r="VZ29" s="37"/>
      <c r="WA29" s="37"/>
      <c r="WB29" s="37"/>
      <c r="WC29" s="37"/>
      <c r="WD29" s="37"/>
      <c r="WE29" s="37"/>
      <c r="WF29" s="37"/>
      <c r="WG29" s="37"/>
      <c r="WH29" s="37"/>
      <c r="WI29" s="37"/>
      <c r="WJ29" s="37"/>
      <c r="WK29" s="37"/>
      <c r="WL29" s="37"/>
      <c r="WM29" s="37"/>
      <c r="WN29" s="37"/>
      <c r="WO29" s="37"/>
      <c r="WP29" s="37"/>
      <c r="WQ29" s="37"/>
      <c r="WR29" s="37"/>
      <c r="WS29" s="37"/>
      <c r="WT29" s="37"/>
      <c r="WU29" s="37"/>
      <c r="WV29" s="37"/>
      <c r="WW29" s="37"/>
      <c r="WX29" s="37"/>
      <c r="WY29" s="37"/>
      <c r="WZ29" s="37"/>
      <c r="XA29" s="37"/>
      <c r="XB29" s="37"/>
      <c r="XC29" s="37"/>
      <c r="XD29" s="37"/>
      <c r="XE29" s="37"/>
      <c r="XF29" s="37"/>
      <c r="XG29" s="37"/>
      <c r="XH29" s="37"/>
      <c r="XI29" s="37"/>
      <c r="XJ29" s="37"/>
      <c r="XK29" s="37"/>
      <c r="XL29" s="37"/>
      <c r="XM29" s="37"/>
      <c r="XN29" s="37"/>
      <c r="XO29" s="37"/>
      <c r="XP29" s="37"/>
      <c r="XQ29" s="37"/>
      <c r="XR29" s="37"/>
      <c r="XS29" s="37"/>
      <c r="XT29" s="37"/>
      <c r="XU29" s="37"/>
      <c r="XV29" s="37"/>
      <c r="XW29" s="37"/>
      <c r="XX29" s="37"/>
      <c r="XY29" s="37"/>
      <c r="XZ29" s="37"/>
      <c r="YA29" s="37"/>
      <c r="YB29" s="37"/>
      <c r="YC29" s="37"/>
      <c r="YD29" s="37"/>
      <c r="YE29" s="37"/>
      <c r="YF29" s="37"/>
      <c r="YG29" s="37"/>
      <c r="YH29" s="37"/>
      <c r="YI29" s="37"/>
      <c r="YJ29" s="37"/>
      <c r="YK29" s="37"/>
      <c r="YL29" s="37"/>
      <c r="YM29" s="37"/>
      <c r="YN29" s="37"/>
      <c r="YO29" s="37"/>
      <c r="YP29" s="37"/>
      <c r="YQ29" s="37"/>
      <c r="YR29" s="37"/>
      <c r="YS29" s="37"/>
      <c r="YT29" s="37"/>
      <c r="YU29" s="37"/>
      <c r="YV29" s="37"/>
      <c r="YW29" s="37"/>
      <c r="YX29" s="37"/>
      <c r="YY29" s="37"/>
      <c r="YZ29" s="37"/>
      <c r="ZA29" s="37"/>
      <c r="ZB29" s="37"/>
      <c r="ZC29" s="37"/>
      <c r="ZD29" s="37"/>
      <c r="ZE29" s="37"/>
      <c r="ZF29" s="37"/>
      <c r="ZG29" s="37"/>
      <c r="ZH29" s="37"/>
      <c r="ZI29" s="37"/>
      <c r="ZJ29" s="37"/>
      <c r="ZK29" s="37"/>
      <c r="ZL29" s="37"/>
      <c r="ZM29" s="37"/>
      <c r="ZN29" s="37"/>
      <c r="ZO29" s="37"/>
      <c r="ZP29" s="37"/>
      <c r="ZQ29" s="37"/>
      <c r="ZR29" s="37"/>
      <c r="ZS29" s="37"/>
      <c r="ZT29" s="37"/>
      <c r="ZU29" s="37"/>
      <c r="ZV29" s="37"/>
      <c r="ZW29" s="37"/>
      <c r="ZX29" s="37"/>
      <c r="ZY29" s="37"/>
      <c r="ZZ29" s="37"/>
      <c r="AAA29" s="37"/>
      <c r="AAB29" s="37"/>
      <c r="AAC29" s="37"/>
      <c r="AAD29" s="37"/>
      <c r="AAE29" s="37"/>
      <c r="AAF29" s="37"/>
      <c r="AAG29" s="37"/>
      <c r="AAH29" s="37"/>
      <c r="AAI29" s="37"/>
      <c r="AAJ29" s="37"/>
      <c r="AAK29" s="37"/>
      <c r="AAL29" s="37"/>
      <c r="AAM29" s="37"/>
      <c r="AAN29" s="37"/>
      <c r="AAO29" s="37"/>
      <c r="AAP29" s="37"/>
      <c r="AAQ29" s="37"/>
      <c r="AAR29" s="37"/>
      <c r="AAS29" s="37"/>
      <c r="AAT29" s="37"/>
      <c r="AAU29" s="37"/>
      <c r="AAV29" s="37"/>
      <c r="AAW29" s="37"/>
      <c r="AAX29" s="37"/>
      <c r="AAY29" s="37"/>
      <c r="AAZ29" s="37"/>
      <c r="ABA29" s="37"/>
      <c r="ABB29" s="37"/>
      <c r="ABC29" s="37"/>
      <c r="ABD29" s="37"/>
      <c r="ABE29" s="37"/>
      <c r="ABF29" s="37"/>
      <c r="ABG29" s="37"/>
      <c r="ABH29" s="37"/>
      <c r="ABI29" s="37"/>
      <c r="ABJ29" s="37"/>
      <c r="ABK29" s="37"/>
      <c r="ABL29" s="37"/>
      <c r="ABM29" s="37"/>
      <c r="ABN29" s="37"/>
      <c r="ABO29" s="37"/>
      <c r="ABP29" s="37"/>
      <c r="ABQ29" s="37"/>
      <c r="ABR29" s="37"/>
      <c r="ABS29" s="37"/>
      <c r="ABT29" s="37"/>
      <c r="ABU29" s="37"/>
      <c r="ABV29" s="37"/>
      <c r="ABW29" s="37"/>
      <c r="ABX29" s="37"/>
      <c r="ABY29" s="37"/>
      <c r="ABZ29" s="37"/>
      <c r="ACA29" s="37"/>
      <c r="ACB29" s="37"/>
      <c r="ACC29" s="37"/>
      <c r="ACD29" s="37"/>
      <c r="ACE29" s="37"/>
      <c r="ACF29" s="37"/>
      <c r="ACG29" s="37"/>
      <c r="ACH29" s="37"/>
      <c r="ACI29" s="37"/>
      <c r="ACJ29" s="37"/>
      <c r="ACK29" s="37"/>
      <c r="ACL29" s="37"/>
      <c r="ACM29" s="37"/>
      <c r="ACN29" s="37"/>
      <c r="ACO29" s="37"/>
      <c r="ACP29" s="37"/>
      <c r="ACQ29" s="37"/>
      <c r="ACR29" s="37"/>
      <c r="ACS29" s="37"/>
      <c r="ACT29" s="37"/>
      <c r="ACU29" s="37"/>
      <c r="ACV29" s="37"/>
      <c r="ACW29" s="37"/>
      <c r="ACX29" s="37"/>
      <c r="ACY29" s="37"/>
      <c r="ACZ29" s="37"/>
      <c r="ADA29" s="37"/>
      <c r="ADB29" s="37"/>
      <c r="ADC29" s="37"/>
      <c r="ADD29" s="37"/>
      <c r="ADE29" s="37"/>
      <c r="ADF29" s="37"/>
      <c r="ADG29" s="37"/>
      <c r="ADH29" s="37"/>
      <c r="ADI29" s="37"/>
      <c r="ADJ29" s="37"/>
      <c r="ADK29" s="37"/>
      <c r="ADL29" s="37"/>
      <c r="ADM29" s="37"/>
      <c r="ADN29" s="37"/>
      <c r="ADO29" s="37"/>
      <c r="ADP29" s="37"/>
      <c r="ADQ29" s="37"/>
      <c r="ADR29" s="37"/>
      <c r="ADS29" s="37"/>
      <c r="ADT29" s="37"/>
      <c r="ADU29" s="37"/>
      <c r="ADV29" s="37"/>
      <c r="ADW29" s="37"/>
      <c r="ADX29" s="37"/>
      <c r="ADY29" s="37"/>
      <c r="ADZ29" s="37"/>
      <c r="AEA29" s="37"/>
      <c r="AEB29" s="37"/>
      <c r="AEC29" s="37"/>
      <c r="AED29" s="37"/>
      <c r="AEE29" s="37"/>
      <c r="AEF29" s="37"/>
      <c r="AEG29" s="37"/>
      <c r="AEH29" s="37"/>
      <c r="AEI29" s="37"/>
      <c r="AEJ29" s="37"/>
      <c r="AEK29" s="37"/>
      <c r="AEL29" s="37"/>
      <c r="AEM29" s="37"/>
      <c r="AEN29" s="37"/>
      <c r="AEO29" s="37"/>
      <c r="AEP29" s="37"/>
      <c r="AEQ29" s="37"/>
      <c r="AER29" s="37"/>
      <c r="AES29" s="37"/>
      <c r="AET29" s="37"/>
      <c r="AEU29" s="37"/>
      <c r="AEV29" s="37"/>
      <c r="AEW29" s="37"/>
      <c r="AEX29" s="37"/>
      <c r="AEY29" s="37"/>
      <c r="AEZ29" s="37"/>
      <c r="AFA29" s="37"/>
      <c r="AFB29" s="37"/>
      <c r="AFC29" s="37"/>
      <c r="AFD29" s="37"/>
      <c r="AFE29" s="37"/>
      <c r="AFF29" s="37"/>
      <c r="AFG29" s="37"/>
      <c r="AFH29" s="37"/>
      <c r="AFI29" s="37"/>
      <c r="AFJ29" s="37"/>
      <c r="AFK29" s="37"/>
      <c r="AFL29" s="37"/>
      <c r="AFM29" s="37"/>
      <c r="AFN29" s="37"/>
      <c r="AFO29" s="37"/>
      <c r="AFP29" s="37"/>
      <c r="AFQ29" s="37"/>
      <c r="AFR29" s="37"/>
      <c r="AFS29" s="37"/>
      <c r="AFT29" s="37"/>
      <c r="AFU29" s="37"/>
      <c r="AFV29" s="37"/>
      <c r="AFW29" s="37"/>
      <c r="AFX29" s="37"/>
      <c r="AFY29" s="37"/>
      <c r="AFZ29" s="37"/>
      <c r="AGA29" s="37"/>
      <c r="AGB29" s="37"/>
      <c r="AGC29" s="37"/>
      <c r="AGD29" s="37"/>
      <c r="AGE29" s="37"/>
      <c r="AGF29" s="37"/>
      <c r="AGG29" s="37"/>
      <c r="AGH29" s="37"/>
      <c r="AGI29" s="37"/>
      <c r="AGJ29" s="37"/>
      <c r="AGK29" s="37"/>
      <c r="AGL29" s="37"/>
      <c r="AGM29" s="37"/>
      <c r="AGN29" s="37"/>
      <c r="AGO29" s="37"/>
      <c r="AGP29" s="37"/>
      <c r="AGQ29" s="37"/>
      <c r="AGR29" s="37"/>
      <c r="AGS29" s="37"/>
      <c r="AGT29" s="37"/>
      <c r="AGU29" s="37"/>
      <c r="AGV29" s="37"/>
      <c r="AGW29" s="37"/>
      <c r="AGX29" s="37"/>
      <c r="AGY29" s="37"/>
      <c r="AGZ29" s="37"/>
      <c r="AHA29" s="37"/>
      <c r="AHB29" s="37"/>
      <c r="AHC29" s="37"/>
      <c r="AHD29" s="37"/>
      <c r="AHE29" s="37"/>
      <c r="AHF29" s="37"/>
      <c r="AHG29" s="37"/>
      <c r="AHH29" s="37"/>
      <c r="AHI29" s="37"/>
      <c r="AHJ29" s="37"/>
      <c r="AHK29" s="37"/>
      <c r="AHL29" s="37"/>
      <c r="AHM29" s="37"/>
      <c r="AHN29" s="37"/>
      <c r="AHO29" s="37"/>
      <c r="AHP29" s="37"/>
      <c r="AHQ29" s="37"/>
      <c r="AHR29" s="37"/>
      <c r="AHS29" s="37"/>
      <c r="AHT29" s="37"/>
      <c r="AHU29" s="37"/>
      <c r="AHV29" s="37"/>
      <c r="AHW29" s="37"/>
      <c r="AHX29" s="37"/>
      <c r="AHY29" s="37"/>
      <c r="AHZ29" s="37"/>
      <c r="AIA29" s="37"/>
      <c r="AIB29" s="37"/>
      <c r="AIC29" s="37"/>
      <c r="AID29" s="37"/>
      <c r="AIE29" s="37"/>
      <c r="AIF29" s="37"/>
      <c r="AIG29" s="37"/>
      <c r="AIH29" s="37"/>
      <c r="AII29" s="37"/>
      <c r="AIJ29" s="37"/>
      <c r="AIK29" s="37"/>
      <c r="AIL29" s="37"/>
      <c r="AIM29" s="37"/>
      <c r="AIN29" s="37"/>
      <c r="AIO29" s="37"/>
      <c r="AIP29" s="37"/>
      <c r="AIQ29" s="37"/>
      <c r="AIR29" s="37"/>
      <c r="AIS29" s="37"/>
      <c r="AIT29" s="37"/>
      <c r="AIU29" s="37"/>
      <c r="AIV29" s="37"/>
      <c r="AIW29" s="37"/>
      <c r="AIX29" s="37"/>
      <c r="AIY29" s="37"/>
      <c r="AIZ29" s="37"/>
      <c r="AJA29" s="37"/>
      <c r="AJB29" s="37"/>
      <c r="AJC29" s="37"/>
      <c r="AJD29" s="37"/>
      <c r="AJE29" s="37"/>
      <c r="AJF29" s="37"/>
      <c r="AJG29" s="37"/>
      <c r="AJH29" s="37"/>
      <c r="AJI29" s="37"/>
      <c r="AJJ29" s="37"/>
      <c r="AJK29" s="37"/>
      <c r="AJL29" s="37"/>
      <c r="AJM29" s="37"/>
      <c r="AJN29" s="37"/>
      <c r="AJO29" s="37"/>
      <c r="AJP29" s="37"/>
      <c r="AJQ29" s="37"/>
      <c r="AJR29" s="37"/>
      <c r="AJS29" s="37"/>
      <c r="AJT29" s="37"/>
      <c r="AJU29" s="37"/>
      <c r="AJV29" s="37"/>
      <c r="AJW29" s="37"/>
      <c r="AJX29" s="37"/>
      <c r="AJY29" s="37"/>
      <c r="AJZ29" s="37"/>
      <c r="AKA29" s="37"/>
      <c r="AKB29" s="37"/>
      <c r="AKC29" s="37"/>
      <c r="AKD29" s="37"/>
      <c r="AKE29" s="37"/>
      <c r="AKF29" s="37"/>
      <c r="AKG29" s="37"/>
      <c r="AKH29" s="37"/>
      <c r="AKI29" s="37"/>
      <c r="AKJ29" s="37"/>
      <c r="AKK29" s="37"/>
      <c r="AKL29" s="37"/>
      <c r="AKM29" s="37"/>
      <c r="AKN29" s="37"/>
      <c r="AKO29" s="37"/>
      <c r="AKP29" s="37"/>
      <c r="AKQ29" s="37"/>
      <c r="AKR29" s="37"/>
      <c r="AKS29" s="37"/>
      <c r="AKT29" s="37"/>
      <c r="AKU29" s="37"/>
      <c r="AKV29" s="37"/>
      <c r="AKW29" s="37"/>
      <c r="AKX29" s="37"/>
      <c r="AKY29" s="37"/>
      <c r="AKZ29" s="37"/>
      <c r="ALA29" s="37"/>
      <c r="ALB29" s="37"/>
      <c r="ALC29" s="37"/>
      <c r="ALD29" s="37"/>
      <c r="ALE29" s="37"/>
      <c r="ALF29" s="37"/>
      <c r="ALG29" s="37"/>
      <c r="ALH29" s="37"/>
      <c r="ALI29" s="37"/>
      <c r="ALJ29" s="37"/>
      <c r="ALK29" s="37"/>
      <c r="ALL29" s="37"/>
      <c r="ALM29" s="37"/>
      <c r="ALN29" s="37"/>
      <c r="ALO29" s="37"/>
      <c r="ALP29" s="37"/>
      <c r="ALQ29" s="37"/>
      <c r="ALR29" s="37"/>
      <c r="ALS29" s="37"/>
      <c r="ALT29" s="37"/>
      <c r="ALU29" s="37"/>
      <c r="ALV29" s="37"/>
      <c r="ALW29" s="37"/>
      <c r="ALX29" s="37"/>
      <c r="ALY29" s="37"/>
      <c r="ALZ29" s="37"/>
      <c r="AMA29" s="37"/>
      <c r="AMB29" s="37"/>
      <c r="AMC29" s="37"/>
    </row>
    <row r="30" spans="1:1017" s="38" customFormat="1" ht="19.5" customHeight="1">
      <c r="A30" s="72"/>
      <c r="B30" s="73"/>
      <c r="C30" s="72"/>
      <c r="D30" s="72"/>
      <c r="E30" s="72"/>
      <c r="F30" s="72"/>
      <c r="G30" s="35">
        <v>44</v>
      </c>
      <c r="H30" s="35">
        <v>106</v>
      </c>
      <c r="I30" s="35">
        <v>118</v>
      </c>
      <c r="J30" s="35">
        <v>74</v>
      </c>
      <c r="K30" s="35">
        <v>36</v>
      </c>
      <c r="L30" s="35">
        <v>27</v>
      </c>
      <c r="M30" s="35">
        <v>21</v>
      </c>
      <c r="N30" s="35">
        <v>98</v>
      </c>
      <c r="O30" s="74" t="s">
        <v>79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  <c r="OU30" s="37"/>
      <c r="OV30" s="37"/>
      <c r="OW30" s="37"/>
      <c r="OX30" s="37"/>
      <c r="OY30" s="37"/>
      <c r="OZ30" s="37"/>
      <c r="PA30" s="37"/>
      <c r="PB30" s="37"/>
      <c r="PC30" s="37"/>
      <c r="PD30" s="37"/>
      <c r="PE30" s="37"/>
      <c r="PF30" s="37"/>
      <c r="PG30" s="37"/>
      <c r="PH30" s="37"/>
      <c r="PI30" s="37"/>
      <c r="PJ30" s="37"/>
      <c r="PK30" s="37"/>
      <c r="PL30" s="37"/>
      <c r="PM30" s="37"/>
      <c r="PN30" s="37"/>
      <c r="PO30" s="37"/>
      <c r="PP30" s="37"/>
      <c r="PQ30" s="37"/>
      <c r="PR30" s="37"/>
      <c r="PS30" s="37"/>
      <c r="PT30" s="37"/>
      <c r="PU30" s="37"/>
      <c r="PV30" s="37"/>
      <c r="PW30" s="37"/>
      <c r="PX30" s="37"/>
      <c r="PY30" s="37"/>
      <c r="PZ30" s="37"/>
      <c r="QA30" s="37"/>
      <c r="QB30" s="37"/>
      <c r="QC30" s="37"/>
      <c r="QD30" s="37"/>
      <c r="QE30" s="37"/>
      <c r="QF30" s="37"/>
      <c r="QG30" s="37"/>
      <c r="QH30" s="37"/>
      <c r="QI30" s="37"/>
      <c r="QJ30" s="37"/>
      <c r="QK30" s="37"/>
      <c r="QL30" s="37"/>
      <c r="QM30" s="37"/>
      <c r="QN30" s="37"/>
      <c r="QO30" s="37"/>
      <c r="QP30" s="37"/>
      <c r="QQ30" s="37"/>
      <c r="QR30" s="37"/>
      <c r="QS30" s="37"/>
      <c r="QT30" s="37"/>
      <c r="QU30" s="37"/>
      <c r="QV30" s="37"/>
      <c r="QW30" s="37"/>
      <c r="QX30" s="37"/>
      <c r="QY30" s="37"/>
      <c r="QZ30" s="37"/>
      <c r="RA30" s="37"/>
      <c r="RB30" s="37"/>
      <c r="RC30" s="37"/>
      <c r="RD30" s="37"/>
      <c r="RE30" s="37"/>
      <c r="RF30" s="37"/>
      <c r="RG30" s="37"/>
      <c r="RH30" s="37"/>
      <c r="RI30" s="37"/>
      <c r="RJ30" s="37"/>
      <c r="RK30" s="37"/>
      <c r="RL30" s="37"/>
      <c r="RM30" s="37"/>
      <c r="RN30" s="37"/>
      <c r="RO30" s="37"/>
      <c r="RP30" s="37"/>
      <c r="RQ30" s="37"/>
      <c r="RR30" s="37"/>
      <c r="RS30" s="37"/>
      <c r="RT30" s="37"/>
      <c r="RU30" s="37"/>
      <c r="RV30" s="37"/>
      <c r="RW30" s="37"/>
      <c r="RX30" s="37"/>
      <c r="RY30" s="37"/>
      <c r="RZ30" s="37"/>
      <c r="SA30" s="37"/>
      <c r="SB30" s="37"/>
      <c r="SC30" s="37"/>
      <c r="SD30" s="37"/>
      <c r="SE30" s="37"/>
      <c r="SF30" s="37"/>
      <c r="SG30" s="37"/>
      <c r="SH30" s="37"/>
      <c r="SI30" s="37"/>
      <c r="SJ30" s="37"/>
      <c r="SK30" s="37"/>
      <c r="SL30" s="37"/>
      <c r="SM30" s="37"/>
      <c r="SN30" s="37"/>
      <c r="SO30" s="37"/>
      <c r="SP30" s="37"/>
      <c r="SQ30" s="37"/>
      <c r="SR30" s="37"/>
      <c r="SS30" s="37"/>
      <c r="ST30" s="37"/>
      <c r="SU30" s="37"/>
      <c r="SV30" s="37"/>
      <c r="SW30" s="37"/>
      <c r="SX30" s="37"/>
      <c r="SY30" s="37"/>
      <c r="SZ30" s="37"/>
      <c r="TA30" s="37"/>
      <c r="TB30" s="37"/>
      <c r="TC30" s="37"/>
      <c r="TD30" s="37"/>
      <c r="TE30" s="37"/>
      <c r="TF30" s="37"/>
      <c r="TG30" s="37"/>
      <c r="TH30" s="37"/>
      <c r="TI30" s="37"/>
      <c r="TJ30" s="37"/>
      <c r="TK30" s="37"/>
      <c r="TL30" s="37"/>
      <c r="TM30" s="37"/>
      <c r="TN30" s="37"/>
      <c r="TO30" s="37"/>
      <c r="TP30" s="37"/>
      <c r="TQ30" s="37"/>
      <c r="TR30" s="37"/>
      <c r="TS30" s="37"/>
      <c r="TT30" s="37"/>
      <c r="TU30" s="37"/>
      <c r="TV30" s="37"/>
      <c r="TW30" s="37"/>
      <c r="TX30" s="37"/>
      <c r="TY30" s="37"/>
      <c r="TZ30" s="37"/>
      <c r="UA30" s="37"/>
      <c r="UB30" s="37"/>
      <c r="UC30" s="37"/>
      <c r="UD30" s="37"/>
      <c r="UE30" s="37"/>
      <c r="UF30" s="37"/>
      <c r="UG30" s="37"/>
      <c r="UH30" s="37"/>
      <c r="UI30" s="37"/>
      <c r="UJ30" s="37"/>
      <c r="UK30" s="37"/>
      <c r="UL30" s="37"/>
      <c r="UM30" s="37"/>
      <c r="UN30" s="37"/>
      <c r="UO30" s="37"/>
      <c r="UP30" s="37"/>
      <c r="UQ30" s="37"/>
      <c r="UR30" s="37"/>
      <c r="US30" s="37"/>
      <c r="UT30" s="37"/>
      <c r="UU30" s="37"/>
      <c r="UV30" s="37"/>
      <c r="UW30" s="37"/>
      <c r="UX30" s="37"/>
      <c r="UY30" s="37"/>
      <c r="UZ30" s="37"/>
      <c r="VA30" s="37"/>
      <c r="VB30" s="37"/>
      <c r="VC30" s="37"/>
      <c r="VD30" s="37"/>
      <c r="VE30" s="37"/>
      <c r="VF30" s="37"/>
      <c r="VG30" s="37"/>
      <c r="VH30" s="37"/>
      <c r="VI30" s="37"/>
      <c r="VJ30" s="37"/>
      <c r="VK30" s="37"/>
      <c r="VL30" s="37"/>
      <c r="VM30" s="37"/>
      <c r="VN30" s="37"/>
      <c r="VO30" s="37"/>
      <c r="VP30" s="37"/>
      <c r="VQ30" s="37"/>
      <c r="VR30" s="37"/>
      <c r="VS30" s="37"/>
      <c r="VT30" s="37"/>
      <c r="VU30" s="37"/>
      <c r="VV30" s="37"/>
      <c r="VW30" s="37"/>
      <c r="VX30" s="37"/>
      <c r="VY30" s="37"/>
      <c r="VZ30" s="37"/>
      <c r="WA30" s="37"/>
      <c r="WB30" s="37"/>
      <c r="WC30" s="37"/>
      <c r="WD30" s="37"/>
      <c r="WE30" s="37"/>
      <c r="WF30" s="37"/>
      <c r="WG30" s="37"/>
      <c r="WH30" s="37"/>
      <c r="WI30" s="37"/>
      <c r="WJ30" s="37"/>
      <c r="WK30" s="37"/>
      <c r="WL30" s="37"/>
      <c r="WM30" s="37"/>
      <c r="WN30" s="37"/>
      <c r="WO30" s="37"/>
      <c r="WP30" s="37"/>
      <c r="WQ30" s="37"/>
      <c r="WR30" s="37"/>
      <c r="WS30" s="37"/>
      <c r="WT30" s="37"/>
      <c r="WU30" s="37"/>
      <c r="WV30" s="37"/>
      <c r="WW30" s="37"/>
      <c r="WX30" s="37"/>
      <c r="WY30" s="37"/>
      <c r="WZ30" s="37"/>
      <c r="XA30" s="37"/>
      <c r="XB30" s="37"/>
      <c r="XC30" s="37"/>
      <c r="XD30" s="37"/>
      <c r="XE30" s="37"/>
      <c r="XF30" s="37"/>
      <c r="XG30" s="37"/>
      <c r="XH30" s="37"/>
      <c r="XI30" s="37"/>
      <c r="XJ30" s="37"/>
      <c r="XK30" s="37"/>
      <c r="XL30" s="37"/>
      <c r="XM30" s="37"/>
      <c r="XN30" s="37"/>
      <c r="XO30" s="37"/>
      <c r="XP30" s="37"/>
      <c r="XQ30" s="37"/>
      <c r="XR30" s="37"/>
      <c r="XS30" s="37"/>
      <c r="XT30" s="37"/>
      <c r="XU30" s="37"/>
      <c r="XV30" s="37"/>
      <c r="XW30" s="37"/>
      <c r="XX30" s="37"/>
      <c r="XY30" s="37"/>
      <c r="XZ30" s="37"/>
      <c r="YA30" s="37"/>
      <c r="YB30" s="37"/>
      <c r="YC30" s="37"/>
      <c r="YD30" s="37"/>
      <c r="YE30" s="37"/>
      <c r="YF30" s="37"/>
      <c r="YG30" s="37"/>
      <c r="YH30" s="37"/>
      <c r="YI30" s="37"/>
      <c r="YJ30" s="37"/>
      <c r="YK30" s="37"/>
      <c r="YL30" s="37"/>
      <c r="YM30" s="37"/>
      <c r="YN30" s="37"/>
      <c r="YO30" s="37"/>
      <c r="YP30" s="37"/>
      <c r="YQ30" s="37"/>
      <c r="YR30" s="37"/>
      <c r="YS30" s="37"/>
      <c r="YT30" s="37"/>
      <c r="YU30" s="37"/>
      <c r="YV30" s="37"/>
      <c r="YW30" s="37"/>
      <c r="YX30" s="37"/>
      <c r="YY30" s="37"/>
      <c r="YZ30" s="37"/>
      <c r="ZA30" s="37"/>
      <c r="ZB30" s="37"/>
      <c r="ZC30" s="37"/>
      <c r="ZD30" s="37"/>
      <c r="ZE30" s="37"/>
      <c r="ZF30" s="37"/>
      <c r="ZG30" s="37"/>
      <c r="ZH30" s="37"/>
      <c r="ZI30" s="37"/>
      <c r="ZJ30" s="37"/>
      <c r="ZK30" s="37"/>
      <c r="ZL30" s="37"/>
      <c r="ZM30" s="37"/>
      <c r="ZN30" s="37"/>
      <c r="ZO30" s="37"/>
      <c r="ZP30" s="37"/>
      <c r="ZQ30" s="37"/>
      <c r="ZR30" s="37"/>
      <c r="ZS30" s="37"/>
      <c r="ZT30" s="37"/>
      <c r="ZU30" s="37"/>
      <c r="ZV30" s="37"/>
      <c r="ZW30" s="37"/>
      <c r="ZX30" s="37"/>
      <c r="ZY30" s="37"/>
      <c r="ZZ30" s="37"/>
      <c r="AAA30" s="37"/>
      <c r="AAB30" s="37"/>
      <c r="AAC30" s="37"/>
      <c r="AAD30" s="37"/>
      <c r="AAE30" s="37"/>
      <c r="AAF30" s="37"/>
      <c r="AAG30" s="37"/>
      <c r="AAH30" s="37"/>
      <c r="AAI30" s="37"/>
      <c r="AAJ30" s="37"/>
      <c r="AAK30" s="37"/>
      <c r="AAL30" s="37"/>
      <c r="AAM30" s="37"/>
      <c r="AAN30" s="37"/>
      <c r="AAO30" s="37"/>
      <c r="AAP30" s="37"/>
      <c r="AAQ30" s="37"/>
      <c r="AAR30" s="37"/>
      <c r="AAS30" s="37"/>
      <c r="AAT30" s="37"/>
      <c r="AAU30" s="37"/>
      <c r="AAV30" s="37"/>
      <c r="AAW30" s="37"/>
      <c r="AAX30" s="37"/>
      <c r="AAY30" s="37"/>
      <c r="AAZ30" s="37"/>
      <c r="ABA30" s="37"/>
      <c r="ABB30" s="37"/>
      <c r="ABC30" s="37"/>
      <c r="ABD30" s="37"/>
      <c r="ABE30" s="37"/>
      <c r="ABF30" s="37"/>
      <c r="ABG30" s="37"/>
      <c r="ABH30" s="37"/>
      <c r="ABI30" s="37"/>
      <c r="ABJ30" s="37"/>
      <c r="ABK30" s="37"/>
      <c r="ABL30" s="37"/>
      <c r="ABM30" s="37"/>
      <c r="ABN30" s="37"/>
      <c r="ABO30" s="37"/>
      <c r="ABP30" s="37"/>
      <c r="ABQ30" s="37"/>
      <c r="ABR30" s="37"/>
      <c r="ABS30" s="37"/>
      <c r="ABT30" s="37"/>
      <c r="ABU30" s="37"/>
      <c r="ABV30" s="37"/>
      <c r="ABW30" s="37"/>
      <c r="ABX30" s="37"/>
      <c r="ABY30" s="37"/>
      <c r="ABZ30" s="37"/>
      <c r="ACA30" s="37"/>
      <c r="ACB30" s="37"/>
      <c r="ACC30" s="37"/>
      <c r="ACD30" s="37"/>
      <c r="ACE30" s="37"/>
      <c r="ACF30" s="37"/>
      <c r="ACG30" s="37"/>
      <c r="ACH30" s="37"/>
      <c r="ACI30" s="37"/>
      <c r="ACJ30" s="37"/>
      <c r="ACK30" s="37"/>
      <c r="ACL30" s="37"/>
      <c r="ACM30" s="37"/>
      <c r="ACN30" s="37"/>
      <c r="ACO30" s="37"/>
      <c r="ACP30" s="37"/>
      <c r="ACQ30" s="37"/>
      <c r="ACR30" s="37"/>
      <c r="ACS30" s="37"/>
      <c r="ACT30" s="37"/>
      <c r="ACU30" s="37"/>
      <c r="ACV30" s="37"/>
      <c r="ACW30" s="37"/>
      <c r="ACX30" s="37"/>
      <c r="ACY30" s="37"/>
      <c r="ACZ30" s="37"/>
      <c r="ADA30" s="37"/>
      <c r="ADB30" s="37"/>
      <c r="ADC30" s="37"/>
      <c r="ADD30" s="37"/>
      <c r="ADE30" s="37"/>
      <c r="ADF30" s="37"/>
      <c r="ADG30" s="37"/>
      <c r="ADH30" s="37"/>
      <c r="ADI30" s="37"/>
      <c r="ADJ30" s="37"/>
      <c r="ADK30" s="37"/>
      <c r="ADL30" s="37"/>
      <c r="ADM30" s="37"/>
      <c r="ADN30" s="37"/>
      <c r="ADO30" s="37"/>
      <c r="ADP30" s="37"/>
      <c r="ADQ30" s="37"/>
      <c r="ADR30" s="37"/>
      <c r="ADS30" s="37"/>
      <c r="ADT30" s="37"/>
      <c r="ADU30" s="37"/>
      <c r="ADV30" s="37"/>
      <c r="ADW30" s="37"/>
      <c r="ADX30" s="37"/>
      <c r="ADY30" s="37"/>
      <c r="ADZ30" s="37"/>
      <c r="AEA30" s="37"/>
      <c r="AEB30" s="37"/>
      <c r="AEC30" s="37"/>
      <c r="AED30" s="37"/>
      <c r="AEE30" s="37"/>
      <c r="AEF30" s="37"/>
      <c r="AEG30" s="37"/>
      <c r="AEH30" s="37"/>
      <c r="AEI30" s="37"/>
      <c r="AEJ30" s="37"/>
      <c r="AEK30" s="37"/>
      <c r="AEL30" s="37"/>
      <c r="AEM30" s="37"/>
      <c r="AEN30" s="37"/>
      <c r="AEO30" s="37"/>
      <c r="AEP30" s="37"/>
      <c r="AEQ30" s="37"/>
      <c r="AER30" s="37"/>
      <c r="AES30" s="37"/>
      <c r="AET30" s="37"/>
      <c r="AEU30" s="37"/>
      <c r="AEV30" s="37"/>
      <c r="AEW30" s="37"/>
      <c r="AEX30" s="37"/>
      <c r="AEY30" s="37"/>
      <c r="AEZ30" s="37"/>
      <c r="AFA30" s="37"/>
      <c r="AFB30" s="37"/>
      <c r="AFC30" s="37"/>
      <c r="AFD30" s="37"/>
      <c r="AFE30" s="37"/>
      <c r="AFF30" s="37"/>
      <c r="AFG30" s="37"/>
      <c r="AFH30" s="37"/>
      <c r="AFI30" s="37"/>
      <c r="AFJ30" s="37"/>
      <c r="AFK30" s="37"/>
      <c r="AFL30" s="37"/>
      <c r="AFM30" s="37"/>
      <c r="AFN30" s="37"/>
      <c r="AFO30" s="37"/>
      <c r="AFP30" s="37"/>
      <c r="AFQ30" s="37"/>
      <c r="AFR30" s="37"/>
      <c r="AFS30" s="37"/>
      <c r="AFT30" s="37"/>
      <c r="AFU30" s="37"/>
      <c r="AFV30" s="37"/>
      <c r="AFW30" s="37"/>
      <c r="AFX30" s="37"/>
      <c r="AFY30" s="37"/>
      <c r="AFZ30" s="37"/>
      <c r="AGA30" s="37"/>
      <c r="AGB30" s="37"/>
      <c r="AGC30" s="37"/>
      <c r="AGD30" s="37"/>
      <c r="AGE30" s="37"/>
      <c r="AGF30" s="37"/>
      <c r="AGG30" s="37"/>
      <c r="AGH30" s="37"/>
      <c r="AGI30" s="37"/>
      <c r="AGJ30" s="37"/>
      <c r="AGK30" s="37"/>
      <c r="AGL30" s="37"/>
      <c r="AGM30" s="37"/>
      <c r="AGN30" s="37"/>
      <c r="AGO30" s="37"/>
      <c r="AGP30" s="37"/>
      <c r="AGQ30" s="37"/>
      <c r="AGR30" s="37"/>
      <c r="AGS30" s="37"/>
      <c r="AGT30" s="37"/>
      <c r="AGU30" s="37"/>
      <c r="AGV30" s="37"/>
      <c r="AGW30" s="37"/>
      <c r="AGX30" s="37"/>
      <c r="AGY30" s="37"/>
      <c r="AGZ30" s="37"/>
      <c r="AHA30" s="37"/>
      <c r="AHB30" s="37"/>
      <c r="AHC30" s="37"/>
      <c r="AHD30" s="37"/>
      <c r="AHE30" s="37"/>
      <c r="AHF30" s="37"/>
      <c r="AHG30" s="37"/>
      <c r="AHH30" s="37"/>
      <c r="AHI30" s="37"/>
      <c r="AHJ30" s="37"/>
      <c r="AHK30" s="37"/>
      <c r="AHL30" s="37"/>
      <c r="AHM30" s="37"/>
      <c r="AHN30" s="37"/>
      <c r="AHO30" s="37"/>
      <c r="AHP30" s="37"/>
      <c r="AHQ30" s="37"/>
      <c r="AHR30" s="37"/>
      <c r="AHS30" s="37"/>
      <c r="AHT30" s="37"/>
      <c r="AHU30" s="37"/>
      <c r="AHV30" s="37"/>
      <c r="AHW30" s="37"/>
      <c r="AHX30" s="37"/>
      <c r="AHY30" s="37"/>
      <c r="AHZ30" s="37"/>
      <c r="AIA30" s="37"/>
      <c r="AIB30" s="37"/>
      <c r="AIC30" s="37"/>
      <c r="AID30" s="37"/>
      <c r="AIE30" s="37"/>
      <c r="AIF30" s="37"/>
      <c r="AIG30" s="37"/>
      <c r="AIH30" s="37"/>
      <c r="AII30" s="37"/>
      <c r="AIJ30" s="37"/>
      <c r="AIK30" s="37"/>
      <c r="AIL30" s="37"/>
      <c r="AIM30" s="37"/>
      <c r="AIN30" s="37"/>
      <c r="AIO30" s="37"/>
      <c r="AIP30" s="37"/>
      <c r="AIQ30" s="37"/>
      <c r="AIR30" s="37"/>
      <c r="AIS30" s="37"/>
      <c r="AIT30" s="37"/>
      <c r="AIU30" s="37"/>
      <c r="AIV30" s="37"/>
      <c r="AIW30" s="37"/>
      <c r="AIX30" s="37"/>
      <c r="AIY30" s="37"/>
      <c r="AIZ30" s="37"/>
      <c r="AJA30" s="37"/>
      <c r="AJB30" s="37"/>
      <c r="AJC30" s="37"/>
      <c r="AJD30" s="37"/>
      <c r="AJE30" s="37"/>
      <c r="AJF30" s="37"/>
      <c r="AJG30" s="37"/>
      <c r="AJH30" s="37"/>
      <c r="AJI30" s="37"/>
      <c r="AJJ30" s="37"/>
      <c r="AJK30" s="37"/>
      <c r="AJL30" s="37"/>
      <c r="AJM30" s="37"/>
      <c r="AJN30" s="37"/>
      <c r="AJO30" s="37"/>
      <c r="AJP30" s="37"/>
      <c r="AJQ30" s="37"/>
      <c r="AJR30" s="37"/>
      <c r="AJS30" s="37"/>
      <c r="AJT30" s="37"/>
      <c r="AJU30" s="37"/>
      <c r="AJV30" s="37"/>
      <c r="AJW30" s="37"/>
      <c r="AJX30" s="37"/>
      <c r="AJY30" s="37"/>
      <c r="AJZ30" s="37"/>
      <c r="AKA30" s="37"/>
      <c r="AKB30" s="37"/>
      <c r="AKC30" s="37"/>
      <c r="AKD30" s="37"/>
      <c r="AKE30" s="37"/>
      <c r="AKF30" s="37"/>
      <c r="AKG30" s="37"/>
      <c r="AKH30" s="37"/>
      <c r="AKI30" s="37"/>
      <c r="AKJ30" s="37"/>
      <c r="AKK30" s="37"/>
      <c r="AKL30" s="37"/>
      <c r="AKM30" s="37"/>
      <c r="AKN30" s="37"/>
      <c r="AKO30" s="37"/>
      <c r="AKP30" s="37"/>
      <c r="AKQ30" s="37"/>
      <c r="AKR30" s="37"/>
      <c r="AKS30" s="37"/>
      <c r="AKT30" s="37"/>
      <c r="AKU30" s="37"/>
      <c r="AKV30" s="37"/>
      <c r="AKW30" s="37"/>
      <c r="AKX30" s="37"/>
      <c r="AKY30" s="37"/>
      <c r="AKZ30" s="37"/>
      <c r="ALA30" s="37"/>
      <c r="ALB30" s="37"/>
      <c r="ALC30" s="37"/>
      <c r="ALD30" s="37"/>
      <c r="ALE30" s="37"/>
      <c r="ALF30" s="37"/>
      <c r="ALG30" s="37"/>
      <c r="ALH30" s="37"/>
      <c r="ALI30" s="37"/>
      <c r="ALJ30" s="37"/>
      <c r="ALK30" s="37"/>
      <c r="ALL30" s="37"/>
      <c r="ALM30" s="37"/>
      <c r="ALN30" s="37"/>
      <c r="ALO30" s="37"/>
      <c r="ALP30" s="37"/>
      <c r="ALQ30" s="37"/>
      <c r="ALR30" s="37"/>
      <c r="ALS30" s="37"/>
      <c r="ALT30" s="37"/>
      <c r="ALU30" s="37"/>
      <c r="ALV30" s="37"/>
      <c r="ALW30" s="37"/>
      <c r="ALX30" s="37"/>
      <c r="ALY30" s="37"/>
      <c r="ALZ30" s="37"/>
      <c r="AMA30" s="37"/>
      <c r="AMB30" s="37"/>
      <c r="AMC30" s="37"/>
    </row>
    <row r="31" spans="1:1017" s="38" customFormat="1" ht="19.5" customHeight="1">
      <c r="A31" s="75"/>
      <c r="B31" s="76"/>
      <c r="C31" s="75"/>
      <c r="D31" s="75"/>
      <c r="E31" s="75"/>
      <c r="F31" s="75"/>
      <c r="G31" s="77">
        <v>49</v>
      </c>
      <c r="H31" s="77">
        <v>56</v>
      </c>
      <c r="I31" s="77">
        <v>21</v>
      </c>
      <c r="J31" s="77">
        <v>16</v>
      </c>
      <c r="K31" s="77">
        <v>118</v>
      </c>
      <c r="L31" s="77">
        <v>115</v>
      </c>
      <c r="M31" s="77">
        <v>124</v>
      </c>
      <c r="N31" s="77"/>
      <c r="O31" s="7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  <c r="OU31" s="37"/>
      <c r="OV31" s="37"/>
      <c r="OW31" s="37"/>
      <c r="OX31" s="37"/>
      <c r="OY31" s="37"/>
      <c r="OZ31" s="37"/>
      <c r="PA31" s="37"/>
      <c r="PB31" s="37"/>
      <c r="PC31" s="37"/>
      <c r="PD31" s="37"/>
      <c r="PE31" s="37"/>
      <c r="PF31" s="37"/>
      <c r="PG31" s="37"/>
      <c r="PH31" s="37"/>
      <c r="PI31" s="37"/>
      <c r="PJ31" s="37"/>
      <c r="PK31" s="37"/>
      <c r="PL31" s="37"/>
      <c r="PM31" s="37"/>
      <c r="PN31" s="37"/>
      <c r="PO31" s="37"/>
      <c r="PP31" s="37"/>
      <c r="PQ31" s="37"/>
      <c r="PR31" s="37"/>
      <c r="PS31" s="37"/>
      <c r="PT31" s="37"/>
      <c r="PU31" s="37"/>
      <c r="PV31" s="37"/>
      <c r="PW31" s="37"/>
      <c r="PX31" s="37"/>
      <c r="PY31" s="37"/>
      <c r="PZ31" s="37"/>
      <c r="QA31" s="37"/>
      <c r="QB31" s="37"/>
      <c r="QC31" s="37"/>
      <c r="QD31" s="37"/>
      <c r="QE31" s="37"/>
      <c r="QF31" s="37"/>
      <c r="QG31" s="37"/>
      <c r="QH31" s="37"/>
      <c r="QI31" s="37"/>
      <c r="QJ31" s="37"/>
      <c r="QK31" s="37"/>
      <c r="QL31" s="37"/>
      <c r="QM31" s="37"/>
      <c r="QN31" s="37"/>
      <c r="QO31" s="37"/>
      <c r="QP31" s="37"/>
      <c r="QQ31" s="37"/>
      <c r="QR31" s="37"/>
      <c r="QS31" s="37"/>
      <c r="QT31" s="37"/>
      <c r="QU31" s="37"/>
      <c r="QV31" s="37"/>
      <c r="QW31" s="37"/>
      <c r="QX31" s="37"/>
      <c r="QY31" s="37"/>
      <c r="QZ31" s="37"/>
      <c r="RA31" s="37"/>
      <c r="RB31" s="37"/>
      <c r="RC31" s="37"/>
      <c r="RD31" s="37"/>
      <c r="RE31" s="37"/>
      <c r="RF31" s="37"/>
      <c r="RG31" s="37"/>
      <c r="RH31" s="37"/>
      <c r="RI31" s="37"/>
      <c r="RJ31" s="37"/>
      <c r="RK31" s="37"/>
      <c r="RL31" s="37"/>
      <c r="RM31" s="37"/>
      <c r="RN31" s="37"/>
      <c r="RO31" s="37"/>
      <c r="RP31" s="37"/>
      <c r="RQ31" s="37"/>
      <c r="RR31" s="37"/>
      <c r="RS31" s="37"/>
      <c r="RT31" s="37"/>
      <c r="RU31" s="37"/>
      <c r="RV31" s="37"/>
      <c r="RW31" s="37"/>
      <c r="RX31" s="37"/>
      <c r="RY31" s="37"/>
      <c r="RZ31" s="37"/>
      <c r="SA31" s="37"/>
      <c r="SB31" s="37"/>
      <c r="SC31" s="37"/>
      <c r="SD31" s="37"/>
      <c r="SE31" s="37"/>
      <c r="SF31" s="37"/>
      <c r="SG31" s="37"/>
      <c r="SH31" s="37"/>
      <c r="SI31" s="37"/>
      <c r="SJ31" s="37"/>
      <c r="SK31" s="37"/>
      <c r="SL31" s="37"/>
      <c r="SM31" s="37"/>
      <c r="SN31" s="37"/>
      <c r="SO31" s="37"/>
      <c r="SP31" s="37"/>
      <c r="SQ31" s="37"/>
      <c r="SR31" s="37"/>
      <c r="SS31" s="37"/>
      <c r="ST31" s="37"/>
      <c r="SU31" s="37"/>
      <c r="SV31" s="37"/>
      <c r="SW31" s="37"/>
      <c r="SX31" s="37"/>
      <c r="SY31" s="37"/>
      <c r="SZ31" s="37"/>
      <c r="TA31" s="37"/>
      <c r="TB31" s="37"/>
      <c r="TC31" s="37"/>
      <c r="TD31" s="37"/>
      <c r="TE31" s="37"/>
      <c r="TF31" s="37"/>
      <c r="TG31" s="37"/>
      <c r="TH31" s="37"/>
      <c r="TI31" s="37"/>
      <c r="TJ31" s="37"/>
      <c r="TK31" s="37"/>
      <c r="TL31" s="37"/>
      <c r="TM31" s="37"/>
      <c r="TN31" s="37"/>
      <c r="TO31" s="37"/>
      <c r="TP31" s="37"/>
      <c r="TQ31" s="37"/>
      <c r="TR31" s="37"/>
      <c r="TS31" s="37"/>
      <c r="TT31" s="37"/>
      <c r="TU31" s="37"/>
      <c r="TV31" s="37"/>
      <c r="TW31" s="37"/>
      <c r="TX31" s="37"/>
      <c r="TY31" s="37"/>
      <c r="TZ31" s="37"/>
      <c r="UA31" s="37"/>
      <c r="UB31" s="37"/>
      <c r="UC31" s="37"/>
      <c r="UD31" s="37"/>
      <c r="UE31" s="37"/>
      <c r="UF31" s="37"/>
      <c r="UG31" s="37"/>
      <c r="UH31" s="37"/>
      <c r="UI31" s="37"/>
      <c r="UJ31" s="37"/>
      <c r="UK31" s="37"/>
      <c r="UL31" s="37"/>
      <c r="UM31" s="37"/>
      <c r="UN31" s="37"/>
      <c r="UO31" s="37"/>
      <c r="UP31" s="37"/>
      <c r="UQ31" s="37"/>
      <c r="UR31" s="37"/>
      <c r="US31" s="37"/>
      <c r="UT31" s="37"/>
      <c r="UU31" s="37"/>
      <c r="UV31" s="37"/>
      <c r="UW31" s="37"/>
      <c r="UX31" s="37"/>
      <c r="UY31" s="37"/>
      <c r="UZ31" s="37"/>
      <c r="VA31" s="37"/>
      <c r="VB31" s="37"/>
      <c r="VC31" s="37"/>
      <c r="VD31" s="37"/>
      <c r="VE31" s="37"/>
      <c r="VF31" s="37"/>
      <c r="VG31" s="37"/>
      <c r="VH31" s="37"/>
      <c r="VI31" s="37"/>
      <c r="VJ31" s="37"/>
      <c r="VK31" s="37"/>
      <c r="VL31" s="37"/>
      <c r="VM31" s="37"/>
      <c r="VN31" s="37"/>
      <c r="VO31" s="37"/>
      <c r="VP31" s="37"/>
      <c r="VQ31" s="37"/>
      <c r="VR31" s="37"/>
      <c r="VS31" s="37"/>
      <c r="VT31" s="37"/>
      <c r="VU31" s="37"/>
      <c r="VV31" s="37"/>
      <c r="VW31" s="37"/>
      <c r="VX31" s="37"/>
      <c r="VY31" s="37"/>
      <c r="VZ31" s="37"/>
      <c r="WA31" s="37"/>
      <c r="WB31" s="37"/>
      <c r="WC31" s="37"/>
      <c r="WD31" s="37"/>
      <c r="WE31" s="37"/>
      <c r="WF31" s="37"/>
      <c r="WG31" s="37"/>
      <c r="WH31" s="37"/>
      <c r="WI31" s="37"/>
      <c r="WJ31" s="37"/>
      <c r="WK31" s="37"/>
      <c r="WL31" s="37"/>
      <c r="WM31" s="37"/>
      <c r="WN31" s="37"/>
      <c r="WO31" s="37"/>
      <c r="WP31" s="37"/>
      <c r="WQ31" s="37"/>
      <c r="WR31" s="37"/>
      <c r="WS31" s="37"/>
      <c r="WT31" s="37"/>
      <c r="WU31" s="37"/>
      <c r="WV31" s="37"/>
      <c r="WW31" s="37"/>
      <c r="WX31" s="37"/>
      <c r="WY31" s="37"/>
      <c r="WZ31" s="37"/>
      <c r="XA31" s="37"/>
      <c r="XB31" s="37"/>
      <c r="XC31" s="37"/>
      <c r="XD31" s="37"/>
      <c r="XE31" s="37"/>
      <c r="XF31" s="37"/>
      <c r="XG31" s="37"/>
      <c r="XH31" s="37"/>
      <c r="XI31" s="37"/>
      <c r="XJ31" s="37"/>
      <c r="XK31" s="37"/>
      <c r="XL31" s="37"/>
      <c r="XM31" s="37"/>
      <c r="XN31" s="37"/>
      <c r="XO31" s="37"/>
      <c r="XP31" s="37"/>
      <c r="XQ31" s="37"/>
      <c r="XR31" s="37"/>
      <c r="XS31" s="37"/>
      <c r="XT31" s="37"/>
      <c r="XU31" s="37"/>
      <c r="XV31" s="37"/>
      <c r="XW31" s="37"/>
      <c r="XX31" s="37"/>
      <c r="XY31" s="37"/>
      <c r="XZ31" s="37"/>
      <c r="YA31" s="37"/>
      <c r="YB31" s="37"/>
      <c r="YC31" s="37"/>
      <c r="YD31" s="37"/>
      <c r="YE31" s="37"/>
      <c r="YF31" s="37"/>
      <c r="YG31" s="37"/>
      <c r="YH31" s="37"/>
      <c r="YI31" s="37"/>
      <c r="YJ31" s="37"/>
      <c r="YK31" s="37"/>
      <c r="YL31" s="37"/>
      <c r="YM31" s="37"/>
      <c r="YN31" s="37"/>
      <c r="YO31" s="37"/>
      <c r="YP31" s="37"/>
      <c r="YQ31" s="37"/>
      <c r="YR31" s="37"/>
      <c r="YS31" s="37"/>
      <c r="YT31" s="37"/>
      <c r="YU31" s="37"/>
      <c r="YV31" s="37"/>
      <c r="YW31" s="37"/>
      <c r="YX31" s="37"/>
      <c r="YY31" s="37"/>
      <c r="YZ31" s="37"/>
      <c r="ZA31" s="37"/>
      <c r="ZB31" s="37"/>
      <c r="ZC31" s="37"/>
      <c r="ZD31" s="37"/>
      <c r="ZE31" s="37"/>
      <c r="ZF31" s="37"/>
      <c r="ZG31" s="37"/>
      <c r="ZH31" s="37"/>
      <c r="ZI31" s="37"/>
      <c r="ZJ31" s="37"/>
      <c r="ZK31" s="37"/>
      <c r="ZL31" s="37"/>
      <c r="ZM31" s="37"/>
      <c r="ZN31" s="37"/>
      <c r="ZO31" s="37"/>
      <c r="ZP31" s="37"/>
      <c r="ZQ31" s="37"/>
      <c r="ZR31" s="37"/>
      <c r="ZS31" s="37"/>
      <c r="ZT31" s="37"/>
      <c r="ZU31" s="37"/>
      <c r="ZV31" s="37"/>
      <c r="ZW31" s="37"/>
      <c r="ZX31" s="37"/>
      <c r="ZY31" s="37"/>
      <c r="ZZ31" s="37"/>
      <c r="AAA31" s="37"/>
      <c r="AAB31" s="37"/>
      <c r="AAC31" s="37"/>
      <c r="AAD31" s="37"/>
      <c r="AAE31" s="37"/>
      <c r="AAF31" s="37"/>
      <c r="AAG31" s="37"/>
      <c r="AAH31" s="37"/>
      <c r="AAI31" s="37"/>
      <c r="AAJ31" s="37"/>
      <c r="AAK31" s="37"/>
      <c r="AAL31" s="37"/>
      <c r="AAM31" s="37"/>
      <c r="AAN31" s="37"/>
      <c r="AAO31" s="37"/>
      <c r="AAP31" s="37"/>
      <c r="AAQ31" s="37"/>
      <c r="AAR31" s="37"/>
      <c r="AAS31" s="37"/>
      <c r="AAT31" s="37"/>
      <c r="AAU31" s="37"/>
      <c r="AAV31" s="37"/>
      <c r="AAW31" s="37"/>
      <c r="AAX31" s="37"/>
      <c r="AAY31" s="37"/>
      <c r="AAZ31" s="37"/>
      <c r="ABA31" s="37"/>
      <c r="ABB31" s="37"/>
      <c r="ABC31" s="37"/>
      <c r="ABD31" s="37"/>
      <c r="ABE31" s="37"/>
      <c r="ABF31" s="37"/>
      <c r="ABG31" s="37"/>
      <c r="ABH31" s="37"/>
      <c r="ABI31" s="37"/>
      <c r="ABJ31" s="37"/>
      <c r="ABK31" s="37"/>
      <c r="ABL31" s="37"/>
      <c r="ABM31" s="37"/>
      <c r="ABN31" s="37"/>
      <c r="ABO31" s="37"/>
      <c r="ABP31" s="37"/>
      <c r="ABQ31" s="37"/>
      <c r="ABR31" s="37"/>
      <c r="ABS31" s="37"/>
      <c r="ABT31" s="37"/>
      <c r="ABU31" s="37"/>
      <c r="ABV31" s="37"/>
      <c r="ABW31" s="37"/>
      <c r="ABX31" s="37"/>
      <c r="ABY31" s="37"/>
      <c r="ABZ31" s="37"/>
      <c r="ACA31" s="37"/>
      <c r="ACB31" s="37"/>
      <c r="ACC31" s="37"/>
      <c r="ACD31" s="37"/>
      <c r="ACE31" s="37"/>
      <c r="ACF31" s="37"/>
      <c r="ACG31" s="37"/>
      <c r="ACH31" s="37"/>
      <c r="ACI31" s="37"/>
      <c r="ACJ31" s="37"/>
      <c r="ACK31" s="37"/>
      <c r="ACL31" s="37"/>
      <c r="ACM31" s="37"/>
      <c r="ACN31" s="37"/>
      <c r="ACO31" s="37"/>
      <c r="ACP31" s="37"/>
      <c r="ACQ31" s="37"/>
      <c r="ACR31" s="37"/>
      <c r="ACS31" s="37"/>
      <c r="ACT31" s="37"/>
      <c r="ACU31" s="37"/>
      <c r="ACV31" s="37"/>
      <c r="ACW31" s="37"/>
      <c r="ACX31" s="37"/>
      <c r="ACY31" s="37"/>
      <c r="ACZ31" s="37"/>
      <c r="ADA31" s="37"/>
      <c r="ADB31" s="37"/>
      <c r="ADC31" s="37"/>
      <c r="ADD31" s="37"/>
      <c r="ADE31" s="37"/>
      <c r="ADF31" s="37"/>
      <c r="ADG31" s="37"/>
      <c r="ADH31" s="37"/>
      <c r="ADI31" s="37"/>
      <c r="ADJ31" s="37"/>
      <c r="ADK31" s="37"/>
      <c r="ADL31" s="37"/>
      <c r="ADM31" s="37"/>
      <c r="ADN31" s="37"/>
      <c r="ADO31" s="37"/>
      <c r="ADP31" s="37"/>
      <c r="ADQ31" s="37"/>
      <c r="ADR31" s="37"/>
      <c r="ADS31" s="37"/>
      <c r="ADT31" s="37"/>
      <c r="ADU31" s="37"/>
      <c r="ADV31" s="37"/>
      <c r="ADW31" s="37"/>
      <c r="ADX31" s="37"/>
      <c r="ADY31" s="37"/>
      <c r="ADZ31" s="37"/>
      <c r="AEA31" s="37"/>
      <c r="AEB31" s="37"/>
      <c r="AEC31" s="37"/>
      <c r="AED31" s="37"/>
      <c r="AEE31" s="37"/>
      <c r="AEF31" s="37"/>
      <c r="AEG31" s="37"/>
      <c r="AEH31" s="37"/>
      <c r="AEI31" s="37"/>
      <c r="AEJ31" s="37"/>
      <c r="AEK31" s="37"/>
      <c r="AEL31" s="37"/>
      <c r="AEM31" s="37"/>
      <c r="AEN31" s="37"/>
      <c r="AEO31" s="37"/>
      <c r="AEP31" s="37"/>
      <c r="AEQ31" s="37"/>
      <c r="AER31" s="37"/>
      <c r="AES31" s="37"/>
      <c r="AET31" s="37"/>
      <c r="AEU31" s="37"/>
      <c r="AEV31" s="37"/>
      <c r="AEW31" s="37"/>
      <c r="AEX31" s="37"/>
      <c r="AEY31" s="37"/>
      <c r="AEZ31" s="37"/>
      <c r="AFA31" s="37"/>
      <c r="AFB31" s="37"/>
      <c r="AFC31" s="37"/>
      <c r="AFD31" s="37"/>
      <c r="AFE31" s="37"/>
      <c r="AFF31" s="37"/>
      <c r="AFG31" s="37"/>
      <c r="AFH31" s="37"/>
      <c r="AFI31" s="37"/>
      <c r="AFJ31" s="37"/>
      <c r="AFK31" s="37"/>
      <c r="AFL31" s="37"/>
      <c r="AFM31" s="37"/>
      <c r="AFN31" s="37"/>
      <c r="AFO31" s="37"/>
      <c r="AFP31" s="37"/>
      <c r="AFQ31" s="37"/>
      <c r="AFR31" s="37"/>
      <c r="AFS31" s="37"/>
      <c r="AFT31" s="37"/>
      <c r="AFU31" s="37"/>
      <c r="AFV31" s="37"/>
      <c r="AFW31" s="37"/>
      <c r="AFX31" s="37"/>
      <c r="AFY31" s="37"/>
      <c r="AFZ31" s="37"/>
      <c r="AGA31" s="37"/>
      <c r="AGB31" s="37"/>
      <c r="AGC31" s="37"/>
      <c r="AGD31" s="37"/>
      <c r="AGE31" s="37"/>
      <c r="AGF31" s="37"/>
      <c r="AGG31" s="37"/>
      <c r="AGH31" s="37"/>
      <c r="AGI31" s="37"/>
      <c r="AGJ31" s="37"/>
      <c r="AGK31" s="37"/>
      <c r="AGL31" s="37"/>
      <c r="AGM31" s="37"/>
      <c r="AGN31" s="37"/>
      <c r="AGO31" s="37"/>
      <c r="AGP31" s="37"/>
      <c r="AGQ31" s="37"/>
      <c r="AGR31" s="37"/>
      <c r="AGS31" s="37"/>
      <c r="AGT31" s="37"/>
      <c r="AGU31" s="37"/>
      <c r="AGV31" s="37"/>
      <c r="AGW31" s="37"/>
      <c r="AGX31" s="37"/>
      <c r="AGY31" s="37"/>
      <c r="AGZ31" s="37"/>
      <c r="AHA31" s="37"/>
      <c r="AHB31" s="37"/>
      <c r="AHC31" s="37"/>
      <c r="AHD31" s="37"/>
      <c r="AHE31" s="37"/>
      <c r="AHF31" s="37"/>
      <c r="AHG31" s="37"/>
      <c r="AHH31" s="37"/>
      <c r="AHI31" s="37"/>
      <c r="AHJ31" s="37"/>
      <c r="AHK31" s="37"/>
      <c r="AHL31" s="37"/>
      <c r="AHM31" s="37"/>
      <c r="AHN31" s="37"/>
      <c r="AHO31" s="37"/>
      <c r="AHP31" s="37"/>
      <c r="AHQ31" s="37"/>
      <c r="AHR31" s="37"/>
      <c r="AHS31" s="37"/>
      <c r="AHT31" s="37"/>
      <c r="AHU31" s="37"/>
      <c r="AHV31" s="37"/>
      <c r="AHW31" s="37"/>
      <c r="AHX31" s="37"/>
      <c r="AHY31" s="37"/>
      <c r="AHZ31" s="37"/>
      <c r="AIA31" s="37"/>
      <c r="AIB31" s="37"/>
      <c r="AIC31" s="37"/>
      <c r="AID31" s="37"/>
      <c r="AIE31" s="37"/>
      <c r="AIF31" s="37"/>
      <c r="AIG31" s="37"/>
      <c r="AIH31" s="37"/>
      <c r="AII31" s="37"/>
      <c r="AIJ31" s="37"/>
      <c r="AIK31" s="37"/>
      <c r="AIL31" s="37"/>
      <c r="AIM31" s="37"/>
      <c r="AIN31" s="37"/>
      <c r="AIO31" s="37"/>
      <c r="AIP31" s="37"/>
      <c r="AIQ31" s="37"/>
      <c r="AIR31" s="37"/>
      <c r="AIS31" s="37"/>
      <c r="AIT31" s="37"/>
      <c r="AIU31" s="37"/>
      <c r="AIV31" s="37"/>
      <c r="AIW31" s="37"/>
      <c r="AIX31" s="37"/>
      <c r="AIY31" s="37"/>
      <c r="AIZ31" s="37"/>
      <c r="AJA31" s="37"/>
      <c r="AJB31" s="37"/>
      <c r="AJC31" s="37"/>
      <c r="AJD31" s="37"/>
      <c r="AJE31" s="37"/>
      <c r="AJF31" s="37"/>
      <c r="AJG31" s="37"/>
      <c r="AJH31" s="37"/>
      <c r="AJI31" s="37"/>
      <c r="AJJ31" s="37"/>
      <c r="AJK31" s="37"/>
      <c r="AJL31" s="37"/>
      <c r="AJM31" s="37"/>
      <c r="AJN31" s="37"/>
      <c r="AJO31" s="37"/>
      <c r="AJP31" s="37"/>
      <c r="AJQ31" s="37"/>
      <c r="AJR31" s="37"/>
      <c r="AJS31" s="37"/>
      <c r="AJT31" s="37"/>
      <c r="AJU31" s="37"/>
      <c r="AJV31" s="37"/>
      <c r="AJW31" s="37"/>
      <c r="AJX31" s="37"/>
      <c r="AJY31" s="37"/>
      <c r="AJZ31" s="37"/>
      <c r="AKA31" s="37"/>
      <c r="AKB31" s="37"/>
      <c r="AKC31" s="37"/>
      <c r="AKD31" s="37"/>
      <c r="AKE31" s="37"/>
      <c r="AKF31" s="37"/>
      <c r="AKG31" s="37"/>
      <c r="AKH31" s="37"/>
      <c r="AKI31" s="37"/>
      <c r="AKJ31" s="37"/>
      <c r="AKK31" s="37"/>
      <c r="AKL31" s="37"/>
      <c r="AKM31" s="37"/>
      <c r="AKN31" s="37"/>
      <c r="AKO31" s="37"/>
      <c r="AKP31" s="37"/>
      <c r="AKQ31" s="37"/>
      <c r="AKR31" s="37"/>
      <c r="AKS31" s="37"/>
      <c r="AKT31" s="37"/>
      <c r="AKU31" s="37"/>
      <c r="AKV31" s="37"/>
      <c r="AKW31" s="37"/>
      <c r="AKX31" s="37"/>
      <c r="AKY31" s="37"/>
      <c r="AKZ31" s="37"/>
      <c r="ALA31" s="37"/>
      <c r="ALB31" s="37"/>
      <c r="ALC31" s="37"/>
      <c r="ALD31" s="37"/>
      <c r="ALE31" s="37"/>
      <c r="ALF31" s="37"/>
      <c r="ALG31" s="37"/>
      <c r="ALH31" s="37"/>
      <c r="ALI31" s="37"/>
      <c r="ALJ31" s="37"/>
      <c r="ALK31" s="37"/>
      <c r="ALL31" s="37"/>
      <c r="ALM31" s="37"/>
      <c r="ALN31" s="37"/>
      <c r="ALO31" s="37"/>
      <c r="ALP31" s="37"/>
      <c r="ALQ31" s="37"/>
      <c r="ALR31" s="37"/>
      <c r="ALS31" s="37"/>
      <c r="ALT31" s="37"/>
      <c r="ALU31" s="37"/>
      <c r="ALV31" s="37"/>
      <c r="ALW31" s="37"/>
      <c r="ALX31" s="37"/>
      <c r="ALY31" s="37"/>
      <c r="ALZ31" s="37"/>
      <c r="AMA31" s="37"/>
      <c r="AMB31" s="37"/>
      <c r="AMC31" s="37"/>
    </row>
    <row r="32" spans="1:1017" s="38" customFormat="1" ht="19.5" customHeight="1">
      <c r="A32" s="26" t="s">
        <v>87</v>
      </c>
      <c r="B32" s="25" t="s">
        <v>82</v>
      </c>
      <c r="C32" s="26" t="s">
        <v>46</v>
      </c>
      <c r="D32" s="26" t="s">
        <v>32</v>
      </c>
      <c r="E32" s="26" t="s">
        <v>261</v>
      </c>
      <c r="F32" s="26">
        <v>43</v>
      </c>
      <c r="G32" s="26" t="s">
        <v>35</v>
      </c>
      <c r="H32" s="26">
        <v>58</v>
      </c>
      <c r="I32" s="36">
        <v>50</v>
      </c>
      <c r="J32" s="36">
        <v>25</v>
      </c>
      <c r="K32" s="36">
        <v>21</v>
      </c>
      <c r="L32" s="36">
        <v>35</v>
      </c>
      <c r="M32" s="36">
        <v>35</v>
      </c>
      <c r="N32" s="36">
        <v>35</v>
      </c>
      <c r="O32" s="36">
        <v>78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  <c r="OU32" s="37"/>
      <c r="OV32" s="37"/>
      <c r="OW32" s="37"/>
      <c r="OX32" s="37"/>
      <c r="OY32" s="37"/>
      <c r="OZ32" s="37"/>
      <c r="PA32" s="37"/>
      <c r="PB32" s="37"/>
      <c r="PC32" s="37"/>
      <c r="PD32" s="37"/>
      <c r="PE32" s="37"/>
      <c r="PF32" s="37"/>
      <c r="PG32" s="37"/>
      <c r="PH32" s="37"/>
      <c r="PI32" s="37"/>
      <c r="PJ32" s="37"/>
      <c r="PK32" s="37"/>
      <c r="PL32" s="37"/>
      <c r="PM32" s="37"/>
      <c r="PN32" s="37"/>
      <c r="PO32" s="37"/>
      <c r="PP32" s="37"/>
      <c r="PQ32" s="37"/>
      <c r="PR32" s="37"/>
      <c r="PS32" s="37"/>
      <c r="PT32" s="37"/>
      <c r="PU32" s="37"/>
      <c r="PV32" s="37"/>
      <c r="PW32" s="37"/>
      <c r="PX32" s="37"/>
      <c r="PY32" s="37"/>
      <c r="PZ32" s="37"/>
      <c r="QA32" s="37"/>
      <c r="QB32" s="37"/>
      <c r="QC32" s="37"/>
      <c r="QD32" s="37"/>
      <c r="QE32" s="37"/>
      <c r="QF32" s="37"/>
      <c r="QG32" s="37"/>
      <c r="QH32" s="37"/>
      <c r="QI32" s="37"/>
      <c r="QJ32" s="37"/>
      <c r="QK32" s="37"/>
      <c r="QL32" s="37"/>
      <c r="QM32" s="37"/>
      <c r="QN32" s="37"/>
      <c r="QO32" s="37"/>
      <c r="QP32" s="37"/>
      <c r="QQ32" s="37"/>
      <c r="QR32" s="37"/>
      <c r="QS32" s="37"/>
      <c r="QT32" s="37"/>
      <c r="QU32" s="37"/>
      <c r="QV32" s="37"/>
      <c r="QW32" s="37"/>
      <c r="QX32" s="37"/>
      <c r="QY32" s="37"/>
      <c r="QZ32" s="37"/>
      <c r="RA32" s="37"/>
      <c r="RB32" s="37"/>
      <c r="RC32" s="37"/>
      <c r="RD32" s="37"/>
      <c r="RE32" s="37"/>
      <c r="RF32" s="37"/>
      <c r="RG32" s="37"/>
      <c r="RH32" s="37"/>
      <c r="RI32" s="37"/>
      <c r="RJ32" s="37"/>
      <c r="RK32" s="37"/>
      <c r="RL32" s="37"/>
      <c r="RM32" s="37"/>
      <c r="RN32" s="37"/>
      <c r="RO32" s="37"/>
      <c r="RP32" s="37"/>
      <c r="RQ32" s="37"/>
      <c r="RR32" s="37"/>
      <c r="RS32" s="37"/>
      <c r="RT32" s="37"/>
      <c r="RU32" s="37"/>
      <c r="RV32" s="37"/>
      <c r="RW32" s="37"/>
      <c r="RX32" s="37"/>
      <c r="RY32" s="37"/>
      <c r="RZ32" s="37"/>
      <c r="SA32" s="37"/>
      <c r="SB32" s="37"/>
      <c r="SC32" s="37"/>
      <c r="SD32" s="37"/>
      <c r="SE32" s="37"/>
      <c r="SF32" s="37"/>
      <c r="SG32" s="37"/>
      <c r="SH32" s="37"/>
      <c r="SI32" s="37"/>
      <c r="SJ32" s="37"/>
      <c r="SK32" s="37"/>
      <c r="SL32" s="37"/>
      <c r="SM32" s="37"/>
      <c r="SN32" s="37"/>
      <c r="SO32" s="37"/>
      <c r="SP32" s="37"/>
      <c r="SQ32" s="37"/>
      <c r="SR32" s="37"/>
      <c r="SS32" s="37"/>
      <c r="ST32" s="37"/>
      <c r="SU32" s="37"/>
      <c r="SV32" s="37"/>
      <c r="SW32" s="37"/>
      <c r="SX32" s="37"/>
      <c r="SY32" s="37"/>
      <c r="SZ32" s="37"/>
      <c r="TA32" s="37"/>
      <c r="TB32" s="37"/>
      <c r="TC32" s="37"/>
      <c r="TD32" s="37"/>
      <c r="TE32" s="37"/>
      <c r="TF32" s="37"/>
      <c r="TG32" s="37"/>
      <c r="TH32" s="37"/>
      <c r="TI32" s="37"/>
      <c r="TJ32" s="37"/>
      <c r="TK32" s="37"/>
      <c r="TL32" s="37"/>
      <c r="TM32" s="37"/>
      <c r="TN32" s="37"/>
      <c r="TO32" s="37"/>
      <c r="TP32" s="37"/>
      <c r="TQ32" s="37"/>
      <c r="TR32" s="37"/>
      <c r="TS32" s="37"/>
      <c r="TT32" s="37"/>
      <c r="TU32" s="37"/>
      <c r="TV32" s="37"/>
      <c r="TW32" s="37"/>
      <c r="TX32" s="37"/>
      <c r="TY32" s="37"/>
      <c r="TZ32" s="37"/>
      <c r="UA32" s="37"/>
      <c r="UB32" s="37"/>
      <c r="UC32" s="37"/>
      <c r="UD32" s="37"/>
      <c r="UE32" s="37"/>
      <c r="UF32" s="37"/>
      <c r="UG32" s="37"/>
      <c r="UH32" s="37"/>
      <c r="UI32" s="37"/>
      <c r="UJ32" s="37"/>
      <c r="UK32" s="37"/>
      <c r="UL32" s="37"/>
      <c r="UM32" s="37"/>
      <c r="UN32" s="37"/>
      <c r="UO32" s="37"/>
      <c r="UP32" s="37"/>
      <c r="UQ32" s="37"/>
      <c r="UR32" s="37"/>
      <c r="US32" s="37"/>
      <c r="UT32" s="37"/>
      <c r="UU32" s="37"/>
      <c r="UV32" s="37"/>
      <c r="UW32" s="37"/>
      <c r="UX32" s="37"/>
      <c r="UY32" s="37"/>
      <c r="UZ32" s="37"/>
      <c r="VA32" s="37"/>
      <c r="VB32" s="37"/>
      <c r="VC32" s="37"/>
      <c r="VD32" s="37"/>
      <c r="VE32" s="37"/>
      <c r="VF32" s="37"/>
      <c r="VG32" s="37"/>
      <c r="VH32" s="37"/>
      <c r="VI32" s="37"/>
      <c r="VJ32" s="37"/>
      <c r="VK32" s="37"/>
      <c r="VL32" s="37"/>
      <c r="VM32" s="37"/>
      <c r="VN32" s="37"/>
      <c r="VO32" s="37"/>
      <c r="VP32" s="37"/>
      <c r="VQ32" s="37"/>
      <c r="VR32" s="37"/>
      <c r="VS32" s="37"/>
      <c r="VT32" s="37"/>
      <c r="VU32" s="37"/>
      <c r="VV32" s="37"/>
      <c r="VW32" s="37"/>
      <c r="VX32" s="37"/>
      <c r="VY32" s="37"/>
      <c r="VZ32" s="37"/>
      <c r="WA32" s="37"/>
      <c r="WB32" s="37"/>
      <c r="WC32" s="37"/>
      <c r="WD32" s="37"/>
      <c r="WE32" s="37"/>
      <c r="WF32" s="37"/>
      <c r="WG32" s="37"/>
      <c r="WH32" s="37"/>
      <c r="WI32" s="37"/>
      <c r="WJ32" s="37"/>
      <c r="WK32" s="37"/>
      <c r="WL32" s="37"/>
      <c r="WM32" s="37"/>
      <c r="WN32" s="37"/>
      <c r="WO32" s="37"/>
      <c r="WP32" s="37"/>
      <c r="WQ32" s="37"/>
      <c r="WR32" s="37"/>
      <c r="WS32" s="37"/>
      <c r="WT32" s="37"/>
      <c r="WU32" s="37"/>
      <c r="WV32" s="37"/>
      <c r="WW32" s="37"/>
      <c r="WX32" s="37"/>
      <c r="WY32" s="37"/>
      <c r="WZ32" s="37"/>
      <c r="XA32" s="37"/>
      <c r="XB32" s="37"/>
      <c r="XC32" s="37"/>
      <c r="XD32" s="37"/>
      <c r="XE32" s="37"/>
      <c r="XF32" s="37"/>
      <c r="XG32" s="37"/>
      <c r="XH32" s="37"/>
      <c r="XI32" s="37"/>
      <c r="XJ32" s="37"/>
      <c r="XK32" s="37"/>
      <c r="XL32" s="37"/>
      <c r="XM32" s="37"/>
      <c r="XN32" s="37"/>
      <c r="XO32" s="37"/>
      <c r="XP32" s="37"/>
      <c r="XQ32" s="37"/>
      <c r="XR32" s="37"/>
      <c r="XS32" s="37"/>
      <c r="XT32" s="37"/>
      <c r="XU32" s="37"/>
      <c r="XV32" s="37"/>
      <c r="XW32" s="37"/>
      <c r="XX32" s="37"/>
      <c r="XY32" s="37"/>
      <c r="XZ32" s="37"/>
      <c r="YA32" s="37"/>
      <c r="YB32" s="37"/>
      <c r="YC32" s="37"/>
      <c r="YD32" s="37"/>
      <c r="YE32" s="37"/>
      <c r="YF32" s="37"/>
      <c r="YG32" s="37"/>
      <c r="YH32" s="37"/>
      <c r="YI32" s="37"/>
      <c r="YJ32" s="37"/>
      <c r="YK32" s="37"/>
      <c r="YL32" s="37"/>
      <c r="YM32" s="37"/>
      <c r="YN32" s="37"/>
      <c r="YO32" s="37"/>
      <c r="YP32" s="37"/>
      <c r="YQ32" s="37"/>
      <c r="YR32" s="37"/>
      <c r="YS32" s="37"/>
      <c r="YT32" s="37"/>
      <c r="YU32" s="37"/>
      <c r="YV32" s="37"/>
      <c r="YW32" s="37"/>
      <c r="YX32" s="37"/>
      <c r="YY32" s="37"/>
      <c r="YZ32" s="37"/>
      <c r="ZA32" s="37"/>
      <c r="ZB32" s="37"/>
      <c r="ZC32" s="37"/>
      <c r="ZD32" s="37"/>
      <c r="ZE32" s="37"/>
      <c r="ZF32" s="37"/>
      <c r="ZG32" s="37"/>
      <c r="ZH32" s="37"/>
      <c r="ZI32" s="37"/>
      <c r="ZJ32" s="37"/>
      <c r="ZK32" s="37"/>
      <c r="ZL32" s="37"/>
      <c r="ZM32" s="37"/>
      <c r="ZN32" s="37"/>
      <c r="ZO32" s="37"/>
      <c r="ZP32" s="37"/>
      <c r="ZQ32" s="37"/>
      <c r="ZR32" s="37"/>
      <c r="ZS32" s="37"/>
      <c r="ZT32" s="37"/>
      <c r="ZU32" s="37"/>
      <c r="ZV32" s="37"/>
      <c r="ZW32" s="37"/>
      <c r="ZX32" s="37"/>
      <c r="ZY32" s="37"/>
      <c r="ZZ32" s="37"/>
      <c r="AAA32" s="37"/>
      <c r="AAB32" s="37"/>
      <c r="AAC32" s="37"/>
      <c r="AAD32" s="37"/>
      <c r="AAE32" s="37"/>
      <c r="AAF32" s="37"/>
      <c r="AAG32" s="37"/>
      <c r="AAH32" s="37"/>
      <c r="AAI32" s="37"/>
      <c r="AAJ32" s="37"/>
      <c r="AAK32" s="37"/>
      <c r="AAL32" s="37"/>
      <c r="AAM32" s="37"/>
      <c r="AAN32" s="37"/>
      <c r="AAO32" s="37"/>
      <c r="AAP32" s="37"/>
      <c r="AAQ32" s="37"/>
      <c r="AAR32" s="37"/>
      <c r="AAS32" s="37"/>
      <c r="AAT32" s="37"/>
      <c r="AAU32" s="37"/>
      <c r="AAV32" s="37"/>
      <c r="AAW32" s="37"/>
      <c r="AAX32" s="37"/>
      <c r="AAY32" s="37"/>
      <c r="AAZ32" s="37"/>
      <c r="ABA32" s="37"/>
      <c r="ABB32" s="37"/>
      <c r="ABC32" s="37"/>
      <c r="ABD32" s="37"/>
      <c r="ABE32" s="37"/>
      <c r="ABF32" s="37"/>
      <c r="ABG32" s="37"/>
      <c r="ABH32" s="37"/>
      <c r="ABI32" s="37"/>
      <c r="ABJ32" s="37"/>
      <c r="ABK32" s="37"/>
      <c r="ABL32" s="37"/>
      <c r="ABM32" s="37"/>
      <c r="ABN32" s="37"/>
      <c r="ABO32" s="37"/>
      <c r="ABP32" s="37"/>
      <c r="ABQ32" s="37"/>
      <c r="ABR32" s="37"/>
      <c r="ABS32" s="37"/>
      <c r="ABT32" s="37"/>
      <c r="ABU32" s="37"/>
      <c r="ABV32" s="37"/>
      <c r="ABW32" s="37"/>
      <c r="ABX32" s="37"/>
      <c r="ABY32" s="37"/>
      <c r="ABZ32" s="37"/>
      <c r="ACA32" s="37"/>
      <c r="ACB32" s="37"/>
      <c r="ACC32" s="37"/>
      <c r="ACD32" s="37"/>
      <c r="ACE32" s="37"/>
      <c r="ACF32" s="37"/>
      <c r="ACG32" s="37"/>
      <c r="ACH32" s="37"/>
      <c r="ACI32" s="37"/>
      <c r="ACJ32" s="37"/>
      <c r="ACK32" s="37"/>
      <c r="ACL32" s="37"/>
      <c r="ACM32" s="37"/>
      <c r="ACN32" s="37"/>
      <c r="ACO32" s="37"/>
      <c r="ACP32" s="37"/>
      <c r="ACQ32" s="37"/>
      <c r="ACR32" s="37"/>
      <c r="ACS32" s="37"/>
      <c r="ACT32" s="37"/>
      <c r="ACU32" s="37"/>
      <c r="ACV32" s="37"/>
      <c r="ACW32" s="37"/>
      <c r="ACX32" s="37"/>
      <c r="ACY32" s="37"/>
      <c r="ACZ32" s="37"/>
      <c r="ADA32" s="37"/>
      <c r="ADB32" s="37"/>
      <c r="ADC32" s="37"/>
      <c r="ADD32" s="37"/>
      <c r="ADE32" s="37"/>
      <c r="ADF32" s="37"/>
      <c r="ADG32" s="37"/>
      <c r="ADH32" s="37"/>
      <c r="ADI32" s="37"/>
      <c r="ADJ32" s="37"/>
      <c r="ADK32" s="37"/>
      <c r="ADL32" s="37"/>
      <c r="ADM32" s="37"/>
      <c r="ADN32" s="37"/>
      <c r="ADO32" s="37"/>
      <c r="ADP32" s="37"/>
      <c r="ADQ32" s="37"/>
      <c r="ADR32" s="37"/>
      <c r="ADS32" s="37"/>
      <c r="ADT32" s="37"/>
      <c r="ADU32" s="37"/>
      <c r="ADV32" s="37"/>
      <c r="ADW32" s="37"/>
      <c r="ADX32" s="37"/>
      <c r="ADY32" s="37"/>
      <c r="ADZ32" s="37"/>
      <c r="AEA32" s="37"/>
      <c r="AEB32" s="37"/>
      <c r="AEC32" s="37"/>
      <c r="AED32" s="37"/>
      <c r="AEE32" s="37"/>
      <c r="AEF32" s="37"/>
      <c r="AEG32" s="37"/>
      <c r="AEH32" s="37"/>
      <c r="AEI32" s="37"/>
      <c r="AEJ32" s="37"/>
      <c r="AEK32" s="37"/>
      <c r="AEL32" s="37"/>
      <c r="AEM32" s="37"/>
      <c r="AEN32" s="37"/>
      <c r="AEO32" s="37"/>
      <c r="AEP32" s="37"/>
      <c r="AEQ32" s="37"/>
      <c r="AER32" s="37"/>
      <c r="AES32" s="37"/>
      <c r="AET32" s="37"/>
      <c r="AEU32" s="37"/>
      <c r="AEV32" s="37"/>
      <c r="AEW32" s="37"/>
      <c r="AEX32" s="37"/>
      <c r="AEY32" s="37"/>
      <c r="AEZ32" s="37"/>
      <c r="AFA32" s="37"/>
      <c r="AFB32" s="37"/>
      <c r="AFC32" s="37"/>
      <c r="AFD32" s="37"/>
      <c r="AFE32" s="37"/>
      <c r="AFF32" s="37"/>
      <c r="AFG32" s="37"/>
      <c r="AFH32" s="37"/>
      <c r="AFI32" s="37"/>
      <c r="AFJ32" s="37"/>
      <c r="AFK32" s="37"/>
      <c r="AFL32" s="37"/>
      <c r="AFM32" s="37"/>
      <c r="AFN32" s="37"/>
      <c r="AFO32" s="37"/>
      <c r="AFP32" s="37"/>
      <c r="AFQ32" s="37"/>
      <c r="AFR32" s="37"/>
      <c r="AFS32" s="37"/>
      <c r="AFT32" s="37"/>
      <c r="AFU32" s="37"/>
      <c r="AFV32" s="37"/>
      <c r="AFW32" s="37"/>
      <c r="AFX32" s="37"/>
      <c r="AFY32" s="37"/>
      <c r="AFZ32" s="37"/>
      <c r="AGA32" s="37"/>
      <c r="AGB32" s="37"/>
      <c r="AGC32" s="37"/>
      <c r="AGD32" s="37"/>
      <c r="AGE32" s="37"/>
      <c r="AGF32" s="37"/>
      <c r="AGG32" s="37"/>
      <c r="AGH32" s="37"/>
      <c r="AGI32" s="37"/>
      <c r="AGJ32" s="37"/>
      <c r="AGK32" s="37"/>
      <c r="AGL32" s="37"/>
      <c r="AGM32" s="37"/>
      <c r="AGN32" s="37"/>
      <c r="AGO32" s="37"/>
      <c r="AGP32" s="37"/>
      <c r="AGQ32" s="37"/>
      <c r="AGR32" s="37"/>
      <c r="AGS32" s="37"/>
      <c r="AGT32" s="37"/>
      <c r="AGU32" s="37"/>
      <c r="AGV32" s="37"/>
      <c r="AGW32" s="37"/>
      <c r="AGX32" s="37"/>
      <c r="AGY32" s="37"/>
      <c r="AGZ32" s="37"/>
      <c r="AHA32" s="37"/>
      <c r="AHB32" s="37"/>
      <c r="AHC32" s="37"/>
      <c r="AHD32" s="37"/>
      <c r="AHE32" s="37"/>
      <c r="AHF32" s="37"/>
      <c r="AHG32" s="37"/>
      <c r="AHH32" s="37"/>
      <c r="AHI32" s="37"/>
      <c r="AHJ32" s="37"/>
      <c r="AHK32" s="37"/>
      <c r="AHL32" s="37"/>
      <c r="AHM32" s="37"/>
      <c r="AHN32" s="37"/>
      <c r="AHO32" s="37"/>
      <c r="AHP32" s="37"/>
      <c r="AHQ32" s="37"/>
      <c r="AHR32" s="37"/>
      <c r="AHS32" s="37"/>
      <c r="AHT32" s="37"/>
      <c r="AHU32" s="37"/>
      <c r="AHV32" s="37"/>
      <c r="AHW32" s="37"/>
      <c r="AHX32" s="37"/>
      <c r="AHY32" s="37"/>
      <c r="AHZ32" s="37"/>
      <c r="AIA32" s="37"/>
      <c r="AIB32" s="37"/>
      <c r="AIC32" s="37"/>
      <c r="AID32" s="37"/>
      <c r="AIE32" s="37"/>
      <c r="AIF32" s="37"/>
      <c r="AIG32" s="37"/>
      <c r="AIH32" s="37"/>
      <c r="AII32" s="37"/>
      <c r="AIJ32" s="37"/>
      <c r="AIK32" s="37"/>
      <c r="AIL32" s="37"/>
      <c r="AIM32" s="37"/>
      <c r="AIN32" s="37"/>
      <c r="AIO32" s="37"/>
      <c r="AIP32" s="37"/>
      <c r="AIQ32" s="37"/>
      <c r="AIR32" s="37"/>
      <c r="AIS32" s="37"/>
      <c r="AIT32" s="37"/>
      <c r="AIU32" s="37"/>
      <c r="AIV32" s="37"/>
      <c r="AIW32" s="37"/>
      <c r="AIX32" s="37"/>
      <c r="AIY32" s="37"/>
      <c r="AIZ32" s="37"/>
      <c r="AJA32" s="37"/>
      <c r="AJB32" s="37"/>
      <c r="AJC32" s="37"/>
      <c r="AJD32" s="37"/>
      <c r="AJE32" s="37"/>
      <c r="AJF32" s="37"/>
      <c r="AJG32" s="37"/>
      <c r="AJH32" s="37"/>
      <c r="AJI32" s="37"/>
      <c r="AJJ32" s="37"/>
      <c r="AJK32" s="37"/>
      <c r="AJL32" s="37"/>
      <c r="AJM32" s="37"/>
      <c r="AJN32" s="37"/>
      <c r="AJO32" s="37"/>
      <c r="AJP32" s="37"/>
      <c r="AJQ32" s="37"/>
      <c r="AJR32" s="37"/>
      <c r="AJS32" s="37"/>
      <c r="AJT32" s="37"/>
      <c r="AJU32" s="37"/>
      <c r="AJV32" s="37"/>
      <c r="AJW32" s="37"/>
      <c r="AJX32" s="37"/>
      <c r="AJY32" s="37"/>
      <c r="AJZ32" s="37"/>
      <c r="AKA32" s="37"/>
      <c r="AKB32" s="37"/>
      <c r="AKC32" s="37"/>
      <c r="AKD32" s="37"/>
      <c r="AKE32" s="37"/>
      <c r="AKF32" s="37"/>
      <c r="AKG32" s="37"/>
      <c r="AKH32" s="37"/>
      <c r="AKI32" s="37"/>
      <c r="AKJ32" s="37"/>
      <c r="AKK32" s="37"/>
      <c r="AKL32" s="37"/>
      <c r="AKM32" s="37"/>
      <c r="AKN32" s="37"/>
      <c r="AKO32" s="37"/>
      <c r="AKP32" s="37"/>
      <c r="AKQ32" s="37"/>
      <c r="AKR32" s="37"/>
      <c r="AKS32" s="37"/>
      <c r="AKT32" s="37"/>
      <c r="AKU32" s="37"/>
      <c r="AKV32" s="37"/>
      <c r="AKW32" s="37"/>
      <c r="AKX32" s="37"/>
      <c r="AKY32" s="37"/>
      <c r="AKZ32" s="37"/>
      <c r="ALA32" s="37"/>
      <c r="ALB32" s="37"/>
      <c r="ALC32" s="37"/>
      <c r="ALD32" s="37"/>
      <c r="ALE32" s="37"/>
      <c r="ALF32" s="37"/>
      <c r="ALG32" s="37"/>
      <c r="ALH32" s="37"/>
      <c r="ALI32" s="37"/>
      <c r="ALJ32" s="37"/>
      <c r="ALK32" s="37"/>
      <c r="ALL32" s="37"/>
      <c r="ALM32" s="37"/>
      <c r="ALN32" s="37"/>
      <c r="ALO32" s="37"/>
      <c r="ALP32" s="37"/>
      <c r="ALQ32" s="37"/>
      <c r="ALR32" s="37"/>
      <c r="ALS32" s="37"/>
      <c r="ALT32" s="37"/>
      <c r="ALU32" s="37"/>
      <c r="ALV32" s="37"/>
      <c r="ALW32" s="37"/>
      <c r="ALX32" s="37"/>
      <c r="ALY32" s="37"/>
      <c r="ALZ32" s="37"/>
      <c r="AMA32" s="37"/>
      <c r="AMB32" s="37"/>
      <c r="AMC32" s="37"/>
    </row>
    <row r="33" spans="1:1017" s="38" customFormat="1" ht="19.5" customHeight="1">
      <c r="A33" s="72"/>
      <c r="B33" s="73"/>
      <c r="C33" s="72"/>
      <c r="D33" s="72"/>
      <c r="E33" s="72"/>
      <c r="F33" s="72"/>
      <c r="G33" s="35">
        <v>48</v>
      </c>
      <c r="H33" s="35">
        <v>124</v>
      </c>
      <c r="I33" s="35">
        <v>135</v>
      </c>
      <c r="J33" s="35">
        <v>75</v>
      </c>
      <c r="K33" s="35">
        <v>39</v>
      </c>
      <c r="L33" s="35">
        <v>30</v>
      </c>
      <c r="M33" s="35">
        <v>23</v>
      </c>
      <c r="N33" s="35">
        <v>97</v>
      </c>
      <c r="O33" s="74" t="s">
        <v>79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  <c r="OU33" s="37"/>
      <c r="OV33" s="37"/>
      <c r="OW33" s="37"/>
      <c r="OX33" s="37"/>
      <c r="OY33" s="37"/>
      <c r="OZ33" s="37"/>
      <c r="PA33" s="37"/>
      <c r="PB33" s="37"/>
      <c r="PC33" s="37"/>
      <c r="PD33" s="37"/>
      <c r="PE33" s="37"/>
      <c r="PF33" s="37"/>
      <c r="PG33" s="37"/>
      <c r="PH33" s="37"/>
      <c r="PI33" s="37"/>
      <c r="PJ33" s="37"/>
      <c r="PK33" s="37"/>
      <c r="PL33" s="37"/>
      <c r="PM33" s="37"/>
      <c r="PN33" s="37"/>
      <c r="PO33" s="37"/>
      <c r="PP33" s="37"/>
      <c r="PQ33" s="37"/>
      <c r="PR33" s="37"/>
      <c r="PS33" s="37"/>
      <c r="PT33" s="37"/>
      <c r="PU33" s="37"/>
      <c r="PV33" s="37"/>
      <c r="PW33" s="37"/>
      <c r="PX33" s="37"/>
      <c r="PY33" s="37"/>
      <c r="PZ33" s="37"/>
      <c r="QA33" s="37"/>
      <c r="QB33" s="37"/>
      <c r="QC33" s="37"/>
      <c r="QD33" s="37"/>
      <c r="QE33" s="37"/>
      <c r="QF33" s="37"/>
      <c r="QG33" s="37"/>
      <c r="QH33" s="37"/>
      <c r="QI33" s="37"/>
      <c r="QJ33" s="37"/>
      <c r="QK33" s="37"/>
      <c r="QL33" s="37"/>
      <c r="QM33" s="37"/>
      <c r="QN33" s="37"/>
      <c r="QO33" s="37"/>
      <c r="QP33" s="37"/>
      <c r="QQ33" s="37"/>
      <c r="QR33" s="37"/>
      <c r="QS33" s="37"/>
      <c r="QT33" s="37"/>
      <c r="QU33" s="37"/>
      <c r="QV33" s="37"/>
      <c r="QW33" s="37"/>
      <c r="QX33" s="37"/>
      <c r="QY33" s="37"/>
      <c r="QZ33" s="37"/>
      <c r="RA33" s="37"/>
      <c r="RB33" s="37"/>
      <c r="RC33" s="37"/>
      <c r="RD33" s="37"/>
      <c r="RE33" s="37"/>
      <c r="RF33" s="37"/>
      <c r="RG33" s="37"/>
      <c r="RH33" s="37"/>
      <c r="RI33" s="37"/>
      <c r="RJ33" s="37"/>
      <c r="RK33" s="37"/>
      <c r="RL33" s="37"/>
      <c r="RM33" s="37"/>
      <c r="RN33" s="37"/>
      <c r="RO33" s="37"/>
      <c r="RP33" s="37"/>
      <c r="RQ33" s="37"/>
      <c r="RR33" s="37"/>
      <c r="RS33" s="37"/>
      <c r="RT33" s="37"/>
      <c r="RU33" s="37"/>
      <c r="RV33" s="37"/>
      <c r="RW33" s="37"/>
      <c r="RX33" s="37"/>
      <c r="RY33" s="37"/>
      <c r="RZ33" s="37"/>
      <c r="SA33" s="37"/>
      <c r="SB33" s="37"/>
      <c r="SC33" s="37"/>
      <c r="SD33" s="37"/>
      <c r="SE33" s="37"/>
      <c r="SF33" s="37"/>
      <c r="SG33" s="37"/>
      <c r="SH33" s="37"/>
      <c r="SI33" s="37"/>
      <c r="SJ33" s="37"/>
      <c r="SK33" s="37"/>
      <c r="SL33" s="37"/>
      <c r="SM33" s="37"/>
      <c r="SN33" s="37"/>
      <c r="SO33" s="37"/>
      <c r="SP33" s="37"/>
      <c r="SQ33" s="37"/>
      <c r="SR33" s="37"/>
      <c r="SS33" s="37"/>
      <c r="ST33" s="37"/>
      <c r="SU33" s="37"/>
      <c r="SV33" s="37"/>
      <c r="SW33" s="37"/>
      <c r="SX33" s="37"/>
      <c r="SY33" s="37"/>
      <c r="SZ33" s="37"/>
      <c r="TA33" s="37"/>
      <c r="TB33" s="37"/>
      <c r="TC33" s="37"/>
      <c r="TD33" s="37"/>
      <c r="TE33" s="37"/>
      <c r="TF33" s="37"/>
      <c r="TG33" s="37"/>
      <c r="TH33" s="37"/>
      <c r="TI33" s="37"/>
      <c r="TJ33" s="37"/>
      <c r="TK33" s="37"/>
      <c r="TL33" s="37"/>
      <c r="TM33" s="37"/>
      <c r="TN33" s="37"/>
      <c r="TO33" s="37"/>
      <c r="TP33" s="37"/>
      <c r="TQ33" s="37"/>
      <c r="TR33" s="37"/>
      <c r="TS33" s="37"/>
      <c r="TT33" s="37"/>
      <c r="TU33" s="37"/>
      <c r="TV33" s="37"/>
      <c r="TW33" s="37"/>
      <c r="TX33" s="37"/>
      <c r="TY33" s="37"/>
      <c r="TZ33" s="37"/>
      <c r="UA33" s="37"/>
      <c r="UB33" s="37"/>
      <c r="UC33" s="37"/>
      <c r="UD33" s="37"/>
      <c r="UE33" s="37"/>
      <c r="UF33" s="37"/>
      <c r="UG33" s="37"/>
      <c r="UH33" s="37"/>
      <c r="UI33" s="37"/>
      <c r="UJ33" s="37"/>
      <c r="UK33" s="37"/>
      <c r="UL33" s="37"/>
      <c r="UM33" s="37"/>
      <c r="UN33" s="37"/>
      <c r="UO33" s="37"/>
      <c r="UP33" s="37"/>
      <c r="UQ33" s="37"/>
      <c r="UR33" s="37"/>
      <c r="US33" s="37"/>
      <c r="UT33" s="37"/>
      <c r="UU33" s="37"/>
      <c r="UV33" s="37"/>
      <c r="UW33" s="37"/>
      <c r="UX33" s="37"/>
      <c r="UY33" s="37"/>
      <c r="UZ33" s="37"/>
      <c r="VA33" s="37"/>
      <c r="VB33" s="37"/>
      <c r="VC33" s="37"/>
      <c r="VD33" s="37"/>
      <c r="VE33" s="37"/>
      <c r="VF33" s="37"/>
      <c r="VG33" s="37"/>
      <c r="VH33" s="37"/>
      <c r="VI33" s="37"/>
      <c r="VJ33" s="37"/>
      <c r="VK33" s="37"/>
      <c r="VL33" s="37"/>
      <c r="VM33" s="37"/>
      <c r="VN33" s="37"/>
      <c r="VO33" s="37"/>
      <c r="VP33" s="37"/>
      <c r="VQ33" s="37"/>
      <c r="VR33" s="37"/>
      <c r="VS33" s="37"/>
      <c r="VT33" s="37"/>
      <c r="VU33" s="37"/>
      <c r="VV33" s="37"/>
      <c r="VW33" s="37"/>
      <c r="VX33" s="37"/>
      <c r="VY33" s="37"/>
      <c r="VZ33" s="37"/>
      <c r="WA33" s="37"/>
      <c r="WB33" s="37"/>
      <c r="WC33" s="37"/>
      <c r="WD33" s="37"/>
      <c r="WE33" s="37"/>
      <c r="WF33" s="37"/>
      <c r="WG33" s="37"/>
      <c r="WH33" s="37"/>
      <c r="WI33" s="37"/>
      <c r="WJ33" s="37"/>
      <c r="WK33" s="37"/>
      <c r="WL33" s="37"/>
      <c r="WM33" s="37"/>
      <c r="WN33" s="37"/>
      <c r="WO33" s="37"/>
      <c r="WP33" s="37"/>
      <c r="WQ33" s="37"/>
      <c r="WR33" s="37"/>
      <c r="WS33" s="37"/>
      <c r="WT33" s="37"/>
      <c r="WU33" s="37"/>
      <c r="WV33" s="37"/>
      <c r="WW33" s="37"/>
      <c r="WX33" s="37"/>
      <c r="WY33" s="37"/>
      <c r="WZ33" s="37"/>
      <c r="XA33" s="37"/>
      <c r="XB33" s="37"/>
      <c r="XC33" s="37"/>
      <c r="XD33" s="37"/>
      <c r="XE33" s="37"/>
      <c r="XF33" s="37"/>
      <c r="XG33" s="37"/>
      <c r="XH33" s="37"/>
      <c r="XI33" s="37"/>
      <c r="XJ33" s="37"/>
      <c r="XK33" s="37"/>
      <c r="XL33" s="37"/>
      <c r="XM33" s="37"/>
      <c r="XN33" s="37"/>
      <c r="XO33" s="37"/>
      <c r="XP33" s="37"/>
      <c r="XQ33" s="37"/>
      <c r="XR33" s="37"/>
      <c r="XS33" s="37"/>
      <c r="XT33" s="37"/>
      <c r="XU33" s="37"/>
      <c r="XV33" s="37"/>
      <c r="XW33" s="37"/>
      <c r="XX33" s="37"/>
      <c r="XY33" s="37"/>
      <c r="XZ33" s="37"/>
      <c r="YA33" s="37"/>
      <c r="YB33" s="37"/>
      <c r="YC33" s="37"/>
      <c r="YD33" s="37"/>
      <c r="YE33" s="37"/>
      <c r="YF33" s="37"/>
      <c r="YG33" s="37"/>
      <c r="YH33" s="37"/>
      <c r="YI33" s="37"/>
      <c r="YJ33" s="37"/>
      <c r="YK33" s="37"/>
      <c r="YL33" s="37"/>
      <c r="YM33" s="37"/>
      <c r="YN33" s="37"/>
      <c r="YO33" s="37"/>
      <c r="YP33" s="37"/>
      <c r="YQ33" s="37"/>
      <c r="YR33" s="37"/>
      <c r="YS33" s="37"/>
      <c r="YT33" s="37"/>
      <c r="YU33" s="37"/>
      <c r="YV33" s="37"/>
      <c r="YW33" s="37"/>
      <c r="YX33" s="37"/>
      <c r="YY33" s="37"/>
      <c r="YZ33" s="37"/>
      <c r="ZA33" s="37"/>
      <c r="ZB33" s="37"/>
      <c r="ZC33" s="37"/>
      <c r="ZD33" s="37"/>
      <c r="ZE33" s="37"/>
      <c r="ZF33" s="37"/>
      <c r="ZG33" s="37"/>
      <c r="ZH33" s="37"/>
      <c r="ZI33" s="37"/>
      <c r="ZJ33" s="37"/>
      <c r="ZK33" s="37"/>
      <c r="ZL33" s="37"/>
      <c r="ZM33" s="37"/>
      <c r="ZN33" s="37"/>
      <c r="ZO33" s="37"/>
      <c r="ZP33" s="37"/>
      <c r="ZQ33" s="37"/>
      <c r="ZR33" s="37"/>
      <c r="ZS33" s="37"/>
      <c r="ZT33" s="37"/>
      <c r="ZU33" s="37"/>
      <c r="ZV33" s="37"/>
      <c r="ZW33" s="37"/>
      <c r="ZX33" s="37"/>
      <c r="ZY33" s="37"/>
      <c r="ZZ33" s="37"/>
      <c r="AAA33" s="37"/>
      <c r="AAB33" s="37"/>
      <c r="AAC33" s="37"/>
      <c r="AAD33" s="37"/>
      <c r="AAE33" s="37"/>
      <c r="AAF33" s="37"/>
      <c r="AAG33" s="37"/>
      <c r="AAH33" s="37"/>
      <c r="AAI33" s="37"/>
      <c r="AAJ33" s="37"/>
      <c r="AAK33" s="37"/>
      <c r="AAL33" s="37"/>
      <c r="AAM33" s="37"/>
      <c r="AAN33" s="37"/>
      <c r="AAO33" s="37"/>
      <c r="AAP33" s="37"/>
      <c r="AAQ33" s="37"/>
      <c r="AAR33" s="37"/>
      <c r="AAS33" s="37"/>
      <c r="AAT33" s="37"/>
      <c r="AAU33" s="37"/>
      <c r="AAV33" s="37"/>
      <c r="AAW33" s="37"/>
      <c r="AAX33" s="37"/>
      <c r="AAY33" s="37"/>
      <c r="AAZ33" s="37"/>
      <c r="ABA33" s="37"/>
      <c r="ABB33" s="37"/>
      <c r="ABC33" s="37"/>
      <c r="ABD33" s="37"/>
      <c r="ABE33" s="37"/>
      <c r="ABF33" s="37"/>
      <c r="ABG33" s="37"/>
      <c r="ABH33" s="37"/>
      <c r="ABI33" s="37"/>
      <c r="ABJ33" s="37"/>
      <c r="ABK33" s="37"/>
      <c r="ABL33" s="37"/>
      <c r="ABM33" s="37"/>
      <c r="ABN33" s="37"/>
      <c r="ABO33" s="37"/>
      <c r="ABP33" s="37"/>
      <c r="ABQ33" s="37"/>
      <c r="ABR33" s="37"/>
      <c r="ABS33" s="37"/>
      <c r="ABT33" s="37"/>
      <c r="ABU33" s="37"/>
      <c r="ABV33" s="37"/>
      <c r="ABW33" s="37"/>
      <c r="ABX33" s="37"/>
      <c r="ABY33" s="37"/>
      <c r="ABZ33" s="37"/>
      <c r="ACA33" s="37"/>
      <c r="ACB33" s="37"/>
      <c r="ACC33" s="37"/>
      <c r="ACD33" s="37"/>
      <c r="ACE33" s="37"/>
      <c r="ACF33" s="37"/>
      <c r="ACG33" s="37"/>
      <c r="ACH33" s="37"/>
      <c r="ACI33" s="37"/>
      <c r="ACJ33" s="37"/>
      <c r="ACK33" s="37"/>
      <c r="ACL33" s="37"/>
      <c r="ACM33" s="37"/>
      <c r="ACN33" s="37"/>
      <c r="ACO33" s="37"/>
      <c r="ACP33" s="37"/>
      <c r="ACQ33" s="37"/>
      <c r="ACR33" s="37"/>
      <c r="ACS33" s="37"/>
      <c r="ACT33" s="37"/>
      <c r="ACU33" s="37"/>
      <c r="ACV33" s="37"/>
      <c r="ACW33" s="37"/>
      <c r="ACX33" s="37"/>
      <c r="ACY33" s="37"/>
      <c r="ACZ33" s="37"/>
      <c r="ADA33" s="37"/>
      <c r="ADB33" s="37"/>
      <c r="ADC33" s="37"/>
      <c r="ADD33" s="37"/>
      <c r="ADE33" s="37"/>
      <c r="ADF33" s="37"/>
      <c r="ADG33" s="37"/>
      <c r="ADH33" s="37"/>
      <c r="ADI33" s="37"/>
      <c r="ADJ33" s="37"/>
      <c r="ADK33" s="37"/>
      <c r="ADL33" s="37"/>
      <c r="ADM33" s="37"/>
      <c r="ADN33" s="37"/>
      <c r="ADO33" s="37"/>
      <c r="ADP33" s="37"/>
      <c r="ADQ33" s="37"/>
      <c r="ADR33" s="37"/>
      <c r="ADS33" s="37"/>
      <c r="ADT33" s="37"/>
      <c r="ADU33" s="37"/>
      <c r="ADV33" s="37"/>
      <c r="ADW33" s="37"/>
      <c r="ADX33" s="37"/>
      <c r="ADY33" s="37"/>
      <c r="ADZ33" s="37"/>
      <c r="AEA33" s="37"/>
      <c r="AEB33" s="37"/>
      <c r="AEC33" s="37"/>
      <c r="AED33" s="37"/>
      <c r="AEE33" s="37"/>
      <c r="AEF33" s="37"/>
      <c r="AEG33" s="37"/>
      <c r="AEH33" s="37"/>
      <c r="AEI33" s="37"/>
      <c r="AEJ33" s="37"/>
      <c r="AEK33" s="37"/>
      <c r="AEL33" s="37"/>
      <c r="AEM33" s="37"/>
      <c r="AEN33" s="37"/>
      <c r="AEO33" s="37"/>
      <c r="AEP33" s="37"/>
      <c r="AEQ33" s="37"/>
      <c r="AER33" s="37"/>
      <c r="AES33" s="37"/>
      <c r="AET33" s="37"/>
      <c r="AEU33" s="37"/>
      <c r="AEV33" s="37"/>
      <c r="AEW33" s="37"/>
      <c r="AEX33" s="37"/>
      <c r="AEY33" s="37"/>
      <c r="AEZ33" s="37"/>
      <c r="AFA33" s="37"/>
      <c r="AFB33" s="37"/>
      <c r="AFC33" s="37"/>
      <c r="AFD33" s="37"/>
      <c r="AFE33" s="37"/>
      <c r="AFF33" s="37"/>
      <c r="AFG33" s="37"/>
      <c r="AFH33" s="37"/>
      <c r="AFI33" s="37"/>
      <c r="AFJ33" s="37"/>
      <c r="AFK33" s="37"/>
      <c r="AFL33" s="37"/>
      <c r="AFM33" s="37"/>
      <c r="AFN33" s="37"/>
      <c r="AFO33" s="37"/>
      <c r="AFP33" s="37"/>
      <c r="AFQ33" s="37"/>
      <c r="AFR33" s="37"/>
      <c r="AFS33" s="37"/>
      <c r="AFT33" s="37"/>
      <c r="AFU33" s="37"/>
      <c r="AFV33" s="37"/>
      <c r="AFW33" s="37"/>
      <c r="AFX33" s="37"/>
      <c r="AFY33" s="37"/>
      <c r="AFZ33" s="37"/>
      <c r="AGA33" s="37"/>
      <c r="AGB33" s="37"/>
      <c r="AGC33" s="37"/>
      <c r="AGD33" s="37"/>
      <c r="AGE33" s="37"/>
      <c r="AGF33" s="37"/>
      <c r="AGG33" s="37"/>
      <c r="AGH33" s="37"/>
      <c r="AGI33" s="37"/>
      <c r="AGJ33" s="37"/>
      <c r="AGK33" s="37"/>
      <c r="AGL33" s="37"/>
      <c r="AGM33" s="37"/>
      <c r="AGN33" s="37"/>
      <c r="AGO33" s="37"/>
      <c r="AGP33" s="37"/>
      <c r="AGQ33" s="37"/>
      <c r="AGR33" s="37"/>
      <c r="AGS33" s="37"/>
      <c r="AGT33" s="37"/>
      <c r="AGU33" s="37"/>
      <c r="AGV33" s="37"/>
      <c r="AGW33" s="37"/>
      <c r="AGX33" s="37"/>
      <c r="AGY33" s="37"/>
      <c r="AGZ33" s="37"/>
      <c r="AHA33" s="37"/>
      <c r="AHB33" s="37"/>
      <c r="AHC33" s="37"/>
      <c r="AHD33" s="37"/>
      <c r="AHE33" s="37"/>
      <c r="AHF33" s="37"/>
      <c r="AHG33" s="37"/>
      <c r="AHH33" s="37"/>
      <c r="AHI33" s="37"/>
      <c r="AHJ33" s="37"/>
      <c r="AHK33" s="37"/>
      <c r="AHL33" s="37"/>
      <c r="AHM33" s="37"/>
      <c r="AHN33" s="37"/>
      <c r="AHO33" s="37"/>
      <c r="AHP33" s="37"/>
      <c r="AHQ33" s="37"/>
      <c r="AHR33" s="37"/>
      <c r="AHS33" s="37"/>
      <c r="AHT33" s="37"/>
      <c r="AHU33" s="37"/>
      <c r="AHV33" s="37"/>
      <c r="AHW33" s="37"/>
      <c r="AHX33" s="37"/>
      <c r="AHY33" s="37"/>
      <c r="AHZ33" s="37"/>
      <c r="AIA33" s="37"/>
      <c r="AIB33" s="37"/>
      <c r="AIC33" s="37"/>
      <c r="AID33" s="37"/>
      <c r="AIE33" s="37"/>
      <c r="AIF33" s="37"/>
      <c r="AIG33" s="37"/>
      <c r="AIH33" s="37"/>
      <c r="AII33" s="37"/>
      <c r="AIJ33" s="37"/>
      <c r="AIK33" s="37"/>
      <c r="AIL33" s="37"/>
      <c r="AIM33" s="37"/>
      <c r="AIN33" s="37"/>
      <c r="AIO33" s="37"/>
      <c r="AIP33" s="37"/>
      <c r="AIQ33" s="37"/>
      <c r="AIR33" s="37"/>
      <c r="AIS33" s="37"/>
      <c r="AIT33" s="37"/>
      <c r="AIU33" s="37"/>
      <c r="AIV33" s="37"/>
      <c r="AIW33" s="37"/>
      <c r="AIX33" s="37"/>
      <c r="AIY33" s="37"/>
      <c r="AIZ33" s="37"/>
      <c r="AJA33" s="37"/>
      <c r="AJB33" s="37"/>
      <c r="AJC33" s="37"/>
      <c r="AJD33" s="37"/>
      <c r="AJE33" s="37"/>
      <c r="AJF33" s="37"/>
      <c r="AJG33" s="37"/>
      <c r="AJH33" s="37"/>
      <c r="AJI33" s="37"/>
      <c r="AJJ33" s="37"/>
      <c r="AJK33" s="37"/>
      <c r="AJL33" s="37"/>
      <c r="AJM33" s="37"/>
      <c r="AJN33" s="37"/>
      <c r="AJO33" s="37"/>
      <c r="AJP33" s="37"/>
      <c r="AJQ33" s="37"/>
      <c r="AJR33" s="37"/>
      <c r="AJS33" s="37"/>
      <c r="AJT33" s="37"/>
      <c r="AJU33" s="37"/>
      <c r="AJV33" s="37"/>
      <c r="AJW33" s="37"/>
      <c r="AJX33" s="37"/>
      <c r="AJY33" s="37"/>
      <c r="AJZ33" s="37"/>
      <c r="AKA33" s="37"/>
      <c r="AKB33" s="37"/>
      <c r="AKC33" s="37"/>
      <c r="AKD33" s="37"/>
      <c r="AKE33" s="37"/>
      <c r="AKF33" s="37"/>
      <c r="AKG33" s="37"/>
      <c r="AKH33" s="37"/>
      <c r="AKI33" s="37"/>
      <c r="AKJ33" s="37"/>
      <c r="AKK33" s="37"/>
      <c r="AKL33" s="37"/>
      <c r="AKM33" s="37"/>
      <c r="AKN33" s="37"/>
      <c r="AKO33" s="37"/>
      <c r="AKP33" s="37"/>
      <c r="AKQ33" s="37"/>
      <c r="AKR33" s="37"/>
      <c r="AKS33" s="37"/>
      <c r="AKT33" s="37"/>
      <c r="AKU33" s="37"/>
      <c r="AKV33" s="37"/>
      <c r="AKW33" s="37"/>
      <c r="AKX33" s="37"/>
      <c r="AKY33" s="37"/>
      <c r="AKZ33" s="37"/>
      <c r="ALA33" s="37"/>
      <c r="ALB33" s="37"/>
      <c r="ALC33" s="37"/>
      <c r="ALD33" s="37"/>
      <c r="ALE33" s="37"/>
      <c r="ALF33" s="37"/>
      <c r="ALG33" s="37"/>
      <c r="ALH33" s="37"/>
      <c r="ALI33" s="37"/>
      <c r="ALJ33" s="37"/>
      <c r="ALK33" s="37"/>
      <c r="ALL33" s="37"/>
      <c r="ALM33" s="37"/>
      <c r="ALN33" s="37"/>
      <c r="ALO33" s="37"/>
      <c r="ALP33" s="37"/>
      <c r="ALQ33" s="37"/>
      <c r="ALR33" s="37"/>
      <c r="ALS33" s="37"/>
      <c r="ALT33" s="37"/>
      <c r="ALU33" s="37"/>
      <c r="ALV33" s="37"/>
      <c r="ALW33" s="37"/>
      <c r="ALX33" s="37"/>
      <c r="ALY33" s="37"/>
      <c r="ALZ33" s="37"/>
      <c r="AMA33" s="37"/>
      <c r="AMB33" s="37"/>
      <c r="AMC33" s="37"/>
    </row>
    <row r="34" spans="1:1017" s="38" customFormat="1" ht="19.5" customHeight="1">
      <c r="A34" s="75"/>
      <c r="B34" s="76"/>
      <c r="C34" s="75"/>
      <c r="D34" s="75"/>
      <c r="E34" s="75"/>
      <c r="F34" s="75"/>
      <c r="G34" s="77">
        <v>53</v>
      </c>
      <c r="H34" s="77">
        <v>65</v>
      </c>
      <c r="I34" s="77">
        <v>22</v>
      </c>
      <c r="J34" s="77">
        <v>16</v>
      </c>
      <c r="K34" s="77">
        <v>132</v>
      </c>
      <c r="L34" s="77">
        <v>132</v>
      </c>
      <c r="M34" s="77">
        <v>140</v>
      </c>
      <c r="N34" s="77"/>
      <c r="O34" s="7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</row>
    <row r="35" spans="1:1017" s="38" customFormat="1" ht="19.5" customHeight="1">
      <c r="A35" s="26" t="s">
        <v>88</v>
      </c>
      <c r="B35" s="25" t="s">
        <v>83</v>
      </c>
      <c r="C35" s="26" t="s">
        <v>46</v>
      </c>
      <c r="D35" s="26" t="s">
        <v>32</v>
      </c>
      <c r="E35" s="26" t="s">
        <v>261</v>
      </c>
      <c r="F35" s="26">
        <v>40</v>
      </c>
      <c r="G35" s="26" t="s">
        <v>34</v>
      </c>
      <c r="H35" s="26">
        <v>58</v>
      </c>
      <c r="I35" s="36">
        <v>45</v>
      </c>
      <c r="J35" s="36">
        <v>24</v>
      </c>
      <c r="K35" s="36">
        <v>18</v>
      </c>
      <c r="L35" s="36">
        <v>30</v>
      </c>
      <c r="M35" s="36">
        <v>28</v>
      </c>
      <c r="N35" s="36">
        <v>30</v>
      </c>
      <c r="O35" s="36">
        <v>74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  <c r="OU35" s="37"/>
      <c r="OV35" s="37"/>
      <c r="OW35" s="37"/>
      <c r="OX35" s="37"/>
      <c r="OY35" s="37"/>
      <c r="OZ35" s="37"/>
      <c r="PA35" s="37"/>
      <c r="PB35" s="37"/>
      <c r="PC35" s="37"/>
      <c r="PD35" s="37"/>
      <c r="PE35" s="37"/>
      <c r="PF35" s="37"/>
      <c r="PG35" s="37"/>
      <c r="PH35" s="37"/>
      <c r="PI35" s="37"/>
      <c r="PJ35" s="37"/>
      <c r="PK35" s="37"/>
      <c r="PL35" s="37"/>
      <c r="PM35" s="37"/>
      <c r="PN35" s="37"/>
      <c r="PO35" s="37"/>
      <c r="PP35" s="37"/>
      <c r="PQ35" s="37"/>
      <c r="PR35" s="37"/>
      <c r="PS35" s="37"/>
      <c r="PT35" s="37"/>
      <c r="PU35" s="37"/>
      <c r="PV35" s="37"/>
      <c r="PW35" s="37"/>
      <c r="PX35" s="37"/>
      <c r="PY35" s="37"/>
      <c r="PZ35" s="37"/>
      <c r="QA35" s="37"/>
      <c r="QB35" s="37"/>
      <c r="QC35" s="37"/>
      <c r="QD35" s="37"/>
      <c r="QE35" s="37"/>
      <c r="QF35" s="37"/>
      <c r="QG35" s="37"/>
      <c r="QH35" s="37"/>
      <c r="QI35" s="37"/>
      <c r="QJ35" s="37"/>
      <c r="QK35" s="37"/>
      <c r="QL35" s="37"/>
      <c r="QM35" s="37"/>
      <c r="QN35" s="37"/>
      <c r="QO35" s="37"/>
      <c r="QP35" s="37"/>
      <c r="QQ35" s="37"/>
      <c r="QR35" s="37"/>
      <c r="QS35" s="37"/>
      <c r="QT35" s="37"/>
      <c r="QU35" s="37"/>
      <c r="QV35" s="37"/>
      <c r="QW35" s="37"/>
      <c r="QX35" s="37"/>
      <c r="QY35" s="37"/>
      <c r="QZ35" s="37"/>
      <c r="RA35" s="37"/>
      <c r="RB35" s="37"/>
      <c r="RC35" s="37"/>
      <c r="RD35" s="37"/>
      <c r="RE35" s="37"/>
      <c r="RF35" s="37"/>
      <c r="RG35" s="37"/>
      <c r="RH35" s="37"/>
      <c r="RI35" s="37"/>
      <c r="RJ35" s="37"/>
      <c r="RK35" s="37"/>
      <c r="RL35" s="37"/>
      <c r="RM35" s="37"/>
      <c r="RN35" s="37"/>
      <c r="RO35" s="37"/>
      <c r="RP35" s="37"/>
      <c r="RQ35" s="37"/>
      <c r="RR35" s="37"/>
      <c r="RS35" s="37"/>
      <c r="RT35" s="37"/>
      <c r="RU35" s="37"/>
      <c r="RV35" s="37"/>
      <c r="RW35" s="37"/>
      <c r="RX35" s="37"/>
      <c r="RY35" s="37"/>
      <c r="RZ35" s="37"/>
      <c r="SA35" s="37"/>
      <c r="SB35" s="37"/>
      <c r="SC35" s="37"/>
      <c r="SD35" s="37"/>
      <c r="SE35" s="37"/>
      <c r="SF35" s="37"/>
      <c r="SG35" s="37"/>
      <c r="SH35" s="37"/>
      <c r="SI35" s="37"/>
      <c r="SJ35" s="37"/>
      <c r="SK35" s="37"/>
      <c r="SL35" s="37"/>
      <c r="SM35" s="37"/>
      <c r="SN35" s="37"/>
      <c r="SO35" s="37"/>
      <c r="SP35" s="37"/>
      <c r="SQ35" s="37"/>
      <c r="SR35" s="37"/>
      <c r="SS35" s="37"/>
      <c r="ST35" s="37"/>
      <c r="SU35" s="37"/>
      <c r="SV35" s="37"/>
      <c r="SW35" s="37"/>
      <c r="SX35" s="37"/>
      <c r="SY35" s="37"/>
      <c r="SZ35" s="37"/>
      <c r="TA35" s="37"/>
      <c r="TB35" s="37"/>
      <c r="TC35" s="37"/>
      <c r="TD35" s="37"/>
      <c r="TE35" s="37"/>
      <c r="TF35" s="37"/>
      <c r="TG35" s="37"/>
      <c r="TH35" s="37"/>
      <c r="TI35" s="37"/>
      <c r="TJ35" s="37"/>
      <c r="TK35" s="37"/>
      <c r="TL35" s="37"/>
      <c r="TM35" s="37"/>
      <c r="TN35" s="37"/>
      <c r="TO35" s="37"/>
      <c r="TP35" s="37"/>
      <c r="TQ35" s="37"/>
      <c r="TR35" s="37"/>
      <c r="TS35" s="37"/>
      <c r="TT35" s="37"/>
      <c r="TU35" s="37"/>
      <c r="TV35" s="37"/>
      <c r="TW35" s="37"/>
      <c r="TX35" s="37"/>
      <c r="TY35" s="37"/>
      <c r="TZ35" s="37"/>
      <c r="UA35" s="37"/>
      <c r="UB35" s="37"/>
      <c r="UC35" s="37"/>
      <c r="UD35" s="37"/>
      <c r="UE35" s="37"/>
      <c r="UF35" s="37"/>
      <c r="UG35" s="37"/>
      <c r="UH35" s="37"/>
      <c r="UI35" s="37"/>
      <c r="UJ35" s="37"/>
      <c r="UK35" s="37"/>
      <c r="UL35" s="37"/>
      <c r="UM35" s="37"/>
      <c r="UN35" s="37"/>
      <c r="UO35" s="37"/>
      <c r="UP35" s="37"/>
      <c r="UQ35" s="37"/>
      <c r="UR35" s="37"/>
      <c r="US35" s="37"/>
      <c r="UT35" s="37"/>
      <c r="UU35" s="37"/>
      <c r="UV35" s="37"/>
      <c r="UW35" s="37"/>
      <c r="UX35" s="37"/>
      <c r="UY35" s="37"/>
      <c r="UZ35" s="37"/>
      <c r="VA35" s="37"/>
      <c r="VB35" s="37"/>
      <c r="VC35" s="37"/>
      <c r="VD35" s="37"/>
      <c r="VE35" s="37"/>
      <c r="VF35" s="37"/>
      <c r="VG35" s="37"/>
      <c r="VH35" s="37"/>
      <c r="VI35" s="37"/>
      <c r="VJ35" s="37"/>
      <c r="VK35" s="37"/>
      <c r="VL35" s="37"/>
      <c r="VM35" s="37"/>
      <c r="VN35" s="37"/>
      <c r="VO35" s="37"/>
      <c r="VP35" s="37"/>
      <c r="VQ35" s="37"/>
      <c r="VR35" s="37"/>
      <c r="VS35" s="37"/>
      <c r="VT35" s="37"/>
      <c r="VU35" s="37"/>
      <c r="VV35" s="37"/>
      <c r="VW35" s="37"/>
      <c r="VX35" s="37"/>
      <c r="VY35" s="37"/>
      <c r="VZ35" s="37"/>
      <c r="WA35" s="37"/>
      <c r="WB35" s="37"/>
      <c r="WC35" s="37"/>
      <c r="WD35" s="37"/>
      <c r="WE35" s="37"/>
      <c r="WF35" s="37"/>
      <c r="WG35" s="37"/>
      <c r="WH35" s="37"/>
      <c r="WI35" s="37"/>
      <c r="WJ35" s="37"/>
      <c r="WK35" s="37"/>
      <c r="WL35" s="37"/>
      <c r="WM35" s="37"/>
      <c r="WN35" s="37"/>
      <c r="WO35" s="37"/>
      <c r="WP35" s="37"/>
      <c r="WQ35" s="37"/>
      <c r="WR35" s="37"/>
      <c r="WS35" s="37"/>
      <c r="WT35" s="37"/>
      <c r="WU35" s="37"/>
      <c r="WV35" s="37"/>
      <c r="WW35" s="37"/>
      <c r="WX35" s="37"/>
      <c r="WY35" s="37"/>
      <c r="WZ35" s="37"/>
      <c r="XA35" s="37"/>
      <c r="XB35" s="37"/>
      <c r="XC35" s="37"/>
      <c r="XD35" s="37"/>
      <c r="XE35" s="37"/>
      <c r="XF35" s="37"/>
      <c r="XG35" s="37"/>
      <c r="XH35" s="37"/>
      <c r="XI35" s="37"/>
      <c r="XJ35" s="37"/>
      <c r="XK35" s="37"/>
      <c r="XL35" s="37"/>
      <c r="XM35" s="37"/>
      <c r="XN35" s="37"/>
      <c r="XO35" s="37"/>
      <c r="XP35" s="37"/>
      <c r="XQ35" s="37"/>
      <c r="XR35" s="37"/>
      <c r="XS35" s="37"/>
      <c r="XT35" s="37"/>
      <c r="XU35" s="37"/>
      <c r="XV35" s="37"/>
      <c r="XW35" s="37"/>
      <c r="XX35" s="37"/>
      <c r="XY35" s="37"/>
      <c r="XZ35" s="37"/>
      <c r="YA35" s="37"/>
      <c r="YB35" s="37"/>
      <c r="YC35" s="37"/>
      <c r="YD35" s="37"/>
      <c r="YE35" s="37"/>
      <c r="YF35" s="37"/>
      <c r="YG35" s="37"/>
      <c r="YH35" s="37"/>
      <c r="YI35" s="37"/>
      <c r="YJ35" s="37"/>
      <c r="YK35" s="37"/>
      <c r="YL35" s="37"/>
      <c r="YM35" s="37"/>
      <c r="YN35" s="37"/>
      <c r="YO35" s="37"/>
      <c r="YP35" s="37"/>
      <c r="YQ35" s="37"/>
      <c r="YR35" s="37"/>
      <c r="YS35" s="37"/>
      <c r="YT35" s="37"/>
      <c r="YU35" s="37"/>
      <c r="YV35" s="37"/>
      <c r="YW35" s="37"/>
      <c r="YX35" s="37"/>
      <c r="YY35" s="37"/>
      <c r="YZ35" s="37"/>
      <c r="ZA35" s="37"/>
      <c r="ZB35" s="37"/>
      <c r="ZC35" s="37"/>
      <c r="ZD35" s="37"/>
      <c r="ZE35" s="37"/>
      <c r="ZF35" s="37"/>
      <c r="ZG35" s="37"/>
      <c r="ZH35" s="37"/>
      <c r="ZI35" s="37"/>
      <c r="ZJ35" s="37"/>
      <c r="ZK35" s="37"/>
      <c r="ZL35" s="37"/>
      <c r="ZM35" s="37"/>
      <c r="ZN35" s="37"/>
      <c r="ZO35" s="37"/>
      <c r="ZP35" s="37"/>
      <c r="ZQ35" s="37"/>
      <c r="ZR35" s="37"/>
      <c r="ZS35" s="37"/>
      <c r="ZT35" s="37"/>
      <c r="ZU35" s="37"/>
      <c r="ZV35" s="37"/>
      <c r="ZW35" s="37"/>
      <c r="ZX35" s="37"/>
      <c r="ZY35" s="37"/>
      <c r="ZZ35" s="37"/>
      <c r="AAA35" s="37"/>
      <c r="AAB35" s="37"/>
      <c r="AAC35" s="37"/>
      <c r="AAD35" s="37"/>
      <c r="AAE35" s="37"/>
      <c r="AAF35" s="37"/>
      <c r="AAG35" s="37"/>
      <c r="AAH35" s="37"/>
      <c r="AAI35" s="37"/>
      <c r="AAJ35" s="37"/>
      <c r="AAK35" s="37"/>
      <c r="AAL35" s="37"/>
      <c r="AAM35" s="37"/>
      <c r="AAN35" s="37"/>
      <c r="AAO35" s="37"/>
      <c r="AAP35" s="37"/>
      <c r="AAQ35" s="37"/>
      <c r="AAR35" s="37"/>
      <c r="AAS35" s="37"/>
      <c r="AAT35" s="37"/>
      <c r="AAU35" s="37"/>
      <c r="AAV35" s="37"/>
      <c r="AAW35" s="37"/>
      <c r="AAX35" s="37"/>
      <c r="AAY35" s="37"/>
      <c r="AAZ35" s="37"/>
      <c r="ABA35" s="37"/>
      <c r="ABB35" s="37"/>
      <c r="ABC35" s="37"/>
      <c r="ABD35" s="37"/>
      <c r="ABE35" s="37"/>
      <c r="ABF35" s="37"/>
      <c r="ABG35" s="37"/>
      <c r="ABH35" s="37"/>
      <c r="ABI35" s="37"/>
      <c r="ABJ35" s="37"/>
      <c r="ABK35" s="37"/>
      <c r="ABL35" s="37"/>
      <c r="ABM35" s="37"/>
      <c r="ABN35" s="37"/>
      <c r="ABO35" s="37"/>
      <c r="ABP35" s="37"/>
      <c r="ABQ35" s="37"/>
      <c r="ABR35" s="37"/>
      <c r="ABS35" s="37"/>
      <c r="ABT35" s="37"/>
      <c r="ABU35" s="37"/>
      <c r="ABV35" s="37"/>
      <c r="ABW35" s="37"/>
      <c r="ABX35" s="37"/>
      <c r="ABY35" s="37"/>
      <c r="ABZ35" s="37"/>
      <c r="ACA35" s="37"/>
      <c r="ACB35" s="37"/>
      <c r="ACC35" s="37"/>
      <c r="ACD35" s="37"/>
      <c r="ACE35" s="37"/>
      <c r="ACF35" s="37"/>
      <c r="ACG35" s="37"/>
      <c r="ACH35" s="37"/>
      <c r="ACI35" s="37"/>
      <c r="ACJ35" s="37"/>
      <c r="ACK35" s="37"/>
      <c r="ACL35" s="37"/>
      <c r="ACM35" s="37"/>
      <c r="ACN35" s="37"/>
      <c r="ACO35" s="37"/>
      <c r="ACP35" s="37"/>
      <c r="ACQ35" s="37"/>
      <c r="ACR35" s="37"/>
      <c r="ACS35" s="37"/>
      <c r="ACT35" s="37"/>
      <c r="ACU35" s="37"/>
      <c r="ACV35" s="37"/>
      <c r="ACW35" s="37"/>
      <c r="ACX35" s="37"/>
      <c r="ACY35" s="37"/>
      <c r="ACZ35" s="37"/>
      <c r="ADA35" s="37"/>
      <c r="ADB35" s="37"/>
      <c r="ADC35" s="37"/>
      <c r="ADD35" s="37"/>
      <c r="ADE35" s="37"/>
      <c r="ADF35" s="37"/>
      <c r="ADG35" s="37"/>
      <c r="ADH35" s="37"/>
      <c r="ADI35" s="37"/>
      <c r="ADJ35" s="37"/>
      <c r="ADK35" s="37"/>
      <c r="ADL35" s="37"/>
      <c r="ADM35" s="37"/>
      <c r="ADN35" s="37"/>
      <c r="ADO35" s="37"/>
      <c r="ADP35" s="37"/>
      <c r="ADQ35" s="37"/>
      <c r="ADR35" s="37"/>
      <c r="ADS35" s="37"/>
      <c r="ADT35" s="37"/>
      <c r="ADU35" s="37"/>
      <c r="ADV35" s="37"/>
      <c r="ADW35" s="37"/>
      <c r="ADX35" s="37"/>
      <c r="ADY35" s="37"/>
      <c r="ADZ35" s="37"/>
      <c r="AEA35" s="37"/>
      <c r="AEB35" s="37"/>
      <c r="AEC35" s="37"/>
      <c r="AED35" s="37"/>
      <c r="AEE35" s="37"/>
      <c r="AEF35" s="37"/>
      <c r="AEG35" s="37"/>
      <c r="AEH35" s="37"/>
      <c r="AEI35" s="37"/>
      <c r="AEJ35" s="37"/>
      <c r="AEK35" s="37"/>
      <c r="AEL35" s="37"/>
      <c r="AEM35" s="37"/>
      <c r="AEN35" s="37"/>
      <c r="AEO35" s="37"/>
      <c r="AEP35" s="37"/>
      <c r="AEQ35" s="37"/>
      <c r="AER35" s="37"/>
      <c r="AES35" s="37"/>
      <c r="AET35" s="37"/>
      <c r="AEU35" s="37"/>
      <c r="AEV35" s="37"/>
      <c r="AEW35" s="37"/>
      <c r="AEX35" s="37"/>
      <c r="AEY35" s="37"/>
      <c r="AEZ35" s="37"/>
      <c r="AFA35" s="37"/>
      <c r="AFB35" s="37"/>
      <c r="AFC35" s="37"/>
      <c r="AFD35" s="37"/>
      <c r="AFE35" s="37"/>
      <c r="AFF35" s="37"/>
      <c r="AFG35" s="37"/>
      <c r="AFH35" s="37"/>
      <c r="AFI35" s="37"/>
      <c r="AFJ35" s="37"/>
      <c r="AFK35" s="37"/>
      <c r="AFL35" s="37"/>
      <c r="AFM35" s="37"/>
      <c r="AFN35" s="37"/>
      <c r="AFO35" s="37"/>
      <c r="AFP35" s="37"/>
      <c r="AFQ35" s="37"/>
      <c r="AFR35" s="37"/>
      <c r="AFS35" s="37"/>
      <c r="AFT35" s="37"/>
      <c r="AFU35" s="37"/>
      <c r="AFV35" s="37"/>
      <c r="AFW35" s="37"/>
      <c r="AFX35" s="37"/>
      <c r="AFY35" s="37"/>
      <c r="AFZ35" s="37"/>
      <c r="AGA35" s="37"/>
      <c r="AGB35" s="37"/>
      <c r="AGC35" s="37"/>
      <c r="AGD35" s="37"/>
      <c r="AGE35" s="37"/>
      <c r="AGF35" s="37"/>
      <c r="AGG35" s="37"/>
      <c r="AGH35" s="37"/>
      <c r="AGI35" s="37"/>
      <c r="AGJ35" s="37"/>
      <c r="AGK35" s="37"/>
      <c r="AGL35" s="37"/>
      <c r="AGM35" s="37"/>
      <c r="AGN35" s="37"/>
      <c r="AGO35" s="37"/>
      <c r="AGP35" s="37"/>
      <c r="AGQ35" s="37"/>
      <c r="AGR35" s="37"/>
      <c r="AGS35" s="37"/>
      <c r="AGT35" s="37"/>
      <c r="AGU35" s="37"/>
      <c r="AGV35" s="37"/>
      <c r="AGW35" s="37"/>
      <c r="AGX35" s="37"/>
      <c r="AGY35" s="37"/>
      <c r="AGZ35" s="37"/>
      <c r="AHA35" s="37"/>
      <c r="AHB35" s="37"/>
      <c r="AHC35" s="37"/>
      <c r="AHD35" s="37"/>
      <c r="AHE35" s="37"/>
      <c r="AHF35" s="37"/>
      <c r="AHG35" s="37"/>
      <c r="AHH35" s="37"/>
      <c r="AHI35" s="37"/>
      <c r="AHJ35" s="37"/>
      <c r="AHK35" s="37"/>
      <c r="AHL35" s="37"/>
      <c r="AHM35" s="37"/>
      <c r="AHN35" s="37"/>
      <c r="AHO35" s="37"/>
      <c r="AHP35" s="37"/>
      <c r="AHQ35" s="37"/>
      <c r="AHR35" s="37"/>
      <c r="AHS35" s="37"/>
      <c r="AHT35" s="37"/>
      <c r="AHU35" s="37"/>
      <c r="AHV35" s="37"/>
      <c r="AHW35" s="37"/>
      <c r="AHX35" s="37"/>
      <c r="AHY35" s="37"/>
      <c r="AHZ35" s="37"/>
      <c r="AIA35" s="37"/>
      <c r="AIB35" s="37"/>
      <c r="AIC35" s="37"/>
      <c r="AID35" s="37"/>
      <c r="AIE35" s="37"/>
      <c r="AIF35" s="37"/>
      <c r="AIG35" s="37"/>
      <c r="AIH35" s="37"/>
      <c r="AII35" s="37"/>
      <c r="AIJ35" s="37"/>
      <c r="AIK35" s="37"/>
      <c r="AIL35" s="37"/>
      <c r="AIM35" s="37"/>
      <c r="AIN35" s="37"/>
      <c r="AIO35" s="37"/>
      <c r="AIP35" s="37"/>
      <c r="AIQ35" s="37"/>
      <c r="AIR35" s="37"/>
      <c r="AIS35" s="37"/>
      <c r="AIT35" s="37"/>
      <c r="AIU35" s="37"/>
      <c r="AIV35" s="37"/>
      <c r="AIW35" s="37"/>
      <c r="AIX35" s="37"/>
      <c r="AIY35" s="37"/>
      <c r="AIZ35" s="37"/>
      <c r="AJA35" s="37"/>
      <c r="AJB35" s="37"/>
      <c r="AJC35" s="37"/>
      <c r="AJD35" s="37"/>
      <c r="AJE35" s="37"/>
      <c r="AJF35" s="37"/>
      <c r="AJG35" s="37"/>
      <c r="AJH35" s="37"/>
      <c r="AJI35" s="37"/>
      <c r="AJJ35" s="37"/>
      <c r="AJK35" s="37"/>
      <c r="AJL35" s="37"/>
      <c r="AJM35" s="37"/>
      <c r="AJN35" s="37"/>
      <c r="AJO35" s="37"/>
      <c r="AJP35" s="37"/>
      <c r="AJQ35" s="37"/>
      <c r="AJR35" s="37"/>
      <c r="AJS35" s="37"/>
      <c r="AJT35" s="37"/>
      <c r="AJU35" s="37"/>
      <c r="AJV35" s="37"/>
      <c r="AJW35" s="37"/>
      <c r="AJX35" s="37"/>
      <c r="AJY35" s="37"/>
      <c r="AJZ35" s="37"/>
      <c r="AKA35" s="37"/>
      <c r="AKB35" s="37"/>
      <c r="AKC35" s="37"/>
      <c r="AKD35" s="37"/>
      <c r="AKE35" s="37"/>
      <c r="AKF35" s="37"/>
      <c r="AKG35" s="37"/>
      <c r="AKH35" s="37"/>
      <c r="AKI35" s="37"/>
      <c r="AKJ35" s="37"/>
      <c r="AKK35" s="37"/>
      <c r="AKL35" s="37"/>
      <c r="AKM35" s="37"/>
      <c r="AKN35" s="37"/>
      <c r="AKO35" s="37"/>
      <c r="AKP35" s="37"/>
      <c r="AKQ35" s="37"/>
      <c r="AKR35" s="37"/>
      <c r="AKS35" s="37"/>
      <c r="AKT35" s="37"/>
      <c r="AKU35" s="37"/>
      <c r="AKV35" s="37"/>
      <c r="AKW35" s="37"/>
      <c r="AKX35" s="37"/>
      <c r="AKY35" s="37"/>
      <c r="AKZ35" s="37"/>
      <c r="ALA35" s="37"/>
      <c r="ALB35" s="37"/>
      <c r="ALC35" s="37"/>
      <c r="ALD35" s="37"/>
      <c r="ALE35" s="37"/>
      <c r="ALF35" s="37"/>
      <c r="ALG35" s="37"/>
      <c r="ALH35" s="37"/>
      <c r="ALI35" s="37"/>
      <c r="ALJ35" s="37"/>
      <c r="ALK35" s="37"/>
      <c r="ALL35" s="37"/>
      <c r="ALM35" s="37"/>
      <c r="ALN35" s="37"/>
      <c r="ALO35" s="37"/>
      <c r="ALP35" s="37"/>
      <c r="ALQ35" s="37"/>
      <c r="ALR35" s="37"/>
      <c r="ALS35" s="37"/>
      <c r="ALT35" s="37"/>
      <c r="ALU35" s="37"/>
      <c r="ALV35" s="37"/>
      <c r="ALW35" s="37"/>
      <c r="ALX35" s="37"/>
      <c r="ALY35" s="37"/>
      <c r="ALZ35" s="37"/>
      <c r="AMA35" s="37"/>
      <c r="AMB35" s="37"/>
      <c r="AMC35" s="37"/>
    </row>
    <row r="36" spans="1:1017" s="38" customFormat="1" ht="19.5" customHeight="1">
      <c r="A36" s="72"/>
      <c r="B36" s="73"/>
      <c r="C36" s="72"/>
      <c r="D36" s="72"/>
      <c r="E36" s="72"/>
      <c r="F36" s="72"/>
      <c r="G36" s="35">
        <v>40</v>
      </c>
      <c r="H36" s="35">
        <v>92</v>
      </c>
      <c r="I36" s="35">
        <v>110</v>
      </c>
      <c r="J36" s="35">
        <v>66</v>
      </c>
      <c r="K36" s="35">
        <v>35</v>
      </c>
      <c r="L36" s="35">
        <v>26</v>
      </c>
      <c r="M36" s="35">
        <v>21</v>
      </c>
      <c r="N36" s="35">
        <v>101</v>
      </c>
      <c r="O36" s="74" t="s">
        <v>79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  <c r="OU36" s="37"/>
      <c r="OV36" s="37"/>
      <c r="OW36" s="37"/>
      <c r="OX36" s="37"/>
      <c r="OY36" s="37"/>
      <c r="OZ36" s="37"/>
      <c r="PA36" s="37"/>
      <c r="PB36" s="37"/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P36" s="37"/>
      <c r="PQ36" s="37"/>
      <c r="PR36" s="37"/>
      <c r="PS36" s="37"/>
      <c r="PT36" s="37"/>
      <c r="PU36" s="37"/>
      <c r="PV36" s="37"/>
      <c r="PW36" s="37"/>
      <c r="PX36" s="37"/>
      <c r="PY36" s="37"/>
      <c r="PZ36" s="37"/>
      <c r="QA36" s="37"/>
      <c r="QB36" s="37"/>
      <c r="QC36" s="37"/>
      <c r="QD36" s="37"/>
      <c r="QE36" s="37"/>
      <c r="QF36" s="37"/>
      <c r="QG36" s="37"/>
      <c r="QH36" s="37"/>
      <c r="QI36" s="37"/>
      <c r="QJ36" s="37"/>
      <c r="QK36" s="37"/>
      <c r="QL36" s="37"/>
      <c r="QM36" s="37"/>
      <c r="QN36" s="37"/>
      <c r="QO36" s="37"/>
      <c r="QP36" s="37"/>
      <c r="QQ36" s="37"/>
      <c r="QR36" s="37"/>
      <c r="QS36" s="37"/>
      <c r="QT36" s="37"/>
      <c r="QU36" s="37"/>
      <c r="QV36" s="37"/>
      <c r="QW36" s="37"/>
      <c r="QX36" s="37"/>
      <c r="QY36" s="37"/>
      <c r="QZ36" s="37"/>
      <c r="RA36" s="37"/>
      <c r="RB36" s="37"/>
      <c r="RC36" s="37"/>
      <c r="RD36" s="37"/>
      <c r="RE36" s="37"/>
      <c r="RF36" s="37"/>
      <c r="RG36" s="37"/>
      <c r="RH36" s="37"/>
      <c r="RI36" s="37"/>
      <c r="RJ36" s="37"/>
      <c r="RK36" s="37"/>
      <c r="RL36" s="37"/>
      <c r="RM36" s="37"/>
      <c r="RN36" s="37"/>
      <c r="RO36" s="37"/>
      <c r="RP36" s="37"/>
      <c r="RQ36" s="37"/>
      <c r="RR36" s="37"/>
      <c r="RS36" s="37"/>
      <c r="RT36" s="37"/>
      <c r="RU36" s="37"/>
      <c r="RV36" s="37"/>
      <c r="RW36" s="37"/>
      <c r="RX36" s="37"/>
      <c r="RY36" s="37"/>
      <c r="RZ36" s="37"/>
      <c r="SA36" s="37"/>
      <c r="SB36" s="37"/>
      <c r="SC36" s="37"/>
      <c r="SD36" s="37"/>
      <c r="SE36" s="37"/>
      <c r="SF36" s="37"/>
      <c r="SG36" s="37"/>
      <c r="SH36" s="37"/>
      <c r="SI36" s="37"/>
      <c r="SJ36" s="37"/>
      <c r="SK36" s="37"/>
      <c r="SL36" s="37"/>
      <c r="SM36" s="37"/>
      <c r="SN36" s="37"/>
      <c r="SO36" s="37"/>
      <c r="SP36" s="37"/>
      <c r="SQ36" s="37"/>
      <c r="SR36" s="37"/>
      <c r="SS36" s="37"/>
      <c r="ST36" s="37"/>
      <c r="SU36" s="37"/>
      <c r="SV36" s="37"/>
      <c r="SW36" s="37"/>
      <c r="SX36" s="37"/>
      <c r="SY36" s="37"/>
      <c r="SZ36" s="37"/>
      <c r="TA36" s="37"/>
      <c r="TB36" s="37"/>
      <c r="TC36" s="37"/>
      <c r="TD36" s="37"/>
      <c r="TE36" s="37"/>
      <c r="TF36" s="37"/>
      <c r="TG36" s="37"/>
      <c r="TH36" s="37"/>
      <c r="TI36" s="37"/>
      <c r="TJ36" s="37"/>
      <c r="TK36" s="37"/>
      <c r="TL36" s="37"/>
      <c r="TM36" s="37"/>
      <c r="TN36" s="37"/>
      <c r="TO36" s="37"/>
      <c r="TP36" s="37"/>
      <c r="TQ36" s="37"/>
      <c r="TR36" s="37"/>
      <c r="TS36" s="37"/>
      <c r="TT36" s="37"/>
      <c r="TU36" s="37"/>
      <c r="TV36" s="37"/>
      <c r="TW36" s="37"/>
      <c r="TX36" s="37"/>
      <c r="TY36" s="37"/>
      <c r="TZ36" s="37"/>
      <c r="UA36" s="37"/>
      <c r="UB36" s="37"/>
      <c r="UC36" s="37"/>
      <c r="UD36" s="37"/>
      <c r="UE36" s="37"/>
      <c r="UF36" s="37"/>
      <c r="UG36" s="37"/>
      <c r="UH36" s="37"/>
      <c r="UI36" s="37"/>
      <c r="UJ36" s="37"/>
      <c r="UK36" s="37"/>
      <c r="UL36" s="37"/>
      <c r="UM36" s="37"/>
      <c r="UN36" s="37"/>
      <c r="UO36" s="37"/>
      <c r="UP36" s="37"/>
      <c r="UQ36" s="37"/>
      <c r="UR36" s="37"/>
      <c r="US36" s="37"/>
      <c r="UT36" s="37"/>
      <c r="UU36" s="37"/>
      <c r="UV36" s="37"/>
      <c r="UW36" s="37"/>
      <c r="UX36" s="37"/>
      <c r="UY36" s="37"/>
      <c r="UZ36" s="37"/>
      <c r="VA36" s="37"/>
      <c r="VB36" s="37"/>
      <c r="VC36" s="37"/>
      <c r="VD36" s="37"/>
      <c r="VE36" s="37"/>
      <c r="VF36" s="37"/>
      <c r="VG36" s="37"/>
      <c r="VH36" s="37"/>
      <c r="VI36" s="37"/>
      <c r="VJ36" s="37"/>
      <c r="VK36" s="37"/>
      <c r="VL36" s="37"/>
      <c r="VM36" s="37"/>
      <c r="VN36" s="37"/>
      <c r="VO36" s="37"/>
      <c r="VP36" s="37"/>
      <c r="VQ36" s="37"/>
      <c r="VR36" s="37"/>
      <c r="VS36" s="37"/>
      <c r="VT36" s="37"/>
      <c r="VU36" s="37"/>
      <c r="VV36" s="37"/>
      <c r="VW36" s="37"/>
      <c r="VX36" s="37"/>
      <c r="VY36" s="37"/>
      <c r="VZ36" s="37"/>
      <c r="WA36" s="37"/>
      <c r="WB36" s="37"/>
      <c r="WC36" s="37"/>
      <c r="WD36" s="37"/>
      <c r="WE36" s="37"/>
      <c r="WF36" s="37"/>
      <c r="WG36" s="37"/>
      <c r="WH36" s="37"/>
      <c r="WI36" s="37"/>
      <c r="WJ36" s="37"/>
      <c r="WK36" s="37"/>
      <c r="WL36" s="37"/>
      <c r="WM36" s="37"/>
      <c r="WN36" s="37"/>
      <c r="WO36" s="37"/>
      <c r="WP36" s="37"/>
      <c r="WQ36" s="37"/>
      <c r="WR36" s="37"/>
      <c r="WS36" s="37"/>
      <c r="WT36" s="37"/>
      <c r="WU36" s="37"/>
      <c r="WV36" s="37"/>
      <c r="WW36" s="37"/>
      <c r="WX36" s="37"/>
      <c r="WY36" s="37"/>
      <c r="WZ36" s="37"/>
      <c r="XA36" s="37"/>
      <c r="XB36" s="37"/>
      <c r="XC36" s="37"/>
      <c r="XD36" s="37"/>
      <c r="XE36" s="37"/>
      <c r="XF36" s="37"/>
      <c r="XG36" s="37"/>
      <c r="XH36" s="37"/>
      <c r="XI36" s="37"/>
      <c r="XJ36" s="37"/>
      <c r="XK36" s="37"/>
      <c r="XL36" s="37"/>
      <c r="XM36" s="37"/>
      <c r="XN36" s="37"/>
      <c r="XO36" s="37"/>
      <c r="XP36" s="37"/>
      <c r="XQ36" s="37"/>
      <c r="XR36" s="37"/>
      <c r="XS36" s="37"/>
      <c r="XT36" s="37"/>
      <c r="XU36" s="37"/>
      <c r="XV36" s="37"/>
      <c r="XW36" s="37"/>
      <c r="XX36" s="37"/>
      <c r="XY36" s="37"/>
      <c r="XZ36" s="37"/>
      <c r="YA36" s="37"/>
      <c r="YB36" s="37"/>
      <c r="YC36" s="37"/>
      <c r="YD36" s="37"/>
      <c r="YE36" s="37"/>
      <c r="YF36" s="37"/>
      <c r="YG36" s="37"/>
      <c r="YH36" s="37"/>
      <c r="YI36" s="37"/>
      <c r="YJ36" s="37"/>
      <c r="YK36" s="37"/>
      <c r="YL36" s="37"/>
      <c r="YM36" s="37"/>
      <c r="YN36" s="37"/>
      <c r="YO36" s="37"/>
      <c r="YP36" s="37"/>
      <c r="YQ36" s="37"/>
      <c r="YR36" s="37"/>
      <c r="YS36" s="37"/>
      <c r="YT36" s="37"/>
      <c r="YU36" s="37"/>
      <c r="YV36" s="37"/>
      <c r="YW36" s="37"/>
      <c r="YX36" s="37"/>
      <c r="YY36" s="37"/>
      <c r="YZ36" s="37"/>
      <c r="ZA36" s="37"/>
      <c r="ZB36" s="37"/>
      <c r="ZC36" s="37"/>
      <c r="ZD36" s="37"/>
      <c r="ZE36" s="37"/>
      <c r="ZF36" s="37"/>
      <c r="ZG36" s="37"/>
      <c r="ZH36" s="37"/>
      <c r="ZI36" s="37"/>
      <c r="ZJ36" s="37"/>
      <c r="ZK36" s="37"/>
      <c r="ZL36" s="37"/>
      <c r="ZM36" s="37"/>
      <c r="ZN36" s="37"/>
      <c r="ZO36" s="37"/>
      <c r="ZP36" s="37"/>
      <c r="ZQ36" s="37"/>
      <c r="ZR36" s="37"/>
      <c r="ZS36" s="37"/>
      <c r="ZT36" s="37"/>
      <c r="ZU36" s="37"/>
      <c r="ZV36" s="37"/>
      <c r="ZW36" s="37"/>
      <c r="ZX36" s="37"/>
      <c r="ZY36" s="37"/>
      <c r="ZZ36" s="37"/>
      <c r="AAA36" s="37"/>
      <c r="AAB36" s="37"/>
      <c r="AAC36" s="37"/>
      <c r="AAD36" s="37"/>
      <c r="AAE36" s="37"/>
      <c r="AAF36" s="37"/>
      <c r="AAG36" s="37"/>
      <c r="AAH36" s="37"/>
      <c r="AAI36" s="37"/>
      <c r="AAJ36" s="37"/>
      <c r="AAK36" s="37"/>
      <c r="AAL36" s="37"/>
      <c r="AAM36" s="37"/>
      <c r="AAN36" s="37"/>
      <c r="AAO36" s="37"/>
      <c r="AAP36" s="37"/>
      <c r="AAQ36" s="37"/>
      <c r="AAR36" s="37"/>
      <c r="AAS36" s="37"/>
      <c r="AAT36" s="37"/>
      <c r="AAU36" s="37"/>
      <c r="AAV36" s="37"/>
      <c r="AAW36" s="37"/>
      <c r="AAX36" s="37"/>
      <c r="AAY36" s="37"/>
      <c r="AAZ36" s="37"/>
      <c r="ABA36" s="37"/>
      <c r="ABB36" s="37"/>
      <c r="ABC36" s="37"/>
      <c r="ABD36" s="37"/>
      <c r="ABE36" s="37"/>
      <c r="ABF36" s="37"/>
      <c r="ABG36" s="37"/>
      <c r="ABH36" s="37"/>
      <c r="ABI36" s="37"/>
      <c r="ABJ36" s="37"/>
      <c r="ABK36" s="37"/>
      <c r="ABL36" s="37"/>
      <c r="ABM36" s="37"/>
      <c r="ABN36" s="37"/>
      <c r="ABO36" s="37"/>
      <c r="ABP36" s="37"/>
      <c r="ABQ36" s="37"/>
      <c r="ABR36" s="37"/>
      <c r="ABS36" s="37"/>
      <c r="ABT36" s="37"/>
      <c r="ABU36" s="37"/>
      <c r="ABV36" s="37"/>
      <c r="ABW36" s="37"/>
      <c r="ABX36" s="37"/>
      <c r="ABY36" s="37"/>
      <c r="ABZ36" s="37"/>
      <c r="ACA36" s="37"/>
      <c r="ACB36" s="37"/>
      <c r="ACC36" s="37"/>
      <c r="ACD36" s="37"/>
      <c r="ACE36" s="37"/>
      <c r="ACF36" s="37"/>
      <c r="ACG36" s="37"/>
      <c r="ACH36" s="37"/>
      <c r="ACI36" s="37"/>
      <c r="ACJ36" s="37"/>
      <c r="ACK36" s="37"/>
      <c r="ACL36" s="37"/>
      <c r="ACM36" s="37"/>
      <c r="ACN36" s="37"/>
      <c r="ACO36" s="37"/>
      <c r="ACP36" s="37"/>
      <c r="ACQ36" s="37"/>
      <c r="ACR36" s="37"/>
      <c r="ACS36" s="37"/>
      <c r="ACT36" s="37"/>
      <c r="ACU36" s="37"/>
      <c r="ACV36" s="37"/>
      <c r="ACW36" s="37"/>
      <c r="ACX36" s="37"/>
      <c r="ACY36" s="37"/>
      <c r="ACZ36" s="37"/>
      <c r="ADA36" s="37"/>
      <c r="ADB36" s="37"/>
      <c r="ADC36" s="37"/>
      <c r="ADD36" s="37"/>
      <c r="ADE36" s="37"/>
      <c r="ADF36" s="37"/>
      <c r="ADG36" s="37"/>
      <c r="ADH36" s="37"/>
      <c r="ADI36" s="37"/>
      <c r="ADJ36" s="37"/>
      <c r="ADK36" s="37"/>
      <c r="ADL36" s="37"/>
      <c r="ADM36" s="37"/>
      <c r="ADN36" s="37"/>
      <c r="ADO36" s="37"/>
      <c r="ADP36" s="37"/>
      <c r="ADQ36" s="37"/>
      <c r="ADR36" s="37"/>
      <c r="ADS36" s="37"/>
      <c r="ADT36" s="37"/>
      <c r="ADU36" s="37"/>
      <c r="ADV36" s="37"/>
      <c r="ADW36" s="37"/>
      <c r="ADX36" s="37"/>
      <c r="ADY36" s="37"/>
      <c r="ADZ36" s="37"/>
      <c r="AEA36" s="37"/>
      <c r="AEB36" s="37"/>
      <c r="AEC36" s="37"/>
      <c r="AED36" s="37"/>
      <c r="AEE36" s="37"/>
      <c r="AEF36" s="37"/>
      <c r="AEG36" s="37"/>
      <c r="AEH36" s="37"/>
      <c r="AEI36" s="37"/>
      <c r="AEJ36" s="37"/>
      <c r="AEK36" s="37"/>
      <c r="AEL36" s="37"/>
      <c r="AEM36" s="37"/>
      <c r="AEN36" s="37"/>
      <c r="AEO36" s="37"/>
      <c r="AEP36" s="37"/>
      <c r="AEQ36" s="37"/>
      <c r="AER36" s="37"/>
      <c r="AES36" s="37"/>
      <c r="AET36" s="37"/>
      <c r="AEU36" s="37"/>
      <c r="AEV36" s="37"/>
      <c r="AEW36" s="37"/>
      <c r="AEX36" s="37"/>
      <c r="AEY36" s="37"/>
      <c r="AEZ36" s="37"/>
      <c r="AFA36" s="37"/>
      <c r="AFB36" s="37"/>
      <c r="AFC36" s="37"/>
      <c r="AFD36" s="37"/>
      <c r="AFE36" s="37"/>
      <c r="AFF36" s="37"/>
      <c r="AFG36" s="37"/>
      <c r="AFH36" s="37"/>
      <c r="AFI36" s="37"/>
      <c r="AFJ36" s="37"/>
      <c r="AFK36" s="37"/>
      <c r="AFL36" s="37"/>
      <c r="AFM36" s="37"/>
      <c r="AFN36" s="37"/>
      <c r="AFO36" s="37"/>
      <c r="AFP36" s="37"/>
      <c r="AFQ36" s="37"/>
      <c r="AFR36" s="37"/>
      <c r="AFS36" s="37"/>
      <c r="AFT36" s="37"/>
      <c r="AFU36" s="37"/>
      <c r="AFV36" s="37"/>
      <c r="AFW36" s="37"/>
      <c r="AFX36" s="37"/>
      <c r="AFY36" s="37"/>
      <c r="AFZ36" s="37"/>
      <c r="AGA36" s="37"/>
      <c r="AGB36" s="37"/>
      <c r="AGC36" s="37"/>
      <c r="AGD36" s="37"/>
      <c r="AGE36" s="37"/>
      <c r="AGF36" s="37"/>
      <c r="AGG36" s="37"/>
      <c r="AGH36" s="37"/>
      <c r="AGI36" s="37"/>
      <c r="AGJ36" s="37"/>
      <c r="AGK36" s="37"/>
      <c r="AGL36" s="37"/>
      <c r="AGM36" s="37"/>
      <c r="AGN36" s="37"/>
      <c r="AGO36" s="37"/>
      <c r="AGP36" s="37"/>
      <c r="AGQ36" s="37"/>
      <c r="AGR36" s="37"/>
      <c r="AGS36" s="37"/>
      <c r="AGT36" s="37"/>
      <c r="AGU36" s="37"/>
      <c r="AGV36" s="37"/>
      <c r="AGW36" s="37"/>
      <c r="AGX36" s="37"/>
      <c r="AGY36" s="37"/>
      <c r="AGZ36" s="37"/>
      <c r="AHA36" s="37"/>
      <c r="AHB36" s="37"/>
      <c r="AHC36" s="37"/>
      <c r="AHD36" s="37"/>
      <c r="AHE36" s="37"/>
      <c r="AHF36" s="37"/>
      <c r="AHG36" s="37"/>
      <c r="AHH36" s="37"/>
      <c r="AHI36" s="37"/>
      <c r="AHJ36" s="37"/>
      <c r="AHK36" s="37"/>
      <c r="AHL36" s="37"/>
      <c r="AHM36" s="37"/>
      <c r="AHN36" s="37"/>
      <c r="AHO36" s="37"/>
      <c r="AHP36" s="37"/>
      <c r="AHQ36" s="37"/>
      <c r="AHR36" s="37"/>
      <c r="AHS36" s="37"/>
      <c r="AHT36" s="37"/>
      <c r="AHU36" s="37"/>
      <c r="AHV36" s="37"/>
      <c r="AHW36" s="37"/>
      <c r="AHX36" s="37"/>
      <c r="AHY36" s="37"/>
      <c r="AHZ36" s="37"/>
      <c r="AIA36" s="37"/>
      <c r="AIB36" s="37"/>
      <c r="AIC36" s="37"/>
      <c r="AID36" s="37"/>
      <c r="AIE36" s="37"/>
      <c r="AIF36" s="37"/>
      <c r="AIG36" s="37"/>
      <c r="AIH36" s="37"/>
      <c r="AII36" s="37"/>
      <c r="AIJ36" s="37"/>
      <c r="AIK36" s="37"/>
      <c r="AIL36" s="37"/>
      <c r="AIM36" s="37"/>
      <c r="AIN36" s="37"/>
      <c r="AIO36" s="37"/>
      <c r="AIP36" s="37"/>
      <c r="AIQ36" s="37"/>
      <c r="AIR36" s="37"/>
      <c r="AIS36" s="37"/>
      <c r="AIT36" s="37"/>
      <c r="AIU36" s="37"/>
      <c r="AIV36" s="37"/>
      <c r="AIW36" s="37"/>
      <c r="AIX36" s="37"/>
      <c r="AIY36" s="37"/>
      <c r="AIZ36" s="37"/>
      <c r="AJA36" s="37"/>
      <c r="AJB36" s="37"/>
      <c r="AJC36" s="37"/>
      <c r="AJD36" s="37"/>
      <c r="AJE36" s="37"/>
      <c r="AJF36" s="37"/>
      <c r="AJG36" s="37"/>
      <c r="AJH36" s="37"/>
      <c r="AJI36" s="37"/>
      <c r="AJJ36" s="37"/>
      <c r="AJK36" s="37"/>
      <c r="AJL36" s="37"/>
      <c r="AJM36" s="37"/>
      <c r="AJN36" s="37"/>
      <c r="AJO36" s="37"/>
      <c r="AJP36" s="37"/>
      <c r="AJQ36" s="37"/>
      <c r="AJR36" s="37"/>
      <c r="AJS36" s="37"/>
      <c r="AJT36" s="37"/>
      <c r="AJU36" s="37"/>
      <c r="AJV36" s="37"/>
      <c r="AJW36" s="37"/>
      <c r="AJX36" s="37"/>
      <c r="AJY36" s="37"/>
      <c r="AJZ36" s="37"/>
      <c r="AKA36" s="37"/>
      <c r="AKB36" s="37"/>
      <c r="AKC36" s="37"/>
      <c r="AKD36" s="37"/>
      <c r="AKE36" s="37"/>
      <c r="AKF36" s="37"/>
      <c r="AKG36" s="37"/>
      <c r="AKH36" s="37"/>
      <c r="AKI36" s="37"/>
      <c r="AKJ36" s="37"/>
      <c r="AKK36" s="37"/>
      <c r="AKL36" s="37"/>
      <c r="AKM36" s="37"/>
      <c r="AKN36" s="37"/>
      <c r="AKO36" s="37"/>
      <c r="AKP36" s="37"/>
      <c r="AKQ36" s="37"/>
      <c r="AKR36" s="37"/>
      <c r="AKS36" s="37"/>
      <c r="AKT36" s="37"/>
      <c r="AKU36" s="37"/>
      <c r="AKV36" s="37"/>
      <c r="AKW36" s="37"/>
      <c r="AKX36" s="37"/>
      <c r="AKY36" s="37"/>
      <c r="AKZ36" s="37"/>
      <c r="ALA36" s="37"/>
      <c r="ALB36" s="37"/>
      <c r="ALC36" s="37"/>
      <c r="ALD36" s="37"/>
      <c r="ALE36" s="37"/>
      <c r="ALF36" s="37"/>
      <c r="ALG36" s="37"/>
      <c r="ALH36" s="37"/>
      <c r="ALI36" s="37"/>
      <c r="ALJ36" s="37"/>
      <c r="ALK36" s="37"/>
      <c r="ALL36" s="37"/>
      <c r="ALM36" s="37"/>
      <c r="ALN36" s="37"/>
      <c r="ALO36" s="37"/>
      <c r="ALP36" s="37"/>
      <c r="ALQ36" s="37"/>
      <c r="ALR36" s="37"/>
      <c r="ALS36" s="37"/>
      <c r="ALT36" s="37"/>
      <c r="ALU36" s="37"/>
      <c r="ALV36" s="37"/>
      <c r="ALW36" s="37"/>
      <c r="ALX36" s="37"/>
      <c r="ALY36" s="37"/>
      <c r="ALZ36" s="37"/>
      <c r="AMA36" s="37"/>
      <c r="AMB36" s="37"/>
      <c r="AMC36" s="37"/>
    </row>
    <row r="37" spans="1:1017" s="38" customFormat="1" ht="19.5" customHeight="1">
      <c r="A37" s="75"/>
      <c r="B37" s="76"/>
      <c r="C37" s="75"/>
      <c r="D37" s="75"/>
      <c r="E37" s="75"/>
      <c r="F37" s="75"/>
      <c r="G37" s="77">
        <v>47</v>
      </c>
      <c r="H37" s="77">
        <v>57</v>
      </c>
      <c r="I37" s="77">
        <v>19</v>
      </c>
      <c r="J37" s="77">
        <v>14</v>
      </c>
      <c r="K37" s="77">
        <v>104</v>
      </c>
      <c r="L37" s="77">
        <v>100</v>
      </c>
      <c r="M37" s="77">
        <v>114</v>
      </c>
      <c r="N37" s="77"/>
      <c r="O37" s="7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OZ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P37" s="37"/>
      <c r="PQ37" s="37"/>
      <c r="PR37" s="37"/>
      <c r="PS37" s="37"/>
      <c r="PT37" s="37"/>
      <c r="PU37" s="37"/>
      <c r="PV37" s="37"/>
      <c r="PW37" s="37"/>
      <c r="PX37" s="37"/>
      <c r="PY37" s="37"/>
      <c r="PZ37" s="37"/>
      <c r="QA37" s="37"/>
      <c r="QB37" s="37"/>
      <c r="QC37" s="37"/>
      <c r="QD37" s="37"/>
      <c r="QE37" s="37"/>
      <c r="QF37" s="37"/>
      <c r="QG37" s="37"/>
      <c r="QH37" s="37"/>
      <c r="QI37" s="37"/>
      <c r="QJ37" s="37"/>
      <c r="QK37" s="37"/>
      <c r="QL37" s="37"/>
      <c r="QM37" s="37"/>
      <c r="QN37" s="37"/>
      <c r="QO37" s="37"/>
      <c r="QP37" s="37"/>
      <c r="QQ37" s="37"/>
      <c r="QR37" s="37"/>
      <c r="QS37" s="37"/>
      <c r="QT37" s="37"/>
      <c r="QU37" s="37"/>
      <c r="QV37" s="37"/>
      <c r="QW37" s="37"/>
      <c r="QX37" s="37"/>
      <c r="QY37" s="37"/>
      <c r="QZ37" s="37"/>
      <c r="RA37" s="37"/>
      <c r="RB37" s="37"/>
      <c r="RC37" s="37"/>
      <c r="RD37" s="37"/>
      <c r="RE37" s="37"/>
      <c r="RF37" s="37"/>
      <c r="RG37" s="37"/>
      <c r="RH37" s="37"/>
      <c r="RI37" s="37"/>
      <c r="RJ37" s="37"/>
      <c r="RK37" s="37"/>
      <c r="RL37" s="37"/>
      <c r="RM37" s="37"/>
      <c r="RN37" s="37"/>
      <c r="RO37" s="37"/>
      <c r="RP37" s="37"/>
      <c r="RQ37" s="37"/>
      <c r="RR37" s="37"/>
      <c r="RS37" s="37"/>
      <c r="RT37" s="37"/>
      <c r="RU37" s="37"/>
      <c r="RV37" s="37"/>
      <c r="RW37" s="37"/>
      <c r="RX37" s="37"/>
      <c r="RY37" s="37"/>
      <c r="RZ37" s="37"/>
      <c r="SA37" s="37"/>
      <c r="SB37" s="37"/>
      <c r="SC37" s="37"/>
      <c r="SD37" s="37"/>
      <c r="SE37" s="37"/>
      <c r="SF37" s="37"/>
      <c r="SG37" s="37"/>
      <c r="SH37" s="37"/>
      <c r="SI37" s="37"/>
      <c r="SJ37" s="37"/>
      <c r="SK37" s="37"/>
      <c r="SL37" s="37"/>
      <c r="SM37" s="37"/>
      <c r="SN37" s="37"/>
      <c r="SO37" s="37"/>
      <c r="SP37" s="37"/>
      <c r="SQ37" s="37"/>
      <c r="SR37" s="37"/>
      <c r="SS37" s="37"/>
      <c r="ST37" s="37"/>
      <c r="SU37" s="37"/>
      <c r="SV37" s="37"/>
      <c r="SW37" s="37"/>
      <c r="SX37" s="37"/>
      <c r="SY37" s="37"/>
      <c r="SZ37" s="37"/>
      <c r="TA37" s="37"/>
      <c r="TB37" s="37"/>
      <c r="TC37" s="37"/>
      <c r="TD37" s="37"/>
      <c r="TE37" s="37"/>
      <c r="TF37" s="37"/>
      <c r="TG37" s="37"/>
      <c r="TH37" s="37"/>
      <c r="TI37" s="37"/>
      <c r="TJ37" s="37"/>
      <c r="TK37" s="37"/>
      <c r="TL37" s="37"/>
      <c r="TM37" s="37"/>
      <c r="TN37" s="37"/>
      <c r="TO37" s="37"/>
      <c r="TP37" s="37"/>
      <c r="TQ37" s="37"/>
      <c r="TR37" s="37"/>
      <c r="TS37" s="37"/>
      <c r="TT37" s="37"/>
      <c r="TU37" s="37"/>
      <c r="TV37" s="37"/>
      <c r="TW37" s="37"/>
      <c r="TX37" s="37"/>
      <c r="TY37" s="37"/>
      <c r="TZ37" s="37"/>
      <c r="UA37" s="37"/>
      <c r="UB37" s="37"/>
      <c r="UC37" s="37"/>
      <c r="UD37" s="37"/>
      <c r="UE37" s="37"/>
      <c r="UF37" s="37"/>
      <c r="UG37" s="37"/>
      <c r="UH37" s="37"/>
      <c r="UI37" s="37"/>
      <c r="UJ37" s="37"/>
      <c r="UK37" s="37"/>
      <c r="UL37" s="37"/>
      <c r="UM37" s="37"/>
      <c r="UN37" s="37"/>
      <c r="UO37" s="37"/>
      <c r="UP37" s="37"/>
      <c r="UQ37" s="37"/>
      <c r="UR37" s="37"/>
      <c r="US37" s="37"/>
      <c r="UT37" s="37"/>
      <c r="UU37" s="37"/>
      <c r="UV37" s="37"/>
      <c r="UW37" s="37"/>
      <c r="UX37" s="37"/>
      <c r="UY37" s="37"/>
      <c r="UZ37" s="37"/>
      <c r="VA37" s="37"/>
      <c r="VB37" s="37"/>
      <c r="VC37" s="37"/>
      <c r="VD37" s="37"/>
      <c r="VE37" s="37"/>
      <c r="VF37" s="37"/>
      <c r="VG37" s="37"/>
      <c r="VH37" s="37"/>
      <c r="VI37" s="37"/>
      <c r="VJ37" s="37"/>
      <c r="VK37" s="37"/>
      <c r="VL37" s="37"/>
      <c r="VM37" s="37"/>
      <c r="VN37" s="37"/>
      <c r="VO37" s="37"/>
      <c r="VP37" s="37"/>
      <c r="VQ37" s="37"/>
      <c r="VR37" s="37"/>
      <c r="VS37" s="37"/>
      <c r="VT37" s="37"/>
      <c r="VU37" s="37"/>
      <c r="VV37" s="37"/>
      <c r="VW37" s="37"/>
      <c r="VX37" s="37"/>
      <c r="VY37" s="37"/>
      <c r="VZ37" s="37"/>
      <c r="WA37" s="37"/>
      <c r="WB37" s="37"/>
      <c r="WC37" s="37"/>
      <c r="WD37" s="37"/>
      <c r="WE37" s="37"/>
      <c r="WF37" s="37"/>
      <c r="WG37" s="37"/>
      <c r="WH37" s="37"/>
      <c r="WI37" s="37"/>
      <c r="WJ37" s="37"/>
      <c r="WK37" s="37"/>
      <c r="WL37" s="37"/>
      <c r="WM37" s="37"/>
      <c r="WN37" s="37"/>
      <c r="WO37" s="37"/>
      <c r="WP37" s="37"/>
      <c r="WQ37" s="37"/>
      <c r="WR37" s="37"/>
      <c r="WS37" s="37"/>
      <c r="WT37" s="37"/>
      <c r="WU37" s="37"/>
      <c r="WV37" s="37"/>
      <c r="WW37" s="37"/>
      <c r="WX37" s="37"/>
      <c r="WY37" s="37"/>
      <c r="WZ37" s="37"/>
      <c r="XA37" s="37"/>
      <c r="XB37" s="37"/>
      <c r="XC37" s="37"/>
      <c r="XD37" s="37"/>
      <c r="XE37" s="37"/>
      <c r="XF37" s="37"/>
      <c r="XG37" s="37"/>
      <c r="XH37" s="37"/>
      <c r="XI37" s="37"/>
      <c r="XJ37" s="37"/>
      <c r="XK37" s="37"/>
      <c r="XL37" s="37"/>
      <c r="XM37" s="37"/>
      <c r="XN37" s="37"/>
      <c r="XO37" s="37"/>
      <c r="XP37" s="37"/>
      <c r="XQ37" s="37"/>
      <c r="XR37" s="37"/>
      <c r="XS37" s="37"/>
      <c r="XT37" s="37"/>
      <c r="XU37" s="37"/>
      <c r="XV37" s="37"/>
      <c r="XW37" s="37"/>
      <c r="XX37" s="37"/>
      <c r="XY37" s="37"/>
      <c r="XZ37" s="37"/>
      <c r="YA37" s="37"/>
      <c r="YB37" s="37"/>
      <c r="YC37" s="37"/>
      <c r="YD37" s="37"/>
      <c r="YE37" s="37"/>
      <c r="YF37" s="37"/>
      <c r="YG37" s="37"/>
      <c r="YH37" s="37"/>
      <c r="YI37" s="37"/>
      <c r="YJ37" s="37"/>
      <c r="YK37" s="37"/>
      <c r="YL37" s="37"/>
      <c r="YM37" s="37"/>
      <c r="YN37" s="37"/>
      <c r="YO37" s="37"/>
      <c r="YP37" s="37"/>
      <c r="YQ37" s="37"/>
      <c r="YR37" s="37"/>
      <c r="YS37" s="37"/>
      <c r="YT37" s="37"/>
      <c r="YU37" s="37"/>
      <c r="YV37" s="37"/>
      <c r="YW37" s="37"/>
      <c r="YX37" s="37"/>
      <c r="YY37" s="37"/>
      <c r="YZ37" s="37"/>
      <c r="ZA37" s="37"/>
      <c r="ZB37" s="37"/>
      <c r="ZC37" s="37"/>
      <c r="ZD37" s="37"/>
      <c r="ZE37" s="37"/>
      <c r="ZF37" s="37"/>
      <c r="ZG37" s="37"/>
      <c r="ZH37" s="37"/>
      <c r="ZI37" s="37"/>
      <c r="ZJ37" s="37"/>
      <c r="ZK37" s="37"/>
      <c r="ZL37" s="37"/>
      <c r="ZM37" s="37"/>
      <c r="ZN37" s="37"/>
      <c r="ZO37" s="37"/>
      <c r="ZP37" s="37"/>
      <c r="ZQ37" s="37"/>
      <c r="ZR37" s="37"/>
      <c r="ZS37" s="37"/>
      <c r="ZT37" s="37"/>
      <c r="ZU37" s="37"/>
      <c r="ZV37" s="37"/>
      <c r="ZW37" s="37"/>
      <c r="ZX37" s="37"/>
      <c r="ZY37" s="37"/>
      <c r="ZZ37" s="37"/>
      <c r="AAA37" s="37"/>
      <c r="AAB37" s="37"/>
      <c r="AAC37" s="37"/>
      <c r="AAD37" s="37"/>
      <c r="AAE37" s="37"/>
      <c r="AAF37" s="37"/>
      <c r="AAG37" s="37"/>
      <c r="AAH37" s="37"/>
      <c r="AAI37" s="37"/>
      <c r="AAJ37" s="37"/>
      <c r="AAK37" s="37"/>
      <c r="AAL37" s="37"/>
      <c r="AAM37" s="37"/>
      <c r="AAN37" s="37"/>
      <c r="AAO37" s="37"/>
      <c r="AAP37" s="37"/>
      <c r="AAQ37" s="37"/>
      <c r="AAR37" s="37"/>
      <c r="AAS37" s="37"/>
      <c r="AAT37" s="37"/>
      <c r="AAU37" s="37"/>
      <c r="AAV37" s="37"/>
      <c r="AAW37" s="37"/>
      <c r="AAX37" s="37"/>
      <c r="AAY37" s="37"/>
      <c r="AAZ37" s="37"/>
      <c r="ABA37" s="37"/>
      <c r="ABB37" s="37"/>
      <c r="ABC37" s="37"/>
      <c r="ABD37" s="37"/>
      <c r="ABE37" s="37"/>
      <c r="ABF37" s="37"/>
      <c r="ABG37" s="37"/>
      <c r="ABH37" s="37"/>
      <c r="ABI37" s="37"/>
      <c r="ABJ37" s="37"/>
      <c r="ABK37" s="37"/>
      <c r="ABL37" s="37"/>
      <c r="ABM37" s="37"/>
      <c r="ABN37" s="37"/>
      <c r="ABO37" s="37"/>
      <c r="ABP37" s="37"/>
      <c r="ABQ37" s="37"/>
      <c r="ABR37" s="37"/>
      <c r="ABS37" s="37"/>
      <c r="ABT37" s="37"/>
      <c r="ABU37" s="37"/>
      <c r="ABV37" s="37"/>
      <c r="ABW37" s="37"/>
      <c r="ABX37" s="37"/>
      <c r="ABY37" s="37"/>
      <c r="ABZ37" s="37"/>
      <c r="ACA37" s="37"/>
      <c r="ACB37" s="37"/>
      <c r="ACC37" s="37"/>
      <c r="ACD37" s="37"/>
      <c r="ACE37" s="37"/>
      <c r="ACF37" s="37"/>
      <c r="ACG37" s="37"/>
      <c r="ACH37" s="37"/>
      <c r="ACI37" s="37"/>
      <c r="ACJ37" s="37"/>
      <c r="ACK37" s="37"/>
      <c r="ACL37" s="37"/>
      <c r="ACM37" s="37"/>
      <c r="ACN37" s="37"/>
      <c r="ACO37" s="37"/>
      <c r="ACP37" s="37"/>
      <c r="ACQ37" s="37"/>
      <c r="ACR37" s="37"/>
      <c r="ACS37" s="37"/>
      <c r="ACT37" s="37"/>
      <c r="ACU37" s="37"/>
      <c r="ACV37" s="37"/>
      <c r="ACW37" s="37"/>
      <c r="ACX37" s="37"/>
      <c r="ACY37" s="37"/>
      <c r="ACZ37" s="37"/>
      <c r="ADA37" s="37"/>
      <c r="ADB37" s="37"/>
      <c r="ADC37" s="37"/>
      <c r="ADD37" s="37"/>
      <c r="ADE37" s="37"/>
      <c r="ADF37" s="37"/>
      <c r="ADG37" s="37"/>
      <c r="ADH37" s="37"/>
      <c r="ADI37" s="37"/>
      <c r="ADJ37" s="37"/>
      <c r="ADK37" s="37"/>
      <c r="ADL37" s="37"/>
      <c r="ADM37" s="37"/>
      <c r="ADN37" s="37"/>
      <c r="ADO37" s="37"/>
      <c r="ADP37" s="37"/>
      <c r="ADQ37" s="37"/>
      <c r="ADR37" s="37"/>
      <c r="ADS37" s="37"/>
      <c r="ADT37" s="37"/>
      <c r="ADU37" s="37"/>
      <c r="ADV37" s="37"/>
      <c r="ADW37" s="37"/>
      <c r="ADX37" s="37"/>
      <c r="ADY37" s="37"/>
      <c r="ADZ37" s="37"/>
      <c r="AEA37" s="37"/>
      <c r="AEB37" s="37"/>
      <c r="AEC37" s="37"/>
      <c r="AED37" s="37"/>
      <c r="AEE37" s="37"/>
      <c r="AEF37" s="37"/>
      <c r="AEG37" s="37"/>
      <c r="AEH37" s="37"/>
      <c r="AEI37" s="37"/>
      <c r="AEJ37" s="37"/>
      <c r="AEK37" s="37"/>
      <c r="AEL37" s="37"/>
      <c r="AEM37" s="37"/>
      <c r="AEN37" s="37"/>
      <c r="AEO37" s="37"/>
      <c r="AEP37" s="37"/>
      <c r="AEQ37" s="37"/>
      <c r="AER37" s="37"/>
      <c r="AES37" s="37"/>
      <c r="AET37" s="37"/>
      <c r="AEU37" s="37"/>
      <c r="AEV37" s="37"/>
      <c r="AEW37" s="37"/>
      <c r="AEX37" s="37"/>
      <c r="AEY37" s="37"/>
      <c r="AEZ37" s="37"/>
      <c r="AFA37" s="37"/>
      <c r="AFB37" s="37"/>
      <c r="AFC37" s="37"/>
      <c r="AFD37" s="37"/>
      <c r="AFE37" s="37"/>
      <c r="AFF37" s="37"/>
      <c r="AFG37" s="37"/>
      <c r="AFH37" s="37"/>
      <c r="AFI37" s="37"/>
      <c r="AFJ37" s="37"/>
      <c r="AFK37" s="37"/>
      <c r="AFL37" s="37"/>
      <c r="AFM37" s="37"/>
      <c r="AFN37" s="37"/>
      <c r="AFO37" s="37"/>
      <c r="AFP37" s="37"/>
      <c r="AFQ37" s="37"/>
      <c r="AFR37" s="37"/>
      <c r="AFS37" s="37"/>
      <c r="AFT37" s="37"/>
      <c r="AFU37" s="37"/>
      <c r="AFV37" s="37"/>
      <c r="AFW37" s="37"/>
      <c r="AFX37" s="37"/>
      <c r="AFY37" s="37"/>
      <c r="AFZ37" s="37"/>
      <c r="AGA37" s="37"/>
      <c r="AGB37" s="37"/>
      <c r="AGC37" s="37"/>
      <c r="AGD37" s="37"/>
      <c r="AGE37" s="37"/>
      <c r="AGF37" s="37"/>
      <c r="AGG37" s="37"/>
      <c r="AGH37" s="37"/>
      <c r="AGI37" s="37"/>
      <c r="AGJ37" s="37"/>
      <c r="AGK37" s="37"/>
      <c r="AGL37" s="37"/>
      <c r="AGM37" s="37"/>
      <c r="AGN37" s="37"/>
      <c r="AGO37" s="37"/>
      <c r="AGP37" s="37"/>
      <c r="AGQ37" s="37"/>
      <c r="AGR37" s="37"/>
      <c r="AGS37" s="37"/>
      <c r="AGT37" s="37"/>
      <c r="AGU37" s="37"/>
      <c r="AGV37" s="37"/>
      <c r="AGW37" s="37"/>
      <c r="AGX37" s="37"/>
      <c r="AGY37" s="37"/>
      <c r="AGZ37" s="37"/>
      <c r="AHA37" s="37"/>
      <c r="AHB37" s="37"/>
      <c r="AHC37" s="37"/>
      <c r="AHD37" s="37"/>
      <c r="AHE37" s="37"/>
      <c r="AHF37" s="37"/>
      <c r="AHG37" s="37"/>
      <c r="AHH37" s="37"/>
      <c r="AHI37" s="37"/>
      <c r="AHJ37" s="37"/>
      <c r="AHK37" s="37"/>
      <c r="AHL37" s="37"/>
      <c r="AHM37" s="37"/>
      <c r="AHN37" s="37"/>
      <c r="AHO37" s="37"/>
      <c r="AHP37" s="37"/>
      <c r="AHQ37" s="37"/>
      <c r="AHR37" s="37"/>
      <c r="AHS37" s="37"/>
      <c r="AHT37" s="37"/>
      <c r="AHU37" s="37"/>
      <c r="AHV37" s="37"/>
      <c r="AHW37" s="37"/>
      <c r="AHX37" s="37"/>
      <c r="AHY37" s="37"/>
      <c r="AHZ37" s="37"/>
      <c r="AIA37" s="37"/>
      <c r="AIB37" s="37"/>
      <c r="AIC37" s="37"/>
      <c r="AID37" s="37"/>
      <c r="AIE37" s="37"/>
      <c r="AIF37" s="37"/>
      <c r="AIG37" s="37"/>
      <c r="AIH37" s="37"/>
      <c r="AII37" s="37"/>
      <c r="AIJ37" s="37"/>
      <c r="AIK37" s="37"/>
      <c r="AIL37" s="37"/>
      <c r="AIM37" s="37"/>
      <c r="AIN37" s="37"/>
      <c r="AIO37" s="37"/>
      <c r="AIP37" s="37"/>
      <c r="AIQ37" s="37"/>
      <c r="AIR37" s="37"/>
      <c r="AIS37" s="37"/>
      <c r="AIT37" s="37"/>
      <c r="AIU37" s="37"/>
      <c r="AIV37" s="37"/>
      <c r="AIW37" s="37"/>
      <c r="AIX37" s="37"/>
      <c r="AIY37" s="37"/>
      <c r="AIZ37" s="37"/>
      <c r="AJA37" s="37"/>
      <c r="AJB37" s="37"/>
      <c r="AJC37" s="37"/>
      <c r="AJD37" s="37"/>
      <c r="AJE37" s="37"/>
      <c r="AJF37" s="37"/>
      <c r="AJG37" s="37"/>
      <c r="AJH37" s="37"/>
      <c r="AJI37" s="37"/>
      <c r="AJJ37" s="37"/>
      <c r="AJK37" s="37"/>
      <c r="AJL37" s="37"/>
      <c r="AJM37" s="37"/>
      <c r="AJN37" s="37"/>
      <c r="AJO37" s="37"/>
      <c r="AJP37" s="37"/>
      <c r="AJQ37" s="37"/>
      <c r="AJR37" s="37"/>
      <c r="AJS37" s="37"/>
      <c r="AJT37" s="37"/>
      <c r="AJU37" s="37"/>
      <c r="AJV37" s="37"/>
      <c r="AJW37" s="37"/>
      <c r="AJX37" s="37"/>
      <c r="AJY37" s="37"/>
      <c r="AJZ37" s="37"/>
      <c r="AKA37" s="37"/>
      <c r="AKB37" s="37"/>
      <c r="AKC37" s="37"/>
      <c r="AKD37" s="37"/>
      <c r="AKE37" s="37"/>
      <c r="AKF37" s="37"/>
      <c r="AKG37" s="37"/>
      <c r="AKH37" s="37"/>
      <c r="AKI37" s="37"/>
      <c r="AKJ37" s="37"/>
      <c r="AKK37" s="37"/>
      <c r="AKL37" s="37"/>
      <c r="AKM37" s="37"/>
      <c r="AKN37" s="37"/>
      <c r="AKO37" s="37"/>
      <c r="AKP37" s="37"/>
      <c r="AKQ37" s="37"/>
      <c r="AKR37" s="37"/>
      <c r="AKS37" s="37"/>
      <c r="AKT37" s="37"/>
      <c r="AKU37" s="37"/>
      <c r="AKV37" s="37"/>
      <c r="AKW37" s="37"/>
      <c r="AKX37" s="37"/>
      <c r="AKY37" s="37"/>
      <c r="AKZ37" s="37"/>
      <c r="ALA37" s="37"/>
      <c r="ALB37" s="37"/>
      <c r="ALC37" s="37"/>
      <c r="ALD37" s="37"/>
      <c r="ALE37" s="37"/>
      <c r="ALF37" s="37"/>
      <c r="ALG37" s="37"/>
      <c r="ALH37" s="37"/>
      <c r="ALI37" s="37"/>
      <c r="ALJ37" s="37"/>
      <c r="ALK37" s="37"/>
      <c r="ALL37" s="37"/>
      <c r="ALM37" s="37"/>
      <c r="ALN37" s="37"/>
      <c r="ALO37" s="37"/>
      <c r="ALP37" s="37"/>
      <c r="ALQ37" s="37"/>
      <c r="ALR37" s="37"/>
      <c r="ALS37" s="37"/>
      <c r="ALT37" s="37"/>
      <c r="ALU37" s="37"/>
      <c r="ALV37" s="37"/>
      <c r="ALW37" s="37"/>
      <c r="ALX37" s="37"/>
      <c r="ALY37" s="37"/>
      <c r="ALZ37" s="37"/>
      <c r="AMA37" s="37"/>
      <c r="AMB37" s="37"/>
      <c r="AMC37" s="37"/>
    </row>
    <row r="38" spans="1:1017" s="38" customFormat="1" ht="19.5" customHeight="1">
      <c r="A38" s="26" t="s">
        <v>89</v>
      </c>
      <c r="B38" s="25" t="s">
        <v>84</v>
      </c>
      <c r="C38" s="26" t="s">
        <v>46</v>
      </c>
      <c r="D38" s="26" t="s">
        <v>32</v>
      </c>
      <c r="E38" s="26" t="s">
        <v>261</v>
      </c>
      <c r="F38" s="26">
        <v>43</v>
      </c>
      <c r="G38" s="26" t="s">
        <v>33</v>
      </c>
      <c r="H38" s="26">
        <v>58</v>
      </c>
      <c r="I38" s="36">
        <v>45</v>
      </c>
      <c r="J38" s="36">
        <v>25</v>
      </c>
      <c r="K38" s="36">
        <v>19</v>
      </c>
      <c r="L38" s="36">
        <v>29</v>
      </c>
      <c r="M38" s="36">
        <v>28</v>
      </c>
      <c r="N38" s="36">
        <v>29</v>
      </c>
      <c r="O38" s="36">
        <v>69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  <c r="OU38" s="37"/>
      <c r="OV38" s="37"/>
      <c r="OW38" s="37"/>
      <c r="OX38" s="37"/>
      <c r="OY38" s="37"/>
      <c r="OZ38" s="37"/>
      <c r="PA38" s="37"/>
      <c r="PB38" s="37"/>
      <c r="PC38" s="37"/>
      <c r="PD38" s="37"/>
      <c r="PE38" s="37"/>
      <c r="PF38" s="37"/>
      <c r="PG38" s="37"/>
      <c r="PH38" s="37"/>
      <c r="PI38" s="37"/>
      <c r="PJ38" s="37"/>
      <c r="PK38" s="37"/>
      <c r="PL38" s="37"/>
      <c r="PM38" s="37"/>
      <c r="PN38" s="37"/>
      <c r="PO38" s="37"/>
      <c r="PP38" s="37"/>
      <c r="PQ38" s="37"/>
      <c r="PR38" s="37"/>
      <c r="PS38" s="37"/>
      <c r="PT38" s="37"/>
      <c r="PU38" s="37"/>
      <c r="PV38" s="37"/>
      <c r="PW38" s="37"/>
      <c r="PX38" s="37"/>
      <c r="PY38" s="37"/>
      <c r="PZ38" s="37"/>
      <c r="QA38" s="37"/>
      <c r="QB38" s="37"/>
      <c r="QC38" s="37"/>
      <c r="QD38" s="37"/>
      <c r="QE38" s="37"/>
      <c r="QF38" s="37"/>
      <c r="QG38" s="37"/>
      <c r="QH38" s="37"/>
      <c r="QI38" s="37"/>
      <c r="QJ38" s="37"/>
      <c r="QK38" s="37"/>
      <c r="QL38" s="37"/>
      <c r="QM38" s="37"/>
      <c r="QN38" s="37"/>
      <c r="QO38" s="37"/>
      <c r="QP38" s="37"/>
      <c r="QQ38" s="37"/>
      <c r="QR38" s="37"/>
      <c r="QS38" s="37"/>
      <c r="QT38" s="37"/>
      <c r="QU38" s="37"/>
      <c r="QV38" s="37"/>
      <c r="QW38" s="37"/>
      <c r="QX38" s="37"/>
      <c r="QY38" s="37"/>
      <c r="QZ38" s="37"/>
      <c r="RA38" s="37"/>
      <c r="RB38" s="37"/>
      <c r="RC38" s="37"/>
      <c r="RD38" s="37"/>
      <c r="RE38" s="37"/>
      <c r="RF38" s="37"/>
      <c r="RG38" s="37"/>
      <c r="RH38" s="37"/>
      <c r="RI38" s="37"/>
      <c r="RJ38" s="37"/>
      <c r="RK38" s="37"/>
      <c r="RL38" s="37"/>
      <c r="RM38" s="37"/>
      <c r="RN38" s="37"/>
      <c r="RO38" s="37"/>
      <c r="RP38" s="37"/>
      <c r="RQ38" s="37"/>
      <c r="RR38" s="37"/>
      <c r="RS38" s="37"/>
      <c r="RT38" s="37"/>
      <c r="RU38" s="37"/>
      <c r="RV38" s="37"/>
      <c r="RW38" s="37"/>
      <c r="RX38" s="37"/>
      <c r="RY38" s="37"/>
      <c r="RZ38" s="37"/>
      <c r="SA38" s="37"/>
      <c r="SB38" s="37"/>
      <c r="SC38" s="37"/>
      <c r="SD38" s="37"/>
      <c r="SE38" s="37"/>
      <c r="SF38" s="37"/>
      <c r="SG38" s="37"/>
      <c r="SH38" s="37"/>
      <c r="SI38" s="37"/>
      <c r="SJ38" s="37"/>
      <c r="SK38" s="37"/>
      <c r="SL38" s="37"/>
      <c r="SM38" s="37"/>
      <c r="SN38" s="37"/>
      <c r="SO38" s="37"/>
      <c r="SP38" s="37"/>
      <c r="SQ38" s="37"/>
      <c r="SR38" s="37"/>
      <c r="SS38" s="37"/>
      <c r="ST38" s="37"/>
      <c r="SU38" s="37"/>
      <c r="SV38" s="37"/>
      <c r="SW38" s="37"/>
      <c r="SX38" s="37"/>
      <c r="SY38" s="37"/>
      <c r="SZ38" s="37"/>
      <c r="TA38" s="37"/>
      <c r="TB38" s="37"/>
      <c r="TC38" s="37"/>
      <c r="TD38" s="37"/>
      <c r="TE38" s="37"/>
      <c r="TF38" s="37"/>
      <c r="TG38" s="37"/>
      <c r="TH38" s="37"/>
      <c r="TI38" s="37"/>
      <c r="TJ38" s="37"/>
      <c r="TK38" s="37"/>
      <c r="TL38" s="37"/>
      <c r="TM38" s="37"/>
      <c r="TN38" s="37"/>
      <c r="TO38" s="37"/>
      <c r="TP38" s="37"/>
      <c r="TQ38" s="37"/>
      <c r="TR38" s="37"/>
      <c r="TS38" s="37"/>
      <c r="TT38" s="37"/>
      <c r="TU38" s="37"/>
      <c r="TV38" s="37"/>
      <c r="TW38" s="37"/>
      <c r="TX38" s="37"/>
      <c r="TY38" s="37"/>
      <c r="TZ38" s="37"/>
      <c r="UA38" s="37"/>
      <c r="UB38" s="37"/>
      <c r="UC38" s="37"/>
      <c r="UD38" s="37"/>
      <c r="UE38" s="37"/>
      <c r="UF38" s="37"/>
      <c r="UG38" s="37"/>
      <c r="UH38" s="37"/>
      <c r="UI38" s="37"/>
      <c r="UJ38" s="37"/>
      <c r="UK38" s="37"/>
      <c r="UL38" s="37"/>
      <c r="UM38" s="37"/>
      <c r="UN38" s="37"/>
      <c r="UO38" s="37"/>
      <c r="UP38" s="37"/>
      <c r="UQ38" s="37"/>
      <c r="UR38" s="37"/>
      <c r="US38" s="37"/>
      <c r="UT38" s="37"/>
      <c r="UU38" s="37"/>
      <c r="UV38" s="37"/>
      <c r="UW38" s="37"/>
      <c r="UX38" s="37"/>
      <c r="UY38" s="37"/>
      <c r="UZ38" s="37"/>
      <c r="VA38" s="37"/>
      <c r="VB38" s="37"/>
      <c r="VC38" s="37"/>
      <c r="VD38" s="37"/>
      <c r="VE38" s="37"/>
      <c r="VF38" s="37"/>
      <c r="VG38" s="37"/>
      <c r="VH38" s="37"/>
      <c r="VI38" s="37"/>
      <c r="VJ38" s="37"/>
      <c r="VK38" s="37"/>
      <c r="VL38" s="37"/>
      <c r="VM38" s="37"/>
      <c r="VN38" s="37"/>
      <c r="VO38" s="37"/>
      <c r="VP38" s="37"/>
      <c r="VQ38" s="37"/>
      <c r="VR38" s="37"/>
      <c r="VS38" s="37"/>
      <c r="VT38" s="37"/>
      <c r="VU38" s="37"/>
      <c r="VV38" s="37"/>
      <c r="VW38" s="37"/>
      <c r="VX38" s="37"/>
      <c r="VY38" s="37"/>
      <c r="VZ38" s="37"/>
      <c r="WA38" s="37"/>
      <c r="WB38" s="37"/>
      <c r="WC38" s="37"/>
      <c r="WD38" s="37"/>
      <c r="WE38" s="37"/>
      <c r="WF38" s="37"/>
      <c r="WG38" s="37"/>
      <c r="WH38" s="37"/>
      <c r="WI38" s="37"/>
      <c r="WJ38" s="37"/>
      <c r="WK38" s="37"/>
      <c r="WL38" s="37"/>
      <c r="WM38" s="37"/>
      <c r="WN38" s="37"/>
      <c r="WO38" s="37"/>
      <c r="WP38" s="37"/>
      <c r="WQ38" s="37"/>
      <c r="WR38" s="37"/>
      <c r="WS38" s="37"/>
      <c r="WT38" s="37"/>
      <c r="WU38" s="37"/>
      <c r="WV38" s="37"/>
      <c r="WW38" s="37"/>
      <c r="WX38" s="37"/>
      <c r="WY38" s="37"/>
      <c r="WZ38" s="37"/>
      <c r="XA38" s="37"/>
      <c r="XB38" s="37"/>
      <c r="XC38" s="37"/>
      <c r="XD38" s="37"/>
      <c r="XE38" s="37"/>
      <c r="XF38" s="37"/>
      <c r="XG38" s="37"/>
      <c r="XH38" s="37"/>
      <c r="XI38" s="37"/>
      <c r="XJ38" s="37"/>
      <c r="XK38" s="37"/>
      <c r="XL38" s="37"/>
      <c r="XM38" s="37"/>
      <c r="XN38" s="37"/>
      <c r="XO38" s="37"/>
      <c r="XP38" s="37"/>
      <c r="XQ38" s="37"/>
      <c r="XR38" s="37"/>
      <c r="XS38" s="37"/>
      <c r="XT38" s="37"/>
      <c r="XU38" s="37"/>
      <c r="XV38" s="37"/>
      <c r="XW38" s="37"/>
      <c r="XX38" s="37"/>
      <c r="XY38" s="37"/>
      <c r="XZ38" s="37"/>
      <c r="YA38" s="37"/>
      <c r="YB38" s="37"/>
      <c r="YC38" s="37"/>
      <c r="YD38" s="37"/>
      <c r="YE38" s="37"/>
      <c r="YF38" s="37"/>
      <c r="YG38" s="37"/>
      <c r="YH38" s="37"/>
      <c r="YI38" s="37"/>
      <c r="YJ38" s="37"/>
      <c r="YK38" s="37"/>
      <c r="YL38" s="37"/>
      <c r="YM38" s="37"/>
      <c r="YN38" s="37"/>
      <c r="YO38" s="37"/>
      <c r="YP38" s="37"/>
      <c r="YQ38" s="37"/>
      <c r="YR38" s="37"/>
      <c r="YS38" s="37"/>
      <c r="YT38" s="37"/>
      <c r="YU38" s="37"/>
      <c r="YV38" s="37"/>
      <c r="YW38" s="37"/>
      <c r="YX38" s="37"/>
      <c r="YY38" s="37"/>
      <c r="YZ38" s="37"/>
      <c r="ZA38" s="37"/>
      <c r="ZB38" s="37"/>
      <c r="ZC38" s="37"/>
      <c r="ZD38" s="37"/>
      <c r="ZE38" s="37"/>
      <c r="ZF38" s="37"/>
      <c r="ZG38" s="37"/>
      <c r="ZH38" s="37"/>
      <c r="ZI38" s="37"/>
      <c r="ZJ38" s="37"/>
      <c r="ZK38" s="37"/>
      <c r="ZL38" s="37"/>
      <c r="ZM38" s="37"/>
      <c r="ZN38" s="37"/>
      <c r="ZO38" s="37"/>
      <c r="ZP38" s="37"/>
      <c r="ZQ38" s="37"/>
      <c r="ZR38" s="37"/>
      <c r="ZS38" s="37"/>
      <c r="ZT38" s="37"/>
      <c r="ZU38" s="37"/>
      <c r="ZV38" s="37"/>
      <c r="ZW38" s="37"/>
      <c r="ZX38" s="37"/>
      <c r="ZY38" s="37"/>
      <c r="ZZ38" s="37"/>
      <c r="AAA38" s="37"/>
      <c r="AAB38" s="37"/>
      <c r="AAC38" s="37"/>
      <c r="AAD38" s="37"/>
      <c r="AAE38" s="37"/>
      <c r="AAF38" s="37"/>
      <c r="AAG38" s="37"/>
      <c r="AAH38" s="37"/>
      <c r="AAI38" s="37"/>
      <c r="AAJ38" s="37"/>
      <c r="AAK38" s="37"/>
      <c r="AAL38" s="37"/>
      <c r="AAM38" s="37"/>
      <c r="AAN38" s="37"/>
      <c r="AAO38" s="37"/>
      <c r="AAP38" s="37"/>
      <c r="AAQ38" s="37"/>
      <c r="AAR38" s="37"/>
      <c r="AAS38" s="37"/>
      <c r="AAT38" s="37"/>
      <c r="AAU38" s="37"/>
      <c r="AAV38" s="37"/>
      <c r="AAW38" s="37"/>
      <c r="AAX38" s="37"/>
      <c r="AAY38" s="37"/>
      <c r="AAZ38" s="37"/>
      <c r="ABA38" s="37"/>
      <c r="ABB38" s="37"/>
      <c r="ABC38" s="37"/>
      <c r="ABD38" s="37"/>
      <c r="ABE38" s="37"/>
      <c r="ABF38" s="37"/>
      <c r="ABG38" s="37"/>
      <c r="ABH38" s="37"/>
      <c r="ABI38" s="37"/>
      <c r="ABJ38" s="37"/>
      <c r="ABK38" s="37"/>
      <c r="ABL38" s="37"/>
      <c r="ABM38" s="37"/>
      <c r="ABN38" s="37"/>
      <c r="ABO38" s="37"/>
      <c r="ABP38" s="37"/>
      <c r="ABQ38" s="37"/>
      <c r="ABR38" s="37"/>
      <c r="ABS38" s="37"/>
      <c r="ABT38" s="37"/>
      <c r="ABU38" s="37"/>
      <c r="ABV38" s="37"/>
      <c r="ABW38" s="37"/>
      <c r="ABX38" s="37"/>
      <c r="ABY38" s="37"/>
      <c r="ABZ38" s="37"/>
      <c r="ACA38" s="37"/>
      <c r="ACB38" s="37"/>
      <c r="ACC38" s="37"/>
      <c r="ACD38" s="37"/>
      <c r="ACE38" s="37"/>
      <c r="ACF38" s="37"/>
      <c r="ACG38" s="37"/>
      <c r="ACH38" s="37"/>
      <c r="ACI38" s="37"/>
      <c r="ACJ38" s="37"/>
      <c r="ACK38" s="37"/>
      <c r="ACL38" s="37"/>
      <c r="ACM38" s="37"/>
      <c r="ACN38" s="37"/>
      <c r="ACO38" s="37"/>
      <c r="ACP38" s="37"/>
      <c r="ACQ38" s="37"/>
      <c r="ACR38" s="37"/>
      <c r="ACS38" s="37"/>
      <c r="ACT38" s="37"/>
      <c r="ACU38" s="37"/>
      <c r="ACV38" s="37"/>
      <c r="ACW38" s="37"/>
      <c r="ACX38" s="37"/>
      <c r="ACY38" s="37"/>
      <c r="ACZ38" s="37"/>
      <c r="ADA38" s="37"/>
      <c r="ADB38" s="37"/>
      <c r="ADC38" s="37"/>
      <c r="ADD38" s="37"/>
      <c r="ADE38" s="37"/>
      <c r="ADF38" s="37"/>
      <c r="ADG38" s="37"/>
      <c r="ADH38" s="37"/>
      <c r="ADI38" s="37"/>
      <c r="ADJ38" s="37"/>
      <c r="ADK38" s="37"/>
      <c r="ADL38" s="37"/>
      <c r="ADM38" s="37"/>
      <c r="ADN38" s="37"/>
      <c r="ADO38" s="37"/>
      <c r="ADP38" s="37"/>
      <c r="ADQ38" s="37"/>
      <c r="ADR38" s="37"/>
      <c r="ADS38" s="37"/>
      <c r="ADT38" s="37"/>
      <c r="ADU38" s="37"/>
      <c r="ADV38" s="37"/>
      <c r="ADW38" s="37"/>
      <c r="ADX38" s="37"/>
      <c r="ADY38" s="37"/>
      <c r="ADZ38" s="37"/>
      <c r="AEA38" s="37"/>
      <c r="AEB38" s="37"/>
      <c r="AEC38" s="37"/>
      <c r="AED38" s="37"/>
      <c r="AEE38" s="37"/>
      <c r="AEF38" s="37"/>
      <c r="AEG38" s="37"/>
      <c r="AEH38" s="37"/>
      <c r="AEI38" s="37"/>
      <c r="AEJ38" s="37"/>
      <c r="AEK38" s="37"/>
      <c r="AEL38" s="37"/>
      <c r="AEM38" s="37"/>
      <c r="AEN38" s="37"/>
      <c r="AEO38" s="37"/>
      <c r="AEP38" s="37"/>
      <c r="AEQ38" s="37"/>
      <c r="AER38" s="37"/>
      <c r="AES38" s="37"/>
      <c r="AET38" s="37"/>
      <c r="AEU38" s="37"/>
      <c r="AEV38" s="37"/>
      <c r="AEW38" s="37"/>
      <c r="AEX38" s="37"/>
      <c r="AEY38" s="37"/>
      <c r="AEZ38" s="37"/>
      <c r="AFA38" s="37"/>
      <c r="AFB38" s="37"/>
      <c r="AFC38" s="37"/>
      <c r="AFD38" s="37"/>
      <c r="AFE38" s="37"/>
      <c r="AFF38" s="37"/>
      <c r="AFG38" s="37"/>
      <c r="AFH38" s="37"/>
      <c r="AFI38" s="37"/>
      <c r="AFJ38" s="37"/>
      <c r="AFK38" s="37"/>
      <c r="AFL38" s="37"/>
      <c r="AFM38" s="37"/>
      <c r="AFN38" s="37"/>
      <c r="AFO38" s="37"/>
      <c r="AFP38" s="37"/>
      <c r="AFQ38" s="37"/>
      <c r="AFR38" s="37"/>
      <c r="AFS38" s="37"/>
      <c r="AFT38" s="37"/>
      <c r="AFU38" s="37"/>
      <c r="AFV38" s="37"/>
      <c r="AFW38" s="37"/>
      <c r="AFX38" s="37"/>
      <c r="AFY38" s="37"/>
      <c r="AFZ38" s="37"/>
      <c r="AGA38" s="37"/>
      <c r="AGB38" s="37"/>
      <c r="AGC38" s="37"/>
      <c r="AGD38" s="37"/>
      <c r="AGE38" s="37"/>
      <c r="AGF38" s="37"/>
      <c r="AGG38" s="37"/>
      <c r="AGH38" s="37"/>
      <c r="AGI38" s="37"/>
      <c r="AGJ38" s="37"/>
      <c r="AGK38" s="37"/>
      <c r="AGL38" s="37"/>
      <c r="AGM38" s="37"/>
      <c r="AGN38" s="37"/>
      <c r="AGO38" s="37"/>
      <c r="AGP38" s="37"/>
      <c r="AGQ38" s="37"/>
      <c r="AGR38" s="37"/>
      <c r="AGS38" s="37"/>
      <c r="AGT38" s="37"/>
      <c r="AGU38" s="37"/>
      <c r="AGV38" s="37"/>
      <c r="AGW38" s="37"/>
      <c r="AGX38" s="37"/>
      <c r="AGY38" s="37"/>
      <c r="AGZ38" s="37"/>
      <c r="AHA38" s="37"/>
      <c r="AHB38" s="37"/>
      <c r="AHC38" s="37"/>
      <c r="AHD38" s="37"/>
      <c r="AHE38" s="37"/>
      <c r="AHF38" s="37"/>
      <c r="AHG38" s="37"/>
      <c r="AHH38" s="37"/>
      <c r="AHI38" s="37"/>
      <c r="AHJ38" s="37"/>
      <c r="AHK38" s="37"/>
      <c r="AHL38" s="37"/>
      <c r="AHM38" s="37"/>
      <c r="AHN38" s="37"/>
      <c r="AHO38" s="37"/>
      <c r="AHP38" s="37"/>
      <c r="AHQ38" s="37"/>
      <c r="AHR38" s="37"/>
      <c r="AHS38" s="37"/>
      <c r="AHT38" s="37"/>
      <c r="AHU38" s="37"/>
      <c r="AHV38" s="37"/>
      <c r="AHW38" s="37"/>
      <c r="AHX38" s="37"/>
      <c r="AHY38" s="37"/>
      <c r="AHZ38" s="37"/>
      <c r="AIA38" s="37"/>
      <c r="AIB38" s="37"/>
      <c r="AIC38" s="37"/>
      <c r="AID38" s="37"/>
      <c r="AIE38" s="37"/>
      <c r="AIF38" s="37"/>
      <c r="AIG38" s="37"/>
      <c r="AIH38" s="37"/>
      <c r="AII38" s="37"/>
      <c r="AIJ38" s="37"/>
      <c r="AIK38" s="37"/>
      <c r="AIL38" s="37"/>
      <c r="AIM38" s="37"/>
      <c r="AIN38" s="37"/>
      <c r="AIO38" s="37"/>
      <c r="AIP38" s="37"/>
      <c r="AIQ38" s="37"/>
      <c r="AIR38" s="37"/>
      <c r="AIS38" s="37"/>
      <c r="AIT38" s="37"/>
      <c r="AIU38" s="37"/>
      <c r="AIV38" s="37"/>
      <c r="AIW38" s="37"/>
      <c r="AIX38" s="37"/>
      <c r="AIY38" s="37"/>
      <c r="AIZ38" s="37"/>
      <c r="AJA38" s="37"/>
      <c r="AJB38" s="37"/>
      <c r="AJC38" s="37"/>
      <c r="AJD38" s="37"/>
      <c r="AJE38" s="37"/>
      <c r="AJF38" s="37"/>
      <c r="AJG38" s="37"/>
      <c r="AJH38" s="37"/>
      <c r="AJI38" s="37"/>
      <c r="AJJ38" s="37"/>
      <c r="AJK38" s="37"/>
      <c r="AJL38" s="37"/>
      <c r="AJM38" s="37"/>
      <c r="AJN38" s="37"/>
      <c r="AJO38" s="37"/>
      <c r="AJP38" s="37"/>
      <c r="AJQ38" s="37"/>
      <c r="AJR38" s="37"/>
      <c r="AJS38" s="37"/>
      <c r="AJT38" s="37"/>
      <c r="AJU38" s="37"/>
      <c r="AJV38" s="37"/>
      <c r="AJW38" s="37"/>
      <c r="AJX38" s="37"/>
      <c r="AJY38" s="37"/>
      <c r="AJZ38" s="37"/>
      <c r="AKA38" s="37"/>
      <c r="AKB38" s="37"/>
      <c r="AKC38" s="37"/>
      <c r="AKD38" s="37"/>
      <c r="AKE38" s="37"/>
      <c r="AKF38" s="37"/>
      <c r="AKG38" s="37"/>
      <c r="AKH38" s="37"/>
      <c r="AKI38" s="37"/>
      <c r="AKJ38" s="37"/>
      <c r="AKK38" s="37"/>
      <c r="AKL38" s="37"/>
      <c r="AKM38" s="37"/>
      <c r="AKN38" s="37"/>
      <c r="AKO38" s="37"/>
      <c r="AKP38" s="37"/>
      <c r="AKQ38" s="37"/>
      <c r="AKR38" s="37"/>
      <c r="AKS38" s="37"/>
      <c r="AKT38" s="37"/>
      <c r="AKU38" s="37"/>
      <c r="AKV38" s="37"/>
      <c r="AKW38" s="37"/>
      <c r="AKX38" s="37"/>
      <c r="AKY38" s="37"/>
      <c r="AKZ38" s="37"/>
      <c r="ALA38" s="37"/>
      <c r="ALB38" s="37"/>
      <c r="ALC38" s="37"/>
      <c r="ALD38" s="37"/>
      <c r="ALE38" s="37"/>
      <c r="ALF38" s="37"/>
      <c r="ALG38" s="37"/>
      <c r="ALH38" s="37"/>
      <c r="ALI38" s="37"/>
      <c r="ALJ38" s="37"/>
      <c r="ALK38" s="37"/>
      <c r="ALL38" s="37"/>
      <c r="ALM38" s="37"/>
      <c r="ALN38" s="37"/>
      <c r="ALO38" s="37"/>
      <c r="ALP38" s="37"/>
      <c r="ALQ38" s="37"/>
      <c r="ALR38" s="37"/>
      <c r="ALS38" s="37"/>
      <c r="ALT38" s="37"/>
      <c r="ALU38" s="37"/>
      <c r="ALV38" s="37"/>
      <c r="ALW38" s="37"/>
      <c r="ALX38" s="37"/>
      <c r="ALY38" s="37"/>
      <c r="ALZ38" s="37"/>
      <c r="AMA38" s="37"/>
      <c r="AMB38" s="37"/>
      <c r="AMC38" s="37"/>
    </row>
    <row r="39" spans="1:1017" s="38" customFormat="1" ht="19.5" customHeight="1">
      <c r="A39" s="72"/>
      <c r="B39" s="73"/>
      <c r="C39" s="72"/>
      <c r="D39" s="72"/>
      <c r="E39" s="72"/>
      <c r="F39" s="72"/>
      <c r="G39" s="35">
        <v>42</v>
      </c>
      <c r="H39" s="35">
        <v>93</v>
      </c>
      <c r="I39" s="35">
        <v>112</v>
      </c>
      <c r="J39" s="35">
        <v>67</v>
      </c>
      <c r="K39" s="35">
        <v>35</v>
      </c>
      <c r="L39" s="35">
        <v>25</v>
      </c>
      <c r="M39" s="35">
        <v>20</v>
      </c>
      <c r="N39" s="35">
        <v>95</v>
      </c>
      <c r="O39" s="74" t="s">
        <v>79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7"/>
      <c r="OZ39" s="37"/>
      <c r="PA39" s="37"/>
      <c r="PB39" s="37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7"/>
      <c r="PV39" s="37"/>
      <c r="PW39" s="37"/>
      <c r="PX39" s="37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7"/>
      <c r="QR39" s="37"/>
      <c r="QS39" s="37"/>
      <c r="QT39" s="37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7"/>
      <c r="RN39" s="37"/>
      <c r="RO39" s="37"/>
      <c r="RP39" s="37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7"/>
      <c r="SJ39" s="37"/>
      <c r="SK39" s="37"/>
      <c r="SL39" s="37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7"/>
      <c r="TF39" s="37"/>
      <c r="TG39" s="37"/>
      <c r="TH39" s="37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7"/>
      <c r="UB39" s="37"/>
      <c r="UC39" s="37"/>
      <c r="UD39" s="37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7"/>
      <c r="UX39" s="37"/>
      <c r="UY39" s="37"/>
      <c r="UZ39" s="37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7"/>
      <c r="VT39" s="37"/>
      <c r="VU39" s="37"/>
      <c r="VV39" s="37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7"/>
      <c r="WP39" s="37"/>
      <c r="WQ39" s="37"/>
      <c r="WR39" s="37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7"/>
      <c r="XL39" s="37"/>
      <c r="XM39" s="37"/>
      <c r="XN39" s="37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7"/>
      <c r="YH39" s="37"/>
      <c r="YI39" s="37"/>
      <c r="YJ39" s="37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7"/>
      <c r="ZD39" s="37"/>
      <c r="ZE39" s="37"/>
      <c r="ZF39" s="37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7"/>
      <c r="ZZ39" s="37"/>
      <c r="AAA39" s="37"/>
      <c r="AAB39" s="37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7"/>
      <c r="AAV39" s="37"/>
      <c r="AAW39" s="37"/>
      <c r="AAX39" s="37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7"/>
      <c r="ABR39" s="37"/>
      <c r="ABS39" s="37"/>
      <c r="ABT39" s="37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7"/>
      <c r="ACN39" s="37"/>
      <c r="ACO39" s="37"/>
      <c r="ACP39" s="37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7"/>
      <c r="ADJ39" s="37"/>
      <c r="ADK39" s="37"/>
      <c r="ADL39" s="37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7"/>
      <c r="AEF39" s="37"/>
      <c r="AEG39" s="37"/>
      <c r="AEH39" s="37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7"/>
      <c r="AFB39" s="37"/>
      <c r="AFC39" s="37"/>
      <c r="AFD39" s="37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7"/>
      <c r="AFX39" s="37"/>
      <c r="AFY39" s="37"/>
      <c r="AFZ39" s="37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7"/>
      <c r="AGT39" s="37"/>
      <c r="AGU39" s="37"/>
      <c r="AGV39" s="37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7"/>
      <c r="AHP39" s="37"/>
      <c r="AHQ39" s="37"/>
      <c r="AHR39" s="37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7"/>
      <c r="AIL39" s="37"/>
      <c r="AIM39" s="37"/>
      <c r="AIN39" s="37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7"/>
      <c r="AJH39" s="37"/>
      <c r="AJI39" s="37"/>
      <c r="AJJ39" s="37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7"/>
      <c r="AKD39" s="37"/>
      <c r="AKE39" s="37"/>
      <c r="AKF39" s="37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7"/>
      <c r="AKZ39" s="37"/>
      <c r="ALA39" s="37"/>
      <c r="ALB39" s="37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7"/>
      <c r="ALV39" s="37"/>
      <c r="ALW39" s="37"/>
      <c r="ALX39" s="37"/>
      <c r="ALY39" s="37"/>
      <c r="ALZ39" s="37"/>
      <c r="AMA39" s="37"/>
      <c r="AMB39" s="37"/>
      <c r="AMC39" s="37"/>
    </row>
    <row r="40" spans="1:1017" s="38" customFormat="1" ht="19.5" customHeight="1">
      <c r="A40" s="75"/>
      <c r="B40" s="76"/>
      <c r="C40" s="75"/>
      <c r="D40" s="75"/>
      <c r="E40" s="75"/>
      <c r="F40" s="75"/>
      <c r="G40" s="77">
        <v>47</v>
      </c>
      <c r="H40" s="77">
        <v>63</v>
      </c>
      <c r="I40" s="77">
        <v>20</v>
      </c>
      <c r="J40" s="77">
        <v>15</v>
      </c>
      <c r="K40" s="77">
        <v>107</v>
      </c>
      <c r="L40" s="77">
        <v>101</v>
      </c>
      <c r="M40" s="77">
        <v>115</v>
      </c>
      <c r="N40" s="77"/>
      <c r="O40" s="7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  <c r="OU40" s="37"/>
      <c r="OV40" s="37"/>
      <c r="OW40" s="37"/>
      <c r="OX40" s="37"/>
      <c r="OY40" s="37"/>
      <c r="OZ40" s="37"/>
      <c r="PA40" s="37"/>
      <c r="PB40" s="37"/>
      <c r="PC40" s="37"/>
      <c r="PD40" s="37"/>
      <c r="PE40" s="37"/>
      <c r="PF40" s="37"/>
      <c r="PG40" s="37"/>
      <c r="PH40" s="37"/>
      <c r="PI40" s="37"/>
      <c r="PJ40" s="37"/>
      <c r="PK40" s="37"/>
      <c r="PL40" s="37"/>
      <c r="PM40" s="37"/>
      <c r="PN40" s="37"/>
      <c r="PO40" s="37"/>
      <c r="PP40" s="37"/>
      <c r="PQ40" s="37"/>
      <c r="PR40" s="37"/>
      <c r="PS40" s="37"/>
      <c r="PT40" s="37"/>
      <c r="PU40" s="37"/>
      <c r="PV40" s="37"/>
      <c r="PW40" s="37"/>
      <c r="PX40" s="37"/>
      <c r="PY40" s="37"/>
      <c r="PZ40" s="37"/>
      <c r="QA40" s="37"/>
      <c r="QB40" s="37"/>
      <c r="QC40" s="37"/>
      <c r="QD40" s="37"/>
      <c r="QE40" s="37"/>
      <c r="QF40" s="37"/>
      <c r="QG40" s="37"/>
      <c r="QH40" s="37"/>
      <c r="QI40" s="37"/>
      <c r="QJ40" s="37"/>
      <c r="QK40" s="37"/>
      <c r="QL40" s="37"/>
      <c r="QM40" s="37"/>
      <c r="QN40" s="37"/>
      <c r="QO40" s="37"/>
      <c r="QP40" s="37"/>
      <c r="QQ40" s="37"/>
      <c r="QR40" s="37"/>
      <c r="QS40" s="37"/>
      <c r="QT40" s="37"/>
      <c r="QU40" s="37"/>
      <c r="QV40" s="37"/>
      <c r="QW40" s="37"/>
      <c r="QX40" s="37"/>
      <c r="QY40" s="37"/>
      <c r="QZ40" s="37"/>
      <c r="RA40" s="37"/>
      <c r="RB40" s="37"/>
      <c r="RC40" s="37"/>
      <c r="RD40" s="37"/>
      <c r="RE40" s="37"/>
      <c r="RF40" s="37"/>
      <c r="RG40" s="37"/>
      <c r="RH40" s="37"/>
      <c r="RI40" s="37"/>
      <c r="RJ40" s="37"/>
      <c r="RK40" s="37"/>
      <c r="RL40" s="37"/>
      <c r="RM40" s="37"/>
      <c r="RN40" s="37"/>
      <c r="RO40" s="37"/>
      <c r="RP40" s="37"/>
      <c r="RQ40" s="37"/>
      <c r="RR40" s="37"/>
      <c r="RS40" s="37"/>
      <c r="RT40" s="37"/>
      <c r="RU40" s="37"/>
      <c r="RV40" s="37"/>
      <c r="RW40" s="37"/>
      <c r="RX40" s="37"/>
      <c r="RY40" s="37"/>
      <c r="RZ40" s="37"/>
      <c r="SA40" s="37"/>
      <c r="SB40" s="37"/>
      <c r="SC40" s="37"/>
      <c r="SD40" s="37"/>
      <c r="SE40" s="37"/>
      <c r="SF40" s="37"/>
      <c r="SG40" s="37"/>
      <c r="SH40" s="37"/>
      <c r="SI40" s="37"/>
      <c r="SJ40" s="37"/>
      <c r="SK40" s="37"/>
      <c r="SL40" s="37"/>
      <c r="SM40" s="37"/>
      <c r="SN40" s="37"/>
      <c r="SO40" s="37"/>
      <c r="SP40" s="37"/>
      <c r="SQ40" s="37"/>
      <c r="SR40" s="37"/>
      <c r="SS40" s="37"/>
      <c r="ST40" s="37"/>
      <c r="SU40" s="37"/>
      <c r="SV40" s="37"/>
      <c r="SW40" s="37"/>
      <c r="SX40" s="37"/>
      <c r="SY40" s="37"/>
      <c r="SZ40" s="37"/>
      <c r="TA40" s="37"/>
      <c r="TB40" s="37"/>
      <c r="TC40" s="37"/>
      <c r="TD40" s="37"/>
      <c r="TE40" s="37"/>
      <c r="TF40" s="37"/>
      <c r="TG40" s="37"/>
      <c r="TH40" s="37"/>
      <c r="TI40" s="37"/>
      <c r="TJ40" s="37"/>
      <c r="TK40" s="37"/>
      <c r="TL40" s="37"/>
      <c r="TM40" s="37"/>
      <c r="TN40" s="37"/>
      <c r="TO40" s="37"/>
      <c r="TP40" s="37"/>
      <c r="TQ40" s="37"/>
      <c r="TR40" s="37"/>
      <c r="TS40" s="37"/>
      <c r="TT40" s="37"/>
      <c r="TU40" s="37"/>
      <c r="TV40" s="37"/>
      <c r="TW40" s="37"/>
      <c r="TX40" s="37"/>
      <c r="TY40" s="37"/>
      <c r="TZ40" s="37"/>
      <c r="UA40" s="37"/>
      <c r="UB40" s="37"/>
      <c r="UC40" s="37"/>
      <c r="UD40" s="37"/>
      <c r="UE40" s="37"/>
      <c r="UF40" s="37"/>
      <c r="UG40" s="37"/>
      <c r="UH40" s="37"/>
      <c r="UI40" s="37"/>
      <c r="UJ40" s="37"/>
      <c r="UK40" s="37"/>
      <c r="UL40" s="37"/>
      <c r="UM40" s="37"/>
      <c r="UN40" s="37"/>
      <c r="UO40" s="37"/>
      <c r="UP40" s="37"/>
      <c r="UQ40" s="37"/>
      <c r="UR40" s="37"/>
      <c r="US40" s="37"/>
      <c r="UT40" s="37"/>
      <c r="UU40" s="37"/>
      <c r="UV40" s="37"/>
      <c r="UW40" s="37"/>
      <c r="UX40" s="37"/>
      <c r="UY40" s="37"/>
      <c r="UZ40" s="37"/>
      <c r="VA40" s="37"/>
      <c r="VB40" s="37"/>
      <c r="VC40" s="37"/>
      <c r="VD40" s="37"/>
      <c r="VE40" s="37"/>
      <c r="VF40" s="37"/>
      <c r="VG40" s="37"/>
      <c r="VH40" s="37"/>
      <c r="VI40" s="37"/>
      <c r="VJ40" s="37"/>
      <c r="VK40" s="37"/>
      <c r="VL40" s="37"/>
      <c r="VM40" s="37"/>
      <c r="VN40" s="37"/>
      <c r="VO40" s="37"/>
      <c r="VP40" s="37"/>
      <c r="VQ40" s="37"/>
      <c r="VR40" s="37"/>
      <c r="VS40" s="37"/>
      <c r="VT40" s="37"/>
      <c r="VU40" s="37"/>
      <c r="VV40" s="37"/>
      <c r="VW40" s="37"/>
      <c r="VX40" s="37"/>
      <c r="VY40" s="37"/>
      <c r="VZ40" s="37"/>
      <c r="WA40" s="37"/>
      <c r="WB40" s="37"/>
      <c r="WC40" s="37"/>
      <c r="WD40" s="37"/>
      <c r="WE40" s="37"/>
      <c r="WF40" s="37"/>
      <c r="WG40" s="37"/>
      <c r="WH40" s="37"/>
      <c r="WI40" s="37"/>
      <c r="WJ40" s="37"/>
      <c r="WK40" s="37"/>
      <c r="WL40" s="37"/>
      <c r="WM40" s="37"/>
      <c r="WN40" s="37"/>
      <c r="WO40" s="37"/>
      <c r="WP40" s="37"/>
      <c r="WQ40" s="37"/>
      <c r="WR40" s="37"/>
      <c r="WS40" s="37"/>
      <c r="WT40" s="37"/>
      <c r="WU40" s="37"/>
      <c r="WV40" s="37"/>
      <c r="WW40" s="37"/>
      <c r="WX40" s="37"/>
      <c r="WY40" s="37"/>
      <c r="WZ40" s="37"/>
      <c r="XA40" s="37"/>
      <c r="XB40" s="37"/>
      <c r="XC40" s="37"/>
      <c r="XD40" s="37"/>
      <c r="XE40" s="37"/>
      <c r="XF40" s="37"/>
      <c r="XG40" s="37"/>
      <c r="XH40" s="37"/>
      <c r="XI40" s="37"/>
      <c r="XJ40" s="37"/>
      <c r="XK40" s="37"/>
      <c r="XL40" s="37"/>
      <c r="XM40" s="37"/>
      <c r="XN40" s="37"/>
      <c r="XO40" s="37"/>
      <c r="XP40" s="37"/>
      <c r="XQ40" s="37"/>
      <c r="XR40" s="37"/>
      <c r="XS40" s="37"/>
      <c r="XT40" s="37"/>
      <c r="XU40" s="37"/>
      <c r="XV40" s="37"/>
      <c r="XW40" s="37"/>
      <c r="XX40" s="37"/>
      <c r="XY40" s="37"/>
      <c r="XZ40" s="37"/>
      <c r="YA40" s="37"/>
      <c r="YB40" s="37"/>
      <c r="YC40" s="37"/>
      <c r="YD40" s="37"/>
      <c r="YE40" s="37"/>
      <c r="YF40" s="37"/>
      <c r="YG40" s="37"/>
      <c r="YH40" s="37"/>
      <c r="YI40" s="37"/>
      <c r="YJ40" s="37"/>
      <c r="YK40" s="37"/>
      <c r="YL40" s="37"/>
      <c r="YM40" s="37"/>
      <c r="YN40" s="37"/>
      <c r="YO40" s="37"/>
      <c r="YP40" s="37"/>
      <c r="YQ40" s="37"/>
      <c r="YR40" s="37"/>
      <c r="YS40" s="37"/>
      <c r="YT40" s="37"/>
      <c r="YU40" s="37"/>
      <c r="YV40" s="37"/>
      <c r="YW40" s="37"/>
      <c r="YX40" s="37"/>
      <c r="YY40" s="37"/>
      <c r="YZ40" s="37"/>
      <c r="ZA40" s="37"/>
      <c r="ZB40" s="37"/>
      <c r="ZC40" s="37"/>
      <c r="ZD40" s="37"/>
      <c r="ZE40" s="37"/>
      <c r="ZF40" s="37"/>
      <c r="ZG40" s="37"/>
      <c r="ZH40" s="37"/>
      <c r="ZI40" s="37"/>
      <c r="ZJ40" s="37"/>
      <c r="ZK40" s="37"/>
      <c r="ZL40" s="37"/>
      <c r="ZM40" s="37"/>
      <c r="ZN40" s="37"/>
      <c r="ZO40" s="37"/>
      <c r="ZP40" s="37"/>
      <c r="ZQ40" s="37"/>
      <c r="ZR40" s="37"/>
      <c r="ZS40" s="37"/>
      <c r="ZT40" s="37"/>
      <c r="ZU40" s="37"/>
      <c r="ZV40" s="37"/>
      <c r="ZW40" s="37"/>
      <c r="ZX40" s="37"/>
      <c r="ZY40" s="37"/>
      <c r="ZZ40" s="37"/>
      <c r="AAA40" s="37"/>
      <c r="AAB40" s="37"/>
      <c r="AAC40" s="37"/>
      <c r="AAD40" s="37"/>
      <c r="AAE40" s="37"/>
      <c r="AAF40" s="37"/>
      <c r="AAG40" s="37"/>
      <c r="AAH40" s="37"/>
      <c r="AAI40" s="37"/>
      <c r="AAJ40" s="37"/>
      <c r="AAK40" s="37"/>
      <c r="AAL40" s="37"/>
      <c r="AAM40" s="37"/>
      <c r="AAN40" s="37"/>
      <c r="AAO40" s="37"/>
      <c r="AAP40" s="37"/>
      <c r="AAQ40" s="37"/>
      <c r="AAR40" s="37"/>
      <c r="AAS40" s="37"/>
      <c r="AAT40" s="37"/>
      <c r="AAU40" s="37"/>
      <c r="AAV40" s="37"/>
      <c r="AAW40" s="37"/>
      <c r="AAX40" s="37"/>
      <c r="AAY40" s="37"/>
      <c r="AAZ40" s="37"/>
      <c r="ABA40" s="37"/>
      <c r="ABB40" s="37"/>
      <c r="ABC40" s="37"/>
      <c r="ABD40" s="37"/>
      <c r="ABE40" s="37"/>
      <c r="ABF40" s="37"/>
      <c r="ABG40" s="37"/>
      <c r="ABH40" s="37"/>
      <c r="ABI40" s="37"/>
      <c r="ABJ40" s="37"/>
      <c r="ABK40" s="37"/>
      <c r="ABL40" s="37"/>
      <c r="ABM40" s="37"/>
      <c r="ABN40" s="37"/>
      <c r="ABO40" s="37"/>
      <c r="ABP40" s="37"/>
      <c r="ABQ40" s="37"/>
      <c r="ABR40" s="37"/>
      <c r="ABS40" s="37"/>
      <c r="ABT40" s="37"/>
      <c r="ABU40" s="37"/>
      <c r="ABV40" s="37"/>
      <c r="ABW40" s="37"/>
      <c r="ABX40" s="37"/>
      <c r="ABY40" s="37"/>
      <c r="ABZ40" s="37"/>
      <c r="ACA40" s="37"/>
      <c r="ACB40" s="37"/>
      <c r="ACC40" s="37"/>
      <c r="ACD40" s="37"/>
      <c r="ACE40" s="37"/>
      <c r="ACF40" s="37"/>
      <c r="ACG40" s="37"/>
      <c r="ACH40" s="37"/>
      <c r="ACI40" s="37"/>
      <c r="ACJ40" s="37"/>
      <c r="ACK40" s="37"/>
      <c r="ACL40" s="37"/>
      <c r="ACM40" s="37"/>
      <c r="ACN40" s="37"/>
      <c r="ACO40" s="37"/>
      <c r="ACP40" s="37"/>
      <c r="ACQ40" s="37"/>
      <c r="ACR40" s="37"/>
      <c r="ACS40" s="37"/>
      <c r="ACT40" s="37"/>
      <c r="ACU40" s="37"/>
      <c r="ACV40" s="37"/>
      <c r="ACW40" s="37"/>
      <c r="ACX40" s="37"/>
      <c r="ACY40" s="37"/>
      <c r="ACZ40" s="37"/>
      <c r="ADA40" s="37"/>
      <c r="ADB40" s="37"/>
      <c r="ADC40" s="37"/>
      <c r="ADD40" s="37"/>
      <c r="ADE40" s="37"/>
      <c r="ADF40" s="37"/>
      <c r="ADG40" s="37"/>
      <c r="ADH40" s="37"/>
      <c r="ADI40" s="37"/>
      <c r="ADJ40" s="37"/>
      <c r="ADK40" s="37"/>
      <c r="ADL40" s="37"/>
      <c r="ADM40" s="37"/>
      <c r="ADN40" s="37"/>
      <c r="ADO40" s="37"/>
      <c r="ADP40" s="37"/>
      <c r="ADQ40" s="37"/>
      <c r="ADR40" s="37"/>
      <c r="ADS40" s="37"/>
      <c r="ADT40" s="37"/>
      <c r="ADU40" s="37"/>
      <c r="ADV40" s="37"/>
      <c r="ADW40" s="37"/>
      <c r="ADX40" s="37"/>
      <c r="ADY40" s="37"/>
      <c r="ADZ40" s="37"/>
      <c r="AEA40" s="37"/>
      <c r="AEB40" s="37"/>
      <c r="AEC40" s="37"/>
      <c r="AED40" s="37"/>
      <c r="AEE40" s="37"/>
      <c r="AEF40" s="37"/>
      <c r="AEG40" s="37"/>
      <c r="AEH40" s="37"/>
      <c r="AEI40" s="37"/>
      <c r="AEJ40" s="37"/>
      <c r="AEK40" s="37"/>
      <c r="AEL40" s="37"/>
      <c r="AEM40" s="37"/>
      <c r="AEN40" s="37"/>
      <c r="AEO40" s="37"/>
      <c r="AEP40" s="37"/>
      <c r="AEQ40" s="37"/>
      <c r="AER40" s="37"/>
      <c r="AES40" s="37"/>
      <c r="AET40" s="37"/>
      <c r="AEU40" s="37"/>
      <c r="AEV40" s="37"/>
      <c r="AEW40" s="37"/>
      <c r="AEX40" s="37"/>
      <c r="AEY40" s="37"/>
      <c r="AEZ40" s="37"/>
      <c r="AFA40" s="37"/>
      <c r="AFB40" s="37"/>
      <c r="AFC40" s="37"/>
      <c r="AFD40" s="37"/>
      <c r="AFE40" s="37"/>
      <c r="AFF40" s="37"/>
      <c r="AFG40" s="37"/>
      <c r="AFH40" s="37"/>
      <c r="AFI40" s="37"/>
      <c r="AFJ40" s="37"/>
      <c r="AFK40" s="37"/>
      <c r="AFL40" s="37"/>
      <c r="AFM40" s="37"/>
      <c r="AFN40" s="37"/>
      <c r="AFO40" s="37"/>
      <c r="AFP40" s="37"/>
      <c r="AFQ40" s="37"/>
      <c r="AFR40" s="37"/>
      <c r="AFS40" s="37"/>
      <c r="AFT40" s="37"/>
      <c r="AFU40" s="37"/>
      <c r="AFV40" s="37"/>
      <c r="AFW40" s="37"/>
      <c r="AFX40" s="37"/>
      <c r="AFY40" s="37"/>
      <c r="AFZ40" s="37"/>
      <c r="AGA40" s="37"/>
      <c r="AGB40" s="37"/>
      <c r="AGC40" s="37"/>
      <c r="AGD40" s="37"/>
      <c r="AGE40" s="37"/>
      <c r="AGF40" s="37"/>
      <c r="AGG40" s="37"/>
      <c r="AGH40" s="37"/>
      <c r="AGI40" s="37"/>
      <c r="AGJ40" s="37"/>
      <c r="AGK40" s="37"/>
      <c r="AGL40" s="37"/>
      <c r="AGM40" s="37"/>
      <c r="AGN40" s="37"/>
      <c r="AGO40" s="37"/>
      <c r="AGP40" s="37"/>
      <c r="AGQ40" s="37"/>
      <c r="AGR40" s="37"/>
      <c r="AGS40" s="37"/>
      <c r="AGT40" s="37"/>
      <c r="AGU40" s="37"/>
      <c r="AGV40" s="37"/>
      <c r="AGW40" s="37"/>
      <c r="AGX40" s="37"/>
      <c r="AGY40" s="37"/>
      <c r="AGZ40" s="37"/>
      <c r="AHA40" s="37"/>
      <c r="AHB40" s="37"/>
      <c r="AHC40" s="37"/>
      <c r="AHD40" s="37"/>
      <c r="AHE40" s="37"/>
      <c r="AHF40" s="37"/>
      <c r="AHG40" s="37"/>
      <c r="AHH40" s="37"/>
      <c r="AHI40" s="37"/>
      <c r="AHJ40" s="37"/>
      <c r="AHK40" s="37"/>
      <c r="AHL40" s="37"/>
      <c r="AHM40" s="37"/>
      <c r="AHN40" s="37"/>
      <c r="AHO40" s="37"/>
      <c r="AHP40" s="37"/>
      <c r="AHQ40" s="37"/>
      <c r="AHR40" s="37"/>
      <c r="AHS40" s="37"/>
      <c r="AHT40" s="37"/>
      <c r="AHU40" s="37"/>
      <c r="AHV40" s="37"/>
      <c r="AHW40" s="37"/>
      <c r="AHX40" s="37"/>
      <c r="AHY40" s="37"/>
      <c r="AHZ40" s="37"/>
      <c r="AIA40" s="37"/>
      <c r="AIB40" s="37"/>
      <c r="AIC40" s="37"/>
      <c r="AID40" s="37"/>
      <c r="AIE40" s="37"/>
      <c r="AIF40" s="37"/>
      <c r="AIG40" s="37"/>
      <c r="AIH40" s="37"/>
      <c r="AII40" s="37"/>
      <c r="AIJ40" s="37"/>
      <c r="AIK40" s="37"/>
      <c r="AIL40" s="37"/>
      <c r="AIM40" s="37"/>
      <c r="AIN40" s="37"/>
      <c r="AIO40" s="37"/>
      <c r="AIP40" s="37"/>
      <c r="AIQ40" s="37"/>
      <c r="AIR40" s="37"/>
      <c r="AIS40" s="37"/>
      <c r="AIT40" s="37"/>
      <c r="AIU40" s="37"/>
      <c r="AIV40" s="37"/>
      <c r="AIW40" s="37"/>
      <c r="AIX40" s="37"/>
      <c r="AIY40" s="37"/>
      <c r="AIZ40" s="37"/>
      <c r="AJA40" s="37"/>
      <c r="AJB40" s="37"/>
      <c r="AJC40" s="37"/>
      <c r="AJD40" s="37"/>
      <c r="AJE40" s="37"/>
      <c r="AJF40" s="37"/>
      <c r="AJG40" s="37"/>
      <c r="AJH40" s="37"/>
      <c r="AJI40" s="37"/>
      <c r="AJJ40" s="37"/>
      <c r="AJK40" s="37"/>
      <c r="AJL40" s="37"/>
      <c r="AJM40" s="37"/>
      <c r="AJN40" s="37"/>
      <c r="AJO40" s="37"/>
      <c r="AJP40" s="37"/>
      <c r="AJQ40" s="37"/>
      <c r="AJR40" s="37"/>
      <c r="AJS40" s="37"/>
      <c r="AJT40" s="37"/>
      <c r="AJU40" s="37"/>
      <c r="AJV40" s="37"/>
      <c r="AJW40" s="37"/>
      <c r="AJX40" s="37"/>
      <c r="AJY40" s="37"/>
      <c r="AJZ40" s="37"/>
      <c r="AKA40" s="37"/>
      <c r="AKB40" s="37"/>
      <c r="AKC40" s="37"/>
      <c r="AKD40" s="37"/>
      <c r="AKE40" s="37"/>
      <c r="AKF40" s="37"/>
      <c r="AKG40" s="37"/>
      <c r="AKH40" s="37"/>
      <c r="AKI40" s="37"/>
      <c r="AKJ40" s="37"/>
      <c r="AKK40" s="37"/>
      <c r="AKL40" s="37"/>
      <c r="AKM40" s="37"/>
      <c r="AKN40" s="37"/>
      <c r="AKO40" s="37"/>
      <c r="AKP40" s="37"/>
      <c r="AKQ40" s="37"/>
      <c r="AKR40" s="37"/>
      <c r="AKS40" s="37"/>
      <c r="AKT40" s="37"/>
      <c r="AKU40" s="37"/>
      <c r="AKV40" s="37"/>
      <c r="AKW40" s="37"/>
      <c r="AKX40" s="37"/>
      <c r="AKY40" s="37"/>
      <c r="AKZ40" s="37"/>
      <c r="ALA40" s="37"/>
      <c r="ALB40" s="37"/>
      <c r="ALC40" s="37"/>
      <c r="ALD40" s="37"/>
      <c r="ALE40" s="37"/>
      <c r="ALF40" s="37"/>
      <c r="ALG40" s="37"/>
      <c r="ALH40" s="37"/>
      <c r="ALI40" s="37"/>
      <c r="ALJ40" s="37"/>
      <c r="ALK40" s="37"/>
      <c r="ALL40" s="37"/>
      <c r="ALM40" s="37"/>
      <c r="ALN40" s="37"/>
      <c r="ALO40" s="37"/>
      <c r="ALP40" s="37"/>
      <c r="ALQ40" s="37"/>
      <c r="ALR40" s="37"/>
      <c r="ALS40" s="37"/>
      <c r="ALT40" s="37"/>
      <c r="ALU40" s="37"/>
      <c r="ALV40" s="37"/>
      <c r="ALW40" s="37"/>
      <c r="ALX40" s="37"/>
      <c r="ALY40" s="37"/>
      <c r="ALZ40" s="37"/>
      <c r="AMA40" s="37"/>
      <c r="AMB40" s="37"/>
      <c r="AMC40" s="37"/>
    </row>
    <row r="41" spans="1:1017" s="38" customFormat="1" ht="19.5" customHeight="1">
      <c r="A41" s="26" t="s">
        <v>114</v>
      </c>
      <c r="B41" s="25" t="s">
        <v>99</v>
      </c>
      <c r="C41" s="26" t="s">
        <v>46</v>
      </c>
      <c r="D41" s="26" t="s">
        <v>32</v>
      </c>
      <c r="E41" s="26" t="s">
        <v>261</v>
      </c>
      <c r="F41" s="26">
        <v>43</v>
      </c>
      <c r="G41" s="26" t="s">
        <v>33</v>
      </c>
      <c r="H41" s="26">
        <v>56</v>
      </c>
      <c r="I41" s="36">
        <v>43</v>
      </c>
      <c r="J41" s="36">
        <v>25</v>
      </c>
      <c r="K41" s="36">
        <v>17</v>
      </c>
      <c r="L41" s="36">
        <v>28</v>
      </c>
      <c r="M41" s="36">
        <v>26</v>
      </c>
      <c r="N41" s="36">
        <v>28</v>
      </c>
      <c r="O41" s="36">
        <v>72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  <c r="OU41" s="37"/>
      <c r="OV41" s="37"/>
      <c r="OW41" s="37"/>
      <c r="OX41" s="37"/>
      <c r="OY41" s="37"/>
      <c r="OZ41" s="37"/>
      <c r="PA41" s="37"/>
      <c r="PB41" s="37"/>
      <c r="PC41" s="37"/>
      <c r="PD41" s="37"/>
      <c r="PE41" s="37"/>
      <c r="PF41" s="37"/>
      <c r="PG41" s="37"/>
      <c r="PH41" s="37"/>
      <c r="PI41" s="37"/>
      <c r="PJ41" s="37"/>
      <c r="PK41" s="37"/>
      <c r="PL41" s="37"/>
      <c r="PM41" s="37"/>
      <c r="PN41" s="37"/>
      <c r="PO41" s="37"/>
      <c r="PP41" s="37"/>
      <c r="PQ41" s="37"/>
      <c r="PR41" s="37"/>
      <c r="PS41" s="37"/>
      <c r="PT41" s="37"/>
      <c r="PU41" s="37"/>
      <c r="PV41" s="37"/>
      <c r="PW41" s="37"/>
      <c r="PX41" s="37"/>
      <c r="PY41" s="37"/>
      <c r="PZ41" s="37"/>
      <c r="QA41" s="37"/>
      <c r="QB41" s="37"/>
      <c r="QC41" s="37"/>
      <c r="QD41" s="37"/>
      <c r="QE41" s="37"/>
      <c r="QF41" s="37"/>
      <c r="QG41" s="37"/>
      <c r="QH41" s="37"/>
      <c r="QI41" s="37"/>
      <c r="QJ41" s="37"/>
      <c r="QK41" s="37"/>
      <c r="QL41" s="37"/>
      <c r="QM41" s="37"/>
      <c r="QN41" s="37"/>
      <c r="QO41" s="37"/>
      <c r="QP41" s="37"/>
      <c r="QQ41" s="37"/>
      <c r="QR41" s="37"/>
      <c r="QS41" s="37"/>
      <c r="QT41" s="37"/>
      <c r="QU41" s="37"/>
      <c r="QV41" s="37"/>
      <c r="QW41" s="37"/>
      <c r="QX41" s="37"/>
      <c r="QY41" s="37"/>
      <c r="QZ41" s="37"/>
      <c r="RA41" s="37"/>
      <c r="RB41" s="37"/>
      <c r="RC41" s="37"/>
      <c r="RD41" s="37"/>
      <c r="RE41" s="37"/>
      <c r="RF41" s="37"/>
      <c r="RG41" s="37"/>
      <c r="RH41" s="37"/>
      <c r="RI41" s="37"/>
      <c r="RJ41" s="37"/>
      <c r="RK41" s="37"/>
      <c r="RL41" s="37"/>
      <c r="RM41" s="37"/>
      <c r="RN41" s="37"/>
      <c r="RO41" s="37"/>
      <c r="RP41" s="37"/>
      <c r="RQ41" s="37"/>
      <c r="RR41" s="37"/>
      <c r="RS41" s="37"/>
      <c r="RT41" s="37"/>
      <c r="RU41" s="37"/>
      <c r="RV41" s="37"/>
      <c r="RW41" s="37"/>
      <c r="RX41" s="37"/>
      <c r="RY41" s="37"/>
      <c r="RZ41" s="37"/>
      <c r="SA41" s="37"/>
      <c r="SB41" s="37"/>
      <c r="SC41" s="37"/>
      <c r="SD41" s="37"/>
      <c r="SE41" s="37"/>
      <c r="SF41" s="37"/>
      <c r="SG41" s="37"/>
      <c r="SH41" s="37"/>
      <c r="SI41" s="37"/>
      <c r="SJ41" s="37"/>
      <c r="SK41" s="37"/>
      <c r="SL41" s="37"/>
      <c r="SM41" s="37"/>
      <c r="SN41" s="37"/>
      <c r="SO41" s="37"/>
      <c r="SP41" s="37"/>
      <c r="SQ41" s="37"/>
      <c r="SR41" s="37"/>
      <c r="SS41" s="37"/>
      <c r="ST41" s="37"/>
      <c r="SU41" s="37"/>
      <c r="SV41" s="37"/>
      <c r="SW41" s="37"/>
      <c r="SX41" s="37"/>
      <c r="SY41" s="37"/>
      <c r="SZ41" s="37"/>
      <c r="TA41" s="37"/>
      <c r="TB41" s="37"/>
      <c r="TC41" s="37"/>
      <c r="TD41" s="37"/>
      <c r="TE41" s="37"/>
      <c r="TF41" s="37"/>
      <c r="TG41" s="37"/>
      <c r="TH41" s="37"/>
      <c r="TI41" s="37"/>
      <c r="TJ41" s="37"/>
      <c r="TK41" s="37"/>
      <c r="TL41" s="37"/>
      <c r="TM41" s="37"/>
      <c r="TN41" s="37"/>
      <c r="TO41" s="37"/>
      <c r="TP41" s="37"/>
      <c r="TQ41" s="37"/>
      <c r="TR41" s="37"/>
      <c r="TS41" s="37"/>
      <c r="TT41" s="37"/>
      <c r="TU41" s="37"/>
      <c r="TV41" s="37"/>
      <c r="TW41" s="37"/>
      <c r="TX41" s="37"/>
      <c r="TY41" s="37"/>
      <c r="TZ41" s="37"/>
      <c r="UA41" s="37"/>
      <c r="UB41" s="37"/>
      <c r="UC41" s="37"/>
      <c r="UD41" s="37"/>
      <c r="UE41" s="37"/>
      <c r="UF41" s="37"/>
      <c r="UG41" s="37"/>
      <c r="UH41" s="37"/>
      <c r="UI41" s="37"/>
      <c r="UJ41" s="37"/>
      <c r="UK41" s="37"/>
      <c r="UL41" s="37"/>
      <c r="UM41" s="37"/>
      <c r="UN41" s="37"/>
      <c r="UO41" s="37"/>
      <c r="UP41" s="37"/>
      <c r="UQ41" s="37"/>
      <c r="UR41" s="37"/>
      <c r="US41" s="37"/>
      <c r="UT41" s="37"/>
      <c r="UU41" s="37"/>
      <c r="UV41" s="37"/>
      <c r="UW41" s="37"/>
      <c r="UX41" s="37"/>
      <c r="UY41" s="37"/>
      <c r="UZ41" s="37"/>
      <c r="VA41" s="37"/>
      <c r="VB41" s="37"/>
      <c r="VC41" s="37"/>
      <c r="VD41" s="37"/>
      <c r="VE41" s="37"/>
      <c r="VF41" s="37"/>
      <c r="VG41" s="37"/>
      <c r="VH41" s="37"/>
      <c r="VI41" s="37"/>
      <c r="VJ41" s="37"/>
      <c r="VK41" s="37"/>
      <c r="VL41" s="37"/>
      <c r="VM41" s="37"/>
      <c r="VN41" s="37"/>
      <c r="VO41" s="37"/>
      <c r="VP41" s="37"/>
      <c r="VQ41" s="37"/>
      <c r="VR41" s="37"/>
      <c r="VS41" s="37"/>
      <c r="VT41" s="37"/>
      <c r="VU41" s="37"/>
      <c r="VV41" s="37"/>
      <c r="VW41" s="37"/>
      <c r="VX41" s="37"/>
      <c r="VY41" s="37"/>
      <c r="VZ41" s="37"/>
      <c r="WA41" s="37"/>
      <c r="WB41" s="37"/>
      <c r="WC41" s="37"/>
      <c r="WD41" s="37"/>
      <c r="WE41" s="37"/>
      <c r="WF41" s="37"/>
      <c r="WG41" s="37"/>
      <c r="WH41" s="37"/>
      <c r="WI41" s="37"/>
      <c r="WJ41" s="37"/>
      <c r="WK41" s="37"/>
      <c r="WL41" s="37"/>
      <c r="WM41" s="37"/>
      <c r="WN41" s="37"/>
      <c r="WO41" s="37"/>
      <c r="WP41" s="37"/>
      <c r="WQ41" s="37"/>
      <c r="WR41" s="37"/>
      <c r="WS41" s="37"/>
      <c r="WT41" s="37"/>
      <c r="WU41" s="37"/>
      <c r="WV41" s="37"/>
      <c r="WW41" s="37"/>
      <c r="WX41" s="37"/>
      <c r="WY41" s="37"/>
      <c r="WZ41" s="37"/>
      <c r="XA41" s="37"/>
      <c r="XB41" s="37"/>
      <c r="XC41" s="37"/>
      <c r="XD41" s="37"/>
      <c r="XE41" s="37"/>
      <c r="XF41" s="37"/>
      <c r="XG41" s="37"/>
      <c r="XH41" s="37"/>
      <c r="XI41" s="37"/>
      <c r="XJ41" s="37"/>
      <c r="XK41" s="37"/>
      <c r="XL41" s="37"/>
      <c r="XM41" s="37"/>
      <c r="XN41" s="37"/>
      <c r="XO41" s="37"/>
      <c r="XP41" s="37"/>
      <c r="XQ41" s="37"/>
      <c r="XR41" s="37"/>
      <c r="XS41" s="37"/>
      <c r="XT41" s="37"/>
      <c r="XU41" s="37"/>
      <c r="XV41" s="37"/>
      <c r="XW41" s="37"/>
      <c r="XX41" s="37"/>
      <c r="XY41" s="37"/>
      <c r="XZ41" s="37"/>
      <c r="YA41" s="37"/>
      <c r="YB41" s="37"/>
      <c r="YC41" s="37"/>
      <c r="YD41" s="37"/>
      <c r="YE41" s="37"/>
      <c r="YF41" s="37"/>
      <c r="YG41" s="37"/>
      <c r="YH41" s="37"/>
      <c r="YI41" s="37"/>
      <c r="YJ41" s="37"/>
      <c r="YK41" s="37"/>
      <c r="YL41" s="37"/>
      <c r="YM41" s="37"/>
      <c r="YN41" s="37"/>
      <c r="YO41" s="37"/>
      <c r="YP41" s="37"/>
      <c r="YQ41" s="37"/>
      <c r="YR41" s="37"/>
      <c r="YS41" s="37"/>
      <c r="YT41" s="37"/>
      <c r="YU41" s="37"/>
      <c r="YV41" s="37"/>
      <c r="YW41" s="37"/>
      <c r="YX41" s="37"/>
      <c r="YY41" s="37"/>
      <c r="YZ41" s="37"/>
      <c r="ZA41" s="37"/>
      <c r="ZB41" s="37"/>
      <c r="ZC41" s="37"/>
      <c r="ZD41" s="37"/>
      <c r="ZE41" s="37"/>
      <c r="ZF41" s="37"/>
      <c r="ZG41" s="37"/>
      <c r="ZH41" s="37"/>
      <c r="ZI41" s="37"/>
      <c r="ZJ41" s="37"/>
      <c r="ZK41" s="37"/>
      <c r="ZL41" s="37"/>
      <c r="ZM41" s="37"/>
      <c r="ZN41" s="37"/>
      <c r="ZO41" s="37"/>
      <c r="ZP41" s="37"/>
      <c r="ZQ41" s="37"/>
      <c r="ZR41" s="37"/>
      <c r="ZS41" s="37"/>
      <c r="ZT41" s="37"/>
      <c r="ZU41" s="37"/>
      <c r="ZV41" s="37"/>
      <c r="ZW41" s="37"/>
      <c r="ZX41" s="37"/>
      <c r="ZY41" s="37"/>
      <c r="ZZ41" s="37"/>
      <c r="AAA41" s="37"/>
      <c r="AAB41" s="37"/>
      <c r="AAC41" s="37"/>
      <c r="AAD41" s="37"/>
      <c r="AAE41" s="37"/>
      <c r="AAF41" s="37"/>
      <c r="AAG41" s="37"/>
      <c r="AAH41" s="37"/>
      <c r="AAI41" s="37"/>
      <c r="AAJ41" s="37"/>
      <c r="AAK41" s="37"/>
      <c r="AAL41" s="37"/>
      <c r="AAM41" s="37"/>
      <c r="AAN41" s="37"/>
      <c r="AAO41" s="37"/>
      <c r="AAP41" s="37"/>
      <c r="AAQ41" s="37"/>
      <c r="AAR41" s="37"/>
      <c r="AAS41" s="37"/>
      <c r="AAT41" s="37"/>
      <c r="AAU41" s="37"/>
      <c r="AAV41" s="37"/>
      <c r="AAW41" s="37"/>
      <c r="AAX41" s="37"/>
      <c r="AAY41" s="37"/>
      <c r="AAZ41" s="37"/>
      <c r="ABA41" s="37"/>
      <c r="ABB41" s="37"/>
      <c r="ABC41" s="37"/>
      <c r="ABD41" s="37"/>
      <c r="ABE41" s="37"/>
      <c r="ABF41" s="37"/>
      <c r="ABG41" s="37"/>
      <c r="ABH41" s="37"/>
      <c r="ABI41" s="37"/>
      <c r="ABJ41" s="37"/>
      <c r="ABK41" s="37"/>
      <c r="ABL41" s="37"/>
      <c r="ABM41" s="37"/>
      <c r="ABN41" s="37"/>
      <c r="ABO41" s="37"/>
      <c r="ABP41" s="37"/>
      <c r="ABQ41" s="37"/>
      <c r="ABR41" s="37"/>
      <c r="ABS41" s="37"/>
      <c r="ABT41" s="37"/>
      <c r="ABU41" s="37"/>
      <c r="ABV41" s="37"/>
      <c r="ABW41" s="37"/>
      <c r="ABX41" s="37"/>
      <c r="ABY41" s="37"/>
      <c r="ABZ41" s="37"/>
      <c r="ACA41" s="37"/>
      <c r="ACB41" s="37"/>
      <c r="ACC41" s="37"/>
      <c r="ACD41" s="37"/>
      <c r="ACE41" s="37"/>
      <c r="ACF41" s="37"/>
      <c r="ACG41" s="37"/>
      <c r="ACH41" s="37"/>
      <c r="ACI41" s="37"/>
      <c r="ACJ41" s="37"/>
      <c r="ACK41" s="37"/>
      <c r="ACL41" s="37"/>
      <c r="ACM41" s="37"/>
      <c r="ACN41" s="37"/>
      <c r="ACO41" s="37"/>
      <c r="ACP41" s="37"/>
      <c r="ACQ41" s="37"/>
      <c r="ACR41" s="37"/>
      <c r="ACS41" s="37"/>
      <c r="ACT41" s="37"/>
      <c r="ACU41" s="37"/>
      <c r="ACV41" s="37"/>
      <c r="ACW41" s="37"/>
      <c r="ACX41" s="37"/>
      <c r="ACY41" s="37"/>
      <c r="ACZ41" s="37"/>
      <c r="ADA41" s="37"/>
      <c r="ADB41" s="37"/>
      <c r="ADC41" s="37"/>
      <c r="ADD41" s="37"/>
      <c r="ADE41" s="37"/>
      <c r="ADF41" s="37"/>
      <c r="ADG41" s="37"/>
      <c r="ADH41" s="37"/>
      <c r="ADI41" s="37"/>
      <c r="ADJ41" s="37"/>
      <c r="ADK41" s="37"/>
      <c r="ADL41" s="37"/>
      <c r="ADM41" s="37"/>
      <c r="ADN41" s="37"/>
      <c r="ADO41" s="37"/>
      <c r="ADP41" s="37"/>
      <c r="ADQ41" s="37"/>
      <c r="ADR41" s="37"/>
      <c r="ADS41" s="37"/>
      <c r="ADT41" s="37"/>
      <c r="ADU41" s="37"/>
      <c r="ADV41" s="37"/>
      <c r="ADW41" s="37"/>
      <c r="ADX41" s="37"/>
      <c r="ADY41" s="37"/>
      <c r="ADZ41" s="37"/>
      <c r="AEA41" s="37"/>
      <c r="AEB41" s="37"/>
      <c r="AEC41" s="37"/>
      <c r="AED41" s="37"/>
      <c r="AEE41" s="37"/>
      <c r="AEF41" s="37"/>
      <c r="AEG41" s="37"/>
      <c r="AEH41" s="37"/>
      <c r="AEI41" s="37"/>
      <c r="AEJ41" s="37"/>
      <c r="AEK41" s="37"/>
      <c r="AEL41" s="37"/>
      <c r="AEM41" s="37"/>
      <c r="AEN41" s="37"/>
      <c r="AEO41" s="37"/>
      <c r="AEP41" s="37"/>
      <c r="AEQ41" s="37"/>
      <c r="AER41" s="37"/>
      <c r="AES41" s="37"/>
      <c r="AET41" s="37"/>
      <c r="AEU41" s="37"/>
      <c r="AEV41" s="37"/>
      <c r="AEW41" s="37"/>
      <c r="AEX41" s="37"/>
      <c r="AEY41" s="37"/>
      <c r="AEZ41" s="37"/>
      <c r="AFA41" s="37"/>
      <c r="AFB41" s="37"/>
      <c r="AFC41" s="37"/>
      <c r="AFD41" s="37"/>
      <c r="AFE41" s="37"/>
      <c r="AFF41" s="37"/>
      <c r="AFG41" s="37"/>
      <c r="AFH41" s="37"/>
      <c r="AFI41" s="37"/>
      <c r="AFJ41" s="37"/>
      <c r="AFK41" s="37"/>
      <c r="AFL41" s="37"/>
      <c r="AFM41" s="37"/>
      <c r="AFN41" s="37"/>
      <c r="AFO41" s="37"/>
      <c r="AFP41" s="37"/>
      <c r="AFQ41" s="37"/>
      <c r="AFR41" s="37"/>
      <c r="AFS41" s="37"/>
      <c r="AFT41" s="37"/>
      <c r="AFU41" s="37"/>
      <c r="AFV41" s="37"/>
      <c r="AFW41" s="37"/>
      <c r="AFX41" s="37"/>
      <c r="AFY41" s="37"/>
      <c r="AFZ41" s="37"/>
      <c r="AGA41" s="37"/>
      <c r="AGB41" s="37"/>
      <c r="AGC41" s="37"/>
      <c r="AGD41" s="37"/>
      <c r="AGE41" s="37"/>
      <c r="AGF41" s="37"/>
      <c r="AGG41" s="37"/>
      <c r="AGH41" s="37"/>
      <c r="AGI41" s="37"/>
      <c r="AGJ41" s="37"/>
      <c r="AGK41" s="37"/>
      <c r="AGL41" s="37"/>
      <c r="AGM41" s="37"/>
      <c r="AGN41" s="37"/>
      <c r="AGO41" s="37"/>
      <c r="AGP41" s="37"/>
      <c r="AGQ41" s="37"/>
      <c r="AGR41" s="37"/>
      <c r="AGS41" s="37"/>
      <c r="AGT41" s="37"/>
      <c r="AGU41" s="37"/>
      <c r="AGV41" s="37"/>
      <c r="AGW41" s="37"/>
      <c r="AGX41" s="37"/>
      <c r="AGY41" s="37"/>
      <c r="AGZ41" s="37"/>
      <c r="AHA41" s="37"/>
      <c r="AHB41" s="37"/>
      <c r="AHC41" s="37"/>
      <c r="AHD41" s="37"/>
      <c r="AHE41" s="37"/>
      <c r="AHF41" s="37"/>
      <c r="AHG41" s="37"/>
      <c r="AHH41" s="37"/>
      <c r="AHI41" s="37"/>
      <c r="AHJ41" s="37"/>
      <c r="AHK41" s="37"/>
      <c r="AHL41" s="37"/>
      <c r="AHM41" s="37"/>
      <c r="AHN41" s="37"/>
      <c r="AHO41" s="37"/>
      <c r="AHP41" s="37"/>
      <c r="AHQ41" s="37"/>
      <c r="AHR41" s="37"/>
      <c r="AHS41" s="37"/>
      <c r="AHT41" s="37"/>
      <c r="AHU41" s="37"/>
      <c r="AHV41" s="37"/>
      <c r="AHW41" s="37"/>
      <c r="AHX41" s="37"/>
      <c r="AHY41" s="37"/>
      <c r="AHZ41" s="37"/>
      <c r="AIA41" s="37"/>
      <c r="AIB41" s="37"/>
      <c r="AIC41" s="37"/>
      <c r="AID41" s="37"/>
      <c r="AIE41" s="37"/>
      <c r="AIF41" s="37"/>
      <c r="AIG41" s="37"/>
      <c r="AIH41" s="37"/>
      <c r="AII41" s="37"/>
      <c r="AIJ41" s="37"/>
      <c r="AIK41" s="37"/>
      <c r="AIL41" s="37"/>
      <c r="AIM41" s="37"/>
      <c r="AIN41" s="37"/>
      <c r="AIO41" s="37"/>
      <c r="AIP41" s="37"/>
      <c r="AIQ41" s="37"/>
      <c r="AIR41" s="37"/>
      <c r="AIS41" s="37"/>
      <c r="AIT41" s="37"/>
      <c r="AIU41" s="37"/>
      <c r="AIV41" s="37"/>
      <c r="AIW41" s="37"/>
      <c r="AIX41" s="37"/>
      <c r="AIY41" s="37"/>
      <c r="AIZ41" s="37"/>
      <c r="AJA41" s="37"/>
      <c r="AJB41" s="37"/>
      <c r="AJC41" s="37"/>
      <c r="AJD41" s="37"/>
      <c r="AJE41" s="37"/>
      <c r="AJF41" s="37"/>
      <c r="AJG41" s="37"/>
      <c r="AJH41" s="37"/>
      <c r="AJI41" s="37"/>
      <c r="AJJ41" s="37"/>
      <c r="AJK41" s="37"/>
      <c r="AJL41" s="37"/>
      <c r="AJM41" s="37"/>
      <c r="AJN41" s="37"/>
      <c r="AJO41" s="37"/>
      <c r="AJP41" s="37"/>
      <c r="AJQ41" s="37"/>
      <c r="AJR41" s="37"/>
      <c r="AJS41" s="37"/>
      <c r="AJT41" s="37"/>
      <c r="AJU41" s="37"/>
      <c r="AJV41" s="37"/>
      <c r="AJW41" s="37"/>
      <c r="AJX41" s="37"/>
      <c r="AJY41" s="37"/>
      <c r="AJZ41" s="37"/>
      <c r="AKA41" s="37"/>
      <c r="AKB41" s="37"/>
      <c r="AKC41" s="37"/>
      <c r="AKD41" s="37"/>
      <c r="AKE41" s="37"/>
      <c r="AKF41" s="37"/>
      <c r="AKG41" s="37"/>
      <c r="AKH41" s="37"/>
      <c r="AKI41" s="37"/>
      <c r="AKJ41" s="37"/>
      <c r="AKK41" s="37"/>
      <c r="AKL41" s="37"/>
      <c r="AKM41" s="37"/>
      <c r="AKN41" s="37"/>
      <c r="AKO41" s="37"/>
      <c r="AKP41" s="37"/>
      <c r="AKQ41" s="37"/>
      <c r="AKR41" s="37"/>
      <c r="AKS41" s="37"/>
      <c r="AKT41" s="37"/>
      <c r="AKU41" s="37"/>
      <c r="AKV41" s="37"/>
      <c r="AKW41" s="37"/>
      <c r="AKX41" s="37"/>
      <c r="AKY41" s="37"/>
      <c r="AKZ41" s="37"/>
      <c r="ALA41" s="37"/>
      <c r="ALB41" s="37"/>
      <c r="ALC41" s="37"/>
      <c r="ALD41" s="37"/>
      <c r="ALE41" s="37"/>
      <c r="ALF41" s="37"/>
      <c r="ALG41" s="37"/>
      <c r="ALH41" s="37"/>
      <c r="ALI41" s="37"/>
      <c r="ALJ41" s="37"/>
      <c r="ALK41" s="37"/>
      <c r="ALL41" s="37"/>
      <c r="ALM41" s="37"/>
      <c r="ALN41" s="37"/>
      <c r="ALO41" s="37"/>
      <c r="ALP41" s="37"/>
      <c r="ALQ41" s="37"/>
      <c r="ALR41" s="37"/>
      <c r="ALS41" s="37"/>
      <c r="ALT41" s="37"/>
      <c r="ALU41" s="37"/>
      <c r="ALV41" s="37"/>
      <c r="ALW41" s="37"/>
      <c r="ALX41" s="37"/>
      <c r="ALY41" s="37"/>
      <c r="ALZ41" s="37"/>
      <c r="AMA41" s="37"/>
      <c r="AMB41" s="37"/>
      <c r="AMC41" s="37"/>
    </row>
    <row r="42" spans="1:1017" s="38" customFormat="1" ht="19.5" customHeight="1">
      <c r="A42" s="72"/>
      <c r="B42" s="73"/>
      <c r="C42" s="72"/>
      <c r="D42" s="72"/>
      <c r="E42" s="72"/>
      <c r="F42" s="72"/>
      <c r="G42" s="35">
        <v>40</v>
      </c>
      <c r="H42" s="35">
        <v>86</v>
      </c>
      <c r="I42" s="35">
        <v>106</v>
      </c>
      <c r="J42" s="35">
        <v>67</v>
      </c>
      <c r="K42" s="35">
        <v>34</v>
      </c>
      <c r="L42" s="35">
        <v>27</v>
      </c>
      <c r="M42" s="35">
        <v>21</v>
      </c>
      <c r="N42" s="35">
        <v>100</v>
      </c>
      <c r="O42" s="74" t="s">
        <v>98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/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  <c r="OU42" s="37"/>
      <c r="OV42" s="37"/>
      <c r="OW42" s="37"/>
      <c r="OX42" s="37"/>
      <c r="OY42" s="37"/>
      <c r="OZ42" s="37"/>
      <c r="PA42" s="37"/>
      <c r="PB42" s="37"/>
      <c r="PC42" s="37"/>
      <c r="PD42" s="37"/>
      <c r="PE42" s="37"/>
      <c r="PF42" s="37"/>
      <c r="PG42" s="37"/>
      <c r="PH42" s="37"/>
      <c r="PI42" s="37"/>
      <c r="PJ42" s="37"/>
      <c r="PK42" s="37"/>
      <c r="PL42" s="37"/>
      <c r="PM42" s="37"/>
      <c r="PN42" s="37"/>
      <c r="PO42" s="37"/>
      <c r="PP42" s="37"/>
      <c r="PQ42" s="37"/>
      <c r="PR42" s="37"/>
      <c r="PS42" s="37"/>
      <c r="PT42" s="37"/>
      <c r="PU42" s="37"/>
      <c r="PV42" s="37"/>
      <c r="PW42" s="37"/>
      <c r="PX42" s="37"/>
      <c r="PY42" s="37"/>
      <c r="PZ42" s="37"/>
      <c r="QA42" s="37"/>
      <c r="QB42" s="37"/>
      <c r="QC42" s="37"/>
      <c r="QD42" s="37"/>
      <c r="QE42" s="37"/>
      <c r="QF42" s="37"/>
      <c r="QG42" s="37"/>
      <c r="QH42" s="37"/>
      <c r="QI42" s="37"/>
      <c r="QJ42" s="37"/>
      <c r="QK42" s="37"/>
      <c r="QL42" s="37"/>
      <c r="QM42" s="37"/>
      <c r="QN42" s="37"/>
      <c r="QO42" s="37"/>
      <c r="QP42" s="37"/>
      <c r="QQ42" s="37"/>
      <c r="QR42" s="37"/>
      <c r="QS42" s="37"/>
      <c r="QT42" s="37"/>
      <c r="QU42" s="37"/>
      <c r="QV42" s="37"/>
      <c r="QW42" s="37"/>
      <c r="QX42" s="37"/>
      <c r="QY42" s="37"/>
      <c r="QZ42" s="37"/>
      <c r="RA42" s="37"/>
      <c r="RB42" s="37"/>
      <c r="RC42" s="37"/>
      <c r="RD42" s="37"/>
      <c r="RE42" s="37"/>
      <c r="RF42" s="37"/>
      <c r="RG42" s="37"/>
      <c r="RH42" s="37"/>
      <c r="RI42" s="37"/>
      <c r="RJ42" s="37"/>
      <c r="RK42" s="37"/>
      <c r="RL42" s="37"/>
      <c r="RM42" s="37"/>
      <c r="RN42" s="37"/>
      <c r="RO42" s="37"/>
      <c r="RP42" s="37"/>
      <c r="RQ42" s="37"/>
      <c r="RR42" s="37"/>
      <c r="RS42" s="37"/>
      <c r="RT42" s="37"/>
      <c r="RU42" s="37"/>
      <c r="RV42" s="37"/>
      <c r="RW42" s="37"/>
      <c r="RX42" s="37"/>
      <c r="RY42" s="37"/>
      <c r="RZ42" s="37"/>
      <c r="SA42" s="37"/>
      <c r="SB42" s="37"/>
      <c r="SC42" s="37"/>
      <c r="SD42" s="37"/>
      <c r="SE42" s="37"/>
      <c r="SF42" s="37"/>
      <c r="SG42" s="37"/>
      <c r="SH42" s="37"/>
      <c r="SI42" s="37"/>
      <c r="SJ42" s="37"/>
      <c r="SK42" s="37"/>
      <c r="SL42" s="37"/>
      <c r="SM42" s="37"/>
      <c r="SN42" s="37"/>
      <c r="SO42" s="37"/>
      <c r="SP42" s="37"/>
      <c r="SQ42" s="37"/>
      <c r="SR42" s="37"/>
      <c r="SS42" s="37"/>
      <c r="ST42" s="37"/>
      <c r="SU42" s="37"/>
      <c r="SV42" s="37"/>
      <c r="SW42" s="37"/>
      <c r="SX42" s="37"/>
      <c r="SY42" s="37"/>
      <c r="SZ42" s="37"/>
      <c r="TA42" s="37"/>
      <c r="TB42" s="37"/>
      <c r="TC42" s="37"/>
      <c r="TD42" s="37"/>
      <c r="TE42" s="37"/>
      <c r="TF42" s="37"/>
      <c r="TG42" s="37"/>
      <c r="TH42" s="37"/>
      <c r="TI42" s="37"/>
      <c r="TJ42" s="37"/>
      <c r="TK42" s="37"/>
      <c r="TL42" s="37"/>
      <c r="TM42" s="37"/>
      <c r="TN42" s="37"/>
      <c r="TO42" s="37"/>
      <c r="TP42" s="37"/>
      <c r="TQ42" s="37"/>
      <c r="TR42" s="37"/>
      <c r="TS42" s="37"/>
      <c r="TT42" s="37"/>
      <c r="TU42" s="37"/>
      <c r="TV42" s="37"/>
      <c r="TW42" s="37"/>
      <c r="TX42" s="37"/>
      <c r="TY42" s="37"/>
      <c r="TZ42" s="37"/>
      <c r="UA42" s="37"/>
      <c r="UB42" s="37"/>
      <c r="UC42" s="37"/>
      <c r="UD42" s="37"/>
      <c r="UE42" s="37"/>
      <c r="UF42" s="37"/>
      <c r="UG42" s="37"/>
      <c r="UH42" s="37"/>
      <c r="UI42" s="37"/>
      <c r="UJ42" s="37"/>
      <c r="UK42" s="37"/>
      <c r="UL42" s="37"/>
      <c r="UM42" s="37"/>
      <c r="UN42" s="37"/>
      <c r="UO42" s="37"/>
      <c r="UP42" s="37"/>
      <c r="UQ42" s="37"/>
      <c r="UR42" s="37"/>
      <c r="US42" s="37"/>
      <c r="UT42" s="37"/>
      <c r="UU42" s="37"/>
      <c r="UV42" s="37"/>
      <c r="UW42" s="37"/>
      <c r="UX42" s="37"/>
      <c r="UY42" s="37"/>
      <c r="UZ42" s="37"/>
      <c r="VA42" s="37"/>
      <c r="VB42" s="37"/>
      <c r="VC42" s="37"/>
      <c r="VD42" s="37"/>
      <c r="VE42" s="37"/>
      <c r="VF42" s="37"/>
      <c r="VG42" s="37"/>
      <c r="VH42" s="37"/>
      <c r="VI42" s="37"/>
      <c r="VJ42" s="37"/>
      <c r="VK42" s="37"/>
      <c r="VL42" s="37"/>
      <c r="VM42" s="37"/>
      <c r="VN42" s="37"/>
      <c r="VO42" s="37"/>
      <c r="VP42" s="37"/>
      <c r="VQ42" s="37"/>
      <c r="VR42" s="37"/>
      <c r="VS42" s="37"/>
      <c r="VT42" s="37"/>
      <c r="VU42" s="37"/>
      <c r="VV42" s="37"/>
      <c r="VW42" s="37"/>
      <c r="VX42" s="37"/>
      <c r="VY42" s="37"/>
      <c r="VZ42" s="37"/>
      <c r="WA42" s="37"/>
      <c r="WB42" s="37"/>
      <c r="WC42" s="37"/>
      <c r="WD42" s="37"/>
      <c r="WE42" s="37"/>
      <c r="WF42" s="37"/>
      <c r="WG42" s="37"/>
      <c r="WH42" s="37"/>
      <c r="WI42" s="37"/>
      <c r="WJ42" s="37"/>
      <c r="WK42" s="37"/>
      <c r="WL42" s="37"/>
      <c r="WM42" s="37"/>
      <c r="WN42" s="37"/>
      <c r="WO42" s="37"/>
      <c r="WP42" s="37"/>
      <c r="WQ42" s="37"/>
      <c r="WR42" s="37"/>
      <c r="WS42" s="37"/>
      <c r="WT42" s="37"/>
      <c r="WU42" s="37"/>
      <c r="WV42" s="37"/>
      <c r="WW42" s="37"/>
      <c r="WX42" s="37"/>
      <c r="WY42" s="37"/>
      <c r="WZ42" s="37"/>
      <c r="XA42" s="37"/>
      <c r="XB42" s="37"/>
      <c r="XC42" s="37"/>
      <c r="XD42" s="37"/>
      <c r="XE42" s="37"/>
      <c r="XF42" s="37"/>
      <c r="XG42" s="37"/>
      <c r="XH42" s="37"/>
      <c r="XI42" s="37"/>
      <c r="XJ42" s="37"/>
      <c r="XK42" s="37"/>
      <c r="XL42" s="37"/>
      <c r="XM42" s="37"/>
      <c r="XN42" s="37"/>
      <c r="XO42" s="37"/>
      <c r="XP42" s="37"/>
      <c r="XQ42" s="37"/>
      <c r="XR42" s="37"/>
      <c r="XS42" s="37"/>
      <c r="XT42" s="37"/>
      <c r="XU42" s="37"/>
      <c r="XV42" s="37"/>
      <c r="XW42" s="37"/>
      <c r="XX42" s="37"/>
      <c r="XY42" s="37"/>
      <c r="XZ42" s="37"/>
      <c r="YA42" s="37"/>
      <c r="YB42" s="37"/>
      <c r="YC42" s="37"/>
      <c r="YD42" s="37"/>
      <c r="YE42" s="37"/>
      <c r="YF42" s="37"/>
      <c r="YG42" s="37"/>
      <c r="YH42" s="37"/>
      <c r="YI42" s="37"/>
      <c r="YJ42" s="37"/>
      <c r="YK42" s="37"/>
      <c r="YL42" s="37"/>
      <c r="YM42" s="37"/>
      <c r="YN42" s="37"/>
      <c r="YO42" s="37"/>
      <c r="YP42" s="37"/>
      <c r="YQ42" s="37"/>
      <c r="YR42" s="37"/>
      <c r="YS42" s="37"/>
      <c r="YT42" s="37"/>
      <c r="YU42" s="37"/>
      <c r="YV42" s="37"/>
      <c r="YW42" s="37"/>
      <c r="YX42" s="37"/>
      <c r="YY42" s="37"/>
      <c r="YZ42" s="37"/>
      <c r="ZA42" s="37"/>
      <c r="ZB42" s="37"/>
      <c r="ZC42" s="37"/>
      <c r="ZD42" s="37"/>
      <c r="ZE42" s="37"/>
      <c r="ZF42" s="37"/>
      <c r="ZG42" s="37"/>
      <c r="ZH42" s="37"/>
      <c r="ZI42" s="37"/>
      <c r="ZJ42" s="37"/>
      <c r="ZK42" s="37"/>
      <c r="ZL42" s="37"/>
      <c r="ZM42" s="37"/>
      <c r="ZN42" s="37"/>
      <c r="ZO42" s="37"/>
      <c r="ZP42" s="37"/>
      <c r="ZQ42" s="37"/>
      <c r="ZR42" s="37"/>
      <c r="ZS42" s="37"/>
      <c r="ZT42" s="37"/>
      <c r="ZU42" s="37"/>
      <c r="ZV42" s="37"/>
      <c r="ZW42" s="37"/>
      <c r="ZX42" s="37"/>
      <c r="ZY42" s="37"/>
      <c r="ZZ42" s="37"/>
      <c r="AAA42" s="37"/>
      <c r="AAB42" s="37"/>
      <c r="AAC42" s="37"/>
      <c r="AAD42" s="37"/>
      <c r="AAE42" s="37"/>
      <c r="AAF42" s="37"/>
      <c r="AAG42" s="37"/>
      <c r="AAH42" s="37"/>
      <c r="AAI42" s="37"/>
      <c r="AAJ42" s="37"/>
      <c r="AAK42" s="37"/>
      <c r="AAL42" s="37"/>
      <c r="AAM42" s="37"/>
      <c r="AAN42" s="37"/>
      <c r="AAO42" s="37"/>
      <c r="AAP42" s="37"/>
      <c r="AAQ42" s="37"/>
      <c r="AAR42" s="37"/>
      <c r="AAS42" s="37"/>
      <c r="AAT42" s="37"/>
      <c r="AAU42" s="37"/>
      <c r="AAV42" s="37"/>
      <c r="AAW42" s="37"/>
      <c r="AAX42" s="37"/>
      <c r="AAY42" s="37"/>
      <c r="AAZ42" s="37"/>
      <c r="ABA42" s="37"/>
      <c r="ABB42" s="37"/>
      <c r="ABC42" s="37"/>
      <c r="ABD42" s="37"/>
      <c r="ABE42" s="37"/>
      <c r="ABF42" s="37"/>
      <c r="ABG42" s="37"/>
      <c r="ABH42" s="37"/>
      <c r="ABI42" s="37"/>
      <c r="ABJ42" s="37"/>
      <c r="ABK42" s="37"/>
      <c r="ABL42" s="37"/>
      <c r="ABM42" s="37"/>
      <c r="ABN42" s="37"/>
      <c r="ABO42" s="37"/>
      <c r="ABP42" s="37"/>
      <c r="ABQ42" s="37"/>
      <c r="ABR42" s="37"/>
      <c r="ABS42" s="37"/>
      <c r="ABT42" s="37"/>
      <c r="ABU42" s="37"/>
      <c r="ABV42" s="37"/>
      <c r="ABW42" s="37"/>
      <c r="ABX42" s="37"/>
      <c r="ABY42" s="37"/>
      <c r="ABZ42" s="37"/>
      <c r="ACA42" s="37"/>
      <c r="ACB42" s="37"/>
      <c r="ACC42" s="37"/>
      <c r="ACD42" s="37"/>
      <c r="ACE42" s="37"/>
      <c r="ACF42" s="37"/>
      <c r="ACG42" s="37"/>
      <c r="ACH42" s="37"/>
      <c r="ACI42" s="37"/>
      <c r="ACJ42" s="37"/>
      <c r="ACK42" s="37"/>
      <c r="ACL42" s="37"/>
      <c r="ACM42" s="37"/>
      <c r="ACN42" s="37"/>
      <c r="ACO42" s="37"/>
      <c r="ACP42" s="37"/>
      <c r="ACQ42" s="37"/>
      <c r="ACR42" s="37"/>
      <c r="ACS42" s="37"/>
      <c r="ACT42" s="37"/>
      <c r="ACU42" s="37"/>
      <c r="ACV42" s="37"/>
      <c r="ACW42" s="37"/>
      <c r="ACX42" s="37"/>
      <c r="ACY42" s="37"/>
      <c r="ACZ42" s="37"/>
      <c r="ADA42" s="37"/>
      <c r="ADB42" s="37"/>
      <c r="ADC42" s="37"/>
      <c r="ADD42" s="37"/>
      <c r="ADE42" s="37"/>
      <c r="ADF42" s="37"/>
      <c r="ADG42" s="37"/>
      <c r="ADH42" s="37"/>
      <c r="ADI42" s="37"/>
      <c r="ADJ42" s="37"/>
      <c r="ADK42" s="37"/>
      <c r="ADL42" s="37"/>
      <c r="ADM42" s="37"/>
      <c r="ADN42" s="37"/>
      <c r="ADO42" s="37"/>
      <c r="ADP42" s="37"/>
      <c r="ADQ42" s="37"/>
      <c r="ADR42" s="37"/>
      <c r="ADS42" s="37"/>
      <c r="ADT42" s="37"/>
      <c r="ADU42" s="37"/>
      <c r="ADV42" s="37"/>
      <c r="ADW42" s="37"/>
      <c r="ADX42" s="37"/>
      <c r="ADY42" s="37"/>
      <c r="ADZ42" s="37"/>
      <c r="AEA42" s="37"/>
      <c r="AEB42" s="37"/>
      <c r="AEC42" s="37"/>
      <c r="AED42" s="37"/>
      <c r="AEE42" s="37"/>
      <c r="AEF42" s="37"/>
      <c r="AEG42" s="37"/>
      <c r="AEH42" s="37"/>
      <c r="AEI42" s="37"/>
      <c r="AEJ42" s="37"/>
      <c r="AEK42" s="37"/>
      <c r="AEL42" s="37"/>
      <c r="AEM42" s="37"/>
      <c r="AEN42" s="37"/>
      <c r="AEO42" s="37"/>
      <c r="AEP42" s="37"/>
      <c r="AEQ42" s="37"/>
      <c r="AER42" s="37"/>
      <c r="AES42" s="37"/>
      <c r="AET42" s="37"/>
      <c r="AEU42" s="37"/>
      <c r="AEV42" s="37"/>
      <c r="AEW42" s="37"/>
      <c r="AEX42" s="37"/>
      <c r="AEY42" s="37"/>
      <c r="AEZ42" s="37"/>
      <c r="AFA42" s="37"/>
      <c r="AFB42" s="37"/>
      <c r="AFC42" s="37"/>
      <c r="AFD42" s="37"/>
      <c r="AFE42" s="37"/>
      <c r="AFF42" s="37"/>
      <c r="AFG42" s="37"/>
      <c r="AFH42" s="37"/>
      <c r="AFI42" s="37"/>
      <c r="AFJ42" s="37"/>
      <c r="AFK42" s="37"/>
      <c r="AFL42" s="37"/>
      <c r="AFM42" s="37"/>
      <c r="AFN42" s="37"/>
      <c r="AFO42" s="37"/>
      <c r="AFP42" s="37"/>
      <c r="AFQ42" s="37"/>
      <c r="AFR42" s="37"/>
      <c r="AFS42" s="37"/>
      <c r="AFT42" s="37"/>
      <c r="AFU42" s="37"/>
      <c r="AFV42" s="37"/>
      <c r="AFW42" s="37"/>
      <c r="AFX42" s="37"/>
      <c r="AFY42" s="37"/>
      <c r="AFZ42" s="37"/>
      <c r="AGA42" s="37"/>
      <c r="AGB42" s="37"/>
      <c r="AGC42" s="37"/>
      <c r="AGD42" s="37"/>
      <c r="AGE42" s="37"/>
      <c r="AGF42" s="37"/>
      <c r="AGG42" s="37"/>
      <c r="AGH42" s="37"/>
      <c r="AGI42" s="37"/>
      <c r="AGJ42" s="37"/>
      <c r="AGK42" s="37"/>
      <c r="AGL42" s="37"/>
      <c r="AGM42" s="37"/>
      <c r="AGN42" s="37"/>
      <c r="AGO42" s="37"/>
      <c r="AGP42" s="37"/>
      <c r="AGQ42" s="37"/>
      <c r="AGR42" s="37"/>
      <c r="AGS42" s="37"/>
      <c r="AGT42" s="37"/>
      <c r="AGU42" s="37"/>
      <c r="AGV42" s="37"/>
      <c r="AGW42" s="37"/>
      <c r="AGX42" s="37"/>
      <c r="AGY42" s="37"/>
      <c r="AGZ42" s="37"/>
      <c r="AHA42" s="37"/>
      <c r="AHB42" s="37"/>
      <c r="AHC42" s="37"/>
      <c r="AHD42" s="37"/>
      <c r="AHE42" s="37"/>
      <c r="AHF42" s="37"/>
      <c r="AHG42" s="37"/>
      <c r="AHH42" s="37"/>
      <c r="AHI42" s="37"/>
      <c r="AHJ42" s="37"/>
      <c r="AHK42" s="37"/>
      <c r="AHL42" s="37"/>
      <c r="AHM42" s="37"/>
      <c r="AHN42" s="37"/>
      <c r="AHO42" s="37"/>
      <c r="AHP42" s="37"/>
      <c r="AHQ42" s="37"/>
      <c r="AHR42" s="37"/>
      <c r="AHS42" s="37"/>
      <c r="AHT42" s="37"/>
      <c r="AHU42" s="37"/>
      <c r="AHV42" s="37"/>
      <c r="AHW42" s="37"/>
      <c r="AHX42" s="37"/>
      <c r="AHY42" s="37"/>
      <c r="AHZ42" s="37"/>
      <c r="AIA42" s="37"/>
      <c r="AIB42" s="37"/>
      <c r="AIC42" s="37"/>
      <c r="AID42" s="37"/>
      <c r="AIE42" s="37"/>
      <c r="AIF42" s="37"/>
      <c r="AIG42" s="37"/>
      <c r="AIH42" s="37"/>
      <c r="AII42" s="37"/>
      <c r="AIJ42" s="37"/>
      <c r="AIK42" s="37"/>
      <c r="AIL42" s="37"/>
      <c r="AIM42" s="37"/>
      <c r="AIN42" s="37"/>
      <c r="AIO42" s="37"/>
      <c r="AIP42" s="37"/>
      <c r="AIQ42" s="37"/>
      <c r="AIR42" s="37"/>
      <c r="AIS42" s="37"/>
      <c r="AIT42" s="37"/>
      <c r="AIU42" s="37"/>
      <c r="AIV42" s="37"/>
      <c r="AIW42" s="37"/>
      <c r="AIX42" s="37"/>
      <c r="AIY42" s="37"/>
      <c r="AIZ42" s="37"/>
      <c r="AJA42" s="37"/>
      <c r="AJB42" s="37"/>
      <c r="AJC42" s="37"/>
      <c r="AJD42" s="37"/>
      <c r="AJE42" s="37"/>
      <c r="AJF42" s="37"/>
      <c r="AJG42" s="37"/>
      <c r="AJH42" s="37"/>
      <c r="AJI42" s="37"/>
      <c r="AJJ42" s="37"/>
      <c r="AJK42" s="37"/>
      <c r="AJL42" s="37"/>
      <c r="AJM42" s="37"/>
      <c r="AJN42" s="37"/>
      <c r="AJO42" s="37"/>
      <c r="AJP42" s="37"/>
      <c r="AJQ42" s="37"/>
      <c r="AJR42" s="37"/>
      <c r="AJS42" s="37"/>
      <c r="AJT42" s="37"/>
      <c r="AJU42" s="37"/>
      <c r="AJV42" s="37"/>
      <c r="AJW42" s="37"/>
      <c r="AJX42" s="37"/>
      <c r="AJY42" s="37"/>
      <c r="AJZ42" s="37"/>
      <c r="AKA42" s="37"/>
      <c r="AKB42" s="37"/>
      <c r="AKC42" s="37"/>
      <c r="AKD42" s="37"/>
      <c r="AKE42" s="37"/>
      <c r="AKF42" s="37"/>
      <c r="AKG42" s="37"/>
      <c r="AKH42" s="37"/>
      <c r="AKI42" s="37"/>
      <c r="AKJ42" s="37"/>
      <c r="AKK42" s="37"/>
      <c r="AKL42" s="37"/>
      <c r="AKM42" s="37"/>
      <c r="AKN42" s="37"/>
      <c r="AKO42" s="37"/>
      <c r="AKP42" s="37"/>
      <c r="AKQ42" s="37"/>
      <c r="AKR42" s="37"/>
      <c r="AKS42" s="37"/>
      <c r="AKT42" s="37"/>
      <c r="AKU42" s="37"/>
      <c r="AKV42" s="37"/>
      <c r="AKW42" s="37"/>
      <c r="AKX42" s="37"/>
      <c r="AKY42" s="37"/>
      <c r="AKZ42" s="37"/>
      <c r="ALA42" s="37"/>
      <c r="ALB42" s="37"/>
      <c r="ALC42" s="37"/>
      <c r="ALD42" s="37"/>
      <c r="ALE42" s="37"/>
      <c r="ALF42" s="37"/>
      <c r="ALG42" s="37"/>
      <c r="ALH42" s="37"/>
      <c r="ALI42" s="37"/>
      <c r="ALJ42" s="37"/>
      <c r="ALK42" s="37"/>
      <c r="ALL42" s="37"/>
      <c r="ALM42" s="37"/>
      <c r="ALN42" s="37"/>
      <c r="ALO42" s="37"/>
      <c r="ALP42" s="37"/>
      <c r="ALQ42" s="37"/>
      <c r="ALR42" s="37"/>
      <c r="ALS42" s="37"/>
      <c r="ALT42" s="37"/>
      <c r="ALU42" s="37"/>
      <c r="ALV42" s="37"/>
      <c r="ALW42" s="37"/>
      <c r="ALX42" s="37"/>
      <c r="ALY42" s="37"/>
      <c r="ALZ42" s="37"/>
      <c r="AMA42" s="37"/>
      <c r="AMB42" s="37"/>
      <c r="AMC42" s="37"/>
    </row>
    <row r="43" spans="1:1017" s="38" customFormat="1" ht="19.5" customHeight="1">
      <c r="A43" s="75"/>
      <c r="B43" s="76"/>
      <c r="C43" s="75"/>
      <c r="D43" s="75"/>
      <c r="E43" s="75"/>
      <c r="F43" s="75"/>
      <c r="G43" s="77">
        <v>44</v>
      </c>
      <c r="H43" s="77">
        <v>61</v>
      </c>
      <c r="I43" s="77">
        <v>19</v>
      </c>
      <c r="J43" s="77">
        <v>14</v>
      </c>
      <c r="K43" s="77">
        <v>100</v>
      </c>
      <c r="L43" s="77">
        <v>96</v>
      </c>
      <c r="M43" s="77">
        <v>109</v>
      </c>
      <c r="N43" s="77"/>
      <c r="O43" s="7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  <c r="OU43" s="37"/>
      <c r="OV43" s="37"/>
      <c r="OW43" s="37"/>
      <c r="OX43" s="37"/>
      <c r="OY43" s="37"/>
      <c r="OZ43" s="37"/>
      <c r="PA43" s="37"/>
      <c r="PB43" s="37"/>
      <c r="PC43" s="37"/>
      <c r="PD43" s="37"/>
      <c r="PE43" s="37"/>
      <c r="PF43" s="37"/>
      <c r="PG43" s="37"/>
      <c r="PH43" s="37"/>
      <c r="PI43" s="37"/>
      <c r="PJ43" s="37"/>
      <c r="PK43" s="37"/>
      <c r="PL43" s="37"/>
      <c r="PM43" s="37"/>
      <c r="PN43" s="37"/>
      <c r="PO43" s="37"/>
      <c r="PP43" s="37"/>
      <c r="PQ43" s="37"/>
      <c r="PR43" s="37"/>
      <c r="PS43" s="37"/>
      <c r="PT43" s="37"/>
      <c r="PU43" s="37"/>
      <c r="PV43" s="37"/>
      <c r="PW43" s="37"/>
      <c r="PX43" s="37"/>
      <c r="PY43" s="37"/>
      <c r="PZ43" s="37"/>
      <c r="QA43" s="37"/>
      <c r="QB43" s="37"/>
      <c r="QC43" s="37"/>
      <c r="QD43" s="37"/>
      <c r="QE43" s="37"/>
      <c r="QF43" s="37"/>
      <c r="QG43" s="37"/>
      <c r="QH43" s="37"/>
      <c r="QI43" s="37"/>
      <c r="QJ43" s="37"/>
      <c r="QK43" s="37"/>
      <c r="QL43" s="37"/>
      <c r="QM43" s="37"/>
      <c r="QN43" s="37"/>
      <c r="QO43" s="37"/>
      <c r="QP43" s="37"/>
      <c r="QQ43" s="37"/>
      <c r="QR43" s="37"/>
      <c r="QS43" s="37"/>
      <c r="QT43" s="37"/>
      <c r="QU43" s="37"/>
      <c r="QV43" s="37"/>
      <c r="QW43" s="37"/>
      <c r="QX43" s="37"/>
      <c r="QY43" s="37"/>
      <c r="QZ43" s="37"/>
      <c r="RA43" s="37"/>
      <c r="RB43" s="37"/>
      <c r="RC43" s="37"/>
      <c r="RD43" s="37"/>
      <c r="RE43" s="37"/>
      <c r="RF43" s="37"/>
      <c r="RG43" s="37"/>
      <c r="RH43" s="37"/>
      <c r="RI43" s="37"/>
      <c r="RJ43" s="37"/>
      <c r="RK43" s="37"/>
      <c r="RL43" s="37"/>
      <c r="RM43" s="37"/>
      <c r="RN43" s="37"/>
      <c r="RO43" s="37"/>
      <c r="RP43" s="37"/>
      <c r="RQ43" s="37"/>
      <c r="RR43" s="37"/>
      <c r="RS43" s="37"/>
      <c r="RT43" s="37"/>
      <c r="RU43" s="37"/>
      <c r="RV43" s="37"/>
      <c r="RW43" s="37"/>
      <c r="RX43" s="37"/>
      <c r="RY43" s="37"/>
      <c r="RZ43" s="37"/>
      <c r="SA43" s="37"/>
      <c r="SB43" s="37"/>
      <c r="SC43" s="37"/>
      <c r="SD43" s="37"/>
      <c r="SE43" s="37"/>
      <c r="SF43" s="37"/>
      <c r="SG43" s="37"/>
      <c r="SH43" s="37"/>
      <c r="SI43" s="37"/>
      <c r="SJ43" s="37"/>
      <c r="SK43" s="37"/>
      <c r="SL43" s="37"/>
      <c r="SM43" s="37"/>
      <c r="SN43" s="37"/>
      <c r="SO43" s="37"/>
      <c r="SP43" s="37"/>
      <c r="SQ43" s="37"/>
      <c r="SR43" s="37"/>
      <c r="SS43" s="37"/>
      <c r="ST43" s="37"/>
      <c r="SU43" s="37"/>
      <c r="SV43" s="37"/>
      <c r="SW43" s="37"/>
      <c r="SX43" s="37"/>
      <c r="SY43" s="37"/>
      <c r="SZ43" s="37"/>
      <c r="TA43" s="37"/>
      <c r="TB43" s="37"/>
      <c r="TC43" s="37"/>
      <c r="TD43" s="37"/>
      <c r="TE43" s="37"/>
      <c r="TF43" s="37"/>
      <c r="TG43" s="37"/>
      <c r="TH43" s="37"/>
      <c r="TI43" s="37"/>
      <c r="TJ43" s="37"/>
      <c r="TK43" s="37"/>
      <c r="TL43" s="37"/>
      <c r="TM43" s="37"/>
      <c r="TN43" s="37"/>
      <c r="TO43" s="37"/>
      <c r="TP43" s="37"/>
      <c r="TQ43" s="37"/>
      <c r="TR43" s="37"/>
      <c r="TS43" s="37"/>
      <c r="TT43" s="37"/>
      <c r="TU43" s="37"/>
      <c r="TV43" s="37"/>
      <c r="TW43" s="37"/>
      <c r="TX43" s="37"/>
      <c r="TY43" s="37"/>
      <c r="TZ43" s="37"/>
      <c r="UA43" s="37"/>
      <c r="UB43" s="37"/>
      <c r="UC43" s="37"/>
      <c r="UD43" s="37"/>
      <c r="UE43" s="37"/>
      <c r="UF43" s="37"/>
      <c r="UG43" s="37"/>
      <c r="UH43" s="37"/>
      <c r="UI43" s="37"/>
      <c r="UJ43" s="37"/>
      <c r="UK43" s="37"/>
      <c r="UL43" s="37"/>
      <c r="UM43" s="37"/>
      <c r="UN43" s="37"/>
      <c r="UO43" s="37"/>
      <c r="UP43" s="37"/>
      <c r="UQ43" s="37"/>
      <c r="UR43" s="37"/>
      <c r="US43" s="37"/>
      <c r="UT43" s="37"/>
      <c r="UU43" s="37"/>
      <c r="UV43" s="37"/>
      <c r="UW43" s="37"/>
      <c r="UX43" s="37"/>
      <c r="UY43" s="37"/>
      <c r="UZ43" s="37"/>
      <c r="VA43" s="37"/>
      <c r="VB43" s="37"/>
      <c r="VC43" s="37"/>
      <c r="VD43" s="37"/>
      <c r="VE43" s="37"/>
      <c r="VF43" s="37"/>
      <c r="VG43" s="37"/>
      <c r="VH43" s="37"/>
      <c r="VI43" s="37"/>
      <c r="VJ43" s="37"/>
      <c r="VK43" s="37"/>
      <c r="VL43" s="37"/>
      <c r="VM43" s="37"/>
      <c r="VN43" s="37"/>
      <c r="VO43" s="37"/>
      <c r="VP43" s="37"/>
      <c r="VQ43" s="37"/>
      <c r="VR43" s="37"/>
      <c r="VS43" s="37"/>
      <c r="VT43" s="37"/>
      <c r="VU43" s="37"/>
      <c r="VV43" s="37"/>
      <c r="VW43" s="37"/>
      <c r="VX43" s="37"/>
      <c r="VY43" s="37"/>
      <c r="VZ43" s="37"/>
      <c r="WA43" s="37"/>
      <c r="WB43" s="37"/>
      <c r="WC43" s="37"/>
      <c r="WD43" s="37"/>
      <c r="WE43" s="37"/>
      <c r="WF43" s="37"/>
      <c r="WG43" s="37"/>
      <c r="WH43" s="37"/>
      <c r="WI43" s="37"/>
      <c r="WJ43" s="37"/>
      <c r="WK43" s="37"/>
      <c r="WL43" s="37"/>
      <c r="WM43" s="37"/>
      <c r="WN43" s="37"/>
      <c r="WO43" s="37"/>
      <c r="WP43" s="37"/>
      <c r="WQ43" s="37"/>
      <c r="WR43" s="37"/>
      <c r="WS43" s="37"/>
      <c r="WT43" s="37"/>
      <c r="WU43" s="37"/>
      <c r="WV43" s="37"/>
      <c r="WW43" s="37"/>
      <c r="WX43" s="37"/>
      <c r="WY43" s="37"/>
      <c r="WZ43" s="37"/>
      <c r="XA43" s="37"/>
      <c r="XB43" s="37"/>
      <c r="XC43" s="37"/>
      <c r="XD43" s="37"/>
      <c r="XE43" s="37"/>
      <c r="XF43" s="37"/>
      <c r="XG43" s="37"/>
      <c r="XH43" s="37"/>
      <c r="XI43" s="37"/>
      <c r="XJ43" s="37"/>
      <c r="XK43" s="37"/>
      <c r="XL43" s="37"/>
      <c r="XM43" s="37"/>
      <c r="XN43" s="37"/>
      <c r="XO43" s="37"/>
      <c r="XP43" s="37"/>
      <c r="XQ43" s="37"/>
      <c r="XR43" s="37"/>
      <c r="XS43" s="37"/>
      <c r="XT43" s="37"/>
      <c r="XU43" s="37"/>
      <c r="XV43" s="37"/>
      <c r="XW43" s="37"/>
      <c r="XX43" s="37"/>
      <c r="XY43" s="37"/>
      <c r="XZ43" s="37"/>
      <c r="YA43" s="37"/>
      <c r="YB43" s="37"/>
      <c r="YC43" s="37"/>
      <c r="YD43" s="37"/>
      <c r="YE43" s="37"/>
      <c r="YF43" s="37"/>
      <c r="YG43" s="37"/>
      <c r="YH43" s="37"/>
      <c r="YI43" s="37"/>
      <c r="YJ43" s="37"/>
      <c r="YK43" s="37"/>
      <c r="YL43" s="37"/>
      <c r="YM43" s="37"/>
      <c r="YN43" s="37"/>
      <c r="YO43" s="37"/>
      <c r="YP43" s="37"/>
      <c r="YQ43" s="37"/>
      <c r="YR43" s="37"/>
      <c r="YS43" s="37"/>
      <c r="YT43" s="37"/>
      <c r="YU43" s="37"/>
      <c r="YV43" s="37"/>
      <c r="YW43" s="37"/>
      <c r="YX43" s="37"/>
      <c r="YY43" s="37"/>
      <c r="YZ43" s="37"/>
      <c r="ZA43" s="37"/>
      <c r="ZB43" s="37"/>
      <c r="ZC43" s="37"/>
      <c r="ZD43" s="37"/>
      <c r="ZE43" s="37"/>
      <c r="ZF43" s="37"/>
      <c r="ZG43" s="37"/>
      <c r="ZH43" s="37"/>
      <c r="ZI43" s="37"/>
      <c r="ZJ43" s="37"/>
      <c r="ZK43" s="37"/>
      <c r="ZL43" s="37"/>
      <c r="ZM43" s="37"/>
      <c r="ZN43" s="37"/>
      <c r="ZO43" s="37"/>
      <c r="ZP43" s="37"/>
      <c r="ZQ43" s="37"/>
      <c r="ZR43" s="37"/>
      <c r="ZS43" s="37"/>
      <c r="ZT43" s="37"/>
      <c r="ZU43" s="37"/>
      <c r="ZV43" s="37"/>
      <c r="ZW43" s="37"/>
      <c r="ZX43" s="37"/>
      <c r="ZY43" s="37"/>
      <c r="ZZ43" s="37"/>
      <c r="AAA43" s="37"/>
      <c r="AAB43" s="37"/>
      <c r="AAC43" s="37"/>
      <c r="AAD43" s="37"/>
      <c r="AAE43" s="37"/>
      <c r="AAF43" s="37"/>
      <c r="AAG43" s="37"/>
      <c r="AAH43" s="37"/>
      <c r="AAI43" s="37"/>
      <c r="AAJ43" s="37"/>
      <c r="AAK43" s="37"/>
      <c r="AAL43" s="37"/>
      <c r="AAM43" s="37"/>
      <c r="AAN43" s="37"/>
      <c r="AAO43" s="37"/>
      <c r="AAP43" s="37"/>
      <c r="AAQ43" s="37"/>
      <c r="AAR43" s="37"/>
      <c r="AAS43" s="37"/>
      <c r="AAT43" s="37"/>
      <c r="AAU43" s="37"/>
      <c r="AAV43" s="37"/>
      <c r="AAW43" s="37"/>
      <c r="AAX43" s="37"/>
      <c r="AAY43" s="37"/>
      <c r="AAZ43" s="37"/>
      <c r="ABA43" s="37"/>
      <c r="ABB43" s="37"/>
      <c r="ABC43" s="37"/>
      <c r="ABD43" s="37"/>
      <c r="ABE43" s="37"/>
      <c r="ABF43" s="37"/>
      <c r="ABG43" s="37"/>
      <c r="ABH43" s="37"/>
      <c r="ABI43" s="37"/>
      <c r="ABJ43" s="37"/>
      <c r="ABK43" s="37"/>
      <c r="ABL43" s="37"/>
      <c r="ABM43" s="37"/>
      <c r="ABN43" s="37"/>
      <c r="ABO43" s="37"/>
      <c r="ABP43" s="37"/>
      <c r="ABQ43" s="37"/>
      <c r="ABR43" s="37"/>
      <c r="ABS43" s="37"/>
      <c r="ABT43" s="37"/>
      <c r="ABU43" s="37"/>
      <c r="ABV43" s="37"/>
      <c r="ABW43" s="37"/>
      <c r="ABX43" s="37"/>
      <c r="ABY43" s="37"/>
      <c r="ABZ43" s="37"/>
      <c r="ACA43" s="37"/>
      <c r="ACB43" s="37"/>
      <c r="ACC43" s="37"/>
      <c r="ACD43" s="37"/>
      <c r="ACE43" s="37"/>
      <c r="ACF43" s="37"/>
      <c r="ACG43" s="37"/>
      <c r="ACH43" s="37"/>
      <c r="ACI43" s="37"/>
      <c r="ACJ43" s="37"/>
      <c r="ACK43" s="37"/>
      <c r="ACL43" s="37"/>
      <c r="ACM43" s="37"/>
      <c r="ACN43" s="37"/>
      <c r="ACO43" s="37"/>
      <c r="ACP43" s="37"/>
      <c r="ACQ43" s="37"/>
      <c r="ACR43" s="37"/>
      <c r="ACS43" s="37"/>
      <c r="ACT43" s="37"/>
      <c r="ACU43" s="37"/>
      <c r="ACV43" s="37"/>
      <c r="ACW43" s="37"/>
      <c r="ACX43" s="37"/>
      <c r="ACY43" s="37"/>
      <c r="ACZ43" s="37"/>
      <c r="ADA43" s="37"/>
      <c r="ADB43" s="37"/>
      <c r="ADC43" s="37"/>
      <c r="ADD43" s="37"/>
      <c r="ADE43" s="37"/>
      <c r="ADF43" s="37"/>
      <c r="ADG43" s="37"/>
      <c r="ADH43" s="37"/>
      <c r="ADI43" s="37"/>
      <c r="ADJ43" s="37"/>
      <c r="ADK43" s="37"/>
      <c r="ADL43" s="37"/>
      <c r="ADM43" s="37"/>
      <c r="ADN43" s="37"/>
      <c r="ADO43" s="37"/>
      <c r="ADP43" s="37"/>
      <c r="ADQ43" s="37"/>
      <c r="ADR43" s="37"/>
      <c r="ADS43" s="37"/>
      <c r="ADT43" s="37"/>
      <c r="ADU43" s="37"/>
      <c r="ADV43" s="37"/>
      <c r="ADW43" s="37"/>
      <c r="ADX43" s="37"/>
      <c r="ADY43" s="37"/>
      <c r="ADZ43" s="37"/>
      <c r="AEA43" s="37"/>
      <c r="AEB43" s="37"/>
      <c r="AEC43" s="37"/>
      <c r="AED43" s="37"/>
      <c r="AEE43" s="37"/>
      <c r="AEF43" s="37"/>
      <c r="AEG43" s="37"/>
      <c r="AEH43" s="37"/>
      <c r="AEI43" s="37"/>
      <c r="AEJ43" s="37"/>
      <c r="AEK43" s="37"/>
      <c r="AEL43" s="37"/>
      <c r="AEM43" s="37"/>
      <c r="AEN43" s="37"/>
      <c r="AEO43" s="37"/>
      <c r="AEP43" s="37"/>
      <c r="AEQ43" s="37"/>
      <c r="AER43" s="37"/>
      <c r="AES43" s="37"/>
      <c r="AET43" s="37"/>
      <c r="AEU43" s="37"/>
      <c r="AEV43" s="37"/>
      <c r="AEW43" s="37"/>
      <c r="AEX43" s="37"/>
      <c r="AEY43" s="37"/>
      <c r="AEZ43" s="37"/>
      <c r="AFA43" s="37"/>
      <c r="AFB43" s="37"/>
      <c r="AFC43" s="37"/>
      <c r="AFD43" s="37"/>
      <c r="AFE43" s="37"/>
      <c r="AFF43" s="37"/>
      <c r="AFG43" s="37"/>
      <c r="AFH43" s="37"/>
      <c r="AFI43" s="37"/>
      <c r="AFJ43" s="37"/>
      <c r="AFK43" s="37"/>
      <c r="AFL43" s="37"/>
      <c r="AFM43" s="37"/>
      <c r="AFN43" s="37"/>
      <c r="AFO43" s="37"/>
      <c r="AFP43" s="37"/>
      <c r="AFQ43" s="37"/>
      <c r="AFR43" s="37"/>
      <c r="AFS43" s="37"/>
      <c r="AFT43" s="37"/>
      <c r="AFU43" s="37"/>
      <c r="AFV43" s="37"/>
      <c r="AFW43" s="37"/>
      <c r="AFX43" s="37"/>
      <c r="AFY43" s="37"/>
      <c r="AFZ43" s="37"/>
      <c r="AGA43" s="37"/>
      <c r="AGB43" s="37"/>
      <c r="AGC43" s="37"/>
      <c r="AGD43" s="37"/>
      <c r="AGE43" s="37"/>
      <c r="AGF43" s="37"/>
      <c r="AGG43" s="37"/>
      <c r="AGH43" s="37"/>
      <c r="AGI43" s="37"/>
      <c r="AGJ43" s="37"/>
      <c r="AGK43" s="37"/>
      <c r="AGL43" s="37"/>
      <c r="AGM43" s="37"/>
      <c r="AGN43" s="37"/>
      <c r="AGO43" s="37"/>
      <c r="AGP43" s="37"/>
      <c r="AGQ43" s="37"/>
      <c r="AGR43" s="37"/>
      <c r="AGS43" s="37"/>
      <c r="AGT43" s="37"/>
      <c r="AGU43" s="37"/>
      <c r="AGV43" s="37"/>
      <c r="AGW43" s="37"/>
      <c r="AGX43" s="37"/>
      <c r="AGY43" s="37"/>
      <c r="AGZ43" s="37"/>
      <c r="AHA43" s="37"/>
      <c r="AHB43" s="37"/>
      <c r="AHC43" s="37"/>
      <c r="AHD43" s="37"/>
      <c r="AHE43" s="37"/>
      <c r="AHF43" s="37"/>
      <c r="AHG43" s="37"/>
      <c r="AHH43" s="37"/>
      <c r="AHI43" s="37"/>
      <c r="AHJ43" s="37"/>
      <c r="AHK43" s="37"/>
      <c r="AHL43" s="37"/>
      <c r="AHM43" s="37"/>
      <c r="AHN43" s="37"/>
      <c r="AHO43" s="37"/>
      <c r="AHP43" s="37"/>
      <c r="AHQ43" s="37"/>
      <c r="AHR43" s="37"/>
      <c r="AHS43" s="37"/>
      <c r="AHT43" s="37"/>
      <c r="AHU43" s="37"/>
      <c r="AHV43" s="37"/>
      <c r="AHW43" s="37"/>
      <c r="AHX43" s="37"/>
      <c r="AHY43" s="37"/>
      <c r="AHZ43" s="37"/>
      <c r="AIA43" s="37"/>
      <c r="AIB43" s="37"/>
      <c r="AIC43" s="37"/>
      <c r="AID43" s="37"/>
      <c r="AIE43" s="37"/>
      <c r="AIF43" s="37"/>
      <c r="AIG43" s="37"/>
      <c r="AIH43" s="37"/>
      <c r="AII43" s="37"/>
      <c r="AIJ43" s="37"/>
      <c r="AIK43" s="37"/>
      <c r="AIL43" s="37"/>
      <c r="AIM43" s="37"/>
      <c r="AIN43" s="37"/>
      <c r="AIO43" s="37"/>
      <c r="AIP43" s="37"/>
      <c r="AIQ43" s="37"/>
      <c r="AIR43" s="37"/>
      <c r="AIS43" s="37"/>
      <c r="AIT43" s="37"/>
      <c r="AIU43" s="37"/>
      <c r="AIV43" s="37"/>
      <c r="AIW43" s="37"/>
      <c r="AIX43" s="37"/>
      <c r="AIY43" s="37"/>
      <c r="AIZ43" s="37"/>
      <c r="AJA43" s="37"/>
      <c r="AJB43" s="37"/>
      <c r="AJC43" s="37"/>
      <c r="AJD43" s="37"/>
      <c r="AJE43" s="37"/>
      <c r="AJF43" s="37"/>
      <c r="AJG43" s="37"/>
      <c r="AJH43" s="37"/>
      <c r="AJI43" s="37"/>
      <c r="AJJ43" s="37"/>
      <c r="AJK43" s="37"/>
      <c r="AJL43" s="37"/>
      <c r="AJM43" s="37"/>
      <c r="AJN43" s="37"/>
      <c r="AJO43" s="37"/>
      <c r="AJP43" s="37"/>
      <c r="AJQ43" s="37"/>
      <c r="AJR43" s="37"/>
      <c r="AJS43" s="37"/>
      <c r="AJT43" s="37"/>
      <c r="AJU43" s="37"/>
      <c r="AJV43" s="37"/>
      <c r="AJW43" s="37"/>
      <c r="AJX43" s="37"/>
      <c r="AJY43" s="37"/>
      <c r="AJZ43" s="37"/>
      <c r="AKA43" s="37"/>
      <c r="AKB43" s="37"/>
      <c r="AKC43" s="37"/>
      <c r="AKD43" s="37"/>
      <c r="AKE43" s="37"/>
      <c r="AKF43" s="37"/>
      <c r="AKG43" s="37"/>
      <c r="AKH43" s="37"/>
      <c r="AKI43" s="37"/>
      <c r="AKJ43" s="37"/>
      <c r="AKK43" s="37"/>
      <c r="AKL43" s="37"/>
      <c r="AKM43" s="37"/>
      <c r="AKN43" s="37"/>
      <c r="AKO43" s="37"/>
      <c r="AKP43" s="37"/>
      <c r="AKQ43" s="37"/>
      <c r="AKR43" s="37"/>
      <c r="AKS43" s="37"/>
      <c r="AKT43" s="37"/>
      <c r="AKU43" s="37"/>
      <c r="AKV43" s="37"/>
      <c r="AKW43" s="37"/>
      <c r="AKX43" s="37"/>
      <c r="AKY43" s="37"/>
      <c r="AKZ43" s="37"/>
      <c r="ALA43" s="37"/>
      <c r="ALB43" s="37"/>
      <c r="ALC43" s="37"/>
      <c r="ALD43" s="37"/>
      <c r="ALE43" s="37"/>
      <c r="ALF43" s="37"/>
      <c r="ALG43" s="37"/>
      <c r="ALH43" s="37"/>
      <c r="ALI43" s="37"/>
      <c r="ALJ43" s="37"/>
      <c r="ALK43" s="37"/>
      <c r="ALL43" s="37"/>
      <c r="ALM43" s="37"/>
      <c r="ALN43" s="37"/>
      <c r="ALO43" s="37"/>
      <c r="ALP43" s="37"/>
      <c r="ALQ43" s="37"/>
      <c r="ALR43" s="37"/>
      <c r="ALS43" s="37"/>
      <c r="ALT43" s="37"/>
      <c r="ALU43" s="37"/>
      <c r="ALV43" s="37"/>
      <c r="ALW43" s="37"/>
      <c r="ALX43" s="37"/>
      <c r="ALY43" s="37"/>
      <c r="ALZ43" s="37"/>
      <c r="AMA43" s="37"/>
      <c r="AMB43" s="37"/>
      <c r="AMC43" s="37"/>
    </row>
    <row r="44" spans="1:1017" s="38" customFormat="1" ht="19.5" customHeight="1">
      <c r="A44" s="26" t="s">
        <v>115</v>
      </c>
      <c r="B44" s="25" t="s">
        <v>100</v>
      </c>
      <c r="C44" s="26" t="s">
        <v>46</v>
      </c>
      <c r="D44" s="26" t="s">
        <v>32</v>
      </c>
      <c r="E44" s="26" t="s">
        <v>261</v>
      </c>
      <c r="F44" s="26">
        <v>41</v>
      </c>
      <c r="G44" s="26" t="s">
        <v>36</v>
      </c>
      <c r="H44" s="26">
        <v>57</v>
      </c>
      <c r="I44" s="36">
        <v>43</v>
      </c>
      <c r="J44" s="36">
        <v>23</v>
      </c>
      <c r="K44" s="36">
        <v>18</v>
      </c>
      <c r="L44" s="36">
        <v>29</v>
      </c>
      <c r="M44" s="36">
        <v>27</v>
      </c>
      <c r="N44" s="36">
        <v>29</v>
      </c>
      <c r="O44" s="36">
        <v>67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  <c r="OU44" s="37"/>
      <c r="OV44" s="37"/>
      <c r="OW44" s="37"/>
      <c r="OX44" s="37"/>
      <c r="OY44" s="37"/>
      <c r="OZ44" s="37"/>
      <c r="PA44" s="37"/>
      <c r="PB44" s="37"/>
      <c r="PC44" s="37"/>
      <c r="PD44" s="37"/>
      <c r="PE44" s="37"/>
      <c r="PF44" s="37"/>
      <c r="PG44" s="37"/>
      <c r="PH44" s="37"/>
      <c r="PI44" s="37"/>
      <c r="PJ44" s="37"/>
      <c r="PK44" s="37"/>
      <c r="PL44" s="37"/>
      <c r="PM44" s="37"/>
      <c r="PN44" s="37"/>
      <c r="PO44" s="37"/>
      <c r="PP44" s="37"/>
      <c r="PQ44" s="37"/>
      <c r="PR44" s="37"/>
      <c r="PS44" s="37"/>
      <c r="PT44" s="37"/>
      <c r="PU44" s="37"/>
      <c r="PV44" s="37"/>
      <c r="PW44" s="37"/>
      <c r="PX44" s="37"/>
      <c r="PY44" s="37"/>
      <c r="PZ44" s="37"/>
      <c r="QA44" s="37"/>
      <c r="QB44" s="37"/>
      <c r="QC44" s="37"/>
      <c r="QD44" s="37"/>
      <c r="QE44" s="37"/>
      <c r="QF44" s="37"/>
      <c r="QG44" s="37"/>
      <c r="QH44" s="37"/>
      <c r="QI44" s="37"/>
      <c r="QJ44" s="37"/>
      <c r="QK44" s="37"/>
      <c r="QL44" s="37"/>
      <c r="QM44" s="37"/>
      <c r="QN44" s="37"/>
      <c r="QO44" s="37"/>
      <c r="QP44" s="37"/>
      <c r="QQ44" s="37"/>
      <c r="QR44" s="37"/>
      <c r="QS44" s="37"/>
      <c r="QT44" s="37"/>
      <c r="QU44" s="37"/>
      <c r="QV44" s="37"/>
      <c r="QW44" s="37"/>
      <c r="QX44" s="37"/>
      <c r="QY44" s="37"/>
      <c r="QZ44" s="37"/>
      <c r="RA44" s="37"/>
      <c r="RB44" s="37"/>
      <c r="RC44" s="37"/>
      <c r="RD44" s="37"/>
      <c r="RE44" s="37"/>
      <c r="RF44" s="37"/>
      <c r="RG44" s="37"/>
      <c r="RH44" s="37"/>
      <c r="RI44" s="37"/>
      <c r="RJ44" s="37"/>
      <c r="RK44" s="37"/>
      <c r="RL44" s="37"/>
      <c r="RM44" s="37"/>
      <c r="RN44" s="37"/>
      <c r="RO44" s="37"/>
      <c r="RP44" s="37"/>
      <c r="RQ44" s="37"/>
      <c r="RR44" s="37"/>
      <c r="RS44" s="37"/>
      <c r="RT44" s="37"/>
      <c r="RU44" s="37"/>
      <c r="RV44" s="37"/>
      <c r="RW44" s="37"/>
      <c r="RX44" s="37"/>
      <c r="RY44" s="37"/>
      <c r="RZ44" s="37"/>
      <c r="SA44" s="37"/>
      <c r="SB44" s="37"/>
      <c r="SC44" s="37"/>
      <c r="SD44" s="37"/>
      <c r="SE44" s="37"/>
      <c r="SF44" s="37"/>
      <c r="SG44" s="37"/>
      <c r="SH44" s="37"/>
      <c r="SI44" s="37"/>
      <c r="SJ44" s="37"/>
      <c r="SK44" s="37"/>
      <c r="SL44" s="37"/>
      <c r="SM44" s="37"/>
      <c r="SN44" s="37"/>
      <c r="SO44" s="37"/>
      <c r="SP44" s="37"/>
      <c r="SQ44" s="37"/>
      <c r="SR44" s="37"/>
      <c r="SS44" s="37"/>
      <c r="ST44" s="37"/>
      <c r="SU44" s="37"/>
      <c r="SV44" s="37"/>
      <c r="SW44" s="37"/>
      <c r="SX44" s="37"/>
      <c r="SY44" s="37"/>
      <c r="SZ44" s="37"/>
      <c r="TA44" s="37"/>
      <c r="TB44" s="37"/>
      <c r="TC44" s="37"/>
      <c r="TD44" s="37"/>
      <c r="TE44" s="37"/>
      <c r="TF44" s="37"/>
      <c r="TG44" s="37"/>
      <c r="TH44" s="37"/>
      <c r="TI44" s="37"/>
      <c r="TJ44" s="37"/>
      <c r="TK44" s="37"/>
      <c r="TL44" s="37"/>
      <c r="TM44" s="37"/>
      <c r="TN44" s="37"/>
      <c r="TO44" s="37"/>
      <c r="TP44" s="37"/>
      <c r="TQ44" s="37"/>
      <c r="TR44" s="37"/>
      <c r="TS44" s="37"/>
      <c r="TT44" s="37"/>
      <c r="TU44" s="37"/>
      <c r="TV44" s="37"/>
      <c r="TW44" s="37"/>
      <c r="TX44" s="37"/>
      <c r="TY44" s="37"/>
      <c r="TZ44" s="37"/>
      <c r="UA44" s="37"/>
      <c r="UB44" s="37"/>
      <c r="UC44" s="37"/>
      <c r="UD44" s="37"/>
      <c r="UE44" s="37"/>
      <c r="UF44" s="37"/>
      <c r="UG44" s="37"/>
      <c r="UH44" s="37"/>
      <c r="UI44" s="37"/>
      <c r="UJ44" s="37"/>
      <c r="UK44" s="37"/>
      <c r="UL44" s="37"/>
      <c r="UM44" s="37"/>
      <c r="UN44" s="37"/>
      <c r="UO44" s="37"/>
      <c r="UP44" s="37"/>
      <c r="UQ44" s="37"/>
      <c r="UR44" s="37"/>
      <c r="US44" s="37"/>
      <c r="UT44" s="37"/>
      <c r="UU44" s="37"/>
      <c r="UV44" s="37"/>
      <c r="UW44" s="37"/>
      <c r="UX44" s="37"/>
      <c r="UY44" s="37"/>
      <c r="UZ44" s="37"/>
      <c r="VA44" s="37"/>
      <c r="VB44" s="37"/>
      <c r="VC44" s="37"/>
      <c r="VD44" s="37"/>
      <c r="VE44" s="37"/>
      <c r="VF44" s="37"/>
      <c r="VG44" s="37"/>
      <c r="VH44" s="37"/>
      <c r="VI44" s="37"/>
      <c r="VJ44" s="37"/>
      <c r="VK44" s="37"/>
      <c r="VL44" s="37"/>
      <c r="VM44" s="37"/>
      <c r="VN44" s="37"/>
      <c r="VO44" s="37"/>
      <c r="VP44" s="37"/>
      <c r="VQ44" s="37"/>
      <c r="VR44" s="37"/>
      <c r="VS44" s="37"/>
      <c r="VT44" s="37"/>
      <c r="VU44" s="37"/>
      <c r="VV44" s="37"/>
      <c r="VW44" s="37"/>
      <c r="VX44" s="37"/>
      <c r="VY44" s="37"/>
      <c r="VZ44" s="37"/>
      <c r="WA44" s="37"/>
      <c r="WB44" s="37"/>
      <c r="WC44" s="37"/>
      <c r="WD44" s="37"/>
      <c r="WE44" s="37"/>
      <c r="WF44" s="37"/>
      <c r="WG44" s="37"/>
      <c r="WH44" s="37"/>
      <c r="WI44" s="37"/>
      <c r="WJ44" s="37"/>
      <c r="WK44" s="37"/>
      <c r="WL44" s="37"/>
      <c r="WM44" s="37"/>
      <c r="WN44" s="37"/>
      <c r="WO44" s="37"/>
      <c r="WP44" s="37"/>
      <c r="WQ44" s="37"/>
      <c r="WR44" s="37"/>
      <c r="WS44" s="37"/>
      <c r="WT44" s="37"/>
      <c r="WU44" s="37"/>
      <c r="WV44" s="37"/>
      <c r="WW44" s="37"/>
      <c r="WX44" s="37"/>
      <c r="WY44" s="37"/>
      <c r="WZ44" s="37"/>
      <c r="XA44" s="37"/>
      <c r="XB44" s="37"/>
      <c r="XC44" s="37"/>
      <c r="XD44" s="37"/>
      <c r="XE44" s="37"/>
      <c r="XF44" s="37"/>
      <c r="XG44" s="37"/>
      <c r="XH44" s="37"/>
      <c r="XI44" s="37"/>
      <c r="XJ44" s="37"/>
      <c r="XK44" s="37"/>
      <c r="XL44" s="37"/>
      <c r="XM44" s="37"/>
      <c r="XN44" s="37"/>
      <c r="XO44" s="37"/>
      <c r="XP44" s="37"/>
      <c r="XQ44" s="37"/>
      <c r="XR44" s="37"/>
      <c r="XS44" s="37"/>
      <c r="XT44" s="37"/>
      <c r="XU44" s="37"/>
      <c r="XV44" s="37"/>
      <c r="XW44" s="37"/>
      <c r="XX44" s="37"/>
      <c r="XY44" s="37"/>
      <c r="XZ44" s="37"/>
      <c r="YA44" s="37"/>
      <c r="YB44" s="37"/>
      <c r="YC44" s="37"/>
      <c r="YD44" s="37"/>
      <c r="YE44" s="37"/>
      <c r="YF44" s="37"/>
      <c r="YG44" s="37"/>
      <c r="YH44" s="37"/>
      <c r="YI44" s="37"/>
      <c r="YJ44" s="37"/>
      <c r="YK44" s="37"/>
      <c r="YL44" s="37"/>
      <c r="YM44" s="37"/>
      <c r="YN44" s="37"/>
      <c r="YO44" s="37"/>
      <c r="YP44" s="37"/>
      <c r="YQ44" s="37"/>
      <c r="YR44" s="37"/>
      <c r="YS44" s="37"/>
      <c r="YT44" s="37"/>
      <c r="YU44" s="37"/>
      <c r="YV44" s="37"/>
      <c r="YW44" s="37"/>
      <c r="YX44" s="37"/>
      <c r="YY44" s="37"/>
      <c r="YZ44" s="37"/>
      <c r="ZA44" s="37"/>
      <c r="ZB44" s="37"/>
      <c r="ZC44" s="37"/>
      <c r="ZD44" s="37"/>
      <c r="ZE44" s="37"/>
      <c r="ZF44" s="37"/>
      <c r="ZG44" s="37"/>
      <c r="ZH44" s="37"/>
      <c r="ZI44" s="37"/>
      <c r="ZJ44" s="37"/>
      <c r="ZK44" s="37"/>
      <c r="ZL44" s="37"/>
      <c r="ZM44" s="37"/>
      <c r="ZN44" s="37"/>
      <c r="ZO44" s="37"/>
      <c r="ZP44" s="37"/>
      <c r="ZQ44" s="37"/>
      <c r="ZR44" s="37"/>
      <c r="ZS44" s="37"/>
      <c r="ZT44" s="37"/>
      <c r="ZU44" s="37"/>
      <c r="ZV44" s="37"/>
      <c r="ZW44" s="37"/>
      <c r="ZX44" s="37"/>
      <c r="ZY44" s="37"/>
      <c r="ZZ44" s="37"/>
      <c r="AAA44" s="37"/>
      <c r="AAB44" s="37"/>
      <c r="AAC44" s="37"/>
      <c r="AAD44" s="37"/>
      <c r="AAE44" s="37"/>
      <c r="AAF44" s="37"/>
      <c r="AAG44" s="37"/>
      <c r="AAH44" s="37"/>
      <c r="AAI44" s="37"/>
      <c r="AAJ44" s="37"/>
      <c r="AAK44" s="37"/>
      <c r="AAL44" s="37"/>
      <c r="AAM44" s="37"/>
      <c r="AAN44" s="37"/>
      <c r="AAO44" s="37"/>
      <c r="AAP44" s="37"/>
      <c r="AAQ44" s="37"/>
      <c r="AAR44" s="37"/>
      <c r="AAS44" s="37"/>
      <c r="AAT44" s="37"/>
      <c r="AAU44" s="37"/>
      <c r="AAV44" s="37"/>
      <c r="AAW44" s="37"/>
      <c r="AAX44" s="37"/>
      <c r="AAY44" s="37"/>
      <c r="AAZ44" s="37"/>
      <c r="ABA44" s="37"/>
      <c r="ABB44" s="37"/>
      <c r="ABC44" s="37"/>
      <c r="ABD44" s="37"/>
      <c r="ABE44" s="37"/>
      <c r="ABF44" s="37"/>
      <c r="ABG44" s="37"/>
      <c r="ABH44" s="37"/>
      <c r="ABI44" s="37"/>
      <c r="ABJ44" s="37"/>
      <c r="ABK44" s="37"/>
      <c r="ABL44" s="37"/>
      <c r="ABM44" s="37"/>
      <c r="ABN44" s="37"/>
      <c r="ABO44" s="37"/>
      <c r="ABP44" s="37"/>
      <c r="ABQ44" s="37"/>
      <c r="ABR44" s="37"/>
      <c r="ABS44" s="37"/>
      <c r="ABT44" s="37"/>
      <c r="ABU44" s="37"/>
      <c r="ABV44" s="37"/>
      <c r="ABW44" s="37"/>
      <c r="ABX44" s="37"/>
      <c r="ABY44" s="37"/>
      <c r="ABZ44" s="37"/>
      <c r="ACA44" s="37"/>
      <c r="ACB44" s="37"/>
      <c r="ACC44" s="37"/>
      <c r="ACD44" s="37"/>
      <c r="ACE44" s="37"/>
      <c r="ACF44" s="37"/>
      <c r="ACG44" s="37"/>
      <c r="ACH44" s="37"/>
      <c r="ACI44" s="37"/>
      <c r="ACJ44" s="37"/>
      <c r="ACK44" s="37"/>
      <c r="ACL44" s="37"/>
      <c r="ACM44" s="37"/>
      <c r="ACN44" s="37"/>
      <c r="ACO44" s="37"/>
      <c r="ACP44" s="37"/>
      <c r="ACQ44" s="37"/>
      <c r="ACR44" s="37"/>
      <c r="ACS44" s="37"/>
      <c r="ACT44" s="37"/>
      <c r="ACU44" s="37"/>
      <c r="ACV44" s="37"/>
      <c r="ACW44" s="37"/>
      <c r="ACX44" s="37"/>
      <c r="ACY44" s="37"/>
      <c r="ACZ44" s="37"/>
      <c r="ADA44" s="37"/>
      <c r="ADB44" s="37"/>
      <c r="ADC44" s="37"/>
      <c r="ADD44" s="37"/>
      <c r="ADE44" s="37"/>
      <c r="ADF44" s="37"/>
      <c r="ADG44" s="37"/>
      <c r="ADH44" s="37"/>
      <c r="ADI44" s="37"/>
      <c r="ADJ44" s="37"/>
      <c r="ADK44" s="37"/>
      <c r="ADL44" s="37"/>
      <c r="ADM44" s="37"/>
      <c r="ADN44" s="37"/>
      <c r="ADO44" s="37"/>
      <c r="ADP44" s="37"/>
      <c r="ADQ44" s="37"/>
      <c r="ADR44" s="37"/>
      <c r="ADS44" s="37"/>
      <c r="ADT44" s="37"/>
      <c r="ADU44" s="37"/>
      <c r="ADV44" s="37"/>
      <c r="ADW44" s="37"/>
      <c r="ADX44" s="37"/>
      <c r="ADY44" s="37"/>
      <c r="ADZ44" s="37"/>
      <c r="AEA44" s="37"/>
      <c r="AEB44" s="37"/>
      <c r="AEC44" s="37"/>
      <c r="AED44" s="37"/>
      <c r="AEE44" s="37"/>
      <c r="AEF44" s="37"/>
      <c r="AEG44" s="37"/>
      <c r="AEH44" s="37"/>
      <c r="AEI44" s="37"/>
      <c r="AEJ44" s="37"/>
      <c r="AEK44" s="37"/>
      <c r="AEL44" s="37"/>
      <c r="AEM44" s="37"/>
      <c r="AEN44" s="37"/>
      <c r="AEO44" s="37"/>
      <c r="AEP44" s="37"/>
      <c r="AEQ44" s="37"/>
      <c r="AER44" s="37"/>
      <c r="AES44" s="37"/>
      <c r="AET44" s="37"/>
      <c r="AEU44" s="37"/>
      <c r="AEV44" s="37"/>
      <c r="AEW44" s="37"/>
      <c r="AEX44" s="37"/>
      <c r="AEY44" s="37"/>
      <c r="AEZ44" s="37"/>
      <c r="AFA44" s="37"/>
      <c r="AFB44" s="37"/>
      <c r="AFC44" s="37"/>
      <c r="AFD44" s="37"/>
      <c r="AFE44" s="37"/>
      <c r="AFF44" s="37"/>
      <c r="AFG44" s="37"/>
      <c r="AFH44" s="37"/>
      <c r="AFI44" s="37"/>
      <c r="AFJ44" s="37"/>
      <c r="AFK44" s="37"/>
      <c r="AFL44" s="37"/>
      <c r="AFM44" s="37"/>
      <c r="AFN44" s="37"/>
      <c r="AFO44" s="37"/>
      <c r="AFP44" s="37"/>
      <c r="AFQ44" s="37"/>
      <c r="AFR44" s="37"/>
      <c r="AFS44" s="37"/>
      <c r="AFT44" s="37"/>
      <c r="AFU44" s="37"/>
      <c r="AFV44" s="37"/>
      <c r="AFW44" s="37"/>
      <c r="AFX44" s="37"/>
      <c r="AFY44" s="37"/>
      <c r="AFZ44" s="37"/>
      <c r="AGA44" s="37"/>
      <c r="AGB44" s="37"/>
      <c r="AGC44" s="37"/>
      <c r="AGD44" s="37"/>
      <c r="AGE44" s="37"/>
      <c r="AGF44" s="37"/>
      <c r="AGG44" s="37"/>
      <c r="AGH44" s="37"/>
      <c r="AGI44" s="37"/>
      <c r="AGJ44" s="37"/>
      <c r="AGK44" s="37"/>
      <c r="AGL44" s="37"/>
      <c r="AGM44" s="37"/>
      <c r="AGN44" s="37"/>
      <c r="AGO44" s="37"/>
      <c r="AGP44" s="37"/>
      <c r="AGQ44" s="37"/>
      <c r="AGR44" s="37"/>
      <c r="AGS44" s="37"/>
      <c r="AGT44" s="37"/>
      <c r="AGU44" s="37"/>
      <c r="AGV44" s="37"/>
      <c r="AGW44" s="37"/>
      <c r="AGX44" s="37"/>
      <c r="AGY44" s="37"/>
      <c r="AGZ44" s="37"/>
      <c r="AHA44" s="37"/>
      <c r="AHB44" s="37"/>
      <c r="AHC44" s="37"/>
      <c r="AHD44" s="37"/>
      <c r="AHE44" s="37"/>
      <c r="AHF44" s="37"/>
      <c r="AHG44" s="37"/>
      <c r="AHH44" s="37"/>
      <c r="AHI44" s="37"/>
      <c r="AHJ44" s="37"/>
      <c r="AHK44" s="37"/>
      <c r="AHL44" s="37"/>
      <c r="AHM44" s="37"/>
      <c r="AHN44" s="37"/>
      <c r="AHO44" s="37"/>
      <c r="AHP44" s="37"/>
      <c r="AHQ44" s="37"/>
      <c r="AHR44" s="37"/>
      <c r="AHS44" s="37"/>
      <c r="AHT44" s="37"/>
      <c r="AHU44" s="37"/>
      <c r="AHV44" s="37"/>
      <c r="AHW44" s="37"/>
      <c r="AHX44" s="37"/>
      <c r="AHY44" s="37"/>
      <c r="AHZ44" s="37"/>
      <c r="AIA44" s="37"/>
      <c r="AIB44" s="37"/>
      <c r="AIC44" s="37"/>
      <c r="AID44" s="37"/>
      <c r="AIE44" s="37"/>
      <c r="AIF44" s="37"/>
      <c r="AIG44" s="37"/>
      <c r="AIH44" s="37"/>
      <c r="AII44" s="37"/>
      <c r="AIJ44" s="37"/>
      <c r="AIK44" s="37"/>
      <c r="AIL44" s="37"/>
      <c r="AIM44" s="37"/>
      <c r="AIN44" s="37"/>
      <c r="AIO44" s="37"/>
      <c r="AIP44" s="37"/>
      <c r="AIQ44" s="37"/>
      <c r="AIR44" s="37"/>
      <c r="AIS44" s="37"/>
      <c r="AIT44" s="37"/>
      <c r="AIU44" s="37"/>
      <c r="AIV44" s="37"/>
      <c r="AIW44" s="37"/>
      <c r="AIX44" s="37"/>
      <c r="AIY44" s="37"/>
      <c r="AIZ44" s="37"/>
      <c r="AJA44" s="37"/>
      <c r="AJB44" s="37"/>
      <c r="AJC44" s="37"/>
      <c r="AJD44" s="37"/>
      <c r="AJE44" s="37"/>
      <c r="AJF44" s="37"/>
      <c r="AJG44" s="37"/>
      <c r="AJH44" s="37"/>
      <c r="AJI44" s="37"/>
      <c r="AJJ44" s="37"/>
      <c r="AJK44" s="37"/>
      <c r="AJL44" s="37"/>
      <c r="AJM44" s="37"/>
      <c r="AJN44" s="37"/>
      <c r="AJO44" s="37"/>
      <c r="AJP44" s="37"/>
      <c r="AJQ44" s="37"/>
      <c r="AJR44" s="37"/>
      <c r="AJS44" s="37"/>
      <c r="AJT44" s="37"/>
      <c r="AJU44" s="37"/>
      <c r="AJV44" s="37"/>
      <c r="AJW44" s="37"/>
      <c r="AJX44" s="37"/>
      <c r="AJY44" s="37"/>
      <c r="AJZ44" s="37"/>
      <c r="AKA44" s="37"/>
      <c r="AKB44" s="37"/>
      <c r="AKC44" s="37"/>
      <c r="AKD44" s="37"/>
      <c r="AKE44" s="37"/>
      <c r="AKF44" s="37"/>
      <c r="AKG44" s="37"/>
      <c r="AKH44" s="37"/>
      <c r="AKI44" s="37"/>
      <c r="AKJ44" s="37"/>
      <c r="AKK44" s="37"/>
      <c r="AKL44" s="37"/>
      <c r="AKM44" s="37"/>
      <c r="AKN44" s="37"/>
      <c r="AKO44" s="37"/>
      <c r="AKP44" s="37"/>
      <c r="AKQ44" s="37"/>
      <c r="AKR44" s="37"/>
      <c r="AKS44" s="37"/>
      <c r="AKT44" s="37"/>
      <c r="AKU44" s="37"/>
      <c r="AKV44" s="37"/>
      <c r="AKW44" s="37"/>
      <c r="AKX44" s="37"/>
      <c r="AKY44" s="37"/>
      <c r="AKZ44" s="37"/>
      <c r="ALA44" s="37"/>
      <c r="ALB44" s="37"/>
      <c r="ALC44" s="37"/>
      <c r="ALD44" s="37"/>
      <c r="ALE44" s="37"/>
      <c r="ALF44" s="37"/>
      <c r="ALG44" s="37"/>
      <c r="ALH44" s="37"/>
      <c r="ALI44" s="37"/>
      <c r="ALJ44" s="37"/>
      <c r="ALK44" s="37"/>
      <c r="ALL44" s="37"/>
      <c r="ALM44" s="37"/>
      <c r="ALN44" s="37"/>
      <c r="ALO44" s="37"/>
      <c r="ALP44" s="37"/>
      <c r="ALQ44" s="37"/>
      <c r="ALR44" s="37"/>
      <c r="ALS44" s="37"/>
      <c r="ALT44" s="37"/>
      <c r="ALU44" s="37"/>
      <c r="ALV44" s="37"/>
      <c r="ALW44" s="37"/>
      <c r="ALX44" s="37"/>
      <c r="ALY44" s="37"/>
      <c r="ALZ44" s="37"/>
      <c r="AMA44" s="37"/>
      <c r="AMB44" s="37"/>
      <c r="AMC44" s="37"/>
    </row>
    <row r="45" spans="1:1017" s="38" customFormat="1" ht="19.5" customHeight="1">
      <c r="A45" s="72"/>
      <c r="B45" s="73"/>
      <c r="C45" s="72"/>
      <c r="D45" s="72"/>
      <c r="E45" s="72"/>
      <c r="F45" s="72"/>
      <c r="G45" s="35">
        <v>41</v>
      </c>
      <c r="H45" s="35">
        <v>92.5</v>
      </c>
      <c r="I45" s="35">
        <v>105</v>
      </c>
      <c r="J45" s="35">
        <v>64</v>
      </c>
      <c r="K45" s="35">
        <v>33</v>
      </c>
      <c r="L45" s="35">
        <v>26</v>
      </c>
      <c r="M45" s="35">
        <v>20</v>
      </c>
      <c r="N45" s="35">
        <v>89</v>
      </c>
      <c r="O45" s="74" t="s">
        <v>98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  <c r="OU45" s="37"/>
      <c r="OV45" s="37"/>
      <c r="OW45" s="37"/>
      <c r="OX45" s="37"/>
      <c r="OY45" s="37"/>
      <c r="OZ45" s="37"/>
      <c r="PA45" s="37"/>
      <c r="PB45" s="37"/>
      <c r="PC45" s="37"/>
      <c r="PD45" s="37"/>
      <c r="PE45" s="37"/>
      <c r="PF45" s="37"/>
      <c r="PG45" s="37"/>
      <c r="PH45" s="37"/>
      <c r="PI45" s="37"/>
      <c r="PJ45" s="37"/>
      <c r="PK45" s="37"/>
      <c r="PL45" s="37"/>
      <c r="PM45" s="37"/>
      <c r="PN45" s="37"/>
      <c r="PO45" s="37"/>
      <c r="PP45" s="37"/>
      <c r="PQ45" s="37"/>
      <c r="PR45" s="37"/>
      <c r="PS45" s="37"/>
      <c r="PT45" s="37"/>
      <c r="PU45" s="37"/>
      <c r="PV45" s="37"/>
      <c r="PW45" s="37"/>
      <c r="PX45" s="37"/>
      <c r="PY45" s="37"/>
      <c r="PZ45" s="37"/>
      <c r="QA45" s="37"/>
      <c r="QB45" s="37"/>
      <c r="QC45" s="37"/>
      <c r="QD45" s="37"/>
      <c r="QE45" s="37"/>
      <c r="QF45" s="37"/>
      <c r="QG45" s="37"/>
      <c r="QH45" s="37"/>
      <c r="QI45" s="37"/>
      <c r="QJ45" s="37"/>
      <c r="QK45" s="37"/>
      <c r="QL45" s="37"/>
      <c r="QM45" s="37"/>
      <c r="QN45" s="37"/>
      <c r="QO45" s="37"/>
      <c r="QP45" s="37"/>
      <c r="QQ45" s="37"/>
      <c r="QR45" s="37"/>
      <c r="QS45" s="37"/>
      <c r="QT45" s="37"/>
      <c r="QU45" s="37"/>
      <c r="QV45" s="37"/>
      <c r="QW45" s="37"/>
      <c r="QX45" s="37"/>
      <c r="QY45" s="37"/>
      <c r="QZ45" s="37"/>
      <c r="RA45" s="37"/>
      <c r="RB45" s="37"/>
      <c r="RC45" s="37"/>
      <c r="RD45" s="37"/>
      <c r="RE45" s="37"/>
      <c r="RF45" s="37"/>
      <c r="RG45" s="37"/>
      <c r="RH45" s="37"/>
      <c r="RI45" s="37"/>
      <c r="RJ45" s="37"/>
      <c r="RK45" s="37"/>
      <c r="RL45" s="37"/>
      <c r="RM45" s="37"/>
      <c r="RN45" s="37"/>
      <c r="RO45" s="37"/>
      <c r="RP45" s="37"/>
      <c r="RQ45" s="37"/>
      <c r="RR45" s="37"/>
      <c r="RS45" s="37"/>
      <c r="RT45" s="37"/>
      <c r="RU45" s="37"/>
      <c r="RV45" s="37"/>
      <c r="RW45" s="37"/>
      <c r="RX45" s="37"/>
      <c r="RY45" s="37"/>
      <c r="RZ45" s="37"/>
      <c r="SA45" s="37"/>
      <c r="SB45" s="37"/>
      <c r="SC45" s="37"/>
      <c r="SD45" s="37"/>
      <c r="SE45" s="37"/>
      <c r="SF45" s="37"/>
      <c r="SG45" s="37"/>
      <c r="SH45" s="37"/>
      <c r="SI45" s="37"/>
      <c r="SJ45" s="37"/>
      <c r="SK45" s="37"/>
      <c r="SL45" s="37"/>
      <c r="SM45" s="37"/>
      <c r="SN45" s="37"/>
      <c r="SO45" s="37"/>
      <c r="SP45" s="37"/>
      <c r="SQ45" s="37"/>
      <c r="SR45" s="37"/>
      <c r="SS45" s="37"/>
      <c r="ST45" s="37"/>
      <c r="SU45" s="37"/>
      <c r="SV45" s="37"/>
      <c r="SW45" s="37"/>
      <c r="SX45" s="37"/>
      <c r="SY45" s="37"/>
      <c r="SZ45" s="37"/>
      <c r="TA45" s="37"/>
      <c r="TB45" s="37"/>
      <c r="TC45" s="37"/>
      <c r="TD45" s="37"/>
      <c r="TE45" s="37"/>
      <c r="TF45" s="37"/>
      <c r="TG45" s="37"/>
      <c r="TH45" s="37"/>
      <c r="TI45" s="37"/>
      <c r="TJ45" s="37"/>
      <c r="TK45" s="37"/>
      <c r="TL45" s="37"/>
      <c r="TM45" s="37"/>
      <c r="TN45" s="37"/>
      <c r="TO45" s="37"/>
      <c r="TP45" s="37"/>
      <c r="TQ45" s="37"/>
      <c r="TR45" s="37"/>
      <c r="TS45" s="37"/>
      <c r="TT45" s="37"/>
      <c r="TU45" s="37"/>
      <c r="TV45" s="37"/>
      <c r="TW45" s="37"/>
      <c r="TX45" s="37"/>
      <c r="TY45" s="37"/>
      <c r="TZ45" s="37"/>
      <c r="UA45" s="37"/>
      <c r="UB45" s="37"/>
      <c r="UC45" s="37"/>
      <c r="UD45" s="37"/>
      <c r="UE45" s="37"/>
      <c r="UF45" s="37"/>
      <c r="UG45" s="37"/>
      <c r="UH45" s="37"/>
      <c r="UI45" s="37"/>
      <c r="UJ45" s="37"/>
      <c r="UK45" s="37"/>
      <c r="UL45" s="37"/>
      <c r="UM45" s="37"/>
      <c r="UN45" s="37"/>
      <c r="UO45" s="37"/>
      <c r="UP45" s="37"/>
      <c r="UQ45" s="37"/>
      <c r="UR45" s="37"/>
      <c r="US45" s="37"/>
      <c r="UT45" s="37"/>
      <c r="UU45" s="37"/>
      <c r="UV45" s="37"/>
      <c r="UW45" s="37"/>
      <c r="UX45" s="37"/>
      <c r="UY45" s="37"/>
      <c r="UZ45" s="37"/>
      <c r="VA45" s="37"/>
      <c r="VB45" s="37"/>
      <c r="VC45" s="37"/>
      <c r="VD45" s="37"/>
      <c r="VE45" s="37"/>
      <c r="VF45" s="37"/>
      <c r="VG45" s="37"/>
      <c r="VH45" s="37"/>
      <c r="VI45" s="37"/>
      <c r="VJ45" s="37"/>
      <c r="VK45" s="37"/>
      <c r="VL45" s="37"/>
      <c r="VM45" s="37"/>
      <c r="VN45" s="37"/>
      <c r="VO45" s="37"/>
      <c r="VP45" s="37"/>
      <c r="VQ45" s="37"/>
      <c r="VR45" s="37"/>
      <c r="VS45" s="37"/>
      <c r="VT45" s="37"/>
      <c r="VU45" s="37"/>
      <c r="VV45" s="37"/>
      <c r="VW45" s="37"/>
      <c r="VX45" s="37"/>
      <c r="VY45" s="37"/>
      <c r="VZ45" s="37"/>
      <c r="WA45" s="37"/>
      <c r="WB45" s="37"/>
      <c r="WC45" s="37"/>
      <c r="WD45" s="37"/>
      <c r="WE45" s="37"/>
      <c r="WF45" s="37"/>
      <c r="WG45" s="37"/>
      <c r="WH45" s="37"/>
      <c r="WI45" s="37"/>
      <c r="WJ45" s="37"/>
      <c r="WK45" s="37"/>
      <c r="WL45" s="37"/>
      <c r="WM45" s="37"/>
      <c r="WN45" s="37"/>
      <c r="WO45" s="37"/>
      <c r="WP45" s="37"/>
      <c r="WQ45" s="37"/>
      <c r="WR45" s="37"/>
      <c r="WS45" s="37"/>
      <c r="WT45" s="37"/>
      <c r="WU45" s="37"/>
      <c r="WV45" s="37"/>
      <c r="WW45" s="37"/>
      <c r="WX45" s="37"/>
      <c r="WY45" s="37"/>
      <c r="WZ45" s="37"/>
      <c r="XA45" s="37"/>
      <c r="XB45" s="37"/>
      <c r="XC45" s="37"/>
      <c r="XD45" s="37"/>
      <c r="XE45" s="37"/>
      <c r="XF45" s="37"/>
      <c r="XG45" s="37"/>
      <c r="XH45" s="37"/>
      <c r="XI45" s="37"/>
      <c r="XJ45" s="37"/>
      <c r="XK45" s="37"/>
      <c r="XL45" s="37"/>
      <c r="XM45" s="37"/>
      <c r="XN45" s="37"/>
      <c r="XO45" s="37"/>
      <c r="XP45" s="37"/>
      <c r="XQ45" s="37"/>
      <c r="XR45" s="37"/>
      <c r="XS45" s="37"/>
      <c r="XT45" s="37"/>
      <c r="XU45" s="37"/>
      <c r="XV45" s="37"/>
      <c r="XW45" s="37"/>
      <c r="XX45" s="37"/>
      <c r="XY45" s="37"/>
      <c r="XZ45" s="37"/>
      <c r="YA45" s="37"/>
      <c r="YB45" s="37"/>
      <c r="YC45" s="37"/>
      <c r="YD45" s="37"/>
      <c r="YE45" s="37"/>
      <c r="YF45" s="37"/>
      <c r="YG45" s="37"/>
      <c r="YH45" s="37"/>
      <c r="YI45" s="37"/>
      <c r="YJ45" s="37"/>
      <c r="YK45" s="37"/>
      <c r="YL45" s="37"/>
      <c r="YM45" s="37"/>
      <c r="YN45" s="37"/>
      <c r="YO45" s="37"/>
      <c r="YP45" s="37"/>
      <c r="YQ45" s="37"/>
      <c r="YR45" s="37"/>
      <c r="YS45" s="37"/>
      <c r="YT45" s="37"/>
      <c r="YU45" s="37"/>
      <c r="YV45" s="37"/>
      <c r="YW45" s="37"/>
      <c r="YX45" s="37"/>
      <c r="YY45" s="37"/>
      <c r="YZ45" s="37"/>
      <c r="ZA45" s="37"/>
      <c r="ZB45" s="37"/>
      <c r="ZC45" s="37"/>
      <c r="ZD45" s="37"/>
      <c r="ZE45" s="37"/>
      <c r="ZF45" s="37"/>
      <c r="ZG45" s="37"/>
      <c r="ZH45" s="37"/>
      <c r="ZI45" s="37"/>
      <c r="ZJ45" s="37"/>
      <c r="ZK45" s="37"/>
      <c r="ZL45" s="37"/>
      <c r="ZM45" s="37"/>
      <c r="ZN45" s="37"/>
      <c r="ZO45" s="37"/>
      <c r="ZP45" s="37"/>
      <c r="ZQ45" s="37"/>
      <c r="ZR45" s="37"/>
      <c r="ZS45" s="37"/>
      <c r="ZT45" s="37"/>
      <c r="ZU45" s="37"/>
      <c r="ZV45" s="37"/>
      <c r="ZW45" s="37"/>
      <c r="ZX45" s="37"/>
      <c r="ZY45" s="37"/>
      <c r="ZZ45" s="37"/>
      <c r="AAA45" s="37"/>
      <c r="AAB45" s="37"/>
      <c r="AAC45" s="37"/>
      <c r="AAD45" s="37"/>
      <c r="AAE45" s="37"/>
      <c r="AAF45" s="37"/>
      <c r="AAG45" s="37"/>
      <c r="AAH45" s="37"/>
      <c r="AAI45" s="37"/>
      <c r="AAJ45" s="37"/>
      <c r="AAK45" s="37"/>
      <c r="AAL45" s="37"/>
      <c r="AAM45" s="37"/>
      <c r="AAN45" s="37"/>
      <c r="AAO45" s="37"/>
      <c r="AAP45" s="37"/>
      <c r="AAQ45" s="37"/>
      <c r="AAR45" s="37"/>
      <c r="AAS45" s="37"/>
      <c r="AAT45" s="37"/>
      <c r="AAU45" s="37"/>
      <c r="AAV45" s="37"/>
      <c r="AAW45" s="37"/>
      <c r="AAX45" s="37"/>
      <c r="AAY45" s="37"/>
      <c r="AAZ45" s="37"/>
      <c r="ABA45" s="37"/>
      <c r="ABB45" s="37"/>
      <c r="ABC45" s="37"/>
      <c r="ABD45" s="37"/>
      <c r="ABE45" s="37"/>
      <c r="ABF45" s="37"/>
      <c r="ABG45" s="37"/>
      <c r="ABH45" s="37"/>
      <c r="ABI45" s="37"/>
      <c r="ABJ45" s="37"/>
      <c r="ABK45" s="37"/>
      <c r="ABL45" s="37"/>
      <c r="ABM45" s="37"/>
      <c r="ABN45" s="37"/>
      <c r="ABO45" s="37"/>
      <c r="ABP45" s="37"/>
      <c r="ABQ45" s="37"/>
      <c r="ABR45" s="37"/>
      <c r="ABS45" s="37"/>
      <c r="ABT45" s="37"/>
      <c r="ABU45" s="37"/>
      <c r="ABV45" s="37"/>
      <c r="ABW45" s="37"/>
      <c r="ABX45" s="37"/>
      <c r="ABY45" s="37"/>
      <c r="ABZ45" s="37"/>
      <c r="ACA45" s="37"/>
      <c r="ACB45" s="37"/>
      <c r="ACC45" s="37"/>
      <c r="ACD45" s="37"/>
      <c r="ACE45" s="37"/>
      <c r="ACF45" s="37"/>
      <c r="ACG45" s="37"/>
      <c r="ACH45" s="37"/>
      <c r="ACI45" s="37"/>
      <c r="ACJ45" s="37"/>
      <c r="ACK45" s="37"/>
      <c r="ACL45" s="37"/>
      <c r="ACM45" s="37"/>
      <c r="ACN45" s="37"/>
      <c r="ACO45" s="37"/>
      <c r="ACP45" s="37"/>
      <c r="ACQ45" s="37"/>
      <c r="ACR45" s="37"/>
      <c r="ACS45" s="37"/>
      <c r="ACT45" s="37"/>
      <c r="ACU45" s="37"/>
      <c r="ACV45" s="37"/>
      <c r="ACW45" s="37"/>
      <c r="ACX45" s="37"/>
      <c r="ACY45" s="37"/>
      <c r="ACZ45" s="37"/>
      <c r="ADA45" s="37"/>
      <c r="ADB45" s="37"/>
      <c r="ADC45" s="37"/>
      <c r="ADD45" s="37"/>
      <c r="ADE45" s="37"/>
      <c r="ADF45" s="37"/>
      <c r="ADG45" s="37"/>
      <c r="ADH45" s="37"/>
      <c r="ADI45" s="37"/>
      <c r="ADJ45" s="37"/>
      <c r="ADK45" s="37"/>
      <c r="ADL45" s="37"/>
      <c r="ADM45" s="37"/>
      <c r="ADN45" s="37"/>
      <c r="ADO45" s="37"/>
      <c r="ADP45" s="37"/>
      <c r="ADQ45" s="37"/>
      <c r="ADR45" s="37"/>
      <c r="ADS45" s="37"/>
      <c r="ADT45" s="37"/>
      <c r="ADU45" s="37"/>
      <c r="ADV45" s="37"/>
      <c r="ADW45" s="37"/>
      <c r="ADX45" s="37"/>
      <c r="ADY45" s="37"/>
      <c r="ADZ45" s="37"/>
      <c r="AEA45" s="37"/>
      <c r="AEB45" s="37"/>
      <c r="AEC45" s="37"/>
      <c r="AED45" s="37"/>
      <c r="AEE45" s="37"/>
      <c r="AEF45" s="37"/>
      <c r="AEG45" s="37"/>
      <c r="AEH45" s="37"/>
      <c r="AEI45" s="37"/>
      <c r="AEJ45" s="37"/>
      <c r="AEK45" s="37"/>
      <c r="AEL45" s="37"/>
      <c r="AEM45" s="37"/>
      <c r="AEN45" s="37"/>
      <c r="AEO45" s="37"/>
      <c r="AEP45" s="37"/>
      <c r="AEQ45" s="37"/>
      <c r="AER45" s="37"/>
      <c r="AES45" s="37"/>
      <c r="AET45" s="37"/>
      <c r="AEU45" s="37"/>
      <c r="AEV45" s="37"/>
      <c r="AEW45" s="37"/>
      <c r="AEX45" s="37"/>
      <c r="AEY45" s="37"/>
      <c r="AEZ45" s="37"/>
      <c r="AFA45" s="37"/>
      <c r="AFB45" s="37"/>
      <c r="AFC45" s="37"/>
      <c r="AFD45" s="37"/>
      <c r="AFE45" s="37"/>
      <c r="AFF45" s="37"/>
      <c r="AFG45" s="37"/>
      <c r="AFH45" s="37"/>
      <c r="AFI45" s="37"/>
      <c r="AFJ45" s="37"/>
      <c r="AFK45" s="37"/>
      <c r="AFL45" s="37"/>
      <c r="AFM45" s="37"/>
      <c r="AFN45" s="37"/>
      <c r="AFO45" s="37"/>
      <c r="AFP45" s="37"/>
      <c r="AFQ45" s="37"/>
      <c r="AFR45" s="37"/>
      <c r="AFS45" s="37"/>
      <c r="AFT45" s="37"/>
      <c r="AFU45" s="37"/>
      <c r="AFV45" s="37"/>
      <c r="AFW45" s="37"/>
      <c r="AFX45" s="37"/>
      <c r="AFY45" s="37"/>
      <c r="AFZ45" s="37"/>
      <c r="AGA45" s="37"/>
      <c r="AGB45" s="37"/>
      <c r="AGC45" s="37"/>
      <c r="AGD45" s="37"/>
      <c r="AGE45" s="37"/>
      <c r="AGF45" s="37"/>
      <c r="AGG45" s="37"/>
      <c r="AGH45" s="37"/>
      <c r="AGI45" s="37"/>
      <c r="AGJ45" s="37"/>
      <c r="AGK45" s="37"/>
      <c r="AGL45" s="37"/>
      <c r="AGM45" s="37"/>
      <c r="AGN45" s="37"/>
      <c r="AGO45" s="37"/>
      <c r="AGP45" s="37"/>
      <c r="AGQ45" s="37"/>
      <c r="AGR45" s="37"/>
      <c r="AGS45" s="37"/>
      <c r="AGT45" s="37"/>
      <c r="AGU45" s="37"/>
      <c r="AGV45" s="37"/>
      <c r="AGW45" s="37"/>
      <c r="AGX45" s="37"/>
      <c r="AGY45" s="37"/>
      <c r="AGZ45" s="37"/>
      <c r="AHA45" s="37"/>
      <c r="AHB45" s="37"/>
      <c r="AHC45" s="37"/>
      <c r="AHD45" s="37"/>
      <c r="AHE45" s="37"/>
      <c r="AHF45" s="37"/>
      <c r="AHG45" s="37"/>
      <c r="AHH45" s="37"/>
      <c r="AHI45" s="37"/>
      <c r="AHJ45" s="37"/>
      <c r="AHK45" s="37"/>
      <c r="AHL45" s="37"/>
      <c r="AHM45" s="37"/>
      <c r="AHN45" s="37"/>
      <c r="AHO45" s="37"/>
      <c r="AHP45" s="37"/>
      <c r="AHQ45" s="37"/>
      <c r="AHR45" s="37"/>
      <c r="AHS45" s="37"/>
      <c r="AHT45" s="37"/>
      <c r="AHU45" s="37"/>
      <c r="AHV45" s="37"/>
      <c r="AHW45" s="37"/>
      <c r="AHX45" s="37"/>
      <c r="AHY45" s="37"/>
      <c r="AHZ45" s="37"/>
      <c r="AIA45" s="37"/>
      <c r="AIB45" s="37"/>
      <c r="AIC45" s="37"/>
      <c r="AID45" s="37"/>
      <c r="AIE45" s="37"/>
      <c r="AIF45" s="37"/>
      <c r="AIG45" s="37"/>
      <c r="AIH45" s="37"/>
      <c r="AII45" s="37"/>
      <c r="AIJ45" s="37"/>
      <c r="AIK45" s="37"/>
      <c r="AIL45" s="37"/>
      <c r="AIM45" s="37"/>
      <c r="AIN45" s="37"/>
      <c r="AIO45" s="37"/>
      <c r="AIP45" s="37"/>
      <c r="AIQ45" s="37"/>
      <c r="AIR45" s="37"/>
      <c r="AIS45" s="37"/>
      <c r="AIT45" s="37"/>
      <c r="AIU45" s="37"/>
      <c r="AIV45" s="37"/>
      <c r="AIW45" s="37"/>
      <c r="AIX45" s="37"/>
      <c r="AIY45" s="37"/>
      <c r="AIZ45" s="37"/>
      <c r="AJA45" s="37"/>
      <c r="AJB45" s="37"/>
      <c r="AJC45" s="37"/>
      <c r="AJD45" s="37"/>
      <c r="AJE45" s="37"/>
      <c r="AJF45" s="37"/>
      <c r="AJG45" s="37"/>
      <c r="AJH45" s="37"/>
      <c r="AJI45" s="37"/>
      <c r="AJJ45" s="37"/>
      <c r="AJK45" s="37"/>
      <c r="AJL45" s="37"/>
      <c r="AJM45" s="37"/>
      <c r="AJN45" s="37"/>
      <c r="AJO45" s="37"/>
      <c r="AJP45" s="37"/>
      <c r="AJQ45" s="37"/>
      <c r="AJR45" s="37"/>
      <c r="AJS45" s="37"/>
      <c r="AJT45" s="37"/>
      <c r="AJU45" s="37"/>
      <c r="AJV45" s="37"/>
      <c r="AJW45" s="37"/>
      <c r="AJX45" s="37"/>
      <c r="AJY45" s="37"/>
      <c r="AJZ45" s="37"/>
      <c r="AKA45" s="37"/>
      <c r="AKB45" s="37"/>
      <c r="AKC45" s="37"/>
      <c r="AKD45" s="37"/>
      <c r="AKE45" s="37"/>
      <c r="AKF45" s="37"/>
      <c r="AKG45" s="37"/>
      <c r="AKH45" s="37"/>
      <c r="AKI45" s="37"/>
      <c r="AKJ45" s="37"/>
      <c r="AKK45" s="37"/>
      <c r="AKL45" s="37"/>
      <c r="AKM45" s="37"/>
      <c r="AKN45" s="37"/>
      <c r="AKO45" s="37"/>
      <c r="AKP45" s="37"/>
      <c r="AKQ45" s="37"/>
      <c r="AKR45" s="37"/>
      <c r="AKS45" s="37"/>
      <c r="AKT45" s="37"/>
      <c r="AKU45" s="37"/>
      <c r="AKV45" s="37"/>
      <c r="AKW45" s="37"/>
      <c r="AKX45" s="37"/>
      <c r="AKY45" s="37"/>
      <c r="AKZ45" s="37"/>
      <c r="ALA45" s="37"/>
      <c r="ALB45" s="37"/>
      <c r="ALC45" s="37"/>
      <c r="ALD45" s="37"/>
      <c r="ALE45" s="37"/>
      <c r="ALF45" s="37"/>
      <c r="ALG45" s="37"/>
      <c r="ALH45" s="37"/>
      <c r="ALI45" s="37"/>
      <c r="ALJ45" s="37"/>
      <c r="ALK45" s="37"/>
      <c r="ALL45" s="37"/>
      <c r="ALM45" s="37"/>
      <c r="ALN45" s="37"/>
      <c r="ALO45" s="37"/>
      <c r="ALP45" s="37"/>
      <c r="ALQ45" s="37"/>
      <c r="ALR45" s="37"/>
      <c r="ALS45" s="37"/>
      <c r="ALT45" s="37"/>
      <c r="ALU45" s="37"/>
      <c r="ALV45" s="37"/>
      <c r="ALW45" s="37"/>
      <c r="ALX45" s="37"/>
      <c r="ALY45" s="37"/>
      <c r="ALZ45" s="37"/>
      <c r="AMA45" s="37"/>
      <c r="AMB45" s="37"/>
      <c r="AMC45" s="37"/>
    </row>
    <row r="46" spans="1:1017" s="38" customFormat="1" ht="19.5" customHeight="1">
      <c r="A46" s="75"/>
      <c r="B46" s="76"/>
      <c r="C46" s="75"/>
      <c r="D46" s="75"/>
      <c r="E46" s="75"/>
      <c r="F46" s="75"/>
      <c r="G46" s="77">
        <v>46</v>
      </c>
      <c r="H46" s="77">
        <v>55</v>
      </c>
      <c r="I46" s="77">
        <v>20</v>
      </c>
      <c r="J46" s="77">
        <v>15</v>
      </c>
      <c r="K46" s="77">
        <v>106</v>
      </c>
      <c r="L46" s="77">
        <v>101</v>
      </c>
      <c r="M46" s="77">
        <v>109</v>
      </c>
      <c r="N46" s="77"/>
      <c r="O46" s="7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/>
      <c r="OO46" s="37"/>
      <c r="OP46" s="37"/>
      <c r="OQ46" s="37"/>
      <c r="OR46" s="37"/>
      <c r="OS46" s="37"/>
      <c r="OT46" s="37"/>
      <c r="OU46" s="37"/>
      <c r="OV46" s="37"/>
      <c r="OW46" s="37"/>
      <c r="OX46" s="37"/>
      <c r="OY46" s="37"/>
      <c r="OZ46" s="37"/>
      <c r="PA46" s="37"/>
      <c r="PB46" s="37"/>
      <c r="PC46" s="37"/>
      <c r="PD46" s="37"/>
      <c r="PE46" s="37"/>
      <c r="PF46" s="37"/>
      <c r="PG46" s="37"/>
      <c r="PH46" s="37"/>
      <c r="PI46" s="37"/>
      <c r="PJ46" s="37"/>
      <c r="PK46" s="37"/>
      <c r="PL46" s="37"/>
      <c r="PM46" s="37"/>
      <c r="PN46" s="37"/>
      <c r="PO46" s="37"/>
      <c r="PP46" s="37"/>
      <c r="PQ46" s="37"/>
      <c r="PR46" s="37"/>
      <c r="PS46" s="37"/>
      <c r="PT46" s="37"/>
      <c r="PU46" s="37"/>
      <c r="PV46" s="37"/>
      <c r="PW46" s="37"/>
      <c r="PX46" s="37"/>
      <c r="PY46" s="37"/>
      <c r="PZ46" s="37"/>
      <c r="QA46" s="37"/>
      <c r="QB46" s="37"/>
      <c r="QC46" s="37"/>
      <c r="QD46" s="37"/>
      <c r="QE46" s="37"/>
      <c r="QF46" s="37"/>
      <c r="QG46" s="37"/>
      <c r="QH46" s="37"/>
      <c r="QI46" s="37"/>
      <c r="QJ46" s="37"/>
      <c r="QK46" s="37"/>
      <c r="QL46" s="37"/>
      <c r="QM46" s="37"/>
      <c r="QN46" s="37"/>
      <c r="QO46" s="37"/>
      <c r="QP46" s="37"/>
      <c r="QQ46" s="37"/>
      <c r="QR46" s="37"/>
      <c r="QS46" s="37"/>
      <c r="QT46" s="37"/>
      <c r="QU46" s="37"/>
      <c r="QV46" s="37"/>
      <c r="QW46" s="37"/>
      <c r="QX46" s="37"/>
      <c r="QY46" s="37"/>
      <c r="QZ46" s="37"/>
      <c r="RA46" s="37"/>
      <c r="RB46" s="37"/>
      <c r="RC46" s="37"/>
      <c r="RD46" s="37"/>
      <c r="RE46" s="37"/>
      <c r="RF46" s="37"/>
      <c r="RG46" s="37"/>
      <c r="RH46" s="37"/>
      <c r="RI46" s="37"/>
      <c r="RJ46" s="37"/>
      <c r="RK46" s="37"/>
      <c r="RL46" s="37"/>
      <c r="RM46" s="37"/>
      <c r="RN46" s="37"/>
      <c r="RO46" s="37"/>
      <c r="RP46" s="37"/>
      <c r="RQ46" s="37"/>
      <c r="RR46" s="37"/>
      <c r="RS46" s="37"/>
      <c r="RT46" s="37"/>
      <c r="RU46" s="37"/>
      <c r="RV46" s="37"/>
      <c r="RW46" s="37"/>
      <c r="RX46" s="37"/>
      <c r="RY46" s="37"/>
      <c r="RZ46" s="37"/>
      <c r="SA46" s="37"/>
      <c r="SB46" s="37"/>
      <c r="SC46" s="37"/>
      <c r="SD46" s="37"/>
      <c r="SE46" s="37"/>
      <c r="SF46" s="37"/>
      <c r="SG46" s="37"/>
      <c r="SH46" s="37"/>
      <c r="SI46" s="37"/>
      <c r="SJ46" s="37"/>
      <c r="SK46" s="37"/>
      <c r="SL46" s="37"/>
      <c r="SM46" s="37"/>
      <c r="SN46" s="37"/>
      <c r="SO46" s="37"/>
      <c r="SP46" s="37"/>
      <c r="SQ46" s="37"/>
      <c r="SR46" s="37"/>
      <c r="SS46" s="37"/>
      <c r="ST46" s="37"/>
      <c r="SU46" s="37"/>
      <c r="SV46" s="37"/>
      <c r="SW46" s="37"/>
      <c r="SX46" s="37"/>
      <c r="SY46" s="37"/>
      <c r="SZ46" s="37"/>
      <c r="TA46" s="37"/>
      <c r="TB46" s="37"/>
      <c r="TC46" s="37"/>
      <c r="TD46" s="37"/>
      <c r="TE46" s="37"/>
      <c r="TF46" s="37"/>
      <c r="TG46" s="37"/>
      <c r="TH46" s="37"/>
      <c r="TI46" s="37"/>
      <c r="TJ46" s="37"/>
      <c r="TK46" s="37"/>
      <c r="TL46" s="37"/>
      <c r="TM46" s="37"/>
      <c r="TN46" s="37"/>
      <c r="TO46" s="37"/>
      <c r="TP46" s="37"/>
      <c r="TQ46" s="37"/>
      <c r="TR46" s="37"/>
      <c r="TS46" s="37"/>
      <c r="TT46" s="37"/>
      <c r="TU46" s="37"/>
      <c r="TV46" s="37"/>
      <c r="TW46" s="37"/>
      <c r="TX46" s="37"/>
      <c r="TY46" s="37"/>
      <c r="TZ46" s="37"/>
      <c r="UA46" s="37"/>
      <c r="UB46" s="37"/>
      <c r="UC46" s="37"/>
      <c r="UD46" s="37"/>
      <c r="UE46" s="37"/>
      <c r="UF46" s="37"/>
      <c r="UG46" s="37"/>
      <c r="UH46" s="37"/>
      <c r="UI46" s="37"/>
      <c r="UJ46" s="37"/>
      <c r="UK46" s="37"/>
      <c r="UL46" s="37"/>
      <c r="UM46" s="37"/>
      <c r="UN46" s="37"/>
      <c r="UO46" s="37"/>
      <c r="UP46" s="37"/>
      <c r="UQ46" s="37"/>
      <c r="UR46" s="37"/>
      <c r="US46" s="37"/>
      <c r="UT46" s="37"/>
      <c r="UU46" s="37"/>
      <c r="UV46" s="37"/>
      <c r="UW46" s="37"/>
      <c r="UX46" s="37"/>
      <c r="UY46" s="37"/>
      <c r="UZ46" s="37"/>
      <c r="VA46" s="37"/>
      <c r="VB46" s="37"/>
      <c r="VC46" s="37"/>
      <c r="VD46" s="37"/>
      <c r="VE46" s="37"/>
      <c r="VF46" s="37"/>
      <c r="VG46" s="37"/>
      <c r="VH46" s="37"/>
      <c r="VI46" s="37"/>
      <c r="VJ46" s="37"/>
      <c r="VK46" s="37"/>
      <c r="VL46" s="37"/>
      <c r="VM46" s="37"/>
      <c r="VN46" s="37"/>
      <c r="VO46" s="37"/>
      <c r="VP46" s="37"/>
      <c r="VQ46" s="37"/>
      <c r="VR46" s="37"/>
      <c r="VS46" s="37"/>
      <c r="VT46" s="37"/>
      <c r="VU46" s="37"/>
      <c r="VV46" s="37"/>
      <c r="VW46" s="37"/>
      <c r="VX46" s="37"/>
      <c r="VY46" s="37"/>
      <c r="VZ46" s="37"/>
      <c r="WA46" s="37"/>
      <c r="WB46" s="37"/>
      <c r="WC46" s="37"/>
      <c r="WD46" s="37"/>
      <c r="WE46" s="37"/>
      <c r="WF46" s="37"/>
      <c r="WG46" s="37"/>
      <c r="WH46" s="37"/>
      <c r="WI46" s="37"/>
      <c r="WJ46" s="37"/>
      <c r="WK46" s="37"/>
      <c r="WL46" s="37"/>
      <c r="WM46" s="37"/>
      <c r="WN46" s="37"/>
      <c r="WO46" s="37"/>
      <c r="WP46" s="37"/>
      <c r="WQ46" s="37"/>
      <c r="WR46" s="37"/>
      <c r="WS46" s="37"/>
      <c r="WT46" s="37"/>
      <c r="WU46" s="37"/>
      <c r="WV46" s="37"/>
      <c r="WW46" s="37"/>
      <c r="WX46" s="37"/>
      <c r="WY46" s="37"/>
      <c r="WZ46" s="37"/>
      <c r="XA46" s="37"/>
      <c r="XB46" s="37"/>
      <c r="XC46" s="37"/>
      <c r="XD46" s="37"/>
      <c r="XE46" s="37"/>
      <c r="XF46" s="37"/>
      <c r="XG46" s="37"/>
      <c r="XH46" s="37"/>
      <c r="XI46" s="37"/>
      <c r="XJ46" s="37"/>
      <c r="XK46" s="37"/>
      <c r="XL46" s="37"/>
      <c r="XM46" s="37"/>
      <c r="XN46" s="37"/>
      <c r="XO46" s="37"/>
      <c r="XP46" s="37"/>
      <c r="XQ46" s="37"/>
      <c r="XR46" s="37"/>
      <c r="XS46" s="37"/>
      <c r="XT46" s="37"/>
      <c r="XU46" s="37"/>
      <c r="XV46" s="37"/>
      <c r="XW46" s="37"/>
      <c r="XX46" s="37"/>
      <c r="XY46" s="37"/>
      <c r="XZ46" s="37"/>
      <c r="YA46" s="37"/>
      <c r="YB46" s="37"/>
      <c r="YC46" s="37"/>
      <c r="YD46" s="37"/>
      <c r="YE46" s="37"/>
      <c r="YF46" s="37"/>
      <c r="YG46" s="37"/>
      <c r="YH46" s="37"/>
      <c r="YI46" s="37"/>
      <c r="YJ46" s="37"/>
      <c r="YK46" s="37"/>
      <c r="YL46" s="37"/>
      <c r="YM46" s="37"/>
      <c r="YN46" s="37"/>
      <c r="YO46" s="37"/>
      <c r="YP46" s="37"/>
      <c r="YQ46" s="37"/>
      <c r="YR46" s="37"/>
      <c r="YS46" s="37"/>
      <c r="YT46" s="37"/>
      <c r="YU46" s="37"/>
      <c r="YV46" s="37"/>
      <c r="YW46" s="37"/>
      <c r="YX46" s="37"/>
      <c r="YY46" s="37"/>
      <c r="YZ46" s="37"/>
      <c r="ZA46" s="37"/>
      <c r="ZB46" s="37"/>
      <c r="ZC46" s="37"/>
      <c r="ZD46" s="37"/>
      <c r="ZE46" s="37"/>
      <c r="ZF46" s="37"/>
      <c r="ZG46" s="37"/>
      <c r="ZH46" s="37"/>
      <c r="ZI46" s="37"/>
      <c r="ZJ46" s="37"/>
      <c r="ZK46" s="37"/>
      <c r="ZL46" s="37"/>
      <c r="ZM46" s="37"/>
      <c r="ZN46" s="37"/>
      <c r="ZO46" s="37"/>
      <c r="ZP46" s="37"/>
      <c r="ZQ46" s="37"/>
      <c r="ZR46" s="37"/>
      <c r="ZS46" s="37"/>
      <c r="ZT46" s="37"/>
      <c r="ZU46" s="37"/>
      <c r="ZV46" s="37"/>
      <c r="ZW46" s="37"/>
      <c r="ZX46" s="37"/>
      <c r="ZY46" s="37"/>
      <c r="ZZ46" s="37"/>
      <c r="AAA46" s="37"/>
      <c r="AAB46" s="37"/>
      <c r="AAC46" s="37"/>
      <c r="AAD46" s="37"/>
      <c r="AAE46" s="37"/>
      <c r="AAF46" s="37"/>
      <c r="AAG46" s="37"/>
      <c r="AAH46" s="37"/>
      <c r="AAI46" s="37"/>
      <c r="AAJ46" s="37"/>
      <c r="AAK46" s="37"/>
      <c r="AAL46" s="37"/>
      <c r="AAM46" s="37"/>
      <c r="AAN46" s="37"/>
      <c r="AAO46" s="37"/>
      <c r="AAP46" s="37"/>
      <c r="AAQ46" s="37"/>
      <c r="AAR46" s="37"/>
      <c r="AAS46" s="37"/>
      <c r="AAT46" s="37"/>
      <c r="AAU46" s="37"/>
      <c r="AAV46" s="37"/>
      <c r="AAW46" s="37"/>
      <c r="AAX46" s="37"/>
      <c r="AAY46" s="37"/>
      <c r="AAZ46" s="37"/>
      <c r="ABA46" s="37"/>
      <c r="ABB46" s="37"/>
      <c r="ABC46" s="37"/>
      <c r="ABD46" s="37"/>
      <c r="ABE46" s="37"/>
      <c r="ABF46" s="37"/>
      <c r="ABG46" s="37"/>
      <c r="ABH46" s="37"/>
      <c r="ABI46" s="37"/>
      <c r="ABJ46" s="37"/>
      <c r="ABK46" s="37"/>
      <c r="ABL46" s="37"/>
      <c r="ABM46" s="37"/>
      <c r="ABN46" s="37"/>
      <c r="ABO46" s="37"/>
      <c r="ABP46" s="37"/>
      <c r="ABQ46" s="37"/>
      <c r="ABR46" s="37"/>
      <c r="ABS46" s="37"/>
      <c r="ABT46" s="37"/>
      <c r="ABU46" s="37"/>
      <c r="ABV46" s="37"/>
      <c r="ABW46" s="37"/>
      <c r="ABX46" s="37"/>
      <c r="ABY46" s="37"/>
      <c r="ABZ46" s="37"/>
      <c r="ACA46" s="37"/>
      <c r="ACB46" s="37"/>
      <c r="ACC46" s="37"/>
      <c r="ACD46" s="37"/>
      <c r="ACE46" s="37"/>
      <c r="ACF46" s="37"/>
      <c r="ACG46" s="37"/>
      <c r="ACH46" s="37"/>
      <c r="ACI46" s="37"/>
      <c r="ACJ46" s="37"/>
      <c r="ACK46" s="37"/>
      <c r="ACL46" s="37"/>
      <c r="ACM46" s="37"/>
      <c r="ACN46" s="37"/>
      <c r="ACO46" s="37"/>
      <c r="ACP46" s="37"/>
      <c r="ACQ46" s="37"/>
      <c r="ACR46" s="37"/>
      <c r="ACS46" s="37"/>
      <c r="ACT46" s="37"/>
      <c r="ACU46" s="37"/>
      <c r="ACV46" s="37"/>
      <c r="ACW46" s="37"/>
      <c r="ACX46" s="37"/>
      <c r="ACY46" s="37"/>
      <c r="ACZ46" s="37"/>
      <c r="ADA46" s="37"/>
      <c r="ADB46" s="37"/>
      <c r="ADC46" s="37"/>
      <c r="ADD46" s="37"/>
      <c r="ADE46" s="37"/>
      <c r="ADF46" s="37"/>
      <c r="ADG46" s="37"/>
      <c r="ADH46" s="37"/>
      <c r="ADI46" s="37"/>
      <c r="ADJ46" s="37"/>
      <c r="ADK46" s="37"/>
      <c r="ADL46" s="37"/>
      <c r="ADM46" s="37"/>
      <c r="ADN46" s="37"/>
      <c r="ADO46" s="37"/>
      <c r="ADP46" s="37"/>
      <c r="ADQ46" s="37"/>
      <c r="ADR46" s="37"/>
      <c r="ADS46" s="37"/>
      <c r="ADT46" s="37"/>
      <c r="ADU46" s="37"/>
      <c r="ADV46" s="37"/>
      <c r="ADW46" s="37"/>
      <c r="ADX46" s="37"/>
      <c r="ADY46" s="37"/>
      <c r="ADZ46" s="37"/>
      <c r="AEA46" s="37"/>
      <c r="AEB46" s="37"/>
      <c r="AEC46" s="37"/>
      <c r="AED46" s="37"/>
      <c r="AEE46" s="37"/>
      <c r="AEF46" s="37"/>
      <c r="AEG46" s="37"/>
      <c r="AEH46" s="37"/>
      <c r="AEI46" s="37"/>
      <c r="AEJ46" s="37"/>
      <c r="AEK46" s="37"/>
      <c r="AEL46" s="37"/>
      <c r="AEM46" s="37"/>
      <c r="AEN46" s="37"/>
      <c r="AEO46" s="37"/>
      <c r="AEP46" s="37"/>
      <c r="AEQ46" s="37"/>
      <c r="AER46" s="37"/>
      <c r="AES46" s="37"/>
      <c r="AET46" s="37"/>
      <c r="AEU46" s="37"/>
      <c r="AEV46" s="37"/>
      <c r="AEW46" s="37"/>
      <c r="AEX46" s="37"/>
      <c r="AEY46" s="37"/>
      <c r="AEZ46" s="37"/>
      <c r="AFA46" s="37"/>
      <c r="AFB46" s="37"/>
      <c r="AFC46" s="37"/>
      <c r="AFD46" s="37"/>
      <c r="AFE46" s="37"/>
      <c r="AFF46" s="37"/>
      <c r="AFG46" s="37"/>
      <c r="AFH46" s="37"/>
      <c r="AFI46" s="37"/>
      <c r="AFJ46" s="37"/>
      <c r="AFK46" s="37"/>
      <c r="AFL46" s="37"/>
      <c r="AFM46" s="37"/>
      <c r="AFN46" s="37"/>
      <c r="AFO46" s="37"/>
      <c r="AFP46" s="37"/>
      <c r="AFQ46" s="37"/>
      <c r="AFR46" s="37"/>
      <c r="AFS46" s="37"/>
      <c r="AFT46" s="37"/>
      <c r="AFU46" s="37"/>
      <c r="AFV46" s="37"/>
      <c r="AFW46" s="37"/>
      <c r="AFX46" s="37"/>
      <c r="AFY46" s="37"/>
      <c r="AFZ46" s="37"/>
      <c r="AGA46" s="37"/>
      <c r="AGB46" s="37"/>
      <c r="AGC46" s="37"/>
      <c r="AGD46" s="37"/>
      <c r="AGE46" s="37"/>
      <c r="AGF46" s="37"/>
      <c r="AGG46" s="37"/>
      <c r="AGH46" s="37"/>
      <c r="AGI46" s="37"/>
      <c r="AGJ46" s="37"/>
      <c r="AGK46" s="37"/>
      <c r="AGL46" s="37"/>
      <c r="AGM46" s="37"/>
      <c r="AGN46" s="37"/>
      <c r="AGO46" s="37"/>
      <c r="AGP46" s="37"/>
      <c r="AGQ46" s="37"/>
      <c r="AGR46" s="37"/>
      <c r="AGS46" s="37"/>
      <c r="AGT46" s="37"/>
      <c r="AGU46" s="37"/>
      <c r="AGV46" s="37"/>
      <c r="AGW46" s="37"/>
      <c r="AGX46" s="37"/>
      <c r="AGY46" s="37"/>
      <c r="AGZ46" s="37"/>
      <c r="AHA46" s="37"/>
      <c r="AHB46" s="37"/>
      <c r="AHC46" s="37"/>
      <c r="AHD46" s="37"/>
      <c r="AHE46" s="37"/>
      <c r="AHF46" s="37"/>
      <c r="AHG46" s="37"/>
      <c r="AHH46" s="37"/>
      <c r="AHI46" s="37"/>
      <c r="AHJ46" s="37"/>
      <c r="AHK46" s="37"/>
      <c r="AHL46" s="37"/>
      <c r="AHM46" s="37"/>
      <c r="AHN46" s="37"/>
      <c r="AHO46" s="37"/>
      <c r="AHP46" s="37"/>
      <c r="AHQ46" s="37"/>
      <c r="AHR46" s="37"/>
      <c r="AHS46" s="37"/>
      <c r="AHT46" s="37"/>
      <c r="AHU46" s="37"/>
      <c r="AHV46" s="37"/>
      <c r="AHW46" s="37"/>
      <c r="AHX46" s="37"/>
      <c r="AHY46" s="37"/>
      <c r="AHZ46" s="37"/>
      <c r="AIA46" s="37"/>
      <c r="AIB46" s="37"/>
      <c r="AIC46" s="37"/>
      <c r="AID46" s="37"/>
      <c r="AIE46" s="37"/>
      <c r="AIF46" s="37"/>
      <c r="AIG46" s="37"/>
      <c r="AIH46" s="37"/>
      <c r="AII46" s="37"/>
      <c r="AIJ46" s="37"/>
      <c r="AIK46" s="37"/>
      <c r="AIL46" s="37"/>
      <c r="AIM46" s="37"/>
      <c r="AIN46" s="37"/>
      <c r="AIO46" s="37"/>
      <c r="AIP46" s="37"/>
      <c r="AIQ46" s="37"/>
      <c r="AIR46" s="37"/>
      <c r="AIS46" s="37"/>
      <c r="AIT46" s="37"/>
      <c r="AIU46" s="37"/>
      <c r="AIV46" s="37"/>
      <c r="AIW46" s="37"/>
      <c r="AIX46" s="37"/>
      <c r="AIY46" s="37"/>
      <c r="AIZ46" s="37"/>
      <c r="AJA46" s="37"/>
      <c r="AJB46" s="37"/>
      <c r="AJC46" s="37"/>
      <c r="AJD46" s="37"/>
      <c r="AJE46" s="37"/>
      <c r="AJF46" s="37"/>
      <c r="AJG46" s="37"/>
      <c r="AJH46" s="37"/>
      <c r="AJI46" s="37"/>
      <c r="AJJ46" s="37"/>
      <c r="AJK46" s="37"/>
      <c r="AJL46" s="37"/>
      <c r="AJM46" s="37"/>
      <c r="AJN46" s="37"/>
      <c r="AJO46" s="37"/>
      <c r="AJP46" s="37"/>
      <c r="AJQ46" s="37"/>
      <c r="AJR46" s="37"/>
      <c r="AJS46" s="37"/>
      <c r="AJT46" s="37"/>
      <c r="AJU46" s="37"/>
      <c r="AJV46" s="37"/>
      <c r="AJW46" s="37"/>
      <c r="AJX46" s="37"/>
      <c r="AJY46" s="37"/>
      <c r="AJZ46" s="37"/>
      <c r="AKA46" s="37"/>
      <c r="AKB46" s="37"/>
      <c r="AKC46" s="37"/>
      <c r="AKD46" s="37"/>
      <c r="AKE46" s="37"/>
      <c r="AKF46" s="37"/>
      <c r="AKG46" s="37"/>
      <c r="AKH46" s="37"/>
      <c r="AKI46" s="37"/>
      <c r="AKJ46" s="37"/>
      <c r="AKK46" s="37"/>
      <c r="AKL46" s="37"/>
      <c r="AKM46" s="37"/>
      <c r="AKN46" s="37"/>
      <c r="AKO46" s="37"/>
      <c r="AKP46" s="37"/>
      <c r="AKQ46" s="37"/>
      <c r="AKR46" s="37"/>
      <c r="AKS46" s="37"/>
      <c r="AKT46" s="37"/>
      <c r="AKU46" s="37"/>
      <c r="AKV46" s="37"/>
      <c r="AKW46" s="37"/>
      <c r="AKX46" s="37"/>
      <c r="AKY46" s="37"/>
      <c r="AKZ46" s="37"/>
      <c r="ALA46" s="37"/>
      <c r="ALB46" s="37"/>
      <c r="ALC46" s="37"/>
      <c r="ALD46" s="37"/>
      <c r="ALE46" s="37"/>
      <c r="ALF46" s="37"/>
      <c r="ALG46" s="37"/>
      <c r="ALH46" s="37"/>
      <c r="ALI46" s="37"/>
      <c r="ALJ46" s="37"/>
      <c r="ALK46" s="37"/>
      <c r="ALL46" s="37"/>
      <c r="ALM46" s="37"/>
      <c r="ALN46" s="37"/>
      <c r="ALO46" s="37"/>
      <c r="ALP46" s="37"/>
      <c r="ALQ46" s="37"/>
      <c r="ALR46" s="37"/>
      <c r="ALS46" s="37"/>
      <c r="ALT46" s="37"/>
      <c r="ALU46" s="37"/>
      <c r="ALV46" s="37"/>
      <c r="ALW46" s="37"/>
      <c r="ALX46" s="37"/>
      <c r="ALY46" s="37"/>
      <c r="ALZ46" s="37"/>
      <c r="AMA46" s="37"/>
      <c r="AMB46" s="37"/>
      <c r="AMC46" s="37"/>
    </row>
    <row r="47" spans="1:1017" s="38" customFormat="1" ht="19.5" customHeight="1">
      <c r="A47" s="26" t="s">
        <v>116</v>
      </c>
      <c r="B47" s="25" t="s">
        <v>104</v>
      </c>
      <c r="C47" s="26" t="s">
        <v>46</v>
      </c>
      <c r="D47" s="26" t="s">
        <v>32</v>
      </c>
      <c r="E47" s="26" t="s">
        <v>261</v>
      </c>
      <c r="F47" s="26">
        <v>40</v>
      </c>
      <c r="G47" s="26" t="s">
        <v>34</v>
      </c>
      <c r="H47" s="26">
        <v>55</v>
      </c>
      <c r="I47" s="36">
        <v>40</v>
      </c>
      <c r="J47" s="36">
        <v>24</v>
      </c>
      <c r="K47" s="36">
        <v>17</v>
      </c>
      <c r="L47" s="36">
        <v>27</v>
      </c>
      <c r="M47" s="36">
        <v>25</v>
      </c>
      <c r="N47" s="36">
        <v>27</v>
      </c>
      <c r="O47" s="36">
        <v>67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  <c r="OU47" s="37"/>
      <c r="OV47" s="37"/>
      <c r="OW47" s="37"/>
      <c r="OX47" s="37"/>
      <c r="OY47" s="37"/>
      <c r="OZ47" s="37"/>
      <c r="PA47" s="37"/>
      <c r="PB47" s="37"/>
      <c r="PC47" s="37"/>
      <c r="PD47" s="37"/>
      <c r="PE47" s="37"/>
      <c r="PF47" s="37"/>
      <c r="PG47" s="37"/>
      <c r="PH47" s="37"/>
      <c r="PI47" s="37"/>
      <c r="PJ47" s="37"/>
      <c r="PK47" s="37"/>
      <c r="PL47" s="37"/>
      <c r="PM47" s="37"/>
      <c r="PN47" s="37"/>
      <c r="PO47" s="37"/>
      <c r="PP47" s="37"/>
      <c r="PQ47" s="37"/>
      <c r="PR47" s="37"/>
      <c r="PS47" s="37"/>
      <c r="PT47" s="37"/>
      <c r="PU47" s="37"/>
      <c r="PV47" s="37"/>
      <c r="PW47" s="37"/>
      <c r="PX47" s="37"/>
      <c r="PY47" s="37"/>
      <c r="PZ47" s="37"/>
      <c r="QA47" s="37"/>
      <c r="QB47" s="37"/>
      <c r="QC47" s="37"/>
      <c r="QD47" s="37"/>
      <c r="QE47" s="37"/>
      <c r="QF47" s="37"/>
      <c r="QG47" s="37"/>
      <c r="QH47" s="37"/>
      <c r="QI47" s="37"/>
      <c r="QJ47" s="37"/>
      <c r="QK47" s="37"/>
      <c r="QL47" s="37"/>
      <c r="QM47" s="37"/>
      <c r="QN47" s="37"/>
      <c r="QO47" s="37"/>
      <c r="QP47" s="37"/>
      <c r="QQ47" s="37"/>
      <c r="QR47" s="37"/>
      <c r="QS47" s="37"/>
      <c r="QT47" s="37"/>
      <c r="QU47" s="37"/>
      <c r="QV47" s="37"/>
      <c r="QW47" s="37"/>
      <c r="QX47" s="37"/>
      <c r="QY47" s="37"/>
      <c r="QZ47" s="37"/>
      <c r="RA47" s="37"/>
      <c r="RB47" s="37"/>
      <c r="RC47" s="37"/>
      <c r="RD47" s="37"/>
      <c r="RE47" s="37"/>
      <c r="RF47" s="37"/>
      <c r="RG47" s="37"/>
      <c r="RH47" s="37"/>
      <c r="RI47" s="37"/>
      <c r="RJ47" s="37"/>
      <c r="RK47" s="37"/>
      <c r="RL47" s="37"/>
      <c r="RM47" s="37"/>
      <c r="RN47" s="37"/>
      <c r="RO47" s="37"/>
      <c r="RP47" s="37"/>
      <c r="RQ47" s="37"/>
      <c r="RR47" s="37"/>
      <c r="RS47" s="37"/>
      <c r="RT47" s="37"/>
      <c r="RU47" s="37"/>
      <c r="RV47" s="37"/>
      <c r="RW47" s="37"/>
      <c r="RX47" s="37"/>
      <c r="RY47" s="37"/>
      <c r="RZ47" s="37"/>
      <c r="SA47" s="37"/>
      <c r="SB47" s="37"/>
      <c r="SC47" s="37"/>
      <c r="SD47" s="37"/>
      <c r="SE47" s="37"/>
      <c r="SF47" s="37"/>
      <c r="SG47" s="37"/>
      <c r="SH47" s="37"/>
      <c r="SI47" s="37"/>
      <c r="SJ47" s="37"/>
      <c r="SK47" s="37"/>
      <c r="SL47" s="37"/>
      <c r="SM47" s="37"/>
      <c r="SN47" s="37"/>
      <c r="SO47" s="37"/>
      <c r="SP47" s="37"/>
      <c r="SQ47" s="37"/>
      <c r="SR47" s="37"/>
      <c r="SS47" s="37"/>
      <c r="ST47" s="37"/>
      <c r="SU47" s="37"/>
      <c r="SV47" s="37"/>
      <c r="SW47" s="37"/>
      <c r="SX47" s="37"/>
      <c r="SY47" s="37"/>
      <c r="SZ47" s="37"/>
      <c r="TA47" s="37"/>
      <c r="TB47" s="37"/>
      <c r="TC47" s="37"/>
      <c r="TD47" s="37"/>
      <c r="TE47" s="37"/>
      <c r="TF47" s="37"/>
      <c r="TG47" s="37"/>
      <c r="TH47" s="37"/>
      <c r="TI47" s="37"/>
      <c r="TJ47" s="37"/>
      <c r="TK47" s="37"/>
      <c r="TL47" s="37"/>
      <c r="TM47" s="37"/>
      <c r="TN47" s="37"/>
      <c r="TO47" s="37"/>
      <c r="TP47" s="37"/>
      <c r="TQ47" s="37"/>
      <c r="TR47" s="37"/>
      <c r="TS47" s="37"/>
      <c r="TT47" s="37"/>
      <c r="TU47" s="37"/>
      <c r="TV47" s="37"/>
      <c r="TW47" s="37"/>
      <c r="TX47" s="37"/>
      <c r="TY47" s="37"/>
      <c r="TZ47" s="37"/>
      <c r="UA47" s="37"/>
      <c r="UB47" s="37"/>
      <c r="UC47" s="37"/>
      <c r="UD47" s="37"/>
      <c r="UE47" s="37"/>
      <c r="UF47" s="37"/>
      <c r="UG47" s="37"/>
      <c r="UH47" s="37"/>
      <c r="UI47" s="37"/>
      <c r="UJ47" s="37"/>
      <c r="UK47" s="37"/>
      <c r="UL47" s="37"/>
      <c r="UM47" s="37"/>
      <c r="UN47" s="37"/>
      <c r="UO47" s="37"/>
      <c r="UP47" s="37"/>
      <c r="UQ47" s="37"/>
      <c r="UR47" s="37"/>
      <c r="US47" s="37"/>
      <c r="UT47" s="37"/>
      <c r="UU47" s="37"/>
      <c r="UV47" s="37"/>
      <c r="UW47" s="37"/>
      <c r="UX47" s="37"/>
      <c r="UY47" s="37"/>
      <c r="UZ47" s="37"/>
      <c r="VA47" s="37"/>
      <c r="VB47" s="37"/>
      <c r="VC47" s="37"/>
      <c r="VD47" s="37"/>
      <c r="VE47" s="37"/>
      <c r="VF47" s="37"/>
      <c r="VG47" s="37"/>
      <c r="VH47" s="37"/>
      <c r="VI47" s="37"/>
      <c r="VJ47" s="37"/>
      <c r="VK47" s="37"/>
      <c r="VL47" s="37"/>
      <c r="VM47" s="37"/>
      <c r="VN47" s="37"/>
      <c r="VO47" s="37"/>
      <c r="VP47" s="37"/>
      <c r="VQ47" s="37"/>
      <c r="VR47" s="37"/>
      <c r="VS47" s="37"/>
      <c r="VT47" s="37"/>
      <c r="VU47" s="37"/>
      <c r="VV47" s="37"/>
      <c r="VW47" s="37"/>
      <c r="VX47" s="37"/>
      <c r="VY47" s="37"/>
      <c r="VZ47" s="37"/>
      <c r="WA47" s="37"/>
      <c r="WB47" s="37"/>
      <c r="WC47" s="37"/>
      <c r="WD47" s="37"/>
      <c r="WE47" s="37"/>
      <c r="WF47" s="37"/>
      <c r="WG47" s="37"/>
      <c r="WH47" s="37"/>
      <c r="WI47" s="37"/>
      <c r="WJ47" s="37"/>
      <c r="WK47" s="37"/>
      <c r="WL47" s="37"/>
      <c r="WM47" s="37"/>
      <c r="WN47" s="37"/>
      <c r="WO47" s="37"/>
      <c r="WP47" s="37"/>
      <c r="WQ47" s="37"/>
      <c r="WR47" s="37"/>
      <c r="WS47" s="37"/>
      <c r="WT47" s="37"/>
      <c r="WU47" s="37"/>
      <c r="WV47" s="37"/>
      <c r="WW47" s="37"/>
      <c r="WX47" s="37"/>
      <c r="WY47" s="37"/>
      <c r="WZ47" s="37"/>
      <c r="XA47" s="37"/>
      <c r="XB47" s="37"/>
      <c r="XC47" s="37"/>
      <c r="XD47" s="37"/>
      <c r="XE47" s="37"/>
      <c r="XF47" s="37"/>
      <c r="XG47" s="37"/>
      <c r="XH47" s="37"/>
      <c r="XI47" s="37"/>
      <c r="XJ47" s="37"/>
      <c r="XK47" s="37"/>
      <c r="XL47" s="37"/>
      <c r="XM47" s="37"/>
      <c r="XN47" s="37"/>
      <c r="XO47" s="37"/>
      <c r="XP47" s="37"/>
      <c r="XQ47" s="37"/>
      <c r="XR47" s="37"/>
      <c r="XS47" s="37"/>
      <c r="XT47" s="37"/>
      <c r="XU47" s="37"/>
      <c r="XV47" s="37"/>
      <c r="XW47" s="37"/>
      <c r="XX47" s="37"/>
      <c r="XY47" s="37"/>
      <c r="XZ47" s="37"/>
      <c r="YA47" s="37"/>
      <c r="YB47" s="37"/>
      <c r="YC47" s="37"/>
      <c r="YD47" s="37"/>
      <c r="YE47" s="37"/>
      <c r="YF47" s="37"/>
      <c r="YG47" s="37"/>
      <c r="YH47" s="37"/>
      <c r="YI47" s="37"/>
      <c r="YJ47" s="37"/>
      <c r="YK47" s="37"/>
      <c r="YL47" s="37"/>
      <c r="YM47" s="37"/>
      <c r="YN47" s="37"/>
      <c r="YO47" s="37"/>
      <c r="YP47" s="37"/>
      <c r="YQ47" s="37"/>
      <c r="YR47" s="37"/>
      <c r="YS47" s="37"/>
      <c r="YT47" s="37"/>
      <c r="YU47" s="37"/>
      <c r="YV47" s="37"/>
      <c r="YW47" s="37"/>
      <c r="YX47" s="37"/>
      <c r="YY47" s="37"/>
      <c r="YZ47" s="37"/>
      <c r="ZA47" s="37"/>
      <c r="ZB47" s="37"/>
      <c r="ZC47" s="37"/>
      <c r="ZD47" s="37"/>
      <c r="ZE47" s="37"/>
      <c r="ZF47" s="37"/>
      <c r="ZG47" s="37"/>
      <c r="ZH47" s="37"/>
      <c r="ZI47" s="37"/>
      <c r="ZJ47" s="37"/>
      <c r="ZK47" s="37"/>
      <c r="ZL47" s="37"/>
      <c r="ZM47" s="37"/>
      <c r="ZN47" s="37"/>
      <c r="ZO47" s="37"/>
      <c r="ZP47" s="37"/>
      <c r="ZQ47" s="37"/>
      <c r="ZR47" s="37"/>
      <c r="ZS47" s="37"/>
      <c r="ZT47" s="37"/>
      <c r="ZU47" s="37"/>
      <c r="ZV47" s="37"/>
      <c r="ZW47" s="37"/>
      <c r="ZX47" s="37"/>
      <c r="ZY47" s="37"/>
      <c r="ZZ47" s="37"/>
      <c r="AAA47" s="37"/>
      <c r="AAB47" s="37"/>
      <c r="AAC47" s="37"/>
      <c r="AAD47" s="37"/>
      <c r="AAE47" s="37"/>
      <c r="AAF47" s="37"/>
      <c r="AAG47" s="37"/>
      <c r="AAH47" s="37"/>
      <c r="AAI47" s="37"/>
      <c r="AAJ47" s="37"/>
      <c r="AAK47" s="37"/>
      <c r="AAL47" s="37"/>
      <c r="AAM47" s="37"/>
      <c r="AAN47" s="37"/>
      <c r="AAO47" s="37"/>
      <c r="AAP47" s="37"/>
      <c r="AAQ47" s="37"/>
      <c r="AAR47" s="37"/>
      <c r="AAS47" s="37"/>
      <c r="AAT47" s="37"/>
      <c r="AAU47" s="37"/>
      <c r="AAV47" s="37"/>
      <c r="AAW47" s="37"/>
      <c r="AAX47" s="37"/>
      <c r="AAY47" s="37"/>
      <c r="AAZ47" s="37"/>
      <c r="ABA47" s="37"/>
      <c r="ABB47" s="37"/>
      <c r="ABC47" s="37"/>
      <c r="ABD47" s="37"/>
      <c r="ABE47" s="37"/>
      <c r="ABF47" s="37"/>
      <c r="ABG47" s="37"/>
      <c r="ABH47" s="37"/>
      <c r="ABI47" s="37"/>
      <c r="ABJ47" s="37"/>
      <c r="ABK47" s="37"/>
      <c r="ABL47" s="37"/>
      <c r="ABM47" s="37"/>
      <c r="ABN47" s="37"/>
      <c r="ABO47" s="37"/>
      <c r="ABP47" s="37"/>
      <c r="ABQ47" s="37"/>
      <c r="ABR47" s="37"/>
      <c r="ABS47" s="37"/>
      <c r="ABT47" s="37"/>
      <c r="ABU47" s="37"/>
      <c r="ABV47" s="37"/>
      <c r="ABW47" s="37"/>
      <c r="ABX47" s="37"/>
      <c r="ABY47" s="37"/>
      <c r="ABZ47" s="37"/>
      <c r="ACA47" s="37"/>
      <c r="ACB47" s="37"/>
      <c r="ACC47" s="37"/>
      <c r="ACD47" s="37"/>
      <c r="ACE47" s="37"/>
      <c r="ACF47" s="37"/>
      <c r="ACG47" s="37"/>
      <c r="ACH47" s="37"/>
      <c r="ACI47" s="37"/>
      <c r="ACJ47" s="37"/>
      <c r="ACK47" s="37"/>
      <c r="ACL47" s="37"/>
      <c r="ACM47" s="37"/>
      <c r="ACN47" s="37"/>
      <c r="ACO47" s="37"/>
      <c r="ACP47" s="37"/>
      <c r="ACQ47" s="37"/>
      <c r="ACR47" s="37"/>
      <c r="ACS47" s="37"/>
      <c r="ACT47" s="37"/>
      <c r="ACU47" s="37"/>
      <c r="ACV47" s="37"/>
      <c r="ACW47" s="37"/>
      <c r="ACX47" s="37"/>
      <c r="ACY47" s="37"/>
      <c r="ACZ47" s="37"/>
      <c r="ADA47" s="37"/>
      <c r="ADB47" s="37"/>
      <c r="ADC47" s="37"/>
      <c r="ADD47" s="37"/>
      <c r="ADE47" s="37"/>
      <c r="ADF47" s="37"/>
      <c r="ADG47" s="37"/>
      <c r="ADH47" s="37"/>
      <c r="ADI47" s="37"/>
      <c r="ADJ47" s="37"/>
      <c r="ADK47" s="37"/>
      <c r="ADL47" s="37"/>
      <c r="ADM47" s="37"/>
      <c r="ADN47" s="37"/>
      <c r="ADO47" s="37"/>
      <c r="ADP47" s="37"/>
      <c r="ADQ47" s="37"/>
      <c r="ADR47" s="37"/>
      <c r="ADS47" s="37"/>
      <c r="ADT47" s="37"/>
      <c r="ADU47" s="37"/>
      <c r="ADV47" s="37"/>
      <c r="ADW47" s="37"/>
      <c r="ADX47" s="37"/>
      <c r="ADY47" s="37"/>
      <c r="ADZ47" s="37"/>
      <c r="AEA47" s="37"/>
      <c r="AEB47" s="37"/>
      <c r="AEC47" s="37"/>
      <c r="AED47" s="37"/>
      <c r="AEE47" s="37"/>
      <c r="AEF47" s="37"/>
      <c r="AEG47" s="37"/>
      <c r="AEH47" s="37"/>
      <c r="AEI47" s="37"/>
      <c r="AEJ47" s="37"/>
      <c r="AEK47" s="37"/>
      <c r="AEL47" s="37"/>
      <c r="AEM47" s="37"/>
      <c r="AEN47" s="37"/>
      <c r="AEO47" s="37"/>
      <c r="AEP47" s="37"/>
      <c r="AEQ47" s="37"/>
      <c r="AER47" s="37"/>
      <c r="AES47" s="37"/>
      <c r="AET47" s="37"/>
      <c r="AEU47" s="37"/>
      <c r="AEV47" s="37"/>
      <c r="AEW47" s="37"/>
      <c r="AEX47" s="37"/>
      <c r="AEY47" s="37"/>
      <c r="AEZ47" s="37"/>
      <c r="AFA47" s="37"/>
      <c r="AFB47" s="37"/>
      <c r="AFC47" s="37"/>
      <c r="AFD47" s="37"/>
      <c r="AFE47" s="37"/>
      <c r="AFF47" s="37"/>
      <c r="AFG47" s="37"/>
      <c r="AFH47" s="37"/>
      <c r="AFI47" s="37"/>
      <c r="AFJ47" s="37"/>
      <c r="AFK47" s="37"/>
      <c r="AFL47" s="37"/>
      <c r="AFM47" s="37"/>
      <c r="AFN47" s="37"/>
      <c r="AFO47" s="37"/>
      <c r="AFP47" s="37"/>
      <c r="AFQ47" s="37"/>
      <c r="AFR47" s="37"/>
      <c r="AFS47" s="37"/>
      <c r="AFT47" s="37"/>
      <c r="AFU47" s="37"/>
      <c r="AFV47" s="37"/>
      <c r="AFW47" s="37"/>
      <c r="AFX47" s="37"/>
      <c r="AFY47" s="37"/>
      <c r="AFZ47" s="37"/>
      <c r="AGA47" s="37"/>
      <c r="AGB47" s="37"/>
      <c r="AGC47" s="37"/>
      <c r="AGD47" s="37"/>
      <c r="AGE47" s="37"/>
      <c r="AGF47" s="37"/>
      <c r="AGG47" s="37"/>
      <c r="AGH47" s="37"/>
      <c r="AGI47" s="37"/>
      <c r="AGJ47" s="37"/>
      <c r="AGK47" s="37"/>
      <c r="AGL47" s="37"/>
      <c r="AGM47" s="37"/>
      <c r="AGN47" s="37"/>
      <c r="AGO47" s="37"/>
      <c r="AGP47" s="37"/>
      <c r="AGQ47" s="37"/>
      <c r="AGR47" s="37"/>
      <c r="AGS47" s="37"/>
      <c r="AGT47" s="37"/>
      <c r="AGU47" s="37"/>
      <c r="AGV47" s="37"/>
      <c r="AGW47" s="37"/>
      <c r="AGX47" s="37"/>
      <c r="AGY47" s="37"/>
      <c r="AGZ47" s="37"/>
      <c r="AHA47" s="37"/>
      <c r="AHB47" s="37"/>
      <c r="AHC47" s="37"/>
      <c r="AHD47" s="37"/>
      <c r="AHE47" s="37"/>
      <c r="AHF47" s="37"/>
      <c r="AHG47" s="37"/>
      <c r="AHH47" s="37"/>
      <c r="AHI47" s="37"/>
      <c r="AHJ47" s="37"/>
      <c r="AHK47" s="37"/>
      <c r="AHL47" s="37"/>
      <c r="AHM47" s="37"/>
      <c r="AHN47" s="37"/>
      <c r="AHO47" s="37"/>
      <c r="AHP47" s="37"/>
      <c r="AHQ47" s="37"/>
      <c r="AHR47" s="37"/>
      <c r="AHS47" s="37"/>
      <c r="AHT47" s="37"/>
      <c r="AHU47" s="37"/>
      <c r="AHV47" s="37"/>
      <c r="AHW47" s="37"/>
      <c r="AHX47" s="37"/>
      <c r="AHY47" s="37"/>
      <c r="AHZ47" s="37"/>
      <c r="AIA47" s="37"/>
      <c r="AIB47" s="37"/>
      <c r="AIC47" s="37"/>
      <c r="AID47" s="37"/>
      <c r="AIE47" s="37"/>
      <c r="AIF47" s="37"/>
      <c r="AIG47" s="37"/>
      <c r="AIH47" s="37"/>
      <c r="AII47" s="37"/>
      <c r="AIJ47" s="37"/>
      <c r="AIK47" s="37"/>
      <c r="AIL47" s="37"/>
      <c r="AIM47" s="37"/>
      <c r="AIN47" s="37"/>
      <c r="AIO47" s="37"/>
      <c r="AIP47" s="37"/>
      <c r="AIQ47" s="37"/>
      <c r="AIR47" s="37"/>
      <c r="AIS47" s="37"/>
      <c r="AIT47" s="37"/>
      <c r="AIU47" s="37"/>
      <c r="AIV47" s="37"/>
      <c r="AIW47" s="37"/>
      <c r="AIX47" s="37"/>
      <c r="AIY47" s="37"/>
      <c r="AIZ47" s="37"/>
      <c r="AJA47" s="37"/>
      <c r="AJB47" s="37"/>
      <c r="AJC47" s="37"/>
      <c r="AJD47" s="37"/>
      <c r="AJE47" s="37"/>
      <c r="AJF47" s="37"/>
      <c r="AJG47" s="37"/>
      <c r="AJH47" s="37"/>
      <c r="AJI47" s="37"/>
      <c r="AJJ47" s="37"/>
      <c r="AJK47" s="37"/>
      <c r="AJL47" s="37"/>
      <c r="AJM47" s="37"/>
      <c r="AJN47" s="37"/>
      <c r="AJO47" s="37"/>
      <c r="AJP47" s="37"/>
      <c r="AJQ47" s="37"/>
      <c r="AJR47" s="37"/>
      <c r="AJS47" s="37"/>
      <c r="AJT47" s="37"/>
      <c r="AJU47" s="37"/>
      <c r="AJV47" s="37"/>
      <c r="AJW47" s="37"/>
      <c r="AJX47" s="37"/>
      <c r="AJY47" s="37"/>
      <c r="AJZ47" s="37"/>
      <c r="AKA47" s="37"/>
      <c r="AKB47" s="37"/>
      <c r="AKC47" s="37"/>
      <c r="AKD47" s="37"/>
      <c r="AKE47" s="37"/>
      <c r="AKF47" s="37"/>
      <c r="AKG47" s="37"/>
      <c r="AKH47" s="37"/>
      <c r="AKI47" s="37"/>
      <c r="AKJ47" s="37"/>
      <c r="AKK47" s="37"/>
      <c r="AKL47" s="37"/>
      <c r="AKM47" s="37"/>
      <c r="AKN47" s="37"/>
      <c r="AKO47" s="37"/>
      <c r="AKP47" s="37"/>
      <c r="AKQ47" s="37"/>
      <c r="AKR47" s="37"/>
      <c r="AKS47" s="37"/>
      <c r="AKT47" s="37"/>
      <c r="AKU47" s="37"/>
      <c r="AKV47" s="37"/>
      <c r="AKW47" s="37"/>
      <c r="AKX47" s="37"/>
      <c r="AKY47" s="37"/>
      <c r="AKZ47" s="37"/>
      <c r="ALA47" s="37"/>
      <c r="ALB47" s="37"/>
      <c r="ALC47" s="37"/>
      <c r="ALD47" s="37"/>
      <c r="ALE47" s="37"/>
      <c r="ALF47" s="37"/>
      <c r="ALG47" s="37"/>
      <c r="ALH47" s="37"/>
      <c r="ALI47" s="37"/>
      <c r="ALJ47" s="37"/>
      <c r="ALK47" s="37"/>
      <c r="ALL47" s="37"/>
      <c r="ALM47" s="37"/>
      <c r="ALN47" s="37"/>
      <c r="ALO47" s="37"/>
      <c r="ALP47" s="37"/>
      <c r="ALQ47" s="37"/>
      <c r="ALR47" s="37"/>
      <c r="ALS47" s="37"/>
      <c r="ALT47" s="37"/>
      <c r="ALU47" s="37"/>
      <c r="ALV47" s="37"/>
      <c r="ALW47" s="37"/>
      <c r="ALX47" s="37"/>
      <c r="ALY47" s="37"/>
      <c r="ALZ47" s="37"/>
      <c r="AMA47" s="37"/>
      <c r="AMB47" s="37"/>
      <c r="AMC47" s="37"/>
    </row>
    <row r="48" spans="1:1017" s="38" customFormat="1" ht="19.5" customHeight="1">
      <c r="A48" s="72"/>
      <c r="B48" s="73"/>
      <c r="C48" s="72"/>
      <c r="D48" s="72"/>
      <c r="E48" s="72"/>
      <c r="F48" s="72"/>
      <c r="G48" s="35">
        <v>40</v>
      </c>
      <c r="H48" s="35">
        <v>82</v>
      </c>
      <c r="I48" s="35">
        <v>106</v>
      </c>
      <c r="J48" s="35">
        <v>62</v>
      </c>
      <c r="K48" s="35">
        <v>30</v>
      </c>
      <c r="L48" s="35">
        <v>24</v>
      </c>
      <c r="M48" s="35">
        <v>21</v>
      </c>
      <c r="N48" s="35">
        <v>94</v>
      </c>
      <c r="O48" s="74" t="s">
        <v>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</row>
    <row r="49" spans="1:1017" s="38" customFormat="1" ht="19.5" customHeight="1">
      <c r="A49" s="75"/>
      <c r="B49" s="76"/>
      <c r="C49" s="75"/>
      <c r="D49" s="75"/>
      <c r="E49" s="75"/>
      <c r="F49" s="75"/>
      <c r="G49" s="77">
        <v>44</v>
      </c>
      <c r="H49" s="77">
        <v>58</v>
      </c>
      <c r="I49" s="77">
        <v>19</v>
      </c>
      <c r="J49" s="77">
        <v>14</v>
      </c>
      <c r="K49" s="77">
        <v>106</v>
      </c>
      <c r="L49" s="77">
        <v>100</v>
      </c>
      <c r="M49" s="77">
        <v>108</v>
      </c>
      <c r="N49" s="77"/>
      <c r="O49" s="7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  <c r="OU49" s="37"/>
      <c r="OV49" s="37"/>
      <c r="OW49" s="37"/>
      <c r="OX49" s="37"/>
      <c r="OY49" s="37"/>
      <c r="OZ49" s="37"/>
      <c r="PA49" s="37"/>
      <c r="PB49" s="37"/>
      <c r="PC49" s="37"/>
      <c r="PD49" s="37"/>
      <c r="PE49" s="37"/>
      <c r="PF49" s="37"/>
      <c r="PG49" s="37"/>
      <c r="PH49" s="37"/>
      <c r="PI49" s="37"/>
      <c r="PJ49" s="37"/>
      <c r="PK49" s="37"/>
      <c r="PL49" s="37"/>
      <c r="PM49" s="37"/>
      <c r="PN49" s="37"/>
      <c r="PO49" s="37"/>
      <c r="PP49" s="37"/>
      <c r="PQ49" s="37"/>
      <c r="PR49" s="37"/>
      <c r="PS49" s="37"/>
      <c r="PT49" s="37"/>
      <c r="PU49" s="37"/>
      <c r="PV49" s="37"/>
      <c r="PW49" s="37"/>
      <c r="PX49" s="37"/>
      <c r="PY49" s="37"/>
      <c r="PZ49" s="37"/>
      <c r="QA49" s="37"/>
      <c r="QB49" s="37"/>
      <c r="QC49" s="37"/>
      <c r="QD49" s="37"/>
      <c r="QE49" s="37"/>
      <c r="QF49" s="37"/>
      <c r="QG49" s="37"/>
      <c r="QH49" s="37"/>
      <c r="QI49" s="37"/>
      <c r="QJ49" s="37"/>
      <c r="QK49" s="37"/>
      <c r="QL49" s="37"/>
      <c r="QM49" s="37"/>
      <c r="QN49" s="37"/>
      <c r="QO49" s="37"/>
      <c r="QP49" s="37"/>
      <c r="QQ49" s="37"/>
      <c r="QR49" s="37"/>
      <c r="QS49" s="37"/>
      <c r="QT49" s="37"/>
      <c r="QU49" s="37"/>
      <c r="QV49" s="37"/>
      <c r="QW49" s="37"/>
      <c r="QX49" s="37"/>
      <c r="QY49" s="37"/>
      <c r="QZ49" s="37"/>
      <c r="RA49" s="37"/>
      <c r="RB49" s="37"/>
      <c r="RC49" s="37"/>
      <c r="RD49" s="37"/>
      <c r="RE49" s="37"/>
      <c r="RF49" s="37"/>
      <c r="RG49" s="37"/>
      <c r="RH49" s="37"/>
      <c r="RI49" s="37"/>
      <c r="RJ49" s="37"/>
      <c r="RK49" s="37"/>
      <c r="RL49" s="37"/>
      <c r="RM49" s="37"/>
      <c r="RN49" s="37"/>
      <c r="RO49" s="37"/>
      <c r="RP49" s="37"/>
      <c r="RQ49" s="37"/>
      <c r="RR49" s="37"/>
      <c r="RS49" s="37"/>
      <c r="RT49" s="37"/>
      <c r="RU49" s="37"/>
      <c r="RV49" s="37"/>
      <c r="RW49" s="37"/>
      <c r="RX49" s="37"/>
      <c r="RY49" s="37"/>
      <c r="RZ49" s="37"/>
      <c r="SA49" s="37"/>
      <c r="SB49" s="37"/>
      <c r="SC49" s="37"/>
      <c r="SD49" s="37"/>
      <c r="SE49" s="37"/>
      <c r="SF49" s="37"/>
      <c r="SG49" s="37"/>
      <c r="SH49" s="37"/>
      <c r="SI49" s="37"/>
      <c r="SJ49" s="37"/>
      <c r="SK49" s="37"/>
      <c r="SL49" s="37"/>
      <c r="SM49" s="37"/>
      <c r="SN49" s="37"/>
      <c r="SO49" s="37"/>
      <c r="SP49" s="37"/>
      <c r="SQ49" s="37"/>
      <c r="SR49" s="37"/>
      <c r="SS49" s="37"/>
      <c r="ST49" s="37"/>
      <c r="SU49" s="37"/>
      <c r="SV49" s="37"/>
      <c r="SW49" s="37"/>
      <c r="SX49" s="37"/>
      <c r="SY49" s="37"/>
      <c r="SZ49" s="37"/>
      <c r="TA49" s="37"/>
      <c r="TB49" s="37"/>
      <c r="TC49" s="37"/>
      <c r="TD49" s="37"/>
      <c r="TE49" s="37"/>
      <c r="TF49" s="37"/>
      <c r="TG49" s="37"/>
      <c r="TH49" s="37"/>
      <c r="TI49" s="37"/>
      <c r="TJ49" s="37"/>
      <c r="TK49" s="37"/>
      <c r="TL49" s="37"/>
      <c r="TM49" s="37"/>
      <c r="TN49" s="37"/>
      <c r="TO49" s="37"/>
      <c r="TP49" s="37"/>
      <c r="TQ49" s="37"/>
      <c r="TR49" s="37"/>
      <c r="TS49" s="37"/>
      <c r="TT49" s="37"/>
      <c r="TU49" s="37"/>
      <c r="TV49" s="37"/>
      <c r="TW49" s="37"/>
      <c r="TX49" s="37"/>
      <c r="TY49" s="37"/>
      <c r="TZ49" s="37"/>
      <c r="UA49" s="37"/>
      <c r="UB49" s="37"/>
      <c r="UC49" s="37"/>
      <c r="UD49" s="37"/>
      <c r="UE49" s="37"/>
      <c r="UF49" s="37"/>
      <c r="UG49" s="37"/>
      <c r="UH49" s="37"/>
      <c r="UI49" s="37"/>
      <c r="UJ49" s="37"/>
      <c r="UK49" s="37"/>
      <c r="UL49" s="37"/>
      <c r="UM49" s="37"/>
      <c r="UN49" s="37"/>
      <c r="UO49" s="37"/>
      <c r="UP49" s="37"/>
      <c r="UQ49" s="37"/>
      <c r="UR49" s="37"/>
      <c r="US49" s="37"/>
      <c r="UT49" s="37"/>
      <c r="UU49" s="37"/>
      <c r="UV49" s="37"/>
      <c r="UW49" s="37"/>
      <c r="UX49" s="37"/>
      <c r="UY49" s="37"/>
      <c r="UZ49" s="37"/>
      <c r="VA49" s="37"/>
      <c r="VB49" s="37"/>
      <c r="VC49" s="37"/>
      <c r="VD49" s="37"/>
      <c r="VE49" s="37"/>
      <c r="VF49" s="37"/>
      <c r="VG49" s="37"/>
      <c r="VH49" s="37"/>
      <c r="VI49" s="37"/>
      <c r="VJ49" s="37"/>
      <c r="VK49" s="37"/>
      <c r="VL49" s="37"/>
      <c r="VM49" s="37"/>
      <c r="VN49" s="37"/>
      <c r="VO49" s="37"/>
      <c r="VP49" s="37"/>
      <c r="VQ49" s="37"/>
      <c r="VR49" s="37"/>
      <c r="VS49" s="37"/>
      <c r="VT49" s="37"/>
      <c r="VU49" s="37"/>
      <c r="VV49" s="37"/>
      <c r="VW49" s="37"/>
      <c r="VX49" s="37"/>
      <c r="VY49" s="37"/>
      <c r="VZ49" s="37"/>
      <c r="WA49" s="37"/>
      <c r="WB49" s="37"/>
      <c r="WC49" s="37"/>
      <c r="WD49" s="37"/>
      <c r="WE49" s="37"/>
      <c r="WF49" s="37"/>
      <c r="WG49" s="37"/>
      <c r="WH49" s="37"/>
      <c r="WI49" s="37"/>
      <c r="WJ49" s="37"/>
      <c r="WK49" s="37"/>
      <c r="WL49" s="37"/>
      <c r="WM49" s="37"/>
      <c r="WN49" s="37"/>
      <c r="WO49" s="37"/>
      <c r="WP49" s="37"/>
      <c r="WQ49" s="37"/>
      <c r="WR49" s="37"/>
      <c r="WS49" s="37"/>
      <c r="WT49" s="37"/>
      <c r="WU49" s="37"/>
      <c r="WV49" s="37"/>
      <c r="WW49" s="37"/>
      <c r="WX49" s="37"/>
      <c r="WY49" s="37"/>
      <c r="WZ49" s="37"/>
      <c r="XA49" s="37"/>
      <c r="XB49" s="37"/>
      <c r="XC49" s="37"/>
      <c r="XD49" s="37"/>
      <c r="XE49" s="37"/>
      <c r="XF49" s="37"/>
      <c r="XG49" s="37"/>
      <c r="XH49" s="37"/>
      <c r="XI49" s="37"/>
      <c r="XJ49" s="37"/>
      <c r="XK49" s="37"/>
      <c r="XL49" s="37"/>
      <c r="XM49" s="37"/>
      <c r="XN49" s="37"/>
      <c r="XO49" s="37"/>
      <c r="XP49" s="37"/>
      <c r="XQ49" s="37"/>
      <c r="XR49" s="37"/>
      <c r="XS49" s="37"/>
      <c r="XT49" s="37"/>
      <c r="XU49" s="37"/>
      <c r="XV49" s="37"/>
      <c r="XW49" s="37"/>
      <c r="XX49" s="37"/>
      <c r="XY49" s="37"/>
      <c r="XZ49" s="37"/>
      <c r="YA49" s="37"/>
      <c r="YB49" s="37"/>
      <c r="YC49" s="37"/>
      <c r="YD49" s="37"/>
      <c r="YE49" s="37"/>
      <c r="YF49" s="37"/>
      <c r="YG49" s="37"/>
      <c r="YH49" s="37"/>
      <c r="YI49" s="37"/>
      <c r="YJ49" s="37"/>
      <c r="YK49" s="37"/>
      <c r="YL49" s="37"/>
      <c r="YM49" s="37"/>
      <c r="YN49" s="37"/>
      <c r="YO49" s="37"/>
      <c r="YP49" s="37"/>
      <c r="YQ49" s="37"/>
      <c r="YR49" s="37"/>
      <c r="YS49" s="37"/>
      <c r="YT49" s="37"/>
      <c r="YU49" s="37"/>
      <c r="YV49" s="37"/>
      <c r="YW49" s="37"/>
      <c r="YX49" s="37"/>
      <c r="YY49" s="37"/>
      <c r="YZ49" s="37"/>
      <c r="ZA49" s="37"/>
      <c r="ZB49" s="37"/>
      <c r="ZC49" s="37"/>
      <c r="ZD49" s="37"/>
      <c r="ZE49" s="37"/>
      <c r="ZF49" s="37"/>
      <c r="ZG49" s="37"/>
      <c r="ZH49" s="37"/>
      <c r="ZI49" s="37"/>
      <c r="ZJ49" s="37"/>
      <c r="ZK49" s="37"/>
      <c r="ZL49" s="37"/>
      <c r="ZM49" s="37"/>
      <c r="ZN49" s="37"/>
      <c r="ZO49" s="37"/>
      <c r="ZP49" s="37"/>
      <c r="ZQ49" s="37"/>
      <c r="ZR49" s="37"/>
      <c r="ZS49" s="37"/>
      <c r="ZT49" s="37"/>
      <c r="ZU49" s="37"/>
      <c r="ZV49" s="37"/>
      <c r="ZW49" s="37"/>
      <c r="ZX49" s="37"/>
      <c r="ZY49" s="37"/>
      <c r="ZZ49" s="37"/>
      <c r="AAA49" s="37"/>
      <c r="AAB49" s="37"/>
      <c r="AAC49" s="37"/>
      <c r="AAD49" s="37"/>
      <c r="AAE49" s="37"/>
      <c r="AAF49" s="37"/>
      <c r="AAG49" s="37"/>
      <c r="AAH49" s="37"/>
      <c r="AAI49" s="37"/>
      <c r="AAJ49" s="37"/>
      <c r="AAK49" s="37"/>
      <c r="AAL49" s="37"/>
      <c r="AAM49" s="37"/>
      <c r="AAN49" s="37"/>
      <c r="AAO49" s="37"/>
      <c r="AAP49" s="37"/>
      <c r="AAQ49" s="37"/>
      <c r="AAR49" s="37"/>
      <c r="AAS49" s="37"/>
      <c r="AAT49" s="37"/>
      <c r="AAU49" s="37"/>
      <c r="AAV49" s="37"/>
      <c r="AAW49" s="37"/>
      <c r="AAX49" s="37"/>
      <c r="AAY49" s="37"/>
      <c r="AAZ49" s="37"/>
      <c r="ABA49" s="37"/>
      <c r="ABB49" s="37"/>
      <c r="ABC49" s="37"/>
      <c r="ABD49" s="37"/>
      <c r="ABE49" s="37"/>
      <c r="ABF49" s="37"/>
      <c r="ABG49" s="37"/>
      <c r="ABH49" s="37"/>
      <c r="ABI49" s="37"/>
      <c r="ABJ49" s="37"/>
      <c r="ABK49" s="37"/>
      <c r="ABL49" s="37"/>
      <c r="ABM49" s="37"/>
      <c r="ABN49" s="37"/>
      <c r="ABO49" s="37"/>
      <c r="ABP49" s="37"/>
      <c r="ABQ49" s="37"/>
      <c r="ABR49" s="37"/>
      <c r="ABS49" s="37"/>
      <c r="ABT49" s="37"/>
      <c r="ABU49" s="37"/>
      <c r="ABV49" s="37"/>
      <c r="ABW49" s="37"/>
      <c r="ABX49" s="37"/>
      <c r="ABY49" s="37"/>
      <c r="ABZ49" s="37"/>
      <c r="ACA49" s="37"/>
      <c r="ACB49" s="37"/>
      <c r="ACC49" s="37"/>
      <c r="ACD49" s="37"/>
      <c r="ACE49" s="37"/>
      <c r="ACF49" s="37"/>
      <c r="ACG49" s="37"/>
      <c r="ACH49" s="37"/>
      <c r="ACI49" s="37"/>
      <c r="ACJ49" s="37"/>
      <c r="ACK49" s="37"/>
      <c r="ACL49" s="37"/>
      <c r="ACM49" s="37"/>
      <c r="ACN49" s="37"/>
      <c r="ACO49" s="37"/>
      <c r="ACP49" s="37"/>
      <c r="ACQ49" s="37"/>
      <c r="ACR49" s="37"/>
      <c r="ACS49" s="37"/>
      <c r="ACT49" s="37"/>
      <c r="ACU49" s="37"/>
      <c r="ACV49" s="37"/>
      <c r="ACW49" s="37"/>
      <c r="ACX49" s="37"/>
      <c r="ACY49" s="37"/>
      <c r="ACZ49" s="37"/>
      <c r="ADA49" s="37"/>
      <c r="ADB49" s="37"/>
      <c r="ADC49" s="37"/>
      <c r="ADD49" s="37"/>
      <c r="ADE49" s="37"/>
      <c r="ADF49" s="37"/>
      <c r="ADG49" s="37"/>
      <c r="ADH49" s="37"/>
      <c r="ADI49" s="37"/>
      <c r="ADJ49" s="37"/>
      <c r="ADK49" s="37"/>
      <c r="ADL49" s="37"/>
      <c r="ADM49" s="37"/>
      <c r="ADN49" s="37"/>
      <c r="ADO49" s="37"/>
      <c r="ADP49" s="37"/>
      <c r="ADQ49" s="37"/>
      <c r="ADR49" s="37"/>
      <c r="ADS49" s="37"/>
      <c r="ADT49" s="37"/>
      <c r="ADU49" s="37"/>
      <c r="ADV49" s="37"/>
      <c r="ADW49" s="37"/>
      <c r="ADX49" s="37"/>
      <c r="ADY49" s="37"/>
      <c r="ADZ49" s="37"/>
      <c r="AEA49" s="37"/>
      <c r="AEB49" s="37"/>
      <c r="AEC49" s="37"/>
      <c r="AED49" s="37"/>
      <c r="AEE49" s="37"/>
      <c r="AEF49" s="37"/>
      <c r="AEG49" s="37"/>
      <c r="AEH49" s="37"/>
      <c r="AEI49" s="37"/>
      <c r="AEJ49" s="37"/>
      <c r="AEK49" s="37"/>
      <c r="AEL49" s="37"/>
      <c r="AEM49" s="37"/>
      <c r="AEN49" s="37"/>
      <c r="AEO49" s="37"/>
      <c r="AEP49" s="37"/>
      <c r="AEQ49" s="37"/>
      <c r="AER49" s="37"/>
      <c r="AES49" s="37"/>
      <c r="AET49" s="37"/>
      <c r="AEU49" s="37"/>
      <c r="AEV49" s="37"/>
      <c r="AEW49" s="37"/>
      <c r="AEX49" s="37"/>
      <c r="AEY49" s="37"/>
      <c r="AEZ49" s="37"/>
      <c r="AFA49" s="37"/>
      <c r="AFB49" s="37"/>
      <c r="AFC49" s="37"/>
      <c r="AFD49" s="37"/>
      <c r="AFE49" s="37"/>
      <c r="AFF49" s="37"/>
      <c r="AFG49" s="37"/>
      <c r="AFH49" s="37"/>
      <c r="AFI49" s="37"/>
      <c r="AFJ49" s="37"/>
      <c r="AFK49" s="37"/>
      <c r="AFL49" s="37"/>
      <c r="AFM49" s="37"/>
      <c r="AFN49" s="37"/>
      <c r="AFO49" s="37"/>
      <c r="AFP49" s="37"/>
      <c r="AFQ49" s="37"/>
      <c r="AFR49" s="37"/>
      <c r="AFS49" s="37"/>
      <c r="AFT49" s="37"/>
      <c r="AFU49" s="37"/>
      <c r="AFV49" s="37"/>
      <c r="AFW49" s="37"/>
      <c r="AFX49" s="37"/>
      <c r="AFY49" s="37"/>
      <c r="AFZ49" s="37"/>
      <c r="AGA49" s="37"/>
      <c r="AGB49" s="37"/>
      <c r="AGC49" s="37"/>
      <c r="AGD49" s="37"/>
      <c r="AGE49" s="37"/>
      <c r="AGF49" s="37"/>
      <c r="AGG49" s="37"/>
      <c r="AGH49" s="37"/>
      <c r="AGI49" s="37"/>
      <c r="AGJ49" s="37"/>
      <c r="AGK49" s="37"/>
      <c r="AGL49" s="37"/>
      <c r="AGM49" s="37"/>
      <c r="AGN49" s="37"/>
      <c r="AGO49" s="37"/>
      <c r="AGP49" s="37"/>
      <c r="AGQ49" s="37"/>
      <c r="AGR49" s="37"/>
      <c r="AGS49" s="37"/>
      <c r="AGT49" s="37"/>
      <c r="AGU49" s="37"/>
      <c r="AGV49" s="37"/>
      <c r="AGW49" s="37"/>
      <c r="AGX49" s="37"/>
      <c r="AGY49" s="37"/>
      <c r="AGZ49" s="37"/>
      <c r="AHA49" s="37"/>
      <c r="AHB49" s="37"/>
      <c r="AHC49" s="37"/>
      <c r="AHD49" s="37"/>
      <c r="AHE49" s="37"/>
      <c r="AHF49" s="37"/>
      <c r="AHG49" s="37"/>
      <c r="AHH49" s="37"/>
      <c r="AHI49" s="37"/>
      <c r="AHJ49" s="37"/>
      <c r="AHK49" s="37"/>
      <c r="AHL49" s="37"/>
      <c r="AHM49" s="37"/>
      <c r="AHN49" s="37"/>
      <c r="AHO49" s="37"/>
      <c r="AHP49" s="37"/>
      <c r="AHQ49" s="37"/>
      <c r="AHR49" s="37"/>
      <c r="AHS49" s="37"/>
      <c r="AHT49" s="37"/>
      <c r="AHU49" s="37"/>
      <c r="AHV49" s="37"/>
      <c r="AHW49" s="37"/>
      <c r="AHX49" s="37"/>
      <c r="AHY49" s="37"/>
      <c r="AHZ49" s="37"/>
      <c r="AIA49" s="37"/>
      <c r="AIB49" s="37"/>
      <c r="AIC49" s="37"/>
      <c r="AID49" s="37"/>
      <c r="AIE49" s="37"/>
      <c r="AIF49" s="37"/>
      <c r="AIG49" s="37"/>
      <c r="AIH49" s="37"/>
      <c r="AII49" s="37"/>
      <c r="AIJ49" s="37"/>
      <c r="AIK49" s="37"/>
      <c r="AIL49" s="37"/>
      <c r="AIM49" s="37"/>
      <c r="AIN49" s="37"/>
      <c r="AIO49" s="37"/>
      <c r="AIP49" s="37"/>
      <c r="AIQ49" s="37"/>
      <c r="AIR49" s="37"/>
      <c r="AIS49" s="37"/>
      <c r="AIT49" s="37"/>
      <c r="AIU49" s="37"/>
      <c r="AIV49" s="37"/>
      <c r="AIW49" s="37"/>
      <c r="AIX49" s="37"/>
      <c r="AIY49" s="37"/>
      <c r="AIZ49" s="37"/>
      <c r="AJA49" s="37"/>
      <c r="AJB49" s="37"/>
      <c r="AJC49" s="37"/>
      <c r="AJD49" s="37"/>
      <c r="AJE49" s="37"/>
      <c r="AJF49" s="37"/>
      <c r="AJG49" s="37"/>
      <c r="AJH49" s="37"/>
      <c r="AJI49" s="37"/>
      <c r="AJJ49" s="37"/>
      <c r="AJK49" s="37"/>
      <c r="AJL49" s="37"/>
      <c r="AJM49" s="37"/>
      <c r="AJN49" s="37"/>
      <c r="AJO49" s="37"/>
      <c r="AJP49" s="37"/>
      <c r="AJQ49" s="37"/>
      <c r="AJR49" s="37"/>
      <c r="AJS49" s="37"/>
      <c r="AJT49" s="37"/>
      <c r="AJU49" s="37"/>
      <c r="AJV49" s="37"/>
      <c r="AJW49" s="37"/>
      <c r="AJX49" s="37"/>
      <c r="AJY49" s="37"/>
      <c r="AJZ49" s="37"/>
      <c r="AKA49" s="37"/>
      <c r="AKB49" s="37"/>
      <c r="AKC49" s="37"/>
      <c r="AKD49" s="37"/>
      <c r="AKE49" s="37"/>
      <c r="AKF49" s="37"/>
      <c r="AKG49" s="37"/>
      <c r="AKH49" s="37"/>
      <c r="AKI49" s="37"/>
      <c r="AKJ49" s="37"/>
      <c r="AKK49" s="37"/>
      <c r="AKL49" s="37"/>
      <c r="AKM49" s="37"/>
      <c r="AKN49" s="37"/>
      <c r="AKO49" s="37"/>
      <c r="AKP49" s="37"/>
      <c r="AKQ49" s="37"/>
      <c r="AKR49" s="37"/>
      <c r="AKS49" s="37"/>
      <c r="AKT49" s="37"/>
      <c r="AKU49" s="37"/>
      <c r="AKV49" s="37"/>
      <c r="AKW49" s="37"/>
      <c r="AKX49" s="37"/>
      <c r="AKY49" s="37"/>
      <c r="AKZ49" s="37"/>
      <c r="ALA49" s="37"/>
      <c r="ALB49" s="37"/>
      <c r="ALC49" s="37"/>
      <c r="ALD49" s="37"/>
      <c r="ALE49" s="37"/>
      <c r="ALF49" s="37"/>
      <c r="ALG49" s="37"/>
      <c r="ALH49" s="37"/>
      <c r="ALI49" s="37"/>
      <c r="ALJ49" s="37"/>
      <c r="ALK49" s="37"/>
      <c r="ALL49" s="37"/>
      <c r="ALM49" s="37"/>
      <c r="ALN49" s="37"/>
      <c r="ALO49" s="37"/>
      <c r="ALP49" s="37"/>
      <c r="ALQ49" s="37"/>
      <c r="ALR49" s="37"/>
      <c r="ALS49" s="37"/>
      <c r="ALT49" s="37"/>
      <c r="ALU49" s="37"/>
      <c r="ALV49" s="37"/>
      <c r="ALW49" s="37"/>
      <c r="ALX49" s="37"/>
      <c r="ALY49" s="37"/>
      <c r="ALZ49" s="37"/>
      <c r="AMA49" s="37"/>
      <c r="AMB49" s="37"/>
      <c r="AMC49" s="37"/>
    </row>
    <row r="50" spans="1:1017" s="38" customFormat="1" ht="19.5" customHeight="1">
      <c r="A50" s="26" t="s">
        <v>117</v>
      </c>
      <c r="B50" s="25" t="s">
        <v>105</v>
      </c>
      <c r="C50" s="26" t="s">
        <v>46</v>
      </c>
      <c r="D50" s="26" t="s">
        <v>32</v>
      </c>
      <c r="E50" s="26" t="s">
        <v>261</v>
      </c>
      <c r="F50" s="26">
        <v>42</v>
      </c>
      <c r="G50" s="26" t="s">
        <v>33</v>
      </c>
      <c r="H50" s="26">
        <v>58</v>
      </c>
      <c r="I50" s="36">
        <v>43</v>
      </c>
      <c r="J50" s="36">
        <v>25</v>
      </c>
      <c r="K50" s="36">
        <v>18</v>
      </c>
      <c r="L50" s="36">
        <v>30</v>
      </c>
      <c r="M50" s="36">
        <v>28</v>
      </c>
      <c r="N50" s="36">
        <v>30</v>
      </c>
      <c r="O50" s="36">
        <v>69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  <c r="OU50" s="37"/>
      <c r="OV50" s="37"/>
      <c r="OW50" s="37"/>
      <c r="OX50" s="37"/>
      <c r="OY50" s="37"/>
      <c r="OZ50" s="37"/>
      <c r="PA50" s="37"/>
      <c r="PB50" s="37"/>
      <c r="PC50" s="37"/>
      <c r="PD50" s="37"/>
      <c r="PE50" s="37"/>
      <c r="PF50" s="37"/>
      <c r="PG50" s="37"/>
      <c r="PH50" s="37"/>
      <c r="PI50" s="37"/>
      <c r="PJ50" s="37"/>
      <c r="PK50" s="37"/>
      <c r="PL50" s="37"/>
      <c r="PM50" s="37"/>
      <c r="PN50" s="37"/>
      <c r="PO50" s="37"/>
      <c r="PP50" s="37"/>
      <c r="PQ50" s="37"/>
      <c r="PR50" s="37"/>
      <c r="PS50" s="37"/>
      <c r="PT50" s="37"/>
      <c r="PU50" s="37"/>
      <c r="PV50" s="37"/>
      <c r="PW50" s="37"/>
      <c r="PX50" s="37"/>
      <c r="PY50" s="37"/>
      <c r="PZ50" s="37"/>
      <c r="QA50" s="37"/>
      <c r="QB50" s="37"/>
      <c r="QC50" s="37"/>
      <c r="QD50" s="37"/>
      <c r="QE50" s="37"/>
      <c r="QF50" s="37"/>
      <c r="QG50" s="37"/>
      <c r="QH50" s="37"/>
      <c r="QI50" s="37"/>
      <c r="QJ50" s="37"/>
      <c r="QK50" s="37"/>
      <c r="QL50" s="37"/>
      <c r="QM50" s="37"/>
      <c r="QN50" s="37"/>
      <c r="QO50" s="37"/>
      <c r="QP50" s="37"/>
      <c r="QQ50" s="37"/>
      <c r="QR50" s="37"/>
      <c r="QS50" s="37"/>
      <c r="QT50" s="37"/>
      <c r="QU50" s="37"/>
      <c r="QV50" s="37"/>
      <c r="QW50" s="37"/>
      <c r="QX50" s="37"/>
      <c r="QY50" s="37"/>
      <c r="QZ50" s="37"/>
      <c r="RA50" s="37"/>
      <c r="RB50" s="37"/>
      <c r="RC50" s="37"/>
      <c r="RD50" s="37"/>
      <c r="RE50" s="37"/>
      <c r="RF50" s="37"/>
      <c r="RG50" s="37"/>
      <c r="RH50" s="37"/>
      <c r="RI50" s="37"/>
      <c r="RJ50" s="37"/>
      <c r="RK50" s="37"/>
      <c r="RL50" s="37"/>
      <c r="RM50" s="37"/>
      <c r="RN50" s="37"/>
      <c r="RO50" s="37"/>
      <c r="RP50" s="37"/>
      <c r="RQ50" s="37"/>
      <c r="RR50" s="37"/>
      <c r="RS50" s="37"/>
      <c r="RT50" s="37"/>
      <c r="RU50" s="37"/>
      <c r="RV50" s="37"/>
      <c r="RW50" s="37"/>
      <c r="RX50" s="37"/>
      <c r="RY50" s="37"/>
      <c r="RZ50" s="37"/>
      <c r="SA50" s="37"/>
      <c r="SB50" s="37"/>
      <c r="SC50" s="37"/>
      <c r="SD50" s="37"/>
      <c r="SE50" s="37"/>
      <c r="SF50" s="37"/>
      <c r="SG50" s="37"/>
      <c r="SH50" s="37"/>
      <c r="SI50" s="37"/>
      <c r="SJ50" s="37"/>
      <c r="SK50" s="37"/>
      <c r="SL50" s="37"/>
      <c r="SM50" s="37"/>
      <c r="SN50" s="37"/>
      <c r="SO50" s="37"/>
      <c r="SP50" s="37"/>
      <c r="SQ50" s="37"/>
      <c r="SR50" s="37"/>
      <c r="SS50" s="37"/>
      <c r="ST50" s="37"/>
      <c r="SU50" s="37"/>
      <c r="SV50" s="37"/>
      <c r="SW50" s="37"/>
      <c r="SX50" s="37"/>
      <c r="SY50" s="37"/>
      <c r="SZ50" s="37"/>
      <c r="TA50" s="37"/>
      <c r="TB50" s="37"/>
      <c r="TC50" s="37"/>
      <c r="TD50" s="37"/>
      <c r="TE50" s="37"/>
      <c r="TF50" s="37"/>
      <c r="TG50" s="37"/>
      <c r="TH50" s="37"/>
      <c r="TI50" s="37"/>
      <c r="TJ50" s="37"/>
      <c r="TK50" s="37"/>
      <c r="TL50" s="37"/>
      <c r="TM50" s="37"/>
      <c r="TN50" s="37"/>
      <c r="TO50" s="37"/>
      <c r="TP50" s="37"/>
      <c r="TQ50" s="37"/>
      <c r="TR50" s="37"/>
      <c r="TS50" s="37"/>
      <c r="TT50" s="37"/>
      <c r="TU50" s="37"/>
      <c r="TV50" s="37"/>
      <c r="TW50" s="37"/>
      <c r="TX50" s="37"/>
      <c r="TY50" s="37"/>
      <c r="TZ50" s="37"/>
      <c r="UA50" s="37"/>
      <c r="UB50" s="37"/>
      <c r="UC50" s="37"/>
      <c r="UD50" s="37"/>
      <c r="UE50" s="37"/>
      <c r="UF50" s="37"/>
      <c r="UG50" s="37"/>
      <c r="UH50" s="37"/>
      <c r="UI50" s="37"/>
      <c r="UJ50" s="37"/>
      <c r="UK50" s="37"/>
      <c r="UL50" s="37"/>
      <c r="UM50" s="37"/>
      <c r="UN50" s="37"/>
      <c r="UO50" s="37"/>
      <c r="UP50" s="37"/>
      <c r="UQ50" s="37"/>
      <c r="UR50" s="37"/>
      <c r="US50" s="37"/>
      <c r="UT50" s="37"/>
      <c r="UU50" s="37"/>
      <c r="UV50" s="37"/>
      <c r="UW50" s="37"/>
      <c r="UX50" s="37"/>
      <c r="UY50" s="37"/>
      <c r="UZ50" s="37"/>
      <c r="VA50" s="37"/>
      <c r="VB50" s="37"/>
      <c r="VC50" s="37"/>
      <c r="VD50" s="37"/>
      <c r="VE50" s="37"/>
      <c r="VF50" s="37"/>
      <c r="VG50" s="37"/>
      <c r="VH50" s="37"/>
      <c r="VI50" s="37"/>
      <c r="VJ50" s="37"/>
      <c r="VK50" s="37"/>
      <c r="VL50" s="37"/>
      <c r="VM50" s="37"/>
      <c r="VN50" s="37"/>
      <c r="VO50" s="37"/>
      <c r="VP50" s="37"/>
      <c r="VQ50" s="37"/>
      <c r="VR50" s="37"/>
      <c r="VS50" s="37"/>
      <c r="VT50" s="37"/>
      <c r="VU50" s="37"/>
      <c r="VV50" s="37"/>
      <c r="VW50" s="37"/>
      <c r="VX50" s="37"/>
      <c r="VY50" s="37"/>
      <c r="VZ50" s="37"/>
      <c r="WA50" s="37"/>
      <c r="WB50" s="37"/>
      <c r="WC50" s="37"/>
      <c r="WD50" s="37"/>
      <c r="WE50" s="37"/>
      <c r="WF50" s="37"/>
      <c r="WG50" s="37"/>
      <c r="WH50" s="37"/>
      <c r="WI50" s="37"/>
      <c r="WJ50" s="37"/>
      <c r="WK50" s="37"/>
      <c r="WL50" s="37"/>
      <c r="WM50" s="37"/>
      <c r="WN50" s="37"/>
      <c r="WO50" s="37"/>
      <c r="WP50" s="37"/>
      <c r="WQ50" s="37"/>
      <c r="WR50" s="37"/>
      <c r="WS50" s="37"/>
      <c r="WT50" s="37"/>
      <c r="WU50" s="37"/>
      <c r="WV50" s="37"/>
      <c r="WW50" s="37"/>
      <c r="WX50" s="37"/>
      <c r="WY50" s="37"/>
      <c r="WZ50" s="37"/>
      <c r="XA50" s="37"/>
      <c r="XB50" s="37"/>
      <c r="XC50" s="37"/>
      <c r="XD50" s="37"/>
      <c r="XE50" s="37"/>
      <c r="XF50" s="37"/>
      <c r="XG50" s="37"/>
      <c r="XH50" s="37"/>
      <c r="XI50" s="37"/>
      <c r="XJ50" s="37"/>
      <c r="XK50" s="37"/>
      <c r="XL50" s="37"/>
      <c r="XM50" s="37"/>
      <c r="XN50" s="37"/>
      <c r="XO50" s="37"/>
      <c r="XP50" s="37"/>
      <c r="XQ50" s="37"/>
      <c r="XR50" s="37"/>
      <c r="XS50" s="37"/>
      <c r="XT50" s="37"/>
      <c r="XU50" s="37"/>
      <c r="XV50" s="37"/>
      <c r="XW50" s="37"/>
      <c r="XX50" s="37"/>
      <c r="XY50" s="37"/>
      <c r="XZ50" s="37"/>
      <c r="YA50" s="37"/>
      <c r="YB50" s="37"/>
      <c r="YC50" s="37"/>
      <c r="YD50" s="37"/>
      <c r="YE50" s="37"/>
      <c r="YF50" s="37"/>
      <c r="YG50" s="37"/>
      <c r="YH50" s="37"/>
      <c r="YI50" s="37"/>
      <c r="YJ50" s="37"/>
      <c r="YK50" s="37"/>
      <c r="YL50" s="37"/>
      <c r="YM50" s="37"/>
      <c r="YN50" s="37"/>
      <c r="YO50" s="37"/>
      <c r="YP50" s="37"/>
      <c r="YQ50" s="37"/>
      <c r="YR50" s="37"/>
      <c r="YS50" s="37"/>
      <c r="YT50" s="37"/>
      <c r="YU50" s="37"/>
      <c r="YV50" s="37"/>
      <c r="YW50" s="37"/>
      <c r="YX50" s="37"/>
      <c r="YY50" s="37"/>
      <c r="YZ50" s="37"/>
      <c r="ZA50" s="37"/>
      <c r="ZB50" s="37"/>
      <c r="ZC50" s="37"/>
      <c r="ZD50" s="37"/>
      <c r="ZE50" s="37"/>
      <c r="ZF50" s="37"/>
      <c r="ZG50" s="37"/>
      <c r="ZH50" s="37"/>
      <c r="ZI50" s="37"/>
      <c r="ZJ50" s="37"/>
      <c r="ZK50" s="37"/>
      <c r="ZL50" s="37"/>
      <c r="ZM50" s="37"/>
      <c r="ZN50" s="37"/>
      <c r="ZO50" s="37"/>
      <c r="ZP50" s="37"/>
      <c r="ZQ50" s="37"/>
      <c r="ZR50" s="37"/>
      <c r="ZS50" s="37"/>
      <c r="ZT50" s="37"/>
      <c r="ZU50" s="37"/>
      <c r="ZV50" s="37"/>
      <c r="ZW50" s="37"/>
      <c r="ZX50" s="37"/>
      <c r="ZY50" s="37"/>
      <c r="ZZ50" s="37"/>
      <c r="AAA50" s="37"/>
      <c r="AAB50" s="37"/>
      <c r="AAC50" s="37"/>
      <c r="AAD50" s="37"/>
      <c r="AAE50" s="37"/>
      <c r="AAF50" s="37"/>
      <c r="AAG50" s="37"/>
      <c r="AAH50" s="37"/>
      <c r="AAI50" s="37"/>
      <c r="AAJ50" s="37"/>
      <c r="AAK50" s="37"/>
      <c r="AAL50" s="37"/>
      <c r="AAM50" s="37"/>
      <c r="AAN50" s="37"/>
      <c r="AAO50" s="37"/>
      <c r="AAP50" s="37"/>
      <c r="AAQ50" s="37"/>
      <c r="AAR50" s="37"/>
      <c r="AAS50" s="37"/>
      <c r="AAT50" s="37"/>
      <c r="AAU50" s="37"/>
      <c r="AAV50" s="37"/>
      <c r="AAW50" s="37"/>
      <c r="AAX50" s="37"/>
      <c r="AAY50" s="37"/>
      <c r="AAZ50" s="37"/>
      <c r="ABA50" s="37"/>
      <c r="ABB50" s="37"/>
      <c r="ABC50" s="37"/>
      <c r="ABD50" s="37"/>
      <c r="ABE50" s="37"/>
      <c r="ABF50" s="37"/>
      <c r="ABG50" s="37"/>
      <c r="ABH50" s="37"/>
      <c r="ABI50" s="37"/>
      <c r="ABJ50" s="37"/>
      <c r="ABK50" s="37"/>
      <c r="ABL50" s="37"/>
      <c r="ABM50" s="37"/>
      <c r="ABN50" s="37"/>
      <c r="ABO50" s="37"/>
      <c r="ABP50" s="37"/>
      <c r="ABQ50" s="37"/>
      <c r="ABR50" s="37"/>
      <c r="ABS50" s="37"/>
      <c r="ABT50" s="37"/>
      <c r="ABU50" s="37"/>
      <c r="ABV50" s="37"/>
      <c r="ABW50" s="37"/>
      <c r="ABX50" s="37"/>
      <c r="ABY50" s="37"/>
      <c r="ABZ50" s="37"/>
      <c r="ACA50" s="37"/>
      <c r="ACB50" s="37"/>
      <c r="ACC50" s="37"/>
      <c r="ACD50" s="37"/>
      <c r="ACE50" s="37"/>
      <c r="ACF50" s="37"/>
      <c r="ACG50" s="37"/>
      <c r="ACH50" s="37"/>
      <c r="ACI50" s="37"/>
      <c r="ACJ50" s="37"/>
      <c r="ACK50" s="37"/>
      <c r="ACL50" s="37"/>
      <c r="ACM50" s="37"/>
      <c r="ACN50" s="37"/>
      <c r="ACO50" s="37"/>
      <c r="ACP50" s="37"/>
      <c r="ACQ50" s="37"/>
      <c r="ACR50" s="37"/>
      <c r="ACS50" s="37"/>
      <c r="ACT50" s="37"/>
      <c r="ACU50" s="37"/>
      <c r="ACV50" s="37"/>
      <c r="ACW50" s="37"/>
      <c r="ACX50" s="37"/>
      <c r="ACY50" s="37"/>
      <c r="ACZ50" s="37"/>
      <c r="ADA50" s="37"/>
      <c r="ADB50" s="37"/>
      <c r="ADC50" s="37"/>
      <c r="ADD50" s="37"/>
      <c r="ADE50" s="37"/>
      <c r="ADF50" s="37"/>
      <c r="ADG50" s="37"/>
      <c r="ADH50" s="37"/>
      <c r="ADI50" s="37"/>
      <c r="ADJ50" s="37"/>
      <c r="ADK50" s="37"/>
      <c r="ADL50" s="37"/>
      <c r="ADM50" s="37"/>
      <c r="ADN50" s="37"/>
      <c r="ADO50" s="37"/>
      <c r="ADP50" s="37"/>
      <c r="ADQ50" s="37"/>
      <c r="ADR50" s="37"/>
      <c r="ADS50" s="37"/>
      <c r="ADT50" s="37"/>
      <c r="ADU50" s="37"/>
      <c r="ADV50" s="37"/>
      <c r="ADW50" s="37"/>
      <c r="ADX50" s="37"/>
      <c r="ADY50" s="37"/>
      <c r="ADZ50" s="37"/>
      <c r="AEA50" s="37"/>
      <c r="AEB50" s="37"/>
      <c r="AEC50" s="37"/>
      <c r="AED50" s="37"/>
      <c r="AEE50" s="37"/>
      <c r="AEF50" s="37"/>
      <c r="AEG50" s="37"/>
      <c r="AEH50" s="37"/>
      <c r="AEI50" s="37"/>
      <c r="AEJ50" s="37"/>
      <c r="AEK50" s="37"/>
      <c r="AEL50" s="37"/>
      <c r="AEM50" s="37"/>
      <c r="AEN50" s="37"/>
      <c r="AEO50" s="37"/>
      <c r="AEP50" s="37"/>
      <c r="AEQ50" s="37"/>
      <c r="AER50" s="37"/>
      <c r="AES50" s="37"/>
      <c r="AET50" s="37"/>
      <c r="AEU50" s="37"/>
      <c r="AEV50" s="37"/>
      <c r="AEW50" s="37"/>
      <c r="AEX50" s="37"/>
      <c r="AEY50" s="37"/>
      <c r="AEZ50" s="37"/>
      <c r="AFA50" s="37"/>
      <c r="AFB50" s="37"/>
      <c r="AFC50" s="37"/>
      <c r="AFD50" s="37"/>
      <c r="AFE50" s="37"/>
      <c r="AFF50" s="37"/>
      <c r="AFG50" s="37"/>
      <c r="AFH50" s="37"/>
      <c r="AFI50" s="37"/>
      <c r="AFJ50" s="37"/>
      <c r="AFK50" s="37"/>
      <c r="AFL50" s="37"/>
      <c r="AFM50" s="37"/>
      <c r="AFN50" s="37"/>
      <c r="AFO50" s="37"/>
      <c r="AFP50" s="37"/>
      <c r="AFQ50" s="37"/>
      <c r="AFR50" s="37"/>
      <c r="AFS50" s="37"/>
      <c r="AFT50" s="37"/>
      <c r="AFU50" s="37"/>
      <c r="AFV50" s="37"/>
      <c r="AFW50" s="37"/>
      <c r="AFX50" s="37"/>
      <c r="AFY50" s="37"/>
      <c r="AFZ50" s="37"/>
      <c r="AGA50" s="37"/>
      <c r="AGB50" s="37"/>
      <c r="AGC50" s="37"/>
      <c r="AGD50" s="37"/>
      <c r="AGE50" s="37"/>
      <c r="AGF50" s="37"/>
      <c r="AGG50" s="37"/>
      <c r="AGH50" s="37"/>
      <c r="AGI50" s="37"/>
      <c r="AGJ50" s="37"/>
      <c r="AGK50" s="37"/>
      <c r="AGL50" s="37"/>
      <c r="AGM50" s="37"/>
      <c r="AGN50" s="37"/>
      <c r="AGO50" s="37"/>
      <c r="AGP50" s="37"/>
      <c r="AGQ50" s="37"/>
      <c r="AGR50" s="37"/>
      <c r="AGS50" s="37"/>
      <c r="AGT50" s="37"/>
      <c r="AGU50" s="37"/>
      <c r="AGV50" s="37"/>
      <c r="AGW50" s="37"/>
      <c r="AGX50" s="37"/>
      <c r="AGY50" s="37"/>
      <c r="AGZ50" s="37"/>
      <c r="AHA50" s="37"/>
      <c r="AHB50" s="37"/>
      <c r="AHC50" s="37"/>
      <c r="AHD50" s="37"/>
      <c r="AHE50" s="37"/>
      <c r="AHF50" s="37"/>
      <c r="AHG50" s="37"/>
      <c r="AHH50" s="37"/>
      <c r="AHI50" s="37"/>
      <c r="AHJ50" s="37"/>
      <c r="AHK50" s="37"/>
      <c r="AHL50" s="37"/>
      <c r="AHM50" s="37"/>
      <c r="AHN50" s="37"/>
      <c r="AHO50" s="37"/>
      <c r="AHP50" s="37"/>
      <c r="AHQ50" s="37"/>
      <c r="AHR50" s="37"/>
      <c r="AHS50" s="37"/>
      <c r="AHT50" s="37"/>
      <c r="AHU50" s="37"/>
      <c r="AHV50" s="37"/>
      <c r="AHW50" s="37"/>
      <c r="AHX50" s="37"/>
      <c r="AHY50" s="37"/>
      <c r="AHZ50" s="37"/>
      <c r="AIA50" s="37"/>
      <c r="AIB50" s="37"/>
      <c r="AIC50" s="37"/>
      <c r="AID50" s="37"/>
      <c r="AIE50" s="37"/>
      <c r="AIF50" s="37"/>
      <c r="AIG50" s="37"/>
      <c r="AIH50" s="37"/>
      <c r="AII50" s="37"/>
      <c r="AIJ50" s="37"/>
      <c r="AIK50" s="37"/>
      <c r="AIL50" s="37"/>
      <c r="AIM50" s="37"/>
      <c r="AIN50" s="37"/>
      <c r="AIO50" s="37"/>
      <c r="AIP50" s="37"/>
      <c r="AIQ50" s="37"/>
      <c r="AIR50" s="37"/>
      <c r="AIS50" s="37"/>
      <c r="AIT50" s="37"/>
      <c r="AIU50" s="37"/>
      <c r="AIV50" s="37"/>
      <c r="AIW50" s="37"/>
      <c r="AIX50" s="37"/>
      <c r="AIY50" s="37"/>
      <c r="AIZ50" s="37"/>
      <c r="AJA50" s="37"/>
      <c r="AJB50" s="37"/>
      <c r="AJC50" s="37"/>
      <c r="AJD50" s="37"/>
      <c r="AJE50" s="37"/>
      <c r="AJF50" s="37"/>
      <c r="AJG50" s="37"/>
      <c r="AJH50" s="37"/>
      <c r="AJI50" s="37"/>
      <c r="AJJ50" s="37"/>
      <c r="AJK50" s="37"/>
      <c r="AJL50" s="37"/>
      <c r="AJM50" s="37"/>
      <c r="AJN50" s="37"/>
      <c r="AJO50" s="37"/>
      <c r="AJP50" s="37"/>
      <c r="AJQ50" s="37"/>
      <c r="AJR50" s="37"/>
      <c r="AJS50" s="37"/>
      <c r="AJT50" s="37"/>
      <c r="AJU50" s="37"/>
      <c r="AJV50" s="37"/>
      <c r="AJW50" s="37"/>
      <c r="AJX50" s="37"/>
      <c r="AJY50" s="37"/>
      <c r="AJZ50" s="37"/>
      <c r="AKA50" s="37"/>
      <c r="AKB50" s="37"/>
      <c r="AKC50" s="37"/>
      <c r="AKD50" s="37"/>
      <c r="AKE50" s="37"/>
      <c r="AKF50" s="37"/>
      <c r="AKG50" s="37"/>
      <c r="AKH50" s="37"/>
      <c r="AKI50" s="37"/>
      <c r="AKJ50" s="37"/>
      <c r="AKK50" s="37"/>
      <c r="AKL50" s="37"/>
      <c r="AKM50" s="37"/>
      <c r="AKN50" s="37"/>
      <c r="AKO50" s="37"/>
      <c r="AKP50" s="37"/>
      <c r="AKQ50" s="37"/>
      <c r="AKR50" s="37"/>
      <c r="AKS50" s="37"/>
      <c r="AKT50" s="37"/>
      <c r="AKU50" s="37"/>
      <c r="AKV50" s="37"/>
      <c r="AKW50" s="37"/>
      <c r="AKX50" s="37"/>
      <c r="AKY50" s="37"/>
      <c r="AKZ50" s="37"/>
      <c r="ALA50" s="37"/>
      <c r="ALB50" s="37"/>
      <c r="ALC50" s="37"/>
      <c r="ALD50" s="37"/>
      <c r="ALE50" s="37"/>
      <c r="ALF50" s="37"/>
      <c r="ALG50" s="37"/>
      <c r="ALH50" s="37"/>
      <c r="ALI50" s="37"/>
      <c r="ALJ50" s="37"/>
      <c r="ALK50" s="37"/>
      <c r="ALL50" s="37"/>
      <c r="ALM50" s="37"/>
      <c r="ALN50" s="37"/>
      <c r="ALO50" s="37"/>
      <c r="ALP50" s="37"/>
      <c r="ALQ50" s="37"/>
      <c r="ALR50" s="37"/>
      <c r="ALS50" s="37"/>
      <c r="ALT50" s="37"/>
      <c r="ALU50" s="37"/>
      <c r="ALV50" s="37"/>
      <c r="ALW50" s="37"/>
      <c r="ALX50" s="37"/>
      <c r="ALY50" s="37"/>
      <c r="ALZ50" s="37"/>
      <c r="AMA50" s="37"/>
      <c r="AMB50" s="37"/>
      <c r="AMC50" s="37"/>
    </row>
    <row r="51" spans="1:1017" s="38" customFormat="1" ht="19.5" customHeight="1">
      <c r="A51" s="72"/>
      <c r="B51" s="73"/>
      <c r="C51" s="72"/>
      <c r="D51" s="72"/>
      <c r="E51" s="72"/>
      <c r="F51" s="72"/>
      <c r="G51" s="35">
        <v>41</v>
      </c>
      <c r="H51" s="35">
        <v>96</v>
      </c>
      <c r="I51" s="35">
        <v>109</v>
      </c>
      <c r="J51" s="35">
        <v>69</v>
      </c>
      <c r="K51" s="35">
        <v>35</v>
      </c>
      <c r="L51" s="35">
        <v>27</v>
      </c>
      <c r="M51" s="35">
        <v>20</v>
      </c>
      <c r="N51" s="35">
        <v>96</v>
      </c>
      <c r="O51" s="74" t="s">
        <v>98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  <c r="OU51" s="37"/>
      <c r="OV51" s="37"/>
      <c r="OW51" s="37"/>
      <c r="OX51" s="37"/>
      <c r="OY51" s="37"/>
      <c r="OZ51" s="37"/>
      <c r="PA51" s="37"/>
      <c r="PB51" s="37"/>
      <c r="PC51" s="37"/>
      <c r="PD51" s="37"/>
      <c r="PE51" s="37"/>
      <c r="PF51" s="37"/>
      <c r="PG51" s="37"/>
      <c r="PH51" s="37"/>
      <c r="PI51" s="37"/>
      <c r="PJ51" s="37"/>
      <c r="PK51" s="37"/>
      <c r="PL51" s="37"/>
      <c r="PM51" s="37"/>
      <c r="PN51" s="37"/>
      <c r="PO51" s="37"/>
      <c r="PP51" s="37"/>
      <c r="PQ51" s="37"/>
      <c r="PR51" s="37"/>
      <c r="PS51" s="37"/>
      <c r="PT51" s="37"/>
      <c r="PU51" s="37"/>
      <c r="PV51" s="37"/>
      <c r="PW51" s="37"/>
      <c r="PX51" s="37"/>
      <c r="PY51" s="37"/>
      <c r="PZ51" s="37"/>
      <c r="QA51" s="37"/>
      <c r="QB51" s="37"/>
      <c r="QC51" s="37"/>
      <c r="QD51" s="37"/>
      <c r="QE51" s="37"/>
      <c r="QF51" s="37"/>
      <c r="QG51" s="37"/>
      <c r="QH51" s="37"/>
      <c r="QI51" s="37"/>
      <c r="QJ51" s="37"/>
      <c r="QK51" s="37"/>
      <c r="QL51" s="37"/>
      <c r="QM51" s="37"/>
      <c r="QN51" s="37"/>
      <c r="QO51" s="37"/>
      <c r="QP51" s="37"/>
      <c r="QQ51" s="37"/>
      <c r="QR51" s="37"/>
      <c r="QS51" s="37"/>
      <c r="QT51" s="37"/>
      <c r="QU51" s="37"/>
      <c r="QV51" s="37"/>
      <c r="QW51" s="37"/>
      <c r="QX51" s="37"/>
      <c r="QY51" s="37"/>
      <c r="QZ51" s="37"/>
      <c r="RA51" s="37"/>
      <c r="RB51" s="37"/>
      <c r="RC51" s="37"/>
      <c r="RD51" s="37"/>
      <c r="RE51" s="37"/>
      <c r="RF51" s="37"/>
      <c r="RG51" s="37"/>
      <c r="RH51" s="37"/>
      <c r="RI51" s="37"/>
      <c r="RJ51" s="37"/>
      <c r="RK51" s="37"/>
      <c r="RL51" s="37"/>
      <c r="RM51" s="37"/>
      <c r="RN51" s="37"/>
      <c r="RO51" s="37"/>
      <c r="RP51" s="37"/>
      <c r="RQ51" s="37"/>
      <c r="RR51" s="37"/>
      <c r="RS51" s="37"/>
      <c r="RT51" s="37"/>
      <c r="RU51" s="37"/>
      <c r="RV51" s="37"/>
      <c r="RW51" s="37"/>
      <c r="RX51" s="37"/>
      <c r="RY51" s="37"/>
      <c r="RZ51" s="37"/>
      <c r="SA51" s="37"/>
      <c r="SB51" s="37"/>
      <c r="SC51" s="37"/>
      <c r="SD51" s="37"/>
      <c r="SE51" s="37"/>
      <c r="SF51" s="37"/>
      <c r="SG51" s="37"/>
      <c r="SH51" s="37"/>
      <c r="SI51" s="37"/>
      <c r="SJ51" s="37"/>
      <c r="SK51" s="37"/>
      <c r="SL51" s="37"/>
      <c r="SM51" s="37"/>
      <c r="SN51" s="37"/>
      <c r="SO51" s="37"/>
      <c r="SP51" s="37"/>
      <c r="SQ51" s="37"/>
      <c r="SR51" s="37"/>
      <c r="SS51" s="37"/>
      <c r="ST51" s="37"/>
      <c r="SU51" s="37"/>
      <c r="SV51" s="37"/>
      <c r="SW51" s="37"/>
      <c r="SX51" s="37"/>
      <c r="SY51" s="37"/>
      <c r="SZ51" s="37"/>
      <c r="TA51" s="37"/>
      <c r="TB51" s="37"/>
      <c r="TC51" s="37"/>
      <c r="TD51" s="37"/>
      <c r="TE51" s="37"/>
      <c r="TF51" s="37"/>
      <c r="TG51" s="37"/>
      <c r="TH51" s="37"/>
      <c r="TI51" s="37"/>
      <c r="TJ51" s="37"/>
      <c r="TK51" s="37"/>
      <c r="TL51" s="37"/>
      <c r="TM51" s="37"/>
      <c r="TN51" s="37"/>
      <c r="TO51" s="37"/>
      <c r="TP51" s="37"/>
      <c r="TQ51" s="37"/>
      <c r="TR51" s="37"/>
      <c r="TS51" s="37"/>
      <c r="TT51" s="37"/>
      <c r="TU51" s="37"/>
      <c r="TV51" s="37"/>
      <c r="TW51" s="37"/>
      <c r="TX51" s="37"/>
      <c r="TY51" s="37"/>
      <c r="TZ51" s="37"/>
      <c r="UA51" s="37"/>
      <c r="UB51" s="37"/>
      <c r="UC51" s="37"/>
      <c r="UD51" s="37"/>
      <c r="UE51" s="37"/>
      <c r="UF51" s="37"/>
      <c r="UG51" s="37"/>
      <c r="UH51" s="37"/>
      <c r="UI51" s="37"/>
      <c r="UJ51" s="37"/>
      <c r="UK51" s="37"/>
      <c r="UL51" s="37"/>
      <c r="UM51" s="37"/>
      <c r="UN51" s="37"/>
      <c r="UO51" s="37"/>
      <c r="UP51" s="37"/>
      <c r="UQ51" s="37"/>
      <c r="UR51" s="37"/>
      <c r="US51" s="37"/>
      <c r="UT51" s="37"/>
      <c r="UU51" s="37"/>
      <c r="UV51" s="37"/>
      <c r="UW51" s="37"/>
      <c r="UX51" s="37"/>
      <c r="UY51" s="37"/>
      <c r="UZ51" s="37"/>
      <c r="VA51" s="37"/>
      <c r="VB51" s="37"/>
      <c r="VC51" s="37"/>
      <c r="VD51" s="37"/>
      <c r="VE51" s="37"/>
      <c r="VF51" s="37"/>
      <c r="VG51" s="37"/>
      <c r="VH51" s="37"/>
      <c r="VI51" s="37"/>
      <c r="VJ51" s="37"/>
      <c r="VK51" s="37"/>
      <c r="VL51" s="37"/>
      <c r="VM51" s="37"/>
      <c r="VN51" s="37"/>
      <c r="VO51" s="37"/>
      <c r="VP51" s="37"/>
      <c r="VQ51" s="37"/>
      <c r="VR51" s="37"/>
      <c r="VS51" s="37"/>
      <c r="VT51" s="37"/>
      <c r="VU51" s="37"/>
      <c r="VV51" s="37"/>
      <c r="VW51" s="37"/>
      <c r="VX51" s="37"/>
      <c r="VY51" s="37"/>
      <c r="VZ51" s="37"/>
      <c r="WA51" s="37"/>
      <c r="WB51" s="37"/>
      <c r="WC51" s="37"/>
      <c r="WD51" s="37"/>
      <c r="WE51" s="37"/>
      <c r="WF51" s="37"/>
      <c r="WG51" s="37"/>
      <c r="WH51" s="37"/>
      <c r="WI51" s="37"/>
      <c r="WJ51" s="37"/>
      <c r="WK51" s="37"/>
      <c r="WL51" s="37"/>
      <c r="WM51" s="37"/>
      <c r="WN51" s="37"/>
      <c r="WO51" s="37"/>
      <c r="WP51" s="37"/>
      <c r="WQ51" s="37"/>
      <c r="WR51" s="37"/>
      <c r="WS51" s="37"/>
      <c r="WT51" s="37"/>
      <c r="WU51" s="37"/>
      <c r="WV51" s="37"/>
      <c r="WW51" s="37"/>
      <c r="WX51" s="37"/>
      <c r="WY51" s="37"/>
      <c r="WZ51" s="37"/>
      <c r="XA51" s="37"/>
      <c r="XB51" s="37"/>
      <c r="XC51" s="37"/>
      <c r="XD51" s="37"/>
      <c r="XE51" s="37"/>
      <c r="XF51" s="37"/>
      <c r="XG51" s="37"/>
      <c r="XH51" s="37"/>
      <c r="XI51" s="37"/>
      <c r="XJ51" s="37"/>
      <c r="XK51" s="37"/>
      <c r="XL51" s="37"/>
      <c r="XM51" s="37"/>
      <c r="XN51" s="37"/>
      <c r="XO51" s="37"/>
      <c r="XP51" s="37"/>
      <c r="XQ51" s="37"/>
      <c r="XR51" s="37"/>
      <c r="XS51" s="37"/>
      <c r="XT51" s="37"/>
      <c r="XU51" s="37"/>
      <c r="XV51" s="37"/>
      <c r="XW51" s="37"/>
      <c r="XX51" s="37"/>
      <c r="XY51" s="37"/>
      <c r="XZ51" s="37"/>
      <c r="YA51" s="37"/>
      <c r="YB51" s="37"/>
      <c r="YC51" s="37"/>
      <c r="YD51" s="37"/>
      <c r="YE51" s="37"/>
      <c r="YF51" s="37"/>
      <c r="YG51" s="37"/>
      <c r="YH51" s="37"/>
      <c r="YI51" s="37"/>
      <c r="YJ51" s="37"/>
      <c r="YK51" s="37"/>
      <c r="YL51" s="37"/>
      <c r="YM51" s="37"/>
      <c r="YN51" s="37"/>
      <c r="YO51" s="37"/>
      <c r="YP51" s="37"/>
      <c r="YQ51" s="37"/>
      <c r="YR51" s="37"/>
      <c r="YS51" s="37"/>
      <c r="YT51" s="37"/>
      <c r="YU51" s="37"/>
      <c r="YV51" s="37"/>
      <c r="YW51" s="37"/>
      <c r="YX51" s="37"/>
      <c r="YY51" s="37"/>
      <c r="YZ51" s="37"/>
      <c r="ZA51" s="37"/>
      <c r="ZB51" s="37"/>
      <c r="ZC51" s="37"/>
      <c r="ZD51" s="37"/>
      <c r="ZE51" s="37"/>
      <c r="ZF51" s="37"/>
      <c r="ZG51" s="37"/>
      <c r="ZH51" s="37"/>
      <c r="ZI51" s="37"/>
      <c r="ZJ51" s="37"/>
      <c r="ZK51" s="37"/>
      <c r="ZL51" s="37"/>
      <c r="ZM51" s="37"/>
      <c r="ZN51" s="37"/>
      <c r="ZO51" s="37"/>
      <c r="ZP51" s="37"/>
      <c r="ZQ51" s="37"/>
      <c r="ZR51" s="37"/>
      <c r="ZS51" s="37"/>
      <c r="ZT51" s="37"/>
      <c r="ZU51" s="37"/>
      <c r="ZV51" s="37"/>
      <c r="ZW51" s="37"/>
      <c r="ZX51" s="37"/>
      <c r="ZY51" s="37"/>
      <c r="ZZ51" s="37"/>
      <c r="AAA51" s="37"/>
      <c r="AAB51" s="37"/>
      <c r="AAC51" s="37"/>
      <c r="AAD51" s="37"/>
      <c r="AAE51" s="37"/>
      <c r="AAF51" s="37"/>
      <c r="AAG51" s="37"/>
      <c r="AAH51" s="37"/>
      <c r="AAI51" s="37"/>
      <c r="AAJ51" s="37"/>
      <c r="AAK51" s="37"/>
      <c r="AAL51" s="37"/>
      <c r="AAM51" s="37"/>
      <c r="AAN51" s="37"/>
      <c r="AAO51" s="37"/>
      <c r="AAP51" s="37"/>
      <c r="AAQ51" s="37"/>
      <c r="AAR51" s="37"/>
      <c r="AAS51" s="37"/>
      <c r="AAT51" s="37"/>
      <c r="AAU51" s="37"/>
      <c r="AAV51" s="37"/>
      <c r="AAW51" s="37"/>
      <c r="AAX51" s="37"/>
      <c r="AAY51" s="37"/>
      <c r="AAZ51" s="37"/>
      <c r="ABA51" s="37"/>
      <c r="ABB51" s="37"/>
      <c r="ABC51" s="37"/>
      <c r="ABD51" s="37"/>
      <c r="ABE51" s="37"/>
      <c r="ABF51" s="37"/>
      <c r="ABG51" s="37"/>
      <c r="ABH51" s="37"/>
      <c r="ABI51" s="37"/>
      <c r="ABJ51" s="37"/>
      <c r="ABK51" s="37"/>
      <c r="ABL51" s="37"/>
      <c r="ABM51" s="37"/>
      <c r="ABN51" s="37"/>
      <c r="ABO51" s="37"/>
      <c r="ABP51" s="37"/>
      <c r="ABQ51" s="37"/>
      <c r="ABR51" s="37"/>
      <c r="ABS51" s="37"/>
      <c r="ABT51" s="37"/>
      <c r="ABU51" s="37"/>
      <c r="ABV51" s="37"/>
      <c r="ABW51" s="37"/>
      <c r="ABX51" s="37"/>
      <c r="ABY51" s="37"/>
      <c r="ABZ51" s="37"/>
      <c r="ACA51" s="37"/>
      <c r="ACB51" s="37"/>
      <c r="ACC51" s="37"/>
      <c r="ACD51" s="37"/>
      <c r="ACE51" s="37"/>
      <c r="ACF51" s="37"/>
      <c r="ACG51" s="37"/>
      <c r="ACH51" s="37"/>
      <c r="ACI51" s="37"/>
      <c r="ACJ51" s="37"/>
      <c r="ACK51" s="37"/>
      <c r="ACL51" s="37"/>
      <c r="ACM51" s="37"/>
      <c r="ACN51" s="37"/>
      <c r="ACO51" s="37"/>
      <c r="ACP51" s="37"/>
      <c r="ACQ51" s="37"/>
      <c r="ACR51" s="37"/>
      <c r="ACS51" s="37"/>
      <c r="ACT51" s="37"/>
      <c r="ACU51" s="37"/>
      <c r="ACV51" s="37"/>
      <c r="ACW51" s="37"/>
      <c r="ACX51" s="37"/>
      <c r="ACY51" s="37"/>
      <c r="ACZ51" s="37"/>
      <c r="ADA51" s="37"/>
      <c r="ADB51" s="37"/>
      <c r="ADC51" s="37"/>
      <c r="ADD51" s="37"/>
      <c r="ADE51" s="37"/>
      <c r="ADF51" s="37"/>
      <c r="ADG51" s="37"/>
      <c r="ADH51" s="37"/>
      <c r="ADI51" s="37"/>
      <c r="ADJ51" s="37"/>
      <c r="ADK51" s="37"/>
      <c r="ADL51" s="37"/>
      <c r="ADM51" s="37"/>
      <c r="ADN51" s="37"/>
      <c r="ADO51" s="37"/>
      <c r="ADP51" s="37"/>
      <c r="ADQ51" s="37"/>
      <c r="ADR51" s="37"/>
      <c r="ADS51" s="37"/>
      <c r="ADT51" s="37"/>
      <c r="ADU51" s="37"/>
      <c r="ADV51" s="37"/>
      <c r="ADW51" s="37"/>
      <c r="ADX51" s="37"/>
      <c r="ADY51" s="37"/>
      <c r="ADZ51" s="37"/>
      <c r="AEA51" s="37"/>
      <c r="AEB51" s="37"/>
      <c r="AEC51" s="37"/>
      <c r="AED51" s="37"/>
      <c r="AEE51" s="37"/>
      <c r="AEF51" s="37"/>
      <c r="AEG51" s="37"/>
      <c r="AEH51" s="37"/>
      <c r="AEI51" s="37"/>
      <c r="AEJ51" s="37"/>
      <c r="AEK51" s="37"/>
      <c r="AEL51" s="37"/>
      <c r="AEM51" s="37"/>
      <c r="AEN51" s="37"/>
      <c r="AEO51" s="37"/>
      <c r="AEP51" s="37"/>
      <c r="AEQ51" s="37"/>
      <c r="AER51" s="37"/>
      <c r="AES51" s="37"/>
      <c r="AET51" s="37"/>
      <c r="AEU51" s="37"/>
      <c r="AEV51" s="37"/>
      <c r="AEW51" s="37"/>
      <c r="AEX51" s="37"/>
      <c r="AEY51" s="37"/>
      <c r="AEZ51" s="37"/>
      <c r="AFA51" s="37"/>
      <c r="AFB51" s="37"/>
      <c r="AFC51" s="37"/>
      <c r="AFD51" s="37"/>
      <c r="AFE51" s="37"/>
      <c r="AFF51" s="37"/>
      <c r="AFG51" s="37"/>
      <c r="AFH51" s="37"/>
      <c r="AFI51" s="37"/>
      <c r="AFJ51" s="37"/>
      <c r="AFK51" s="37"/>
      <c r="AFL51" s="37"/>
      <c r="AFM51" s="37"/>
      <c r="AFN51" s="37"/>
      <c r="AFO51" s="37"/>
      <c r="AFP51" s="37"/>
      <c r="AFQ51" s="37"/>
      <c r="AFR51" s="37"/>
      <c r="AFS51" s="37"/>
      <c r="AFT51" s="37"/>
      <c r="AFU51" s="37"/>
      <c r="AFV51" s="37"/>
      <c r="AFW51" s="37"/>
      <c r="AFX51" s="37"/>
      <c r="AFY51" s="37"/>
      <c r="AFZ51" s="37"/>
      <c r="AGA51" s="37"/>
      <c r="AGB51" s="37"/>
      <c r="AGC51" s="37"/>
      <c r="AGD51" s="37"/>
      <c r="AGE51" s="37"/>
      <c r="AGF51" s="37"/>
      <c r="AGG51" s="37"/>
      <c r="AGH51" s="37"/>
      <c r="AGI51" s="37"/>
      <c r="AGJ51" s="37"/>
      <c r="AGK51" s="37"/>
      <c r="AGL51" s="37"/>
      <c r="AGM51" s="37"/>
      <c r="AGN51" s="37"/>
      <c r="AGO51" s="37"/>
      <c r="AGP51" s="37"/>
      <c r="AGQ51" s="37"/>
      <c r="AGR51" s="37"/>
      <c r="AGS51" s="37"/>
      <c r="AGT51" s="37"/>
      <c r="AGU51" s="37"/>
      <c r="AGV51" s="37"/>
      <c r="AGW51" s="37"/>
      <c r="AGX51" s="37"/>
      <c r="AGY51" s="37"/>
      <c r="AGZ51" s="37"/>
      <c r="AHA51" s="37"/>
      <c r="AHB51" s="37"/>
      <c r="AHC51" s="37"/>
      <c r="AHD51" s="37"/>
      <c r="AHE51" s="37"/>
      <c r="AHF51" s="37"/>
      <c r="AHG51" s="37"/>
      <c r="AHH51" s="37"/>
      <c r="AHI51" s="37"/>
      <c r="AHJ51" s="37"/>
      <c r="AHK51" s="37"/>
      <c r="AHL51" s="37"/>
      <c r="AHM51" s="37"/>
      <c r="AHN51" s="37"/>
      <c r="AHO51" s="37"/>
      <c r="AHP51" s="37"/>
      <c r="AHQ51" s="37"/>
      <c r="AHR51" s="37"/>
      <c r="AHS51" s="37"/>
      <c r="AHT51" s="37"/>
      <c r="AHU51" s="37"/>
      <c r="AHV51" s="37"/>
      <c r="AHW51" s="37"/>
      <c r="AHX51" s="37"/>
      <c r="AHY51" s="37"/>
      <c r="AHZ51" s="37"/>
      <c r="AIA51" s="37"/>
      <c r="AIB51" s="37"/>
      <c r="AIC51" s="37"/>
      <c r="AID51" s="37"/>
      <c r="AIE51" s="37"/>
      <c r="AIF51" s="37"/>
      <c r="AIG51" s="37"/>
      <c r="AIH51" s="37"/>
      <c r="AII51" s="37"/>
      <c r="AIJ51" s="37"/>
      <c r="AIK51" s="37"/>
      <c r="AIL51" s="37"/>
      <c r="AIM51" s="37"/>
      <c r="AIN51" s="37"/>
      <c r="AIO51" s="37"/>
      <c r="AIP51" s="37"/>
      <c r="AIQ51" s="37"/>
      <c r="AIR51" s="37"/>
      <c r="AIS51" s="37"/>
      <c r="AIT51" s="37"/>
      <c r="AIU51" s="37"/>
      <c r="AIV51" s="37"/>
      <c r="AIW51" s="37"/>
      <c r="AIX51" s="37"/>
      <c r="AIY51" s="37"/>
      <c r="AIZ51" s="37"/>
      <c r="AJA51" s="37"/>
      <c r="AJB51" s="37"/>
      <c r="AJC51" s="37"/>
      <c r="AJD51" s="37"/>
      <c r="AJE51" s="37"/>
      <c r="AJF51" s="37"/>
      <c r="AJG51" s="37"/>
      <c r="AJH51" s="37"/>
      <c r="AJI51" s="37"/>
      <c r="AJJ51" s="37"/>
      <c r="AJK51" s="37"/>
      <c r="AJL51" s="37"/>
      <c r="AJM51" s="37"/>
      <c r="AJN51" s="37"/>
      <c r="AJO51" s="37"/>
      <c r="AJP51" s="37"/>
      <c r="AJQ51" s="37"/>
      <c r="AJR51" s="37"/>
      <c r="AJS51" s="37"/>
      <c r="AJT51" s="37"/>
      <c r="AJU51" s="37"/>
      <c r="AJV51" s="37"/>
      <c r="AJW51" s="37"/>
      <c r="AJX51" s="37"/>
      <c r="AJY51" s="37"/>
      <c r="AJZ51" s="37"/>
      <c r="AKA51" s="37"/>
      <c r="AKB51" s="37"/>
      <c r="AKC51" s="37"/>
      <c r="AKD51" s="37"/>
      <c r="AKE51" s="37"/>
      <c r="AKF51" s="37"/>
      <c r="AKG51" s="37"/>
      <c r="AKH51" s="37"/>
      <c r="AKI51" s="37"/>
      <c r="AKJ51" s="37"/>
      <c r="AKK51" s="37"/>
      <c r="AKL51" s="37"/>
      <c r="AKM51" s="37"/>
      <c r="AKN51" s="37"/>
      <c r="AKO51" s="37"/>
      <c r="AKP51" s="37"/>
      <c r="AKQ51" s="37"/>
      <c r="AKR51" s="37"/>
      <c r="AKS51" s="37"/>
      <c r="AKT51" s="37"/>
      <c r="AKU51" s="37"/>
      <c r="AKV51" s="37"/>
      <c r="AKW51" s="37"/>
      <c r="AKX51" s="37"/>
      <c r="AKY51" s="37"/>
      <c r="AKZ51" s="37"/>
      <c r="ALA51" s="37"/>
      <c r="ALB51" s="37"/>
      <c r="ALC51" s="37"/>
      <c r="ALD51" s="37"/>
      <c r="ALE51" s="37"/>
      <c r="ALF51" s="37"/>
      <c r="ALG51" s="37"/>
      <c r="ALH51" s="37"/>
      <c r="ALI51" s="37"/>
      <c r="ALJ51" s="37"/>
      <c r="ALK51" s="37"/>
      <c r="ALL51" s="37"/>
      <c r="ALM51" s="37"/>
      <c r="ALN51" s="37"/>
      <c r="ALO51" s="37"/>
      <c r="ALP51" s="37"/>
      <c r="ALQ51" s="37"/>
      <c r="ALR51" s="37"/>
      <c r="ALS51" s="37"/>
      <c r="ALT51" s="37"/>
      <c r="ALU51" s="37"/>
      <c r="ALV51" s="37"/>
      <c r="ALW51" s="37"/>
      <c r="ALX51" s="37"/>
      <c r="ALY51" s="37"/>
      <c r="ALZ51" s="37"/>
      <c r="AMA51" s="37"/>
      <c r="AMB51" s="37"/>
      <c r="AMC51" s="37"/>
    </row>
    <row r="52" spans="1:1017" s="38" customFormat="1" ht="19.5" customHeight="1">
      <c r="A52" s="75"/>
      <c r="B52" s="76"/>
      <c r="C52" s="75"/>
      <c r="D52" s="75"/>
      <c r="E52" s="75"/>
      <c r="F52" s="75"/>
      <c r="G52" s="77">
        <v>47</v>
      </c>
      <c r="H52" s="77">
        <v>58</v>
      </c>
      <c r="I52" s="77">
        <v>20</v>
      </c>
      <c r="J52" s="77">
        <v>15</v>
      </c>
      <c r="K52" s="77">
        <v>109</v>
      </c>
      <c r="L52" s="77">
        <v>103</v>
      </c>
      <c r="M52" s="77">
        <v>113</v>
      </c>
      <c r="N52" s="77"/>
      <c r="O52" s="7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  <c r="OU52" s="37"/>
      <c r="OV52" s="37"/>
      <c r="OW52" s="37"/>
      <c r="OX52" s="37"/>
      <c r="OY52" s="37"/>
      <c r="OZ52" s="37"/>
      <c r="PA52" s="37"/>
      <c r="PB52" s="37"/>
      <c r="PC52" s="37"/>
      <c r="PD52" s="37"/>
      <c r="PE52" s="37"/>
      <c r="PF52" s="37"/>
      <c r="PG52" s="37"/>
      <c r="PH52" s="37"/>
      <c r="PI52" s="37"/>
      <c r="PJ52" s="37"/>
      <c r="PK52" s="37"/>
      <c r="PL52" s="37"/>
      <c r="PM52" s="37"/>
      <c r="PN52" s="37"/>
      <c r="PO52" s="37"/>
      <c r="PP52" s="37"/>
      <c r="PQ52" s="37"/>
      <c r="PR52" s="37"/>
      <c r="PS52" s="37"/>
      <c r="PT52" s="37"/>
      <c r="PU52" s="37"/>
      <c r="PV52" s="37"/>
      <c r="PW52" s="37"/>
      <c r="PX52" s="37"/>
      <c r="PY52" s="37"/>
      <c r="PZ52" s="37"/>
      <c r="QA52" s="37"/>
      <c r="QB52" s="37"/>
      <c r="QC52" s="37"/>
      <c r="QD52" s="37"/>
      <c r="QE52" s="37"/>
      <c r="QF52" s="37"/>
      <c r="QG52" s="37"/>
      <c r="QH52" s="37"/>
      <c r="QI52" s="37"/>
      <c r="QJ52" s="37"/>
      <c r="QK52" s="37"/>
      <c r="QL52" s="37"/>
      <c r="QM52" s="37"/>
      <c r="QN52" s="37"/>
      <c r="QO52" s="37"/>
      <c r="QP52" s="37"/>
      <c r="QQ52" s="37"/>
      <c r="QR52" s="37"/>
      <c r="QS52" s="37"/>
      <c r="QT52" s="37"/>
      <c r="QU52" s="37"/>
      <c r="QV52" s="37"/>
      <c r="QW52" s="37"/>
      <c r="QX52" s="37"/>
      <c r="QY52" s="37"/>
      <c r="QZ52" s="37"/>
      <c r="RA52" s="37"/>
      <c r="RB52" s="37"/>
      <c r="RC52" s="37"/>
      <c r="RD52" s="37"/>
      <c r="RE52" s="37"/>
      <c r="RF52" s="37"/>
      <c r="RG52" s="37"/>
      <c r="RH52" s="37"/>
      <c r="RI52" s="37"/>
      <c r="RJ52" s="37"/>
      <c r="RK52" s="37"/>
      <c r="RL52" s="37"/>
      <c r="RM52" s="37"/>
      <c r="RN52" s="37"/>
      <c r="RO52" s="37"/>
      <c r="RP52" s="37"/>
      <c r="RQ52" s="37"/>
      <c r="RR52" s="37"/>
      <c r="RS52" s="37"/>
      <c r="RT52" s="37"/>
      <c r="RU52" s="37"/>
      <c r="RV52" s="37"/>
      <c r="RW52" s="37"/>
      <c r="RX52" s="37"/>
      <c r="RY52" s="37"/>
      <c r="RZ52" s="37"/>
      <c r="SA52" s="37"/>
      <c r="SB52" s="37"/>
      <c r="SC52" s="37"/>
      <c r="SD52" s="37"/>
      <c r="SE52" s="37"/>
      <c r="SF52" s="37"/>
      <c r="SG52" s="37"/>
      <c r="SH52" s="37"/>
      <c r="SI52" s="37"/>
      <c r="SJ52" s="37"/>
      <c r="SK52" s="37"/>
      <c r="SL52" s="37"/>
      <c r="SM52" s="37"/>
      <c r="SN52" s="37"/>
      <c r="SO52" s="37"/>
      <c r="SP52" s="37"/>
      <c r="SQ52" s="37"/>
      <c r="SR52" s="37"/>
      <c r="SS52" s="37"/>
      <c r="ST52" s="37"/>
      <c r="SU52" s="37"/>
      <c r="SV52" s="37"/>
      <c r="SW52" s="37"/>
      <c r="SX52" s="37"/>
      <c r="SY52" s="37"/>
      <c r="SZ52" s="37"/>
      <c r="TA52" s="37"/>
      <c r="TB52" s="37"/>
      <c r="TC52" s="37"/>
      <c r="TD52" s="37"/>
      <c r="TE52" s="37"/>
      <c r="TF52" s="37"/>
      <c r="TG52" s="37"/>
      <c r="TH52" s="37"/>
      <c r="TI52" s="37"/>
      <c r="TJ52" s="37"/>
      <c r="TK52" s="37"/>
      <c r="TL52" s="37"/>
      <c r="TM52" s="37"/>
      <c r="TN52" s="37"/>
      <c r="TO52" s="37"/>
      <c r="TP52" s="37"/>
      <c r="TQ52" s="37"/>
      <c r="TR52" s="37"/>
      <c r="TS52" s="37"/>
      <c r="TT52" s="37"/>
      <c r="TU52" s="37"/>
      <c r="TV52" s="37"/>
      <c r="TW52" s="37"/>
      <c r="TX52" s="37"/>
      <c r="TY52" s="37"/>
      <c r="TZ52" s="37"/>
      <c r="UA52" s="37"/>
      <c r="UB52" s="37"/>
      <c r="UC52" s="37"/>
      <c r="UD52" s="37"/>
      <c r="UE52" s="37"/>
      <c r="UF52" s="37"/>
      <c r="UG52" s="37"/>
      <c r="UH52" s="37"/>
      <c r="UI52" s="37"/>
      <c r="UJ52" s="37"/>
      <c r="UK52" s="37"/>
      <c r="UL52" s="37"/>
      <c r="UM52" s="37"/>
      <c r="UN52" s="37"/>
      <c r="UO52" s="37"/>
      <c r="UP52" s="37"/>
      <c r="UQ52" s="37"/>
      <c r="UR52" s="37"/>
      <c r="US52" s="37"/>
      <c r="UT52" s="37"/>
      <c r="UU52" s="37"/>
      <c r="UV52" s="37"/>
      <c r="UW52" s="37"/>
      <c r="UX52" s="37"/>
      <c r="UY52" s="37"/>
      <c r="UZ52" s="37"/>
      <c r="VA52" s="37"/>
      <c r="VB52" s="37"/>
      <c r="VC52" s="37"/>
      <c r="VD52" s="37"/>
      <c r="VE52" s="37"/>
      <c r="VF52" s="37"/>
      <c r="VG52" s="37"/>
      <c r="VH52" s="37"/>
      <c r="VI52" s="37"/>
      <c r="VJ52" s="37"/>
      <c r="VK52" s="37"/>
      <c r="VL52" s="37"/>
      <c r="VM52" s="37"/>
      <c r="VN52" s="37"/>
      <c r="VO52" s="37"/>
      <c r="VP52" s="37"/>
      <c r="VQ52" s="37"/>
      <c r="VR52" s="37"/>
      <c r="VS52" s="37"/>
      <c r="VT52" s="37"/>
      <c r="VU52" s="37"/>
      <c r="VV52" s="37"/>
      <c r="VW52" s="37"/>
      <c r="VX52" s="37"/>
      <c r="VY52" s="37"/>
      <c r="VZ52" s="37"/>
      <c r="WA52" s="37"/>
      <c r="WB52" s="37"/>
      <c r="WC52" s="37"/>
      <c r="WD52" s="37"/>
      <c r="WE52" s="37"/>
      <c r="WF52" s="37"/>
      <c r="WG52" s="37"/>
      <c r="WH52" s="37"/>
      <c r="WI52" s="37"/>
      <c r="WJ52" s="37"/>
      <c r="WK52" s="37"/>
      <c r="WL52" s="37"/>
      <c r="WM52" s="37"/>
      <c r="WN52" s="37"/>
      <c r="WO52" s="37"/>
      <c r="WP52" s="37"/>
      <c r="WQ52" s="37"/>
      <c r="WR52" s="37"/>
      <c r="WS52" s="37"/>
      <c r="WT52" s="37"/>
      <c r="WU52" s="37"/>
      <c r="WV52" s="37"/>
      <c r="WW52" s="37"/>
      <c r="WX52" s="37"/>
      <c r="WY52" s="37"/>
      <c r="WZ52" s="37"/>
      <c r="XA52" s="37"/>
      <c r="XB52" s="37"/>
      <c r="XC52" s="37"/>
      <c r="XD52" s="37"/>
      <c r="XE52" s="37"/>
      <c r="XF52" s="37"/>
      <c r="XG52" s="37"/>
      <c r="XH52" s="37"/>
      <c r="XI52" s="37"/>
      <c r="XJ52" s="37"/>
      <c r="XK52" s="37"/>
      <c r="XL52" s="37"/>
      <c r="XM52" s="37"/>
      <c r="XN52" s="37"/>
      <c r="XO52" s="37"/>
      <c r="XP52" s="37"/>
      <c r="XQ52" s="37"/>
      <c r="XR52" s="37"/>
      <c r="XS52" s="37"/>
      <c r="XT52" s="37"/>
      <c r="XU52" s="37"/>
      <c r="XV52" s="37"/>
      <c r="XW52" s="37"/>
      <c r="XX52" s="37"/>
      <c r="XY52" s="37"/>
      <c r="XZ52" s="37"/>
      <c r="YA52" s="37"/>
      <c r="YB52" s="37"/>
      <c r="YC52" s="37"/>
      <c r="YD52" s="37"/>
      <c r="YE52" s="37"/>
      <c r="YF52" s="37"/>
      <c r="YG52" s="37"/>
      <c r="YH52" s="37"/>
      <c r="YI52" s="37"/>
      <c r="YJ52" s="37"/>
      <c r="YK52" s="37"/>
      <c r="YL52" s="37"/>
      <c r="YM52" s="37"/>
      <c r="YN52" s="37"/>
      <c r="YO52" s="37"/>
      <c r="YP52" s="37"/>
      <c r="YQ52" s="37"/>
      <c r="YR52" s="37"/>
      <c r="YS52" s="37"/>
      <c r="YT52" s="37"/>
      <c r="YU52" s="37"/>
      <c r="YV52" s="37"/>
      <c r="YW52" s="37"/>
      <c r="YX52" s="37"/>
      <c r="YY52" s="37"/>
      <c r="YZ52" s="37"/>
      <c r="ZA52" s="37"/>
      <c r="ZB52" s="37"/>
      <c r="ZC52" s="37"/>
      <c r="ZD52" s="37"/>
      <c r="ZE52" s="37"/>
      <c r="ZF52" s="37"/>
      <c r="ZG52" s="37"/>
      <c r="ZH52" s="37"/>
      <c r="ZI52" s="37"/>
      <c r="ZJ52" s="37"/>
      <c r="ZK52" s="37"/>
      <c r="ZL52" s="37"/>
      <c r="ZM52" s="37"/>
      <c r="ZN52" s="37"/>
      <c r="ZO52" s="37"/>
      <c r="ZP52" s="37"/>
      <c r="ZQ52" s="37"/>
      <c r="ZR52" s="37"/>
      <c r="ZS52" s="37"/>
      <c r="ZT52" s="37"/>
      <c r="ZU52" s="37"/>
      <c r="ZV52" s="37"/>
      <c r="ZW52" s="37"/>
      <c r="ZX52" s="37"/>
      <c r="ZY52" s="37"/>
      <c r="ZZ52" s="37"/>
      <c r="AAA52" s="37"/>
      <c r="AAB52" s="37"/>
      <c r="AAC52" s="37"/>
      <c r="AAD52" s="37"/>
      <c r="AAE52" s="37"/>
      <c r="AAF52" s="37"/>
      <c r="AAG52" s="37"/>
      <c r="AAH52" s="37"/>
      <c r="AAI52" s="37"/>
      <c r="AAJ52" s="37"/>
      <c r="AAK52" s="37"/>
      <c r="AAL52" s="37"/>
      <c r="AAM52" s="37"/>
      <c r="AAN52" s="37"/>
      <c r="AAO52" s="37"/>
      <c r="AAP52" s="37"/>
      <c r="AAQ52" s="37"/>
      <c r="AAR52" s="37"/>
      <c r="AAS52" s="37"/>
      <c r="AAT52" s="37"/>
      <c r="AAU52" s="37"/>
      <c r="AAV52" s="37"/>
      <c r="AAW52" s="37"/>
      <c r="AAX52" s="37"/>
      <c r="AAY52" s="37"/>
      <c r="AAZ52" s="37"/>
      <c r="ABA52" s="37"/>
      <c r="ABB52" s="37"/>
      <c r="ABC52" s="37"/>
      <c r="ABD52" s="37"/>
      <c r="ABE52" s="37"/>
      <c r="ABF52" s="37"/>
      <c r="ABG52" s="37"/>
      <c r="ABH52" s="37"/>
      <c r="ABI52" s="37"/>
      <c r="ABJ52" s="37"/>
      <c r="ABK52" s="37"/>
      <c r="ABL52" s="37"/>
      <c r="ABM52" s="37"/>
      <c r="ABN52" s="37"/>
      <c r="ABO52" s="37"/>
      <c r="ABP52" s="37"/>
      <c r="ABQ52" s="37"/>
      <c r="ABR52" s="37"/>
      <c r="ABS52" s="37"/>
      <c r="ABT52" s="37"/>
      <c r="ABU52" s="37"/>
      <c r="ABV52" s="37"/>
      <c r="ABW52" s="37"/>
      <c r="ABX52" s="37"/>
      <c r="ABY52" s="37"/>
      <c r="ABZ52" s="37"/>
      <c r="ACA52" s="37"/>
      <c r="ACB52" s="37"/>
      <c r="ACC52" s="37"/>
      <c r="ACD52" s="37"/>
      <c r="ACE52" s="37"/>
      <c r="ACF52" s="37"/>
      <c r="ACG52" s="37"/>
      <c r="ACH52" s="37"/>
      <c r="ACI52" s="37"/>
      <c r="ACJ52" s="37"/>
      <c r="ACK52" s="37"/>
      <c r="ACL52" s="37"/>
      <c r="ACM52" s="37"/>
      <c r="ACN52" s="37"/>
      <c r="ACO52" s="37"/>
      <c r="ACP52" s="37"/>
      <c r="ACQ52" s="37"/>
      <c r="ACR52" s="37"/>
      <c r="ACS52" s="37"/>
      <c r="ACT52" s="37"/>
      <c r="ACU52" s="37"/>
      <c r="ACV52" s="37"/>
      <c r="ACW52" s="37"/>
      <c r="ACX52" s="37"/>
      <c r="ACY52" s="37"/>
      <c r="ACZ52" s="37"/>
      <c r="ADA52" s="37"/>
      <c r="ADB52" s="37"/>
      <c r="ADC52" s="37"/>
      <c r="ADD52" s="37"/>
      <c r="ADE52" s="37"/>
      <c r="ADF52" s="37"/>
      <c r="ADG52" s="37"/>
      <c r="ADH52" s="37"/>
      <c r="ADI52" s="37"/>
      <c r="ADJ52" s="37"/>
      <c r="ADK52" s="37"/>
      <c r="ADL52" s="37"/>
      <c r="ADM52" s="37"/>
      <c r="ADN52" s="37"/>
      <c r="ADO52" s="37"/>
      <c r="ADP52" s="37"/>
      <c r="ADQ52" s="37"/>
      <c r="ADR52" s="37"/>
      <c r="ADS52" s="37"/>
      <c r="ADT52" s="37"/>
      <c r="ADU52" s="37"/>
      <c r="ADV52" s="37"/>
      <c r="ADW52" s="37"/>
      <c r="ADX52" s="37"/>
      <c r="ADY52" s="37"/>
      <c r="ADZ52" s="37"/>
      <c r="AEA52" s="37"/>
      <c r="AEB52" s="37"/>
      <c r="AEC52" s="37"/>
      <c r="AED52" s="37"/>
      <c r="AEE52" s="37"/>
      <c r="AEF52" s="37"/>
      <c r="AEG52" s="37"/>
      <c r="AEH52" s="37"/>
      <c r="AEI52" s="37"/>
      <c r="AEJ52" s="37"/>
      <c r="AEK52" s="37"/>
      <c r="AEL52" s="37"/>
      <c r="AEM52" s="37"/>
      <c r="AEN52" s="37"/>
      <c r="AEO52" s="37"/>
      <c r="AEP52" s="37"/>
      <c r="AEQ52" s="37"/>
      <c r="AER52" s="37"/>
      <c r="AES52" s="37"/>
      <c r="AET52" s="37"/>
      <c r="AEU52" s="37"/>
      <c r="AEV52" s="37"/>
      <c r="AEW52" s="37"/>
      <c r="AEX52" s="37"/>
      <c r="AEY52" s="37"/>
      <c r="AEZ52" s="37"/>
      <c r="AFA52" s="37"/>
      <c r="AFB52" s="37"/>
      <c r="AFC52" s="37"/>
      <c r="AFD52" s="37"/>
      <c r="AFE52" s="37"/>
      <c r="AFF52" s="37"/>
      <c r="AFG52" s="37"/>
      <c r="AFH52" s="37"/>
      <c r="AFI52" s="37"/>
      <c r="AFJ52" s="37"/>
      <c r="AFK52" s="37"/>
      <c r="AFL52" s="37"/>
      <c r="AFM52" s="37"/>
      <c r="AFN52" s="37"/>
      <c r="AFO52" s="37"/>
      <c r="AFP52" s="37"/>
      <c r="AFQ52" s="37"/>
      <c r="AFR52" s="37"/>
      <c r="AFS52" s="37"/>
      <c r="AFT52" s="37"/>
      <c r="AFU52" s="37"/>
      <c r="AFV52" s="37"/>
      <c r="AFW52" s="37"/>
      <c r="AFX52" s="37"/>
      <c r="AFY52" s="37"/>
      <c r="AFZ52" s="37"/>
      <c r="AGA52" s="37"/>
      <c r="AGB52" s="37"/>
      <c r="AGC52" s="37"/>
      <c r="AGD52" s="37"/>
      <c r="AGE52" s="37"/>
      <c r="AGF52" s="37"/>
      <c r="AGG52" s="37"/>
      <c r="AGH52" s="37"/>
      <c r="AGI52" s="37"/>
      <c r="AGJ52" s="37"/>
      <c r="AGK52" s="37"/>
      <c r="AGL52" s="37"/>
      <c r="AGM52" s="37"/>
      <c r="AGN52" s="37"/>
      <c r="AGO52" s="37"/>
      <c r="AGP52" s="37"/>
      <c r="AGQ52" s="37"/>
      <c r="AGR52" s="37"/>
      <c r="AGS52" s="37"/>
      <c r="AGT52" s="37"/>
      <c r="AGU52" s="37"/>
      <c r="AGV52" s="37"/>
      <c r="AGW52" s="37"/>
      <c r="AGX52" s="37"/>
      <c r="AGY52" s="37"/>
      <c r="AGZ52" s="37"/>
      <c r="AHA52" s="37"/>
      <c r="AHB52" s="37"/>
      <c r="AHC52" s="37"/>
      <c r="AHD52" s="37"/>
      <c r="AHE52" s="37"/>
      <c r="AHF52" s="37"/>
      <c r="AHG52" s="37"/>
      <c r="AHH52" s="37"/>
      <c r="AHI52" s="37"/>
      <c r="AHJ52" s="37"/>
      <c r="AHK52" s="37"/>
      <c r="AHL52" s="37"/>
      <c r="AHM52" s="37"/>
      <c r="AHN52" s="37"/>
      <c r="AHO52" s="37"/>
      <c r="AHP52" s="37"/>
      <c r="AHQ52" s="37"/>
      <c r="AHR52" s="37"/>
      <c r="AHS52" s="37"/>
      <c r="AHT52" s="37"/>
      <c r="AHU52" s="37"/>
      <c r="AHV52" s="37"/>
      <c r="AHW52" s="37"/>
      <c r="AHX52" s="37"/>
      <c r="AHY52" s="37"/>
      <c r="AHZ52" s="37"/>
      <c r="AIA52" s="37"/>
      <c r="AIB52" s="37"/>
      <c r="AIC52" s="37"/>
      <c r="AID52" s="37"/>
      <c r="AIE52" s="37"/>
      <c r="AIF52" s="37"/>
      <c r="AIG52" s="37"/>
      <c r="AIH52" s="37"/>
      <c r="AII52" s="37"/>
      <c r="AIJ52" s="37"/>
      <c r="AIK52" s="37"/>
      <c r="AIL52" s="37"/>
      <c r="AIM52" s="37"/>
      <c r="AIN52" s="37"/>
      <c r="AIO52" s="37"/>
      <c r="AIP52" s="37"/>
      <c r="AIQ52" s="37"/>
      <c r="AIR52" s="37"/>
      <c r="AIS52" s="37"/>
      <c r="AIT52" s="37"/>
      <c r="AIU52" s="37"/>
      <c r="AIV52" s="37"/>
      <c r="AIW52" s="37"/>
      <c r="AIX52" s="37"/>
      <c r="AIY52" s="37"/>
      <c r="AIZ52" s="37"/>
      <c r="AJA52" s="37"/>
      <c r="AJB52" s="37"/>
      <c r="AJC52" s="37"/>
      <c r="AJD52" s="37"/>
      <c r="AJE52" s="37"/>
      <c r="AJF52" s="37"/>
      <c r="AJG52" s="37"/>
      <c r="AJH52" s="37"/>
      <c r="AJI52" s="37"/>
      <c r="AJJ52" s="37"/>
      <c r="AJK52" s="37"/>
      <c r="AJL52" s="37"/>
      <c r="AJM52" s="37"/>
      <c r="AJN52" s="37"/>
      <c r="AJO52" s="37"/>
      <c r="AJP52" s="37"/>
      <c r="AJQ52" s="37"/>
      <c r="AJR52" s="37"/>
      <c r="AJS52" s="37"/>
      <c r="AJT52" s="37"/>
      <c r="AJU52" s="37"/>
      <c r="AJV52" s="37"/>
      <c r="AJW52" s="37"/>
      <c r="AJX52" s="37"/>
      <c r="AJY52" s="37"/>
      <c r="AJZ52" s="37"/>
      <c r="AKA52" s="37"/>
      <c r="AKB52" s="37"/>
      <c r="AKC52" s="37"/>
      <c r="AKD52" s="37"/>
      <c r="AKE52" s="37"/>
      <c r="AKF52" s="37"/>
      <c r="AKG52" s="37"/>
      <c r="AKH52" s="37"/>
      <c r="AKI52" s="37"/>
      <c r="AKJ52" s="37"/>
      <c r="AKK52" s="37"/>
      <c r="AKL52" s="37"/>
      <c r="AKM52" s="37"/>
      <c r="AKN52" s="37"/>
      <c r="AKO52" s="37"/>
      <c r="AKP52" s="37"/>
      <c r="AKQ52" s="37"/>
      <c r="AKR52" s="37"/>
      <c r="AKS52" s="37"/>
      <c r="AKT52" s="37"/>
      <c r="AKU52" s="37"/>
      <c r="AKV52" s="37"/>
      <c r="AKW52" s="37"/>
      <c r="AKX52" s="37"/>
      <c r="AKY52" s="37"/>
      <c r="AKZ52" s="37"/>
      <c r="ALA52" s="37"/>
      <c r="ALB52" s="37"/>
      <c r="ALC52" s="37"/>
      <c r="ALD52" s="37"/>
      <c r="ALE52" s="37"/>
      <c r="ALF52" s="37"/>
      <c r="ALG52" s="37"/>
      <c r="ALH52" s="37"/>
      <c r="ALI52" s="37"/>
      <c r="ALJ52" s="37"/>
      <c r="ALK52" s="37"/>
      <c r="ALL52" s="37"/>
      <c r="ALM52" s="37"/>
      <c r="ALN52" s="37"/>
      <c r="ALO52" s="37"/>
      <c r="ALP52" s="37"/>
      <c r="ALQ52" s="37"/>
      <c r="ALR52" s="37"/>
      <c r="ALS52" s="37"/>
      <c r="ALT52" s="37"/>
      <c r="ALU52" s="37"/>
      <c r="ALV52" s="37"/>
      <c r="ALW52" s="37"/>
      <c r="ALX52" s="37"/>
      <c r="ALY52" s="37"/>
      <c r="ALZ52" s="37"/>
      <c r="AMA52" s="37"/>
      <c r="AMB52" s="37"/>
      <c r="AMC52" s="37"/>
    </row>
    <row r="53" spans="1:1017" s="38" customFormat="1" ht="19.5" customHeight="1">
      <c r="A53" s="26" t="s">
        <v>118</v>
      </c>
      <c r="B53" s="25" t="s">
        <v>106</v>
      </c>
      <c r="C53" s="26" t="s">
        <v>46</v>
      </c>
      <c r="D53" s="26" t="s">
        <v>32</v>
      </c>
      <c r="E53" s="26" t="s">
        <v>261</v>
      </c>
      <c r="F53" s="26">
        <v>42</v>
      </c>
      <c r="G53" s="26" t="s">
        <v>33</v>
      </c>
      <c r="H53" s="26">
        <v>58</v>
      </c>
      <c r="I53" s="36">
        <v>44</v>
      </c>
      <c r="J53" s="36">
        <v>26</v>
      </c>
      <c r="K53" s="36">
        <v>19</v>
      </c>
      <c r="L53" s="36">
        <v>30</v>
      </c>
      <c r="M53" s="36">
        <v>28</v>
      </c>
      <c r="N53" s="36">
        <v>30</v>
      </c>
      <c r="O53" s="36">
        <v>72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  <c r="OU53" s="37"/>
      <c r="OV53" s="37"/>
      <c r="OW53" s="37"/>
      <c r="OX53" s="37"/>
      <c r="OY53" s="37"/>
      <c r="OZ53" s="37"/>
      <c r="PA53" s="37"/>
      <c r="PB53" s="37"/>
      <c r="PC53" s="37"/>
      <c r="PD53" s="37"/>
      <c r="PE53" s="37"/>
      <c r="PF53" s="37"/>
      <c r="PG53" s="37"/>
      <c r="PH53" s="37"/>
      <c r="PI53" s="37"/>
      <c r="PJ53" s="37"/>
      <c r="PK53" s="37"/>
      <c r="PL53" s="37"/>
      <c r="PM53" s="37"/>
      <c r="PN53" s="37"/>
      <c r="PO53" s="37"/>
      <c r="PP53" s="37"/>
      <c r="PQ53" s="37"/>
      <c r="PR53" s="37"/>
      <c r="PS53" s="37"/>
      <c r="PT53" s="37"/>
      <c r="PU53" s="37"/>
      <c r="PV53" s="37"/>
      <c r="PW53" s="37"/>
      <c r="PX53" s="37"/>
      <c r="PY53" s="37"/>
      <c r="PZ53" s="37"/>
      <c r="QA53" s="37"/>
      <c r="QB53" s="37"/>
      <c r="QC53" s="37"/>
      <c r="QD53" s="37"/>
      <c r="QE53" s="37"/>
      <c r="QF53" s="37"/>
      <c r="QG53" s="37"/>
      <c r="QH53" s="37"/>
      <c r="QI53" s="37"/>
      <c r="QJ53" s="37"/>
      <c r="QK53" s="37"/>
      <c r="QL53" s="37"/>
      <c r="QM53" s="37"/>
      <c r="QN53" s="37"/>
      <c r="QO53" s="37"/>
      <c r="QP53" s="37"/>
      <c r="QQ53" s="37"/>
      <c r="QR53" s="37"/>
      <c r="QS53" s="37"/>
      <c r="QT53" s="37"/>
      <c r="QU53" s="37"/>
      <c r="QV53" s="37"/>
      <c r="QW53" s="37"/>
      <c r="QX53" s="37"/>
      <c r="QY53" s="37"/>
      <c r="QZ53" s="37"/>
      <c r="RA53" s="37"/>
      <c r="RB53" s="37"/>
      <c r="RC53" s="37"/>
      <c r="RD53" s="37"/>
      <c r="RE53" s="37"/>
      <c r="RF53" s="37"/>
      <c r="RG53" s="37"/>
      <c r="RH53" s="37"/>
      <c r="RI53" s="37"/>
      <c r="RJ53" s="37"/>
      <c r="RK53" s="37"/>
      <c r="RL53" s="37"/>
      <c r="RM53" s="37"/>
      <c r="RN53" s="37"/>
      <c r="RO53" s="37"/>
      <c r="RP53" s="37"/>
      <c r="RQ53" s="37"/>
      <c r="RR53" s="37"/>
      <c r="RS53" s="37"/>
      <c r="RT53" s="37"/>
      <c r="RU53" s="37"/>
      <c r="RV53" s="37"/>
      <c r="RW53" s="37"/>
      <c r="RX53" s="37"/>
      <c r="RY53" s="37"/>
      <c r="RZ53" s="37"/>
      <c r="SA53" s="37"/>
      <c r="SB53" s="37"/>
      <c r="SC53" s="37"/>
      <c r="SD53" s="37"/>
      <c r="SE53" s="37"/>
      <c r="SF53" s="37"/>
      <c r="SG53" s="37"/>
      <c r="SH53" s="37"/>
      <c r="SI53" s="37"/>
      <c r="SJ53" s="37"/>
      <c r="SK53" s="37"/>
      <c r="SL53" s="37"/>
      <c r="SM53" s="37"/>
      <c r="SN53" s="37"/>
      <c r="SO53" s="37"/>
      <c r="SP53" s="37"/>
      <c r="SQ53" s="37"/>
      <c r="SR53" s="37"/>
      <c r="SS53" s="37"/>
      <c r="ST53" s="37"/>
      <c r="SU53" s="37"/>
      <c r="SV53" s="37"/>
      <c r="SW53" s="37"/>
      <c r="SX53" s="37"/>
      <c r="SY53" s="37"/>
      <c r="SZ53" s="37"/>
      <c r="TA53" s="37"/>
      <c r="TB53" s="37"/>
      <c r="TC53" s="37"/>
      <c r="TD53" s="37"/>
      <c r="TE53" s="37"/>
      <c r="TF53" s="37"/>
      <c r="TG53" s="37"/>
      <c r="TH53" s="37"/>
      <c r="TI53" s="37"/>
      <c r="TJ53" s="37"/>
      <c r="TK53" s="37"/>
      <c r="TL53" s="37"/>
      <c r="TM53" s="37"/>
      <c r="TN53" s="37"/>
      <c r="TO53" s="37"/>
      <c r="TP53" s="37"/>
      <c r="TQ53" s="37"/>
      <c r="TR53" s="37"/>
      <c r="TS53" s="37"/>
      <c r="TT53" s="37"/>
      <c r="TU53" s="37"/>
      <c r="TV53" s="37"/>
      <c r="TW53" s="37"/>
      <c r="TX53" s="37"/>
      <c r="TY53" s="37"/>
      <c r="TZ53" s="37"/>
      <c r="UA53" s="37"/>
      <c r="UB53" s="37"/>
      <c r="UC53" s="37"/>
      <c r="UD53" s="37"/>
      <c r="UE53" s="37"/>
      <c r="UF53" s="37"/>
      <c r="UG53" s="37"/>
      <c r="UH53" s="37"/>
      <c r="UI53" s="37"/>
      <c r="UJ53" s="37"/>
      <c r="UK53" s="37"/>
      <c r="UL53" s="37"/>
      <c r="UM53" s="37"/>
      <c r="UN53" s="37"/>
      <c r="UO53" s="37"/>
      <c r="UP53" s="37"/>
      <c r="UQ53" s="37"/>
      <c r="UR53" s="37"/>
      <c r="US53" s="37"/>
      <c r="UT53" s="37"/>
      <c r="UU53" s="37"/>
      <c r="UV53" s="37"/>
      <c r="UW53" s="37"/>
      <c r="UX53" s="37"/>
      <c r="UY53" s="37"/>
      <c r="UZ53" s="37"/>
      <c r="VA53" s="37"/>
      <c r="VB53" s="37"/>
      <c r="VC53" s="37"/>
      <c r="VD53" s="37"/>
      <c r="VE53" s="37"/>
      <c r="VF53" s="37"/>
      <c r="VG53" s="37"/>
      <c r="VH53" s="37"/>
      <c r="VI53" s="37"/>
      <c r="VJ53" s="37"/>
      <c r="VK53" s="37"/>
      <c r="VL53" s="37"/>
      <c r="VM53" s="37"/>
      <c r="VN53" s="37"/>
      <c r="VO53" s="37"/>
      <c r="VP53" s="37"/>
      <c r="VQ53" s="37"/>
      <c r="VR53" s="37"/>
      <c r="VS53" s="37"/>
      <c r="VT53" s="37"/>
      <c r="VU53" s="37"/>
      <c r="VV53" s="37"/>
      <c r="VW53" s="37"/>
      <c r="VX53" s="37"/>
      <c r="VY53" s="37"/>
      <c r="VZ53" s="37"/>
      <c r="WA53" s="37"/>
      <c r="WB53" s="37"/>
      <c r="WC53" s="37"/>
      <c r="WD53" s="37"/>
      <c r="WE53" s="37"/>
      <c r="WF53" s="37"/>
      <c r="WG53" s="37"/>
      <c r="WH53" s="37"/>
      <c r="WI53" s="37"/>
      <c r="WJ53" s="37"/>
      <c r="WK53" s="37"/>
      <c r="WL53" s="37"/>
      <c r="WM53" s="37"/>
      <c r="WN53" s="37"/>
      <c r="WO53" s="37"/>
      <c r="WP53" s="37"/>
      <c r="WQ53" s="37"/>
      <c r="WR53" s="37"/>
      <c r="WS53" s="37"/>
      <c r="WT53" s="37"/>
      <c r="WU53" s="37"/>
      <c r="WV53" s="37"/>
      <c r="WW53" s="37"/>
      <c r="WX53" s="37"/>
      <c r="WY53" s="37"/>
      <c r="WZ53" s="37"/>
      <c r="XA53" s="37"/>
      <c r="XB53" s="37"/>
      <c r="XC53" s="37"/>
      <c r="XD53" s="37"/>
      <c r="XE53" s="37"/>
      <c r="XF53" s="37"/>
      <c r="XG53" s="37"/>
      <c r="XH53" s="37"/>
      <c r="XI53" s="37"/>
      <c r="XJ53" s="37"/>
      <c r="XK53" s="37"/>
      <c r="XL53" s="37"/>
      <c r="XM53" s="37"/>
      <c r="XN53" s="37"/>
      <c r="XO53" s="37"/>
      <c r="XP53" s="37"/>
      <c r="XQ53" s="37"/>
      <c r="XR53" s="37"/>
      <c r="XS53" s="37"/>
      <c r="XT53" s="37"/>
      <c r="XU53" s="37"/>
      <c r="XV53" s="37"/>
      <c r="XW53" s="37"/>
      <c r="XX53" s="37"/>
      <c r="XY53" s="37"/>
      <c r="XZ53" s="37"/>
      <c r="YA53" s="37"/>
      <c r="YB53" s="37"/>
      <c r="YC53" s="37"/>
      <c r="YD53" s="37"/>
      <c r="YE53" s="37"/>
      <c r="YF53" s="37"/>
      <c r="YG53" s="37"/>
      <c r="YH53" s="37"/>
      <c r="YI53" s="37"/>
      <c r="YJ53" s="37"/>
      <c r="YK53" s="37"/>
      <c r="YL53" s="37"/>
      <c r="YM53" s="37"/>
      <c r="YN53" s="37"/>
      <c r="YO53" s="37"/>
      <c r="YP53" s="37"/>
      <c r="YQ53" s="37"/>
      <c r="YR53" s="37"/>
      <c r="YS53" s="37"/>
      <c r="YT53" s="37"/>
      <c r="YU53" s="37"/>
      <c r="YV53" s="37"/>
      <c r="YW53" s="37"/>
      <c r="YX53" s="37"/>
      <c r="YY53" s="37"/>
      <c r="YZ53" s="37"/>
      <c r="ZA53" s="37"/>
      <c r="ZB53" s="37"/>
      <c r="ZC53" s="37"/>
      <c r="ZD53" s="37"/>
      <c r="ZE53" s="37"/>
      <c r="ZF53" s="37"/>
      <c r="ZG53" s="37"/>
      <c r="ZH53" s="37"/>
      <c r="ZI53" s="37"/>
      <c r="ZJ53" s="37"/>
      <c r="ZK53" s="37"/>
      <c r="ZL53" s="37"/>
      <c r="ZM53" s="37"/>
      <c r="ZN53" s="37"/>
      <c r="ZO53" s="37"/>
      <c r="ZP53" s="37"/>
      <c r="ZQ53" s="37"/>
      <c r="ZR53" s="37"/>
      <c r="ZS53" s="37"/>
      <c r="ZT53" s="37"/>
      <c r="ZU53" s="37"/>
      <c r="ZV53" s="37"/>
      <c r="ZW53" s="37"/>
      <c r="ZX53" s="37"/>
      <c r="ZY53" s="37"/>
      <c r="ZZ53" s="37"/>
      <c r="AAA53" s="37"/>
      <c r="AAB53" s="37"/>
      <c r="AAC53" s="37"/>
      <c r="AAD53" s="37"/>
      <c r="AAE53" s="37"/>
      <c r="AAF53" s="37"/>
      <c r="AAG53" s="37"/>
      <c r="AAH53" s="37"/>
      <c r="AAI53" s="37"/>
      <c r="AAJ53" s="37"/>
      <c r="AAK53" s="37"/>
      <c r="AAL53" s="37"/>
      <c r="AAM53" s="37"/>
      <c r="AAN53" s="37"/>
      <c r="AAO53" s="37"/>
      <c r="AAP53" s="37"/>
      <c r="AAQ53" s="37"/>
      <c r="AAR53" s="37"/>
      <c r="AAS53" s="37"/>
      <c r="AAT53" s="37"/>
      <c r="AAU53" s="37"/>
      <c r="AAV53" s="37"/>
      <c r="AAW53" s="37"/>
      <c r="AAX53" s="37"/>
      <c r="AAY53" s="37"/>
      <c r="AAZ53" s="37"/>
      <c r="ABA53" s="37"/>
      <c r="ABB53" s="37"/>
      <c r="ABC53" s="37"/>
      <c r="ABD53" s="37"/>
      <c r="ABE53" s="37"/>
      <c r="ABF53" s="37"/>
      <c r="ABG53" s="37"/>
      <c r="ABH53" s="37"/>
      <c r="ABI53" s="37"/>
      <c r="ABJ53" s="37"/>
      <c r="ABK53" s="37"/>
      <c r="ABL53" s="37"/>
      <c r="ABM53" s="37"/>
      <c r="ABN53" s="37"/>
      <c r="ABO53" s="37"/>
      <c r="ABP53" s="37"/>
      <c r="ABQ53" s="37"/>
      <c r="ABR53" s="37"/>
      <c r="ABS53" s="37"/>
      <c r="ABT53" s="37"/>
      <c r="ABU53" s="37"/>
      <c r="ABV53" s="37"/>
      <c r="ABW53" s="37"/>
      <c r="ABX53" s="37"/>
      <c r="ABY53" s="37"/>
      <c r="ABZ53" s="37"/>
      <c r="ACA53" s="37"/>
      <c r="ACB53" s="37"/>
      <c r="ACC53" s="37"/>
      <c r="ACD53" s="37"/>
      <c r="ACE53" s="37"/>
      <c r="ACF53" s="37"/>
      <c r="ACG53" s="37"/>
      <c r="ACH53" s="37"/>
      <c r="ACI53" s="37"/>
      <c r="ACJ53" s="37"/>
      <c r="ACK53" s="37"/>
      <c r="ACL53" s="37"/>
      <c r="ACM53" s="37"/>
      <c r="ACN53" s="37"/>
      <c r="ACO53" s="37"/>
      <c r="ACP53" s="37"/>
      <c r="ACQ53" s="37"/>
      <c r="ACR53" s="37"/>
      <c r="ACS53" s="37"/>
      <c r="ACT53" s="37"/>
      <c r="ACU53" s="37"/>
      <c r="ACV53" s="37"/>
      <c r="ACW53" s="37"/>
      <c r="ACX53" s="37"/>
      <c r="ACY53" s="37"/>
      <c r="ACZ53" s="37"/>
      <c r="ADA53" s="37"/>
      <c r="ADB53" s="37"/>
      <c r="ADC53" s="37"/>
      <c r="ADD53" s="37"/>
      <c r="ADE53" s="37"/>
      <c r="ADF53" s="37"/>
      <c r="ADG53" s="37"/>
      <c r="ADH53" s="37"/>
      <c r="ADI53" s="37"/>
      <c r="ADJ53" s="37"/>
      <c r="ADK53" s="37"/>
      <c r="ADL53" s="37"/>
      <c r="ADM53" s="37"/>
      <c r="ADN53" s="37"/>
      <c r="ADO53" s="37"/>
      <c r="ADP53" s="37"/>
      <c r="ADQ53" s="37"/>
      <c r="ADR53" s="37"/>
      <c r="ADS53" s="37"/>
      <c r="ADT53" s="37"/>
      <c r="ADU53" s="37"/>
      <c r="ADV53" s="37"/>
      <c r="ADW53" s="37"/>
      <c r="ADX53" s="37"/>
      <c r="ADY53" s="37"/>
      <c r="ADZ53" s="37"/>
      <c r="AEA53" s="37"/>
      <c r="AEB53" s="37"/>
      <c r="AEC53" s="37"/>
      <c r="AED53" s="37"/>
      <c r="AEE53" s="37"/>
      <c r="AEF53" s="37"/>
      <c r="AEG53" s="37"/>
      <c r="AEH53" s="37"/>
      <c r="AEI53" s="37"/>
      <c r="AEJ53" s="37"/>
      <c r="AEK53" s="37"/>
      <c r="AEL53" s="37"/>
      <c r="AEM53" s="37"/>
      <c r="AEN53" s="37"/>
      <c r="AEO53" s="37"/>
      <c r="AEP53" s="37"/>
      <c r="AEQ53" s="37"/>
      <c r="AER53" s="37"/>
      <c r="AES53" s="37"/>
      <c r="AET53" s="37"/>
      <c r="AEU53" s="37"/>
      <c r="AEV53" s="37"/>
      <c r="AEW53" s="37"/>
      <c r="AEX53" s="37"/>
      <c r="AEY53" s="37"/>
      <c r="AEZ53" s="37"/>
      <c r="AFA53" s="37"/>
      <c r="AFB53" s="37"/>
      <c r="AFC53" s="37"/>
      <c r="AFD53" s="37"/>
      <c r="AFE53" s="37"/>
      <c r="AFF53" s="37"/>
      <c r="AFG53" s="37"/>
      <c r="AFH53" s="37"/>
      <c r="AFI53" s="37"/>
      <c r="AFJ53" s="37"/>
      <c r="AFK53" s="37"/>
      <c r="AFL53" s="37"/>
      <c r="AFM53" s="37"/>
      <c r="AFN53" s="37"/>
      <c r="AFO53" s="37"/>
      <c r="AFP53" s="37"/>
      <c r="AFQ53" s="37"/>
      <c r="AFR53" s="37"/>
      <c r="AFS53" s="37"/>
      <c r="AFT53" s="37"/>
      <c r="AFU53" s="37"/>
      <c r="AFV53" s="37"/>
      <c r="AFW53" s="37"/>
      <c r="AFX53" s="37"/>
      <c r="AFY53" s="37"/>
      <c r="AFZ53" s="37"/>
      <c r="AGA53" s="37"/>
      <c r="AGB53" s="37"/>
      <c r="AGC53" s="37"/>
      <c r="AGD53" s="37"/>
      <c r="AGE53" s="37"/>
      <c r="AGF53" s="37"/>
      <c r="AGG53" s="37"/>
      <c r="AGH53" s="37"/>
      <c r="AGI53" s="37"/>
      <c r="AGJ53" s="37"/>
      <c r="AGK53" s="37"/>
      <c r="AGL53" s="37"/>
      <c r="AGM53" s="37"/>
      <c r="AGN53" s="37"/>
      <c r="AGO53" s="37"/>
      <c r="AGP53" s="37"/>
      <c r="AGQ53" s="37"/>
      <c r="AGR53" s="37"/>
      <c r="AGS53" s="37"/>
      <c r="AGT53" s="37"/>
      <c r="AGU53" s="37"/>
      <c r="AGV53" s="37"/>
      <c r="AGW53" s="37"/>
      <c r="AGX53" s="37"/>
      <c r="AGY53" s="37"/>
      <c r="AGZ53" s="37"/>
      <c r="AHA53" s="37"/>
      <c r="AHB53" s="37"/>
      <c r="AHC53" s="37"/>
      <c r="AHD53" s="37"/>
      <c r="AHE53" s="37"/>
      <c r="AHF53" s="37"/>
      <c r="AHG53" s="37"/>
      <c r="AHH53" s="37"/>
      <c r="AHI53" s="37"/>
      <c r="AHJ53" s="37"/>
      <c r="AHK53" s="37"/>
      <c r="AHL53" s="37"/>
      <c r="AHM53" s="37"/>
      <c r="AHN53" s="37"/>
      <c r="AHO53" s="37"/>
      <c r="AHP53" s="37"/>
      <c r="AHQ53" s="37"/>
      <c r="AHR53" s="37"/>
      <c r="AHS53" s="37"/>
      <c r="AHT53" s="37"/>
      <c r="AHU53" s="37"/>
      <c r="AHV53" s="37"/>
      <c r="AHW53" s="37"/>
      <c r="AHX53" s="37"/>
      <c r="AHY53" s="37"/>
      <c r="AHZ53" s="37"/>
      <c r="AIA53" s="37"/>
      <c r="AIB53" s="37"/>
      <c r="AIC53" s="37"/>
      <c r="AID53" s="37"/>
      <c r="AIE53" s="37"/>
      <c r="AIF53" s="37"/>
      <c r="AIG53" s="37"/>
      <c r="AIH53" s="37"/>
      <c r="AII53" s="37"/>
      <c r="AIJ53" s="37"/>
      <c r="AIK53" s="37"/>
      <c r="AIL53" s="37"/>
      <c r="AIM53" s="37"/>
      <c r="AIN53" s="37"/>
      <c r="AIO53" s="37"/>
      <c r="AIP53" s="37"/>
      <c r="AIQ53" s="37"/>
      <c r="AIR53" s="37"/>
      <c r="AIS53" s="37"/>
      <c r="AIT53" s="37"/>
      <c r="AIU53" s="37"/>
      <c r="AIV53" s="37"/>
      <c r="AIW53" s="37"/>
      <c r="AIX53" s="37"/>
      <c r="AIY53" s="37"/>
      <c r="AIZ53" s="37"/>
      <c r="AJA53" s="37"/>
      <c r="AJB53" s="37"/>
      <c r="AJC53" s="37"/>
      <c r="AJD53" s="37"/>
      <c r="AJE53" s="37"/>
      <c r="AJF53" s="37"/>
      <c r="AJG53" s="37"/>
      <c r="AJH53" s="37"/>
      <c r="AJI53" s="37"/>
      <c r="AJJ53" s="37"/>
      <c r="AJK53" s="37"/>
      <c r="AJL53" s="37"/>
      <c r="AJM53" s="37"/>
      <c r="AJN53" s="37"/>
      <c r="AJO53" s="37"/>
      <c r="AJP53" s="37"/>
      <c r="AJQ53" s="37"/>
      <c r="AJR53" s="37"/>
      <c r="AJS53" s="37"/>
      <c r="AJT53" s="37"/>
      <c r="AJU53" s="37"/>
      <c r="AJV53" s="37"/>
      <c r="AJW53" s="37"/>
      <c r="AJX53" s="37"/>
      <c r="AJY53" s="37"/>
      <c r="AJZ53" s="37"/>
      <c r="AKA53" s="37"/>
      <c r="AKB53" s="37"/>
      <c r="AKC53" s="37"/>
      <c r="AKD53" s="37"/>
      <c r="AKE53" s="37"/>
      <c r="AKF53" s="37"/>
      <c r="AKG53" s="37"/>
      <c r="AKH53" s="37"/>
      <c r="AKI53" s="37"/>
      <c r="AKJ53" s="37"/>
      <c r="AKK53" s="37"/>
      <c r="AKL53" s="37"/>
      <c r="AKM53" s="37"/>
      <c r="AKN53" s="37"/>
      <c r="AKO53" s="37"/>
      <c r="AKP53" s="37"/>
      <c r="AKQ53" s="37"/>
      <c r="AKR53" s="37"/>
      <c r="AKS53" s="37"/>
      <c r="AKT53" s="37"/>
      <c r="AKU53" s="37"/>
      <c r="AKV53" s="37"/>
      <c r="AKW53" s="37"/>
      <c r="AKX53" s="37"/>
      <c r="AKY53" s="37"/>
      <c r="AKZ53" s="37"/>
      <c r="ALA53" s="37"/>
      <c r="ALB53" s="37"/>
      <c r="ALC53" s="37"/>
      <c r="ALD53" s="37"/>
      <c r="ALE53" s="37"/>
      <c r="ALF53" s="37"/>
      <c r="ALG53" s="37"/>
      <c r="ALH53" s="37"/>
      <c r="ALI53" s="37"/>
      <c r="ALJ53" s="37"/>
      <c r="ALK53" s="37"/>
      <c r="ALL53" s="37"/>
      <c r="ALM53" s="37"/>
      <c r="ALN53" s="37"/>
      <c r="ALO53" s="37"/>
      <c r="ALP53" s="37"/>
      <c r="ALQ53" s="37"/>
      <c r="ALR53" s="37"/>
      <c r="ALS53" s="37"/>
      <c r="ALT53" s="37"/>
      <c r="ALU53" s="37"/>
      <c r="ALV53" s="37"/>
      <c r="ALW53" s="37"/>
      <c r="ALX53" s="37"/>
      <c r="ALY53" s="37"/>
      <c r="ALZ53" s="37"/>
      <c r="AMA53" s="37"/>
      <c r="AMB53" s="37"/>
      <c r="AMC53" s="37"/>
    </row>
    <row r="54" spans="1:1017" s="38" customFormat="1" ht="19.5" customHeight="1">
      <c r="A54" s="72"/>
      <c r="B54" s="73"/>
      <c r="C54" s="72"/>
      <c r="D54" s="72"/>
      <c r="E54" s="72"/>
      <c r="F54" s="72"/>
      <c r="G54" s="35">
        <v>42</v>
      </c>
      <c r="H54" s="35">
        <v>95</v>
      </c>
      <c r="I54" s="35">
        <v>108</v>
      </c>
      <c r="J54" s="35">
        <v>68</v>
      </c>
      <c r="K54" s="35">
        <v>35</v>
      </c>
      <c r="L54" s="35">
        <v>27</v>
      </c>
      <c r="M54" s="35">
        <v>22</v>
      </c>
      <c r="N54" s="35">
        <v>99</v>
      </c>
      <c r="O54" s="74" t="s">
        <v>98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/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  <c r="OU54" s="37"/>
      <c r="OV54" s="37"/>
      <c r="OW54" s="37"/>
      <c r="OX54" s="37"/>
      <c r="OY54" s="37"/>
      <c r="OZ54" s="37"/>
      <c r="PA54" s="37"/>
      <c r="PB54" s="37"/>
      <c r="PC54" s="37"/>
      <c r="PD54" s="37"/>
      <c r="PE54" s="37"/>
      <c r="PF54" s="37"/>
      <c r="PG54" s="37"/>
      <c r="PH54" s="37"/>
      <c r="PI54" s="37"/>
      <c r="PJ54" s="37"/>
      <c r="PK54" s="37"/>
      <c r="PL54" s="37"/>
      <c r="PM54" s="37"/>
      <c r="PN54" s="37"/>
      <c r="PO54" s="37"/>
      <c r="PP54" s="37"/>
      <c r="PQ54" s="37"/>
      <c r="PR54" s="37"/>
      <c r="PS54" s="37"/>
      <c r="PT54" s="37"/>
      <c r="PU54" s="37"/>
      <c r="PV54" s="37"/>
      <c r="PW54" s="37"/>
      <c r="PX54" s="37"/>
      <c r="PY54" s="37"/>
      <c r="PZ54" s="37"/>
      <c r="QA54" s="37"/>
      <c r="QB54" s="37"/>
      <c r="QC54" s="37"/>
      <c r="QD54" s="37"/>
      <c r="QE54" s="37"/>
      <c r="QF54" s="37"/>
      <c r="QG54" s="37"/>
      <c r="QH54" s="37"/>
      <c r="QI54" s="37"/>
      <c r="QJ54" s="37"/>
      <c r="QK54" s="37"/>
      <c r="QL54" s="37"/>
      <c r="QM54" s="37"/>
      <c r="QN54" s="37"/>
      <c r="QO54" s="37"/>
      <c r="QP54" s="37"/>
      <c r="QQ54" s="37"/>
      <c r="QR54" s="37"/>
      <c r="QS54" s="37"/>
      <c r="QT54" s="37"/>
      <c r="QU54" s="37"/>
      <c r="QV54" s="37"/>
      <c r="QW54" s="37"/>
      <c r="QX54" s="37"/>
      <c r="QY54" s="37"/>
      <c r="QZ54" s="37"/>
      <c r="RA54" s="37"/>
      <c r="RB54" s="37"/>
      <c r="RC54" s="37"/>
      <c r="RD54" s="37"/>
      <c r="RE54" s="37"/>
      <c r="RF54" s="37"/>
      <c r="RG54" s="37"/>
      <c r="RH54" s="37"/>
      <c r="RI54" s="37"/>
      <c r="RJ54" s="37"/>
      <c r="RK54" s="37"/>
      <c r="RL54" s="37"/>
      <c r="RM54" s="37"/>
      <c r="RN54" s="37"/>
      <c r="RO54" s="37"/>
      <c r="RP54" s="37"/>
      <c r="RQ54" s="37"/>
      <c r="RR54" s="37"/>
      <c r="RS54" s="37"/>
      <c r="RT54" s="37"/>
      <c r="RU54" s="37"/>
      <c r="RV54" s="37"/>
      <c r="RW54" s="37"/>
      <c r="RX54" s="37"/>
      <c r="RY54" s="37"/>
      <c r="RZ54" s="37"/>
      <c r="SA54" s="37"/>
      <c r="SB54" s="37"/>
      <c r="SC54" s="37"/>
      <c r="SD54" s="37"/>
      <c r="SE54" s="37"/>
      <c r="SF54" s="37"/>
      <c r="SG54" s="37"/>
      <c r="SH54" s="37"/>
      <c r="SI54" s="37"/>
      <c r="SJ54" s="37"/>
      <c r="SK54" s="37"/>
      <c r="SL54" s="37"/>
      <c r="SM54" s="37"/>
      <c r="SN54" s="37"/>
      <c r="SO54" s="37"/>
      <c r="SP54" s="37"/>
      <c r="SQ54" s="37"/>
      <c r="SR54" s="37"/>
      <c r="SS54" s="37"/>
      <c r="ST54" s="37"/>
      <c r="SU54" s="37"/>
      <c r="SV54" s="37"/>
      <c r="SW54" s="37"/>
      <c r="SX54" s="37"/>
      <c r="SY54" s="37"/>
      <c r="SZ54" s="37"/>
      <c r="TA54" s="37"/>
      <c r="TB54" s="37"/>
      <c r="TC54" s="37"/>
      <c r="TD54" s="37"/>
      <c r="TE54" s="37"/>
      <c r="TF54" s="37"/>
      <c r="TG54" s="37"/>
      <c r="TH54" s="37"/>
      <c r="TI54" s="37"/>
      <c r="TJ54" s="37"/>
      <c r="TK54" s="37"/>
      <c r="TL54" s="37"/>
      <c r="TM54" s="37"/>
      <c r="TN54" s="37"/>
      <c r="TO54" s="37"/>
      <c r="TP54" s="37"/>
      <c r="TQ54" s="37"/>
      <c r="TR54" s="37"/>
      <c r="TS54" s="37"/>
      <c r="TT54" s="37"/>
      <c r="TU54" s="37"/>
      <c r="TV54" s="37"/>
      <c r="TW54" s="37"/>
      <c r="TX54" s="37"/>
      <c r="TY54" s="37"/>
      <c r="TZ54" s="37"/>
      <c r="UA54" s="37"/>
      <c r="UB54" s="37"/>
      <c r="UC54" s="37"/>
      <c r="UD54" s="37"/>
      <c r="UE54" s="37"/>
      <c r="UF54" s="37"/>
      <c r="UG54" s="37"/>
      <c r="UH54" s="37"/>
      <c r="UI54" s="37"/>
      <c r="UJ54" s="37"/>
      <c r="UK54" s="37"/>
      <c r="UL54" s="37"/>
      <c r="UM54" s="37"/>
      <c r="UN54" s="37"/>
      <c r="UO54" s="37"/>
      <c r="UP54" s="37"/>
      <c r="UQ54" s="37"/>
      <c r="UR54" s="37"/>
      <c r="US54" s="37"/>
      <c r="UT54" s="37"/>
      <c r="UU54" s="37"/>
      <c r="UV54" s="37"/>
      <c r="UW54" s="37"/>
      <c r="UX54" s="37"/>
      <c r="UY54" s="37"/>
      <c r="UZ54" s="37"/>
      <c r="VA54" s="37"/>
      <c r="VB54" s="37"/>
      <c r="VC54" s="37"/>
      <c r="VD54" s="37"/>
      <c r="VE54" s="37"/>
      <c r="VF54" s="37"/>
      <c r="VG54" s="37"/>
      <c r="VH54" s="37"/>
      <c r="VI54" s="37"/>
      <c r="VJ54" s="37"/>
      <c r="VK54" s="37"/>
      <c r="VL54" s="37"/>
      <c r="VM54" s="37"/>
      <c r="VN54" s="37"/>
      <c r="VO54" s="37"/>
      <c r="VP54" s="37"/>
      <c r="VQ54" s="37"/>
      <c r="VR54" s="37"/>
      <c r="VS54" s="37"/>
      <c r="VT54" s="37"/>
      <c r="VU54" s="37"/>
      <c r="VV54" s="37"/>
      <c r="VW54" s="37"/>
      <c r="VX54" s="37"/>
      <c r="VY54" s="37"/>
      <c r="VZ54" s="37"/>
      <c r="WA54" s="37"/>
      <c r="WB54" s="37"/>
      <c r="WC54" s="37"/>
      <c r="WD54" s="37"/>
      <c r="WE54" s="37"/>
      <c r="WF54" s="37"/>
      <c r="WG54" s="37"/>
      <c r="WH54" s="37"/>
      <c r="WI54" s="37"/>
      <c r="WJ54" s="37"/>
      <c r="WK54" s="37"/>
      <c r="WL54" s="37"/>
      <c r="WM54" s="37"/>
      <c r="WN54" s="37"/>
      <c r="WO54" s="37"/>
      <c r="WP54" s="37"/>
      <c r="WQ54" s="37"/>
      <c r="WR54" s="37"/>
      <c r="WS54" s="37"/>
      <c r="WT54" s="37"/>
      <c r="WU54" s="37"/>
      <c r="WV54" s="37"/>
      <c r="WW54" s="37"/>
      <c r="WX54" s="37"/>
      <c r="WY54" s="37"/>
      <c r="WZ54" s="37"/>
      <c r="XA54" s="37"/>
      <c r="XB54" s="37"/>
      <c r="XC54" s="37"/>
      <c r="XD54" s="37"/>
      <c r="XE54" s="37"/>
      <c r="XF54" s="37"/>
      <c r="XG54" s="37"/>
      <c r="XH54" s="37"/>
      <c r="XI54" s="37"/>
      <c r="XJ54" s="37"/>
      <c r="XK54" s="37"/>
      <c r="XL54" s="37"/>
      <c r="XM54" s="37"/>
      <c r="XN54" s="37"/>
      <c r="XO54" s="37"/>
      <c r="XP54" s="37"/>
      <c r="XQ54" s="37"/>
      <c r="XR54" s="37"/>
      <c r="XS54" s="37"/>
      <c r="XT54" s="37"/>
      <c r="XU54" s="37"/>
      <c r="XV54" s="37"/>
      <c r="XW54" s="37"/>
      <c r="XX54" s="37"/>
      <c r="XY54" s="37"/>
      <c r="XZ54" s="37"/>
      <c r="YA54" s="37"/>
      <c r="YB54" s="37"/>
      <c r="YC54" s="37"/>
      <c r="YD54" s="37"/>
      <c r="YE54" s="37"/>
      <c r="YF54" s="37"/>
      <c r="YG54" s="37"/>
      <c r="YH54" s="37"/>
      <c r="YI54" s="37"/>
      <c r="YJ54" s="37"/>
      <c r="YK54" s="37"/>
      <c r="YL54" s="37"/>
      <c r="YM54" s="37"/>
      <c r="YN54" s="37"/>
      <c r="YO54" s="37"/>
      <c r="YP54" s="37"/>
      <c r="YQ54" s="37"/>
      <c r="YR54" s="37"/>
      <c r="YS54" s="37"/>
      <c r="YT54" s="37"/>
      <c r="YU54" s="37"/>
      <c r="YV54" s="37"/>
      <c r="YW54" s="37"/>
      <c r="YX54" s="37"/>
      <c r="YY54" s="37"/>
      <c r="YZ54" s="37"/>
      <c r="ZA54" s="37"/>
      <c r="ZB54" s="37"/>
      <c r="ZC54" s="37"/>
      <c r="ZD54" s="37"/>
      <c r="ZE54" s="37"/>
      <c r="ZF54" s="37"/>
      <c r="ZG54" s="37"/>
      <c r="ZH54" s="37"/>
      <c r="ZI54" s="37"/>
      <c r="ZJ54" s="37"/>
      <c r="ZK54" s="37"/>
      <c r="ZL54" s="37"/>
      <c r="ZM54" s="37"/>
      <c r="ZN54" s="37"/>
      <c r="ZO54" s="37"/>
      <c r="ZP54" s="37"/>
      <c r="ZQ54" s="37"/>
      <c r="ZR54" s="37"/>
      <c r="ZS54" s="37"/>
      <c r="ZT54" s="37"/>
      <c r="ZU54" s="37"/>
      <c r="ZV54" s="37"/>
      <c r="ZW54" s="37"/>
      <c r="ZX54" s="37"/>
      <c r="ZY54" s="37"/>
      <c r="ZZ54" s="37"/>
      <c r="AAA54" s="37"/>
      <c r="AAB54" s="37"/>
      <c r="AAC54" s="37"/>
      <c r="AAD54" s="37"/>
      <c r="AAE54" s="37"/>
      <c r="AAF54" s="37"/>
      <c r="AAG54" s="37"/>
      <c r="AAH54" s="37"/>
      <c r="AAI54" s="37"/>
      <c r="AAJ54" s="37"/>
      <c r="AAK54" s="37"/>
      <c r="AAL54" s="37"/>
      <c r="AAM54" s="37"/>
      <c r="AAN54" s="37"/>
      <c r="AAO54" s="37"/>
      <c r="AAP54" s="37"/>
      <c r="AAQ54" s="37"/>
      <c r="AAR54" s="37"/>
      <c r="AAS54" s="37"/>
      <c r="AAT54" s="37"/>
      <c r="AAU54" s="37"/>
      <c r="AAV54" s="37"/>
      <c r="AAW54" s="37"/>
      <c r="AAX54" s="37"/>
      <c r="AAY54" s="37"/>
      <c r="AAZ54" s="37"/>
      <c r="ABA54" s="37"/>
      <c r="ABB54" s="37"/>
      <c r="ABC54" s="37"/>
      <c r="ABD54" s="37"/>
      <c r="ABE54" s="37"/>
      <c r="ABF54" s="37"/>
      <c r="ABG54" s="37"/>
      <c r="ABH54" s="37"/>
      <c r="ABI54" s="37"/>
      <c r="ABJ54" s="37"/>
      <c r="ABK54" s="37"/>
      <c r="ABL54" s="37"/>
      <c r="ABM54" s="37"/>
      <c r="ABN54" s="37"/>
      <c r="ABO54" s="37"/>
      <c r="ABP54" s="37"/>
      <c r="ABQ54" s="37"/>
      <c r="ABR54" s="37"/>
      <c r="ABS54" s="37"/>
      <c r="ABT54" s="37"/>
      <c r="ABU54" s="37"/>
      <c r="ABV54" s="37"/>
      <c r="ABW54" s="37"/>
      <c r="ABX54" s="37"/>
      <c r="ABY54" s="37"/>
      <c r="ABZ54" s="37"/>
      <c r="ACA54" s="37"/>
      <c r="ACB54" s="37"/>
      <c r="ACC54" s="37"/>
      <c r="ACD54" s="37"/>
      <c r="ACE54" s="37"/>
      <c r="ACF54" s="37"/>
      <c r="ACG54" s="37"/>
      <c r="ACH54" s="37"/>
      <c r="ACI54" s="37"/>
      <c r="ACJ54" s="37"/>
      <c r="ACK54" s="37"/>
      <c r="ACL54" s="37"/>
      <c r="ACM54" s="37"/>
      <c r="ACN54" s="37"/>
      <c r="ACO54" s="37"/>
      <c r="ACP54" s="37"/>
      <c r="ACQ54" s="37"/>
      <c r="ACR54" s="37"/>
      <c r="ACS54" s="37"/>
      <c r="ACT54" s="37"/>
      <c r="ACU54" s="37"/>
      <c r="ACV54" s="37"/>
      <c r="ACW54" s="37"/>
      <c r="ACX54" s="37"/>
      <c r="ACY54" s="37"/>
      <c r="ACZ54" s="37"/>
      <c r="ADA54" s="37"/>
      <c r="ADB54" s="37"/>
      <c r="ADC54" s="37"/>
      <c r="ADD54" s="37"/>
      <c r="ADE54" s="37"/>
      <c r="ADF54" s="37"/>
      <c r="ADG54" s="37"/>
      <c r="ADH54" s="37"/>
      <c r="ADI54" s="37"/>
      <c r="ADJ54" s="37"/>
      <c r="ADK54" s="37"/>
      <c r="ADL54" s="37"/>
      <c r="ADM54" s="37"/>
      <c r="ADN54" s="37"/>
      <c r="ADO54" s="37"/>
      <c r="ADP54" s="37"/>
      <c r="ADQ54" s="37"/>
      <c r="ADR54" s="37"/>
      <c r="ADS54" s="37"/>
      <c r="ADT54" s="37"/>
      <c r="ADU54" s="37"/>
      <c r="ADV54" s="37"/>
      <c r="ADW54" s="37"/>
      <c r="ADX54" s="37"/>
      <c r="ADY54" s="37"/>
      <c r="ADZ54" s="37"/>
      <c r="AEA54" s="37"/>
      <c r="AEB54" s="37"/>
      <c r="AEC54" s="37"/>
      <c r="AED54" s="37"/>
      <c r="AEE54" s="37"/>
      <c r="AEF54" s="37"/>
      <c r="AEG54" s="37"/>
      <c r="AEH54" s="37"/>
      <c r="AEI54" s="37"/>
      <c r="AEJ54" s="37"/>
      <c r="AEK54" s="37"/>
      <c r="AEL54" s="37"/>
      <c r="AEM54" s="37"/>
      <c r="AEN54" s="37"/>
      <c r="AEO54" s="37"/>
      <c r="AEP54" s="37"/>
      <c r="AEQ54" s="37"/>
      <c r="AER54" s="37"/>
      <c r="AES54" s="37"/>
      <c r="AET54" s="37"/>
      <c r="AEU54" s="37"/>
      <c r="AEV54" s="37"/>
      <c r="AEW54" s="37"/>
      <c r="AEX54" s="37"/>
      <c r="AEY54" s="37"/>
      <c r="AEZ54" s="37"/>
      <c r="AFA54" s="37"/>
      <c r="AFB54" s="37"/>
      <c r="AFC54" s="37"/>
      <c r="AFD54" s="37"/>
      <c r="AFE54" s="37"/>
      <c r="AFF54" s="37"/>
      <c r="AFG54" s="37"/>
      <c r="AFH54" s="37"/>
      <c r="AFI54" s="37"/>
      <c r="AFJ54" s="37"/>
      <c r="AFK54" s="37"/>
      <c r="AFL54" s="37"/>
      <c r="AFM54" s="37"/>
      <c r="AFN54" s="37"/>
      <c r="AFO54" s="37"/>
      <c r="AFP54" s="37"/>
      <c r="AFQ54" s="37"/>
      <c r="AFR54" s="37"/>
      <c r="AFS54" s="37"/>
      <c r="AFT54" s="37"/>
      <c r="AFU54" s="37"/>
      <c r="AFV54" s="37"/>
      <c r="AFW54" s="37"/>
      <c r="AFX54" s="37"/>
      <c r="AFY54" s="37"/>
      <c r="AFZ54" s="37"/>
      <c r="AGA54" s="37"/>
      <c r="AGB54" s="37"/>
      <c r="AGC54" s="37"/>
      <c r="AGD54" s="37"/>
      <c r="AGE54" s="37"/>
      <c r="AGF54" s="37"/>
      <c r="AGG54" s="37"/>
      <c r="AGH54" s="37"/>
      <c r="AGI54" s="37"/>
      <c r="AGJ54" s="37"/>
      <c r="AGK54" s="37"/>
      <c r="AGL54" s="37"/>
      <c r="AGM54" s="37"/>
      <c r="AGN54" s="37"/>
      <c r="AGO54" s="37"/>
      <c r="AGP54" s="37"/>
      <c r="AGQ54" s="37"/>
      <c r="AGR54" s="37"/>
      <c r="AGS54" s="37"/>
      <c r="AGT54" s="37"/>
      <c r="AGU54" s="37"/>
      <c r="AGV54" s="37"/>
      <c r="AGW54" s="37"/>
      <c r="AGX54" s="37"/>
      <c r="AGY54" s="37"/>
      <c r="AGZ54" s="37"/>
      <c r="AHA54" s="37"/>
      <c r="AHB54" s="37"/>
      <c r="AHC54" s="37"/>
      <c r="AHD54" s="37"/>
      <c r="AHE54" s="37"/>
      <c r="AHF54" s="37"/>
      <c r="AHG54" s="37"/>
      <c r="AHH54" s="37"/>
      <c r="AHI54" s="37"/>
      <c r="AHJ54" s="37"/>
      <c r="AHK54" s="37"/>
      <c r="AHL54" s="37"/>
      <c r="AHM54" s="37"/>
      <c r="AHN54" s="37"/>
      <c r="AHO54" s="37"/>
      <c r="AHP54" s="37"/>
      <c r="AHQ54" s="37"/>
      <c r="AHR54" s="37"/>
      <c r="AHS54" s="37"/>
      <c r="AHT54" s="37"/>
      <c r="AHU54" s="37"/>
      <c r="AHV54" s="37"/>
      <c r="AHW54" s="37"/>
      <c r="AHX54" s="37"/>
      <c r="AHY54" s="37"/>
      <c r="AHZ54" s="37"/>
      <c r="AIA54" s="37"/>
      <c r="AIB54" s="37"/>
      <c r="AIC54" s="37"/>
      <c r="AID54" s="37"/>
      <c r="AIE54" s="37"/>
      <c r="AIF54" s="37"/>
      <c r="AIG54" s="37"/>
      <c r="AIH54" s="37"/>
      <c r="AII54" s="37"/>
      <c r="AIJ54" s="37"/>
      <c r="AIK54" s="37"/>
      <c r="AIL54" s="37"/>
      <c r="AIM54" s="37"/>
      <c r="AIN54" s="37"/>
      <c r="AIO54" s="37"/>
      <c r="AIP54" s="37"/>
      <c r="AIQ54" s="37"/>
      <c r="AIR54" s="37"/>
      <c r="AIS54" s="37"/>
      <c r="AIT54" s="37"/>
      <c r="AIU54" s="37"/>
      <c r="AIV54" s="37"/>
      <c r="AIW54" s="37"/>
      <c r="AIX54" s="37"/>
      <c r="AIY54" s="37"/>
      <c r="AIZ54" s="37"/>
      <c r="AJA54" s="37"/>
      <c r="AJB54" s="37"/>
      <c r="AJC54" s="37"/>
      <c r="AJD54" s="37"/>
      <c r="AJE54" s="37"/>
      <c r="AJF54" s="37"/>
      <c r="AJG54" s="37"/>
      <c r="AJH54" s="37"/>
      <c r="AJI54" s="37"/>
      <c r="AJJ54" s="37"/>
      <c r="AJK54" s="37"/>
      <c r="AJL54" s="37"/>
      <c r="AJM54" s="37"/>
      <c r="AJN54" s="37"/>
      <c r="AJO54" s="37"/>
      <c r="AJP54" s="37"/>
      <c r="AJQ54" s="37"/>
      <c r="AJR54" s="37"/>
      <c r="AJS54" s="37"/>
      <c r="AJT54" s="37"/>
      <c r="AJU54" s="37"/>
      <c r="AJV54" s="37"/>
      <c r="AJW54" s="37"/>
      <c r="AJX54" s="37"/>
      <c r="AJY54" s="37"/>
      <c r="AJZ54" s="37"/>
      <c r="AKA54" s="37"/>
      <c r="AKB54" s="37"/>
      <c r="AKC54" s="37"/>
      <c r="AKD54" s="37"/>
      <c r="AKE54" s="37"/>
      <c r="AKF54" s="37"/>
      <c r="AKG54" s="37"/>
      <c r="AKH54" s="37"/>
      <c r="AKI54" s="37"/>
      <c r="AKJ54" s="37"/>
      <c r="AKK54" s="37"/>
      <c r="AKL54" s="37"/>
      <c r="AKM54" s="37"/>
      <c r="AKN54" s="37"/>
      <c r="AKO54" s="37"/>
      <c r="AKP54" s="37"/>
      <c r="AKQ54" s="37"/>
      <c r="AKR54" s="37"/>
      <c r="AKS54" s="37"/>
      <c r="AKT54" s="37"/>
      <c r="AKU54" s="37"/>
      <c r="AKV54" s="37"/>
      <c r="AKW54" s="37"/>
      <c r="AKX54" s="37"/>
      <c r="AKY54" s="37"/>
      <c r="AKZ54" s="37"/>
      <c r="ALA54" s="37"/>
      <c r="ALB54" s="37"/>
      <c r="ALC54" s="37"/>
      <c r="ALD54" s="37"/>
      <c r="ALE54" s="37"/>
      <c r="ALF54" s="37"/>
      <c r="ALG54" s="37"/>
      <c r="ALH54" s="37"/>
      <c r="ALI54" s="37"/>
      <c r="ALJ54" s="37"/>
      <c r="ALK54" s="37"/>
      <c r="ALL54" s="37"/>
      <c r="ALM54" s="37"/>
      <c r="ALN54" s="37"/>
      <c r="ALO54" s="37"/>
      <c r="ALP54" s="37"/>
      <c r="ALQ54" s="37"/>
      <c r="ALR54" s="37"/>
      <c r="ALS54" s="37"/>
      <c r="ALT54" s="37"/>
      <c r="ALU54" s="37"/>
      <c r="ALV54" s="37"/>
      <c r="ALW54" s="37"/>
      <c r="ALX54" s="37"/>
      <c r="ALY54" s="37"/>
      <c r="ALZ54" s="37"/>
      <c r="AMA54" s="37"/>
      <c r="AMB54" s="37"/>
      <c r="AMC54" s="37"/>
    </row>
    <row r="55" spans="1:1017" s="38" customFormat="1" ht="19.5" customHeight="1">
      <c r="A55" s="75"/>
      <c r="B55" s="76"/>
      <c r="C55" s="75"/>
      <c r="D55" s="75"/>
      <c r="E55" s="75"/>
      <c r="F55" s="75"/>
      <c r="G55" s="77">
        <v>46</v>
      </c>
      <c r="H55" s="77">
        <v>63</v>
      </c>
      <c r="I55" s="77">
        <v>20</v>
      </c>
      <c r="J55" s="77">
        <v>15</v>
      </c>
      <c r="K55" s="77">
        <v>108</v>
      </c>
      <c r="L55" s="77">
        <v>102</v>
      </c>
      <c r="M55" s="77">
        <v>110</v>
      </c>
      <c r="N55" s="77"/>
      <c r="O55" s="7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/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  <c r="OU55" s="37"/>
      <c r="OV55" s="37"/>
      <c r="OW55" s="37"/>
      <c r="OX55" s="37"/>
      <c r="OY55" s="37"/>
      <c r="OZ55" s="37"/>
      <c r="PA55" s="37"/>
      <c r="PB55" s="37"/>
      <c r="PC55" s="37"/>
      <c r="PD55" s="37"/>
      <c r="PE55" s="37"/>
      <c r="PF55" s="37"/>
      <c r="PG55" s="37"/>
      <c r="PH55" s="37"/>
      <c r="PI55" s="37"/>
      <c r="PJ55" s="37"/>
      <c r="PK55" s="37"/>
      <c r="PL55" s="37"/>
      <c r="PM55" s="37"/>
      <c r="PN55" s="37"/>
      <c r="PO55" s="37"/>
      <c r="PP55" s="37"/>
      <c r="PQ55" s="37"/>
      <c r="PR55" s="37"/>
      <c r="PS55" s="37"/>
      <c r="PT55" s="37"/>
      <c r="PU55" s="37"/>
      <c r="PV55" s="37"/>
      <c r="PW55" s="37"/>
      <c r="PX55" s="37"/>
      <c r="PY55" s="37"/>
      <c r="PZ55" s="37"/>
      <c r="QA55" s="37"/>
      <c r="QB55" s="37"/>
      <c r="QC55" s="37"/>
      <c r="QD55" s="37"/>
      <c r="QE55" s="37"/>
      <c r="QF55" s="37"/>
      <c r="QG55" s="37"/>
      <c r="QH55" s="37"/>
      <c r="QI55" s="37"/>
      <c r="QJ55" s="37"/>
      <c r="QK55" s="37"/>
      <c r="QL55" s="37"/>
      <c r="QM55" s="37"/>
      <c r="QN55" s="37"/>
      <c r="QO55" s="37"/>
      <c r="QP55" s="37"/>
      <c r="QQ55" s="37"/>
      <c r="QR55" s="37"/>
      <c r="QS55" s="37"/>
      <c r="QT55" s="37"/>
      <c r="QU55" s="37"/>
      <c r="QV55" s="37"/>
      <c r="QW55" s="37"/>
      <c r="QX55" s="37"/>
      <c r="QY55" s="37"/>
      <c r="QZ55" s="37"/>
      <c r="RA55" s="37"/>
      <c r="RB55" s="37"/>
      <c r="RC55" s="37"/>
      <c r="RD55" s="37"/>
      <c r="RE55" s="37"/>
      <c r="RF55" s="37"/>
      <c r="RG55" s="37"/>
      <c r="RH55" s="37"/>
      <c r="RI55" s="37"/>
      <c r="RJ55" s="37"/>
      <c r="RK55" s="37"/>
      <c r="RL55" s="37"/>
      <c r="RM55" s="37"/>
      <c r="RN55" s="37"/>
      <c r="RO55" s="37"/>
      <c r="RP55" s="37"/>
      <c r="RQ55" s="37"/>
      <c r="RR55" s="37"/>
      <c r="RS55" s="37"/>
      <c r="RT55" s="37"/>
      <c r="RU55" s="37"/>
      <c r="RV55" s="37"/>
      <c r="RW55" s="37"/>
      <c r="RX55" s="37"/>
      <c r="RY55" s="37"/>
      <c r="RZ55" s="37"/>
      <c r="SA55" s="37"/>
      <c r="SB55" s="37"/>
      <c r="SC55" s="37"/>
      <c r="SD55" s="37"/>
      <c r="SE55" s="37"/>
      <c r="SF55" s="37"/>
      <c r="SG55" s="37"/>
      <c r="SH55" s="37"/>
      <c r="SI55" s="37"/>
      <c r="SJ55" s="37"/>
      <c r="SK55" s="37"/>
      <c r="SL55" s="37"/>
      <c r="SM55" s="37"/>
      <c r="SN55" s="37"/>
      <c r="SO55" s="37"/>
      <c r="SP55" s="37"/>
      <c r="SQ55" s="37"/>
      <c r="SR55" s="37"/>
      <c r="SS55" s="37"/>
      <c r="ST55" s="37"/>
      <c r="SU55" s="37"/>
      <c r="SV55" s="37"/>
      <c r="SW55" s="37"/>
      <c r="SX55" s="37"/>
      <c r="SY55" s="37"/>
      <c r="SZ55" s="37"/>
      <c r="TA55" s="37"/>
      <c r="TB55" s="37"/>
      <c r="TC55" s="37"/>
      <c r="TD55" s="37"/>
      <c r="TE55" s="37"/>
      <c r="TF55" s="37"/>
      <c r="TG55" s="37"/>
      <c r="TH55" s="37"/>
      <c r="TI55" s="37"/>
      <c r="TJ55" s="37"/>
      <c r="TK55" s="37"/>
      <c r="TL55" s="37"/>
      <c r="TM55" s="37"/>
      <c r="TN55" s="37"/>
      <c r="TO55" s="37"/>
      <c r="TP55" s="37"/>
      <c r="TQ55" s="37"/>
      <c r="TR55" s="37"/>
      <c r="TS55" s="37"/>
      <c r="TT55" s="37"/>
      <c r="TU55" s="37"/>
      <c r="TV55" s="37"/>
      <c r="TW55" s="37"/>
      <c r="TX55" s="37"/>
      <c r="TY55" s="37"/>
      <c r="TZ55" s="37"/>
      <c r="UA55" s="37"/>
      <c r="UB55" s="37"/>
      <c r="UC55" s="37"/>
      <c r="UD55" s="37"/>
      <c r="UE55" s="37"/>
      <c r="UF55" s="37"/>
      <c r="UG55" s="37"/>
      <c r="UH55" s="37"/>
      <c r="UI55" s="37"/>
      <c r="UJ55" s="37"/>
      <c r="UK55" s="37"/>
      <c r="UL55" s="37"/>
      <c r="UM55" s="37"/>
      <c r="UN55" s="37"/>
      <c r="UO55" s="37"/>
      <c r="UP55" s="37"/>
      <c r="UQ55" s="37"/>
      <c r="UR55" s="37"/>
      <c r="US55" s="37"/>
      <c r="UT55" s="37"/>
      <c r="UU55" s="37"/>
      <c r="UV55" s="37"/>
      <c r="UW55" s="37"/>
      <c r="UX55" s="37"/>
      <c r="UY55" s="37"/>
      <c r="UZ55" s="37"/>
      <c r="VA55" s="37"/>
      <c r="VB55" s="37"/>
      <c r="VC55" s="37"/>
      <c r="VD55" s="37"/>
      <c r="VE55" s="37"/>
      <c r="VF55" s="37"/>
      <c r="VG55" s="37"/>
      <c r="VH55" s="37"/>
      <c r="VI55" s="37"/>
      <c r="VJ55" s="37"/>
      <c r="VK55" s="37"/>
      <c r="VL55" s="37"/>
      <c r="VM55" s="37"/>
      <c r="VN55" s="37"/>
      <c r="VO55" s="37"/>
      <c r="VP55" s="37"/>
      <c r="VQ55" s="37"/>
      <c r="VR55" s="37"/>
      <c r="VS55" s="37"/>
      <c r="VT55" s="37"/>
      <c r="VU55" s="37"/>
      <c r="VV55" s="37"/>
      <c r="VW55" s="37"/>
      <c r="VX55" s="37"/>
      <c r="VY55" s="37"/>
      <c r="VZ55" s="37"/>
      <c r="WA55" s="37"/>
      <c r="WB55" s="37"/>
      <c r="WC55" s="37"/>
      <c r="WD55" s="37"/>
      <c r="WE55" s="37"/>
      <c r="WF55" s="37"/>
      <c r="WG55" s="37"/>
      <c r="WH55" s="37"/>
      <c r="WI55" s="37"/>
      <c r="WJ55" s="37"/>
      <c r="WK55" s="37"/>
      <c r="WL55" s="37"/>
      <c r="WM55" s="37"/>
      <c r="WN55" s="37"/>
      <c r="WO55" s="37"/>
      <c r="WP55" s="37"/>
      <c r="WQ55" s="37"/>
      <c r="WR55" s="37"/>
      <c r="WS55" s="37"/>
      <c r="WT55" s="37"/>
      <c r="WU55" s="37"/>
      <c r="WV55" s="37"/>
      <c r="WW55" s="37"/>
      <c r="WX55" s="37"/>
      <c r="WY55" s="37"/>
      <c r="WZ55" s="37"/>
      <c r="XA55" s="37"/>
      <c r="XB55" s="37"/>
      <c r="XC55" s="37"/>
      <c r="XD55" s="37"/>
      <c r="XE55" s="37"/>
      <c r="XF55" s="37"/>
      <c r="XG55" s="37"/>
      <c r="XH55" s="37"/>
      <c r="XI55" s="37"/>
      <c r="XJ55" s="37"/>
      <c r="XK55" s="37"/>
      <c r="XL55" s="37"/>
      <c r="XM55" s="37"/>
      <c r="XN55" s="37"/>
      <c r="XO55" s="37"/>
      <c r="XP55" s="37"/>
      <c r="XQ55" s="37"/>
      <c r="XR55" s="37"/>
      <c r="XS55" s="37"/>
      <c r="XT55" s="37"/>
      <c r="XU55" s="37"/>
      <c r="XV55" s="37"/>
      <c r="XW55" s="37"/>
      <c r="XX55" s="37"/>
      <c r="XY55" s="37"/>
      <c r="XZ55" s="37"/>
      <c r="YA55" s="37"/>
      <c r="YB55" s="37"/>
      <c r="YC55" s="37"/>
      <c r="YD55" s="37"/>
      <c r="YE55" s="37"/>
      <c r="YF55" s="37"/>
      <c r="YG55" s="37"/>
      <c r="YH55" s="37"/>
      <c r="YI55" s="37"/>
      <c r="YJ55" s="37"/>
      <c r="YK55" s="37"/>
      <c r="YL55" s="37"/>
      <c r="YM55" s="37"/>
      <c r="YN55" s="37"/>
      <c r="YO55" s="37"/>
      <c r="YP55" s="37"/>
      <c r="YQ55" s="37"/>
      <c r="YR55" s="37"/>
      <c r="YS55" s="37"/>
      <c r="YT55" s="37"/>
      <c r="YU55" s="37"/>
      <c r="YV55" s="37"/>
      <c r="YW55" s="37"/>
      <c r="YX55" s="37"/>
      <c r="YY55" s="37"/>
      <c r="YZ55" s="37"/>
      <c r="ZA55" s="37"/>
      <c r="ZB55" s="37"/>
      <c r="ZC55" s="37"/>
      <c r="ZD55" s="37"/>
      <c r="ZE55" s="37"/>
      <c r="ZF55" s="37"/>
      <c r="ZG55" s="37"/>
      <c r="ZH55" s="37"/>
      <c r="ZI55" s="37"/>
      <c r="ZJ55" s="37"/>
      <c r="ZK55" s="37"/>
      <c r="ZL55" s="37"/>
      <c r="ZM55" s="37"/>
      <c r="ZN55" s="37"/>
      <c r="ZO55" s="37"/>
      <c r="ZP55" s="37"/>
      <c r="ZQ55" s="37"/>
      <c r="ZR55" s="37"/>
      <c r="ZS55" s="37"/>
      <c r="ZT55" s="37"/>
      <c r="ZU55" s="37"/>
      <c r="ZV55" s="37"/>
      <c r="ZW55" s="37"/>
      <c r="ZX55" s="37"/>
      <c r="ZY55" s="37"/>
      <c r="ZZ55" s="37"/>
      <c r="AAA55" s="37"/>
      <c r="AAB55" s="37"/>
      <c r="AAC55" s="37"/>
      <c r="AAD55" s="37"/>
      <c r="AAE55" s="37"/>
      <c r="AAF55" s="37"/>
      <c r="AAG55" s="37"/>
      <c r="AAH55" s="37"/>
      <c r="AAI55" s="37"/>
      <c r="AAJ55" s="37"/>
      <c r="AAK55" s="37"/>
      <c r="AAL55" s="37"/>
      <c r="AAM55" s="37"/>
      <c r="AAN55" s="37"/>
      <c r="AAO55" s="37"/>
      <c r="AAP55" s="37"/>
      <c r="AAQ55" s="37"/>
      <c r="AAR55" s="37"/>
      <c r="AAS55" s="37"/>
      <c r="AAT55" s="37"/>
      <c r="AAU55" s="37"/>
      <c r="AAV55" s="37"/>
      <c r="AAW55" s="37"/>
      <c r="AAX55" s="37"/>
      <c r="AAY55" s="37"/>
      <c r="AAZ55" s="37"/>
      <c r="ABA55" s="37"/>
      <c r="ABB55" s="37"/>
      <c r="ABC55" s="37"/>
      <c r="ABD55" s="37"/>
      <c r="ABE55" s="37"/>
      <c r="ABF55" s="37"/>
      <c r="ABG55" s="37"/>
      <c r="ABH55" s="37"/>
      <c r="ABI55" s="37"/>
      <c r="ABJ55" s="37"/>
      <c r="ABK55" s="37"/>
      <c r="ABL55" s="37"/>
      <c r="ABM55" s="37"/>
      <c r="ABN55" s="37"/>
      <c r="ABO55" s="37"/>
      <c r="ABP55" s="37"/>
      <c r="ABQ55" s="37"/>
      <c r="ABR55" s="37"/>
      <c r="ABS55" s="37"/>
      <c r="ABT55" s="37"/>
      <c r="ABU55" s="37"/>
      <c r="ABV55" s="37"/>
      <c r="ABW55" s="37"/>
      <c r="ABX55" s="37"/>
      <c r="ABY55" s="37"/>
      <c r="ABZ55" s="37"/>
      <c r="ACA55" s="37"/>
      <c r="ACB55" s="37"/>
      <c r="ACC55" s="37"/>
      <c r="ACD55" s="37"/>
      <c r="ACE55" s="37"/>
      <c r="ACF55" s="37"/>
      <c r="ACG55" s="37"/>
      <c r="ACH55" s="37"/>
      <c r="ACI55" s="37"/>
      <c r="ACJ55" s="37"/>
      <c r="ACK55" s="37"/>
      <c r="ACL55" s="37"/>
      <c r="ACM55" s="37"/>
      <c r="ACN55" s="37"/>
      <c r="ACO55" s="37"/>
      <c r="ACP55" s="37"/>
      <c r="ACQ55" s="37"/>
      <c r="ACR55" s="37"/>
      <c r="ACS55" s="37"/>
      <c r="ACT55" s="37"/>
      <c r="ACU55" s="37"/>
      <c r="ACV55" s="37"/>
      <c r="ACW55" s="37"/>
      <c r="ACX55" s="37"/>
      <c r="ACY55" s="37"/>
      <c r="ACZ55" s="37"/>
      <c r="ADA55" s="37"/>
      <c r="ADB55" s="37"/>
      <c r="ADC55" s="37"/>
      <c r="ADD55" s="37"/>
      <c r="ADE55" s="37"/>
      <c r="ADF55" s="37"/>
      <c r="ADG55" s="37"/>
      <c r="ADH55" s="37"/>
      <c r="ADI55" s="37"/>
      <c r="ADJ55" s="37"/>
      <c r="ADK55" s="37"/>
      <c r="ADL55" s="37"/>
      <c r="ADM55" s="37"/>
      <c r="ADN55" s="37"/>
      <c r="ADO55" s="37"/>
      <c r="ADP55" s="37"/>
      <c r="ADQ55" s="37"/>
      <c r="ADR55" s="37"/>
      <c r="ADS55" s="37"/>
      <c r="ADT55" s="37"/>
      <c r="ADU55" s="37"/>
      <c r="ADV55" s="37"/>
      <c r="ADW55" s="37"/>
      <c r="ADX55" s="37"/>
      <c r="ADY55" s="37"/>
      <c r="ADZ55" s="37"/>
      <c r="AEA55" s="37"/>
      <c r="AEB55" s="37"/>
      <c r="AEC55" s="37"/>
      <c r="AED55" s="37"/>
      <c r="AEE55" s="37"/>
      <c r="AEF55" s="37"/>
      <c r="AEG55" s="37"/>
      <c r="AEH55" s="37"/>
      <c r="AEI55" s="37"/>
      <c r="AEJ55" s="37"/>
      <c r="AEK55" s="37"/>
      <c r="AEL55" s="37"/>
      <c r="AEM55" s="37"/>
      <c r="AEN55" s="37"/>
      <c r="AEO55" s="37"/>
      <c r="AEP55" s="37"/>
      <c r="AEQ55" s="37"/>
      <c r="AER55" s="37"/>
      <c r="AES55" s="37"/>
      <c r="AET55" s="37"/>
      <c r="AEU55" s="37"/>
      <c r="AEV55" s="37"/>
      <c r="AEW55" s="37"/>
      <c r="AEX55" s="37"/>
      <c r="AEY55" s="37"/>
      <c r="AEZ55" s="37"/>
      <c r="AFA55" s="37"/>
      <c r="AFB55" s="37"/>
      <c r="AFC55" s="37"/>
      <c r="AFD55" s="37"/>
      <c r="AFE55" s="37"/>
      <c r="AFF55" s="37"/>
      <c r="AFG55" s="37"/>
      <c r="AFH55" s="37"/>
      <c r="AFI55" s="37"/>
      <c r="AFJ55" s="37"/>
      <c r="AFK55" s="37"/>
      <c r="AFL55" s="37"/>
      <c r="AFM55" s="37"/>
      <c r="AFN55" s="37"/>
      <c r="AFO55" s="37"/>
      <c r="AFP55" s="37"/>
      <c r="AFQ55" s="37"/>
      <c r="AFR55" s="37"/>
      <c r="AFS55" s="37"/>
      <c r="AFT55" s="37"/>
      <c r="AFU55" s="37"/>
      <c r="AFV55" s="37"/>
      <c r="AFW55" s="37"/>
      <c r="AFX55" s="37"/>
      <c r="AFY55" s="37"/>
      <c r="AFZ55" s="37"/>
      <c r="AGA55" s="37"/>
      <c r="AGB55" s="37"/>
      <c r="AGC55" s="37"/>
      <c r="AGD55" s="37"/>
      <c r="AGE55" s="37"/>
      <c r="AGF55" s="37"/>
      <c r="AGG55" s="37"/>
      <c r="AGH55" s="37"/>
      <c r="AGI55" s="37"/>
      <c r="AGJ55" s="37"/>
      <c r="AGK55" s="37"/>
      <c r="AGL55" s="37"/>
      <c r="AGM55" s="37"/>
      <c r="AGN55" s="37"/>
      <c r="AGO55" s="37"/>
      <c r="AGP55" s="37"/>
      <c r="AGQ55" s="37"/>
      <c r="AGR55" s="37"/>
      <c r="AGS55" s="37"/>
      <c r="AGT55" s="37"/>
      <c r="AGU55" s="37"/>
      <c r="AGV55" s="37"/>
      <c r="AGW55" s="37"/>
      <c r="AGX55" s="37"/>
      <c r="AGY55" s="37"/>
      <c r="AGZ55" s="37"/>
      <c r="AHA55" s="37"/>
      <c r="AHB55" s="37"/>
      <c r="AHC55" s="37"/>
      <c r="AHD55" s="37"/>
      <c r="AHE55" s="37"/>
      <c r="AHF55" s="37"/>
      <c r="AHG55" s="37"/>
      <c r="AHH55" s="37"/>
      <c r="AHI55" s="37"/>
      <c r="AHJ55" s="37"/>
      <c r="AHK55" s="37"/>
      <c r="AHL55" s="37"/>
      <c r="AHM55" s="37"/>
      <c r="AHN55" s="37"/>
      <c r="AHO55" s="37"/>
      <c r="AHP55" s="37"/>
      <c r="AHQ55" s="37"/>
      <c r="AHR55" s="37"/>
      <c r="AHS55" s="37"/>
      <c r="AHT55" s="37"/>
      <c r="AHU55" s="37"/>
      <c r="AHV55" s="37"/>
      <c r="AHW55" s="37"/>
      <c r="AHX55" s="37"/>
      <c r="AHY55" s="37"/>
      <c r="AHZ55" s="37"/>
      <c r="AIA55" s="37"/>
      <c r="AIB55" s="37"/>
      <c r="AIC55" s="37"/>
      <c r="AID55" s="37"/>
      <c r="AIE55" s="37"/>
      <c r="AIF55" s="37"/>
      <c r="AIG55" s="37"/>
      <c r="AIH55" s="37"/>
      <c r="AII55" s="37"/>
      <c r="AIJ55" s="37"/>
      <c r="AIK55" s="37"/>
      <c r="AIL55" s="37"/>
      <c r="AIM55" s="37"/>
      <c r="AIN55" s="37"/>
      <c r="AIO55" s="37"/>
      <c r="AIP55" s="37"/>
      <c r="AIQ55" s="37"/>
      <c r="AIR55" s="37"/>
      <c r="AIS55" s="37"/>
      <c r="AIT55" s="37"/>
      <c r="AIU55" s="37"/>
      <c r="AIV55" s="37"/>
      <c r="AIW55" s="37"/>
      <c r="AIX55" s="37"/>
      <c r="AIY55" s="37"/>
      <c r="AIZ55" s="37"/>
      <c r="AJA55" s="37"/>
      <c r="AJB55" s="37"/>
      <c r="AJC55" s="37"/>
      <c r="AJD55" s="37"/>
      <c r="AJE55" s="37"/>
      <c r="AJF55" s="37"/>
      <c r="AJG55" s="37"/>
      <c r="AJH55" s="37"/>
      <c r="AJI55" s="37"/>
      <c r="AJJ55" s="37"/>
      <c r="AJK55" s="37"/>
      <c r="AJL55" s="37"/>
      <c r="AJM55" s="37"/>
      <c r="AJN55" s="37"/>
      <c r="AJO55" s="37"/>
      <c r="AJP55" s="37"/>
      <c r="AJQ55" s="37"/>
      <c r="AJR55" s="37"/>
      <c r="AJS55" s="37"/>
      <c r="AJT55" s="37"/>
      <c r="AJU55" s="37"/>
      <c r="AJV55" s="37"/>
      <c r="AJW55" s="37"/>
      <c r="AJX55" s="37"/>
      <c r="AJY55" s="37"/>
      <c r="AJZ55" s="37"/>
      <c r="AKA55" s="37"/>
      <c r="AKB55" s="37"/>
      <c r="AKC55" s="37"/>
      <c r="AKD55" s="37"/>
      <c r="AKE55" s="37"/>
      <c r="AKF55" s="37"/>
      <c r="AKG55" s="37"/>
      <c r="AKH55" s="37"/>
      <c r="AKI55" s="37"/>
      <c r="AKJ55" s="37"/>
      <c r="AKK55" s="37"/>
      <c r="AKL55" s="37"/>
      <c r="AKM55" s="37"/>
      <c r="AKN55" s="37"/>
      <c r="AKO55" s="37"/>
      <c r="AKP55" s="37"/>
      <c r="AKQ55" s="37"/>
      <c r="AKR55" s="37"/>
      <c r="AKS55" s="37"/>
      <c r="AKT55" s="37"/>
      <c r="AKU55" s="37"/>
      <c r="AKV55" s="37"/>
      <c r="AKW55" s="37"/>
      <c r="AKX55" s="37"/>
      <c r="AKY55" s="37"/>
      <c r="AKZ55" s="37"/>
      <c r="ALA55" s="37"/>
      <c r="ALB55" s="37"/>
      <c r="ALC55" s="37"/>
      <c r="ALD55" s="37"/>
      <c r="ALE55" s="37"/>
      <c r="ALF55" s="37"/>
      <c r="ALG55" s="37"/>
      <c r="ALH55" s="37"/>
      <c r="ALI55" s="37"/>
      <c r="ALJ55" s="37"/>
      <c r="ALK55" s="37"/>
      <c r="ALL55" s="37"/>
      <c r="ALM55" s="37"/>
      <c r="ALN55" s="37"/>
      <c r="ALO55" s="37"/>
      <c r="ALP55" s="37"/>
      <c r="ALQ55" s="37"/>
      <c r="ALR55" s="37"/>
      <c r="ALS55" s="37"/>
      <c r="ALT55" s="37"/>
      <c r="ALU55" s="37"/>
      <c r="ALV55" s="37"/>
      <c r="ALW55" s="37"/>
      <c r="ALX55" s="37"/>
      <c r="ALY55" s="37"/>
      <c r="ALZ55" s="37"/>
      <c r="AMA55" s="37"/>
      <c r="AMB55" s="37"/>
      <c r="AMC55" s="37"/>
    </row>
    <row r="56" spans="1:1017" s="38" customFormat="1" ht="19.5" customHeight="1">
      <c r="A56" s="26" t="s">
        <v>119</v>
      </c>
      <c r="B56" s="25" t="s">
        <v>107</v>
      </c>
      <c r="C56" s="26" t="s">
        <v>46</v>
      </c>
      <c r="D56" s="26" t="s">
        <v>32</v>
      </c>
      <c r="E56" s="26" t="s">
        <v>261</v>
      </c>
      <c r="F56" s="26">
        <v>43</v>
      </c>
      <c r="G56" s="26" t="s">
        <v>34</v>
      </c>
      <c r="H56" s="26">
        <v>57</v>
      </c>
      <c r="I56" s="36">
        <v>40</v>
      </c>
      <c r="J56" s="36">
        <v>25</v>
      </c>
      <c r="K56" s="36">
        <v>17</v>
      </c>
      <c r="L56" s="36">
        <v>25</v>
      </c>
      <c r="M56" s="36">
        <v>23</v>
      </c>
      <c r="N56" s="36">
        <v>25</v>
      </c>
      <c r="O56" s="36">
        <v>71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  <c r="OU56" s="37"/>
      <c r="OV56" s="37"/>
      <c r="OW56" s="37"/>
      <c r="OX56" s="37"/>
      <c r="OY56" s="37"/>
      <c r="OZ56" s="37"/>
      <c r="PA56" s="37"/>
      <c r="PB56" s="37"/>
      <c r="PC56" s="37"/>
      <c r="PD56" s="37"/>
      <c r="PE56" s="37"/>
      <c r="PF56" s="37"/>
      <c r="PG56" s="37"/>
      <c r="PH56" s="37"/>
      <c r="PI56" s="37"/>
      <c r="PJ56" s="37"/>
      <c r="PK56" s="37"/>
      <c r="PL56" s="37"/>
      <c r="PM56" s="37"/>
      <c r="PN56" s="37"/>
      <c r="PO56" s="37"/>
      <c r="PP56" s="37"/>
      <c r="PQ56" s="37"/>
      <c r="PR56" s="37"/>
      <c r="PS56" s="37"/>
      <c r="PT56" s="37"/>
      <c r="PU56" s="37"/>
      <c r="PV56" s="37"/>
      <c r="PW56" s="37"/>
      <c r="PX56" s="37"/>
      <c r="PY56" s="37"/>
      <c r="PZ56" s="37"/>
      <c r="QA56" s="37"/>
      <c r="QB56" s="37"/>
      <c r="QC56" s="37"/>
      <c r="QD56" s="37"/>
      <c r="QE56" s="37"/>
      <c r="QF56" s="37"/>
      <c r="QG56" s="37"/>
      <c r="QH56" s="37"/>
      <c r="QI56" s="37"/>
      <c r="QJ56" s="37"/>
      <c r="QK56" s="37"/>
      <c r="QL56" s="37"/>
      <c r="QM56" s="37"/>
      <c r="QN56" s="37"/>
      <c r="QO56" s="37"/>
      <c r="QP56" s="37"/>
      <c r="QQ56" s="37"/>
      <c r="QR56" s="37"/>
      <c r="QS56" s="37"/>
      <c r="QT56" s="37"/>
      <c r="QU56" s="37"/>
      <c r="QV56" s="37"/>
      <c r="QW56" s="37"/>
      <c r="QX56" s="37"/>
      <c r="QY56" s="37"/>
      <c r="QZ56" s="37"/>
      <c r="RA56" s="37"/>
      <c r="RB56" s="37"/>
      <c r="RC56" s="37"/>
      <c r="RD56" s="37"/>
      <c r="RE56" s="37"/>
      <c r="RF56" s="37"/>
      <c r="RG56" s="37"/>
      <c r="RH56" s="37"/>
      <c r="RI56" s="37"/>
      <c r="RJ56" s="37"/>
      <c r="RK56" s="37"/>
      <c r="RL56" s="37"/>
      <c r="RM56" s="37"/>
      <c r="RN56" s="37"/>
      <c r="RO56" s="37"/>
      <c r="RP56" s="37"/>
      <c r="RQ56" s="37"/>
      <c r="RR56" s="37"/>
      <c r="RS56" s="37"/>
      <c r="RT56" s="37"/>
      <c r="RU56" s="37"/>
      <c r="RV56" s="37"/>
      <c r="RW56" s="37"/>
      <c r="RX56" s="37"/>
      <c r="RY56" s="37"/>
      <c r="RZ56" s="37"/>
      <c r="SA56" s="37"/>
      <c r="SB56" s="37"/>
      <c r="SC56" s="37"/>
      <c r="SD56" s="37"/>
      <c r="SE56" s="37"/>
      <c r="SF56" s="37"/>
      <c r="SG56" s="37"/>
      <c r="SH56" s="37"/>
      <c r="SI56" s="37"/>
      <c r="SJ56" s="37"/>
      <c r="SK56" s="37"/>
      <c r="SL56" s="37"/>
      <c r="SM56" s="37"/>
      <c r="SN56" s="37"/>
      <c r="SO56" s="37"/>
      <c r="SP56" s="37"/>
      <c r="SQ56" s="37"/>
      <c r="SR56" s="37"/>
      <c r="SS56" s="37"/>
      <c r="ST56" s="37"/>
      <c r="SU56" s="37"/>
      <c r="SV56" s="37"/>
      <c r="SW56" s="37"/>
      <c r="SX56" s="37"/>
      <c r="SY56" s="37"/>
      <c r="SZ56" s="37"/>
      <c r="TA56" s="37"/>
      <c r="TB56" s="37"/>
      <c r="TC56" s="37"/>
      <c r="TD56" s="37"/>
      <c r="TE56" s="37"/>
      <c r="TF56" s="37"/>
      <c r="TG56" s="37"/>
      <c r="TH56" s="37"/>
      <c r="TI56" s="37"/>
      <c r="TJ56" s="37"/>
      <c r="TK56" s="37"/>
      <c r="TL56" s="37"/>
      <c r="TM56" s="37"/>
      <c r="TN56" s="37"/>
      <c r="TO56" s="37"/>
      <c r="TP56" s="37"/>
      <c r="TQ56" s="37"/>
      <c r="TR56" s="37"/>
      <c r="TS56" s="37"/>
      <c r="TT56" s="37"/>
      <c r="TU56" s="37"/>
      <c r="TV56" s="37"/>
      <c r="TW56" s="37"/>
      <c r="TX56" s="37"/>
      <c r="TY56" s="37"/>
      <c r="TZ56" s="37"/>
      <c r="UA56" s="37"/>
      <c r="UB56" s="37"/>
      <c r="UC56" s="37"/>
      <c r="UD56" s="37"/>
      <c r="UE56" s="37"/>
      <c r="UF56" s="37"/>
      <c r="UG56" s="37"/>
      <c r="UH56" s="37"/>
      <c r="UI56" s="37"/>
      <c r="UJ56" s="37"/>
      <c r="UK56" s="37"/>
      <c r="UL56" s="37"/>
      <c r="UM56" s="37"/>
      <c r="UN56" s="37"/>
      <c r="UO56" s="37"/>
      <c r="UP56" s="37"/>
      <c r="UQ56" s="37"/>
      <c r="UR56" s="37"/>
      <c r="US56" s="37"/>
      <c r="UT56" s="37"/>
      <c r="UU56" s="37"/>
      <c r="UV56" s="37"/>
      <c r="UW56" s="37"/>
      <c r="UX56" s="37"/>
      <c r="UY56" s="37"/>
      <c r="UZ56" s="37"/>
      <c r="VA56" s="37"/>
      <c r="VB56" s="37"/>
      <c r="VC56" s="37"/>
      <c r="VD56" s="37"/>
      <c r="VE56" s="37"/>
      <c r="VF56" s="37"/>
      <c r="VG56" s="37"/>
      <c r="VH56" s="37"/>
      <c r="VI56" s="37"/>
      <c r="VJ56" s="37"/>
      <c r="VK56" s="37"/>
      <c r="VL56" s="37"/>
      <c r="VM56" s="37"/>
      <c r="VN56" s="37"/>
      <c r="VO56" s="37"/>
      <c r="VP56" s="37"/>
      <c r="VQ56" s="37"/>
      <c r="VR56" s="37"/>
      <c r="VS56" s="37"/>
      <c r="VT56" s="37"/>
      <c r="VU56" s="37"/>
      <c r="VV56" s="37"/>
      <c r="VW56" s="37"/>
      <c r="VX56" s="37"/>
      <c r="VY56" s="37"/>
      <c r="VZ56" s="37"/>
      <c r="WA56" s="37"/>
      <c r="WB56" s="37"/>
      <c r="WC56" s="37"/>
      <c r="WD56" s="37"/>
      <c r="WE56" s="37"/>
      <c r="WF56" s="37"/>
      <c r="WG56" s="37"/>
      <c r="WH56" s="37"/>
      <c r="WI56" s="37"/>
      <c r="WJ56" s="37"/>
      <c r="WK56" s="37"/>
      <c r="WL56" s="37"/>
      <c r="WM56" s="37"/>
      <c r="WN56" s="37"/>
      <c r="WO56" s="37"/>
      <c r="WP56" s="37"/>
      <c r="WQ56" s="37"/>
      <c r="WR56" s="37"/>
      <c r="WS56" s="37"/>
      <c r="WT56" s="37"/>
      <c r="WU56" s="37"/>
      <c r="WV56" s="37"/>
      <c r="WW56" s="37"/>
      <c r="WX56" s="37"/>
      <c r="WY56" s="37"/>
      <c r="WZ56" s="37"/>
      <c r="XA56" s="37"/>
      <c r="XB56" s="37"/>
      <c r="XC56" s="37"/>
      <c r="XD56" s="37"/>
      <c r="XE56" s="37"/>
      <c r="XF56" s="37"/>
      <c r="XG56" s="37"/>
      <c r="XH56" s="37"/>
      <c r="XI56" s="37"/>
      <c r="XJ56" s="37"/>
      <c r="XK56" s="37"/>
      <c r="XL56" s="37"/>
      <c r="XM56" s="37"/>
      <c r="XN56" s="37"/>
      <c r="XO56" s="37"/>
      <c r="XP56" s="37"/>
      <c r="XQ56" s="37"/>
      <c r="XR56" s="37"/>
      <c r="XS56" s="37"/>
      <c r="XT56" s="37"/>
      <c r="XU56" s="37"/>
      <c r="XV56" s="37"/>
      <c r="XW56" s="37"/>
      <c r="XX56" s="37"/>
      <c r="XY56" s="37"/>
      <c r="XZ56" s="37"/>
      <c r="YA56" s="37"/>
      <c r="YB56" s="37"/>
      <c r="YC56" s="37"/>
      <c r="YD56" s="37"/>
      <c r="YE56" s="37"/>
      <c r="YF56" s="37"/>
      <c r="YG56" s="37"/>
      <c r="YH56" s="37"/>
      <c r="YI56" s="37"/>
      <c r="YJ56" s="37"/>
      <c r="YK56" s="37"/>
      <c r="YL56" s="37"/>
      <c r="YM56" s="37"/>
      <c r="YN56" s="37"/>
      <c r="YO56" s="37"/>
      <c r="YP56" s="37"/>
      <c r="YQ56" s="37"/>
      <c r="YR56" s="37"/>
      <c r="YS56" s="37"/>
      <c r="YT56" s="37"/>
      <c r="YU56" s="37"/>
      <c r="YV56" s="37"/>
      <c r="YW56" s="37"/>
      <c r="YX56" s="37"/>
      <c r="YY56" s="37"/>
      <c r="YZ56" s="37"/>
      <c r="ZA56" s="37"/>
      <c r="ZB56" s="37"/>
      <c r="ZC56" s="37"/>
      <c r="ZD56" s="37"/>
      <c r="ZE56" s="37"/>
      <c r="ZF56" s="37"/>
      <c r="ZG56" s="37"/>
      <c r="ZH56" s="37"/>
      <c r="ZI56" s="37"/>
      <c r="ZJ56" s="37"/>
      <c r="ZK56" s="37"/>
      <c r="ZL56" s="37"/>
      <c r="ZM56" s="37"/>
      <c r="ZN56" s="37"/>
      <c r="ZO56" s="37"/>
      <c r="ZP56" s="37"/>
      <c r="ZQ56" s="37"/>
      <c r="ZR56" s="37"/>
      <c r="ZS56" s="37"/>
      <c r="ZT56" s="37"/>
      <c r="ZU56" s="37"/>
      <c r="ZV56" s="37"/>
      <c r="ZW56" s="37"/>
      <c r="ZX56" s="37"/>
      <c r="ZY56" s="37"/>
      <c r="ZZ56" s="37"/>
      <c r="AAA56" s="37"/>
      <c r="AAB56" s="37"/>
      <c r="AAC56" s="37"/>
      <c r="AAD56" s="37"/>
      <c r="AAE56" s="37"/>
      <c r="AAF56" s="37"/>
      <c r="AAG56" s="37"/>
      <c r="AAH56" s="37"/>
      <c r="AAI56" s="37"/>
      <c r="AAJ56" s="37"/>
      <c r="AAK56" s="37"/>
      <c r="AAL56" s="37"/>
      <c r="AAM56" s="37"/>
      <c r="AAN56" s="37"/>
      <c r="AAO56" s="37"/>
      <c r="AAP56" s="37"/>
      <c r="AAQ56" s="37"/>
      <c r="AAR56" s="37"/>
      <c r="AAS56" s="37"/>
      <c r="AAT56" s="37"/>
      <c r="AAU56" s="37"/>
      <c r="AAV56" s="37"/>
      <c r="AAW56" s="37"/>
      <c r="AAX56" s="37"/>
      <c r="AAY56" s="37"/>
      <c r="AAZ56" s="37"/>
      <c r="ABA56" s="37"/>
      <c r="ABB56" s="37"/>
      <c r="ABC56" s="37"/>
      <c r="ABD56" s="37"/>
      <c r="ABE56" s="37"/>
      <c r="ABF56" s="37"/>
      <c r="ABG56" s="37"/>
      <c r="ABH56" s="37"/>
      <c r="ABI56" s="37"/>
      <c r="ABJ56" s="37"/>
      <c r="ABK56" s="37"/>
      <c r="ABL56" s="37"/>
      <c r="ABM56" s="37"/>
      <c r="ABN56" s="37"/>
      <c r="ABO56" s="37"/>
      <c r="ABP56" s="37"/>
      <c r="ABQ56" s="37"/>
      <c r="ABR56" s="37"/>
      <c r="ABS56" s="37"/>
      <c r="ABT56" s="37"/>
      <c r="ABU56" s="37"/>
      <c r="ABV56" s="37"/>
      <c r="ABW56" s="37"/>
      <c r="ABX56" s="37"/>
      <c r="ABY56" s="37"/>
      <c r="ABZ56" s="37"/>
      <c r="ACA56" s="37"/>
      <c r="ACB56" s="37"/>
      <c r="ACC56" s="37"/>
      <c r="ACD56" s="37"/>
      <c r="ACE56" s="37"/>
      <c r="ACF56" s="37"/>
      <c r="ACG56" s="37"/>
      <c r="ACH56" s="37"/>
      <c r="ACI56" s="37"/>
      <c r="ACJ56" s="37"/>
      <c r="ACK56" s="37"/>
      <c r="ACL56" s="37"/>
      <c r="ACM56" s="37"/>
      <c r="ACN56" s="37"/>
      <c r="ACO56" s="37"/>
      <c r="ACP56" s="37"/>
      <c r="ACQ56" s="37"/>
      <c r="ACR56" s="37"/>
      <c r="ACS56" s="37"/>
      <c r="ACT56" s="37"/>
      <c r="ACU56" s="37"/>
      <c r="ACV56" s="37"/>
      <c r="ACW56" s="37"/>
      <c r="ACX56" s="37"/>
      <c r="ACY56" s="37"/>
      <c r="ACZ56" s="37"/>
      <c r="ADA56" s="37"/>
      <c r="ADB56" s="37"/>
      <c r="ADC56" s="37"/>
      <c r="ADD56" s="37"/>
      <c r="ADE56" s="37"/>
      <c r="ADF56" s="37"/>
      <c r="ADG56" s="37"/>
      <c r="ADH56" s="37"/>
      <c r="ADI56" s="37"/>
      <c r="ADJ56" s="37"/>
      <c r="ADK56" s="37"/>
      <c r="ADL56" s="37"/>
      <c r="ADM56" s="37"/>
      <c r="ADN56" s="37"/>
      <c r="ADO56" s="37"/>
      <c r="ADP56" s="37"/>
      <c r="ADQ56" s="37"/>
      <c r="ADR56" s="37"/>
      <c r="ADS56" s="37"/>
      <c r="ADT56" s="37"/>
      <c r="ADU56" s="37"/>
      <c r="ADV56" s="37"/>
      <c r="ADW56" s="37"/>
      <c r="ADX56" s="37"/>
      <c r="ADY56" s="37"/>
      <c r="ADZ56" s="37"/>
      <c r="AEA56" s="37"/>
      <c r="AEB56" s="37"/>
      <c r="AEC56" s="37"/>
      <c r="AED56" s="37"/>
      <c r="AEE56" s="37"/>
      <c r="AEF56" s="37"/>
      <c r="AEG56" s="37"/>
      <c r="AEH56" s="37"/>
      <c r="AEI56" s="37"/>
      <c r="AEJ56" s="37"/>
      <c r="AEK56" s="37"/>
      <c r="AEL56" s="37"/>
      <c r="AEM56" s="37"/>
      <c r="AEN56" s="37"/>
      <c r="AEO56" s="37"/>
      <c r="AEP56" s="37"/>
      <c r="AEQ56" s="37"/>
      <c r="AER56" s="37"/>
      <c r="AES56" s="37"/>
      <c r="AET56" s="37"/>
      <c r="AEU56" s="37"/>
      <c r="AEV56" s="37"/>
      <c r="AEW56" s="37"/>
      <c r="AEX56" s="37"/>
      <c r="AEY56" s="37"/>
      <c r="AEZ56" s="37"/>
      <c r="AFA56" s="37"/>
      <c r="AFB56" s="37"/>
      <c r="AFC56" s="37"/>
      <c r="AFD56" s="37"/>
      <c r="AFE56" s="37"/>
      <c r="AFF56" s="37"/>
      <c r="AFG56" s="37"/>
      <c r="AFH56" s="37"/>
      <c r="AFI56" s="37"/>
      <c r="AFJ56" s="37"/>
      <c r="AFK56" s="37"/>
      <c r="AFL56" s="37"/>
      <c r="AFM56" s="37"/>
      <c r="AFN56" s="37"/>
      <c r="AFO56" s="37"/>
      <c r="AFP56" s="37"/>
      <c r="AFQ56" s="37"/>
      <c r="AFR56" s="37"/>
      <c r="AFS56" s="37"/>
      <c r="AFT56" s="37"/>
      <c r="AFU56" s="37"/>
      <c r="AFV56" s="37"/>
      <c r="AFW56" s="37"/>
      <c r="AFX56" s="37"/>
      <c r="AFY56" s="37"/>
      <c r="AFZ56" s="37"/>
      <c r="AGA56" s="37"/>
      <c r="AGB56" s="37"/>
      <c r="AGC56" s="37"/>
      <c r="AGD56" s="37"/>
      <c r="AGE56" s="37"/>
      <c r="AGF56" s="37"/>
      <c r="AGG56" s="37"/>
      <c r="AGH56" s="37"/>
      <c r="AGI56" s="37"/>
      <c r="AGJ56" s="37"/>
      <c r="AGK56" s="37"/>
      <c r="AGL56" s="37"/>
      <c r="AGM56" s="37"/>
      <c r="AGN56" s="37"/>
      <c r="AGO56" s="37"/>
      <c r="AGP56" s="37"/>
      <c r="AGQ56" s="37"/>
      <c r="AGR56" s="37"/>
      <c r="AGS56" s="37"/>
      <c r="AGT56" s="37"/>
      <c r="AGU56" s="37"/>
      <c r="AGV56" s="37"/>
      <c r="AGW56" s="37"/>
      <c r="AGX56" s="37"/>
      <c r="AGY56" s="37"/>
      <c r="AGZ56" s="37"/>
      <c r="AHA56" s="37"/>
      <c r="AHB56" s="37"/>
      <c r="AHC56" s="37"/>
      <c r="AHD56" s="37"/>
      <c r="AHE56" s="37"/>
      <c r="AHF56" s="37"/>
      <c r="AHG56" s="37"/>
      <c r="AHH56" s="37"/>
      <c r="AHI56" s="37"/>
      <c r="AHJ56" s="37"/>
      <c r="AHK56" s="37"/>
      <c r="AHL56" s="37"/>
      <c r="AHM56" s="37"/>
      <c r="AHN56" s="37"/>
      <c r="AHO56" s="37"/>
      <c r="AHP56" s="37"/>
      <c r="AHQ56" s="37"/>
      <c r="AHR56" s="37"/>
      <c r="AHS56" s="37"/>
      <c r="AHT56" s="37"/>
      <c r="AHU56" s="37"/>
      <c r="AHV56" s="37"/>
      <c r="AHW56" s="37"/>
      <c r="AHX56" s="37"/>
      <c r="AHY56" s="37"/>
      <c r="AHZ56" s="37"/>
      <c r="AIA56" s="37"/>
      <c r="AIB56" s="37"/>
      <c r="AIC56" s="37"/>
      <c r="AID56" s="37"/>
      <c r="AIE56" s="37"/>
      <c r="AIF56" s="37"/>
      <c r="AIG56" s="37"/>
      <c r="AIH56" s="37"/>
      <c r="AII56" s="37"/>
      <c r="AIJ56" s="37"/>
      <c r="AIK56" s="37"/>
      <c r="AIL56" s="37"/>
      <c r="AIM56" s="37"/>
      <c r="AIN56" s="37"/>
      <c r="AIO56" s="37"/>
      <c r="AIP56" s="37"/>
      <c r="AIQ56" s="37"/>
      <c r="AIR56" s="37"/>
      <c r="AIS56" s="37"/>
      <c r="AIT56" s="37"/>
      <c r="AIU56" s="37"/>
      <c r="AIV56" s="37"/>
      <c r="AIW56" s="37"/>
      <c r="AIX56" s="37"/>
      <c r="AIY56" s="37"/>
      <c r="AIZ56" s="37"/>
      <c r="AJA56" s="37"/>
      <c r="AJB56" s="37"/>
      <c r="AJC56" s="37"/>
      <c r="AJD56" s="37"/>
      <c r="AJE56" s="37"/>
      <c r="AJF56" s="37"/>
      <c r="AJG56" s="37"/>
      <c r="AJH56" s="37"/>
      <c r="AJI56" s="37"/>
      <c r="AJJ56" s="37"/>
      <c r="AJK56" s="37"/>
      <c r="AJL56" s="37"/>
      <c r="AJM56" s="37"/>
      <c r="AJN56" s="37"/>
      <c r="AJO56" s="37"/>
      <c r="AJP56" s="37"/>
      <c r="AJQ56" s="37"/>
      <c r="AJR56" s="37"/>
      <c r="AJS56" s="37"/>
      <c r="AJT56" s="37"/>
      <c r="AJU56" s="37"/>
      <c r="AJV56" s="37"/>
      <c r="AJW56" s="37"/>
      <c r="AJX56" s="37"/>
      <c r="AJY56" s="37"/>
      <c r="AJZ56" s="37"/>
      <c r="AKA56" s="37"/>
      <c r="AKB56" s="37"/>
      <c r="AKC56" s="37"/>
      <c r="AKD56" s="37"/>
      <c r="AKE56" s="37"/>
      <c r="AKF56" s="37"/>
      <c r="AKG56" s="37"/>
      <c r="AKH56" s="37"/>
      <c r="AKI56" s="37"/>
      <c r="AKJ56" s="37"/>
      <c r="AKK56" s="37"/>
      <c r="AKL56" s="37"/>
      <c r="AKM56" s="37"/>
      <c r="AKN56" s="37"/>
      <c r="AKO56" s="37"/>
      <c r="AKP56" s="37"/>
      <c r="AKQ56" s="37"/>
      <c r="AKR56" s="37"/>
      <c r="AKS56" s="37"/>
      <c r="AKT56" s="37"/>
      <c r="AKU56" s="37"/>
      <c r="AKV56" s="37"/>
      <c r="AKW56" s="37"/>
      <c r="AKX56" s="37"/>
      <c r="AKY56" s="37"/>
      <c r="AKZ56" s="37"/>
      <c r="ALA56" s="37"/>
      <c r="ALB56" s="37"/>
      <c r="ALC56" s="37"/>
      <c r="ALD56" s="37"/>
      <c r="ALE56" s="37"/>
      <c r="ALF56" s="37"/>
      <c r="ALG56" s="37"/>
      <c r="ALH56" s="37"/>
      <c r="ALI56" s="37"/>
      <c r="ALJ56" s="37"/>
      <c r="ALK56" s="37"/>
      <c r="ALL56" s="37"/>
      <c r="ALM56" s="37"/>
      <c r="ALN56" s="37"/>
      <c r="ALO56" s="37"/>
      <c r="ALP56" s="37"/>
      <c r="ALQ56" s="37"/>
      <c r="ALR56" s="37"/>
      <c r="ALS56" s="37"/>
      <c r="ALT56" s="37"/>
      <c r="ALU56" s="37"/>
      <c r="ALV56" s="37"/>
      <c r="ALW56" s="37"/>
      <c r="ALX56" s="37"/>
      <c r="ALY56" s="37"/>
      <c r="ALZ56" s="37"/>
      <c r="AMA56" s="37"/>
      <c r="AMB56" s="37"/>
      <c r="AMC56" s="37"/>
    </row>
    <row r="57" spans="1:1017" s="38" customFormat="1" ht="19.5" customHeight="1">
      <c r="A57" s="72"/>
      <c r="B57" s="73"/>
      <c r="C57" s="72"/>
      <c r="D57" s="72"/>
      <c r="E57" s="72"/>
      <c r="F57" s="72"/>
      <c r="G57" s="35">
        <v>36</v>
      </c>
      <c r="H57" s="35">
        <v>71</v>
      </c>
      <c r="I57" s="35">
        <v>94</v>
      </c>
      <c r="J57" s="35">
        <v>66</v>
      </c>
      <c r="K57" s="35">
        <v>28</v>
      </c>
      <c r="L57" s="35">
        <v>25</v>
      </c>
      <c r="M57" s="35">
        <v>20</v>
      </c>
      <c r="N57" s="35">
        <v>107</v>
      </c>
      <c r="O57" s="74" t="s">
        <v>98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  <c r="OU57" s="37"/>
      <c r="OV57" s="37"/>
      <c r="OW57" s="37"/>
      <c r="OX57" s="37"/>
      <c r="OY57" s="37"/>
      <c r="OZ57" s="37"/>
      <c r="PA57" s="37"/>
      <c r="PB57" s="37"/>
      <c r="PC57" s="37"/>
      <c r="PD57" s="37"/>
      <c r="PE57" s="37"/>
      <c r="PF57" s="37"/>
      <c r="PG57" s="37"/>
      <c r="PH57" s="37"/>
      <c r="PI57" s="37"/>
      <c r="PJ57" s="37"/>
      <c r="PK57" s="37"/>
      <c r="PL57" s="37"/>
      <c r="PM57" s="37"/>
      <c r="PN57" s="37"/>
      <c r="PO57" s="37"/>
      <c r="PP57" s="37"/>
      <c r="PQ57" s="37"/>
      <c r="PR57" s="37"/>
      <c r="PS57" s="37"/>
      <c r="PT57" s="37"/>
      <c r="PU57" s="37"/>
      <c r="PV57" s="37"/>
      <c r="PW57" s="37"/>
      <c r="PX57" s="37"/>
      <c r="PY57" s="37"/>
      <c r="PZ57" s="37"/>
      <c r="QA57" s="37"/>
      <c r="QB57" s="37"/>
      <c r="QC57" s="37"/>
      <c r="QD57" s="37"/>
      <c r="QE57" s="37"/>
      <c r="QF57" s="37"/>
      <c r="QG57" s="37"/>
      <c r="QH57" s="37"/>
      <c r="QI57" s="37"/>
      <c r="QJ57" s="37"/>
      <c r="QK57" s="37"/>
      <c r="QL57" s="37"/>
      <c r="QM57" s="37"/>
      <c r="QN57" s="37"/>
      <c r="QO57" s="37"/>
      <c r="QP57" s="37"/>
      <c r="QQ57" s="37"/>
      <c r="QR57" s="37"/>
      <c r="QS57" s="37"/>
      <c r="QT57" s="37"/>
      <c r="QU57" s="37"/>
      <c r="QV57" s="37"/>
      <c r="QW57" s="37"/>
      <c r="QX57" s="37"/>
      <c r="QY57" s="37"/>
      <c r="QZ57" s="37"/>
      <c r="RA57" s="37"/>
      <c r="RB57" s="37"/>
      <c r="RC57" s="37"/>
      <c r="RD57" s="37"/>
      <c r="RE57" s="37"/>
      <c r="RF57" s="37"/>
      <c r="RG57" s="37"/>
      <c r="RH57" s="37"/>
      <c r="RI57" s="37"/>
      <c r="RJ57" s="37"/>
      <c r="RK57" s="37"/>
      <c r="RL57" s="37"/>
      <c r="RM57" s="37"/>
      <c r="RN57" s="37"/>
      <c r="RO57" s="37"/>
      <c r="RP57" s="37"/>
      <c r="RQ57" s="37"/>
      <c r="RR57" s="37"/>
      <c r="RS57" s="37"/>
      <c r="RT57" s="37"/>
      <c r="RU57" s="37"/>
      <c r="RV57" s="37"/>
      <c r="RW57" s="37"/>
      <c r="RX57" s="37"/>
      <c r="RY57" s="37"/>
      <c r="RZ57" s="37"/>
      <c r="SA57" s="37"/>
      <c r="SB57" s="37"/>
      <c r="SC57" s="37"/>
      <c r="SD57" s="37"/>
      <c r="SE57" s="37"/>
      <c r="SF57" s="37"/>
      <c r="SG57" s="37"/>
      <c r="SH57" s="37"/>
      <c r="SI57" s="37"/>
      <c r="SJ57" s="37"/>
      <c r="SK57" s="37"/>
      <c r="SL57" s="37"/>
      <c r="SM57" s="37"/>
      <c r="SN57" s="37"/>
      <c r="SO57" s="37"/>
      <c r="SP57" s="37"/>
      <c r="SQ57" s="37"/>
      <c r="SR57" s="37"/>
      <c r="SS57" s="37"/>
      <c r="ST57" s="37"/>
      <c r="SU57" s="37"/>
      <c r="SV57" s="37"/>
      <c r="SW57" s="37"/>
      <c r="SX57" s="37"/>
      <c r="SY57" s="37"/>
      <c r="SZ57" s="37"/>
      <c r="TA57" s="37"/>
      <c r="TB57" s="37"/>
      <c r="TC57" s="37"/>
      <c r="TD57" s="37"/>
      <c r="TE57" s="37"/>
      <c r="TF57" s="37"/>
      <c r="TG57" s="37"/>
      <c r="TH57" s="37"/>
      <c r="TI57" s="37"/>
      <c r="TJ57" s="37"/>
      <c r="TK57" s="37"/>
      <c r="TL57" s="37"/>
      <c r="TM57" s="37"/>
      <c r="TN57" s="37"/>
      <c r="TO57" s="37"/>
      <c r="TP57" s="37"/>
      <c r="TQ57" s="37"/>
      <c r="TR57" s="37"/>
      <c r="TS57" s="37"/>
      <c r="TT57" s="37"/>
      <c r="TU57" s="37"/>
      <c r="TV57" s="37"/>
      <c r="TW57" s="37"/>
      <c r="TX57" s="37"/>
      <c r="TY57" s="37"/>
      <c r="TZ57" s="37"/>
      <c r="UA57" s="37"/>
      <c r="UB57" s="37"/>
      <c r="UC57" s="37"/>
      <c r="UD57" s="37"/>
      <c r="UE57" s="37"/>
      <c r="UF57" s="37"/>
      <c r="UG57" s="37"/>
      <c r="UH57" s="37"/>
      <c r="UI57" s="37"/>
      <c r="UJ57" s="37"/>
      <c r="UK57" s="37"/>
      <c r="UL57" s="37"/>
      <c r="UM57" s="37"/>
      <c r="UN57" s="37"/>
      <c r="UO57" s="37"/>
      <c r="UP57" s="37"/>
      <c r="UQ57" s="37"/>
      <c r="UR57" s="37"/>
      <c r="US57" s="37"/>
      <c r="UT57" s="37"/>
      <c r="UU57" s="37"/>
      <c r="UV57" s="37"/>
      <c r="UW57" s="37"/>
      <c r="UX57" s="37"/>
      <c r="UY57" s="37"/>
      <c r="UZ57" s="37"/>
      <c r="VA57" s="37"/>
      <c r="VB57" s="37"/>
      <c r="VC57" s="37"/>
      <c r="VD57" s="37"/>
      <c r="VE57" s="37"/>
      <c r="VF57" s="37"/>
      <c r="VG57" s="37"/>
      <c r="VH57" s="37"/>
      <c r="VI57" s="37"/>
      <c r="VJ57" s="37"/>
      <c r="VK57" s="37"/>
      <c r="VL57" s="37"/>
      <c r="VM57" s="37"/>
      <c r="VN57" s="37"/>
      <c r="VO57" s="37"/>
      <c r="VP57" s="37"/>
      <c r="VQ57" s="37"/>
      <c r="VR57" s="37"/>
      <c r="VS57" s="37"/>
      <c r="VT57" s="37"/>
      <c r="VU57" s="37"/>
      <c r="VV57" s="37"/>
      <c r="VW57" s="37"/>
      <c r="VX57" s="37"/>
      <c r="VY57" s="37"/>
      <c r="VZ57" s="37"/>
      <c r="WA57" s="37"/>
      <c r="WB57" s="37"/>
      <c r="WC57" s="37"/>
      <c r="WD57" s="37"/>
      <c r="WE57" s="37"/>
      <c r="WF57" s="37"/>
      <c r="WG57" s="37"/>
      <c r="WH57" s="37"/>
      <c r="WI57" s="37"/>
      <c r="WJ57" s="37"/>
      <c r="WK57" s="37"/>
      <c r="WL57" s="37"/>
      <c r="WM57" s="37"/>
      <c r="WN57" s="37"/>
      <c r="WO57" s="37"/>
      <c r="WP57" s="37"/>
      <c r="WQ57" s="37"/>
      <c r="WR57" s="37"/>
      <c r="WS57" s="37"/>
      <c r="WT57" s="37"/>
      <c r="WU57" s="37"/>
      <c r="WV57" s="37"/>
      <c r="WW57" s="37"/>
      <c r="WX57" s="37"/>
      <c r="WY57" s="37"/>
      <c r="WZ57" s="37"/>
      <c r="XA57" s="37"/>
      <c r="XB57" s="37"/>
      <c r="XC57" s="37"/>
      <c r="XD57" s="37"/>
      <c r="XE57" s="37"/>
      <c r="XF57" s="37"/>
      <c r="XG57" s="37"/>
      <c r="XH57" s="37"/>
      <c r="XI57" s="37"/>
      <c r="XJ57" s="37"/>
      <c r="XK57" s="37"/>
      <c r="XL57" s="37"/>
      <c r="XM57" s="37"/>
      <c r="XN57" s="37"/>
      <c r="XO57" s="37"/>
      <c r="XP57" s="37"/>
      <c r="XQ57" s="37"/>
      <c r="XR57" s="37"/>
      <c r="XS57" s="37"/>
      <c r="XT57" s="37"/>
      <c r="XU57" s="37"/>
      <c r="XV57" s="37"/>
      <c r="XW57" s="37"/>
      <c r="XX57" s="37"/>
      <c r="XY57" s="37"/>
      <c r="XZ57" s="37"/>
      <c r="YA57" s="37"/>
      <c r="YB57" s="37"/>
      <c r="YC57" s="37"/>
      <c r="YD57" s="37"/>
      <c r="YE57" s="37"/>
      <c r="YF57" s="37"/>
      <c r="YG57" s="37"/>
      <c r="YH57" s="37"/>
      <c r="YI57" s="37"/>
      <c r="YJ57" s="37"/>
      <c r="YK57" s="37"/>
      <c r="YL57" s="37"/>
      <c r="YM57" s="37"/>
      <c r="YN57" s="37"/>
      <c r="YO57" s="37"/>
      <c r="YP57" s="37"/>
      <c r="YQ57" s="37"/>
      <c r="YR57" s="37"/>
      <c r="YS57" s="37"/>
      <c r="YT57" s="37"/>
      <c r="YU57" s="37"/>
      <c r="YV57" s="37"/>
      <c r="YW57" s="37"/>
      <c r="YX57" s="37"/>
      <c r="YY57" s="37"/>
      <c r="YZ57" s="37"/>
      <c r="ZA57" s="37"/>
      <c r="ZB57" s="37"/>
      <c r="ZC57" s="37"/>
      <c r="ZD57" s="37"/>
      <c r="ZE57" s="37"/>
      <c r="ZF57" s="37"/>
      <c r="ZG57" s="37"/>
      <c r="ZH57" s="37"/>
      <c r="ZI57" s="37"/>
      <c r="ZJ57" s="37"/>
      <c r="ZK57" s="37"/>
      <c r="ZL57" s="37"/>
      <c r="ZM57" s="37"/>
      <c r="ZN57" s="37"/>
      <c r="ZO57" s="37"/>
      <c r="ZP57" s="37"/>
      <c r="ZQ57" s="37"/>
      <c r="ZR57" s="37"/>
      <c r="ZS57" s="37"/>
      <c r="ZT57" s="37"/>
      <c r="ZU57" s="37"/>
      <c r="ZV57" s="37"/>
      <c r="ZW57" s="37"/>
      <c r="ZX57" s="37"/>
      <c r="ZY57" s="37"/>
      <c r="ZZ57" s="37"/>
      <c r="AAA57" s="37"/>
      <c r="AAB57" s="37"/>
      <c r="AAC57" s="37"/>
      <c r="AAD57" s="37"/>
      <c r="AAE57" s="37"/>
      <c r="AAF57" s="37"/>
      <c r="AAG57" s="37"/>
      <c r="AAH57" s="37"/>
      <c r="AAI57" s="37"/>
      <c r="AAJ57" s="37"/>
      <c r="AAK57" s="37"/>
      <c r="AAL57" s="37"/>
      <c r="AAM57" s="37"/>
      <c r="AAN57" s="37"/>
      <c r="AAO57" s="37"/>
      <c r="AAP57" s="37"/>
      <c r="AAQ57" s="37"/>
      <c r="AAR57" s="37"/>
      <c r="AAS57" s="37"/>
      <c r="AAT57" s="37"/>
      <c r="AAU57" s="37"/>
      <c r="AAV57" s="37"/>
      <c r="AAW57" s="37"/>
      <c r="AAX57" s="37"/>
      <c r="AAY57" s="37"/>
      <c r="AAZ57" s="37"/>
      <c r="ABA57" s="37"/>
      <c r="ABB57" s="37"/>
      <c r="ABC57" s="37"/>
      <c r="ABD57" s="37"/>
      <c r="ABE57" s="37"/>
      <c r="ABF57" s="37"/>
      <c r="ABG57" s="37"/>
      <c r="ABH57" s="37"/>
      <c r="ABI57" s="37"/>
      <c r="ABJ57" s="37"/>
      <c r="ABK57" s="37"/>
      <c r="ABL57" s="37"/>
      <c r="ABM57" s="37"/>
      <c r="ABN57" s="37"/>
      <c r="ABO57" s="37"/>
      <c r="ABP57" s="37"/>
      <c r="ABQ57" s="37"/>
      <c r="ABR57" s="37"/>
      <c r="ABS57" s="37"/>
      <c r="ABT57" s="37"/>
      <c r="ABU57" s="37"/>
      <c r="ABV57" s="37"/>
      <c r="ABW57" s="37"/>
      <c r="ABX57" s="37"/>
      <c r="ABY57" s="37"/>
      <c r="ABZ57" s="37"/>
      <c r="ACA57" s="37"/>
      <c r="ACB57" s="37"/>
      <c r="ACC57" s="37"/>
      <c r="ACD57" s="37"/>
      <c r="ACE57" s="37"/>
      <c r="ACF57" s="37"/>
      <c r="ACG57" s="37"/>
      <c r="ACH57" s="37"/>
      <c r="ACI57" s="37"/>
      <c r="ACJ57" s="37"/>
      <c r="ACK57" s="37"/>
      <c r="ACL57" s="37"/>
      <c r="ACM57" s="37"/>
      <c r="ACN57" s="37"/>
      <c r="ACO57" s="37"/>
      <c r="ACP57" s="37"/>
      <c r="ACQ57" s="37"/>
      <c r="ACR57" s="37"/>
      <c r="ACS57" s="37"/>
      <c r="ACT57" s="37"/>
      <c r="ACU57" s="37"/>
      <c r="ACV57" s="37"/>
      <c r="ACW57" s="37"/>
      <c r="ACX57" s="37"/>
      <c r="ACY57" s="37"/>
      <c r="ACZ57" s="37"/>
      <c r="ADA57" s="37"/>
      <c r="ADB57" s="37"/>
      <c r="ADC57" s="37"/>
      <c r="ADD57" s="37"/>
      <c r="ADE57" s="37"/>
      <c r="ADF57" s="37"/>
      <c r="ADG57" s="37"/>
      <c r="ADH57" s="37"/>
      <c r="ADI57" s="37"/>
      <c r="ADJ57" s="37"/>
      <c r="ADK57" s="37"/>
      <c r="ADL57" s="37"/>
      <c r="ADM57" s="37"/>
      <c r="ADN57" s="37"/>
      <c r="ADO57" s="37"/>
      <c r="ADP57" s="37"/>
      <c r="ADQ57" s="37"/>
      <c r="ADR57" s="37"/>
      <c r="ADS57" s="37"/>
      <c r="ADT57" s="37"/>
      <c r="ADU57" s="37"/>
      <c r="ADV57" s="37"/>
      <c r="ADW57" s="37"/>
      <c r="ADX57" s="37"/>
      <c r="ADY57" s="37"/>
      <c r="ADZ57" s="37"/>
      <c r="AEA57" s="37"/>
      <c r="AEB57" s="37"/>
      <c r="AEC57" s="37"/>
      <c r="AED57" s="37"/>
      <c r="AEE57" s="37"/>
      <c r="AEF57" s="37"/>
      <c r="AEG57" s="37"/>
      <c r="AEH57" s="37"/>
      <c r="AEI57" s="37"/>
      <c r="AEJ57" s="37"/>
      <c r="AEK57" s="37"/>
      <c r="AEL57" s="37"/>
      <c r="AEM57" s="37"/>
      <c r="AEN57" s="37"/>
      <c r="AEO57" s="37"/>
      <c r="AEP57" s="37"/>
      <c r="AEQ57" s="37"/>
      <c r="AER57" s="37"/>
      <c r="AES57" s="37"/>
      <c r="AET57" s="37"/>
      <c r="AEU57" s="37"/>
      <c r="AEV57" s="37"/>
      <c r="AEW57" s="37"/>
      <c r="AEX57" s="37"/>
      <c r="AEY57" s="37"/>
      <c r="AEZ57" s="37"/>
      <c r="AFA57" s="37"/>
      <c r="AFB57" s="37"/>
      <c r="AFC57" s="37"/>
      <c r="AFD57" s="37"/>
      <c r="AFE57" s="37"/>
      <c r="AFF57" s="37"/>
      <c r="AFG57" s="37"/>
      <c r="AFH57" s="37"/>
      <c r="AFI57" s="37"/>
      <c r="AFJ57" s="37"/>
      <c r="AFK57" s="37"/>
      <c r="AFL57" s="37"/>
      <c r="AFM57" s="37"/>
      <c r="AFN57" s="37"/>
      <c r="AFO57" s="37"/>
      <c r="AFP57" s="37"/>
      <c r="AFQ57" s="37"/>
      <c r="AFR57" s="37"/>
      <c r="AFS57" s="37"/>
      <c r="AFT57" s="37"/>
      <c r="AFU57" s="37"/>
      <c r="AFV57" s="37"/>
      <c r="AFW57" s="37"/>
      <c r="AFX57" s="37"/>
      <c r="AFY57" s="37"/>
      <c r="AFZ57" s="37"/>
      <c r="AGA57" s="37"/>
      <c r="AGB57" s="37"/>
      <c r="AGC57" s="37"/>
      <c r="AGD57" s="37"/>
      <c r="AGE57" s="37"/>
      <c r="AGF57" s="37"/>
      <c r="AGG57" s="37"/>
      <c r="AGH57" s="37"/>
      <c r="AGI57" s="37"/>
      <c r="AGJ57" s="37"/>
      <c r="AGK57" s="37"/>
      <c r="AGL57" s="37"/>
      <c r="AGM57" s="37"/>
      <c r="AGN57" s="37"/>
      <c r="AGO57" s="37"/>
      <c r="AGP57" s="37"/>
      <c r="AGQ57" s="37"/>
      <c r="AGR57" s="37"/>
      <c r="AGS57" s="37"/>
      <c r="AGT57" s="37"/>
      <c r="AGU57" s="37"/>
      <c r="AGV57" s="37"/>
      <c r="AGW57" s="37"/>
      <c r="AGX57" s="37"/>
      <c r="AGY57" s="37"/>
      <c r="AGZ57" s="37"/>
      <c r="AHA57" s="37"/>
      <c r="AHB57" s="37"/>
      <c r="AHC57" s="37"/>
      <c r="AHD57" s="37"/>
      <c r="AHE57" s="37"/>
      <c r="AHF57" s="37"/>
      <c r="AHG57" s="37"/>
      <c r="AHH57" s="37"/>
      <c r="AHI57" s="37"/>
      <c r="AHJ57" s="37"/>
      <c r="AHK57" s="37"/>
      <c r="AHL57" s="37"/>
      <c r="AHM57" s="37"/>
      <c r="AHN57" s="37"/>
      <c r="AHO57" s="37"/>
      <c r="AHP57" s="37"/>
      <c r="AHQ57" s="37"/>
      <c r="AHR57" s="37"/>
      <c r="AHS57" s="37"/>
      <c r="AHT57" s="37"/>
      <c r="AHU57" s="37"/>
      <c r="AHV57" s="37"/>
      <c r="AHW57" s="37"/>
      <c r="AHX57" s="37"/>
      <c r="AHY57" s="37"/>
      <c r="AHZ57" s="37"/>
      <c r="AIA57" s="37"/>
      <c r="AIB57" s="37"/>
      <c r="AIC57" s="37"/>
      <c r="AID57" s="37"/>
      <c r="AIE57" s="37"/>
      <c r="AIF57" s="37"/>
      <c r="AIG57" s="37"/>
      <c r="AIH57" s="37"/>
      <c r="AII57" s="37"/>
      <c r="AIJ57" s="37"/>
      <c r="AIK57" s="37"/>
      <c r="AIL57" s="37"/>
      <c r="AIM57" s="37"/>
      <c r="AIN57" s="37"/>
      <c r="AIO57" s="37"/>
      <c r="AIP57" s="37"/>
      <c r="AIQ57" s="37"/>
      <c r="AIR57" s="37"/>
      <c r="AIS57" s="37"/>
      <c r="AIT57" s="37"/>
      <c r="AIU57" s="37"/>
      <c r="AIV57" s="37"/>
      <c r="AIW57" s="37"/>
      <c r="AIX57" s="37"/>
      <c r="AIY57" s="37"/>
      <c r="AIZ57" s="37"/>
      <c r="AJA57" s="37"/>
      <c r="AJB57" s="37"/>
      <c r="AJC57" s="37"/>
      <c r="AJD57" s="37"/>
      <c r="AJE57" s="37"/>
      <c r="AJF57" s="37"/>
      <c r="AJG57" s="37"/>
      <c r="AJH57" s="37"/>
      <c r="AJI57" s="37"/>
      <c r="AJJ57" s="37"/>
      <c r="AJK57" s="37"/>
      <c r="AJL57" s="37"/>
      <c r="AJM57" s="37"/>
      <c r="AJN57" s="37"/>
      <c r="AJO57" s="37"/>
      <c r="AJP57" s="37"/>
      <c r="AJQ57" s="37"/>
      <c r="AJR57" s="37"/>
      <c r="AJS57" s="37"/>
      <c r="AJT57" s="37"/>
      <c r="AJU57" s="37"/>
      <c r="AJV57" s="37"/>
      <c r="AJW57" s="37"/>
      <c r="AJX57" s="37"/>
      <c r="AJY57" s="37"/>
      <c r="AJZ57" s="37"/>
      <c r="AKA57" s="37"/>
      <c r="AKB57" s="37"/>
      <c r="AKC57" s="37"/>
      <c r="AKD57" s="37"/>
      <c r="AKE57" s="37"/>
      <c r="AKF57" s="37"/>
      <c r="AKG57" s="37"/>
      <c r="AKH57" s="37"/>
      <c r="AKI57" s="37"/>
      <c r="AKJ57" s="37"/>
      <c r="AKK57" s="37"/>
      <c r="AKL57" s="37"/>
      <c r="AKM57" s="37"/>
      <c r="AKN57" s="37"/>
      <c r="AKO57" s="37"/>
      <c r="AKP57" s="37"/>
      <c r="AKQ57" s="37"/>
      <c r="AKR57" s="37"/>
      <c r="AKS57" s="37"/>
      <c r="AKT57" s="37"/>
      <c r="AKU57" s="37"/>
      <c r="AKV57" s="37"/>
      <c r="AKW57" s="37"/>
      <c r="AKX57" s="37"/>
      <c r="AKY57" s="37"/>
      <c r="AKZ57" s="37"/>
      <c r="ALA57" s="37"/>
      <c r="ALB57" s="37"/>
      <c r="ALC57" s="37"/>
      <c r="ALD57" s="37"/>
      <c r="ALE57" s="37"/>
      <c r="ALF57" s="37"/>
      <c r="ALG57" s="37"/>
      <c r="ALH57" s="37"/>
      <c r="ALI57" s="37"/>
      <c r="ALJ57" s="37"/>
      <c r="ALK57" s="37"/>
      <c r="ALL57" s="37"/>
      <c r="ALM57" s="37"/>
      <c r="ALN57" s="37"/>
      <c r="ALO57" s="37"/>
      <c r="ALP57" s="37"/>
      <c r="ALQ57" s="37"/>
      <c r="ALR57" s="37"/>
      <c r="ALS57" s="37"/>
      <c r="ALT57" s="37"/>
      <c r="ALU57" s="37"/>
      <c r="ALV57" s="37"/>
      <c r="ALW57" s="37"/>
      <c r="ALX57" s="37"/>
      <c r="ALY57" s="37"/>
      <c r="ALZ57" s="37"/>
      <c r="AMA57" s="37"/>
      <c r="AMB57" s="37"/>
      <c r="AMC57" s="37"/>
    </row>
    <row r="58" spans="1:1017" s="38" customFormat="1" ht="19.5" customHeight="1">
      <c r="A58" s="75"/>
      <c r="B58" s="76"/>
      <c r="C58" s="75"/>
      <c r="D58" s="75"/>
      <c r="E58" s="75"/>
      <c r="F58" s="75"/>
      <c r="G58" s="77">
        <v>43</v>
      </c>
      <c r="H58" s="77">
        <v>60</v>
      </c>
      <c r="I58" s="77">
        <v>18</v>
      </c>
      <c r="J58" s="77">
        <v>14</v>
      </c>
      <c r="K58" s="77">
        <v>87</v>
      </c>
      <c r="L58" s="77">
        <v>80</v>
      </c>
      <c r="M58" s="77">
        <v>98</v>
      </c>
      <c r="N58" s="77"/>
      <c r="O58" s="7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  <c r="OU58" s="37"/>
      <c r="OV58" s="37"/>
      <c r="OW58" s="37"/>
      <c r="OX58" s="37"/>
      <c r="OY58" s="37"/>
      <c r="OZ58" s="37"/>
      <c r="PA58" s="37"/>
      <c r="PB58" s="37"/>
      <c r="PC58" s="37"/>
      <c r="PD58" s="37"/>
      <c r="PE58" s="37"/>
      <c r="PF58" s="37"/>
      <c r="PG58" s="37"/>
      <c r="PH58" s="37"/>
      <c r="PI58" s="37"/>
      <c r="PJ58" s="37"/>
      <c r="PK58" s="37"/>
      <c r="PL58" s="37"/>
      <c r="PM58" s="37"/>
      <c r="PN58" s="37"/>
      <c r="PO58" s="37"/>
      <c r="PP58" s="37"/>
      <c r="PQ58" s="37"/>
      <c r="PR58" s="37"/>
      <c r="PS58" s="37"/>
      <c r="PT58" s="37"/>
      <c r="PU58" s="37"/>
      <c r="PV58" s="37"/>
      <c r="PW58" s="37"/>
      <c r="PX58" s="37"/>
      <c r="PY58" s="37"/>
      <c r="PZ58" s="37"/>
      <c r="QA58" s="37"/>
      <c r="QB58" s="37"/>
      <c r="QC58" s="37"/>
      <c r="QD58" s="37"/>
      <c r="QE58" s="37"/>
      <c r="QF58" s="37"/>
      <c r="QG58" s="37"/>
      <c r="QH58" s="37"/>
      <c r="QI58" s="37"/>
      <c r="QJ58" s="37"/>
      <c r="QK58" s="37"/>
      <c r="QL58" s="37"/>
      <c r="QM58" s="37"/>
      <c r="QN58" s="37"/>
      <c r="QO58" s="37"/>
      <c r="QP58" s="37"/>
      <c r="QQ58" s="37"/>
      <c r="QR58" s="37"/>
      <c r="QS58" s="37"/>
      <c r="QT58" s="37"/>
      <c r="QU58" s="37"/>
      <c r="QV58" s="37"/>
      <c r="QW58" s="37"/>
      <c r="QX58" s="37"/>
      <c r="QY58" s="37"/>
      <c r="QZ58" s="37"/>
      <c r="RA58" s="37"/>
      <c r="RB58" s="37"/>
      <c r="RC58" s="37"/>
      <c r="RD58" s="37"/>
      <c r="RE58" s="37"/>
      <c r="RF58" s="37"/>
      <c r="RG58" s="37"/>
      <c r="RH58" s="37"/>
      <c r="RI58" s="37"/>
      <c r="RJ58" s="37"/>
      <c r="RK58" s="37"/>
      <c r="RL58" s="37"/>
      <c r="RM58" s="37"/>
      <c r="RN58" s="37"/>
      <c r="RO58" s="37"/>
      <c r="RP58" s="37"/>
      <c r="RQ58" s="37"/>
      <c r="RR58" s="37"/>
      <c r="RS58" s="37"/>
      <c r="RT58" s="37"/>
      <c r="RU58" s="37"/>
      <c r="RV58" s="37"/>
      <c r="RW58" s="37"/>
      <c r="RX58" s="37"/>
      <c r="RY58" s="37"/>
      <c r="RZ58" s="37"/>
      <c r="SA58" s="37"/>
      <c r="SB58" s="37"/>
      <c r="SC58" s="37"/>
      <c r="SD58" s="37"/>
      <c r="SE58" s="37"/>
      <c r="SF58" s="37"/>
      <c r="SG58" s="37"/>
      <c r="SH58" s="37"/>
      <c r="SI58" s="37"/>
      <c r="SJ58" s="37"/>
      <c r="SK58" s="37"/>
      <c r="SL58" s="37"/>
      <c r="SM58" s="37"/>
      <c r="SN58" s="37"/>
      <c r="SO58" s="37"/>
      <c r="SP58" s="37"/>
      <c r="SQ58" s="37"/>
      <c r="SR58" s="37"/>
      <c r="SS58" s="37"/>
      <c r="ST58" s="37"/>
      <c r="SU58" s="37"/>
      <c r="SV58" s="37"/>
      <c r="SW58" s="37"/>
      <c r="SX58" s="37"/>
      <c r="SY58" s="37"/>
      <c r="SZ58" s="37"/>
      <c r="TA58" s="37"/>
      <c r="TB58" s="37"/>
      <c r="TC58" s="37"/>
      <c r="TD58" s="37"/>
      <c r="TE58" s="37"/>
      <c r="TF58" s="37"/>
      <c r="TG58" s="37"/>
      <c r="TH58" s="37"/>
      <c r="TI58" s="37"/>
      <c r="TJ58" s="37"/>
      <c r="TK58" s="37"/>
      <c r="TL58" s="37"/>
      <c r="TM58" s="37"/>
      <c r="TN58" s="37"/>
      <c r="TO58" s="37"/>
      <c r="TP58" s="37"/>
      <c r="TQ58" s="37"/>
      <c r="TR58" s="37"/>
      <c r="TS58" s="37"/>
      <c r="TT58" s="37"/>
      <c r="TU58" s="37"/>
      <c r="TV58" s="37"/>
      <c r="TW58" s="37"/>
      <c r="TX58" s="37"/>
      <c r="TY58" s="37"/>
      <c r="TZ58" s="37"/>
      <c r="UA58" s="37"/>
      <c r="UB58" s="37"/>
      <c r="UC58" s="37"/>
      <c r="UD58" s="37"/>
      <c r="UE58" s="37"/>
      <c r="UF58" s="37"/>
      <c r="UG58" s="37"/>
      <c r="UH58" s="37"/>
      <c r="UI58" s="37"/>
      <c r="UJ58" s="37"/>
      <c r="UK58" s="37"/>
      <c r="UL58" s="37"/>
      <c r="UM58" s="37"/>
      <c r="UN58" s="37"/>
      <c r="UO58" s="37"/>
      <c r="UP58" s="37"/>
      <c r="UQ58" s="37"/>
      <c r="UR58" s="37"/>
      <c r="US58" s="37"/>
      <c r="UT58" s="37"/>
      <c r="UU58" s="37"/>
      <c r="UV58" s="37"/>
      <c r="UW58" s="37"/>
      <c r="UX58" s="37"/>
      <c r="UY58" s="37"/>
      <c r="UZ58" s="37"/>
      <c r="VA58" s="37"/>
      <c r="VB58" s="37"/>
      <c r="VC58" s="37"/>
      <c r="VD58" s="37"/>
      <c r="VE58" s="37"/>
      <c r="VF58" s="37"/>
      <c r="VG58" s="37"/>
      <c r="VH58" s="37"/>
      <c r="VI58" s="37"/>
      <c r="VJ58" s="37"/>
      <c r="VK58" s="37"/>
      <c r="VL58" s="37"/>
      <c r="VM58" s="37"/>
      <c r="VN58" s="37"/>
      <c r="VO58" s="37"/>
      <c r="VP58" s="37"/>
      <c r="VQ58" s="37"/>
      <c r="VR58" s="37"/>
      <c r="VS58" s="37"/>
      <c r="VT58" s="37"/>
      <c r="VU58" s="37"/>
      <c r="VV58" s="37"/>
      <c r="VW58" s="37"/>
      <c r="VX58" s="37"/>
      <c r="VY58" s="37"/>
      <c r="VZ58" s="37"/>
      <c r="WA58" s="37"/>
      <c r="WB58" s="37"/>
      <c r="WC58" s="37"/>
      <c r="WD58" s="37"/>
      <c r="WE58" s="37"/>
      <c r="WF58" s="37"/>
      <c r="WG58" s="37"/>
      <c r="WH58" s="37"/>
      <c r="WI58" s="37"/>
      <c r="WJ58" s="37"/>
      <c r="WK58" s="37"/>
      <c r="WL58" s="37"/>
      <c r="WM58" s="37"/>
      <c r="WN58" s="37"/>
      <c r="WO58" s="37"/>
      <c r="WP58" s="37"/>
      <c r="WQ58" s="37"/>
      <c r="WR58" s="37"/>
      <c r="WS58" s="37"/>
      <c r="WT58" s="37"/>
      <c r="WU58" s="37"/>
      <c r="WV58" s="37"/>
      <c r="WW58" s="37"/>
      <c r="WX58" s="37"/>
      <c r="WY58" s="37"/>
      <c r="WZ58" s="37"/>
      <c r="XA58" s="37"/>
      <c r="XB58" s="37"/>
      <c r="XC58" s="37"/>
      <c r="XD58" s="37"/>
      <c r="XE58" s="37"/>
      <c r="XF58" s="37"/>
      <c r="XG58" s="37"/>
      <c r="XH58" s="37"/>
      <c r="XI58" s="37"/>
      <c r="XJ58" s="37"/>
      <c r="XK58" s="37"/>
      <c r="XL58" s="37"/>
      <c r="XM58" s="37"/>
      <c r="XN58" s="37"/>
      <c r="XO58" s="37"/>
      <c r="XP58" s="37"/>
      <c r="XQ58" s="37"/>
      <c r="XR58" s="37"/>
      <c r="XS58" s="37"/>
      <c r="XT58" s="37"/>
      <c r="XU58" s="37"/>
      <c r="XV58" s="37"/>
      <c r="XW58" s="37"/>
      <c r="XX58" s="37"/>
      <c r="XY58" s="37"/>
      <c r="XZ58" s="37"/>
      <c r="YA58" s="37"/>
      <c r="YB58" s="37"/>
      <c r="YC58" s="37"/>
      <c r="YD58" s="37"/>
      <c r="YE58" s="37"/>
      <c r="YF58" s="37"/>
      <c r="YG58" s="37"/>
      <c r="YH58" s="37"/>
      <c r="YI58" s="37"/>
      <c r="YJ58" s="37"/>
      <c r="YK58" s="37"/>
      <c r="YL58" s="37"/>
      <c r="YM58" s="37"/>
      <c r="YN58" s="37"/>
      <c r="YO58" s="37"/>
      <c r="YP58" s="37"/>
      <c r="YQ58" s="37"/>
      <c r="YR58" s="37"/>
      <c r="YS58" s="37"/>
      <c r="YT58" s="37"/>
      <c r="YU58" s="37"/>
      <c r="YV58" s="37"/>
      <c r="YW58" s="37"/>
      <c r="YX58" s="37"/>
      <c r="YY58" s="37"/>
      <c r="YZ58" s="37"/>
      <c r="ZA58" s="37"/>
      <c r="ZB58" s="37"/>
      <c r="ZC58" s="37"/>
      <c r="ZD58" s="37"/>
      <c r="ZE58" s="37"/>
      <c r="ZF58" s="37"/>
      <c r="ZG58" s="37"/>
      <c r="ZH58" s="37"/>
      <c r="ZI58" s="37"/>
      <c r="ZJ58" s="37"/>
      <c r="ZK58" s="37"/>
      <c r="ZL58" s="37"/>
      <c r="ZM58" s="37"/>
      <c r="ZN58" s="37"/>
      <c r="ZO58" s="37"/>
      <c r="ZP58" s="37"/>
      <c r="ZQ58" s="37"/>
      <c r="ZR58" s="37"/>
      <c r="ZS58" s="37"/>
      <c r="ZT58" s="37"/>
      <c r="ZU58" s="37"/>
      <c r="ZV58" s="37"/>
      <c r="ZW58" s="37"/>
      <c r="ZX58" s="37"/>
      <c r="ZY58" s="37"/>
      <c r="ZZ58" s="37"/>
      <c r="AAA58" s="37"/>
      <c r="AAB58" s="37"/>
      <c r="AAC58" s="37"/>
      <c r="AAD58" s="37"/>
      <c r="AAE58" s="37"/>
      <c r="AAF58" s="37"/>
      <c r="AAG58" s="37"/>
      <c r="AAH58" s="37"/>
      <c r="AAI58" s="37"/>
      <c r="AAJ58" s="37"/>
      <c r="AAK58" s="37"/>
      <c r="AAL58" s="37"/>
      <c r="AAM58" s="37"/>
      <c r="AAN58" s="37"/>
      <c r="AAO58" s="37"/>
      <c r="AAP58" s="37"/>
      <c r="AAQ58" s="37"/>
      <c r="AAR58" s="37"/>
      <c r="AAS58" s="37"/>
      <c r="AAT58" s="37"/>
      <c r="AAU58" s="37"/>
      <c r="AAV58" s="37"/>
      <c r="AAW58" s="37"/>
      <c r="AAX58" s="37"/>
      <c r="AAY58" s="37"/>
      <c r="AAZ58" s="37"/>
      <c r="ABA58" s="37"/>
      <c r="ABB58" s="37"/>
      <c r="ABC58" s="37"/>
      <c r="ABD58" s="37"/>
      <c r="ABE58" s="37"/>
      <c r="ABF58" s="37"/>
      <c r="ABG58" s="37"/>
      <c r="ABH58" s="37"/>
      <c r="ABI58" s="37"/>
      <c r="ABJ58" s="37"/>
      <c r="ABK58" s="37"/>
      <c r="ABL58" s="37"/>
      <c r="ABM58" s="37"/>
      <c r="ABN58" s="37"/>
      <c r="ABO58" s="37"/>
      <c r="ABP58" s="37"/>
      <c r="ABQ58" s="37"/>
      <c r="ABR58" s="37"/>
      <c r="ABS58" s="37"/>
      <c r="ABT58" s="37"/>
      <c r="ABU58" s="37"/>
      <c r="ABV58" s="37"/>
      <c r="ABW58" s="37"/>
      <c r="ABX58" s="37"/>
      <c r="ABY58" s="37"/>
      <c r="ABZ58" s="37"/>
      <c r="ACA58" s="37"/>
      <c r="ACB58" s="37"/>
      <c r="ACC58" s="37"/>
      <c r="ACD58" s="37"/>
      <c r="ACE58" s="37"/>
      <c r="ACF58" s="37"/>
      <c r="ACG58" s="37"/>
      <c r="ACH58" s="37"/>
      <c r="ACI58" s="37"/>
      <c r="ACJ58" s="37"/>
      <c r="ACK58" s="37"/>
      <c r="ACL58" s="37"/>
      <c r="ACM58" s="37"/>
      <c r="ACN58" s="37"/>
      <c r="ACO58" s="37"/>
      <c r="ACP58" s="37"/>
      <c r="ACQ58" s="37"/>
      <c r="ACR58" s="37"/>
      <c r="ACS58" s="37"/>
      <c r="ACT58" s="37"/>
      <c r="ACU58" s="37"/>
      <c r="ACV58" s="37"/>
      <c r="ACW58" s="37"/>
      <c r="ACX58" s="37"/>
      <c r="ACY58" s="37"/>
      <c r="ACZ58" s="37"/>
      <c r="ADA58" s="37"/>
      <c r="ADB58" s="37"/>
      <c r="ADC58" s="37"/>
      <c r="ADD58" s="37"/>
      <c r="ADE58" s="37"/>
      <c r="ADF58" s="37"/>
      <c r="ADG58" s="37"/>
      <c r="ADH58" s="37"/>
      <c r="ADI58" s="37"/>
      <c r="ADJ58" s="37"/>
      <c r="ADK58" s="37"/>
      <c r="ADL58" s="37"/>
      <c r="ADM58" s="37"/>
      <c r="ADN58" s="37"/>
      <c r="ADO58" s="37"/>
      <c r="ADP58" s="37"/>
      <c r="ADQ58" s="37"/>
      <c r="ADR58" s="37"/>
      <c r="ADS58" s="37"/>
      <c r="ADT58" s="37"/>
      <c r="ADU58" s="37"/>
      <c r="ADV58" s="37"/>
      <c r="ADW58" s="37"/>
      <c r="ADX58" s="37"/>
      <c r="ADY58" s="37"/>
      <c r="ADZ58" s="37"/>
      <c r="AEA58" s="37"/>
      <c r="AEB58" s="37"/>
      <c r="AEC58" s="37"/>
      <c r="AED58" s="37"/>
      <c r="AEE58" s="37"/>
      <c r="AEF58" s="37"/>
      <c r="AEG58" s="37"/>
      <c r="AEH58" s="37"/>
      <c r="AEI58" s="37"/>
      <c r="AEJ58" s="37"/>
      <c r="AEK58" s="37"/>
      <c r="AEL58" s="37"/>
      <c r="AEM58" s="37"/>
      <c r="AEN58" s="37"/>
      <c r="AEO58" s="37"/>
      <c r="AEP58" s="37"/>
      <c r="AEQ58" s="37"/>
      <c r="AER58" s="37"/>
      <c r="AES58" s="37"/>
      <c r="AET58" s="37"/>
      <c r="AEU58" s="37"/>
      <c r="AEV58" s="37"/>
      <c r="AEW58" s="37"/>
      <c r="AEX58" s="37"/>
      <c r="AEY58" s="37"/>
      <c r="AEZ58" s="37"/>
      <c r="AFA58" s="37"/>
      <c r="AFB58" s="37"/>
      <c r="AFC58" s="37"/>
      <c r="AFD58" s="37"/>
      <c r="AFE58" s="37"/>
      <c r="AFF58" s="37"/>
      <c r="AFG58" s="37"/>
      <c r="AFH58" s="37"/>
      <c r="AFI58" s="37"/>
      <c r="AFJ58" s="37"/>
      <c r="AFK58" s="37"/>
      <c r="AFL58" s="37"/>
      <c r="AFM58" s="37"/>
      <c r="AFN58" s="37"/>
      <c r="AFO58" s="37"/>
      <c r="AFP58" s="37"/>
      <c r="AFQ58" s="37"/>
      <c r="AFR58" s="37"/>
      <c r="AFS58" s="37"/>
      <c r="AFT58" s="37"/>
      <c r="AFU58" s="37"/>
      <c r="AFV58" s="37"/>
      <c r="AFW58" s="37"/>
      <c r="AFX58" s="37"/>
      <c r="AFY58" s="37"/>
      <c r="AFZ58" s="37"/>
      <c r="AGA58" s="37"/>
      <c r="AGB58" s="37"/>
      <c r="AGC58" s="37"/>
      <c r="AGD58" s="37"/>
      <c r="AGE58" s="37"/>
      <c r="AGF58" s="37"/>
      <c r="AGG58" s="37"/>
      <c r="AGH58" s="37"/>
      <c r="AGI58" s="37"/>
      <c r="AGJ58" s="37"/>
      <c r="AGK58" s="37"/>
      <c r="AGL58" s="37"/>
      <c r="AGM58" s="37"/>
      <c r="AGN58" s="37"/>
      <c r="AGO58" s="37"/>
      <c r="AGP58" s="37"/>
      <c r="AGQ58" s="37"/>
      <c r="AGR58" s="37"/>
      <c r="AGS58" s="37"/>
      <c r="AGT58" s="37"/>
      <c r="AGU58" s="37"/>
      <c r="AGV58" s="37"/>
      <c r="AGW58" s="37"/>
      <c r="AGX58" s="37"/>
      <c r="AGY58" s="37"/>
      <c r="AGZ58" s="37"/>
      <c r="AHA58" s="37"/>
      <c r="AHB58" s="37"/>
      <c r="AHC58" s="37"/>
      <c r="AHD58" s="37"/>
      <c r="AHE58" s="37"/>
      <c r="AHF58" s="37"/>
      <c r="AHG58" s="37"/>
      <c r="AHH58" s="37"/>
      <c r="AHI58" s="37"/>
      <c r="AHJ58" s="37"/>
      <c r="AHK58" s="37"/>
      <c r="AHL58" s="37"/>
      <c r="AHM58" s="37"/>
      <c r="AHN58" s="37"/>
      <c r="AHO58" s="37"/>
      <c r="AHP58" s="37"/>
      <c r="AHQ58" s="37"/>
      <c r="AHR58" s="37"/>
      <c r="AHS58" s="37"/>
      <c r="AHT58" s="37"/>
      <c r="AHU58" s="37"/>
      <c r="AHV58" s="37"/>
      <c r="AHW58" s="37"/>
      <c r="AHX58" s="37"/>
      <c r="AHY58" s="37"/>
      <c r="AHZ58" s="37"/>
      <c r="AIA58" s="37"/>
      <c r="AIB58" s="37"/>
      <c r="AIC58" s="37"/>
      <c r="AID58" s="37"/>
      <c r="AIE58" s="37"/>
      <c r="AIF58" s="37"/>
      <c r="AIG58" s="37"/>
      <c r="AIH58" s="37"/>
      <c r="AII58" s="37"/>
      <c r="AIJ58" s="37"/>
      <c r="AIK58" s="37"/>
      <c r="AIL58" s="37"/>
      <c r="AIM58" s="37"/>
      <c r="AIN58" s="37"/>
      <c r="AIO58" s="37"/>
      <c r="AIP58" s="37"/>
      <c r="AIQ58" s="37"/>
      <c r="AIR58" s="37"/>
      <c r="AIS58" s="37"/>
      <c r="AIT58" s="37"/>
      <c r="AIU58" s="37"/>
      <c r="AIV58" s="37"/>
      <c r="AIW58" s="37"/>
      <c r="AIX58" s="37"/>
      <c r="AIY58" s="37"/>
      <c r="AIZ58" s="37"/>
      <c r="AJA58" s="37"/>
      <c r="AJB58" s="37"/>
      <c r="AJC58" s="37"/>
      <c r="AJD58" s="37"/>
      <c r="AJE58" s="37"/>
      <c r="AJF58" s="37"/>
      <c r="AJG58" s="37"/>
      <c r="AJH58" s="37"/>
      <c r="AJI58" s="37"/>
      <c r="AJJ58" s="37"/>
      <c r="AJK58" s="37"/>
      <c r="AJL58" s="37"/>
      <c r="AJM58" s="37"/>
      <c r="AJN58" s="37"/>
      <c r="AJO58" s="37"/>
      <c r="AJP58" s="37"/>
      <c r="AJQ58" s="37"/>
      <c r="AJR58" s="37"/>
      <c r="AJS58" s="37"/>
      <c r="AJT58" s="37"/>
      <c r="AJU58" s="37"/>
      <c r="AJV58" s="37"/>
      <c r="AJW58" s="37"/>
      <c r="AJX58" s="37"/>
      <c r="AJY58" s="37"/>
      <c r="AJZ58" s="37"/>
      <c r="AKA58" s="37"/>
      <c r="AKB58" s="37"/>
      <c r="AKC58" s="37"/>
      <c r="AKD58" s="37"/>
      <c r="AKE58" s="37"/>
      <c r="AKF58" s="37"/>
      <c r="AKG58" s="37"/>
      <c r="AKH58" s="37"/>
      <c r="AKI58" s="37"/>
      <c r="AKJ58" s="37"/>
      <c r="AKK58" s="37"/>
      <c r="AKL58" s="37"/>
      <c r="AKM58" s="37"/>
      <c r="AKN58" s="37"/>
      <c r="AKO58" s="37"/>
      <c r="AKP58" s="37"/>
      <c r="AKQ58" s="37"/>
      <c r="AKR58" s="37"/>
      <c r="AKS58" s="37"/>
      <c r="AKT58" s="37"/>
      <c r="AKU58" s="37"/>
      <c r="AKV58" s="37"/>
      <c r="AKW58" s="37"/>
      <c r="AKX58" s="37"/>
      <c r="AKY58" s="37"/>
      <c r="AKZ58" s="37"/>
      <c r="ALA58" s="37"/>
      <c r="ALB58" s="37"/>
      <c r="ALC58" s="37"/>
      <c r="ALD58" s="37"/>
      <c r="ALE58" s="37"/>
      <c r="ALF58" s="37"/>
      <c r="ALG58" s="37"/>
      <c r="ALH58" s="37"/>
      <c r="ALI58" s="37"/>
      <c r="ALJ58" s="37"/>
      <c r="ALK58" s="37"/>
      <c r="ALL58" s="37"/>
      <c r="ALM58" s="37"/>
      <c r="ALN58" s="37"/>
      <c r="ALO58" s="37"/>
      <c r="ALP58" s="37"/>
      <c r="ALQ58" s="37"/>
      <c r="ALR58" s="37"/>
      <c r="ALS58" s="37"/>
      <c r="ALT58" s="37"/>
      <c r="ALU58" s="37"/>
      <c r="ALV58" s="37"/>
      <c r="ALW58" s="37"/>
      <c r="ALX58" s="37"/>
      <c r="ALY58" s="37"/>
      <c r="ALZ58" s="37"/>
      <c r="AMA58" s="37"/>
      <c r="AMB58" s="37"/>
      <c r="AMC58" s="37"/>
    </row>
    <row r="59" spans="1:1017" s="38" customFormat="1" ht="19.5" customHeight="1">
      <c r="A59" s="26" t="s">
        <v>120</v>
      </c>
      <c r="B59" s="25" t="s">
        <v>108</v>
      </c>
      <c r="C59" s="26" t="s">
        <v>46</v>
      </c>
      <c r="D59" s="26" t="s">
        <v>32</v>
      </c>
      <c r="E59" s="26" t="s">
        <v>261</v>
      </c>
      <c r="F59" s="26">
        <v>43</v>
      </c>
      <c r="G59" s="26" t="s">
        <v>35</v>
      </c>
      <c r="H59" s="26">
        <v>55</v>
      </c>
      <c r="I59" s="36">
        <v>44</v>
      </c>
      <c r="J59" s="36">
        <v>25</v>
      </c>
      <c r="K59" s="36">
        <v>19</v>
      </c>
      <c r="L59" s="36">
        <v>30</v>
      </c>
      <c r="M59" s="36">
        <v>28</v>
      </c>
      <c r="N59" s="36">
        <v>30</v>
      </c>
      <c r="O59" s="36">
        <v>74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  <c r="OU59" s="37"/>
      <c r="OV59" s="37"/>
      <c r="OW59" s="37"/>
      <c r="OX59" s="37"/>
      <c r="OY59" s="37"/>
      <c r="OZ59" s="37"/>
      <c r="PA59" s="37"/>
      <c r="PB59" s="37"/>
      <c r="PC59" s="37"/>
      <c r="PD59" s="37"/>
      <c r="PE59" s="37"/>
      <c r="PF59" s="37"/>
      <c r="PG59" s="37"/>
      <c r="PH59" s="37"/>
      <c r="PI59" s="37"/>
      <c r="PJ59" s="37"/>
      <c r="PK59" s="37"/>
      <c r="PL59" s="37"/>
      <c r="PM59" s="37"/>
      <c r="PN59" s="37"/>
      <c r="PO59" s="37"/>
      <c r="PP59" s="37"/>
      <c r="PQ59" s="37"/>
      <c r="PR59" s="37"/>
      <c r="PS59" s="37"/>
      <c r="PT59" s="37"/>
      <c r="PU59" s="37"/>
      <c r="PV59" s="37"/>
      <c r="PW59" s="37"/>
      <c r="PX59" s="37"/>
      <c r="PY59" s="37"/>
      <c r="PZ59" s="37"/>
      <c r="QA59" s="37"/>
      <c r="QB59" s="37"/>
      <c r="QC59" s="37"/>
      <c r="QD59" s="37"/>
      <c r="QE59" s="37"/>
      <c r="QF59" s="37"/>
      <c r="QG59" s="37"/>
      <c r="QH59" s="37"/>
      <c r="QI59" s="37"/>
      <c r="QJ59" s="37"/>
      <c r="QK59" s="37"/>
      <c r="QL59" s="37"/>
      <c r="QM59" s="37"/>
      <c r="QN59" s="37"/>
      <c r="QO59" s="37"/>
      <c r="QP59" s="37"/>
      <c r="QQ59" s="37"/>
      <c r="QR59" s="37"/>
      <c r="QS59" s="37"/>
      <c r="QT59" s="37"/>
      <c r="QU59" s="37"/>
      <c r="QV59" s="37"/>
      <c r="QW59" s="37"/>
      <c r="QX59" s="37"/>
      <c r="QY59" s="37"/>
      <c r="QZ59" s="37"/>
      <c r="RA59" s="37"/>
      <c r="RB59" s="37"/>
      <c r="RC59" s="37"/>
      <c r="RD59" s="37"/>
      <c r="RE59" s="37"/>
      <c r="RF59" s="37"/>
      <c r="RG59" s="37"/>
      <c r="RH59" s="37"/>
      <c r="RI59" s="37"/>
      <c r="RJ59" s="37"/>
      <c r="RK59" s="37"/>
      <c r="RL59" s="37"/>
      <c r="RM59" s="37"/>
      <c r="RN59" s="37"/>
      <c r="RO59" s="37"/>
      <c r="RP59" s="37"/>
      <c r="RQ59" s="37"/>
      <c r="RR59" s="37"/>
      <c r="RS59" s="37"/>
      <c r="RT59" s="37"/>
      <c r="RU59" s="37"/>
      <c r="RV59" s="37"/>
      <c r="RW59" s="37"/>
      <c r="RX59" s="37"/>
      <c r="RY59" s="37"/>
      <c r="RZ59" s="37"/>
      <c r="SA59" s="37"/>
      <c r="SB59" s="37"/>
      <c r="SC59" s="37"/>
      <c r="SD59" s="37"/>
      <c r="SE59" s="37"/>
      <c r="SF59" s="37"/>
      <c r="SG59" s="37"/>
      <c r="SH59" s="37"/>
      <c r="SI59" s="37"/>
      <c r="SJ59" s="37"/>
      <c r="SK59" s="37"/>
      <c r="SL59" s="37"/>
      <c r="SM59" s="37"/>
      <c r="SN59" s="37"/>
      <c r="SO59" s="37"/>
      <c r="SP59" s="37"/>
      <c r="SQ59" s="37"/>
      <c r="SR59" s="37"/>
      <c r="SS59" s="37"/>
      <c r="ST59" s="37"/>
      <c r="SU59" s="37"/>
      <c r="SV59" s="37"/>
      <c r="SW59" s="37"/>
      <c r="SX59" s="37"/>
      <c r="SY59" s="37"/>
      <c r="SZ59" s="37"/>
      <c r="TA59" s="37"/>
      <c r="TB59" s="37"/>
      <c r="TC59" s="37"/>
      <c r="TD59" s="37"/>
      <c r="TE59" s="37"/>
      <c r="TF59" s="37"/>
      <c r="TG59" s="37"/>
      <c r="TH59" s="37"/>
      <c r="TI59" s="37"/>
      <c r="TJ59" s="37"/>
      <c r="TK59" s="37"/>
      <c r="TL59" s="37"/>
      <c r="TM59" s="37"/>
      <c r="TN59" s="37"/>
      <c r="TO59" s="37"/>
      <c r="TP59" s="37"/>
      <c r="TQ59" s="37"/>
      <c r="TR59" s="37"/>
      <c r="TS59" s="37"/>
      <c r="TT59" s="37"/>
      <c r="TU59" s="37"/>
      <c r="TV59" s="37"/>
      <c r="TW59" s="37"/>
      <c r="TX59" s="37"/>
      <c r="TY59" s="37"/>
      <c r="TZ59" s="37"/>
      <c r="UA59" s="37"/>
      <c r="UB59" s="37"/>
      <c r="UC59" s="37"/>
      <c r="UD59" s="37"/>
      <c r="UE59" s="37"/>
      <c r="UF59" s="37"/>
      <c r="UG59" s="37"/>
      <c r="UH59" s="37"/>
      <c r="UI59" s="37"/>
      <c r="UJ59" s="37"/>
      <c r="UK59" s="37"/>
      <c r="UL59" s="37"/>
      <c r="UM59" s="37"/>
      <c r="UN59" s="37"/>
      <c r="UO59" s="37"/>
      <c r="UP59" s="37"/>
      <c r="UQ59" s="37"/>
      <c r="UR59" s="37"/>
      <c r="US59" s="37"/>
      <c r="UT59" s="37"/>
      <c r="UU59" s="37"/>
      <c r="UV59" s="37"/>
      <c r="UW59" s="37"/>
      <c r="UX59" s="37"/>
      <c r="UY59" s="37"/>
      <c r="UZ59" s="37"/>
      <c r="VA59" s="37"/>
      <c r="VB59" s="37"/>
      <c r="VC59" s="37"/>
      <c r="VD59" s="37"/>
      <c r="VE59" s="37"/>
      <c r="VF59" s="37"/>
      <c r="VG59" s="37"/>
      <c r="VH59" s="37"/>
      <c r="VI59" s="37"/>
      <c r="VJ59" s="37"/>
      <c r="VK59" s="37"/>
      <c r="VL59" s="37"/>
      <c r="VM59" s="37"/>
      <c r="VN59" s="37"/>
      <c r="VO59" s="37"/>
      <c r="VP59" s="37"/>
      <c r="VQ59" s="37"/>
      <c r="VR59" s="37"/>
      <c r="VS59" s="37"/>
      <c r="VT59" s="37"/>
      <c r="VU59" s="37"/>
      <c r="VV59" s="37"/>
      <c r="VW59" s="37"/>
      <c r="VX59" s="37"/>
      <c r="VY59" s="37"/>
      <c r="VZ59" s="37"/>
      <c r="WA59" s="37"/>
      <c r="WB59" s="37"/>
      <c r="WC59" s="37"/>
      <c r="WD59" s="37"/>
      <c r="WE59" s="37"/>
      <c r="WF59" s="37"/>
      <c r="WG59" s="37"/>
      <c r="WH59" s="37"/>
      <c r="WI59" s="37"/>
      <c r="WJ59" s="37"/>
      <c r="WK59" s="37"/>
      <c r="WL59" s="37"/>
      <c r="WM59" s="37"/>
      <c r="WN59" s="37"/>
      <c r="WO59" s="37"/>
      <c r="WP59" s="37"/>
      <c r="WQ59" s="37"/>
      <c r="WR59" s="37"/>
      <c r="WS59" s="37"/>
      <c r="WT59" s="37"/>
      <c r="WU59" s="37"/>
      <c r="WV59" s="37"/>
      <c r="WW59" s="37"/>
      <c r="WX59" s="37"/>
      <c r="WY59" s="37"/>
      <c r="WZ59" s="37"/>
      <c r="XA59" s="37"/>
      <c r="XB59" s="37"/>
      <c r="XC59" s="37"/>
      <c r="XD59" s="37"/>
      <c r="XE59" s="37"/>
      <c r="XF59" s="37"/>
      <c r="XG59" s="37"/>
      <c r="XH59" s="37"/>
      <c r="XI59" s="37"/>
      <c r="XJ59" s="37"/>
      <c r="XK59" s="37"/>
      <c r="XL59" s="37"/>
      <c r="XM59" s="37"/>
      <c r="XN59" s="37"/>
      <c r="XO59" s="37"/>
      <c r="XP59" s="37"/>
      <c r="XQ59" s="37"/>
      <c r="XR59" s="37"/>
      <c r="XS59" s="37"/>
      <c r="XT59" s="37"/>
      <c r="XU59" s="37"/>
      <c r="XV59" s="37"/>
      <c r="XW59" s="37"/>
      <c r="XX59" s="37"/>
      <c r="XY59" s="37"/>
      <c r="XZ59" s="37"/>
      <c r="YA59" s="37"/>
      <c r="YB59" s="37"/>
      <c r="YC59" s="37"/>
      <c r="YD59" s="37"/>
      <c r="YE59" s="37"/>
      <c r="YF59" s="37"/>
      <c r="YG59" s="37"/>
      <c r="YH59" s="37"/>
      <c r="YI59" s="37"/>
      <c r="YJ59" s="37"/>
      <c r="YK59" s="37"/>
      <c r="YL59" s="37"/>
      <c r="YM59" s="37"/>
      <c r="YN59" s="37"/>
      <c r="YO59" s="37"/>
      <c r="YP59" s="37"/>
      <c r="YQ59" s="37"/>
      <c r="YR59" s="37"/>
      <c r="YS59" s="37"/>
      <c r="YT59" s="37"/>
      <c r="YU59" s="37"/>
      <c r="YV59" s="37"/>
      <c r="YW59" s="37"/>
      <c r="YX59" s="37"/>
      <c r="YY59" s="37"/>
      <c r="YZ59" s="37"/>
      <c r="ZA59" s="37"/>
      <c r="ZB59" s="37"/>
      <c r="ZC59" s="37"/>
      <c r="ZD59" s="37"/>
      <c r="ZE59" s="37"/>
      <c r="ZF59" s="37"/>
      <c r="ZG59" s="37"/>
      <c r="ZH59" s="37"/>
      <c r="ZI59" s="37"/>
      <c r="ZJ59" s="37"/>
      <c r="ZK59" s="37"/>
      <c r="ZL59" s="37"/>
      <c r="ZM59" s="37"/>
      <c r="ZN59" s="37"/>
      <c r="ZO59" s="37"/>
      <c r="ZP59" s="37"/>
      <c r="ZQ59" s="37"/>
      <c r="ZR59" s="37"/>
      <c r="ZS59" s="37"/>
      <c r="ZT59" s="37"/>
      <c r="ZU59" s="37"/>
      <c r="ZV59" s="37"/>
      <c r="ZW59" s="37"/>
      <c r="ZX59" s="37"/>
      <c r="ZY59" s="37"/>
      <c r="ZZ59" s="37"/>
      <c r="AAA59" s="37"/>
      <c r="AAB59" s="37"/>
      <c r="AAC59" s="37"/>
      <c r="AAD59" s="37"/>
      <c r="AAE59" s="37"/>
      <c r="AAF59" s="37"/>
      <c r="AAG59" s="37"/>
      <c r="AAH59" s="37"/>
      <c r="AAI59" s="37"/>
      <c r="AAJ59" s="37"/>
      <c r="AAK59" s="37"/>
      <c r="AAL59" s="37"/>
      <c r="AAM59" s="37"/>
      <c r="AAN59" s="37"/>
      <c r="AAO59" s="37"/>
      <c r="AAP59" s="37"/>
      <c r="AAQ59" s="37"/>
      <c r="AAR59" s="37"/>
      <c r="AAS59" s="37"/>
      <c r="AAT59" s="37"/>
      <c r="AAU59" s="37"/>
      <c r="AAV59" s="37"/>
      <c r="AAW59" s="37"/>
      <c r="AAX59" s="37"/>
      <c r="AAY59" s="37"/>
      <c r="AAZ59" s="37"/>
      <c r="ABA59" s="37"/>
      <c r="ABB59" s="37"/>
      <c r="ABC59" s="37"/>
      <c r="ABD59" s="37"/>
      <c r="ABE59" s="37"/>
      <c r="ABF59" s="37"/>
      <c r="ABG59" s="37"/>
      <c r="ABH59" s="37"/>
      <c r="ABI59" s="37"/>
      <c r="ABJ59" s="37"/>
      <c r="ABK59" s="37"/>
      <c r="ABL59" s="37"/>
      <c r="ABM59" s="37"/>
      <c r="ABN59" s="37"/>
      <c r="ABO59" s="37"/>
      <c r="ABP59" s="37"/>
      <c r="ABQ59" s="37"/>
      <c r="ABR59" s="37"/>
      <c r="ABS59" s="37"/>
      <c r="ABT59" s="37"/>
      <c r="ABU59" s="37"/>
      <c r="ABV59" s="37"/>
      <c r="ABW59" s="37"/>
      <c r="ABX59" s="37"/>
      <c r="ABY59" s="37"/>
      <c r="ABZ59" s="37"/>
      <c r="ACA59" s="37"/>
      <c r="ACB59" s="37"/>
      <c r="ACC59" s="37"/>
      <c r="ACD59" s="37"/>
      <c r="ACE59" s="37"/>
      <c r="ACF59" s="37"/>
      <c r="ACG59" s="37"/>
      <c r="ACH59" s="37"/>
      <c r="ACI59" s="37"/>
      <c r="ACJ59" s="37"/>
      <c r="ACK59" s="37"/>
      <c r="ACL59" s="37"/>
      <c r="ACM59" s="37"/>
      <c r="ACN59" s="37"/>
      <c r="ACO59" s="37"/>
      <c r="ACP59" s="37"/>
      <c r="ACQ59" s="37"/>
      <c r="ACR59" s="37"/>
      <c r="ACS59" s="37"/>
      <c r="ACT59" s="37"/>
      <c r="ACU59" s="37"/>
      <c r="ACV59" s="37"/>
      <c r="ACW59" s="37"/>
      <c r="ACX59" s="37"/>
      <c r="ACY59" s="37"/>
      <c r="ACZ59" s="37"/>
      <c r="ADA59" s="37"/>
      <c r="ADB59" s="37"/>
      <c r="ADC59" s="37"/>
      <c r="ADD59" s="37"/>
      <c r="ADE59" s="37"/>
      <c r="ADF59" s="37"/>
      <c r="ADG59" s="37"/>
      <c r="ADH59" s="37"/>
      <c r="ADI59" s="37"/>
      <c r="ADJ59" s="37"/>
      <c r="ADK59" s="37"/>
      <c r="ADL59" s="37"/>
      <c r="ADM59" s="37"/>
      <c r="ADN59" s="37"/>
      <c r="ADO59" s="37"/>
      <c r="ADP59" s="37"/>
      <c r="ADQ59" s="37"/>
      <c r="ADR59" s="37"/>
      <c r="ADS59" s="37"/>
      <c r="ADT59" s="37"/>
      <c r="ADU59" s="37"/>
      <c r="ADV59" s="37"/>
      <c r="ADW59" s="37"/>
      <c r="ADX59" s="37"/>
      <c r="ADY59" s="37"/>
      <c r="ADZ59" s="37"/>
      <c r="AEA59" s="37"/>
      <c r="AEB59" s="37"/>
      <c r="AEC59" s="37"/>
      <c r="AED59" s="37"/>
      <c r="AEE59" s="37"/>
      <c r="AEF59" s="37"/>
      <c r="AEG59" s="37"/>
      <c r="AEH59" s="37"/>
      <c r="AEI59" s="37"/>
      <c r="AEJ59" s="37"/>
      <c r="AEK59" s="37"/>
      <c r="AEL59" s="37"/>
      <c r="AEM59" s="37"/>
      <c r="AEN59" s="37"/>
      <c r="AEO59" s="37"/>
      <c r="AEP59" s="37"/>
      <c r="AEQ59" s="37"/>
      <c r="AER59" s="37"/>
      <c r="AES59" s="37"/>
      <c r="AET59" s="37"/>
      <c r="AEU59" s="37"/>
      <c r="AEV59" s="37"/>
      <c r="AEW59" s="37"/>
      <c r="AEX59" s="37"/>
      <c r="AEY59" s="37"/>
      <c r="AEZ59" s="37"/>
      <c r="AFA59" s="37"/>
      <c r="AFB59" s="37"/>
      <c r="AFC59" s="37"/>
      <c r="AFD59" s="37"/>
      <c r="AFE59" s="37"/>
      <c r="AFF59" s="37"/>
      <c r="AFG59" s="37"/>
      <c r="AFH59" s="37"/>
      <c r="AFI59" s="37"/>
      <c r="AFJ59" s="37"/>
      <c r="AFK59" s="37"/>
      <c r="AFL59" s="37"/>
      <c r="AFM59" s="37"/>
      <c r="AFN59" s="37"/>
      <c r="AFO59" s="37"/>
      <c r="AFP59" s="37"/>
      <c r="AFQ59" s="37"/>
      <c r="AFR59" s="37"/>
      <c r="AFS59" s="37"/>
      <c r="AFT59" s="37"/>
      <c r="AFU59" s="37"/>
      <c r="AFV59" s="37"/>
      <c r="AFW59" s="37"/>
      <c r="AFX59" s="37"/>
      <c r="AFY59" s="37"/>
      <c r="AFZ59" s="37"/>
      <c r="AGA59" s="37"/>
      <c r="AGB59" s="37"/>
      <c r="AGC59" s="37"/>
      <c r="AGD59" s="37"/>
      <c r="AGE59" s="37"/>
      <c r="AGF59" s="37"/>
      <c r="AGG59" s="37"/>
      <c r="AGH59" s="37"/>
      <c r="AGI59" s="37"/>
      <c r="AGJ59" s="37"/>
      <c r="AGK59" s="37"/>
      <c r="AGL59" s="37"/>
      <c r="AGM59" s="37"/>
      <c r="AGN59" s="37"/>
      <c r="AGO59" s="37"/>
      <c r="AGP59" s="37"/>
      <c r="AGQ59" s="37"/>
      <c r="AGR59" s="37"/>
      <c r="AGS59" s="37"/>
      <c r="AGT59" s="37"/>
      <c r="AGU59" s="37"/>
      <c r="AGV59" s="37"/>
      <c r="AGW59" s="37"/>
      <c r="AGX59" s="37"/>
      <c r="AGY59" s="37"/>
      <c r="AGZ59" s="37"/>
      <c r="AHA59" s="37"/>
      <c r="AHB59" s="37"/>
      <c r="AHC59" s="37"/>
      <c r="AHD59" s="37"/>
      <c r="AHE59" s="37"/>
      <c r="AHF59" s="37"/>
      <c r="AHG59" s="37"/>
      <c r="AHH59" s="37"/>
      <c r="AHI59" s="37"/>
      <c r="AHJ59" s="37"/>
      <c r="AHK59" s="37"/>
      <c r="AHL59" s="37"/>
      <c r="AHM59" s="37"/>
      <c r="AHN59" s="37"/>
      <c r="AHO59" s="37"/>
      <c r="AHP59" s="37"/>
      <c r="AHQ59" s="37"/>
      <c r="AHR59" s="37"/>
      <c r="AHS59" s="37"/>
      <c r="AHT59" s="37"/>
      <c r="AHU59" s="37"/>
      <c r="AHV59" s="37"/>
      <c r="AHW59" s="37"/>
      <c r="AHX59" s="37"/>
      <c r="AHY59" s="37"/>
      <c r="AHZ59" s="37"/>
      <c r="AIA59" s="37"/>
      <c r="AIB59" s="37"/>
      <c r="AIC59" s="37"/>
      <c r="AID59" s="37"/>
      <c r="AIE59" s="37"/>
      <c r="AIF59" s="37"/>
      <c r="AIG59" s="37"/>
      <c r="AIH59" s="37"/>
      <c r="AII59" s="37"/>
      <c r="AIJ59" s="37"/>
      <c r="AIK59" s="37"/>
      <c r="AIL59" s="37"/>
      <c r="AIM59" s="37"/>
      <c r="AIN59" s="37"/>
      <c r="AIO59" s="37"/>
      <c r="AIP59" s="37"/>
      <c r="AIQ59" s="37"/>
      <c r="AIR59" s="37"/>
      <c r="AIS59" s="37"/>
      <c r="AIT59" s="37"/>
      <c r="AIU59" s="37"/>
      <c r="AIV59" s="37"/>
      <c r="AIW59" s="37"/>
      <c r="AIX59" s="37"/>
      <c r="AIY59" s="37"/>
      <c r="AIZ59" s="37"/>
      <c r="AJA59" s="37"/>
      <c r="AJB59" s="37"/>
      <c r="AJC59" s="37"/>
      <c r="AJD59" s="37"/>
      <c r="AJE59" s="37"/>
      <c r="AJF59" s="37"/>
      <c r="AJG59" s="37"/>
      <c r="AJH59" s="37"/>
      <c r="AJI59" s="37"/>
      <c r="AJJ59" s="37"/>
      <c r="AJK59" s="37"/>
      <c r="AJL59" s="37"/>
      <c r="AJM59" s="37"/>
      <c r="AJN59" s="37"/>
      <c r="AJO59" s="37"/>
      <c r="AJP59" s="37"/>
      <c r="AJQ59" s="37"/>
      <c r="AJR59" s="37"/>
      <c r="AJS59" s="37"/>
      <c r="AJT59" s="37"/>
      <c r="AJU59" s="37"/>
      <c r="AJV59" s="37"/>
      <c r="AJW59" s="37"/>
      <c r="AJX59" s="37"/>
      <c r="AJY59" s="37"/>
      <c r="AJZ59" s="37"/>
      <c r="AKA59" s="37"/>
      <c r="AKB59" s="37"/>
      <c r="AKC59" s="37"/>
      <c r="AKD59" s="37"/>
      <c r="AKE59" s="37"/>
      <c r="AKF59" s="37"/>
      <c r="AKG59" s="37"/>
      <c r="AKH59" s="37"/>
      <c r="AKI59" s="37"/>
      <c r="AKJ59" s="37"/>
      <c r="AKK59" s="37"/>
      <c r="AKL59" s="37"/>
      <c r="AKM59" s="37"/>
      <c r="AKN59" s="37"/>
      <c r="AKO59" s="37"/>
      <c r="AKP59" s="37"/>
      <c r="AKQ59" s="37"/>
      <c r="AKR59" s="37"/>
      <c r="AKS59" s="37"/>
      <c r="AKT59" s="37"/>
      <c r="AKU59" s="37"/>
      <c r="AKV59" s="37"/>
      <c r="AKW59" s="37"/>
      <c r="AKX59" s="37"/>
      <c r="AKY59" s="37"/>
      <c r="AKZ59" s="37"/>
      <c r="ALA59" s="37"/>
      <c r="ALB59" s="37"/>
      <c r="ALC59" s="37"/>
      <c r="ALD59" s="37"/>
      <c r="ALE59" s="37"/>
      <c r="ALF59" s="37"/>
      <c r="ALG59" s="37"/>
      <c r="ALH59" s="37"/>
      <c r="ALI59" s="37"/>
      <c r="ALJ59" s="37"/>
      <c r="ALK59" s="37"/>
      <c r="ALL59" s="37"/>
      <c r="ALM59" s="37"/>
      <c r="ALN59" s="37"/>
      <c r="ALO59" s="37"/>
      <c r="ALP59" s="37"/>
      <c r="ALQ59" s="37"/>
      <c r="ALR59" s="37"/>
      <c r="ALS59" s="37"/>
      <c r="ALT59" s="37"/>
      <c r="ALU59" s="37"/>
      <c r="ALV59" s="37"/>
      <c r="ALW59" s="37"/>
      <c r="ALX59" s="37"/>
      <c r="ALY59" s="37"/>
      <c r="ALZ59" s="37"/>
      <c r="AMA59" s="37"/>
      <c r="AMB59" s="37"/>
      <c r="AMC59" s="37"/>
    </row>
    <row r="60" spans="1:1017" s="38" customFormat="1" ht="19.5" customHeight="1">
      <c r="A60" s="72"/>
      <c r="B60" s="73"/>
      <c r="C60" s="72"/>
      <c r="D60" s="72"/>
      <c r="E60" s="72"/>
      <c r="F60" s="72"/>
      <c r="G60" s="35">
        <v>42</v>
      </c>
      <c r="H60" s="35">
        <v>96</v>
      </c>
      <c r="I60" s="35">
        <v>110</v>
      </c>
      <c r="J60" s="35">
        <v>75</v>
      </c>
      <c r="K60" s="35">
        <v>68</v>
      </c>
      <c r="L60" s="35">
        <v>27</v>
      </c>
      <c r="M60" s="35">
        <v>22</v>
      </c>
      <c r="N60" s="35">
        <v>102</v>
      </c>
      <c r="O60" s="74" t="s">
        <v>98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/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  <c r="OU60" s="37"/>
      <c r="OV60" s="37"/>
      <c r="OW60" s="37"/>
      <c r="OX60" s="37"/>
      <c r="OY60" s="37"/>
      <c r="OZ60" s="37"/>
      <c r="PA60" s="37"/>
      <c r="PB60" s="37"/>
      <c r="PC60" s="37"/>
      <c r="PD60" s="37"/>
      <c r="PE60" s="37"/>
      <c r="PF60" s="37"/>
      <c r="PG60" s="37"/>
      <c r="PH60" s="37"/>
      <c r="PI60" s="37"/>
      <c r="PJ60" s="37"/>
      <c r="PK60" s="37"/>
      <c r="PL60" s="37"/>
      <c r="PM60" s="37"/>
      <c r="PN60" s="37"/>
      <c r="PO60" s="37"/>
      <c r="PP60" s="37"/>
      <c r="PQ60" s="37"/>
      <c r="PR60" s="37"/>
      <c r="PS60" s="37"/>
      <c r="PT60" s="37"/>
      <c r="PU60" s="37"/>
      <c r="PV60" s="37"/>
      <c r="PW60" s="37"/>
      <c r="PX60" s="37"/>
      <c r="PY60" s="37"/>
      <c r="PZ60" s="37"/>
      <c r="QA60" s="37"/>
      <c r="QB60" s="37"/>
      <c r="QC60" s="37"/>
      <c r="QD60" s="37"/>
      <c r="QE60" s="37"/>
      <c r="QF60" s="37"/>
      <c r="QG60" s="37"/>
      <c r="QH60" s="37"/>
      <c r="QI60" s="37"/>
      <c r="QJ60" s="37"/>
      <c r="QK60" s="37"/>
      <c r="QL60" s="37"/>
      <c r="QM60" s="37"/>
      <c r="QN60" s="37"/>
      <c r="QO60" s="37"/>
      <c r="QP60" s="37"/>
      <c r="QQ60" s="37"/>
      <c r="QR60" s="37"/>
      <c r="QS60" s="37"/>
      <c r="QT60" s="37"/>
      <c r="QU60" s="37"/>
      <c r="QV60" s="37"/>
      <c r="QW60" s="37"/>
      <c r="QX60" s="37"/>
      <c r="QY60" s="37"/>
      <c r="QZ60" s="37"/>
      <c r="RA60" s="37"/>
      <c r="RB60" s="37"/>
      <c r="RC60" s="37"/>
      <c r="RD60" s="37"/>
      <c r="RE60" s="37"/>
      <c r="RF60" s="37"/>
      <c r="RG60" s="37"/>
      <c r="RH60" s="37"/>
      <c r="RI60" s="37"/>
      <c r="RJ60" s="37"/>
      <c r="RK60" s="37"/>
      <c r="RL60" s="37"/>
      <c r="RM60" s="37"/>
      <c r="RN60" s="37"/>
      <c r="RO60" s="37"/>
      <c r="RP60" s="37"/>
      <c r="RQ60" s="37"/>
      <c r="RR60" s="37"/>
      <c r="RS60" s="37"/>
      <c r="RT60" s="37"/>
      <c r="RU60" s="37"/>
      <c r="RV60" s="37"/>
      <c r="RW60" s="37"/>
      <c r="RX60" s="37"/>
      <c r="RY60" s="37"/>
      <c r="RZ60" s="37"/>
      <c r="SA60" s="37"/>
      <c r="SB60" s="37"/>
      <c r="SC60" s="37"/>
      <c r="SD60" s="37"/>
      <c r="SE60" s="37"/>
      <c r="SF60" s="37"/>
      <c r="SG60" s="37"/>
      <c r="SH60" s="37"/>
      <c r="SI60" s="37"/>
      <c r="SJ60" s="37"/>
      <c r="SK60" s="37"/>
      <c r="SL60" s="37"/>
      <c r="SM60" s="37"/>
      <c r="SN60" s="37"/>
      <c r="SO60" s="37"/>
      <c r="SP60" s="37"/>
      <c r="SQ60" s="37"/>
      <c r="SR60" s="37"/>
      <c r="SS60" s="37"/>
      <c r="ST60" s="37"/>
      <c r="SU60" s="37"/>
      <c r="SV60" s="37"/>
      <c r="SW60" s="37"/>
      <c r="SX60" s="37"/>
      <c r="SY60" s="37"/>
      <c r="SZ60" s="37"/>
      <c r="TA60" s="37"/>
      <c r="TB60" s="37"/>
      <c r="TC60" s="37"/>
      <c r="TD60" s="37"/>
      <c r="TE60" s="37"/>
      <c r="TF60" s="37"/>
      <c r="TG60" s="37"/>
      <c r="TH60" s="37"/>
      <c r="TI60" s="37"/>
      <c r="TJ60" s="37"/>
      <c r="TK60" s="37"/>
      <c r="TL60" s="37"/>
      <c r="TM60" s="37"/>
      <c r="TN60" s="37"/>
      <c r="TO60" s="37"/>
      <c r="TP60" s="37"/>
      <c r="TQ60" s="37"/>
      <c r="TR60" s="37"/>
      <c r="TS60" s="37"/>
      <c r="TT60" s="37"/>
      <c r="TU60" s="37"/>
      <c r="TV60" s="37"/>
      <c r="TW60" s="37"/>
      <c r="TX60" s="37"/>
      <c r="TY60" s="37"/>
      <c r="TZ60" s="37"/>
      <c r="UA60" s="37"/>
      <c r="UB60" s="37"/>
      <c r="UC60" s="37"/>
      <c r="UD60" s="37"/>
      <c r="UE60" s="37"/>
      <c r="UF60" s="37"/>
      <c r="UG60" s="37"/>
      <c r="UH60" s="37"/>
      <c r="UI60" s="37"/>
      <c r="UJ60" s="37"/>
      <c r="UK60" s="37"/>
      <c r="UL60" s="37"/>
      <c r="UM60" s="37"/>
      <c r="UN60" s="37"/>
      <c r="UO60" s="37"/>
      <c r="UP60" s="37"/>
      <c r="UQ60" s="37"/>
      <c r="UR60" s="37"/>
      <c r="US60" s="37"/>
      <c r="UT60" s="37"/>
      <c r="UU60" s="37"/>
      <c r="UV60" s="37"/>
      <c r="UW60" s="37"/>
      <c r="UX60" s="37"/>
      <c r="UY60" s="37"/>
      <c r="UZ60" s="37"/>
      <c r="VA60" s="37"/>
      <c r="VB60" s="37"/>
      <c r="VC60" s="37"/>
      <c r="VD60" s="37"/>
      <c r="VE60" s="37"/>
      <c r="VF60" s="37"/>
      <c r="VG60" s="37"/>
      <c r="VH60" s="37"/>
      <c r="VI60" s="37"/>
      <c r="VJ60" s="37"/>
      <c r="VK60" s="37"/>
      <c r="VL60" s="37"/>
      <c r="VM60" s="37"/>
      <c r="VN60" s="37"/>
      <c r="VO60" s="37"/>
      <c r="VP60" s="37"/>
      <c r="VQ60" s="37"/>
      <c r="VR60" s="37"/>
      <c r="VS60" s="37"/>
      <c r="VT60" s="37"/>
      <c r="VU60" s="37"/>
      <c r="VV60" s="37"/>
      <c r="VW60" s="37"/>
      <c r="VX60" s="37"/>
      <c r="VY60" s="37"/>
      <c r="VZ60" s="37"/>
      <c r="WA60" s="37"/>
      <c r="WB60" s="37"/>
      <c r="WC60" s="37"/>
      <c r="WD60" s="37"/>
      <c r="WE60" s="37"/>
      <c r="WF60" s="37"/>
      <c r="WG60" s="37"/>
      <c r="WH60" s="37"/>
      <c r="WI60" s="37"/>
      <c r="WJ60" s="37"/>
      <c r="WK60" s="37"/>
      <c r="WL60" s="37"/>
      <c r="WM60" s="37"/>
      <c r="WN60" s="37"/>
      <c r="WO60" s="37"/>
      <c r="WP60" s="37"/>
      <c r="WQ60" s="37"/>
      <c r="WR60" s="37"/>
      <c r="WS60" s="37"/>
      <c r="WT60" s="37"/>
      <c r="WU60" s="37"/>
      <c r="WV60" s="37"/>
      <c r="WW60" s="37"/>
      <c r="WX60" s="37"/>
      <c r="WY60" s="37"/>
      <c r="WZ60" s="37"/>
      <c r="XA60" s="37"/>
      <c r="XB60" s="37"/>
      <c r="XC60" s="37"/>
      <c r="XD60" s="37"/>
      <c r="XE60" s="37"/>
      <c r="XF60" s="37"/>
      <c r="XG60" s="37"/>
      <c r="XH60" s="37"/>
      <c r="XI60" s="37"/>
      <c r="XJ60" s="37"/>
      <c r="XK60" s="37"/>
      <c r="XL60" s="37"/>
      <c r="XM60" s="37"/>
      <c r="XN60" s="37"/>
      <c r="XO60" s="37"/>
      <c r="XP60" s="37"/>
      <c r="XQ60" s="37"/>
      <c r="XR60" s="37"/>
      <c r="XS60" s="37"/>
      <c r="XT60" s="37"/>
      <c r="XU60" s="37"/>
      <c r="XV60" s="37"/>
      <c r="XW60" s="37"/>
      <c r="XX60" s="37"/>
      <c r="XY60" s="37"/>
      <c r="XZ60" s="37"/>
      <c r="YA60" s="37"/>
      <c r="YB60" s="37"/>
      <c r="YC60" s="37"/>
      <c r="YD60" s="37"/>
      <c r="YE60" s="37"/>
      <c r="YF60" s="37"/>
      <c r="YG60" s="37"/>
      <c r="YH60" s="37"/>
      <c r="YI60" s="37"/>
      <c r="YJ60" s="37"/>
      <c r="YK60" s="37"/>
      <c r="YL60" s="37"/>
      <c r="YM60" s="37"/>
      <c r="YN60" s="37"/>
      <c r="YO60" s="37"/>
      <c r="YP60" s="37"/>
      <c r="YQ60" s="37"/>
      <c r="YR60" s="37"/>
      <c r="YS60" s="37"/>
      <c r="YT60" s="37"/>
      <c r="YU60" s="37"/>
      <c r="YV60" s="37"/>
      <c r="YW60" s="37"/>
      <c r="YX60" s="37"/>
      <c r="YY60" s="37"/>
      <c r="YZ60" s="37"/>
      <c r="ZA60" s="37"/>
      <c r="ZB60" s="37"/>
      <c r="ZC60" s="37"/>
      <c r="ZD60" s="37"/>
      <c r="ZE60" s="37"/>
      <c r="ZF60" s="37"/>
      <c r="ZG60" s="37"/>
      <c r="ZH60" s="37"/>
      <c r="ZI60" s="37"/>
      <c r="ZJ60" s="37"/>
      <c r="ZK60" s="37"/>
      <c r="ZL60" s="37"/>
      <c r="ZM60" s="37"/>
      <c r="ZN60" s="37"/>
      <c r="ZO60" s="37"/>
      <c r="ZP60" s="37"/>
      <c r="ZQ60" s="37"/>
      <c r="ZR60" s="37"/>
      <c r="ZS60" s="37"/>
      <c r="ZT60" s="37"/>
      <c r="ZU60" s="37"/>
      <c r="ZV60" s="37"/>
      <c r="ZW60" s="37"/>
      <c r="ZX60" s="37"/>
      <c r="ZY60" s="37"/>
      <c r="ZZ60" s="37"/>
      <c r="AAA60" s="37"/>
      <c r="AAB60" s="37"/>
      <c r="AAC60" s="37"/>
      <c r="AAD60" s="37"/>
      <c r="AAE60" s="37"/>
      <c r="AAF60" s="37"/>
      <c r="AAG60" s="37"/>
      <c r="AAH60" s="37"/>
      <c r="AAI60" s="37"/>
      <c r="AAJ60" s="37"/>
      <c r="AAK60" s="37"/>
      <c r="AAL60" s="37"/>
      <c r="AAM60" s="37"/>
      <c r="AAN60" s="37"/>
      <c r="AAO60" s="37"/>
      <c r="AAP60" s="37"/>
      <c r="AAQ60" s="37"/>
      <c r="AAR60" s="37"/>
      <c r="AAS60" s="37"/>
      <c r="AAT60" s="37"/>
      <c r="AAU60" s="37"/>
      <c r="AAV60" s="37"/>
      <c r="AAW60" s="37"/>
      <c r="AAX60" s="37"/>
      <c r="AAY60" s="37"/>
      <c r="AAZ60" s="37"/>
      <c r="ABA60" s="37"/>
      <c r="ABB60" s="37"/>
      <c r="ABC60" s="37"/>
      <c r="ABD60" s="37"/>
      <c r="ABE60" s="37"/>
      <c r="ABF60" s="37"/>
      <c r="ABG60" s="37"/>
      <c r="ABH60" s="37"/>
      <c r="ABI60" s="37"/>
      <c r="ABJ60" s="37"/>
      <c r="ABK60" s="37"/>
      <c r="ABL60" s="37"/>
      <c r="ABM60" s="37"/>
      <c r="ABN60" s="37"/>
      <c r="ABO60" s="37"/>
      <c r="ABP60" s="37"/>
      <c r="ABQ60" s="37"/>
      <c r="ABR60" s="37"/>
      <c r="ABS60" s="37"/>
      <c r="ABT60" s="37"/>
      <c r="ABU60" s="37"/>
      <c r="ABV60" s="37"/>
      <c r="ABW60" s="37"/>
      <c r="ABX60" s="37"/>
      <c r="ABY60" s="37"/>
      <c r="ABZ60" s="37"/>
      <c r="ACA60" s="37"/>
      <c r="ACB60" s="37"/>
      <c r="ACC60" s="37"/>
      <c r="ACD60" s="37"/>
      <c r="ACE60" s="37"/>
      <c r="ACF60" s="37"/>
      <c r="ACG60" s="37"/>
      <c r="ACH60" s="37"/>
      <c r="ACI60" s="37"/>
      <c r="ACJ60" s="37"/>
      <c r="ACK60" s="37"/>
      <c r="ACL60" s="37"/>
      <c r="ACM60" s="37"/>
      <c r="ACN60" s="37"/>
      <c r="ACO60" s="37"/>
      <c r="ACP60" s="37"/>
      <c r="ACQ60" s="37"/>
      <c r="ACR60" s="37"/>
      <c r="ACS60" s="37"/>
      <c r="ACT60" s="37"/>
      <c r="ACU60" s="37"/>
      <c r="ACV60" s="37"/>
      <c r="ACW60" s="37"/>
      <c r="ACX60" s="37"/>
      <c r="ACY60" s="37"/>
      <c r="ACZ60" s="37"/>
      <c r="ADA60" s="37"/>
      <c r="ADB60" s="37"/>
      <c r="ADC60" s="37"/>
      <c r="ADD60" s="37"/>
      <c r="ADE60" s="37"/>
      <c r="ADF60" s="37"/>
      <c r="ADG60" s="37"/>
      <c r="ADH60" s="37"/>
      <c r="ADI60" s="37"/>
      <c r="ADJ60" s="37"/>
      <c r="ADK60" s="37"/>
      <c r="ADL60" s="37"/>
      <c r="ADM60" s="37"/>
      <c r="ADN60" s="37"/>
      <c r="ADO60" s="37"/>
      <c r="ADP60" s="37"/>
      <c r="ADQ60" s="37"/>
      <c r="ADR60" s="37"/>
      <c r="ADS60" s="37"/>
      <c r="ADT60" s="37"/>
      <c r="ADU60" s="37"/>
      <c r="ADV60" s="37"/>
      <c r="ADW60" s="37"/>
      <c r="ADX60" s="37"/>
      <c r="ADY60" s="37"/>
      <c r="ADZ60" s="37"/>
      <c r="AEA60" s="37"/>
      <c r="AEB60" s="37"/>
      <c r="AEC60" s="37"/>
      <c r="AED60" s="37"/>
      <c r="AEE60" s="37"/>
      <c r="AEF60" s="37"/>
      <c r="AEG60" s="37"/>
      <c r="AEH60" s="37"/>
      <c r="AEI60" s="37"/>
      <c r="AEJ60" s="37"/>
      <c r="AEK60" s="37"/>
      <c r="AEL60" s="37"/>
      <c r="AEM60" s="37"/>
      <c r="AEN60" s="37"/>
      <c r="AEO60" s="37"/>
      <c r="AEP60" s="37"/>
      <c r="AEQ60" s="37"/>
      <c r="AER60" s="37"/>
      <c r="AES60" s="37"/>
      <c r="AET60" s="37"/>
      <c r="AEU60" s="37"/>
      <c r="AEV60" s="37"/>
      <c r="AEW60" s="37"/>
      <c r="AEX60" s="37"/>
      <c r="AEY60" s="37"/>
      <c r="AEZ60" s="37"/>
      <c r="AFA60" s="37"/>
      <c r="AFB60" s="37"/>
      <c r="AFC60" s="37"/>
      <c r="AFD60" s="37"/>
      <c r="AFE60" s="37"/>
      <c r="AFF60" s="37"/>
      <c r="AFG60" s="37"/>
      <c r="AFH60" s="37"/>
      <c r="AFI60" s="37"/>
      <c r="AFJ60" s="37"/>
      <c r="AFK60" s="37"/>
      <c r="AFL60" s="37"/>
      <c r="AFM60" s="37"/>
      <c r="AFN60" s="37"/>
      <c r="AFO60" s="37"/>
      <c r="AFP60" s="37"/>
      <c r="AFQ60" s="37"/>
      <c r="AFR60" s="37"/>
      <c r="AFS60" s="37"/>
      <c r="AFT60" s="37"/>
      <c r="AFU60" s="37"/>
      <c r="AFV60" s="37"/>
      <c r="AFW60" s="37"/>
      <c r="AFX60" s="37"/>
      <c r="AFY60" s="37"/>
      <c r="AFZ60" s="37"/>
      <c r="AGA60" s="37"/>
      <c r="AGB60" s="37"/>
      <c r="AGC60" s="37"/>
      <c r="AGD60" s="37"/>
      <c r="AGE60" s="37"/>
      <c r="AGF60" s="37"/>
      <c r="AGG60" s="37"/>
      <c r="AGH60" s="37"/>
      <c r="AGI60" s="37"/>
      <c r="AGJ60" s="37"/>
      <c r="AGK60" s="37"/>
      <c r="AGL60" s="37"/>
      <c r="AGM60" s="37"/>
      <c r="AGN60" s="37"/>
      <c r="AGO60" s="37"/>
      <c r="AGP60" s="37"/>
      <c r="AGQ60" s="37"/>
      <c r="AGR60" s="37"/>
      <c r="AGS60" s="37"/>
      <c r="AGT60" s="37"/>
      <c r="AGU60" s="37"/>
      <c r="AGV60" s="37"/>
      <c r="AGW60" s="37"/>
      <c r="AGX60" s="37"/>
      <c r="AGY60" s="37"/>
      <c r="AGZ60" s="37"/>
      <c r="AHA60" s="37"/>
      <c r="AHB60" s="37"/>
      <c r="AHC60" s="37"/>
      <c r="AHD60" s="37"/>
      <c r="AHE60" s="37"/>
      <c r="AHF60" s="37"/>
      <c r="AHG60" s="37"/>
      <c r="AHH60" s="37"/>
      <c r="AHI60" s="37"/>
      <c r="AHJ60" s="37"/>
      <c r="AHK60" s="37"/>
      <c r="AHL60" s="37"/>
      <c r="AHM60" s="37"/>
      <c r="AHN60" s="37"/>
      <c r="AHO60" s="37"/>
      <c r="AHP60" s="37"/>
      <c r="AHQ60" s="37"/>
      <c r="AHR60" s="37"/>
      <c r="AHS60" s="37"/>
      <c r="AHT60" s="37"/>
      <c r="AHU60" s="37"/>
      <c r="AHV60" s="37"/>
      <c r="AHW60" s="37"/>
      <c r="AHX60" s="37"/>
      <c r="AHY60" s="37"/>
      <c r="AHZ60" s="37"/>
      <c r="AIA60" s="37"/>
      <c r="AIB60" s="37"/>
      <c r="AIC60" s="37"/>
      <c r="AID60" s="37"/>
      <c r="AIE60" s="37"/>
      <c r="AIF60" s="37"/>
      <c r="AIG60" s="37"/>
      <c r="AIH60" s="37"/>
      <c r="AII60" s="37"/>
      <c r="AIJ60" s="37"/>
      <c r="AIK60" s="37"/>
      <c r="AIL60" s="37"/>
      <c r="AIM60" s="37"/>
      <c r="AIN60" s="37"/>
      <c r="AIO60" s="37"/>
      <c r="AIP60" s="37"/>
      <c r="AIQ60" s="37"/>
      <c r="AIR60" s="37"/>
      <c r="AIS60" s="37"/>
      <c r="AIT60" s="37"/>
      <c r="AIU60" s="37"/>
      <c r="AIV60" s="37"/>
      <c r="AIW60" s="37"/>
      <c r="AIX60" s="37"/>
      <c r="AIY60" s="37"/>
      <c r="AIZ60" s="37"/>
      <c r="AJA60" s="37"/>
      <c r="AJB60" s="37"/>
      <c r="AJC60" s="37"/>
      <c r="AJD60" s="37"/>
      <c r="AJE60" s="37"/>
      <c r="AJF60" s="37"/>
      <c r="AJG60" s="37"/>
      <c r="AJH60" s="37"/>
      <c r="AJI60" s="37"/>
      <c r="AJJ60" s="37"/>
      <c r="AJK60" s="37"/>
      <c r="AJL60" s="37"/>
      <c r="AJM60" s="37"/>
      <c r="AJN60" s="37"/>
      <c r="AJO60" s="37"/>
      <c r="AJP60" s="37"/>
      <c r="AJQ60" s="37"/>
      <c r="AJR60" s="37"/>
      <c r="AJS60" s="37"/>
      <c r="AJT60" s="37"/>
      <c r="AJU60" s="37"/>
      <c r="AJV60" s="37"/>
      <c r="AJW60" s="37"/>
      <c r="AJX60" s="37"/>
      <c r="AJY60" s="37"/>
      <c r="AJZ60" s="37"/>
      <c r="AKA60" s="37"/>
      <c r="AKB60" s="37"/>
      <c r="AKC60" s="37"/>
      <c r="AKD60" s="37"/>
      <c r="AKE60" s="37"/>
      <c r="AKF60" s="37"/>
      <c r="AKG60" s="37"/>
      <c r="AKH60" s="37"/>
      <c r="AKI60" s="37"/>
      <c r="AKJ60" s="37"/>
      <c r="AKK60" s="37"/>
      <c r="AKL60" s="37"/>
      <c r="AKM60" s="37"/>
      <c r="AKN60" s="37"/>
      <c r="AKO60" s="37"/>
      <c r="AKP60" s="37"/>
      <c r="AKQ60" s="37"/>
      <c r="AKR60" s="37"/>
      <c r="AKS60" s="37"/>
      <c r="AKT60" s="37"/>
      <c r="AKU60" s="37"/>
      <c r="AKV60" s="37"/>
      <c r="AKW60" s="37"/>
      <c r="AKX60" s="37"/>
      <c r="AKY60" s="37"/>
      <c r="AKZ60" s="37"/>
      <c r="ALA60" s="37"/>
      <c r="ALB60" s="37"/>
      <c r="ALC60" s="37"/>
      <c r="ALD60" s="37"/>
      <c r="ALE60" s="37"/>
      <c r="ALF60" s="37"/>
      <c r="ALG60" s="37"/>
      <c r="ALH60" s="37"/>
      <c r="ALI60" s="37"/>
      <c r="ALJ60" s="37"/>
      <c r="ALK60" s="37"/>
      <c r="ALL60" s="37"/>
      <c r="ALM60" s="37"/>
      <c r="ALN60" s="37"/>
      <c r="ALO60" s="37"/>
      <c r="ALP60" s="37"/>
      <c r="ALQ60" s="37"/>
      <c r="ALR60" s="37"/>
      <c r="ALS60" s="37"/>
      <c r="ALT60" s="37"/>
      <c r="ALU60" s="37"/>
      <c r="ALV60" s="37"/>
      <c r="ALW60" s="37"/>
      <c r="ALX60" s="37"/>
      <c r="ALY60" s="37"/>
      <c r="ALZ60" s="37"/>
      <c r="AMA60" s="37"/>
      <c r="AMB60" s="37"/>
      <c r="AMC60" s="37"/>
    </row>
    <row r="61" spans="1:1017" s="38" customFormat="1" ht="19.5" customHeight="1">
      <c r="A61" s="75"/>
      <c r="B61" s="76"/>
      <c r="C61" s="75"/>
      <c r="D61" s="75"/>
      <c r="E61" s="75"/>
      <c r="F61" s="75"/>
      <c r="G61" s="77">
        <v>48</v>
      </c>
      <c r="H61" s="77">
        <v>62</v>
      </c>
      <c r="I61" s="77">
        <v>20</v>
      </c>
      <c r="J61" s="77">
        <v>15</v>
      </c>
      <c r="K61" s="77">
        <v>108</v>
      </c>
      <c r="L61" s="77">
        <v>104</v>
      </c>
      <c r="M61" s="77">
        <v>112</v>
      </c>
      <c r="N61" s="77"/>
      <c r="O61" s="7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  <c r="OU61" s="37"/>
      <c r="OV61" s="37"/>
      <c r="OW61" s="37"/>
      <c r="OX61" s="37"/>
      <c r="OY61" s="37"/>
      <c r="OZ61" s="37"/>
      <c r="PA61" s="37"/>
      <c r="PB61" s="37"/>
      <c r="PC61" s="37"/>
      <c r="PD61" s="37"/>
      <c r="PE61" s="37"/>
      <c r="PF61" s="37"/>
      <c r="PG61" s="37"/>
      <c r="PH61" s="37"/>
      <c r="PI61" s="37"/>
      <c r="PJ61" s="37"/>
      <c r="PK61" s="37"/>
      <c r="PL61" s="37"/>
      <c r="PM61" s="37"/>
      <c r="PN61" s="37"/>
      <c r="PO61" s="37"/>
      <c r="PP61" s="37"/>
      <c r="PQ61" s="37"/>
      <c r="PR61" s="37"/>
      <c r="PS61" s="37"/>
      <c r="PT61" s="37"/>
      <c r="PU61" s="37"/>
      <c r="PV61" s="37"/>
      <c r="PW61" s="37"/>
      <c r="PX61" s="37"/>
      <c r="PY61" s="37"/>
      <c r="PZ61" s="37"/>
      <c r="QA61" s="37"/>
      <c r="QB61" s="37"/>
      <c r="QC61" s="37"/>
      <c r="QD61" s="37"/>
      <c r="QE61" s="37"/>
      <c r="QF61" s="37"/>
      <c r="QG61" s="37"/>
      <c r="QH61" s="37"/>
      <c r="QI61" s="37"/>
      <c r="QJ61" s="37"/>
      <c r="QK61" s="37"/>
      <c r="QL61" s="37"/>
      <c r="QM61" s="37"/>
      <c r="QN61" s="37"/>
      <c r="QO61" s="37"/>
      <c r="QP61" s="37"/>
      <c r="QQ61" s="37"/>
      <c r="QR61" s="37"/>
      <c r="QS61" s="37"/>
      <c r="QT61" s="37"/>
      <c r="QU61" s="37"/>
      <c r="QV61" s="37"/>
      <c r="QW61" s="37"/>
      <c r="QX61" s="37"/>
      <c r="QY61" s="37"/>
      <c r="QZ61" s="37"/>
      <c r="RA61" s="37"/>
      <c r="RB61" s="37"/>
      <c r="RC61" s="37"/>
      <c r="RD61" s="37"/>
      <c r="RE61" s="37"/>
      <c r="RF61" s="37"/>
      <c r="RG61" s="37"/>
      <c r="RH61" s="37"/>
      <c r="RI61" s="37"/>
      <c r="RJ61" s="37"/>
      <c r="RK61" s="37"/>
      <c r="RL61" s="37"/>
      <c r="RM61" s="37"/>
      <c r="RN61" s="37"/>
      <c r="RO61" s="37"/>
      <c r="RP61" s="37"/>
      <c r="RQ61" s="37"/>
      <c r="RR61" s="37"/>
      <c r="RS61" s="37"/>
      <c r="RT61" s="37"/>
      <c r="RU61" s="37"/>
      <c r="RV61" s="37"/>
      <c r="RW61" s="37"/>
      <c r="RX61" s="37"/>
      <c r="RY61" s="37"/>
      <c r="RZ61" s="37"/>
      <c r="SA61" s="37"/>
      <c r="SB61" s="37"/>
      <c r="SC61" s="37"/>
      <c r="SD61" s="37"/>
      <c r="SE61" s="37"/>
      <c r="SF61" s="37"/>
      <c r="SG61" s="37"/>
      <c r="SH61" s="37"/>
      <c r="SI61" s="37"/>
      <c r="SJ61" s="37"/>
      <c r="SK61" s="37"/>
      <c r="SL61" s="37"/>
      <c r="SM61" s="37"/>
      <c r="SN61" s="37"/>
      <c r="SO61" s="37"/>
      <c r="SP61" s="37"/>
      <c r="SQ61" s="37"/>
      <c r="SR61" s="37"/>
      <c r="SS61" s="37"/>
      <c r="ST61" s="37"/>
      <c r="SU61" s="37"/>
      <c r="SV61" s="37"/>
      <c r="SW61" s="37"/>
      <c r="SX61" s="37"/>
      <c r="SY61" s="37"/>
      <c r="SZ61" s="37"/>
      <c r="TA61" s="37"/>
      <c r="TB61" s="37"/>
      <c r="TC61" s="37"/>
      <c r="TD61" s="37"/>
      <c r="TE61" s="37"/>
      <c r="TF61" s="37"/>
      <c r="TG61" s="37"/>
      <c r="TH61" s="37"/>
      <c r="TI61" s="37"/>
      <c r="TJ61" s="37"/>
      <c r="TK61" s="37"/>
      <c r="TL61" s="37"/>
      <c r="TM61" s="37"/>
      <c r="TN61" s="37"/>
      <c r="TO61" s="37"/>
      <c r="TP61" s="37"/>
      <c r="TQ61" s="37"/>
      <c r="TR61" s="37"/>
      <c r="TS61" s="37"/>
      <c r="TT61" s="37"/>
      <c r="TU61" s="37"/>
      <c r="TV61" s="37"/>
      <c r="TW61" s="37"/>
      <c r="TX61" s="37"/>
      <c r="TY61" s="37"/>
      <c r="TZ61" s="37"/>
      <c r="UA61" s="37"/>
      <c r="UB61" s="37"/>
      <c r="UC61" s="37"/>
      <c r="UD61" s="37"/>
      <c r="UE61" s="37"/>
      <c r="UF61" s="37"/>
      <c r="UG61" s="37"/>
      <c r="UH61" s="37"/>
      <c r="UI61" s="37"/>
      <c r="UJ61" s="37"/>
      <c r="UK61" s="37"/>
      <c r="UL61" s="37"/>
      <c r="UM61" s="37"/>
      <c r="UN61" s="37"/>
      <c r="UO61" s="37"/>
      <c r="UP61" s="37"/>
      <c r="UQ61" s="37"/>
      <c r="UR61" s="37"/>
      <c r="US61" s="37"/>
      <c r="UT61" s="37"/>
      <c r="UU61" s="37"/>
      <c r="UV61" s="37"/>
      <c r="UW61" s="37"/>
      <c r="UX61" s="37"/>
      <c r="UY61" s="37"/>
      <c r="UZ61" s="37"/>
      <c r="VA61" s="37"/>
      <c r="VB61" s="37"/>
      <c r="VC61" s="37"/>
      <c r="VD61" s="37"/>
      <c r="VE61" s="37"/>
      <c r="VF61" s="37"/>
      <c r="VG61" s="37"/>
      <c r="VH61" s="37"/>
      <c r="VI61" s="37"/>
      <c r="VJ61" s="37"/>
      <c r="VK61" s="37"/>
      <c r="VL61" s="37"/>
      <c r="VM61" s="37"/>
      <c r="VN61" s="37"/>
      <c r="VO61" s="37"/>
      <c r="VP61" s="37"/>
      <c r="VQ61" s="37"/>
      <c r="VR61" s="37"/>
      <c r="VS61" s="37"/>
      <c r="VT61" s="37"/>
      <c r="VU61" s="37"/>
      <c r="VV61" s="37"/>
      <c r="VW61" s="37"/>
      <c r="VX61" s="37"/>
      <c r="VY61" s="37"/>
      <c r="VZ61" s="37"/>
      <c r="WA61" s="37"/>
      <c r="WB61" s="37"/>
      <c r="WC61" s="37"/>
      <c r="WD61" s="37"/>
      <c r="WE61" s="37"/>
      <c r="WF61" s="37"/>
      <c r="WG61" s="37"/>
      <c r="WH61" s="37"/>
      <c r="WI61" s="37"/>
      <c r="WJ61" s="37"/>
      <c r="WK61" s="37"/>
      <c r="WL61" s="37"/>
      <c r="WM61" s="37"/>
      <c r="WN61" s="37"/>
      <c r="WO61" s="37"/>
      <c r="WP61" s="37"/>
      <c r="WQ61" s="37"/>
      <c r="WR61" s="37"/>
      <c r="WS61" s="37"/>
      <c r="WT61" s="37"/>
      <c r="WU61" s="37"/>
      <c r="WV61" s="37"/>
      <c r="WW61" s="37"/>
      <c r="WX61" s="37"/>
      <c r="WY61" s="37"/>
      <c r="WZ61" s="37"/>
      <c r="XA61" s="37"/>
      <c r="XB61" s="37"/>
      <c r="XC61" s="37"/>
      <c r="XD61" s="37"/>
      <c r="XE61" s="37"/>
      <c r="XF61" s="37"/>
      <c r="XG61" s="37"/>
      <c r="XH61" s="37"/>
      <c r="XI61" s="37"/>
      <c r="XJ61" s="37"/>
      <c r="XK61" s="37"/>
      <c r="XL61" s="37"/>
      <c r="XM61" s="37"/>
      <c r="XN61" s="37"/>
      <c r="XO61" s="37"/>
      <c r="XP61" s="37"/>
      <c r="XQ61" s="37"/>
      <c r="XR61" s="37"/>
      <c r="XS61" s="37"/>
      <c r="XT61" s="37"/>
      <c r="XU61" s="37"/>
      <c r="XV61" s="37"/>
      <c r="XW61" s="37"/>
      <c r="XX61" s="37"/>
      <c r="XY61" s="37"/>
      <c r="XZ61" s="37"/>
      <c r="YA61" s="37"/>
      <c r="YB61" s="37"/>
      <c r="YC61" s="37"/>
      <c r="YD61" s="37"/>
      <c r="YE61" s="37"/>
      <c r="YF61" s="37"/>
      <c r="YG61" s="37"/>
      <c r="YH61" s="37"/>
      <c r="YI61" s="37"/>
      <c r="YJ61" s="37"/>
      <c r="YK61" s="37"/>
      <c r="YL61" s="37"/>
      <c r="YM61" s="37"/>
      <c r="YN61" s="37"/>
      <c r="YO61" s="37"/>
      <c r="YP61" s="37"/>
      <c r="YQ61" s="37"/>
      <c r="YR61" s="37"/>
      <c r="YS61" s="37"/>
      <c r="YT61" s="37"/>
      <c r="YU61" s="37"/>
      <c r="YV61" s="37"/>
      <c r="YW61" s="37"/>
      <c r="YX61" s="37"/>
      <c r="YY61" s="37"/>
      <c r="YZ61" s="37"/>
      <c r="ZA61" s="37"/>
      <c r="ZB61" s="37"/>
      <c r="ZC61" s="37"/>
      <c r="ZD61" s="37"/>
      <c r="ZE61" s="37"/>
      <c r="ZF61" s="37"/>
      <c r="ZG61" s="37"/>
      <c r="ZH61" s="37"/>
      <c r="ZI61" s="37"/>
      <c r="ZJ61" s="37"/>
      <c r="ZK61" s="37"/>
      <c r="ZL61" s="37"/>
      <c r="ZM61" s="37"/>
      <c r="ZN61" s="37"/>
      <c r="ZO61" s="37"/>
      <c r="ZP61" s="37"/>
      <c r="ZQ61" s="37"/>
      <c r="ZR61" s="37"/>
      <c r="ZS61" s="37"/>
      <c r="ZT61" s="37"/>
      <c r="ZU61" s="37"/>
      <c r="ZV61" s="37"/>
      <c r="ZW61" s="37"/>
      <c r="ZX61" s="37"/>
      <c r="ZY61" s="37"/>
      <c r="ZZ61" s="37"/>
      <c r="AAA61" s="37"/>
      <c r="AAB61" s="37"/>
      <c r="AAC61" s="37"/>
      <c r="AAD61" s="37"/>
      <c r="AAE61" s="37"/>
      <c r="AAF61" s="37"/>
      <c r="AAG61" s="37"/>
      <c r="AAH61" s="37"/>
      <c r="AAI61" s="37"/>
      <c r="AAJ61" s="37"/>
      <c r="AAK61" s="37"/>
      <c r="AAL61" s="37"/>
      <c r="AAM61" s="37"/>
      <c r="AAN61" s="37"/>
      <c r="AAO61" s="37"/>
      <c r="AAP61" s="37"/>
      <c r="AAQ61" s="37"/>
      <c r="AAR61" s="37"/>
      <c r="AAS61" s="37"/>
      <c r="AAT61" s="37"/>
      <c r="AAU61" s="37"/>
      <c r="AAV61" s="37"/>
      <c r="AAW61" s="37"/>
      <c r="AAX61" s="37"/>
      <c r="AAY61" s="37"/>
      <c r="AAZ61" s="37"/>
      <c r="ABA61" s="37"/>
      <c r="ABB61" s="37"/>
      <c r="ABC61" s="37"/>
      <c r="ABD61" s="37"/>
      <c r="ABE61" s="37"/>
      <c r="ABF61" s="37"/>
      <c r="ABG61" s="37"/>
      <c r="ABH61" s="37"/>
      <c r="ABI61" s="37"/>
      <c r="ABJ61" s="37"/>
      <c r="ABK61" s="37"/>
      <c r="ABL61" s="37"/>
      <c r="ABM61" s="37"/>
      <c r="ABN61" s="37"/>
      <c r="ABO61" s="37"/>
      <c r="ABP61" s="37"/>
      <c r="ABQ61" s="37"/>
      <c r="ABR61" s="37"/>
      <c r="ABS61" s="37"/>
      <c r="ABT61" s="37"/>
      <c r="ABU61" s="37"/>
      <c r="ABV61" s="37"/>
      <c r="ABW61" s="37"/>
      <c r="ABX61" s="37"/>
      <c r="ABY61" s="37"/>
      <c r="ABZ61" s="37"/>
      <c r="ACA61" s="37"/>
      <c r="ACB61" s="37"/>
      <c r="ACC61" s="37"/>
      <c r="ACD61" s="37"/>
      <c r="ACE61" s="37"/>
      <c r="ACF61" s="37"/>
      <c r="ACG61" s="37"/>
      <c r="ACH61" s="37"/>
      <c r="ACI61" s="37"/>
      <c r="ACJ61" s="37"/>
      <c r="ACK61" s="37"/>
      <c r="ACL61" s="37"/>
      <c r="ACM61" s="37"/>
      <c r="ACN61" s="37"/>
      <c r="ACO61" s="37"/>
      <c r="ACP61" s="37"/>
      <c r="ACQ61" s="37"/>
      <c r="ACR61" s="37"/>
      <c r="ACS61" s="37"/>
      <c r="ACT61" s="37"/>
      <c r="ACU61" s="37"/>
      <c r="ACV61" s="37"/>
      <c r="ACW61" s="37"/>
      <c r="ACX61" s="37"/>
      <c r="ACY61" s="37"/>
      <c r="ACZ61" s="37"/>
      <c r="ADA61" s="37"/>
      <c r="ADB61" s="37"/>
      <c r="ADC61" s="37"/>
      <c r="ADD61" s="37"/>
      <c r="ADE61" s="37"/>
      <c r="ADF61" s="37"/>
      <c r="ADG61" s="37"/>
      <c r="ADH61" s="37"/>
      <c r="ADI61" s="37"/>
      <c r="ADJ61" s="37"/>
      <c r="ADK61" s="37"/>
      <c r="ADL61" s="37"/>
      <c r="ADM61" s="37"/>
      <c r="ADN61" s="37"/>
      <c r="ADO61" s="37"/>
      <c r="ADP61" s="37"/>
      <c r="ADQ61" s="37"/>
      <c r="ADR61" s="37"/>
      <c r="ADS61" s="37"/>
      <c r="ADT61" s="37"/>
      <c r="ADU61" s="37"/>
      <c r="ADV61" s="37"/>
      <c r="ADW61" s="37"/>
      <c r="ADX61" s="37"/>
      <c r="ADY61" s="37"/>
      <c r="ADZ61" s="37"/>
      <c r="AEA61" s="37"/>
      <c r="AEB61" s="37"/>
      <c r="AEC61" s="37"/>
      <c r="AED61" s="37"/>
      <c r="AEE61" s="37"/>
      <c r="AEF61" s="37"/>
      <c r="AEG61" s="37"/>
      <c r="AEH61" s="37"/>
      <c r="AEI61" s="37"/>
      <c r="AEJ61" s="37"/>
      <c r="AEK61" s="37"/>
      <c r="AEL61" s="37"/>
      <c r="AEM61" s="37"/>
      <c r="AEN61" s="37"/>
      <c r="AEO61" s="37"/>
      <c r="AEP61" s="37"/>
      <c r="AEQ61" s="37"/>
      <c r="AER61" s="37"/>
      <c r="AES61" s="37"/>
      <c r="AET61" s="37"/>
      <c r="AEU61" s="37"/>
      <c r="AEV61" s="37"/>
      <c r="AEW61" s="37"/>
      <c r="AEX61" s="37"/>
      <c r="AEY61" s="37"/>
      <c r="AEZ61" s="37"/>
      <c r="AFA61" s="37"/>
      <c r="AFB61" s="37"/>
      <c r="AFC61" s="37"/>
      <c r="AFD61" s="37"/>
      <c r="AFE61" s="37"/>
      <c r="AFF61" s="37"/>
      <c r="AFG61" s="37"/>
      <c r="AFH61" s="37"/>
      <c r="AFI61" s="37"/>
      <c r="AFJ61" s="37"/>
      <c r="AFK61" s="37"/>
      <c r="AFL61" s="37"/>
      <c r="AFM61" s="37"/>
      <c r="AFN61" s="37"/>
      <c r="AFO61" s="37"/>
      <c r="AFP61" s="37"/>
      <c r="AFQ61" s="37"/>
      <c r="AFR61" s="37"/>
      <c r="AFS61" s="37"/>
      <c r="AFT61" s="37"/>
      <c r="AFU61" s="37"/>
      <c r="AFV61" s="37"/>
      <c r="AFW61" s="37"/>
      <c r="AFX61" s="37"/>
      <c r="AFY61" s="37"/>
      <c r="AFZ61" s="37"/>
      <c r="AGA61" s="37"/>
      <c r="AGB61" s="37"/>
      <c r="AGC61" s="37"/>
      <c r="AGD61" s="37"/>
      <c r="AGE61" s="37"/>
      <c r="AGF61" s="37"/>
      <c r="AGG61" s="37"/>
      <c r="AGH61" s="37"/>
      <c r="AGI61" s="37"/>
      <c r="AGJ61" s="37"/>
      <c r="AGK61" s="37"/>
      <c r="AGL61" s="37"/>
      <c r="AGM61" s="37"/>
      <c r="AGN61" s="37"/>
      <c r="AGO61" s="37"/>
      <c r="AGP61" s="37"/>
      <c r="AGQ61" s="37"/>
      <c r="AGR61" s="37"/>
      <c r="AGS61" s="37"/>
      <c r="AGT61" s="37"/>
      <c r="AGU61" s="37"/>
      <c r="AGV61" s="37"/>
      <c r="AGW61" s="37"/>
      <c r="AGX61" s="37"/>
      <c r="AGY61" s="37"/>
      <c r="AGZ61" s="37"/>
      <c r="AHA61" s="37"/>
      <c r="AHB61" s="37"/>
      <c r="AHC61" s="37"/>
      <c r="AHD61" s="37"/>
      <c r="AHE61" s="37"/>
      <c r="AHF61" s="37"/>
      <c r="AHG61" s="37"/>
      <c r="AHH61" s="37"/>
      <c r="AHI61" s="37"/>
      <c r="AHJ61" s="37"/>
      <c r="AHK61" s="37"/>
      <c r="AHL61" s="37"/>
      <c r="AHM61" s="37"/>
      <c r="AHN61" s="37"/>
      <c r="AHO61" s="37"/>
      <c r="AHP61" s="37"/>
      <c r="AHQ61" s="37"/>
      <c r="AHR61" s="37"/>
      <c r="AHS61" s="37"/>
      <c r="AHT61" s="37"/>
      <c r="AHU61" s="37"/>
      <c r="AHV61" s="37"/>
      <c r="AHW61" s="37"/>
      <c r="AHX61" s="37"/>
      <c r="AHY61" s="37"/>
      <c r="AHZ61" s="37"/>
      <c r="AIA61" s="37"/>
      <c r="AIB61" s="37"/>
      <c r="AIC61" s="37"/>
      <c r="AID61" s="37"/>
      <c r="AIE61" s="37"/>
      <c r="AIF61" s="37"/>
      <c r="AIG61" s="37"/>
      <c r="AIH61" s="37"/>
      <c r="AII61" s="37"/>
      <c r="AIJ61" s="37"/>
      <c r="AIK61" s="37"/>
      <c r="AIL61" s="37"/>
      <c r="AIM61" s="37"/>
      <c r="AIN61" s="37"/>
      <c r="AIO61" s="37"/>
      <c r="AIP61" s="37"/>
      <c r="AIQ61" s="37"/>
      <c r="AIR61" s="37"/>
      <c r="AIS61" s="37"/>
      <c r="AIT61" s="37"/>
      <c r="AIU61" s="37"/>
      <c r="AIV61" s="37"/>
      <c r="AIW61" s="37"/>
      <c r="AIX61" s="37"/>
      <c r="AIY61" s="37"/>
      <c r="AIZ61" s="37"/>
      <c r="AJA61" s="37"/>
      <c r="AJB61" s="37"/>
      <c r="AJC61" s="37"/>
      <c r="AJD61" s="37"/>
      <c r="AJE61" s="37"/>
      <c r="AJF61" s="37"/>
      <c r="AJG61" s="37"/>
      <c r="AJH61" s="37"/>
      <c r="AJI61" s="37"/>
      <c r="AJJ61" s="37"/>
      <c r="AJK61" s="37"/>
      <c r="AJL61" s="37"/>
      <c r="AJM61" s="37"/>
      <c r="AJN61" s="37"/>
      <c r="AJO61" s="37"/>
      <c r="AJP61" s="37"/>
      <c r="AJQ61" s="37"/>
      <c r="AJR61" s="37"/>
      <c r="AJS61" s="37"/>
      <c r="AJT61" s="37"/>
      <c r="AJU61" s="37"/>
      <c r="AJV61" s="37"/>
      <c r="AJW61" s="37"/>
      <c r="AJX61" s="37"/>
      <c r="AJY61" s="37"/>
      <c r="AJZ61" s="37"/>
      <c r="AKA61" s="37"/>
      <c r="AKB61" s="37"/>
      <c r="AKC61" s="37"/>
      <c r="AKD61" s="37"/>
      <c r="AKE61" s="37"/>
      <c r="AKF61" s="37"/>
      <c r="AKG61" s="37"/>
      <c r="AKH61" s="37"/>
      <c r="AKI61" s="37"/>
      <c r="AKJ61" s="37"/>
      <c r="AKK61" s="37"/>
      <c r="AKL61" s="37"/>
      <c r="AKM61" s="37"/>
      <c r="AKN61" s="37"/>
      <c r="AKO61" s="37"/>
      <c r="AKP61" s="37"/>
      <c r="AKQ61" s="37"/>
      <c r="AKR61" s="37"/>
      <c r="AKS61" s="37"/>
      <c r="AKT61" s="37"/>
      <c r="AKU61" s="37"/>
      <c r="AKV61" s="37"/>
      <c r="AKW61" s="37"/>
      <c r="AKX61" s="37"/>
      <c r="AKY61" s="37"/>
      <c r="AKZ61" s="37"/>
      <c r="ALA61" s="37"/>
      <c r="ALB61" s="37"/>
      <c r="ALC61" s="37"/>
      <c r="ALD61" s="37"/>
      <c r="ALE61" s="37"/>
      <c r="ALF61" s="37"/>
      <c r="ALG61" s="37"/>
      <c r="ALH61" s="37"/>
      <c r="ALI61" s="37"/>
      <c r="ALJ61" s="37"/>
      <c r="ALK61" s="37"/>
      <c r="ALL61" s="37"/>
      <c r="ALM61" s="37"/>
      <c r="ALN61" s="37"/>
      <c r="ALO61" s="37"/>
      <c r="ALP61" s="37"/>
      <c r="ALQ61" s="37"/>
      <c r="ALR61" s="37"/>
      <c r="ALS61" s="37"/>
      <c r="ALT61" s="37"/>
      <c r="ALU61" s="37"/>
      <c r="ALV61" s="37"/>
      <c r="ALW61" s="37"/>
      <c r="ALX61" s="37"/>
      <c r="ALY61" s="37"/>
      <c r="ALZ61" s="37"/>
      <c r="AMA61" s="37"/>
      <c r="AMB61" s="37"/>
      <c r="AMC61" s="37"/>
    </row>
    <row r="62" spans="1:1017" s="38" customFormat="1" ht="19.5" customHeight="1">
      <c r="A62" s="26" t="s">
        <v>121</v>
      </c>
      <c r="B62" s="25" t="s">
        <v>109</v>
      </c>
      <c r="C62" s="26" t="s">
        <v>46</v>
      </c>
      <c r="D62" s="26" t="s">
        <v>32</v>
      </c>
      <c r="E62" s="26" t="s">
        <v>261</v>
      </c>
      <c r="F62" s="26">
        <v>43</v>
      </c>
      <c r="G62" s="26" t="s">
        <v>35</v>
      </c>
      <c r="H62" s="26">
        <v>58</v>
      </c>
      <c r="I62" s="36">
        <v>48</v>
      </c>
      <c r="J62" s="36">
        <v>26</v>
      </c>
      <c r="K62" s="36">
        <v>20</v>
      </c>
      <c r="L62" s="36">
        <v>32</v>
      </c>
      <c r="M62" s="36">
        <v>30</v>
      </c>
      <c r="N62" s="36">
        <v>32</v>
      </c>
      <c r="O62" s="36">
        <v>75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  <c r="OU62" s="37"/>
      <c r="OV62" s="37"/>
      <c r="OW62" s="37"/>
      <c r="OX62" s="37"/>
      <c r="OY62" s="37"/>
      <c r="OZ62" s="37"/>
      <c r="PA62" s="37"/>
      <c r="PB62" s="37"/>
      <c r="PC62" s="37"/>
      <c r="PD62" s="37"/>
      <c r="PE62" s="37"/>
      <c r="PF62" s="37"/>
      <c r="PG62" s="37"/>
      <c r="PH62" s="37"/>
      <c r="PI62" s="37"/>
      <c r="PJ62" s="37"/>
      <c r="PK62" s="37"/>
      <c r="PL62" s="37"/>
      <c r="PM62" s="37"/>
      <c r="PN62" s="37"/>
      <c r="PO62" s="37"/>
      <c r="PP62" s="37"/>
      <c r="PQ62" s="37"/>
      <c r="PR62" s="37"/>
      <c r="PS62" s="37"/>
      <c r="PT62" s="37"/>
      <c r="PU62" s="37"/>
      <c r="PV62" s="37"/>
      <c r="PW62" s="37"/>
      <c r="PX62" s="37"/>
      <c r="PY62" s="37"/>
      <c r="PZ62" s="37"/>
      <c r="QA62" s="37"/>
      <c r="QB62" s="37"/>
      <c r="QC62" s="37"/>
      <c r="QD62" s="37"/>
      <c r="QE62" s="37"/>
      <c r="QF62" s="37"/>
      <c r="QG62" s="37"/>
      <c r="QH62" s="37"/>
      <c r="QI62" s="37"/>
      <c r="QJ62" s="37"/>
      <c r="QK62" s="37"/>
      <c r="QL62" s="37"/>
      <c r="QM62" s="37"/>
      <c r="QN62" s="37"/>
      <c r="QO62" s="37"/>
      <c r="QP62" s="37"/>
      <c r="QQ62" s="37"/>
      <c r="QR62" s="37"/>
      <c r="QS62" s="37"/>
      <c r="QT62" s="37"/>
      <c r="QU62" s="37"/>
      <c r="QV62" s="37"/>
      <c r="QW62" s="37"/>
      <c r="QX62" s="37"/>
      <c r="QY62" s="37"/>
      <c r="QZ62" s="37"/>
      <c r="RA62" s="37"/>
      <c r="RB62" s="37"/>
      <c r="RC62" s="37"/>
      <c r="RD62" s="37"/>
      <c r="RE62" s="37"/>
      <c r="RF62" s="37"/>
      <c r="RG62" s="37"/>
      <c r="RH62" s="37"/>
      <c r="RI62" s="37"/>
      <c r="RJ62" s="37"/>
      <c r="RK62" s="37"/>
      <c r="RL62" s="37"/>
      <c r="RM62" s="37"/>
      <c r="RN62" s="37"/>
      <c r="RO62" s="37"/>
      <c r="RP62" s="37"/>
      <c r="RQ62" s="37"/>
      <c r="RR62" s="37"/>
      <c r="RS62" s="37"/>
      <c r="RT62" s="37"/>
      <c r="RU62" s="37"/>
      <c r="RV62" s="37"/>
      <c r="RW62" s="37"/>
      <c r="RX62" s="37"/>
      <c r="RY62" s="37"/>
      <c r="RZ62" s="37"/>
      <c r="SA62" s="37"/>
      <c r="SB62" s="37"/>
      <c r="SC62" s="37"/>
      <c r="SD62" s="37"/>
      <c r="SE62" s="37"/>
      <c r="SF62" s="37"/>
      <c r="SG62" s="37"/>
      <c r="SH62" s="37"/>
      <c r="SI62" s="37"/>
      <c r="SJ62" s="37"/>
      <c r="SK62" s="37"/>
      <c r="SL62" s="37"/>
      <c r="SM62" s="37"/>
      <c r="SN62" s="37"/>
      <c r="SO62" s="37"/>
      <c r="SP62" s="37"/>
      <c r="SQ62" s="37"/>
      <c r="SR62" s="37"/>
      <c r="SS62" s="37"/>
      <c r="ST62" s="37"/>
      <c r="SU62" s="37"/>
      <c r="SV62" s="37"/>
      <c r="SW62" s="37"/>
      <c r="SX62" s="37"/>
      <c r="SY62" s="37"/>
      <c r="SZ62" s="37"/>
      <c r="TA62" s="37"/>
      <c r="TB62" s="37"/>
      <c r="TC62" s="37"/>
      <c r="TD62" s="37"/>
      <c r="TE62" s="37"/>
      <c r="TF62" s="37"/>
      <c r="TG62" s="37"/>
      <c r="TH62" s="37"/>
      <c r="TI62" s="37"/>
      <c r="TJ62" s="37"/>
      <c r="TK62" s="37"/>
      <c r="TL62" s="37"/>
      <c r="TM62" s="37"/>
      <c r="TN62" s="37"/>
      <c r="TO62" s="37"/>
      <c r="TP62" s="37"/>
      <c r="TQ62" s="37"/>
      <c r="TR62" s="37"/>
      <c r="TS62" s="37"/>
      <c r="TT62" s="37"/>
      <c r="TU62" s="37"/>
      <c r="TV62" s="37"/>
      <c r="TW62" s="37"/>
      <c r="TX62" s="37"/>
      <c r="TY62" s="37"/>
      <c r="TZ62" s="37"/>
      <c r="UA62" s="37"/>
      <c r="UB62" s="37"/>
      <c r="UC62" s="37"/>
      <c r="UD62" s="37"/>
      <c r="UE62" s="37"/>
      <c r="UF62" s="37"/>
      <c r="UG62" s="37"/>
      <c r="UH62" s="37"/>
      <c r="UI62" s="37"/>
      <c r="UJ62" s="37"/>
      <c r="UK62" s="37"/>
      <c r="UL62" s="37"/>
      <c r="UM62" s="37"/>
      <c r="UN62" s="37"/>
      <c r="UO62" s="37"/>
      <c r="UP62" s="37"/>
      <c r="UQ62" s="37"/>
      <c r="UR62" s="37"/>
      <c r="US62" s="37"/>
      <c r="UT62" s="37"/>
      <c r="UU62" s="37"/>
      <c r="UV62" s="37"/>
      <c r="UW62" s="37"/>
      <c r="UX62" s="37"/>
      <c r="UY62" s="37"/>
      <c r="UZ62" s="37"/>
      <c r="VA62" s="37"/>
      <c r="VB62" s="37"/>
      <c r="VC62" s="37"/>
      <c r="VD62" s="37"/>
      <c r="VE62" s="37"/>
      <c r="VF62" s="37"/>
      <c r="VG62" s="37"/>
      <c r="VH62" s="37"/>
      <c r="VI62" s="37"/>
      <c r="VJ62" s="37"/>
      <c r="VK62" s="37"/>
      <c r="VL62" s="37"/>
      <c r="VM62" s="37"/>
      <c r="VN62" s="37"/>
      <c r="VO62" s="37"/>
      <c r="VP62" s="37"/>
      <c r="VQ62" s="37"/>
      <c r="VR62" s="37"/>
      <c r="VS62" s="37"/>
      <c r="VT62" s="37"/>
      <c r="VU62" s="37"/>
      <c r="VV62" s="37"/>
      <c r="VW62" s="37"/>
      <c r="VX62" s="37"/>
      <c r="VY62" s="37"/>
      <c r="VZ62" s="37"/>
      <c r="WA62" s="37"/>
      <c r="WB62" s="37"/>
      <c r="WC62" s="37"/>
      <c r="WD62" s="37"/>
      <c r="WE62" s="37"/>
      <c r="WF62" s="37"/>
      <c r="WG62" s="37"/>
      <c r="WH62" s="37"/>
      <c r="WI62" s="37"/>
      <c r="WJ62" s="37"/>
      <c r="WK62" s="37"/>
      <c r="WL62" s="37"/>
      <c r="WM62" s="37"/>
      <c r="WN62" s="37"/>
      <c r="WO62" s="37"/>
      <c r="WP62" s="37"/>
      <c r="WQ62" s="37"/>
      <c r="WR62" s="37"/>
      <c r="WS62" s="37"/>
      <c r="WT62" s="37"/>
      <c r="WU62" s="37"/>
      <c r="WV62" s="37"/>
      <c r="WW62" s="37"/>
      <c r="WX62" s="37"/>
      <c r="WY62" s="37"/>
      <c r="WZ62" s="37"/>
      <c r="XA62" s="37"/>
      <c r="XB62" s="37"/>
      <c r="XC62" s="37"/>
      <c r="XD62" s="37"/>
      <c r="XE62" s="37"/>
      <c r="XF62" s="37"/>
      <c r="XG62" s="37"/>
      <c r="XH62" s="37"/>
      <c r="XI62" s="37"/>
      <c r="XJ62" s="37"/>
      <c r="XK62" s="37"/>
      <c r="XL62" s="37"/>
      <c r="XM62" s="37"/>
      <c r="XN62" s="37"/>
      <c r="XO62" s="37"/>
      <c r="XP62" s="37"/>
      <c r="XQ62" s="37"/>
      <c r="XR62" s="37"/>
      <c r="XS62" s="37"/>
      <c r="XT62" s="37"/>
      <c r="XU62" s="37"/>
      <c r="XV62" s="37"/>
      <c r="XW62" s="37"/>
      <c r="XX62" s="37"/>
      <c r="XY62" s="37"/>
      <c r="XZ62" s="37"/>
      <c r="YA62" s="37"/>
      <c r="YB62" s="37"/>
      <c r="YC62" s="37"/>
      <c r="YD62" s="37"/>
      <c r="YE62" s="37"/>
      <c r="YF62" s="37"/>
      <c r="YG62" s="37"/>
      <c r="YH62" s="37"/>
      <c r="YI62" s="37"/>
      <c r="YJ62" s="37"/>
      <c r="YK62" s="37"/>
      <c r="YL62" s="37"/>
      <c r="YM62" s="37"/>
      <c r="YN62" s="37"/>
      <c r="YO62" s="37"/>
      <c r="YP62" s="37"/>
      <c r="YQ62" s="37"/>
      <c r="YR62" s="37"/>
      <c r="YS62" s="37"/>
      <c r="YT62" s="37"/>
      <c r="YU62" s="37"/>
      <c r="YV62" s="37"/>
      <c r="YW62" s="37"/>
      <c r="YX62" s="37"/>
      <c r="YY62" s="37"/>
      <c r="YZ62" s="37"/>
      <c r="ZA62" s="37"/>
      <c r="ZB62" s="37"/>
      <c r="ZC62" s="37"/>
      <c r="ZD62" s="37"/>
      <c r="ZE62" s="37"/>
      <c r="ZF62" s="37"/>
      <c r="ZG62" s="37"/>
      <c r="ZH62" s="37"/>
      <c r="ZI62" s="37"/>
      <c r="ZJ62" s="37"/>
      <c r="ZK62" s="37"/>
      <c r="ZL62" s="37"/>
      <c r="ZM62" s="37"/>
      <c r="ZN62" s="37"/>
      <c r="ZO62" s="37"/>
      <c r="ZP62" s="37"/>
      <c r="ZQ62" s="37"/>
      <c r="ZR62" s="37"/>
      <c r="ZS62" s="37"/>
      <c r="ZT62" s="37"/>
      <c r="ZU62" s="37"/>
      <c r="ZV62" s="37"/>
      <c r="ZW62" s="37"/>
      <c r="ZX62" s="37"/>
      <c r="ZY62" s="37"/>
      <c r="ZZ62" s="37"/>
      <c r="AAA62" s="37"/>
      <c r="AAB62" s="37"/>
      <c r="AAC62" s="37"/>
      <c r="AAD62" s="37"/>
      <c r="AAE62" s="37"/>
      <c r="AAF62" s="37"/>
      <c r="AAG62" s="37"/>
      <c r="AAH62" s="37"/>
      <c r="AAI62" s="37"/>
      <c r="AAJ62" s="37"/>
      <c r="AAK62" s="37"/>
      <c r="AAL62" s="37"/>
      <c r="AAM62" s="37"/>
      <c r="AAN62" s="37"/>
      <c r="AAO62" s="37"/>
      <c r="AAP62" s="37"/>
      <c r="AAQ62" s="37"/>
      <c r="AAR62" s="37"/>
      <c r="AAS62" s="37"/>
      <c r="AAT62" s="37"/>
      <c r="AAU62" s="37"/>
      <c r="AAV62" s="37"/>
      <c r="AAW62" s="37"/>
      <c r="AAX62" s="37"/>
      <c r="AAY62" s="37"/>
      <c r="AAZ62" s="37"/>
      <c r="ABA62" s="37"/>
      <c r="ABB62" s="37"/>
      <c r="ABC62" s="37"/>
      <c r="ABD62" s="37"/>
      <c r="ABE62" s="37"/>
      <c r="ABF62" s="37"/>
      <c r="ABG62" s="37"/>
      <c r="ABH62" s="37"/>
      <c r="ABI62" s="37"/>
      <c r="ABJ62" s="37"/>
      <c r="ABK62" s="37"/>
      <c r="ABL62" s="37"/>
      <c r="ABM62" s="37"/>
      <c r="ABN62" s="37"/>
      <c r="ABO62" s="37"/>
      <c r="ABP62" s="37"/>
      <c r="ABQ62" s="37"/>
      <c r="ABR62" s="37"/>
      <c r="ABS62" s="37"/>
      <c r="ABT62" s="37"/>
      <c r="ABU62" s="37"/>
      <c r="ABV62" s="37"/>
      <c r="ABW62" s="37"/>
      <c r="ABX62" s="37"/>
      <c r="ABY62" s="37"/>
      <c r="ABZ62" s="37"/>
      <c r="ACA62" s="37"/>
      <c r="ACB62" s="37"/>
      <c r="ACC62" s="37"/>
      <c r="ACD62" s="37"/>
      <c r="ACE62" s="37"/>
      <c r="ACF62" s="37"/>
      <c r="ACG62" s="37"/>
      <c r="ACH62" s="37"/>
      <c r="ACI62" s="37"/>
      <c r="ACJ62" s="37"/>
      <c r="ACK62" s="37"/>
      <c r="ACL62" s="37"/>
      <c r="ACM62" s="37"/>
      <c r="ACN62" s="37"/>
      <c r="ACO62" s="37"/>
      <c r="ACP62" s="37"/>
      <c r="ACQ62" s="37"/>
      <c r="ACR62" s="37"/>
      <c r="ACS62" s="37"/>
      <c r="ACT62" s="37"/>
      <c r="ACU62" s="37"/>
      <c r="ACV62" s="37"/>
      <c r="ACW62" s="37"/>
      <c r="ACX62" s="37"/>
      <c r="ACY62" s="37"/>
      <c r="ACZ62" s="37"/>
      <c r="ADA62" s="37"/>
      <c r="ADB62" s="37"/>
      <c r="ADC62" s="37"/>
      <c r="ADD62" s="37"/>
      <c r="ADE62" s="37"/>
      <c r="ADF62" s="37"/>
      <c r="ADG62" s="37"/>
      <c r="ADH62" s="37"/>
      <c r="ADI62" s="37"/>
      <c r="ADJ62" s="37"/>
      <c r="ADK62" s="37"/>
      <c r="ADL62" s="37"/>
      <c r="ADM62" s="37"/>
      <c r="ADN62" s="37"/>
      <c r="ADO62" s="37"/>
      <c r="ADP62" s="37"/>
      <c r="ADQ62" s="37"/>
      <c r="ADR62" s="37"/>
      <c r="ADS62" s="37"/>
      <c r="ADT62" s="37"/>
      <c r="ADU62" s="37"/>
      <c r="ADV62" s="37"/>
      <c r="ADW62" s="37"/>
      <c r="ADX62" s="37"/>
      <c r="ADY62" s="37"/>
      <c r="ADZ62" s="37"/>
      <c r="AEA62" s="37"/>
      <c r="AEB62" s="37"/>
      <c r="AEC62" s="37"/>
      <c r="AED62" s="37"/>
      <c r="AEE62" s="37"/>
      <c r="AEF62" s="37"/>
      <c r="AEG62" s="37"/>
      <c r="AEH62" s="37"/>
      <c r="AEI62" s="37"/>
      <c r="AEJ62" s="37"/>
      <c r="AEK62" s="37"/>
      <c r="AEL62" s="37"/>
      <c r="AEM62" s="37"/>
      <c r="AEN62" s="37"/>
      <c r="AEO62" s="37"/>
      <c r="AEP62" s="37"/>
      <c r="AEQ62" s="37"/>
      <c r="AER62" s="37"/>
      <c r="AES62" s="37"/>
      <c r="AET62" s="37"/>
      <c r="AEU62" s="37"/>
      <c r="AEV62" s="37"/>
      <c r="AEW62" s="37"/>
      <c r="AEX62" s="37"/>
      <c r="AEY62" s="37"/>
      <c r="AEZ62" s="37"/>
      <c r="AFA62" s="37"/>
      <c r="AFB62" s="37"/>
      <c r="AFC62" s="37"/>
      <c r="AFD62" s="37"/>
      <c r="AFE62" s="37"/>
      <c r="AFF62" s="37"/>
      <c r="AFG62" s="37"/>
      <c r="AFH62" s="37"/>
      <c r="AFI62" s="37"/>
      <c r="AFJ62" s="37"/>
      <c r="AFK62" s="37"/>
      <c r="AFL62" s="37"/>
      <c r="AFM62" s="37"/>
      <c r="AFN62" s="37"/>
      <c r="AFO62" s="37"/>
      <c r="AFP62" s="37"/>
      <c r="AFQ62" s="37"/>
      <c r="AFR62" s="37"/>
      <c r="AFS62" s="37"/>
      <c r="AFT62" s="37"/>
      <c r="AFU62" s="37"/>
      <c r="AFV62" s="37"/>
      <c r="AFW62" s="37"/>
      <c r="AFX62" s="37"/>
      <c r="AFY62" s="37"/>
      <c r="AFZ62" s="37"/>
      <c r="AGA62" s="37"/>
      <c r="AGB62" s="37"/>
      <c r="AGC62" s="37"/>
      <c r="AGD62" s="37"/>
      <c r="AGE62" s="37"/>
      <c r="AGF62" s="37"/>
      <c r="AGG62" s="37"/>
      <c r="AGH62" s="37"/>
      <c r="AGI62" s="37"/>
      <c r="AGJ62" s="37"/>
      <c r="AGK62" s="37"/>
      <c r="AGL62" s="37"/>
      <c r="AGM62" s="37"/>
      <c r="AGN62" s="37"/>
      <c r="AGO62" s="37"/>
      <c r="AGP62" s="37"/>
      <c r="AGQ62" s="37"/>
      <c r="AGR62" s="37"/>
      <c r="AGS62" s="37"/>
      <c r="AGT62" s="37"/>
      <c r="AGU62" s="37"/>
      <c r="AGV62" s="37"/>
      <c r="AGW62" s="37"/>
      <c r="AGX62" s="37"/>
      <c r="AGY62" s="37"/>
      <c r="AGZ62" s="37"/>
      <c r="AHA62" s="37"/>
      <c r="AHB62" s="37"/>
      <c r="AHC62" s="37"/>
      <c r="AHD62" s="37"/>
      <c r="AHE62" s="37"/>
      <c r="AHF62" s="37"/>
      <c r="AHG62" s="37"/>
      <c r="AHH62" s="37"/>
      <c r="AHI62" s="37"/>
      <c r="AHJ62" s="37"/>
      <c r="AHK62" s="37"/>
      <c r="AHL62" s="37"/>
      <c r="AHM62" s="37"/>
      <c r="AHN62" s="37"/>
      <c r="AHO62" s="37"/>
      <c r="AHP62" s="37"/>
      <c r="AHQ62" s="37"/>
      <c r="AHR62" s="37"/>
      <c r="AHS62" s="37"/>
      <c r="AHT62" s="37"/>
      <c r="AHU62" s="37"/>
      <c r="AHV62" s="37"/>
      <c r="AHW62" s="37"/>
      <c r="AHX62" s="37"/>
      <c r="AHY62" s="37"/>
      <c r="AHZ62" s="37"/>
      <c r="AIA62" s="37"/>
      <c r="AIB62" s="37"/>
      <c r="AIC62" s="37"/>
      <c r="AID62" s="37"/>
      <c r="AIE62" s="37"/>
      <c r="AIF62" s="37"/>
      <c r="AIG62" s="37"/>
      <c r="AIH62" s="37"/>
      <c r="AII62" s="37"/>
      <c r="AIJ62" s="37"/>
      <c r="AIK62" s="37"/>
      <c r="AIL62" s="37"/>
      <c r="AIM62" s="37"/>
      <c r="AIN62" s="37"/>
      <c r="AIO62" s="37"/>
      <c r="AIP62" s="37"/>
      <c r="AIQ62" s="37"/>
      <c r="AIR62" s="37"/>
      <c r="AIS62" s="37"/>
      <c r="AIT62" s="37"/>
      <c r="AIU62" s="37"/>
      <c r="AIV62" s="37"/>
      <c r="AIW62" s="37"/>
      <c r="AIX62" s="37"/>
      <c r="AIY62" s="37"/>
      <c r="AIZ62" s="37"/>
      <c r="AJA62" s="37"/>
      <c r="AJB62" s="37"/>
      <c r="AJC62" s="37"/>
      <c r="AJD62" s="37"/>
      <c r="AJE62" s="37"/>
      <c r="AJF62" s="37"/>
      <c r="AJG62" s="37"/>
      <c r="AJH62" s="37"/>
      <c r="AJI62" s="37"/>
      <c r="AJJ62" s="37"/>
      <c r="AJK62" s="37"/>
      <c r="AJL62" s="37"/>
      <c r="AJM62" s="37"/>
      <c r="AJN62" s="37"/>
      <c r="AJO62" s="37"/>
      <c r="AJP62" s="37"/>
      <c r="AJQ62" s="37"/>
      <c r="AJR62" s="37"/>
      <c r="AJS62" s="37"/>
      <c r="AJT62" s="37"/>
      <c r="AJU62" s="37"/>
      <c r="AJV62" s="37"/>
      <c r="AJW62" s="37"/>
      <c r="AJX62" s="37"/>
      <c r="AJY62" s="37"/>
      <c r="AJZ62" s="37"/>
      <c r="AKA62" s="37"/>
      <c r="AKB62" s="37"/>
      <c r="AKC62" s="37"/>
      <c r="AKD62" s="37"/>
      <c r="AKE62" s="37"/>
      <c r="AKF62" s="37"/>
      <c r="AKG62" s="37"/>
      <c r="AKH62" s="37"/>
      <c r="AKI62" s="37"/>
      <c r="AKJ62" s="37"/>
      <c r="AKK62" s="37"/>
      <c r="AKL62" s="37"/>
      <c r="AKM62" s="37"/>
      <c r="AKN62" s="37"/>
      <c r="AKO62" s="37"/>
      <c r="AKP62" s="37"/>
      <c r="AKQ62" s="37"/>
      <c r="AKR62" s="37"/>
      <c r="AKS62" s="37"/>
      <c r="AKT62" s="37"/>
      <c r="AKU62" s="37"/>
      <c r="AKV62" s="37"/>
      <c r="AKW62" s="37"/>
      <c r="AKX62" s="37"/>
      <c r="AKY62" s="37"/>
      <c r="AKZ62" s="37"/>
      <c r="ALA62" s="37"/>
      <c r="ALB62" s="37"/>
      <c r="ALC62" s="37"/>
      <c r="ALD62" s="37"/>
      <c r="ALE62" s="37"/>
      <c r="ALF62" s="37"/>
      <c r="ALG62" s="37"/>
      <c r="ALH62" s="37"/>
      <c r="ALI62" s="37"/>
      <c r="ALJ62" s="37"/>
      <c r="ALK62" s="37"/>
      <c r="ALL62" s="37"/>
      <c r="ALM62" s="37"/>
      <c r="ALN62" s="37"/>
      <c r="ALO62" s="37"/>
      <c r="ALP62" s="37"/>
      <c r="ALQ62" s="37"/>
      <c r="ALR62" s="37"/>
      <c r="ALS62" s="37"/>
      <c r="ALT62" s="37"/>
      <c r="ALU62" s="37"/>
      <c r="ALV62" s="37"/>
      <c r="ALW62" s="37"/>
      <c r="ALX62" s="37"/>
      <c r="ALY62" s="37"/>
      <c r="ALZ62" s="37"/>
      <c r="AMA62" s="37"/>
      <c r="AMB62" s="37"/>
      <c r="AMC62" s="37"/>
    </row>
    <row r="63" spans="1:1017" s="38" customFormat="1" ht="19.5" customHeight="1">
      <c r="A63" s="72"/>
      <c r="B63" s="73"/>
      <c r="C63" s="72"/>
      <c r="D63" s="72"/>
      <c r="E63" s="72"/>
      <c r="F63" s="72"/>
      <c r="G63" s="35">
        <v>46</v>
      </c>
      <c r="H63" s="35">
        <v>106</v>
      </c>
      <c r="I63" s="35">
        <v>116</v>
      </c>
      <c r="J63" s="35">
        <v>70</v>
      </c>
      <c r="K63" s="35">
        <v>36</v>
      </c>
      <c r="L63" s="35">
        <v>27</v>
      </c>
      <c r="M63" s="35">
        <v>20</v>
      </c>
      <c r="N63" s="35">
        <v>102</v>
      </c>
      <c r="O63" s="74" t="s">
        <v>98</v>
      </c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  <c r="OU63" s="37"/>
      <c r="OV63" s="37"/>
      <c r="OW63" s="37"/>
      <c r="OX63" s="37"/>
      <c r="OY63" s="37"/>
      <c r="OZ63" s="37"/>
      <c r="PA63" s="37"/>
      <c r="PB63" s="37"/>
      <c r="PC63" s="37"/>
      <c r="PD63" s="37"/>
      <c r="PE63" s="37"/>
      <c r="PF63" s="37"/>
      <c r="PG63" s="37"/>
      <c r="PH63" s="37"/>
      <c r="PI63" s="37"/>
      <c r="PJ63" s="37"/>
      <c r="PK63" s="37"/>
      <c r="PL63" s="37"/>
      <c r="PM63" s="37"/>
      <c r="PN63" s="37"/>
      <c r="PO63" s="37"/>
      <c r="PP63" s="37"/>
      <c r="PQ63" s="37"/>
      <c r="PR63" s="37"/>
      <c r="PS63" s="37"/>
      <c r="PT63" s="37"/>
      <c r="PU63" s="37"/>
      <c r="PV63" s="37"/>
      <c r="PW63" s="37"/>
      <c r="PX63" s="37"/>
      <c r="PY63" s="37"/>
      <c r="PZ63" s="37"/>
      <c r="QA63" s="37"/>
      <c r="QB63" s="37"/>
      <c r="QC63" s="37"/>
      <c r="QD63" s="37"/>
      <c r="QE63" s="37"/>
      <c r="QF63" s="37"/>
      <c r="QG63" s="37"/>
      <c r="QH63" s="37"/>
      <c r="QI63" s="37"/>
      <c r="QJ63" s="37"/>
      <c r="QK63" s="37"/>
      <c r="QL63" s="37"/>
      <c r="QM63" s="37"/>
      <c r="QN63" s="37"/>
      <c r="QO63" s="37"/>
      <c r="QP63" s="37"/>
      <c r="QQ63" s="37"/>
      <c r="QR63" s="37"/>
      <c r="QS63" s="37"/>
      <c r="QT63" s="37"/>
      <c r="QU63" s="37"/>
      <c r="QV63" s="37"/>
      <c r="QW63" s="37"/>
      <c r="QX63" s="37"/>
      <c r="QY63" s="37"/>
      <c r="QZ63" s="37"/>
      <c r="RA63" s="37"/>
      <c r="RB63" s="37"/>
      <c r="RC63" s="37"/>
      <c r="RD63" s="37"/>
      <c r="RE63" s="37"/>
      <c r="RF63" s="37"/>
      <c r="RG63" s="37"/>
      <c r="RH63" s="37"/>
      <c r="RI63" s="37"/>
      <c r="RJ63" s="37"/>
      <c r="RK63" s="37"/>
      <c r="RL63" s="37"/>
      <c r="RM63" s="37"/>
      <c r="RN63" s="37"/>
      <c r="RO63" s="37"/>
      <c r="RP63" s="37"/>
      <c r="RQ63" s="37"/>
      <c r="RR63" s="37"/>
      <c r="RS63" s="37"/>
      <c r="RT63" s="37"/>
      <c r="RU63" s="37"/>
      <c r="RV63" s="37"/>
      <c r="RW63" s="37"/>
      <c r="RX63" s="37"/>
      <c r="RY63" s="37"/>
      <c r="RZ63" s="37"/>
      <c r="SA63" s="37"/>
      <c r="SB63" s="37"/>
      <c r="SC63" s="37"/>
      <c r="SD63" s="37"/>
      <c r="SE63" s="37"/>
      <c r="SF63" s="37"/>
      <c r="SG63" s="37"/>
      <c r="SH63" s="37"/>
      <c r="SI63" s="37"/>
      <c r="SJ63" s="37"/>
      <c r="SK63" s="37"/>
      <c r="SL63" s="37"/>
      <c r="SM63" s="37"/>
      <c r="SN63" s="37"/>
      <c r="SO63" s="37"/>
      <c r="SP63" s="37"/>
      <c r="SQ63" s="37"/>
      <c r="SR63" s="37"/>
      <c r="SS63" s="37"/>
      <c r="ST63" s="37"/>
      <c r="SU63" s="37"/>
      <c r="SV63" s="37"/>
      <c r="SW63" s="37"/>
      <c r="SX63" s="37"/>
      <c r="SY63" s="37"/>
      <c r="SZ63" s="37"/>
      <c r="TA63" s="37"/>
      <c r="TB63" s="37"/>
      <c r="TC63" s="37"/>
      <c r="TD63" s="37"/>
      <c r="TE63" s="37"/>
      <c r="TF63" s="37"/>
      <c r="TG63" s="37"/>
      <c r="TH63" s="37"/>
      <c r="TI63" s="37"/>
      <c r="TJ63" s="37"/>
      <c r="TK63" s="37"/>
      <c r="TL63" s="37"/>
      <c r="TM63" s="37"/>
      <c r="TN63" s="37"/>
      <c r="TO63" s="37"/>
      <c r="TP63" s="37"/>
      <c r="TQ63" s="37"/>
      <c r="TR63" s="37"/>
      <c r="TS63" s="37"/>
      <c r="TT63" s="37"/>
      <c r="TU63" s="37"/>
      <c r="TV63" s="37"/>
      <c r="TW63" s="37"/>
      <c r="TX63" s="37"/>
      <c r="TY63" s="37"/>
      <c r="TZ63" s="37"/>
      <c r="UA63" s="37"/>
      <c r="UB63" s="37"/>
      <c r="UC63" s="37"/>
      <c r="UD63" s="37"/>
      <c r="UE63" s="37"/>
      <c r="UF63" s="37"/>
      <c r="UG63" s="37"/>
      <c r="UH63" s="37"/>
      <c r="UI63" s="37"/>
      <c r="UJ63" s="37"/>
      <c r="UK63" s="37"/>
      <c r="UL63" s="37"/>
      <c r="UM63" s="37"/>
      <c r="UN63" s="37"/>
      <c r="UO63" s="37"/>
      <c r="UP63" s="37"/>
      <c r="UQ63" s="37"/>
      <c r="UR63" s="37"/>
      <c r="US63" s="37"/>
      <c r="UT63" s="37"/>
      <c r="UU63" s="37"/>
      <c r="UV63" s="37"/>
      <c r="UW63" s="37"/>
      <c r="UX63" s="37"/>
      <c r="UY63" s="37"/>
      <c r="UZ63" s="37"/>
      <c r="VA63" s="37"/>
      <c r="VB63" s="37"/>
      <c r="VC63" s="37"/>
      <c r="VD63" s="37"/>
      <c r="VE63" s="37"/>
      <c r="VF63" s="37"/>
      <c r="VG63" s="37"/>
      <c r="VH63" s="37"/>
      <c r="VI63" s="37"/>
      <c r="VJ63" s="37"/>
      <c r="VK63" s="37"/>
      <c r="VL63" s="37"/>
      <c r="VM63" s="37"/>
      <c r="VN63" s="37"/>
      <c r="VO63" s="37"/>
      <c r="VP63" s="37"/>
      <c r="VQ63" s="37"/>
      <c r="VR63" s="37"/>
      <c r="VS63" s="37"/>
      <c r="VT63" s="37"/>
      <c r="VU63" s="37"/>
      <c r="VV63" s="37"/>
      <c r="VW63" s="37"/>
      <c r="VX63" s="37"/>
      <c r="VY63" s="37"/>
      <c r="VZ63" s="37"/>
      <c r="WA63" s="37"/>
      <c r="WB63" s="37"/>
      <c r="WC63" s="37"/>
      <c r="WD63" s="37"/>
      <c r="WE63" s="37"/>
      <c r="WF63" s="37"/>
      <c r="WG63" s="37"/>
      <c r="WH63" s="37"/>
      <c r="WI63" s="37"/>
      <c r="WJ63" s="37"/>
      <c r="WK63" s="37"/>
      <c r="WL63" s="37"/>
      <c r="WM63" s="37"/>
      <c r="WN63" s="37"/>
      <c r="WO63" s="37"/>
      <c r="WP63" s="37"/>
      <c r="WQ63" s="37"/>
      <c r="WR63" s="37"/>
      <c r="WS63" s="37"/>
      <c r="WT63" s="37"/>
      <c r="WU63" s="37"/>
      <c r="WV63" s="37"/>
      <c r="WW63" s="37"/>
      <c r="WX63" s="37"/>
      <c r="WY63" s="37"/>
      <c r="WZ63" s="37"/>
      <c r="XA63" s="37"/>
      <c r="XB63" s="37"/>
      <c r="XC63" s="37"/>
      <c r="XD63" s="37"/>
      <c r="XE63" s="37"/>
      <c r="XF63" s="37"/>
      <c r="XG63" s="37"/>
      <c r="XH63" s="37"/>
      <c r="XI63" s="37"/>
      <c r="XJ63" s="37"/>
      <c r="XK63" s="37"/>
      <c r="XL63" s="37"/>
      <c r="XM63" s="37"/>
      <c r="XN63" s="37"/>
      <c r="XO63" s="37"/>
      <c r="XP63" s="37"/>
      <c r="XQ63" s="37"/>
      <c r="XR63" s="37"/>
      <c r="XS63" s="37"/>
      <c r="XT63" s="37"/>
      <c r="XU63" s="37"/>
      <c r="XV63" s="37"/>
      <c r="XW63" s="37"/>
      <c r="XX63" s="37"/>
      <c r="XY63" s="37"/>
      <c r="XZ63" s="37"/>
      <c r="YA63" s="37"/>
      <c r="YB63" s="37"/>
      <c r="YC63" s="37"/>
      <c r="YD63" s="37"/>
      <c r="YE63" s="37"/>
      <c r="YF63" s="37"/>
      <c r="YG63" s="37"/>
      <c r="YH63" s="37"/>
      <c r="YI63" s="37"/>
      <c r="YJ63" s="37"/>
      <c r="YK63" s="37"/>
      <c r="YL63" s="37"/>
      <c r="YM63" s="37"/>
      <c r="YN63" s="37"/>
      <c r="YO63" s="37"/>
      <c r="YP63" s="37"/>
      <c r="YQ63" s="37"/>
      <c r="YR63" s="37"/>
      <c r="YS63" s="37"/>
      <c r="YT63" s="37"/>
      <c r="YU63" s="37"/>
      <c r="YV63" s="37"/>
      <c r="YW63" s="37"/>
      <c r="YX63" s="37"/>
      <c r="YY63" s="37"/>
      <c r="YZ63" s="37"/>
      <c r="ZA63" s="37"/>
      <c r="ZB63" s="37"/>
      <c r="ZC63" s="37"/>
      <c r="ZD63" s="37"/>
      <c r="ZE63" s="37"/>
      <c r="ZF63" s="37"/>
      <c r="ZG63" s="37"/>
      <c r="ZH63" s="37"/>
      <c r="ZI63" s="37"/>
      <c r="ZJ63" s="37"/>
      <c r="ZK63" s="37"/>
      <c r="ZL63" s="37"/>
      <c r="ZM63" s="37"/>
      <c r="ZN63" s="37"/>
      <c r="ZO63" s="37"/>
      <c r="ZP63" s="37"/>
      <c r="ZQ63" s="37"/>
      <c r="ZR63" s="37"/>
      <c r="ZS63" s="37"/>
      <c r="ZT63" s="37"/>
      <c r="ZU63" s="37"/>
      <c r="ZV63" s="37"/>
      <c r="ZW63" s="37"/>
      <c r="ZX63" s="37"/>
      <c r="ZY63" s="37"/>
      <c r="ZZ63" s="37"/>
      <c r="AAA63" s="37"/>
      <c r="AAB63" s="37"/>
      <c r="AAC63" s="37"/>
      <c r="AAD63" s="37"/>
      <c r="AAE63" s="37"/>
      <c r="AAF63" s="37"/>
      <c r="AAG63" s="37"/>
      <c r="AAH63" s="37"/>
      <c r="AAI63" s="37"/>
      <c r="AAJ63" s="37"/>
      <c r="AAK63" s="37"/>
      <c r="AAL63" s="37"/>
      <c r="AAM63" s="37"/>
      <c r="AAN63" s="37"/>
      <c r="AAO63" s="37"/>
      <c r="AAP63" s="37"/>
      <c r="AAQ63" s="37"/>
      <c r="AAR63" s="37"/>
      <c r="AAS63" s="37"/>
      <c r="AAT63" s="37"/>
      <c r="AAU63" s="37"/>
      <c r="AAV63" s="37"/>
      <c r="AAW63" s="37"/>
      <c r="AAX63" s="37"/>
      <c r="AAY63" s="37"/>
      <c r="AAZ63" s="37"/>
      <c r="ABA63" s="37"/>
      <c r="ABB63" s="37"/>
      <c r="ABC63" s="37"/>
      <c r="ABD63" s="37"/>
      <c r="ABE63" s="37"/>
      <c r="ABF63" s="37"/>
      <c r="ABG63" s="37"/>
      <c r="ABH63" s="37"/>
      <c r="ABI63" s="37"/>
      <c r="ABJ63" s="37"/>
      <c r="ABK63" s="37"/>
      <c r="ABL63" s="37"/>
      <c r="ABM63" s="37"/>
      <c r="ABN63" s="37"/>
      <c r="ABO63" s="37"/>
      <c r="ABP63" s="37"/>
      <c r="ABQ63" s="37"/>
      <c r="ABR63" s="37"/>
      <c r="ABS63" s="37"/>
      <c r="ABT63" s="37"/>
      <c r="ABU63" s="37"/>
      <c r="ABV63" s="37"/>
      <c r="ABW63" s="37"/>
      <c r="ABX63" s="37"/>
      <c r="ABY63" s="37"/>
      <c r="ABZ63" s="37"/>
      <c r="ACA63" s="37"/>
      <c r="ACB63" s="37"/>
      <c r="ACC63" s="37"/>
      <c r="ACD63" s="37"/>
      <c r="ACE63" s="37"/>
      <c r="ACF63" s="37"/>
      <c r="ACG63" s="37"/>
      <c r="ACH63" s="37"/>
      <c r="ACI63" s="37"/>
      <c r="ACJ63" s="37"/>
      <c r="ACK63" s="37"/>
      <c r="ACL63" s="37"/>
      <c r="ACM63" s="37"/>
      <c r="ACN63" s="37"/>
      <c r="ACO63" s="37"/>
      <c r="ACP63" s="37"/>
      <c r="ACQ63" s="37"/>
      <c r="ACR63" s="37"/>
      <c r="ACS63" s="37"/>
      <c r="ACT63" s="37"/>
      <c r="ACU63" s="37"/>
      <c r="ACV63" s="37"/>
      <c r="ACW63" s="37"/>
      <c r="ACX63" s="37"/>
      <c r="ACY63" s="37"/>
      <c r="ACZ63" s="37"/>
      <c r="ADA63" s="37"/>
      <c r="ADB63" s="37"/>
      <c r="ADC63" s="37"/>
      <c r="ADD63" s="37"/>
      <c r="ADE63" s="37"/>
      <c r="ADF63" s="37"/>
      <c r="ADG63" s="37"/>
      <c r="ADH63" s="37"/>
      <c r="ADI63" s="37"/>
      <c r="ADJ63" s="37"/>
      <c r="ADK63" s="37"/>
      <c r="ADL63" s="37"/>
      <c r="ADM63" s="37"/>
      <c r="ADN63" s="37"/>
      <c r="ADO63" s="37"/>
      <c r="ADP63" s="37"/>
      <c r="ADQ63" s="37"/>
      <c r="ADR63" s="37"/>
      <c r="ADS63" s="37"/>
      <c r="ADT63" s="37"/>
      <c r="ADU63" s="37"/>
      <c r="ADV63" s="37"/>
      <c r="ADW63" s="37"/>
      <c r="ADX63" s="37"/>
      <c r="ADY63" s="37"/>
      <c r="ADZ63" s="37"/>
      <c r="AEA63" s="37"/>
      <c r="AEB63" s="37"/>
      <c r="AEC63" s="37"/>
      <c r="AED63" s="37"/>
      <c r="AEE63" s="37"/>
      <c r="AEF63" s="37"/>
      <c r="AEG63" s="37"/>
      <c r="AEH63" s="37"/>
      <c r="AEI63" s="37"/>
      <c r="AEJ63" s="37"/>
      <c r="AEK63" s="37"/>
      <c r="AEL63" s="37"/>
      <c r="AEM63" s="37"/>
      <c r="AEN63" s="37"/>
      <c r="AEO63" s="37"/>
      <c r="AEP63" s="37"/>
      <c r="AEQ63" s="37"/>
      <c r="AER63" s="37"/>
      <c r="AES63" s="37"/>
      <c r="AET63" s="37"/>
      <c r="AEU63" s="37"/>
      <c r="AEV63" s="37"/>
      <c r="AEW63" s="37"/>
      <c r="AEX63" s="37"/>
      <c r="AEY63" s="37"/>
      <c r="AEZ63" s="37"/>
      <c r="AFA63" s="37"/>
      <c r="AFB63" s="37"/>
      <c r="AFC63" s="37"/>
      <c r="AFD63" s="37"/>
      <c r="AFE63" s="37"/>
      <c r="AFF63" s="37"/>
      <c r="AFG63" s="37"/>
      <c r="AFH63" s="37"/>
      <c r="AFI63" s="37"/>
      <c r="AFJ63" s="37"/>
      <c r="AFK63" s="37"/>
      <c r="AFL63" s="37"/>
      <c r="AFM63" s="37"/>
      <c r="AFN63" s="37"/>
      <c r="AFO63" s="37"/>
      <c r="AFP63" s="37"/>
      <c r="AFQ63" s="37"/>
      <c r="AFR63" s="37"/>
      <c r="AFS63" s="37"/>
      <c r="AFT63" s="37"/>
      <c r="AFU63" s="37"/>
      <c r="AFV63" s="37"/>
      <c r="AFW63" s="37"/>
      <c r="AFX63" s="37"/>
      <c r="AFY63" s="37"/>
      <c r="AFZ63" s="37"/>
      <c r="AGA63" s="37"/>
      <c r="AGB63" s="37"/>
      <c r="AGC63" s="37"/>
      <c r="AGD63" s="37"/>
      <c r="AGE63" s="37"/>
      <c r="AGF63" s="37"/>
      <c r="AGG63" s="37"/>
      <c r="AGH63" s="37"/>
      <c r="AGI63" s="37"/>
      <c r="AGJ63" s="37"/>
      <c r="AGK63" s="37"/>
      <c r="AGL63" s="37"/>
      <c r="AGM63" s="37"/>
      <c r="AGN63" s="37"/>
      <c r="AGO63" s="37"/>
      <c r="AGP63" s="37"/>
      <c r="AGQ63" s="37"/>
      <c r="AGR63" s="37"/>
      <c r="AGS63" s="37"/>
      <c r="AGT63" s="37"/>
      <c r="AGU63" s="37"/>
      <c r="AGV63" s="37"/>
      <c r="AGW63" s="37"/>
      <c r="AGX63" s="37"/>
      <c r="AGY63" s="37"/>
      <c r="AGZ63" s="37"/>
      <c r="AHA63" s="37"/>
      <c r="AHB63" s="37"/>
      <c r="AHC63" s="37"/>
      <c r="AHD63" s="37"/>
      <c r="AHE63" s="37"/>
      <c r="AHF63" s="37"/>
      <c r="AHG63" s="37"/>
      <c r="AHH63" s="37"/>
      <c r="AHI63" s="37"/>
      <c r="AHJ63" s="37"/>
      <c r="AHK63" s="37"/>
      <c r="AHL63" s="37"/>
      <c r="AHM63" s="37"/>
      <c r="AHN63" s="37"/>
      <c r="AHO63" s="37"/>
      <c r="AHP63" s="37"/>
      <c r="AHQ63" s="37"/>
      <c r="AHR63" s="37"/>
      <c r="AHS63" s="37"/>
      <c r="AHT63" s="37"/>
      <c r="AHU63" s="37"/>
      <c r="AHV63" s="37"/>
      <c r="AHW63" s="37"/>
      <c r="AHX63" s="37"/>
      <c r="AHY63" s="37"/>
      <c r="AHZ63" s="37"/>
      <c r="AIA63" s="37"/>
      <c r="AIB63" s="37"/>
      <c r="AIC63" s="37"/>
      <c r="AID63" s="37"/>
      <c r="AIE63" s="37"/>
      <c r="AIF63" s="37"/>
      <c r="AIG63" s="37"/>
      <c r="AIH63" s="37"/>
      <c r="AII63" s="37"/>
      <c r="AIJ63" s="37"/>
      <c r="AIK63" s="37"/>
      <c r="AIL63" s="37"/>
      <c r="AIM63" s="37"/>
      <c r="AIN63" s="37"/>
      <c r="AIO63" s="37"/>
      <c r="AIP63" s="37"/>
      <c r="AIQ63" s="37"/>
      <c r="AIR63" s="37"/>
      <c r="AIS63" s="37"/>
      <c r="AIT63" s="37"/>
      <c r="AIU63" s="37"/>
      <c r="AIV63" s="37"/>
      <c r="AIW63" s="37"/>
      <c r="AIX63" s="37"/>
      <c r="AIY63" s="37"/>
      <c r="AIZ63" s="37"/>
      <c r="AJA63" s="37"/>
      <c r="AJB63" s="37"/>
      <c r="AJC63" s="37"/>
      <c r="AJD63" s="37"/>
      <c r="AJE63" s="37"/>
      <c r="AJF63" s="37"/>
      <c r="AJG63" s="37"/>
      <c r="AJH63" s="37"/>
      <c r="AJI63" s="37"/>
      <c r="AJJ63" s="37"/>
      <c r="AJK63" s="37"/>
      <c r="AJL63" s="37"/>
      <c r="AJM63" s="37"/>
      <c r="AJN63" s="37"/>
      <c r="AJO63" s="37"/>
      <c r="AJP63" s="37"/>
      <c r="AJQ63" s="37"/>
      <c r="AJR63" s="37"/>
      <c r="AJS63" s="37"/>
      <c r="AJT63" s="37"/>
      <c r="AJU63" s="37"/>
      <c r="AJV63" s="37"/>
      <c r="AJW63" s="37"/>
      <c r="AJX63" s="37"/>
      <c r="AJY63" s="37"/>
      <c r="AJZ63" s="37"/>
      <c r="AKA63" s="37"/>
      <c r="AKB63" s="37"/>
      <c r="AKC63" s="37"/>
      <c r="AKD63" s="37"/>
      <c r="AKE63" s="37"/>
      <c r="AKF63" s="37"/>
      <c r="AKG63" s="37"/>
      <c r="AKH63" s="37"/>
      <c r="AKI63" s="37"/>
      <c r="AKJ63" s="37"/>
      <c r="AKK63" s="37"/>
      <c r="AKL63" s="37"/>
      <c r="AKM63" s="37"/>
      <c r="AKN63" s="37"/>
      <c r="AKO63" s="37"/>
      <c r="AKP63" s="37"/>
      <c r="AKQ63" s="37"/>
      <c r="AKR63" s="37"/>
      <c r="AKS63" s="37"/>
      <c r="AKT63" s="37"/>
      <c r="AKU63" s="37"/>
      <c r="AKV63" s="37"/>
      <c r="AKW63" s="37"/>
      <c r="AKX63" s="37"/>
      <c r="AKY63" s="37"/>
      <c r="AKZ63" s="37"/>
      <c r="ALA63" s="37"/>
      <c r="ALB63" s="37"/>
      <c r="ALC63" s="37"/>
      <c r="ALD63" s="37"/>
      <c r="ALE63" s="37"/>
      <c r="ALF63" s="37"/>
      <c r="ALG63" s="37"/>
      <c r="ALH63" s="37"/>
      <c r="ALI63" s="37"/>
      <c r="ALJ63" s="37"/>
      <c r="ALK63" s="37"/>
      <c r="ALL63" s="37"/>
      <c r="ALM63" s="37"/>
      <c r="ALN63" s="37"/>
      <c r="ALO63" s="37"/>
      <c r="ALP63" s="37"/>
      <c r="ALQ63" s="37"/>
      <c r="ALR63" s="37"/>
      <c r="ALS63" s="37"/>
      <c r="ALT63" s="37"/>
      <c r="ALU63" s="37"/>
      <c r="ALV63" s="37"/>
      <c r="ALW63" s="37"/>
      <c r="ALX63" s="37"/>
      <c r="ALY63" s="37"/>
      <c r="ALZ63" s="37"/>
      <c r="AMA63" s="37"/>
      <c r="AMB63" s="37"/>
      <c r="AMC63" s="37"/>
    </row>
    <row r="64" spans="1:1017" s="38" customFormat="1" ht="19.5" customHeight="1">
      <c r="A64" s="75"/>
      <c r="B64" s="76"/>
      <c r="C64" s="75"/>
      <c r="D64" s="75"/>
      <c r="E64" s="75"/>
      <c r="F64" s="75"/>
      <c r="G64" s="77">
        <v>50</v>
      </c>
      <c r="H64" s="77">
        <v>58</v>
      </c>
      <c r="I64" s="77">
        <v>21</v>
      </c>
      <c r="J64" s="77">
        <v>15</v>
      </c>
      <c r="K64" s="77">
        <v>118</v>
      </c>
      <c r="L64" s="77">
        <v>116</v>
      </c>
      <c r="M64" s="77">
        <v>120</v>
      </c>
      <c r="N64" s="77"/>
      <c r="O64" s="7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/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  <c r="OU64" s="37"/>
      <c r="OV64" s="37"/>
      <c r="OW64" s="37"/>
      <c r="OX64" s="37"/>
      <c r="OY64" s="37"/>
      <c r="OZ64" s="37"/>
      <c r="PA64" s="37"/>
      <c r="PB64" s="37"/>
      <c r="PC64" s="37"/>
      <c r="PD64" s="37"/>
      <c r="PE64" s="37"/>
      <c r="PF64" s="37"/>
      <c r="PG64" s="37"/>
      <c r="PH64" s="37"/>
      <c r="PI64" s="37"/>
      <c r="PJ64" s="37"/>
      <c r="PK64" s="37"/>
      <c r="PL64" s="37"/>
      <c r="PM64" s="37"/>
      <c r="PN64" s="37"/>
      <c r="PO64" s="37"/>
      <c r="PP64" s="37"/>
      <c r="PQ64" s="37"/>
      <c r="PR64" s="37"/>
      <c r="PS64" s="37"/>
      <c r="PT64" s="37"/>
      <c r="PU64" s="37"/>
      <c r="PV64" s="37"/>
      <c r="PW64" s="37"/>
      <c r="PX64" s="37"/>
      <c r="PY64" s="37"/>
      <c r="PZ64" s="37"/>
      <c r="QA64" s="37"/>
      <c r="QB64" s="37"/>
      <c r="QC64" s="37"/>
      <c r="QD64" s="37"/>
      <c r="QE64" s="37"/>
      <c r="QF64" s="37"/>
      <c r="QG64" s="37"/>
      <c r="QH64" s="37"/>
      <c r="QI64" s="37"/>
      <c r="QJ64" s="37"/>
      <c r="QK64" s="37"/>
      <c r="QL64" s="37"/>
      <c r="QM64" s="37"/>
      <c r="QN64" s="37"/>
      <c r="QO64" s="37"/>
      <c r="QP64" s="37"/>
      <c r="QQ64" s="37"/>
      <c r="QR64" s="37"/>
      <c r="QS64" s="37"/>
      <c r="QT64" s="37"/>
      <c r="QU64" s="37"/>
      <c r="QV64" s="37"/>
      <c r="QW64" s="37"/>
      <c r="QX64" s="37"/>
      <c r="QY64" s="37"/>
      <c r="QZ64" s="37"/>
      <c r="RA64" s="37"/>
      <c r="RB64" s="37"/>
      <c r="RC64" s="37"/>
      <c r="RD64" s="37"/>
      <c r="RE64" s="37"/>
      <c r="RF64" s="37"/>
      <c r="RG64" s="37"/>
      <c r="RH64" s="37"/>
      <c r="RI64" s="37"/>
      <c r="RJ64" s="37"/>
      <c r="RK64" s="37"/>
      <c r="RL64" s="37"/>
      <c r="RM64" s="37"/>
      <c r="RN64" s="37"/>
      <c r="RO64" s="37"/>
      <c r="RP64" s="37"/>
      <c r="RQ64" s="37"/>
      <c r="RR64" s="37"/>
      <c r="RS64" s="37"/>
      <c r="RT64" s="37"/>
      <c r="RU64" s="37"/>
      <c r="RV64" s="37"/>
      <c r="RW64" s="37"/>
      <c r="RX64" s="37"/>
      <c r="RY64" s="37"/>
      <c r="RZ64" s="37"/>
      <c r="SA64" s="37"/>
      <c r="SB64" s="37"/>
      <c r="SC64" s="37"/>
      <c r="SD64" s="37"/>
      <c r="SE64" s="37"/>
      <c r="SF64" s="37"/>
      <c r="SG64" s="37"/>
      <c r="SH64" s="37"/>
      <c r="SI64" s="37"/>
      <c r="SJ64" s="37"/>
      <c r="SK64" s="37"/>
      <c r="SL64" s="37"/>
      <c r="SM64" s="37"/>
      <c r="SN64" s="37"/>
      <c r="SO64" s="37"/>
      <c r="SP64" s="37"/>
      <c r="SQ64" s="37"/>
      <c r="SR64" s="37"/>
      <c r="SS64" s="37"/>
      <c r="ST64" s="37"/>
      <c r="SU64" s="37"/>
      <c r="SV64" s="37"/>
      <c r="SW64" s="37"/>
      <c r="SX64" s="37"/>
      <c r="SY64" s="37"/>
      <c r="SZ64" s="37"/>
      <c r="TA64" s="37"/>
      <c r="TB64" s="37"/>
      <c r="TC64" s="37"/>
      <c r="TD64" s="37"/>
      <c r="TE64" s="37"/>
      <c r="TF64" s="37"/>
      <c r="TG64" s="37"/>
      <c r="TH64" s="37"/>
      <c r="TI64" s="37"/>
      <c r="TJ64" s="37"/>
      <c r="TK64" s="37"/>
      <c r="TL64" s="37"/>
      <c r="TM64" s="37"/>
      <c r="TN64" s="37"/>
      <c r="TO64" s="37"/>
      <c r="TP64" s="37"/>
      <c r="TQ64" s="37"/>
      <c r="TR64" s="37"/>
      <c r="TS64" s="37"/>
      <c r="TT64" s="37"/>
      <c r="TU64" s="37"/>
      <c r="TV64" s="37"/>
      <c r="TW64" s="37"/>
      <c r="TX64" s="37"/>
      <c r="TY64" s="37"/>
      <c r="TZ64" s="37"/>
      <c r="UA64" s="37"/>
      <c r="UB64" s="37"/>
      <c r="UC64" s="37"/>
      <c r="UD64" s="37"/>
      <c r="UE64" s="37"/>
      <c r="UF64" s="37"/>
      <c r="UG64" s="37"/>
      <c r="UH64" s="37"/>
      <c r="UI64" s="37"/>
      <c r="UJ64" s="37"/>
      <c r="UK64" s="37"/>
      <c r="UL64" s="37"/>
      <c r="UM64" s="37"/>
      <c r="UN64" s="37"/>
      <c r="UO64" s="37"/>
      <c r="UP64" s="37"/>
      <c r="UQ64" s="37"/>
      <c r="UR64" s="37"/>
      <c r="US64" s="37"/>
      <c r="UT64" s="37"/>
      <c r="UU64" s="37"/>
      <c r="UV64" s="37"/>
      <c r="UW64" s="37"/>
      <c r="UX64" s="37"/>
      <c r="UY64" s="37"/>
      <c r="UZ64" s="37"/>
      <c r="VA64" s="37"/>
      <c r="VB64" s="37"/>
      <c r="VC64" s="37"/>
      <c r="VD64" s="37"/>
      <c r="VE64" s="37"/>
      <c r="VF64" s="37"/>
      <c r="VG64" s="37"/>
      <c r="VH64" s="37"/>
      <c r="VI64" s="37"/>
      <c r="VJ64" s="37"/>
      <c r="VK64" s="37"/>
      <c r="VL64" s="37"/>
      <c r="VM64" s="37"/>
      <c r="VN64" s="37"/>
      <c r="VO64" s="37"/>
      <c r="VP64" s="37"/>
      <c r="VQ64" s="37"/>
      <c r="VR64" s="37"/>
      <c r="VS64" s="37"/>
      <c r="VT64" s="37"/>
      <c r="VU64" s="37"/>
      <c r="VV64" s="37"/>
      <c r="VW64" s="37"/>
      <c r="VX64" s="37"/>
      <c r="VY64" s="37"/>
      <c r="VZ64" s="37"/>
      <c r="WA64" s="37"/>
      <c r="WB64" s="37"/>
      <c r="WC64" s="37"/>
      <c r="WD64" s="37"/>
      <c r="WE64" s="37"/>
      <c r="WF64" s="37"/>
      <c r="WG64" s="37"/>
      <c r="WH64" s="37"/>
      <c r="WI64" s="37"/>
      <c r="WJ64" s="37"/>
      <c r="WK64" s="37"/>
      <c r="WL64" s="37"/>
      <c r="WM64" s="37"/>
      <c r="WN64" s="37"/>
      <c r="WO64" s="37"/>
      <c r="WP64" s="37"/>
      <c r="WQ64" s="37"/>
      <c r="WR64" s="37"/>
      <c r="WS64" s="37"/>
      <c r="WT64" s="37"/>
      <c r="WU64" s="37"/>
      <c r="WV64" s="37"/>
      <c r="WW64" s="37"/>
      <c r="WX64" s="37"/>
      <c r="WY64" s="37"/>
      <c r="WZ64" s="37"/>
      <c r="XA64" s="37"/>
      <c r="XB64" s="37"/>
      <c r="XC64" s="37"/>
      <c r="XD64" s="37"/>
      <c r="XE64" s="37"/>
      <c r="XF64" s="37"/>
      <c r="XG64" s="37"/>
      <c r="XH64" s="37"/>
      <c r="XI64" s="37"/>
      <c r="XJ64" s="37"/>
      <c r="XK64" s="37"/>
      <c r="XL64" s="37"/>
      <c r="XM64" s="37"/>
      <c r="XN64" s="37"/>
      <c r="XO64" s="37"/>
      <c r="XP64" s="37"/>
      <c r="XQ64" s="37"/>
      <c r="XR64" s="37"/>
      <c r="XS64" s="37"/>
      <c r="XT64" s="37"/>
      <c r="XU64" s="37"/>
      <c r="XV64" s="37"/>
      <c r="XW64" s="37"/>
      <c r="XX64" s="37"/>
      <c r="XY64" s="37"/>
      <c r="XZ64" s="37"/>
      <c r="YA64" s="37"/>
      <c r="YB64" s="37"/>
      <c r="YC64" s="37"/>
      <c r="YD64" s="37"/>
      <c r="YE64" s="37"/>
      <c r="YF64" s="37"/>
      <c r="YG64" s="37"/>
      <c r="YH64" s="37"/>
      <c r="YI64" s="37"/>
      <c r="YJ64" s="37"/>
      <c r="YK64" s="37"/>
      <c r="YL64" s="37"/>
      <c r="YM64" s="37"/>
      <c r="YN64" s="37"/>
      <c r="YO64" s="37"/>
      <c r="YP64" s="37"/>
      <c r="YQ64" s="37"/>
      <c r="YR64" s="37"/>
      <c r="YS64" s="37"/>
      <c r="YT64" s="37"/>
      <c r="YU64" s="37"/>
      <c r="YV64" s="37"/>
      <c r="YW64" s="37"/>
      <c r="YX64" s="37"/>
      <c r="YY64" s="37"/>
      <c r="YZ64" s="37"/>
      <c r="ZA64" s="37"/>
      <c r="ZB64" s="37"/>
      <c r="ZC64" s="37"/>
      <c r="ZD64" s="37"/>
      <c r="ZE64" s="37"/>
      <c r="ZF64" s="37"/>
      <c r="ZG64" s="37"/>
      <c r="ZH64" s="37"/>
      <c r="ZI64" s="37"/>
      <c r="ZJ64" s="37"/>
      <c r="ZK64" s="37"/>
      <c r="ZL64" s="37"/>
      <c r="ZM64" s="37"/>
      <c r="ZN64" s="37"/>
      <c r="ZO64" s="37"/>
      <c r="ZP64" s="37"/>
      <c r="ZQ64" s="37"/>
      <c r="ZR64" s="37"/>
      <c r="ZS64" s="37"/>
      <c r="ZT64" s="37"/>
      <c r="ZU64" s="37"/>
      <c r="ZV64" s="37"/>
      <c r="ZW64" s="37"/>
      <c r="ZX64" s="37"/>
      <c r="ZY64" s="37"/>
      <c r="ZZ64" s="37"/>
      <c r="AAA64" s="37"/>
      <c r="AAB64" s="37"/>
      <c r="AAC64" s="37"/>
      <c r="AAD64" s="37"/>
      <c r="AAE64" s="37"/>
      <c r="AAF64" s="37"/>
      <c r="AAG64" s="37"/>
      <c r="AAH64" s="37"/>
      <c r="AAI64" s="37"/>
      <c r="AAJ64" s="37"/>
      <c r="AAK64" s="37"/>
      <c r="AAL64" s="37"/>
      <c r="AAM64" s="37"/>
      <c r="AAN64" s="37"/>
      <c r="AAO64" s="37"/>
      <c r="AAP64" s="37"/>
      <c r="AAQ64" s="37"/>
      <c r="AAR64" s="37"/>
      <c r="AAS64" s="37"/>
      <c r="AAT64" s="37"/>
      <c r="AAU64" s="37"/>
      <c r="AAV64" s="37"/>
      <c r="AAW64" s="37"/>
      <c r="AAX64" s="37"/>
      <c r="AAY64" s="37"/>
      <c r="AAZ64" s="37"/>
      <c r="ABA64" s="37"/>
      <c r="ABB64" s="37"/>
      <c r="ABC64" s="37"/>
      <c r="ABD64" s="37"/>
      <c r="ABE64" s="37"/>
      <c r="ABF64" s="37"/>
      <c r="ABG64" s="37"/>
      <c r="ABH64" s="37"/>
      <c r="ABI64" s="37"/>
      <c r="ABJ64" s="37"/>
      <c r="ABK64" s="37"/>
      <c r="ABL64" s="37"/>
      <c r="ABM64" s="37"/>
      <c r="ABN64" s="37"/>
      <c r="ABO64" s="37"/>
      <c r="ABP64" s="37"/>
      <c r="ABQ64" s="37"/>
      <c r="ABR64" s="37"/>
      <c r="ABS64" s="37"/>
      <c r="ABT64" s="37"/>
      <c r="ABU64" s="37"/>
      <c r="ABV64" s="37"/>
      <c r="ABW64" s="37"/>
      <c r="ABX64" s="37"/>
      <c r="ABY64" s="37"/>
      <c r="ABZ64" s="37"/>
      <c r="ACA64" s="37"/>
      <c r="ACB64" s="37"/>
      <c r="ACC64" s="37"/>
      <c r="ACD64" s="37"/>
      <c r="ACE64" s="37"/>
      <c r="ACF64" s="37"/>
      <c r="ACG64" s="37"/>
      <c r="ACH64" s="37"/>
      <c r="ACI64" s="37"/>
      <c r="ACJ64" s="37"/>
      <c r="ACK64" s="37"/>
      <c r="ACL64" s="37"/>
      <c r="ACM64" s="37"/>
      <c r="ACN64" s="37"/>
      <c r="ACO64" s="37"/>
      <c r="ACP64" s="37"/>
      <c r="ACQ64" s="37"/>
      <c r="ACR64" s="37"/>
      <c r="ACS64" s="37"/>
      <c r="ACT64" s="37"/>
      <c r="ACU64" s="37"/>
      <c r="ACV64" s="37"/>
      <c r="ACW64" s="37"/>
      <c r="ACX64" s="37"/>
      <c r="ACY64" s="37"/>
      <c r="ACZ64" s="37"/>
      <c r="ADA64" s="37"/>
      <c r="ADB64" s="37"/>
      <c r="ADC64" s="37"/>
      <c r="ADD64" s="37"/>
      <c r="ADE64" s="37"/>
      <c r="ADF64" s="37"/>
      <c r="ADG64" s="37"/>
      <c r="ADH64" s="37"/>
      <c r="ADI64" s="37"/>
      <c r="ADJ64" s="37"/>
      <c r="ADK64" s="37"/>
      <c r="ADL64" s="37"/>
      <c r="ADM64" s="37"/>
      <c r="ADN64" s="37"/>
      <c r="ADO64" s="37"/>
      <c r="ADP64" s="37"/>
      <c r="ADQ64" s="37"/>
      <c r="ADR64" s="37"/>
      <c r="ADS64" s="37"/>
      <c r="ADT64" s="37"/>
      <c r="ADU64" s="37"/>
      <c r="ADV64" s="37"/>
      <c r="ADW64" s="37"/>
      <c r="ADX64" s="37"/>
      <c r="ADY64" s="37"/>
      <c r="ADZ64" s="37"/>
      <c r="AEA64" s="37"/>
      <c r="AEB64" s="37"/>
      <c r="AEC64" s="37"/>
      <c r="AED64" s="37"/>
      <c r="AEE64" s="37"/>
      <c r="AEF64" s="37"/>
      <c r="AEG64" s="37"/>
      <c r="AEH64" s="37"/>
      <c r="AEI64" s="37"/>
      <c r="AEJ64" s="37"/>
      <c r="AEK64" s="37"/>
      <c r="AEL64" s="37"/>
      <c r="AEM64" s="37"/>
      <c r="AEN64" s="37"/>
      <c r="AEO64" s="37"/>
      <c r="AEP64" s="37"/>
      <c r="AEQ64" s="37"/>
      <c r="AER64" s="37"/>
      <c r="AES64" s="37"/>
      <c r="AET64" s="37"/>
      <c r="AEU64" s="37"/>
      <c r="AEV64" s="37"/>
      <c r="AEW64" s="37"/>
      <c r="AEX64" s="37"/>
      <c r="AEY64" s="37"/>
      <c r="AEZ64" s="37"/>
      <c r="AFA64" s="37"/>
      <c r="AFB64" s="37"/>
      <c r="AFC64" s="37"/>
      <c r="AFD64" s="37"/>
      <c r="AFE64" s="37"/>
      <c r="AFF64" s="37"/>
      <c r="AFG64" s="37"/>
      <c r="AFH64" s="37"/>
      <c r="AFI64" s="37"/>
      <c r="AFJ64" s="37"/>
      <c r="AFK64" s="37"/>
      <c r="AFL64" s="37"/>
      <c r="AFM64" s="37"/>
      <c r="AFN64" s="37"/>
      <c r="AFO64" s="37"/>
      <c r="AFP64" s="37"/>
      <c r="AFQ64" s="37"/>
      <c r="AFR64" s="37"/>
      <c r="AFS64" s="37"/>
      <c r="AFT64" s="37"/>
      <c r="AFU64" s="37"/>
      <c r="AFV64" s="37"/>
      <c r="AFW64" s="37"/>
      <c r="AFX64" s="37"/>
      <c r="AFY64" s="37"/>
      <c r="AFZ64" s="37"/>
      <c r="AGA64" s="37"/>
      <c r="AGB64" s="37"/>
      <c r="AGC64" s="37"/>
      <c r="AGD64" s="37"/>
      <c r="AGE64" s="37"/>
      <c r="AGF64" s="37"/>
      <c r="AGG64" s="37"/>
      <c r="AGH64" s="37"/>
      <c r="AGI64" s="37"/>
      <c r="AGJ64" s="37"/>
      <c r="AGK64" s="37"/>
      <c r="AGL64" s="37"/>
      <c r="AGM64" s="37"/>
      <c r="AGN64" s="37"/>
      <c r="AGO64" s="37"/>
      <c r="AGP64" s="37"/>
      <c r="AGQ64" s="37"/>
      <c r="AGR64" s="37"/>
      <c r="AGS64" s="37"/>
      <c r="AGT64" s="37"/>
      <c r="AGU64" s="37"/>
      <c r="AGV64" s="37"/>
      <c r="AGW64" s="37"/>
      <c r="AGX64" s="37"/>
      <c r="AGY64" s="37"/>
      <c r="AGZ64" s="37"/>
      <c r="AHA64" s="37"/>
      <c r="AHB64" s="37"/>
      <c r="AHC64" s="37"/>
      <c r="AHD64" s="37"/>
      <c r="AHE64" s="37"/>
      <c r="AHF64" s="37"/>
      <c r="AHG64" s="37"/>
      <c r="AHH64" s="37"/>
      <c r="AHI64" s="37"/>
      <c r="AHJ64" s="37"/>
      <c r="AHK64" s="37"/>
      <c r="AHL64" s="37"/>
      <c r="AHM64" s="37"/>
      <c r="AHN64" s="37"/>
      <c r="AHO64" s="37"/>
      <c r="AHP64" s="37"/>
      <c r="AHQ64" s="37"/>
      <c r="AHR64" s="37"/>
      <c r="AHS64" s="37"/>
      <c r="AHT64" s="37"/>
      <c r="AHU64" s="37"/>
      <c r="AHV64" s="37"/>
      <c r="AHW64" s="37"/>
      <c r="AHX64" s="37"/>
      <c r="AHY64" s="37"/>
      <c r="AHZ64" s="37"/>
      <c r="AIA64" s="37"/>
      <c r="AIB64" s="37"/>
      <c r="AIC64" s="37"/>
      <c r="AID64" s="37"/>
      <c r="AIE64" s="37"/>
      <c r="AIF64" s="37"/>
      <c r="AIG64" s="37"/>
      <c r="AIH64" s="37"/>
      <c r="AII64" s="37"/>
      <c r="AIJ64" s="37"/>
      <c r="AIK64" s="37"/>
      <c r="AIL64" s="37"/>
      <c r="AIM64" s="37"/>
      <c r="AIN64" s="37"/>
      <c r="AIO64" s="37"/>
      <c r="AIP64" s="37"/>
      <c r="AIQ64" s="37"/>
      <c r="AIR64" s="37"/>
      <c r="AIS64" s="37"/>
      <c r="AIT64" s="37"/>
      <c r="AIU64" s="37"/>
      <c r="AIV64" s="37"/>
      <c r="AIW64" s="37"/>
      <c r="AIX64" s="37"/>
      <c r="AIY64" s="37"/>
      <c r="AIZ64" s="37"/>
      <c r="AJA64" s="37"/>
      <c r="AJB64" s="37"/>
      <c r="AJC64" s="37"/>
      <c r="AJD64" s="37"/>
      <c r="AJE64" s="37"/>
      <c r="AJF64" s="37"/>
      <c r="AJG64" s="37"/>
      <c r="AJH64" s="37"/>
      <c r="AJI64" s="37"/>
      <c r="AJJ64" s="37"/>
      <c r="AJK64" s="37"/>
      <c r="AJL64" s="37"/>
      <c r="AJM64" s="37"/>
      <c r="AJN64" s="37"/>
      <c r="AJO64" s="37"/>
      <c r="AJP64" s="37"/>
      <c r="AJQ64" s="37"/>
      <c r="AJR64" s="37"/>
      <c r="AJS64" s="37"/>
      <c r="AJT64" s="37"/>
      <c r="AJU64" s="37"/>
      <c r="AJV64" s="37"/>
      <c r="AJW64" s="37"/>
      <c r="AJX64" s="37"/>
      <c r="AJY64" s="37"/>
      <c r="AJZ64" s="37"/>
      <c r="AKA64" s="37"/>
      <c r="AKB64" s="37"/>
      <c r="AKC64" s="37"/>
      <c r="AKD64" s="37"/>
      <c r="AKE64" s="37"/>
      <c r="AKF64" s="37"/>
      <c r="AKG64" s="37"/>
      <c r="AKH64" s="37"/>
      <c r="AKI64" s="37"/>
      <c r="AKJ64" s="37"/>
      <c r="AKK64" s="37"/>
      <c r="AKL64" s="37"/>
      <c r="AKM64" s="37"/>
      <c r="AKN64" s="37"/>
      <c r="AKO64" s="37"/>
      <c r="AKP64" s="37"/>
      <c r="AKQ64" s="37"/>
      <c r="AKR64" s="37"/>
      <c r="AKS64" s="37"/>
      <c r="AKT64" s="37"/>
      <c r="AKU64" s="37"/>
      <c r="AKV64" s="37"/>
      <c r="AKW64" s="37"/>
      <c r="AKX64" s="37"/>
      <c r="AKY64" s="37"/>
      <c r="AKZ64" s="37"/>
      <c r="ALA64" s="37"/>
      <c r="ALB64" s="37"/>
      <c r="ALC64" s="37"/>
      <c r="ALD64" s="37"/>
      <c r="ALE64" s="37"/>
      <c r="ALF64" s="37"/>
      <c r="ALG64" s="37"/>
      <c r="ALH64" s="37"/>
      <c r="ALI64" s="37"/>
      <c r="ALJ64" s="37"/>
      <c r="ALK64" s="37"/>
      <c r="ALL64" s="37"/>
      <c r="ALM64" s="37"/>
      <c r="ALN64" s="37"/>
      <c r="ALO64" s="37"/>
      <c r="ALP64" s="37"/>
      <c r="ALQ64" s="37"/>
      <c r="ALR64" s="37"/>
      <c r="ALS64" s="37"/>
      <c r="ALT64" s="37"/>
      <c r="ALU64" s="37"/>
      <c r="ALV64" s="37"/>
      <c r="ALW64" s="37"/>
      <c r="ALX64" s="37"/>
      <c r="ALY64" s="37"/>
      <c r="ALZ64" s="37"/>
      <c r="AMA64" s="37"/>
      <c r="AMB64" s="37"/>
      <c r="AMC64" s="37"/>
    </row>
    <row r="65" spans="1:1017" s="38" customFormat="1" ht="19.5" customHeight="1">
      <c r="A65" s="26" t="s">
        <v>122</v>
      </c>
      <c r="B65" s="25" t="s">
        <v>110</v>
      </c>
      <c r="C65" s="26" t="s">
        <v>46</v>
      </c>
      <c r="D65" s="26" t="s">
        <v>32</v>
      </c>
      <c r="E65" s="26" t="s">
        <v>261</v>
      </c>
      <c r="F65" s="26">
        <v>41</v>
      </c>
      <c r="G65" s="26" t="s">
        <v>34</v>
      </c>
      <c r="H65" s="26">
        <v>56</v>
      </c>
      <c r="I65" s="36">
        <v>43</v>
      </c>
      <c r="J65" s="36">
        <v>26</v>
      </c>
      <c r="K65" s="36">
        <v>19</v>
      </c>
      <c r="L65" s="36">
        <v>30</v>
      </c>
      <c r="M65" s="36">
        <v>28</v>
      </c>
      <c r="N65" s="36">
        <v>30</v>
      </c>
      <c r="O65" s="36">
        <v>75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  <c r="OU65" s="37"/>
      <c r="OV65" s="37"/>
      <c r="OW65" s="37"/>
      <c r="OX65" s="37"/>
      <c r="OY65" s="37"/>
      <c r="OZ65" s="37"/>
      <c r="PA65" s="37"/>
      <c r="PB65" s="37"/>
      <c r="PC65" s="37"/>
      <c r="PD65" s="37"/>
      <c r="PE65" s="37"/>
      <c r="PF65" s="37"/>
      <c r="PG65" s="37"/>
      <c r="PH65" s="37"/>
      <c r="PI65" s="37"/>
      <c r="PJ65" s="37"/>
      <c r="PK65" s="37"/>
      <c r="PL65" s="37"/>
      <c r="PM65" s="37"/>
      <c r="PN65" s="37"/>
      <c r="PO65" s="37"/>
      <c r="PP65" s="37"/>
      <c r="PQ65" s="37"/>
      <c r="PR65" s="37"/>
      <c r="PS65" s="37"/>
      <c r="PT65" s="37"/>
      <c r="PU65" s="37"/>
      <c r="PV65" s="37"/>
      <c r="PW65" s="37"/>
      <c r="PX65" s="37"/>
      <c r="PY65" s="37"/>
      <c r="PZ65" s="37"/>
      <c r="QA65" s="37"/>
      <c r="QB65" s="37"/>
      <c r="QC65" s="37"/>
      <c r="QD65" s="37"/>
      <c r="QE65" s="37"/>
      <c r="QF65" s="37"/>
      <c r="QG65" s="37"/>
      <c r="QH65" s="37"/>
      <c r="QI65" s="37"/>
      <c r="QJ65" s="37"/>
      <c r="QK65" s="37"/>
      <c r="QL65" s="37"/>
      <c r="QM65" s="37"/>
      <c r="QN65" s="37"/>
      <c r="QO65" s="37"/>
      <c r="QP65" s="37"/>
      <c r="QQ65" s="37"/>
      <c r="QR65" s="37"/>
      <c r="QS65" s="37"/>
      <c r="QT65" s="37"/>
      <c r="QU65" s="37"/>
      <c r="QV65" s="37"/>
      <c r="QW65" s="37"/>
      <c r="QX65" s="37"/>
      <c r="QY65" s="37"/>
      <c r="QZ65" s="37"/>
      <c r="RA65" s="37"/>
      <c r="RB65" s="37"/>
      <c r="RC65" s="37"/>
      <c r="RD65" s="37"/>
      <c r="RE65" s="37"/>
      <c r="RF65" s="37"/>
      <c r="RG65" s="37"/>
      <c r="RH65" s="37"/>
      <c r="RI65" s="37"/>
      <c r="RJ65" s="37"/>
      <c r="RK65" s="37"/>
      <c r="RL65" s="37"/>
      <c r="RM65" s="37"/>
      <c r="RN65" s="37"/>
      <c r="RO65" s="37"/>
      <c r="RP65" s="37"/>
      <c r="RQ65" s="37"/>
      <c r="RR65" s="37"/>
      <c r="RS65" s="37"/>
      <c r="RT65" s="37"/>
      <c r="RU65" s="37"/>
      <c r="RV65" s="37"/>
      <c r="RW65" s="37"/>
      <c r="RX65" s="37"/>
      <c r="RY65" s="37"/>
      <c r="RZ65" s="37"/>
      <c r="SA65" s="37"/>
      <c r="SB65" s="37"/>
      <c r="SC65" s="37"/>
      <c r="SD65" s="37"/>
      <c r="SE65" s="37"/>
      <c r="SF65" s="37"/>
      <c r="SG65" s="37"/>
      <c r="SH65" s="37"/>
      <c r="SI65" s="37"/>
      <c r="SJ65" s="37"/>
      <c r="SK65" s="37"/>
      <c r="SL65" s="37"/>
      <c r="SM65" s="37"/>
      <c r="SN65" s="37"/>
      <c r="SO65" s="37"/>
      <c r="SP65" s="37"/>
      <c r="SQ65" s="37"/>
      <c r="SR65" s="37"/>
      <c r="SS65" s="37"/>
      <c r="ST65" s="37"/>
      <c r="SU65" s="37"/>
      <c r="SV65" s="37"/>
      <c r="SW65" s="37"/>
      <c r="SX65" s="37"/>
      <c r="SY65" s="37"/>
      <c r="SZ65" s="37"/>
      <c r="TA65" s="37"/>
      <c r="TB65" s="37"/>
      <c r="TC65" s="37"/>
      <c r="TD65" s="37"/>
      <c r="TE65" s="37"/>
      <c r="TF65" s="37"/>
      <c r="TG65" s="37"/>
      <c r="TH65" s="37"/>
      <c r="TI65" s="37"/>
      <c r="TJ65" s="37"/>
      <c r="TK65" s="37"/>
      <c r="TL65" s="37"/>
      <c r="TM65" s="37"/>
      <c r="TN65" s="37"/>
      <c r="TO65" s="37"/>
      <c r="TP65" s="37"/>
      <c r="TQ65" s="37"/>
      <c r="TR65" s="37"/>
      <c r="TS65" s="37"/>
      <c r="TT65" s="37"/>
      <c r="TU65" s="37"/>
      <c r="TV65" s="37"/>
      <c r="TW65" s="37"/>
      <c r="TX65" s="37"/>
      <c r="TY65" s="37"/>
      <c r="TZ65" s="37"/>
      <c r="UA65" s="37"/>
      <c r="UB65" s="37"/>
      <c r="UC65" s="37"/>
      <c r="UD65" s="37"/>
      <c r="UE65" s="37"/>
      <c r="UF65" s="37"/>
      <c r="UG65" s="37"/>
      <c r="UH65" s="37"/>
      <c r="UI65" s="37"/>
      <c r="UJ65" s="37"/>
      <c r="UK65" s="37"/>
      <c r="UL65" s="37"/>
      <c r="UM65" s="37"/>
      <c r="UN65" s="37"/>
      <c r="UO65" s="37"/>
      <c r="UP65" s="37"/>
      <c r="UQ65" s="37"/>
      <c r="UR65" s="37"/>
      <c r="US65" s="37"/>
      <c r="UT65" s="37"/>
      <c r="UU65" s="37"/>
      <c r="UV65" s="37"/>
      <c r="UW65" s="37"/>
      <c r="UX65" s="37"/>
      <c r="UY65" s="37"/>
      <c r="UZ65" s="37"/>
      <c r="VA65" s="37"/>
      <c r="VB65" s="37"/>
      <c r="VC65" s="37"/>
      <c r="VD65" s="37"/>
      <c r="VE65" s="37"/>
      <c r="VF65" s="37"/>
      <c r="VG65" s="37"/>
      <c r="VH65" s="37"/>
      <c r="VI65" s="37"/>
      <c r="VJ65" s="37"/>
      <c r="VK65" s="37"/>
      <c r="VL65" s="37"/>
      <c r="VM65" s="37"/>
      <c r="VN65" s="37"/>
      <c r="VO65" s="37"/>
      <c r="VP65" s="37"/>
      <c r="VQ65" s="37"/>
      <c r="VR65" s="37"/>
      <c r="VS65" s="37"/>
      <c r="VT65" s="37"/>
      <c r="VU65" s="37"/>
      <c r="VV65" s="37"/>
      <c r="VW65" s="37"/>
      <c r="VX65" s="37"/>
      <c r="VY65" s="37"/>
      <c r="VZ65" s="37"/>
      <c r="WA65" s="37"/>
      <c r="WB65" s="37"/>
      <c r="WC65" s="37"/>
      <c r="WD65" s="37"/>
      <c r="WE65" s="37"/>
      <c r="WF65" s="37"/>
      <c r="WG65" s="37"/>
      <c r="WH65" s="37"/>
      <c r="WI65" s="37"/>
      <c r="WJ65" s="37"/>
      <c r="WK65" s="37"/>
      <c r="WL65" s="37"/>
      <c r="WM65" s="37"/>
      <c r="WN65" s="37"/>
      <c r="WO65" s="37"/>
      <c r="WP65" s="37"/>
      <c r="WQ65" s="37"/>
      <c r="WR65" s="37"/>
      <c r="WS65" s="37"/>
      <c r="WT65" s="37"/>
      <c r="WU65" s="37"/>
      <c r="WV65" s="37"/>
      <c r="WW65" s="37"/>
      <c r="WX65" s="37"/>
      <c r="WY65" s="37"/>
      <c r="WZ65" s="37"/>
      <c r="XA65" s="37"/>
      <c r="XB65" s="37"/>
      <c r="XC65" s="37"/>
      <c r="XD65" s="37"/>
      <c r="XE65" s="37"/>
      <c r="XF65" s="37"/>
      <c r="XG65" s="37"/>
      <c r="XH65" s="37"/>
      <c r="XI65" s="37"/>
      <c r="XJ65" s="37"/>
      <c r="XK65" s="37"/>
      <c r="XL65" s="37"/>
      <c r="XM65" s="37"/>
      <c r="XN65" s="37"/>
      <c r="XO65" s="37"/>
      <c r="XP65" s="37"/>
      <c r="XQ65" s="37"/>
      <c r="XR65" s="37"/>
      <c r="XS65" s="37"/>
      <c r="XT65" s="37"/>
      <c r="XU65" s="37"/>
      <c r="XV65" s="37"/>
      <c r="XW65" s="37"/>
      <c r="XX65" s="37"/>
      <c r="XY65" s="37"/>
      <c r="XZ65" s="37"/>
      <c r="YA65" s="37"/>
      <c r="YB65" s="37"/>
      <c r="YC65" s="37"/>
      <c r="YD65" s="37"/>
      <c r="YE65" s="37"/>
      <c r="YF65" s="37"/>
      <c r="YG65" s="37"/>
      <c r="YH65" s="37"/>
      <c r="YI65" s="37"/>
      <c r="YJ65" s="37"/>
      <c r="YK65" s="37"/>
      <c r="YL65" s="37"/>
      <c r="YM65" s="37"/>
      <c r="YN65" s="37"/>
      <c r="YO65" s="37"/>
      <c r="YP65" s="37"/>
      <c r="YQ65" s="37"/>
      <c r="YR65" s="37"/>
      <c r="YS65" s="37"/>
      <c r="YT65" s="37"/>
      <c r="YU65" s="37"/>
      <c r="YV65" s="37"/>
      <c r="YW65" s="37"/>
      <c r="YX65" s="37"/>
      <c r="YY65" s="37"/>
      <c r="YZ65" s="37"/>
      <c r="ZA65" s="37"/>
      <c r="ZB65" s="37"/>
      <c r="ZC65" s="37"/>
      <c r="ZD65" s="37"/>
      <c r="ZE65" s="37"/>
      <c r="ZF65" s="37"/>
      <c r="ZG65" s="37"/>
      <c r="ZH65" s="37"/>
      <c r="ZI65" s="37"/>
      <c r="ZJ65" s="37"/>
      <c r="ZK65" s="37"/>
      <c r="ZL65" s="37"/>
      <c r="ZM65" s="37"/>
      <c r="ZN65" s="37"/>
      <c r="ZO65" s="37"/>
      <c r="ZP65" s="37"/>
      <c r="ZQ65" s="37"/>
      <c r="ZR65" s="37"/>
      <c r="ZS65" s="37"/>
      <c r="ZT65" s="37"/>
      <c r="ZU65" s="37"/>
      <c r="ZV65" s="37"/>
      <c r="ZW65" s="37"/>
      <c r="ZX65" s="37"/>
      <c r="ZY65" s="37"/>
      <c r="ZZ65" s="37"/>
      <c r="AAA65" s="37"/>
      <c r="AAB65" s="37"/>
      <c r="AAC65" s="37"/>
      <c r="AAD65" s="37"/>
      <c r="AAE65" s="37"/>
      <c r="AAF65" s="37"/>
      <c r="AAG65" s="37"/>
      <c r="AAH65" s="37"/>
      <c r="AAI65" s="37"/>
      <c r="AAJ65" s="37"/>
      <c r="AAK65" s="37"/>
      <c r="AAL65" s="37"/>
      <c r="AAM65" s="37"/>
      <c r="AAN65" s="37"/>
      <c r="AAO65" s="37"/>
      <c r="AAP65" s="37"/>
      <c r="AAQ65" s="37"/>
      <c r="AAR65" s="37"/>
      <c r="AAS65" s="37"/>
      <c r="AAT65" s="37"/>
      <c r="AAU65" s="37"/>
      <c r="AAV65" s="37"/>
      <c r="AAW65" s="37"/>
      <c r="AAX65" s="37"/>
      <c r="AAY65" s="37"/>
      <c r="AAZ65" s="37"/>
      <c r="ABA65" s="37"/>
      <c r="ABB65" s="37"/>
      <c r="ABC65" s="37"/>
      <c r="ABD65" s="37"/>
      <c r="ABE65" s="37"/>
      <c r="ABF65" s="37"/>
      <c r="ABG65" s="37"/>
      <c r="ABH65" s="37"/>
      <c r="ABI65" s="37"/>
      <c r="ABJ65" s="37"/>
      <c r="ABK65" s="37"/>
      <c r="ABL65" s="37"/>
      <c r="ABM65" s="37"/>
      <c r="ABN65" s="37"/>
      <c r="ABO65" s="37"/>
      <c r="ABP65" s="37"/>
      <c r="ABQ65" s="37"/>
      <c r="ABR65" s="37"/>
      <c r="ABS65" s="37"/>
      <c r="ABT65" s="37"/>
      <c r="ABU65" s="37"/>
      <c r="ABV65" s="37"/>
      <c r="ABW65" s="37"/>
      <c r="ABX65" s="37"/>
      <c r="ABY65" s="37"/>
      <c r="ABZ65" s="37"/>
      <c r="ACA65" s="37"/>
      <c r="ACB65" s="37"/>
      <c r="ACC65" s="37"/>
      <c r="ACD65" s="37"/>
      <c r="ACE65" s="37"/>
      <c r="ACF65" s="37"/>
      <c r="ACG65" s="37"/>
      <c r="ACH65" s="37"/>
      <c r="ACI65" s="37"/>
      <c r="ACJ65" s="37"/>
      <c r="ACK65" s="37"/>
      <c r="ACL65" s="37"/>
      <c r="ACM65" s="37"/>
      <c r="ACN65" s="37"/>
      <c r="ACO65" s="37"/>
      <c r="ACP65" s="37"/>
      <c r="ACQ65" s="37"/>
      <c r="ACR65" s="37"/>
      <c r="ACS65" s="37"/>
      <c r="ACT65" s="37"/>
      <c r="ACU65" s="37"/>
      <c r="ACV65" s="37"/>
      <c r="ACW65" s="37"/>
      <c r="ACX65" s="37"/>
      <c r="ACY65" s="37"/>
      <c r="ACZ65" s="37"/>
      <c r="ADA65" s="37"/>
      <c r="ADB65" s="37"/>
      <c r="ADC65" s="37"/>
      <c r="ADD65" s="37"/>
      <c r="ADE65" s="37"/>
      <c r="ADF65" s="37"/>
      <c r="ADG65" s="37"/>
      <c r="ADH65" s="37"/>
      <c r="ADI65" s="37"/>
      <c r="ADJ65" s="37"/>
      <c r="ADK65" s="37"/>
      <c r="ADL65" s="37"/>
      <c r="ADM65" s="37"/>
      <c r="ADN65" s="37"/>
      <c r="ADO65" s="37"/>
      <c r="ADP65" s="37"/>
      <c r="ADQ65" s="37"/>
      <c r="ADR65" s="37"/>
      <c r="ADS65" s="37"/>
      <c r="ADT65" s="37"/>
      <c r="ADU65" s="37"/>
      <c r="ADV65" s="37"/>
      <c r="ADW65" s="37"/>
      <c r="ADX65" s="37"/>
      <c r="ADY65" s="37"/>
      <c r="ADZ65" s="37"/>
      <c r="AEA65" s="37"/>
      <c r="AEB65" s="37"/>
      <c r="AEC65" s="37"/>
      <c r="AED65" s="37"/>
      <c r="AEE65" s="37"/>
      <c r="AEF65" s="37"/>
      <c r="AEG65" s="37"/>
      <c r="AEH65" s="37"/>
      <c r="AEI65" s="37"/>
      <c r="AEJ65" s="37"/>
      <c r="AEK65" s="37"/>
      <c r="AEL65" s="37"/>
      <c r="AEM65" s="37"/>
      <c r="AEN65" s="37"/>
      <c r="AEO65" s="37"/>
      <c r="AEP65" s="37"/>
      <c r="AEQ65" s="37"/>
      <c r="AER65" s="37"/>
      <c r="AES65" s="37"/>
      <c r="AET65" s="37"/>
      <c r="AEU65" s="37"/>
      <c r="AEV65" s="37"/>
      <c r="AEW65" s="37"/>
      <c r="AEX65" s="37"/>
      <c r="AEY65" s="37"/>
      <c r="AEZ65" s="37"/>
      <c r="AFA65" s="37"/>
      <c r="AFB65" s="37"/>
      <c r="AFC65" s="37"/>
      <c r="AFD65" s="37"/>
      <c r="AFE65" s="37"/>
      <c r="AFF65" s="37"/>
      <c r="AFG65" s="37"/>
      <c r="AFH65" s="37"/>
      <c r="AFI65" s="37"/>
      <c r="AFJ65" s="37"/>
      <c r="AFK65" s="37"/>
      <c r="AFL65" s="37"/>
      <c r="AFM65" s="37"/>
      <c r="AFN65" s="37"/>
      <c r="AFO65" s="37"/>
      <c r="AFP65" s="37"/>
      <c r="AFQ65" s="37"/>
      <c r="AFR65" s="37"/>
      <c r="AFS65" s="37"/>
      <c r="AFT65" s="37"/>
      <c r="AFU65" s="37"/>
      <c r="AFV65" s="37"/>
      <c r="AFW65" s="37"/>
      <c r="AFX65" s="37"/>
      <c r="AFY65" s="37"/>
      <c r="AFZ65" s="37"/>
      <c r="AGA65" s="37"/>
      <c r="AGB65" s="37"/>
      <c r="AGC65" s="37"/>
      <c r="AGD65" s="37"/>
      <c r="AGE65" s="37"/>
      <c r="AGF65" s="37"/>
      <c r="AGG65" s="37"/>
      <c r="AGH65" s="37"/>
      <c r="AGI65" s="37"/>
      <c r="AGJ65" s="37"/>
      <c r="AGK65" s="37"/>
      <c r="AGL65" s="37"/>
      <c r="AGM65" s="37"/>
      <c r="AGN65" s="37"/>
      <c r="AGO65" s="37"/>
      <c r="AGP65" s="37"/>
      <c r="AGQ65" s="37"/>
      <c r="AGR65" s="37"/>
      <c r="AGS65" s="37"/>
      <c r="AGT65" s="37"/>
      <c r="AGU65" s="37"/>
      <c r="AGV65" s="37"/>
      <c r="AGW65" s="37"/>
      <c r="AGX65" s="37"/>
      <c r="AGY65" s="37"/>
      <c r="AGZ65" s="37"/>
      <c r="AHA65" s="37"/>
      <c r="AHB65" s="37"/>
      <c r="AHC65" s="37"/>
      <c r="AHD65" s="37"/>
      <c r="AHE65" s="37"/>
      <c r="AHF65" s="37"/>
      <c r="AHG65" s="37"/>
      <c r="AHH65" s="37"/>
      <c r="AHI65" s="37"/>
      <c r="AHJ65" s="37"/>
      <c r="AHK65" s="37"/>
      <c r="AHL65" s="37"/>
      <c r="AHM65" s="37"/>
      <c r="AHN65" s="37"/>
      <c r="AHO65" s="37"/>
      <c r="AHP65" s="37"/>
      <c r="AHQ65" s="37"/>
      <c r="AHR65" s="37"/>
      <c r="AHS65" s="37"/>
      <c r="AHT65" s="37"/>
      <c r="AHU65" s="37"/>
      <c r="AHV65" s="37"/>
      <c r="AHW65" s="37"/>
      <c r="AHX65" s="37"/>
      <c r="AHY65" s="37"/>
      <c r="AHZ65" s="37"/>
      <c r="AIA65" s="37"/>
      <c r="AIB65" s="37"/>
      <c r="AIC65" s="37"/>
      <c r="AID65" s="37"/>
      <c r="AIE65" s="37"/>
      <c r="AIF65" s="37"/>
      <c r="AIG65" s="37"/>
      <c r="AIH65" s="37"/>
      <c r="AII65" s="37"/>
      <c r="AIJ65" s="37"/>
      <c r="AIK65" s="37"/>
      <c r="AIL65" s="37"/>
      <c r="AIM65" s="37"/>
      <c r="AIN65" s="37"/>
      <c r="AIO65" s="37"/>
      <c r="AIP65" s="37"/>
      <c r="AIQ65" s="37"/>
      <c r="AIR65" s="37"/>
      <c r="AIS65" s="37"/>
      <c r="AIT65" s="37"/>
      <c r="AIU65" s="37"/>
      <c r="AIV65" s="37"/>
      <c r="AIW65" s="37"/>
      <c r="AIX65" s="37"/>
      <c r="AIY65" s="37"/>
      <c r="AIZ65" s="37"/>
      <c r="AJA65" s="37"/>
      <c r="AJB65" s="37"/>
      <c r="AJC65" s="37"/>
      <c r="AJD65" s="37"/>
      <c r="AJE65" s="37"/>
      <c r="AJF65" s="37"/>
      <c r="AJG65" s="37"/>
      <c r="AJH65" s="37"/>
      <c r="AJI65" s="37"/>
      <c r="AJJ65" s="37"/>
      <c r="AJK65" s="37"/>
      <c r="AJL65" s="37"/>
      <c r="AJM65" s="37"/>
      <c r="AJN65" s="37"/>
      <c r="AJO65" s="37"/>
      <c r="AJP65" s="37"/>
      <c r="AJQ65" s="37"/>
      <c r="AJR65" s="37"/>
      <c r="AJS65" s="37"/>
      <c r="AJT65" s="37"/>
      <c r="AJU65" s="37"/>
      <c r="AJV65" s="37"/>
      <c r="AJW65" s="37"/>
      <c r="AJX65" s="37"/>
      <c r="AJY65" s="37"/>
      <c r="AJZ65" s="37"/>
      <c r="AKA65" s="37"/>
      <c r="AKB65" s="37"/>
      <c r="AKC65" s="37"/>
      <c r="AKD65" s="37"/>
      <c r="AKE65" s="37"/>
      <c r="AKF65" s="37"/>
      <c r="AKG65" s="37"/>
      <c r="AKH65" s="37"/>
      <c r="AKI65" s="37"/>
      <c r="AKJ65" s="37"/>
      <c r="AKK65" s="37"/>
      <c r="AKL65" s="37"/>
      <c r="AKM65" s="37"/>
      <c r="AKN65" s="37"/>
      <c r="AKO65" s="37"/>
      <c r="AKP65" s="37"/>
      <c r="AKQ65" s="37"/>
      <c r="AKR65" s="37"/>
      <c r="AKS65" s="37"/>
      <c r="AKT65" s="37"/>
      <c r="AKU65" s="37"/>
      <c r="AKV65" s="37"/>
      <c r="AKW65" s="37"/>
      <c r="AKX65" s="37"/>
      <c r="AKY65" s="37"/>
      <c r="AKZ65" s="37"/>
      <c r="ALA65" s="37"/>
      <c r="ALB65" s="37"/>
      <c r="ALC65" s="37"/>
      <c r="ALD65" s="37"/>
      <c r="ALE65" s="37"/>
      <c r="ALF65" s="37"/>
      <c r="ALG65" s="37"/>
      <c r="ALH65" s="37"/>
      <c r="ALI65" s="37"/>
      <c r="ALJ65" s="37"/>
      <c r="ALK65" s="37"/>
      <c r="ALL65" s="37"/>
      <c r="ALM65" s="37"/>
      <c r="ALN65" s="37"/>
      <c r="ALO65" s="37"/>
      <c r="ALP65" s="37"/>
      <c r="ALQ65" s="37"/>
      <c r="ALR65" s="37"/>
      <c r="ALS65" s="37"/>
      <c r="ALT65" s="37"/>
      <c r="ALU65" s="37"/>
      <c r="ALV65" s="37"/>
      <c r="ALW65" s="37"/>
      <c r="ALX65" s="37"/>
      <c r="ALY65" s="37"/>
      <c r="ALZ65" s="37"/>
      <c r="AMA65" s="37"/>
      <c r="AMB65" s="37"/>
      <c r="AMC65" s="37"/>
    </row>
    <row r="66" spans="1:1017" s="38" customFormat="1" ht="19.5" customHeight="1">
      <c r="A66" s="72"/>
      <c r="B66" s="73"/>
      <c r="C66" s="72"/>
      <c r="D66" s="72"/>
      <c r="E66" s="72"/>
      <c r="F66" s="72"/>
      <c r="G66" s="35">
        <v>43</v>
      </c>
      <c r="H66" s="35">
        <v>95</v>
      </c>
      <c r="I66" s="35">
        <v>105</v>
      </c>
      <c r="J66" s="35">
        <v>66</v>
      </c>
      <c r="K66" s="35">
        <v>35</v>
      </c>
      <c r="L66" s="35">
        <v>27</v>
      </c>
      <c r="M66" s="35">
        <v>20</v>
      </c>
      <c r="N66" s="35">
        <v>97</v>
      </c>
      <c r="O66" s="74" t="s">
        <v>98</v>
      </c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  <c r="OU66" s="37"/>
      <c r="OV66" s="37"/>
      <c r="OW66" s="37"/>
      <c r="OX66" s="37"/>
      <c r="OY66" s="37"/>
      <c r="OZ66" s="37"/>
      <c r="PA66" s="37"/>
      <c r="PB66" s="37"/>
      <c r="PC66" s="37"/>
      <c r="PD66" s="37"/>
      <c r="PE66" s="37"/>
      <c r="PF66" s="37"/>
      <c r="PG66" s="37"/>
      <c r="PH66" s="37"/>
      <c r="PI66" s="37"/>
      <c r="PJ66" s="37"/>
      <c r="PK66" s="37"/>
      <c r="PL66" s="37"/>
      <c r="PM66" s="37"/>
      <c r="PN66" s="37"/>
      <c r="PO66" s="37"/>
      <c r="PP66" s="37"/>
      <c r="PQ66" s="37"/>
      <c r="PR66" s="37"/>
      <c r="PS66" s="37"/>
      <c r="PT66" s="37"/>
      <c r="PU66" s="37"/>
      <c r="PV66" s="37"/>
      <c r="PW66" s="37"/>
      <c r="PX66" s="37"/>
      <c r="PY66" s="37"/>
      <c r="PZ66" s="37"/>
      <c r="QA66" s="37"/>
      <c r="QB66" s="37"/>
      <c r="QC66" s="37"/>
      <c r="QD66" s="37"/>
      <c r="QE66" s="37"/>
      <c r="QF66" s="37"/>
      <c r="QG66" s="37"/>
      <c r="QH66" s="37"/>
      <c r="QI66" s="37"/>
      <c r="QJ66" s="37"/>
      <c r="QK66" s="37"/>
      <c r="QL66" s="37"/>
      <c r="QM66" s="37"/>
      <c r="QN66" s="37"/>
      <c r="QO66" s="37"/>
      <c r="QP66" s="37"/>
      <c r="QQ66" s="37"/>
      <c r="QR66" s="37"/>
      <c r="QS66" s="37"/>
      <c r="QT66" s="37"/>
      <c r="QU66" s="37"/>
      <c r="QV66" s="37"/>
      <c r="QW66" s="37"/>
      <c r="QX66" s="37"/>
      <c r="QY66" s="37"/>
      <c r="QZ66" s="37"/>
      <c r="RA66" s="37"/>
      <c r="RB66" s="37"/>
      <c r="RC66" s="37"/>
      <c r="RD66" s="37"/>
      <c r="RE66" s="37"/>
      <c r="RF66" s="37"/>
      <c r="RG66" s="37"/>
      <c r="RH66" s="37"/>
      <c r="RI66" s="37"/>
      <c r="RJ66" s="37"/>
      <c r="RK66" s="37"/>
      <c r="RL66" s="37"/>
      <c r="RM66" s="37"/>
      <c r="RN66" s="37"/>
      <c r="RO66" s="37"/>
      <c r="RP66" s="37"/>
      <c r="RQ66" s="37"/>
      <c r="RR66" s="37"/>
      <c r="RS66" s="37"/>
      <c r="RT66" s="37"/>
      <c r="RU66" s="37"/>
      <c r="RV66" s="37"/>
      <c r="RW66" s="37"/>
      <c r="RX66" s="37"/>
      <c r="RY66" s="37"/>
      <c r="RZ66" s="37"/>
      <c r="SA66" s="37"/>
      <c r="SB66" s="37"/>
      <c r="SC66" s="37"/>
      <c r="SD66" s="37"/>
      <c r="SE66" s="37"/>
      <c r="SF66" s="37"/>
      <c r="SG66" s="37"/>
      <c r="SH66" s="37"/>
      <c r="SI66" s="37"/>
      <c r="SJ66" s="37"/>
      <c r="SK66" s="37"/>
      <c r="SL66" s="37"/>
      <c r="SM66" s="37"/>
      <c r="SN66" s="37"/>
      <c r="SO66" s="37"/>
      <c r="SP66" s="37"/>
      <c r="SQ66" s="37"/>
      <c r="SR66" s="37"/>
      <c r="SS66" s="37"/>
      <c r="ST66" s="37"/>
      <c r="SU66" s="37"/>
      <c r="SV66" s="37"/>
      <c r="SW66" s="37"/>
      <c r="SX66" s="37"/>
      <c r="SY66" s="37"/>
      <c r="SZ66" s="37"/>
      <c r="TA66" s="37"/>
      <c r="TB66" s="37"/>
      <c r="TC66" s="37"/>
      <c r="TD66" s="37"/>
      <c r="TE66" s="37"/>
      <c r="TF66" s="37"/>
      <c r="TG66" s="37"/>
      <c r="TH66" s="37"/>
      <c r="TI66" s="37"/>
      <c r="TJ66" s="37"/>
      <c r="TK66" s="37"/>
      <c r="TL66" s="37"/>
      <c r="TM66" s="37"/>
      <c r="TN66" s="37"/>
      <c r="TO66" s="37"/>
      <c r="TP66" s="37"/>
      <c r="TQ66" s="37"/>
      <c r="TR66" s="37"/>
      <c r="TS66" s="37"/>
      <c r="TT66" s="37"/>
      <c r="TU66" s="37"/>
      <c r="TV66" s="37"/>
      <c r="TW66" s="37"/>
      <c r="TX66" s="37"/>
      <c r="TY66" s="37"/>
      <c r="TZ66" s="37"/>
      <c r="UA66" s="37"/>
      <c r="UB66" s="37"/>
      <c r="UC66" s="37"/>
      <c r="UD66" s="37"/>
      <c r="UE66" s="37"/>
      <c r="UF66" s="37"/>
      <c r="UG66" s="37"/>
      <c r="UH66" s="37"/>
      <c r="UI66" s="37"/>
      <c r="UJ66" s="37"/>
      <c r="UK66" s="37"/>
      <c r="UL66" s="37"/>
      <c r="UM66" s="37"/>
      <c r="UN66" s="37"/>
      <c r="UO66" s="37"/>
      <c r="UP66" s="37"/>
      <c r="UQ66" s="37"/>
      <c r="UR66" s="37"/>
      <c r="US66" s="37"/>
      <c r="UT66" s="37"/>
      <c r="UU66" s="37"/>
      <c r="UV66" s="37"/>
      <c r="UW66" s="37"/>
      <c r="UX66" s="37"/>
      <c r="UY66" s="37"/>
      <c r="UZ66" s="37"/>
      <c r="VA66" s="37"/>
      <c r="VB66" s="37"/>
      <c r="VC66" s="37"/>
      <c r="VD66" s="37"/>
      <c r="VE66" s="37"/>
      <c r="VF66" s="37"/>
      <c r="VG66" s="37"/>
      <c r="VH66" s="37"/>
      <c r="VI66" s="37"/>
      <c r="VJ66" s="37"/>
      <c r="VK66" s="37"/>
      <c r="VL66" s="37"/>
      <c r="VM66" s="37"/>
      <c r="VN66" s="37"/>
      <c r="VO66" s="37"/>
      <c r="VP66" s="37"/>
      <c r="VQ66" s="37"/>
      <c r="VR66" s="37"/>
      <c r="VS66" s="37"/>
      <c r="VT66" s="37"/>
      <c r="VU66" s="37"/>
      <c r="VV66" s="37"/>
      <c r="VW66" s="37"/>
      <c r="VX66" s="37"/>
      <c r="VY66" s="37"/>
      <c r="VZ66" s="37"/>
      <c r="WA66" s="37"/>
      <c r="WB66" s="37"/>
      <c r="WC66" s="37"/>
      <c r="WD66" s="37"/>
      <c r="WE66" s="37"/>
      <c r="WF66" s="37"/>
      <c r="WG66" s="37"/>
      <c r="WH66" s="37"/>
      <c r="WI66" s="37"/>
      <c r="WJ66" s="37"/>
      <c r="WK66" s="37"/>
      <c r="WL66" s="37"/>
      <c r="WM66" s="37"/>
      <c r="WN66" s="37"/>
      <c r="WO66" s="37"/>
      <c r="WP66" s="37"/>
      <c r="WQ66" s="37"/>
      <c r="WR66" s="37"/>
      <c r="WS66" s="37"/>
      <c r="WT66" s="37"/>
      <c r="WU66" s="37"/>
      <c r="WV66" s="37"/>
      <c r="WW66" s="37"/>
      <c r="WX66" s="37"/>
      <c r="WY66" s="37"/>
      <c r="WZ66" s="37"/>
      <c r="XA66" s="37"/>
      <c r="XB66" s="37"/>
      <c r="XC66" s="37"/>
      <c r="XD66" s="37"/>
      <c r="XE66" s="37"/>
      <c r="XF66" s="37"/>
      <c r="XG66" s="37"/>
      <c r="XH66" s="37"/>
      <c r="XI66" s="37"/>
      <c r="XJ66" s="37"/>
      <c r="XK66" s="37"/>
      <c r="XL66" s="37"/>
      <c r="XM66" s="37"/>
      <c r="XN66" s="37"/>
      <c r="XO66" s="37"/>
      <c r="XP66" s="37"/>
      <c r="XQ66" s="37"/>
      <c r="XR66" s="37"/>
      <c r="XS66" s="37"/>
      <c r="XT66" s="37"/>
      <c r="XU66" s="37"/>
      <c r="XV66" s="37"/>
      <c r="XW66" s="37"/>
      <c r="XX66" s="37"/>
      <c r="XY66" s="37"/>
      <c r="XZ66" s="37"/>
      <c r="YA66" s="37"/>
      <c r="YB66" s="37"/>
      <c r="YC66" s="37"/>
      <c r="YD66" s="37"/>
      <c r="YE66" s="37"/>
      <c r="YF66" s="37"/>
      <c r="YG66" s="37"/>
      <c r="YH66" s="37"/>
      <c r="YI66" s="37"/>
      <c r="YJ66" s="37"/>
      <c r="YK66" s="37"/>
      <c r="YL66" s="37"/>
      <c r="YM66" s="37"/>
      <c r="YN66" s="37"/>
      <c r="YO66" s="37"/>
      <c r="YP66" s="37"/>
      <c r="YQ66" s="37"/>
      <c r="YR66" s="37"/>
      <c r="YS66" s="37"/>
      <c r="YT66" s="37"/>
      <c r="YU66" s="37"/>
      <c r="YV66" s="37"/>
      <c r="YW66" s="37"/>
      <c r="YX66" s="37"/>
      <c r="YY66" s="37"/>
      <c r="YZ66" s="37"/>
      <c r="ZA66" s="37"/>
      <c r="ZB66" s="37"/>
      <c r="ZC66" s="37"/>
      <c r="ZD66" s="37"/>
      <c r="ZE66" s="37"/>
      <c r="ZF66" s="37"/>
      <c r="ZG66" s="37"/>
      <c r="ZH66" s="37"/>
      <c r="ZI66" s="37"/>
      <c r="ZJ66" s="37"/>
      <c r="ZK66" s="37"/>
      <c r="ZL66" s="37"/>
      <c r="ZM66" s="37"/>
      <c r="ZN66" s="37"/>
      <c r="ZO66" s="37"/>
      <c r="ZP66" s="37"/>
      <c r="ZQ66" s="37"/>
      <c r="ZR66" s="37"/>
      <c r="ZS66" s="37"/>
      <c r="ZT66" s="37"/>
      <c r="ZU66" s="37"/>
      <c r="ZV66" s="37"/>
      <c r="ZW66" s="37"/>
      <c r="ZX66" s="37"/>
      <c r="ZY66" s="37"/>
      <c r="ZZ66" s="37"/>
      <c r="AAA66" s="37"/>
      <c r="AAB66" s="37"/>
      <c r="AAC66" s="37"/>
      <c r="AAD66" s="37"/>
      <c r="AAE66" s="37"/>
      <c r="AAF66" s="37"/>
      <c r="AAG66" s="37"/>
      <c r="AAH66" s="37"/>
      <c r="AAI66" s="37"/>
      <c r="AAJ66" s="37"/>
      <c r="AAK66" s="37"/>
      <c r="AAL66" s="37"/>
      <c r="AAM66" s="37"/>
      <c r="AAN66" s="37"/>
      <c r="AAO66" s="37"/>
      <c r="AAP66" s="37"/>
      <c r="AAQ66" s="37"/>
      <c r="AAR66" s="37"/>
      <c r="AAS66" s="37"/>
      <c r="AAT66" s="37"/>
      <c r="AAU66" s="37"/>
      <c r="AAV66" s="37"/>
      <c r="AAW66" s="37"/>
      <c r="AAX66" s="37"/>
      <c r="AAY66" s="37"/>
      <c r="AAZ66" s="37"/>
      <c r="ABA66" s="37"/>
      <c r="ABB66" s="37"/>
      <c r="ABC66" s="37"/>
      <c r="ABD66" s="37"/>
      <c r="ABE66" s="37"/>
      <c r="ABF66" s="37"/>
      <c r="ABG66" s="37"/>
      <c r="ABH66" s="37"/>
      <c r="ABI66" s="37"/>
      <c r="ABJ66" s="37"/>
      <c r="ABK66" s="37"/>
      <c r="ABL66" s="37"/>
      <c r="ABM66" s="37"/>
      <c r="ABN66" s="37"/>
      <c r="ABO66" s="37"/>
      <c r="ABP66" s="37"/>
      <c r="ABQ66" s="37"/>
      <c r="ABR66" s="37"/>
      <c r="ABS66" s="37"/>
      <c r="ABT66" s="37"/>
      <c r="ABU66" s="37"/>
      <c r="ABV66" s="37"/>
      <c r="ABW66" s="37"/>
      <c r="ABX66" s="37"/>
      <c r="ABY66" s="37"/>
      <c r="ABZ66" s="37"/>
      <c r="ACA66" s="37"/>
      <c r="ACB66" s="37"/>
      <c r="ACC66" s="37"/>
      <c r="ACD66" s="37"/>
      <c r="ACE66" s="37"/>
      <c r="ACF66" s="37"/>
      <c r="ACG66" s="37"/>
      <c r="ACH66" s="37"/>
      <c r="ACI66" s="37"/>
      <c r="ACJ66" s="37"/>
      <c r="ACK66" s="37"/>
      <c r="ACL66" s="37"/>
      <c r="ACM66" s="37"/>
      <c r="ACN66" s="37"/>
      <c r="ACO66" s="37"/>
      <c r="ACP66" s="37"/>
      <c r="ACQ66" s="37"/>
      <c r="ACR66" s="37"/>
      <c r="ACS66" s="37"/>
      <c r="ACT66" s="37"/>
      <c r="ACU66" s="37"/>
      <c r="ACV66" s="37"/>
      <c r="ACW66" s="37"/>
      <c r="ACX66" s="37"/>
      <c r="ACY66" s="37"/>
      <c r="ACZ66" s="37"/>
      <c r="ADA66" s="37"/>
      <c r="ADB66" s="37"/>
      <c r="ADC66" s="37"/>
      <c r="ADD66" s="37"/>
      <c r="ADE66" s="37"/>
      <c r="ADF66" s="37"/>
      <c r="ADG66" s="37"/>
      <c r="ADH66" s="37"/>
      <c r="ADI66" s="37"/>
      <c r="ADJ66" s="37"/>
      <c r="ADK66" s="37"/>
      <c r="ADL66" s="37"/>
      <c r="ADM66" s="37"/>
      <c r="ADN66" s="37"/>
      <c r="ADO66" s="37"/>
      <c r="ADP66" s="37"/>
      <c r="ADQ66" s="37"/>
      <c r="ADR66" s="37"/>
      <c r="ADS66" s="37"/>
      <c r="ADT66" s="37"/>
      <c r="ADU66" s="37"/>
      <c r="ADV66" s="37"/>
      <c r="ADW66" s="37"/>
      <c r="ADX66" s="37"/>
      <c r="ADY66" s="37"/>
      <c r="ADZ66" s="37"/>
      <c r="AEA66" s="37"/>
      <c r="AEB66" s="37"/>
      <c r="AEC66" s="37"/>
      <c r="AED66" s="37"/>
      <c r="AEE66" s="37"/>
      <c r="AEF66" s="37"/>
      <c r="AEG66" s="37"/>
      <c r="AEH66" s="37"/>
      <c r="AEI66" s="37"/>
      <c r="AEJ66" s="37"/>
      <c r="AEK66" s="37"/>
      <c r="AEL66" s="37"/>
      <c r="AEM66" s="37"/>
      <c r="AEN66" s="37"/>
      <c r="AEO66" s="37"/>
      <c r="AEP66" s="37"/>
      <c r="AEQ66" s="37"/>
      <c r="AER66" s="37"/>
      <c r="AES66" s="37"/>
      <c r="AET66" s="37"/>
      <c r="AEU66" s="37"/>
      <c r="AEV66" s="37"/>
      <c r="AEW66" s="37"/>
      <c r="AEX66" s="37"/>
      <c r="AEY66" s="37"/>
      <c r="AEZ66" s="37"/>
      <c r="AFA66" s="37"/>
      <c r="AFB66" s="37"/>
      <c r="AFC66" s="37"/>
      <c r="AFD66" s="37"/>
      <c r="AFE66" s="37"/>
      <c r="AFF66" s="37"/>
      <c r="AFG66" s="37"/>
      <c r="AFH66" s="37"/>
      <c r="AFI66" s="37"/>
      <c r="AFJ66" s="37"/>
      <c r="AFK66" s="37"/>
      <c r="AFL66" s="37"/>
      <c r="AFM66" s="37"/>
      <c r="AFN66" s="37"/>
      <c r="AFO66" s="37"/>
      <c r="AFP66" s="37"/>
      <c r="AFQ66" s="37"/>
      <c r="AFR66" s="37"/>
      <c r="AFS66" s="37"/>
      <c r="AFT66" s="37"/>
      <c r="AFU66" s="37"/>
      <c r="AFV66" s="37"/>
      <c r="AFW66" s="37"/>
      <c r="AFX66" s="37"/>
      <c r="AFY66" s="37"/>
      <c r="AFZ66" s="37"/>
      <c r="AGA66" s="37"/>
      <c r="AGB66" s="37"/>
      <c r="AGC66" s="37"/>
      <c r="AGD66" s="37"/>
      <c r="AGE66" s="37"/>
      <c r="AGF66" s="37"/>
      <c r="AGG66" s="37"/>
      <c r="AGH66" s="37"/>
      <c r="AGI66" s="37"/>
      <c r="AGJ66" s="37"/>
      <c r="AGK66" s="37"/>
      <c r="AGL66" s="37"/>
      <c r="AGM66" s="37"/>
      <c r="AGN66" s="37"/>
      <c r="AGO66" s="37"/>
      <c r="AGP66" s="37"/>
      <c r="AGQ66" s="37"/>
      <c r="AGR66" s="37"/>
      <c r="AGS66" s="37"/>
      <c r="AGT66" s="37"/>
      <c r="AGU66" s="37"/>
      <c r="AGV66" s="37"/>
      <c r="AGW66" s="37"/>
      <c r="AGX66" s="37"/>
      <c r="AGY66" s="37"/>
      <c r="AGZ66" s="37"/>
      <c r="AHA66" s="37"/>
      <c r="AHB66" s="37"/>
      <c r="AHC66" s="37"/>
      <c r="AHD66" s="37"/>
      <c r="AHE66" s="37"/>
      <c r="AHF66" s="37"/>
      <c r="AHG66" s="37"/>
      <c r="AHH66" s="37"/>
      <c r="AHI66" s="37"/>
      <c r="AHJ66" s="37"/>
      <c r="AHK66" s="37"/>
      <c r="AHL66" s="37"/>
      <c r="AHM66" s="37"/>
      <c r="AHN66" s="37"/>
      <c r="AHO66" s="37"/>
      <c r="AHP66" s="37"/>
      <c r="AHQ66" s="37"/>
      <c r="AHR66" s="37"/>
      <c r="AHS66" s="37"/>
      <c r="AHT66" s="37"/>
      <c r="AHU66" s="37"/>
      <c r="AHV66" s="37"/>
      <c r="AHW66" s="37"/>
      <c r="AHX66" s="37"/>
      <c r="AHY66" s="37"/>
      <c r="AHZ66" s="37"/>
      <c r="AIA66" s="37"/>
      <c r="AIB66" s="37"/>
      <c r="AIC66" s="37"/>
      <c r="AID66" s="37"/>
      <c r="AIE66" s="37"/>
      <c r="AIF66" s="37"/>
      <c r="AIG66" s="37"/>
      <c r="AIH66" s="37"/>
      <c r="AII66" s="37"/>
      <c r="AIJ66" s="37"/>
      <c r="AIK66" s="37"/>
      <c r="AIL66" s="37"/>
      <c r="AIM66" s="37"/>
      <c r="AIN66" s="37"/>
      <c r="AIO66" s="37"/>
      <c r="AIP66" s="37"/>
      <c r="AIQ66" s="37"/>
      <c r="AIR66" s="37"/>
      <c r="AIS66" s="37"/>
      <c r="AIT66" s="37"/>
      <c r="AIU66" s="37"/>
      <c r="AIV66" s="37"/>
      <c r="AIW66" s="37"/>
      <c r="AIX66" s="37"/>
      <c r="AIY66" s="37"/>
      <c r="AIZ66" s="37"/>
      <c r="AJA66" s="37"/>
      <c r="AJB66" s="37"/>
      <c r="AJC66" s="37"/>
      <c r="AJD66" s="37"/>
      <c r="AJE66" s="37"/>
      <c r="AJF66" s="37"/>
      <c r="AJG66" s="37"/>
      <c r="AJH66" s="37"/>
      <c r="AJI66" s="37"/>
      <c r="AJJ66" s="37"/>
      <c r="AJK66" s="37"/>
      <c r="AJL66" s="37"/>
      <c r="AJM66" s="37"/>
      <c r="AJN66" s="37"/>
      <c r="AJO66" s="37"/>
      <c r="AJP66" s="37"/>
      <c r="AJQ66" s="37"/>
      <c r="AJR66" s="37"/>
      <c r="AJS66" s="37"/>
      <c r="AJT66" s="37"/>
      <c r="AJU66" s="37"/>
      <c r="AJV66" s="37"/>
      <c r="AJW66" s="37"/>
      <c r="AJX66" s="37"/>
      <c r="AJY66" s="37"/>
      <c r="AJZ66" s="37"/>
      <c r="AKA66" s="37"/>
      <c r="AKB66" s="37"/>
      <c r="AKC66" s="37"/>
      <c r="AKD66" s="37"/>
      <c r="AKE66" s="37"/>
      <c r="AKF66" s="37"/>
      <c r="AKG66" s="37"/>
      <c r="AKH66" s="37"/>
      <c r="AKI66" s="37"/>
      <c r="AKJ66" s="37"/>
      <c r="AKK66" s="37"/>
      <c r="AKL66" s="37"/>
      <c r="AKM66" s="37"/>
      <c r="AKN66" s="37"/>
      <c r="AKO66" s="37"/>
      <c r="AKP66" s="37"/>
      <c r="AKQ66" s="37"/>
      <c r="AKR66" s="37"/>
      <c r="AKS66" s="37"/>
      <c r="AKT66" s="37"/>
      <c r="AKU66" s="37"/>
      <c r="AKV66" s="37"/>
      <c r="AKW66" s="37"/>
      <c r="AKX66" s="37"/>
      <c r="AKY66" s="37"/>
      <c r="AKZ66" s="37"/>
      <c r="ALA66" s="37"/>
      <c r="ALB66" s="37"/>
      <c r="ALC66" s="37"/>
      <c r="ALD66" s="37"/>
      <c r="ALE66" s="37"/>
      <c r="ALF66" s="37"/>
      <c r="ALG66" s="37"/>
      <c r="ALH66" s="37"/>
      <c r="ALI66" s="37"/>
      <c r="ALJ66" s="37"/>
      <c r="ALK66" s="37"/>
      <c r="ALL66" s="37"/>
      <c r="ALM66" s="37"/>
      <c r="ALN66" s="37"/>
      <c r="ALO66" s="37"/>
      <c r="ALP66" s="37"/>
      <c r="ALQ66" s="37"/>
      <c r="ALR66" s="37"/>
      <c r="ALS66" s="37"/>
      <c r="ALT66" s="37"/>
      <c r="ALU66" s="37"/>
      <c r="ALV66" s="37"/>
      <c r="ALW66" s="37"/>
      <c r="ALX66" s="37"/>
      <c r="ALY66" s="37"/>
      <c r="ALZ66" s="37"/>
      <c r="AMA66" s="37"/>
      <c r="AMB66" s="37"/>
      <c r="AMC66" s="37"/>
    </row>
    <row r="67" spans="1:1017" s="38" customFormat="1" ht="19.5" customHeight="1">
      <c r="A67" s="75"/>
      <c r="B67" s="76"/>
      <c r="C67" s="75"/>
      <c r="D67" s="75"/>
      <c r="E67" s="75"/>
      <c r="F67" s="75"/>
      <c r="G67" s="77">
        <v>47</v>
      </c>
      <c r="H67" s="77">
        <v>60</v>
      </c>
      <c r="I67" s="77">
        <v>20</v>
      </c>
      <c r="J67" s="77">
        <v>15</v>
      </c>
      <c r="K67" s="77">
        <v>107</v>
      </c>
      <c r="L67" s="77">
        <v>104</v>
      </c>
      <c r="M67" s="77">
        <v>109</v>
      </c>
      <c r="N67" s="77"/>
      <c r="O67" s="7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  <c r="OU67" s="37"/>
      <c r="OV67" s="37"/>
      <c r="OW67" s="37"/>
      <c r="OX67" s="37"/>
      <c r="OY67" s="37"/>
      <c r="OZ67" s="37"/>
      <c r="PA67" s="37"/>
      <c r="PB67" s="37"/>
      <c r="PC67" s="37"/>
      <c r="PD67" s="37"/>
      <c r="PE67" s="37"/>
      <c r="PF67" s="37"/>
      <c r="PG67" s="37"/>
      <c r="PH67" s="37"/>
      <c r="PI67" s="37"/>
      <c r="PJ67" s="37"/>
      <c r="PK67" s="37"/>
      <c r="PL67" s="37"/>
      <c r="PM67" s="37"/>
      <c r="PN67" s="37"/>
      <c r="PO67" s="37"/>
      <c r="PP67" s="37"/>
      <c r="PQ67" s="37"/>
      <c r="PR67" s="37"/>
      <c r="PS67" s="37"/>
      <c r="PT67" s="37"/>
      <c r="PU67" s="37"/>
      <c r="PV67" s="37"/>
      <c r="PW67" s="37"/>
      <c r="PX67" s="37"/>
      <c r="PY67" s="37"/>
      <c r="PZ67" s="37"/>
      <c r="QA67" s="37"/>
      <c r="QB67" s="37"/>
      <c r="QC67" s="37"/>
      <c r="QD67" s="37"/>
      <c r="QE67" s="37"/>
      <c r="QF67" s="37"/>
      <c r="QG67" s="37"/>
      <c r="QH67" s="37"/>
      <c r="QI67" s="37"/>
      <c r="QJ67" s="37"/>
      <c r="QK67" s="37"/>
      <c r="QL67" s="37"/>
      <c r="QM67" s="37"/>
      <c r="QN67" s="37"/>
      <c r="QO67" s="37"/>
      <c r="QP67" s="37"/>
      <c r="QQ67" s="37"/>
      <c r="QR67" s="37"/>
      <c r="QS67" s="37"/>
      <c r="QT67" s="37"/>
      <c r="QU67" s="37"/>
      <c r="QV67" s="37"/>
      <c r="QW67" s="37"/>
      <c r="QX67" s="37"/>
      <c r="QY67" s="37"/>
      <c r="QZ67" s="37"/>
      <c r="RA67" s="37"/>
      <c r="RB67" s="37"/>
      <c r="RC67" s="37"/>
      <c r="RD67" s="37"/>
      <c r="RE67" s="37"/>
      <c r="RF67" s="37"/>
      <c r="RG67" s="37"/>
      <c r="RH67" s="37"/>
      <c r="RI67" s="37"/>
      <c r="RJ67" s="37"/>
      <c r="RK67" s="37"/>
      <c r="RL67" s="37"/>
      <c r="RM67" s="37"/>
      <c r="RN67" s="37"/>
      <c r="RO67" s="37"/>
      <c r="RP67" s="37"/>
      <c r="RQ67" s="37"/>
      <c r="RR67" s="37"/>
      <c r="RS67" s="37"/>
      <c r="RT67" s="37"/>
      <c r="RU67" s="37"/>
      <c r="RV67" s="37"/>
      <c r="RW67" s="37"/>
      <c r="RX67" s="37"/>
      <c r="RY67" s="37"/>
      <c r="RZ67" s="37"/>
      <c r="SA67" s="37"/>
      <c r="SB67" s="37"/>
      <c r="SC67" s="37"/>
      <c r="SD67" s="37"/>
      <c r="SE67" s="37"/>
      <c r="SF67" s="37"/>
      <c r="SG67" s="37"/>
      <c r="SH67" s="37"/>
      <c r="SI67" s="37"/>
      <c r="SJ67" s="37"/>
      <c r="SK67" s="37"/>
      <c r="SL67" s="37"/>
      <c r="SM67" s="37"/>
      <c r="SN67" s="37"/>
      <c r="SO67" s="37"/>
      <c r="SP67" s="37"/>
      <c r="SQ67" s="37"/>
      <c r="SR67" s="37"/>
      <c r="SS67" s="37"/>
      <c r="ST67" s="37"/>
      <c r="SU67" s="37"/>
      <c r="SV67" s="37"/>
      <c r="SW67" s="37"/>
      <c r="SX67" s="37"/>
      <c r="SY67" s="37"/>
      <c r="SZ67" s="37"/>
      <c r="TA67" s="37"/>
      <c r="TB67" s="37"/>
      <c r="TC67" s="37"/>
      <c r="TD67" s="37"/>
      <c r="TE67" s="37"/>
      <c r="TF67" s="37"/>
      <c r="TG67" s="37"/>
      <c r="TH67" s="37"/>
      <c r="TI67" s="37"/>
      <c r="TJ67" s="37"/>
      <c r="TK67" s="37"/>
      <c r="TL67" s="37"/>
      <c r="TM67" s="37"/>
      <c r="TN67" s="37"/>
      <c r="TO67" s="37"/>
      <c r="TP67" s="37"/>
      <c r="TQ67" s="37"/>
      <c r="TR67" s="37"/>
      <c r="TS67" s="37"/>
      <c r="TT67" s="37"/>
      <c r="TU67" s="37"/>
      <c r="TV67" s="37"/>
      <c r="TW67" s="37"/>
      <c r="TX67" s="37"/>
      <c r="TY67" s="37"/>
      <c r="TZ67" s="37"/>
      <c r="UA67" s="37"/>
      <c r="UB67" s="37"/>
      <c r="UC67" s="37"/>
      <c r="UD67" s="37"/>
      <c r="UE67" s="37"/>
      <c r="UF67" s="37"/>
      <c r="UG67" s="37"/>
      <c r="UH67" s="37"/>
      <c r="UI67" s="37"/>
      <c r="UJ67" s="37"/>
      <c r="UK67" s="37"/>
      <c r="UL67" s="37"/>
      <c r="UM67" s="37"/>
      <c r="UN67" s="37"/>
      <c r="UO67" s="37"/>
      <c r="UP67" s="37"/>
      <c r="UQ67" s="37"/>
      <c r="UR67" s="37"/>
      <c r="US67" s="37"/>
      <c r="UT67" s="37"/>
      <c r="UU67" s="37"/>
      <c r="UV67" s="37"/>
      <c r="UW67" s="37"/>
      <c r="UX67" s="37"/>
      <c r="UY67" s="37"/>
      <c r="UZ67" s="37"/>
      <c r="VA67" s="37"/>
      <c r="VB67" s="37"/>
      <c r="VC67" s="37"/>
      <c r="VD67" s="37"/>
      <c r="VE67" s="37"/>
      <c r="VF67" s="37"/>
      <c r="VG67" s="37"/>
      <c r="VH67" s="37"/>
      <c r="VI67" s="37"/>
      <c r="VJ67" s="37"/>
      <c r="VK67" s="37"/>
      <c r="VL67" s="37"/>
      <c r="VM67" s="37"/>
      <c r="VN67" s="37"/>
      <c r="VO67" s="37"/>
      <c r="VP67" s="37"/>
      <c r="VQ67" s="37"/>
      <c r="VR67" s="37"/>
      <c r="VS67" s="37"/>
      <c r="VT67" s="37"/>
      <c r="VU67" s="37"/>
      <c r="VV67" s="37"/>
      <c r="VW67" s="37"/>
      <c r="VX67" s="37"/>
      <c r="VY67" s="37"/>
      <c r="VZ67" s="37"/>
      <c r="WA67" s="37"/>
      <c r="WB67" s="37"/>
      <c r="WC67" s="37"/>
      <c r="WD67" s="37"/>
      <c r="WE67" s="37"/>
      <c r="WF67" s="37"/>
      <c r="WG67" s="37"/>
      <c r="WH67" s="37"/>
      <c r="WI67" s="37"/>
      <c r="WJ67" s="37"/>
      <c r="WK67" s="37"/>
      <c r="WL67" s="37"/>
      <c r="WM67" s="37"/>
      <c r="WN67" s="37"/>
      <c r="WO67" s="37"/>
      <c r="WP67" s="37"/>
      <c r="WQ67" s="37"/>
      <c r="WR67" s="37"/>
      <c r="WS67" s="37"/>
      <c r="WT67" s="37"/>
      <c r="WU67" s="37"/>
      <c r="WV67" s="37"/>
      <c r="WW67" s="37"/>
      <c r="WX67" s="37"/>
      <c r="WY67" s="37"/>
      <c r="WZ67" s="37"/>
      <c r="XA67" s="37"/>
      <c r="XB67" s="37"/>
      <c r="XC67" s="37"/>
      <c r="XD67" s="37"/>
      <c r="XE67" s="37"/>
      <c r="XF67" s="37"/>
      <c r="XG67" s="37"/>
      <c r="XH67" s="37"/>
      <c r="XI67" s="37"/>
      <c r="XJ67" s="37"/>
      <c r="XK67" s="37"/>
      <c r="XL67" s="37"/>
      <c r="XM67" s="37"/>
      <c r="XN67" s="37"/>
      <c r="XO67" s="37"/>
      <c r="XP67" s="37"/>
      <c r="XQ67" s="37"/>
      <c r="XR67" s="37"/>
      <c r="XS67" s="37"/>
      <c r="XT67" s="37"/>
      <c r="XU67" s="37"/>
      <c r="XV67" s="37"/>
      <c r="XW67" s="37"/>
      <c r="XX67" s="37"/>
      <c r="XY67" s="37"/>
      <c r="XZ67" s="37"/>
      <c r="YA67" s="37"/>
      <c r="YB67" s="37"/>
      <c r="YC67" s="37"/>
      <c r="YD67" s="37"/>
      <c r="YE67" s="37"/>
      <c r="YF67" s="37"/>
      <c r="YG67" s="37"/>
      <c r="YH67" s="37"/>
      <c r="YI67" s="37"/>
      <c r="YJ67" s="37"/>
      <c r="YK67" s="37"/>
      <c r="YL67" s="37"/>
      <c r="YM67" s="37"/>
      <c r="YN67" s="37"/>
      <c r="YO67" s="37"/>
      <c r="YP67" s="37"/>
      <c r="YQ67" s="37"/>
      <c r="YR67" s="37"/>
      <c r="YS67" s="37"/>
      <c r="YT67" s="37"/>
      <c r="YU67" s="37"/>
      <c r="YV67" s="37"/>
      <c r="YW67" s="37"/>
      <c r="YX67" s="37"/>
      <c r="YY67" s="37"/>
      <c r="YZ67" s="37"/>
      <c r="ZA67" s="37"/>
      <c r="ZB67" s="37"/>
      <c r="ZC67" s="37"/>
      <c r="ZD67" s="37"/>
      <c r="ZE67" s="37"/>
      <c r="ZF67" s="37"/>
      <c r="ZG67" s="37"/>
      <c r="ZH67" s="37"/>
      <c r="ZI67" s="37"/>
      <c r="ZJ67" s="37"/>
      <c r="ZK67" s="37"/>
      <c r="ZL67" s="37"/>
      <c r="ZM67" s="37"/>
      <c r="ZN67" s="37"/>
      <c r="ZO67" s="37"/>
      <c r="ZP67" s="37"/>
      <c r="ZQ67" s="37"/>
      <c r="ZR67" s="37"/>
      <c r="ZS67" s="37"/>
      <c r="ZT67" s="37"/>
      <c r="ZU67" s="37"/>
      <c r="ZV67" s="37"/>
      <c r="ZW67" s="37"/>
      <c r="ZX67" s="37"/>
      <c r="ZY67" s="37"/>
      <c r="ZZ67" s="37"/>
      <c r="AAA67" s="37"/>
      <c r="AAB67" s="37"/>
      <c r="AAC67" s="37"/>
      <c r="AAD67" s="37"/>
      <c r="AAE67" s="37"/>
      <c r="AAF67" s="37"/>
      <c r="AAG67" s="37"/>
      <c r="AAH67" s="37"/>
      <c r="AAI67" s="37"/>
      <c r="AAJ67" s="37"/>
      <c r="AAK67" s="37"/>
      <c r="AAL67" s="37"/>
      <c r="AAM67" s="37"/>
      <c r="AAN67" s="37"/>
      <c r="AAO67" s="37"/>
      <c r="AAP67" s="37"/>
      <c r="AAQ67" s="37"/>
      <c r="AAR67" s="37"/>
      <c r="AAS67" s="37"/>
      <c r="AAT67" s="37"/>
      <c r="AAU67" s="37"/>
      <c r="AAV67" s="37"/>
      <c r="AAW67" s="37"/>
      <c r="AAX67" s="37"/>
      <c r="AAY67" s="37"/>
      <c r="AAZ67" s="37"/>
      <c r="ABA67" s="37"/>
      <c r="ABB67" s="37"/>
      <c r="ABC67" s="37"/>
      <c r="ABD67" s="37"/>
      <c r="ABE67" s="37"/>
      <c r="ABF67" s="37"/>
      <c r="ABG67" s="37"/>
      <c r="ABH67" s="37"/>
      <c r="ABI67" s="37"/>
      <c r="ABJ67" s="37"/>
      <c r="ABK67" s="37"/>
      <c r="ABL67" s="37"/>
      <c r="ABM67" s="37"/>
      <c r="ABN67" s="37"/>
      <c r="ABO67" s="37"/>
      <c r="ABP67" s="37"/>
      <c r="ABQ67" s="37"/>
      <c r="ABR67" s="37"/>
      <c r="ABS67" s="37"/>
      <c r="ABT67" s="37"/>
      <c r="ABU67" s="37"/>
      <c r="ABV67" s="37"/>
      <c r="ABW67" s="37"/>
      <c r="ABX67" s="37"/>
      <c r="ABY67" s="37"/>
      <c r="ABZ67" s="37"/>
      <c r="ACA67" s="37"/>
      <c r="ACB67" s="37"/>
      <c r="ACC67" s="37"/>
      <c r="ACD67" s="37"/>
      <c r="ACE67" s="37"/>
      <c r="ACF67" s="37"/>
      <c r="ACG67" s="37"/>
      <c r="ACH67" s="37"/>
      <c r="ACI67" s="37"/>
      <c r="ACJ67" s="37"/>
      <c r="ACK67" s="37"/>
      <c r="ACL67" s="37"/>
      <c r="ACM67" s="37"/>
      <c r="ACN67" s="37"/>
      <c r="ACO67" s="37"/>
      <c r="ACP67" s="37"/>
      <c r="ACQ67" s="37"/>
      <c r="ACR67" s="37"/>
      <c r="ACS67" s="37"/>
      <c r="ACT67" s="37"/>
      <c r="ACU67" s="37"/>
      <c r="ACV67" s="37"/>
      <c r="ACW67" s="37"/>
      <c r="ACX67" s="37"/>
      <c r="ACY67" s="37"/>
      <c r="ACZ67" s="37"/>
      <c r="ADA67" s="37"/>
      <c r="ADB67" s="37"/>
      <c r="ADC67" s="37"/>
      <c r="ADD67" s="37"/>
      <c r="ADE67" s="37"/>
      <c r="ADF67" s="37"/>
      <c r="ADG67" s="37"/>
      <c r="ADH67" s="37"/>
      <c r="ADI67" s="37"/>
      <c r="ADJ67" s="37"/>
      <c r="ADK67" s="37"/>
      <c r="ADL67" s="37"/>
      <c r="ADM67" s="37"/>
      <c r="ADN67" s="37"/>
      <c r="ADO67" s="37"/>
      <c r="ADP67" s="37"/>
      <c r="ADQ67" s="37"/>
      <c r="ADR67" s="37"/>
      <c r="ADS67" s="37"/>
      <c r="ADT67" s="37"/>
      <c r="ADU67" s="37"/>
      <c r="ADV67" s="37"/>
      <c r="ADW67" s="37"/>
      <c r="ADX67" s="37"/>
      <c r="ADY67" s="37"/>
      <c r="ADZ67" s="37"/>
      <c r="AEA67" s="37"/>
      <c r="AEB67" s="37"/>
      <c r="AEC67" s="37"/>
      <c r="AED67" s="37"/>
      <c r="AEE67" s="37"/>
      <c r="AEF67" s="37"/>
      <c r="AEG67" s="37"/>
      <c r="AEH67" s="37"/>
      <c r="AEI67" s="37"/>
      <c r="AEJ67" s="37"/>
      <c r="AEK67" s="37"/>
      <c r="AEL67" s="37"/>
      <c r="AEM67" s="37"/>
      <c r="AEN67" s="37"/>
      <c r="AEO67" s="37"/>
      <c r="AEP67" s="37"/>
      <c r="AEQ67" s="37"/>
      <c r="AER67" s="37"/>
      <c r="AES67" s="37"/>
      <c r="AET67" s="37"/>
      <c r="AEU67" s="37"/>
      <c r="AEV67" s="37"/>
      <c r="AEW67" s="37"/>
      <c r="AEX67" s="37"/>
      <c r="AEY67" s="37"/>
      <c r="AEZ67" s="37"/>
      <c r="AFA67" s="37"/>
      <c r="AFB67" s="37"/>
      <c r="AFC67" s="37"/>
      <c r="AFD67" s="37"/>
      <c r="AFE67" s="37"/>
      <c r="AFF67" s="37"/>
      <c r="AFG67" s="37"/>
      <c r="AFH67" s="37"/>
      <c r="AFI67" s="37"/>
      <c r="AFJ67" s="37"/>
      <c r="AFK67" s="37"/>
      <c r="AFL67" s="37"/>
      <c r="AFM67" s="37"/>
      <c r="AFN67" s="37"/>
      <c r="AFO67" s="37"/>
      <c r="AFP67" s="37"/>
      <c r="AFQ67" s="37"/>
      <c r="AFR67" s="37"/>
      <c r="AFS67" s="37"/>
      <c r="AFT67" s="37"/>
      <c r="AFU67" s="37"/>
      <c r="AFV67" s="37"/>
      <c r="AFW67" s="37"/>
      <c r="AFX67" s="37"/>
      <c r="AFY67" s="37"/>
      <c r="AFZ67" s="37"/>
      <c r="AGA67" s="37"/>
      <c r="AGB67" s="37"/>
      <c r="AGC67" s="37"/>
      <c r="AGD67" s="37"/>
      <c r="AGE67" s="37"/>
      <c r="AGF67" s="37"/>
      <c r="AGG67" s="37"/>
      <c r="AGH67" s="37"/>
      <c r="AGI67" s="37"/>
      <c r="AGJ67" s="37"/>
      <c r="AGK67" s="37"/>
      <c r="AGL67" s="37"/>
      <c r="AGM67" s="37"/>
      <c r="AGN67" s="37"/>
      <c r="AGO67" s="37"/>
      <c r="AGP67" s="37"/>
      <c r="AGQ67" s="37"/>
      <c r="AGR67" s="37"/>
      <c r="AGS67" s="37"/>
      <c r="AGT67" s="37"/>
      <c r="AGU67" s="37"/>
      <c r="AGV67" s="37"/>
      <c r="AGW67" s="37"/>
      <c r="AGX67" s="37"/>
      <c r="AGY67" s="37"/>
      <c r="AGZ67" s="37"/>
      <c r="AHA67" s="37"/>
      <c r="AHB67" s="37"/>
      <c r="AHC67" s="37"/>
      <c r="AHD67" s="37"/>
      <c r="AHE67" s="37"/>
      <c r="AHF67" s="37"/>
      <c r="AHG67" s="37"/>
      <c r="AHH67" s="37"/>
      <c r="AHI67" s="37"/>
      <c r="AHJ67" s="37"/>
      <c r="AHK67" s="37"/>
      <c r="AHL67" s="37"/>
      <c r="AHM67" s="37"/>
      <c r="AHN67" s="37"/>
      <c r="AHO67" s="37"/>
      <c r="AHP67" s="37"/>
      <c r="AHQ67" s="37"/>
      <c r="AHR67" s="37"/>
      <c r="AHS67" s="37"/>
      <c r="AHT67" s="37"/>
      <c r="AHU67" s="37"/>
      <c r="AHV67" s="37"/>
      <c r="AHW67" s="37"/>
      <c r="AHX67" s="37"/>
      <c r="AHY67" s="37"/>
      <c r="AHZ67" s="37"/>
      <c r="AIA67" s="37"/>
      <c r="AIB67" s="37"/>
      <c r="AIC67" s="37"/>
      <c r="AID67" s="37"/>
      <c r="AIE67" s="37"/>
      <c r="AIF67" s="37"/>
      <c r="AIG67" s="37"/>
      <c r="AIH67" s="37"/>
      <c r="AII67" s="37"/>
      <c r="AIJ67" s="37"/>
      <c r="AIK67" s="37"/>
      <c r="AIL67" s="37"/>
      <c r="AIM67" s="37"/>
      <c r="AIN67" s="37"/>
      <c r="AIO67" s="37"/>
      <c r="AIP67" s="37"/>
      <c r="AIQ67" s="37"/>
      <c r="AIR67" s="37"/>
      <c r="AIS67" s="37"/>
      <c r="AIT67" s="37"/>
      <c r="AIU67" s="37"/>
      <c r="AIV67" s="37"/>
      <c r="AIW67" s="37"/>
      <c r="AIX67" s="37"/>
      <c r="AIY67" s="37"/>
      <c r="AIZ67" s="37"/>
      <c r="AJA67" s="37"/>
      <c r="AJB67" s="37"/>
      <c r="AJC67" s="37"/>
      <c r="AJD67" s="37"/>
      <c r="AJE67" s="37"/>
      <c r="AJF67" s="37"/>
      <c r="AJG67" s="37"/>
      <c r="AJH67" s="37"/>
      <c r="AJI67" s="37"/>
      <c r="AJJ67" s="37"/>
      <c r="AJK67" s="37"/>
      <c r="AJL67" s="37"/>
      <c r="AJM67" s="37"/>
      <c r="AJN67" s="37"/>
      <c r="AJO67" s="37"/>
      <c r="AJP67" s="37"/>
      <c r="AJQ67" s="37"/>
      <c r="AJR67" s="37"/>
      <c r="AJS67" s="37"/>
      <c r="AJT67" s="37"/>
      <c r="AJU67" s="37"/>
      <c r="AJV67" s="37"/>
      <c r="AJW67" s="37"/>
      <c r="AJX67" s="37"/>
      <c r="AJY67" s="37"/>
      <c r="AJZ67" s="37"/>
      <c r="AKA67" s="37"/>
      <c r="AKB67" s="37"/>
      <c r="AKC67" s="37"/>
      <c r="AKD67" s="37"/>
      <c r="AKE67" s="37"/>
      <c r="AKF67" s="37"/>
      <c r="AKG67" s="37"/>
      <c r="AKH67" s="37"/>
      <c r="AKI67" s="37"/>
      <c r="AKJ67" s="37"/>
      <c r="AKK67" s="37"/>
      <c r="AKL67" s="37"/>
      <c r="AKM67" s="37"/>
      <c r="AKN67" s="37"/>
      <c r="AKO67" s="37"/>
      <c r="AKP67" s="37"/>
      <c r="AKQ67" s="37"/>
      <c r="AKR67" s="37"/>
      <c r="AKS67" s="37"/>
      <c r="AKT67" s="37"/>
      <c r="AKU67" s="37"/>
      <c r="AKV67" s="37"/>
      <c r="AKW67" s="37"/>
      <c r="AKX67" s="37"/>
      <c r="AKY67" s="37"/>
      <c r="AKZ67" s="37"/>
      <c r="ALA67" s="37"/>
      <c r="ALB67" s="37"/>
      <c r="ALC67" s="37"/>
      <c r="ALD67" s="37"/>
      <c r="ALE67" s="37"/>
      <c r="ALF67" s="37"/>
      <c r="ALG67" s="37"/>
      <c r="ALH67" s="37"/>
      <c r="ALI67" s="37"/>
      <c r="ALJ67" s="37"/>
      <c r="ALK67" s="37"/>
      <c r="ALL67" s="37"/>
      <c r="ALM67" s="37"/>
      <c r="ALN67" s="37"/>
      <c r="ALO67" s="37"/>
      <c r="ALP67" s="37"/>
      <c r="ALQ67" s="37"/>
      <c r="ALR67" s="37"/>
      <c r="ALS67" s="37"/>
      <c r="ALT67" s="37"/>
      <c r="ALU67" s="37"/>
      <c r="ALV67" s="37"/>
      <c r="ALW67" s="37"/>
      <c r="ALX67" s="37"/>
      <c r="ALY67" s="37"/>
      <c r="ALZ67" s="37"/>
      <c r="AMA67" s="37"/>
      <c r="AMB67" s="37"/>
      <c r="AMC67" s="37"/>
    </row>
    <row r="68" spans="1:1017" s="38" customFormat="1" ht="19.5" customHeight="1">
      <c r="A68" s="26" t="s">
        <v>123</v>
      </c>
      <c r="B68" s="25" t="s">
        <v>111</v>
      </c>
      <c r="C68" s="26" t="s">
        <v>46</v>
      </c>
      <c r="D68" s="26" t="s">
        <v>32</v>
      </c>
      <c r="E68" s="26" t="s">
        <v>261</v>
      </c>
      <c r="F68" s="26">
        <v>42</v>
      </c>
      <c r="G68" s="26" t="s">
        <v>33</v>
      </c>
      <c r="H68" s="26">
        <v>57</v>
      </c>
      <c r="I68" s="36">
        <v>47</v>
      </c>
      <c r="J68" s="36">
        <v>27</v>
      </c>
      <c r="K68" s="36">
        <v>20</v>
      </c>
      <c r="L68" s="36">
        <v>31</v>
      </c>
      <c r="M68" s="36">
        <v>30</v>
      </c>
      <c r="N68" s="36">
        <v>31</v>
      </c>
      <c r="O68" s="36">
        <v>74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/>
      <c r="NV68" s="37"/>
      <c r="NW68" s="37"/>
      <c r="NX68" s="37"/>
      <c r="NY68" s="37"/>
      <c r="NZ68" s="37"/>
      <c r="OA68" s="37"/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  <c r="OU68" s="37"/>
      <c r="OV68" s="37"/>
      <c r="OW68" s="37"/>
      <c r="OX68" s="37"/>
      <c r="OY68" s="37"/>
      <c r="OZ68" s="37"/>
      <c r="PA68" s="37"/>
      <c r="PB68" s="37"/>
      <c r="PC68" s="37"/>
      <c r="PD68" s="37"/>
      <c r="PE68" s="37"/>
      <c r="PF68" s="37"/>
      <c r="PG68" s="37"/>
      <c r="PH68" s="37"/>
      <c r="PI68" s="37"/>
      <c r="PJ68" s="37"/>
      <c r="PK68" s="37"/>
      <c r="PL68" s="37"/>
      <c r="PM68" s="37"/>
      <c r="PN68" s="37"/>
      <c r="PO68" s="37"/>
      <c r="PP68" s="37"/>
      <c r="PQ68" s="37"/>
      <c r="PR68" s="37"/>
      <c r="PS68" s="37"/>
      <c r="PT68" s="37"/>
      <c r="PU68" s="37"/>
      <c r="PV68" s="37"/>
      <c r="PW68" s="37"/>
      <c r="PX68" s="37"/>
      <c r="PY68" s="37"/>
      <c r="PZ68" s="37"/>
      <c r="QA68" s="37"/>
      <c r="QB68" s="37"/>
      <c r="QC68" s="37"/>
      <c r="QD68" s="37"/>
      <c r="QE68" s="37"/>
      <c r="QF68" s="37"/>
      <c r="QG68" s="37"/>
      <c r="QH68" s="37"/>
      <c r="QI68" s="37"/>
      <c r="QJ68" s="37"/>
      <c r="QK68" s="37"/>
      <c r="QL68" s="37"/>
      <c r="QM68" s="37"/>
      <c r="QN68" s="37"/>
      <c r="QO68" s="37"/>
      <c r="QP68" s="37"/>
      <c r="QQ68" s="37"/>
      <c r="QR68" s="37"/>
      <c r="QS68" s="37"/>
      <c r="QT68" s="37"/>
      <c r="QU68" s="37"/>
      <c r="QV68" s="37"/>
      <c r="QW68" s="37"/>
      <c r="QX68" s="37"/>
      <c r="QY68" s="37"/>
      <c r="QZ68" s="37"/>
      <c r="RA68" s="37"/>
      <c r="RB68" s="37"/>
      <c r="RC68" s="37"/>
      <c r="RD68" s="37"/>
      <c r="RE68" s="37"/>
      <c r="RF68" s="37"/>
      <c r="RG68" s="37"/>
      <c r="RH68" s="37"/>
      <c r="RI68" s="37"/>
      <c r="RJ68" s="37"/>
      <c r="RK68" s="37"/>
      <c r="RL68" s="37"/>
      <c r="RM68" s="37"/>
      <c r="RN68" s="37"/>
      <c r="RO68" s="37"/>
      <c r="RP68" s="37"/>
      <c r="RQ68" s="37"/>
      <c r="RR68" s="37"/>
      <c r="RS68" s="37"/>
      <c r="RT68" s="37"/>
      <c r="RU68" s="37"/>
      <c r="RV68" s="37"/>
      <c r="RW68" s="37"/>
      <c r="RX68" s="37"/>
      <c r="RY68" s="37"/>
      <c r="RZ68" s="37"/>
      <c r="SA68" s="37"/>
      <c r="SB68" s="37"/>
      <c r="SC68" s="37"/>
      <c r="SD68" s="37"/>
      <c r="SE68" s="37"/>
      <c r="SF68" s="37"/>
      <c r="SG68" s="37"/>
      <c r="SH68" s="37"/>
      <c r="SI68" s="37"/>
      <c r="SJ68" s="37"/>
      <c r="SK68" s="37"/>
      <c r="SL68" s="37"/>
      <c r="SM68" s="37"/>
      <c r="SN68" s="37"/>
      <c r="SO68" s="37"/>
      <c r="SP68" s="37"/>
      <c r="SQ68" s="37"/>
      <c r="SR68" s="37"/>
      <c r="SS68" s="37"/>
      <c r="ST68" s="37"/>
      <c r="SU68" s="37"/>
      <c r="SV68" s="37"/>
      <c r="SW68" s="37"/>
      <c r="SX68" s="37"/>
      <c r="SY68" s="37"/>
      <c r="SZ68" s="37"/>
      <c r="TA68" s="37"/>
      <c r="TB68" s="37"/>
      <c r="TC68" s="37"/>
      <c r="TD68" s="37"/>
      <c r="TE68" s="37"/>
      <c r="TF68" s="37"/>
      <c r="TG68" s="37"/>
      <c r="TH68" s="37"/>
      <c r="TI68" s="37"/>
      <c r="TJ68" s="37"/>
      <c r="TK68" s="37"/>
      <c r="TL68" s="37"/>
      <c r="TM68" s="37"/>
      <c r="TN68" s="37"/>
      <c r="TO68" s="37"/>
      <c r="TP68" s="37"/>
      <c r="TQ68" s="37"/>
      <c r="TR68" s="37"/>
      <c r="TS68" s="37"/>
      <c r="TT68" s="37"/>
      <c r="TU68" s="37"/>
      <c r="TV68" s="37"/>
      <c r="TW68" s="37"/>
      <c r="TX68" s="37"/>
      <c r="TY68" s="37"/>
      <c r="TZ68" s="37"/>
      <c r="UA68" s="37"/>
      <c r="UB68" s="37"/>
      <c r="UC68" s="37"/>
      <c r="UD68" s="37"/>
      <c r="UE68" s="37"/>
      <c r="UF68" s="37"/>
      <c r="UG68" s="37"/>
      <c r="UH68" s="37"/>
      <c r="UI68" s="37"/>
      <c r="UJ68" s="37"/>
      <c r="UK68" s="37"/>
      <c r="UL68" s="37"/>
      <c r="UM68" s="37"/>
      <c r="UN68" s="37"/>
      <c r="UO68" s="37"/>
      <c r="UP68" s="37"/>
      <c r="UQ68" s="37"/>
      <c r="UR68" s="37"/>
      <c r="US68" s="37"/>
      <c r="UT68" s="37"/>
      <c r="UU68" s="37"/>
      <c r="UV68" s="37"/>
      <c r="UW68" s="37"/>
      <c r="UX68" s="37"/>
      <c r="UY68" s="37"/>
      <c r="UZ68" s="37"/>
      <c r="VA68" s="37"/>
      <c r="VB68" s="37"/>
      <c r="VC68" s="37"/>
      <c r="VD68" s="37"/>
      <c r="VE68" s="37"/>
      <c r="VF68" s="37"/>
      <c r="VG68" s="37"/>
      <c r="VH68" s="37"/>
      <c r="VI68" s="37"/>
      <c r="VJ68" s="37"/>
      <c r="VK68" s="37"/>
      <c r="VL68" s="37"/>
      <c r="VM68" s="37"/>
      <c r="VN68" s="37"/>
      <c r="VO68" s="37"/>
      <c r="VP68" s="37"/>
      <c r="VQ68" s="37"/>
      <c r="VR68" s="37"/>
      <c r="VS68" s="37"/>
      <c r="VT68" s="37"/>
      <c r="VU68" s="37"/>
      <c r="VV68" s="37"/>
      <c r="VW68" s="37"/>
      <c r="VX68" s="37"/>
      <c r="VY68" s="37"/>
      <c r="VZ68" s="37"/>
      <c r="WA68" s="37"/>
      <c r="WB68" s="37"/>
      <c r="WC68" s="37"/>
      <c r="WD68" s="37"/>
      <c r="WE68" s="37"/>
      <c r="WF68" s="37"/>
      <c r="WG68" s="37"/>
      <c r="WH68" s="37"/>
      <c r="WI68" s="37"/>
      <c r="WJ68" s="37"/>
      <c r="WK68" s="37"/>
      <c r="WL68" s="37"/>
      <c r="WM68" s="37"/>
      <c r="WN68" s="37"/>
      <c r="WO68" s="37"/>
      <c r="WP68" s="37"/>
      <c r="WQ68" s="37"/>
      <c r="WR68" s="37"/>
      <c r="WS68" s="37"/>
      <c r="WT68" s="37"/>
      <c r="WU68" s="37"/>
      <c r="WV68" s="37"/>
      <c r="WW68" s="37"/>
      <c r="WX68" s="37"/>
      <c r="WY68" s="37"/>
      <c r="WZ68" s="37"/>
      <c r="XA68" s="37"/>
      <c r="XB68" s="37"/>
      <c r="XC68" s="37"/>
      <c r="XD68" s="37"/>
      <c r="XE68" s="37"/>
      <c r="XF68" s="37"/>
      <c r="XG68" s="37"/>
      <c r="XH68" s="37"/>
      <c r="XI68" s="37"/>
      <c r="XJ68" s="37"/>
      <c r="XK68" s="37"/>
      <c r="XL68" s="37"/>
      <c r="XM68" s="37"/>
      <c r="XN68" s="37"/>
      <c r="XO68" s="37"/>
      <c r="XP68" s="37"/>
      <c r="XQ68" s="37"/>
      <c r="XR68" s="37"/>
      <c r="XS68" s="37"/>
      <c r="XT68" s="37"/>
      <c r="XU68" s="37"/>
      <c r="XV68" s="37"/>
      <c r="XW68" s="37"/>
      <c r="XX68" s="37"/>
      <c r="XY68" s="37"/>
      <c r="XZ68" s="37"/>
      <c r="YA68" s="37"/>
      <c r="YB68" s="37"/>
      <c r="YC68" s="37"/>
      <c r="YD68" s="37"/>
      <c r="YE68" s="37"/>
      <c r="YF68" s="37"/>
      <c r="YG68" s="37"/>
      <c r="YH68" s="37"/>
      <c r="YI68" s="37"/>
      <c r="YJ68" s="37"/>
      <c r="YK68" s="37"/>
      <c r="YL68" s="37"/>
      <c r="YM68" s="37"/>
      <c r="YN68" s="37"/>
      <c r="YO68" s="37"/>
      <c r="YP68" s="37"/>
      <c r="YQ68" s="37"/>
      <c r="YR68" s="37"/>
      <c r="YS68" s="37"/>
      <c r="YT68" s="37"/>
      <c r="YU68" s="37"/>
      <c r="YV68" s="37"/>
      <c r="YW68" s="37"/>
      <c r="YX68" s="37"/>
      <c r="YY68" s="37"/>
      <c r="YZ68" s="37"/>
      <c r="ZA68" s="37"/>
      <c r="ZB68" s="37"/>
      <c r="ZC68" s="37"/>
      <c r="ZD68" s="37"/>
      <c r="ZE68" s="37"/>
      <c r="ZF68" s="37"/>
      <c r="ZG68" s="37"/>
      <c r="ZH68" s="37"/>
      <c r="ZI68" s="37"/>
      <c r="ZJ68" s="37"/>
      <c r="ZK68" s="37"/>
      <c r="ZL68" s="37"/>
      <c r="ZM68" s="37"/>
      <c r="ZN68" s="37"/>
      <c r="ZO68" s="37"/>
      <c r="ZP68" s="37"/>
      <c r="ZQ68" s="37"/>
      <c r="ZR68" s="37"/>
      <c r="ZS68" s="37"/>
      <c r="ZT68" s="37"/>
      <c r="ZU68" s="37"/>
      <c r="ZV68" s="37"/>
      <c r="ZW68" s="37"/>
      <c r="ZX68" s="37"/>
      <c r="ZY68" s="37"/>
      <c r="ZZ68" s="37"/>
      <c r="AAA68" s="37"/>
      <c r="AAB68" s="37"/>
      <c r="AAC68" s="37"/>
      <c r="AAD68" s="37"/>
      <c r="AAE68" s="37"/>
      <c r="AAF68" s="37"/>
      <c r="AAG68" s="37"/>
      <c r="AAH68" s="37"/>
      <c r="AAI68" s="37"/>
      <c r="AAJ68" s="37"/>
      <c r="AAK68" s="37"/>
      <c r="AAL68" s="37"/>
      <c r="AAM68" s="37"/>
      <c r="AAN68" s="37"/>
      <c r="AAO68" s="37"/>
      <c r="AAP68" s="37"/>
      <c r="AAQ68" s="37"/>
      <c r="AAR68" s="37"/>
      <c r="AAS68" s="37"/>
      <c r="AAT68" s="37"/>
      <c r="AAU68" s="37"/>
      <c r="AAV68" s="37"/>
      <c r="AAW68" s="37"/>
      <c r="AAX68" s="37"/>
      <c r="AAY68" s="37"/>
      <c r="AAZ68" s="37"/>
      <c r="ABA68" s="37"/>
      <c r="ABB68" s="37"/>
      <c r="ABC68" s="37"/>
      <c r="ABD68" s="37"/>
      <c r="ABE68" s="37"/>
      <c r="ABF68" s="37"/>
      <c r="ABG68" s="37"/>
      <c r="ABH68" s="37"/>
      <c r="ABI68" s="37"/>
      <c r="ABJ68" s="37"/>
      <c r="ABK68" s="37"/>
      <c r="ABL68" s="37"/>
      <c r="ABM68" s="37"/>
      <c r="ABN68" s="37"/>
      <c r="ABO68" s="37"/>
      <c r="ABP68" s="37"/>
      <c r="ABQ68" s="37"/>
      <c r="ABR68" s="37"/>
      <c r="ABS68" s="37"/>
      <c r="ABT68" s="37"/>
      <c r="ABU68" s="37"/>
      <c r="ABV68" s="37"/>
      <c r="ABW68" s="37"/>
      <c r="ABX68" s="37"/>
      <c r="ABY68" s="37"/>
      <c r="ABZ68" s="37"/>
      <c r="ACA68" s="37"/>
      <c r="ACB68" s="37"/>
      <c r="ACC68" s="37"/>
      <c r="ACD68" s="37"/>
      <c r="ACE68" s="37"/>
      <c r="ACF68" s="37"/>
      <c r="ACG68" s="37"/>
      <c r="ACH68" s="37"/>
      <c r="ACI68" s="37"/>
      <c r="ACJ68" s="37"/>
      <c r="ACK68" s="37"/>
      <c r="ACL68" s="37"/>
      <c r="ACM68" s="37"/>
      <c r="ACN68" s="37"/>
      <c r="ACO68" s="37"/>
      <c r="ACP68" s="37"/>
      <c r="ACQ68" s="37"/>
      <c r="ACR68" s="37"/>
      <c r="ACS68" s="37"/>
      <c r="ACT68" s="37"/>
      <c r="ACU68" s="37"/>
      <c r="ACV68" s="37"/>
      <c r="ACW68" s="37"/>
      <c r="ACX68" s="37"/>
      <c r="ACY68" s="37"/>
      <c r="ACZ68" s="37"/>
      <c r="ADA68" s="37"/>
      <c r="ADB68" s="37"/>
      <c r="ADC68" s="37"/>
      <c r="ADD68" s="37"/>
      <c r="ADE68" s="37"/>
      <c r="ADF68" s="37"/>
      <c r="ADG68" s="37"/>
      <c r="ADH68" s="37"/>
      <c r="ADI68" s="37"/>
      <c r="ADJ68" s="37"/>
      <c r="ADK68" s="37"/>
      <c r="ADL68" s="37"/>
      <c r="ADM68" s="37"/>
      <c r="ADN68" s="37"/>
      <c r="ADO68" s="37"/>
      <c r="ADP68" s="37"/>
      <c r="ADQ68" s="37"/>
      <c r="ADR68" s="37"/>
      <c r="ADS68" s="37"/>
      <c r="ADT68" s="37"/>
      <c r="ADU68" s="37"/>
      <c r="ADV68" s="37"/>
      <c r="ADW68" s="37"/>
      <c r="ADX68" s="37"/>
      <c r="ADY68" s="37"/>
      <c r="ADZ68" s="37"/>
      <c r="AEA68" s="37"/>
      <c r="AEB68" s="37"/>
      <c r="AEC68" s="37"/>
      <c r="AED68" s="37"/>
      <c r="AEE68" s="37"/>
      <c r="AEF68" s="37"/>
      <c r="AEG68" s="37"/>
      <c r="AEH68" s="37"/>
      <c r="AEI68" s="37"/>
      <c r="AEJ68" s="37"/>
      <c r="AEK68" s="37"/>
      <c r="AEL68" s="37"/>
      <c r="AEM68" s="37"/>
      <c r="AEN68" s="37"/>
      <c r="AEO68" s="37"/>
      <c r="AEP68" s="37"/>
      <c r="AEQ68" s="37"/>
      <c r="AER68" s="37"/>
      <c r="AES68" s="37"/>
      <c r="AET68" s="37"/>
      <c r="AEU68" s="37"/>
      <c r="AEV68" s="37"/>
      <c r="AEW68" s="37"/>
      <c r="AEX68" s="37"/>
      <c r="AEY68" s="37"/>
      <c r="AEZ68" s="37"/>
      <c r="AFA68" s="37"/>
      <c r="AFB68" s="37"/>
      <c r="AFC68" s="37"/>
      <c r="AFD68" s="37"/>
      <c r="AFE68" s="37"/>
      <c r="AFF68" s="37"/>
      <c r="AFG68" s="37"/>
      <c r="AFH68" s="37"/>
      <c r="AFI68" s="37"/>
      <c r="AFJ68" s="37"/>
      <c r="AFK68" s="37"/>
      <c r="AFL68" s="37"/>
      <c r="AFM68" s="37"/>
      <c r="AFN68" s="37"/>
      <c r="AFO68" s="37"/>
      <c r="AFP68" s="37"/>
      <c r="AFQ68" s="37"/>
      <c r="AFR68" s="37"/>
      <c r="AFS68" s="37"/>
      <c r="AFT68" s="37"/>
      <c r="AFU68" s="37"/>
      <c r="AFV68" s="37"/>
      <c r="AFW68" s="37"/>
      <c r="AFX68" s="37"/>
      <c r="AFY68" s="37"/>
      <c r="AFZ68" s="37"/>
      <c r="AGA68" s="37"/>
      <c r="AGB68" s="37"/>
      <c r="AGC68" s="37"/>
      <c r="AGD68" s="37"/>
      <c r="AGE68" s="37"/>
      <c r="AGF68" s="37"/>
      <c r="AGG68" s="37"/>
      <c r="AGH68" s="37"/>
      <c r="AGI68" s="37"/>
      <c r="AGJ68" s="37"/>
      <c r="AGK68" s="37"/>
      <c r="AGL68" s="37"/>
      <c r="AGM68" s="37"/>
      <c r="AGN68" s="37"/>
      <c r="AGO68" s="37"/>
      <c r="AGP68" s="37"/>
      <c r="AGQ68" s="37"/>
      <c r="AGR68" s="37"/>
      <c r="AGS68" s="37"/>
      <c r="AGT68" s="37"/>
      <c r="AGU68" s="37"/>
      <c r="AGV68" s="37"/>
      <c r="AGW68" s="37"/>
      <c r="AGX68" s="37"/>
      <c r="AGY68" s="37"/>
      <c r="AGZ68" s="37"/>
      <c r="AHA68" s="37"/>
      <c r="AHB68" s="37"/>
      <c r="AHC68" s="37"/>
      <c r="AHD68" s="37"/>
      <c r="AHE68" s="37"/>
      <c r="AHF68" s="37"/>
      <c r="AHG68" s="37"/>
      <c r="AHH68" s="37"/>
      <c r="AHI68" s="37"/>
      <c r="AHJ68" s="37"/>
      <c r="AHK68" s="37"/>
      <c r="AHL68" s="37"/>
      <c r="AHM68" s="37"/>
      <c r="AHN68" s="37"/>
      <c r="AHO68" s="37"/>
      <c r="AHP68" s="37"/>
      <c r="AHQ68" s="37"/>
      <c r="AHR68" s="37"/>
      <c r="AHS68" s="37"/>
      <c r="AHT68" s="37"/>
      <c r="AHU68" s="37"/>
      <c r="AHV68" s="37"/>
      <c r="AHW68" s="37"/>
      <c r="AHX68" s="37"/>
      <c r="AHY68" s="37"/>
      <c r="AHZ68" s="37"/>
      <c r="AIA68" s="37"/>
      <c r="AIB68" s="37"/>
      <c r="AIC68" s="37"/>
      <c r="AID68" s="37"/>
      <c r="AIE68" s="37"/>
      <c r="AIF68" s="37"/>
      <c r="AIG68" s="37"/>
      <c r="AIH68" s="37"/>
      <c r="AII68" s="37"/>
      <c r="AIJ68" s="37"/>
      <c r="AIK68" s="37"/>
      <c r="AIL68" s="37"/>
      <c r="AIM68" s="37"/>
      <c r="AIN68" s="37"/>
      <c r="AIO68" s="37"/>
      <c r="AIP68" s="37"/>
      <c r="AIQ68" s="37"/>
      <c r="AIR68" s="37"/>
      <c r="AIS68" s="37"/>
      <c r="AIT68" s="37"/>
      <c r="AIU68" s="37"/>
      <c r="AIV68" s="37"/>
      <c r="AIW68" s="37"/>
      <c r="AIX68" s="37"/>
      <c r="AIY68" s="37"/>
      <c r="AIZ68" s="37"/>
      <c r="AJA68" s="37"/>
      <c r="AJB68" s="37"/>
      <c r="AJC68" s="37"/>
      <c r="AJD68" s="37"/>
      <c r="AJE68" s="37"/>
      <c r="AJF68" s="37"/>
      <c r="AJG68" s="37"/>
      <c r="AJH68" s="37"/>
      <c r="AJI68" s="37"/>
      <c r="AJJ68" s="37"/>
      <c r="AJK68" s="37"/>
      <c r="AJL68" s="37"/>
      <c r="AJM68" s="37"/>
      <c r="AJN68" s="37"/>
      <c r="AJO68" s="37"/>
      <c r="AJP68" s="37"/>
      <c r="AJQ68" s="37"/>
      <c r="AJR68" s="37"/>
      <c r="AJS68" s="37"/>
      <c r="AJT68" s="37"/>
      <c r="AJU68" s="37"/>
      <c r="AJV68" s="37"/>
      <c r="AJW68" s="37"/>
      <c r="AJX68" s="37"/>
      <c r="AJY68" s="37"/>
      <c r="AJZ68" s="37"/>
      <c r="AKA68" s="37"/>
      <c r="AKB68" s="37"/>
      <c r="AKC68" s="37"/>
      <c r="AKD68" s="37"/>
      <c r="AKE68" s="37"/>
      <c r="AKF68" s="37"/>
      <c r="AKG68" s="37"/>
      <c r="AKH68" s="37"/>
      <c r="AKI68" s="37"/>
      <c r="AKJ68" s="37"/>
      <c r="AKK68" s="37"/>
      <c r="AKL68" s="37"/>
      <c r="AKM68" s="37"/>
      <c r="AKN68" s="37"/>
      <c r="AKO68" s="37"/>
      <c r="AKP68" s="37"/>
      <c r="AKQ68" s="37"/>
      <c r="AKR68" s="37"/>
      <c r="AKS68" s="37"/>
      <c r="AKT68" s="37"/>
      <c r="AKU68" s="37"/>
      <c r="AKV68" s="37"/>
      <c r="AKW68" s="37"/>
      <c r="AKX68" s="37"/>
      <c r="AKY68" s="37"/>
      <c r="AKZ68" s="37"/>
      <c r="ALA68" s="37"/>
      <c r="ALB68" s="37"/>
      <c r="ALC68" s="37"/>
      <c r="ALD68" s="37"/>
      <c r="ALE68" s="37"/>
      <c r="ALF68" s="37"/>
      <c r="ALG68" s="37"/>
      <c r="ALH68" s="37"/>
      <c r="ALI68" s="37"/>
      <c r="ALJ68" s="37"/>
      <c r="ALK68" s="37"/>
      <c r="ALL68" s="37"/>
      <c r="ALM68" s="37"/>
      <c r="ALN68" s="37"/>
      <c r="ALO68" s="37"/>
      <c r="ALP68" s="37"/>
      <c r="ALQ68" s="37"/>
      <c r="ALR68" s="37"/>
      <c r="ALS68" s="37"/>
      <c r="ALT68" s="37"/>
      <c r="ALU68" s="37"/>
      <c r="ALV68" s="37"/>
      <c r="ALW68" s="37"/>
      <c r="ALX68" s="37"/>
      <c r="ALY68" s="37"/>
      <c r="ALZ68" s="37"/>
      <c r="AMA68" s="37"/>
      <c r="AMB68" s="37"/>
      <c r="AMC68" s="37"/>
    </row>
    <row r="69" spans="1:1017" s="38" customFormat="1" ht="19.5" customHeight="1">
      <c r="A69" s="72"/>
      <c r="B69" s="73"/>
      <c r="C69" s="72"/>
      <c r="D69" s="72"/>
      <c r="E69" s="72"/>
      <c r="F69" s="72"/>
      <c r="G69" s="35">
        <v>43</v>
      </c>
      <c r="H69" s="35">
        <v>102</v>
      </c>
      <c r="I69" s="35">
        <v>115</v>
      </c>
      <c r="J69" s="35">
        <v>76</v>
      </c>
      <c r="K69" s="35">
        <v>37</v>
      </c>
      <c r="L69" s="35">
        <v>27</v>
      </c>
      <c r="M69" s="35">
        <v>22</v>
      </c>
      <c r="N69" s="35">
        <v>102</v>
      </c>
      <c r="O69" s="74" t="s">
        <v>98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  <c r="OU69" s="37"/>
      <c r="OV69" s="37"/>
      <c r="OW69" s="37"/>
      <c r="OX69" s="37"/>
      <c r="OY69" s="37"/>
      <c r="OZ69" s="37"/>
      <c r="PA69" s="37"/>
      <c r="PB69" s="37"/>
      <c r="PC69" s="37"/>
      <c r="PD69" s="37"/>
      <c r="PE69" s="37"/>
      <c r="PF69" s="37"/>
      <c r="PG69" s="37"/>
      <c r="PH69" s="37"/>
      <c r="PI69" s="37"/>
      <c r="PJ69" s="37"/>
      <c r="PK69" s="37"/>
      <c r="PL69" s="37"/>
      <c r="PM69" s="37"/>
      <c r="PN69" s="37"/>
      <c r="PO69" s="37"/>
      <c r="PP69" s="37"/>
      <c r="PQ69" s="37"/>
      <c r="PR69" s="37"/>
      <c r="PS69" s="37"/>
      <c r="PT69" s="37"/>
      <c r="PU69" s="37"/>
      <c r="PV69" s="37"/>
      <c r="PW69" s="37"/>
      <c r="PX69" s="37"/>
      <c r="PY69" s="37"/>
      <c r="PZ69" s="37"/>
      <c r="QA69" s="37"/>
      <c r="QB69" s="37"/>
      <c r="QC69" s="37"/>
      <c r="QD69" s="37"/>
      <c r="QE69" s="37"/>
      <c r="QF69" s="37"/>
      <c r="QG69" s="37"/>
      <c r="QH69" s="37"/>
      <c r="QI69" s="37"/>
      <c r="QJ69" s="37"/>
      <c r="QK69" s="37"/>
      <c r="QL69" s="37"/>
      <c r="QM69" s="37"/>
      <c r="QN69" s="37"/>
      <c r="QO69" s="37"/>
      <c r="QP69" s="37"/>
      <c r="QQ69" s="37"/>
      <c r="QR69" s="37"/>
      <c r="QS69" s="37"/>
      <c r="QT69" s="37"/>
      <c r="QU69" s="37"/>
      <c r="QV69" s="37"/>
      <c r="QW69" s="37"/>
      <c r="QX69" s="37"/>
      <c r="QY69" s="37"/>
      <c r="QZ69" s="37"/>
      <c r="RA69" s="37"/>
      <c r="RB69" s="37"/>
      <c r="RC69" s="37"/>
      <c r="RD69" s="37"/>
      <c r="RE69" s="37"/>
      <c r="RF69" s="37"/>
      <c r="RG69" s="37"/>
      <c r="RH69" s="37"/>
      <c r="RI69" s="37"/>
      <c r="RJ69" s="37"/>
      <c r="RK69" s="37"/>
      <c r="RL69" s="37"/>
      <c r="RM69" s="37"/>
      <c r="RN69" s="37"/>
      <c r="RO69" s="37"/>
      <c r="RP69" s="37"/>
      <c r="RQ69" s="37"/>
      <c r="RR69" s="37"/>
      <c r="RS69" s="37"/>
      <c r="RT69" s="37"/>
      <c r="RU69" s="37"/>
      <c r="RV69" s="37"/>
      <c r="RW69" s="37"/>
      <c r="RX69" s="37"/>
      <c r="RY69" s="37"/>
      <c r="RZ69" s="37"/>
      <c r="SA69" s="37"/>
      <c r="SB69" s="37"/>
      <c r="SC69" s="37"/>
      <c r="SD69" s="37"/>
      <c r="SE69" s="37"/>
      <c r="SF69" s="37"/>
      <c r="SG69" s="37"/>
      <c r="SH69" s="37"/>
      <c r="SI69" s="37"/>
      <c r="SJ69" s="37"/>
      <c r="SK69" s="37"/>
      <c r="SL69" s="37"/>
      <c r="SM69" s="37"/>
      <c r="SN69" s="37"/>
      <c r="SO69" s="37"/>
      <c r="SP69" s="37"/>
      <c r="SQ69" s="37"/>
      <c r="SR69" s="37"/>
      <c r="SS69" s="37"/>
      <c r="ST69" s="37"/>
      <c r="SU69" s="37"/>
      <c r="SV69" s="37"/>
      <c r="SW69" s="37"/>
      <c r="SX69" s="37"/>
      <c r="SY69" s="37"/>
      <c r="SZ69" s="37"/>
      <c r="TA69" s="37"/>
      <c r="TB69" s="37"/>
      <c r="TC69" s="37"/>
      <c r="TD69" s="37"/>
      <c r="TE69" s="37"/>
      <c r="TF69" s="37"/>
      <c r="TG69" s="37"/>
      <c r="TH69" s="37"/>
      <c r="TI69" s="37"/>
      <c r="TJ69" s="37"/>
      <c r="TK69" s="37"/>
      <c r="TL69" s="37"/>
      <c r="TM69" s="37"/>
      <c r="TN69" s="37"/>
      <c r="TO69" s="37"/>
      <c r="TP69" s="37"/>
      <c r="TQ69" s="37"/>
      <c r="TR69" s="37"/>
      <c r="TS69" s="37"/>
      <c r="TT69" s="37"/>
      <c r="TU69" s="37"/>
      <c r="TV69" s="37"/>
      <c r="TW69" s="37"/>
      <c r="TX69" s="37"/>
      <c r="TY69" s="37"/>
      <c r="TZ69" s="37"/>
      <c r="UA69" s="37"/>
      <c r="UB69" s="37"/>
      <c r="UC69" s="37"/>
      <c r="UD69" s="37"/>
      <c r="UE69" s="37"/>
      <c r="UF69" s="37"/>
      <c r="UG69" s="37"/>
      <c r="UH69" s="37"/>
      <c r="UI69" s="37"/>
      <c r="UJ69" s="37"/>
      <c r="UK69" s="37"/>
      <c r="UL69" s="37"/>
      <c r="UM69" s="37"/>
      <c r="UN69" s="37"/>
      <c r="UO69" s="37"/>
      <c r="UP69" s="37"/>
      <c r="UQ69" s="37"/>
      <c r="UR69" s="37"/>
      <c r="US69" s="37"/>
      <c r="UT69" s="37"/>
      <c r="UU69" s="37"/>
      <c r="UV69" s="37"/>
      <c r="UW69" s="37"/>
      <c r="UX69" s="37"/>
      <c r="UY69" s="37"/>
      <c r="UZ69" s="37"/>
      <c r="VA69" s="37"/>
      <c r="VB69" s="37"/>
      <c r="VC69" s="37"/>
      <c r="VD69" s="37"/>
      <c r="VE69" s="37"/>
      <c r="VF69" s="37"/>
      <c r="VG69" s="37"/>
      <c r="VH69" s="37"/>
      <c r="VI69" s="37"/>
      <c r="VJ69" s="37"/>
      <c r="VK69" s="37"/>
      <c r="VL69" s="37"/>
      <c r="VM69" s="37"/>
      <c r="VN69" s="37"/>
      <c r="VO69" s="37"/>
      <c r="VP69" s="37"/>
      <c r="VQ69" s="37"/>
      <c r="VR69" s="37"/>
      <c r="VS69" s="37"/>
      <c r="VT69" s="37"/>
      <c r="VU69" s="37"/>
      <c r="VV69" s="37"/>
      <c r="VW69" s="37"/>
      <c r="VX69" s="37"/>
      <c r="VY69" s="37"/>
      <c r="VZ69" s="37"/>
      <c r="WA69" s="37"/>
      <c r="WB69" s="37"/>
      <c r="WC69" s="37"/>
      <c r="WD69" s="37"/>
      <c r="WE69" s="37"/>
      <c r="WF69" s="37"/>
      <c r="WG69" s="37"/>
      <c r="WH69" s="37"/>
      <c r="WI69" s="37"/>
      <c r="WJ69" s="37"/>
      <c r="WK69" s="37"/>
      <c r="WL69" s="37"/>
      <c r="WM69" s="37"/>
      <c r="WN69" s="37"/>
      <c r="WO69" s="37"/>
      <c r="WP69" s="37"/>
      <c r="WQ69" s="37"/>
      <c r="WR69" s="37"/>
      <c r="WS69" s="37"/>
      <c r="WT69" s="37"/>
      <c r="WU69" s="37"/>
      <c r="WV69" s="37"/>
      <c r="WW69" s="37"/>
      <c r="WX69" s="37"/>
      <c r="WY69" s="37"/>
      <c r="WZ69" s="37"/>
      <c r="XA69" s="37"/>
      <c r="XB69" s="37"/>
      <c r="XC69" s="37"/>
      <c r="XD69" s="37"/>
      <c r="XE69" s="37"/>
      <c r="XF69" s="37"/>
      <c r="XG69" s="37"/>
      <c r="XH69" s="37"/>
      <c r="XI69" s="37"/>
      <c r="XJ69" s="37"/>
      <c r="XK69" s="37"/>
      <c r="XL69" s="37"/>
      <c r="XM69" s="37"/>
      <c r="XN69" s="37"/>
      <c r="XO69" s="37"/>
      <c r="XP69" s="37"/>
      <c r="XQ69" s="37"/>
      <c r="XR69" s="37"/>
      <c r="XS69" s="37"/>
      <c r="XT69" s="37"/>
      <c r="XU69" s="37"/>
      <c r="XV69" s="37"/>
      <c r="XW69" s="37"/>
      <c r="XX69" s="37"/>
      <c r="XY69" s="37"/>
      <c r="XZ69" s="37"/>
      <c r="YA69" s="37"/>
      <c r="YB69" s="37"/>
      <c r="YC69" s="37"/>
      <c r="YD69" s="37"/>
      <c r="YE69" s="37"/>
      <c r="YF69" s="37"/>
      <c r="YG69" s="37"/>
      <c r="YH69" s="37"/>
      <c r="YI69" s="37"/>
      <c r="YJ69" s="37"/>
      <c r="YK69" s="37"/>
      <c r="YL69" s="37"/>
      <c r="YM69" s="37"/>
      <c r="YN69" s="37"/>
      <c r="YO69" s="37"/>
      <c r="YP69" s="37"/>
      <c r="YQ69" s="37"/>
      <c r="YR69" s="37"/>
      <c r="YS69" s="37"/>
      <c r="YT69" s="37"/>
      <c r="YU69" s="37"/>
      <c r="YV69" s="37"/>
      <c r="YW69" s="37"/>
      <c r="YX69" s="37"/>
      <c r="YY69" s="37"/>
      <c r="YZ69" s="37"/>
      <c r="ZA69" s="37"/>
      <c r="ZB69" s="37"/>
      <c r="ZC69" s="37"/>
      <c r="ZD69" s="37"/>
      <c r="ZE69" s="37"/>
      <c r="ZF69" s="37"/>
      <c r="ZG69" s="37"/>
      <c r="ZH69" s="37"/>
      <c r="ZI69" s="37"/>
      <c r="ZJ69" s="37"/>
      <c r="ZK69" s="37"/>
      <c r="ZL69" s="37"/>
      <c r="ZM69" s="37"/>
      <c r="ZN69" s="37"/>
      <c r="ZO69" s="37"/>
      <c r="ZP69" s="37"/>
      <c r="ZQ69" s="37"/>
      <c r="ZR69" s="37"/>
      <c r="ZS69" s="37"/>
      <c r="ZT69" s="37"/>
      <c r="ZU69" s="37"/>
      <c r="ZV69" s="37"/>
      <c r="ZW69" s="37"/>
      <c r="ZX69" s="37"/>
      <c r="ZY69" s="37"/>
      <c r="ZZ69" s="37"/>
      <c r="AAA69" s="37"/>
      <c r="AAB69" s="37"/>
      <c r="AAC69" s="37"/>
      <c r="AAD69" s="37"/>
      <c r="AAE69" s="37"/>
      <c r="AAF69" s="37"/>
      <c r="AAG69" s="37"/>
      <c r="AAH69" s="37"/>
      <c r="AAI69" s="37"/>
      <c r="AAJ69" s="37"/>
      <c r="AAK69" s="37"/>
      <c r="AAL69" s="37"/>
      <c r="AAM69" s="37"/>
      <c r="AAN69" s="37"/>
      <c r="AAO69" s="37"/>
      <c r="AAP69" s="37"/>
      <c r="AAQ69" s="37"/>
      <c r="AAR69" s="37"/>
      <c r="AAS69" s="37"/>
      <c r="AAT69" s="37"/>
      <c r="AAU69" s="37"/>
      <c r="AAV69" s="37"/>
      <c r="AAW69" s="37"/>
      <c r="AAX69" s="37"/>
      <c r="AAY69" s="37"/>
      <c r="AAZ69" s="37"/>
      <c r="ABA69" s="37"/>
      <c r="ABB69" s="37"/>
      <c r="ABC69" s="37"/>
      <c r="ABD69" s="37"/>
      <c r="ABE69" s="37"/>
      <c r="ABF69" s="37"/>
      <c r="ABG69" s="37"/>
      <c r="ABH69" s="37"/>
      <c r="ABI69" s="37"/>
      <c r="ABJ69" s="37"/>
      <c r="ABK69" s="37"/>
      <c r="ABL69" s="37"/>
      <c r="ABM69" s="37"/>
      <c r="ABN69" s="37"/>
      <c r="ABO69" s="37"/>
      <c r="ABP69" s="37"/>
      <c r="ABQ69" s="37"/>
      <c r="ABR69" s="37"/>
      <c r="ABS69" s="37"/>
      <c r="ABT69" s="37"/>
      <c r="ABU69" s="37"/>
      <c r="ABV69" s="37"/>
      <c r="ABW69" s="37"/>
      <c r="ABX69" s="37"/>
      <c r="ABY69" s="37"/>
      <c r="ABZ69" s="37"/>
      <c r="ACA69" s="37"/>
      <c r="ACB69" s="37"/>
      <c r="ACC69" s="37"/>
      <c r="ACD69" s="37"/>
      <c r="ACE69" s="37"/>
      <c r="ACF69" s="37"/>
      <c r="ACG69" s="37"/>
      <c r="ACH69" s="37"/>
      <c r="ACI69" s="37"/>
      <c r="ACJ69" s="37"/>
      <c r="ACK69" s="37"/>
      <c r="ACL69" s="37"/>
      <c r="ACM69" s="37"/>
      <c r="ACN69" s="37"/>
      <c r="ACO69" s="37"/>
      <c r="ACP69" s="37"/>
      <c r="ACQ69" s="37"/>
      <c r="ACR69" s="37"/>
      <c r="ACS69" s="37"/>
      <c r="ACT69" s="37"/>
      <c r="ACU69" s="37"/>
      <c r="ACV69" s="37"/>
      <c r="ACW69" s="37"/>
      <c r="ACX69" s="37"/>
      <c r="ACY69" s="37"/>
      <c r="ACZ69" s="37"/>
      <c r="ADA69" s="37"/>
      <c r="ADB69" s="37"/>
      <c r="ADC69" s="37"/>
      <c r="ADD69" s="37"/>
      <c r="ADE69" s="37"/>
      <c r="ADF69" s="37"/>
      <c r="ADG69" s="37"/>
      <c r="ADH69" s="37"/>
      <c r="ADI69" s="37"/>
      <c r="ADJ69" s="37"/>
      <c r="ADK69" s="37"/>
      <c r="ADL69" s="37"/>
      <c r="ADM69" s="37"/>
      <c r="ADN69" s="37"/>
      <c r="ADO69" s="37"/>
      <c r="ADP69" s="37"/>
      <c r="ADQ69" s="37"/>
      <c r="ADR69" s="37"/>
      <c r="ADS69" s="37"/>
      <c r="ADT69" s="37"/>
      <c r="ADU69" s="37"/>
      <c r="ADV69" s="37"/>
      <c r="ADW69" s="37"/>
      <c r="ADX69" s="37"/>
      <c r="ADY69" s="37"/>
      <c r="ADZ69" s="37"/>
      <c r="AEA69" s="37"/>
      <c r="AEB69" s="37"/>
      <c r="AEC69" s="37"/>
      <c r="AED69" s="37"/>
      <c r="AEE69" s="37"/>
      <c r="AEF69" s="37"/>
      <c r="AEG69" s="37"/>
      <c r="AEH69" s="37"/>
      <c r="AEI69" s="37"/>
      <c r="AEJ69" s="37"/>
      <c r="AEK69" s="37"/>
      <c r="AEL69" s="37"/>
      <c r="AEM69" s="37"/>
      <c r="AEN69" s="37"/>
      <c r="AEO69" s="37"/>
      <c r="AEP69" s="37"/>
      <c r="AEQ69" s="37"/>
      <c r="AER69" s="37"/>
      <c r="AES69" s="37"/>
      <c r="AET69" s="37"/>
      <c r="AEU69" s="37"/>
      <c r="AEV69" s="37"/>
      <c r="AEW69" s="37"/>
      <c r="AEX69" s="37"/>
      <c r="AEY69" s="37"/>
      <c r="AEZ69" s="37"/>
      <c r="AFA69" s="37"/>
      <c r="AFB69" s="37"/>
      <c r="AFC69" s="37"/>
      <c r="AFD69" s="37"/>
      <c r="AFE69" s="37"/>
      <c r="AFF69" s="37"/>
      <c r="AFG69" s="37"/>
      <c r="AFH69" s="37"/>
      <c r="AFI69" s="37"/>
      <c r="AFJ69" s="37"/>
      <c r="AFK69" s="37"/>
      <c r="AFL69" s="37"/>
      <c r="AFM69" s="37"/>
      <c r="AFN69" s="37"/>
      <c r="AFO69" s="37"/>
      <c r="AFP69" s="37"/>
      <c r="AFQ69" s="37"/>
      <c r="AFR69" s="37"/>
      <c r="AFS69" s="37"/>
      <c r="AFT69" s="37"/>
      <c r="AFU69" s="37"/>
      <c r="AFV69" s="37"/>
      <c r="AFW69" s="37"/>
      <c r="AFX69" s="37"/>
      <c r="AFY69" s="37"/>
      <c r="AFZ69" s="37"/>
      <c r="AGA69" s="37"/>
      <c r="AGB69" s="37"/>
      <c r="AGC69" s="37"/>
      <c r="AGD69" s="37"/>
      <c r="AGE69" s="37"/>
      <c r="AGF69" s="37"/>
      <c r="AGG69" s="37"/>
      <c r="AGH69" s="37"/>
      <c r="AGI69" s="37"/>
      <c r="AGJ69" s="37"/>
      <c r="AGK69" s="37"/>
      <c r="AGL69" s="37"/>
      <c r="AGM69" s="37"/>
      <c r="AGN69" s="37"/>
      <c r="AGO69" s="37"/>
      <c r="AGP69" s="37"/>
      <c r="AGQ69" s="37"/>
      <c r="AGR69" s="37"/>
      <c r="AGS69" s="37"/>
      <c r="AGT69" s="37"/>
      <c r="AGU69" s="37"/>
      <c r="AGV69" s="37"/>
      <c r="AGW69" s="37"/>
      <c r="AGX69" s="37"/>
      <c r="AGY69" s="37"/>
      <c r="AGZ69" s="37"/>
      <c r="AHA69" s="37"/>
      <c r="AHB69" s="37"/>
      <c r="AHC69" s="37"/>
      <c r="AHD69" s="37"/>
      <c r="AHE69" s="37"/>
      <c r="AHF69" s="37"/>
      <c r="AHG69" s="37"/>
      <c r="AHH69" s="37"/>
      <c r="AHI69" s="37"/>
      <c r="AHJ69" s="37"/>
      <c r="AHK69" s="37"/>
      <c r="AHL69" s="37"/>
      <c r="AHM69" s="37"/>
      <c r="AHN69" s="37"/>
      <c r="AHO69" s="37"/>
      <c r="AHP69" s="37"/>
      <c r="AHQ69" s="37"/>
      <c r="AHR69" s="37"/>
      <c r="AHS69" s="37"/>
      <c r="AHT69" s="37"/>
      <c r="AHU69" s="37"/>
      <c r="AHV69" s="37"/>
      <c r="AHW69" s="37"/>
      <c r="AHX69" s="37"/>
      <c r="AHY69" s="37"/>
      <c r="AHZ69" s="37"/>
      <c r="AIA69" s="37"/>
      <c r="AIB69" s="37"/>
      <c r="AIC69" s="37"/>
      <c r="AID69" s="37"/>
      <c r="AIE69" s="37"/>
      <c r="AIF69" s="37"/>
      <c r="AIG69" s="37"/>
      <c r="AIH69" s="37"/>
      <c r="AII69" s="37"/>
      <c r="AIJ69" s="37"/>
      <c r="AIK69" s="37"/>
      <c r="AIL69" s="37"/>
      <c r="AIM69" s="37"/>
      <c r="AIN69" s="37"/>
      <c r="AIO69" s="37"/>
      <c r="AIP69" s="37"/>
      <c r="AIQ69" s="37"/>
      <c r="AIR69" s="37"/>
      <c r="AIS69" s="37"/>
      <c r="AIT69" s="37"/>
      <c r="AIU69" s="37"/>
      <c r="AIV69" s="37"/>
      <c r="AIW69" s="37"/>
      <c r="AIX69" s="37"/>
      <c r="AIY69" s="37"/>
      <c r="AIZ69" s="37"/>
      <c r="AJA69" s="37"/>
      <c r="AJB69" s="37"/>
      <c r="AJC69" s="37"/>
      <c r="AJD69" s="37"/>
      <c r="AJE69" s="37"/>
      <c r="AJF69" s="37"/>
      <c r="AJG69" s="37"/>
      <c r="AJH69" s="37"/>
      <c r="AJI69" s="37"/>
      <c r="AJJ69" s="37"/>
      <c r="AJK69" s="37"/>
      <c r="AJL69" s="37"/>
      <c r="AJM69" s="37"/>
      <c r="AJN69" s="37"/>
      <c r="AJO69" s="37"/>
      <c r="AJP69" s="37"/>
      <c r="AJQ69" s="37"/>
      <c r="AJR69" s="37"/>
      <c r="AJS69" s="37"/>
      <c r="AJT69" s="37"/>
      <c r="AJU69" s="37"/>
      <c r="AJV69" s="37"/>
      <c r="AJW69" s="37"/>
      <c r="AJX69" s="37"/>
      <c r="AJY69" s="37"/>
      <c r="AJZ69" s="37"/>
      <c r="AKA69" s="37"/>
      <c r="AKB69" s="37"/>
      <c r="AKC69" s="37"/>
      <c r="AKD69" s="37"/>
      <c r="AKE69" s="37"/>
      <c r="AKF69" s="37"/>
      <c r="AKG69" s="37"/>
      <c r="AKH69" s="37"/>
      <c r="AKI69" s="37"/>
      <c r="AKJ69" s="37"/>
      <c r="AKK69" s="37"/>
      <c r="AKL69" s="37"/>
      <c r="AKM69" s="37"/>
      <c r="AKN69" s="37"/>
      <c r="AKO69" s="37"/>
      <c r="AKP69" s="37"/>
      <c r="AKQ69" s="37"/>
      <c r="AKR69" s="37"/>
      <c r="AKS69" s="37"/>
      <c r="AKT69" s="37"/>
      <c r="AKU69" s="37"/>
      <c r="AKV69" s="37"/>
      <c r="AKW69" s="37"/>
      <c r="AKX69" s="37"/>
      <c r="AKY69" s="37"/>
      <c r="AKZ69" s="37"/>
      <c r="ALA69" s="37"/>
      <c r="ALB69" s="37"/>
      <c r="ALC69" s="37"/>
      <c r="ALD69" s="37"/>
      <c r="ALE69" s="37"/>
      <c r="ALF69" s="37"/>
      <c r="ALG69" s="37"/>
      <c r="ALH69" s="37"/>
      <c r="ALI69" s="37"/>
      <c r="ALJ69" s="37"/>
      <c r="ALK69" s="37"/>
      <c r="ALL69" s="37"/>
      <c r="ALM69" s="37"/>
      <c r="ALN69" s="37"/>
      <c r="ALO69" s="37"/>
      <c r="ALP69" s="37"/>
      <c r="ALQ69" s="37"/>
      <c r="ALR69" s="37"/>
      <c r="ALS69" s="37"/>
      <c r="ALT69" s="37"/>
      <c r="ALU69" s="37"/>
      <c r="ALV69" s="37"/>
      <c r="ALW69" s="37"/>
      <c r="ALX69" s="37"/>
      <c r="ALY69" s="37"/>
      <c r="ALZ69" s="37"/>
      <c r="AMA69" s="37"/>
      <c r="AMB69" s="37"/>
      <c r="AMC69" s="37"/>
    </row>
    <row r="70" spans="1:1017" s="38" customFormat="1" ht="19.5" customHeight="1">
      <c r="A70" s="75"/>
      <c r="B70" s="76"/>
      <c r="C70" s="75"/>
      <c r="D70" s="75"/>
      <c r="E70" s="75"/>
      <c r="F70" s="75"/>
      <c r="G70" s="77">
        <v>48</v>
      </c>
      <c r="H70" s="77">
        <v>62</v>
      </c>
      <c r="I70" s="77">
        <v>21</v>
      </c>
      <c r="J70" s="77">
        <v>16</v>
      </c>
      <c r="K70" s="77">
        <v>118</v>
      </c>
      <c r="L70" s="77">
        <v>112</v>
      </c>
      <c r="M70" s="77">
        <v>118</v>
      </c>
      <c r="N70" s="77"/>
      <c r="O70" s="7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  <c r="OU70" s="37"/>
      <c r="OV70" s="37"/>
      <c r="OW70" s="37"/>
      <c r="OX70" s="37"/>
      <c r="OY70" s="37"/>
      <c r="OZ70" s="37"/>
      <c r="PA70" s="37"/>
      <c r="PB70" s="37"/>
      <c r="PC70" s="37"/>
      <c r="PD70" s="37"/>
      <c r="PE70" s="37"/>
      <c r="PF70" s="37"/>
      <c r="PG70" s="37"/>
      <c r="PH70" s="37"/>
      <c r="PI70" s="37"/>
      <c r="PJ70" s="37"/>
      <c r="PK70" s="37"/>
      <c r="PL70" s="37"/>
      <c r="PM70" s="37"/>
      <c r="PN70" s="37"/>
      <c r="PO70" s="37"/>
      <c r="PP70" s="37"/>
      <c r="PQ70" s="37"/>
      <c r="PR70" s="37"/>
      <c r="PS70" s="37"/>
      <c r="PT70" s="37"/>
      <c r="PU70" s="37"/>
      <c r="PV70" s="37"/>
      <c r="PW70" s="37"/>
      <c r="PX70" s="37"/>
      <c r="PY70" s="37"/>
      <c r="PZ70" s="37"/>
      <c r="QA70" s="37"/>
      <c r="QB70" s="37"/>
      <c r="QC70" s="37"/>
      <c r="QD70" s="37"/>
      <c r="QE70" s="37"/>
      <c r="QF70" s="37"/>
      <c r="QG70" s="37"/>
      <c r="QH70" s="37"/>
      <c r="QI70" s="37"/>
      <c r="QJ70" s="37"/>
      <c r="QK70" s="37"/>
      <c r="QL70" s="37"/>
      <c r="QM70" s="37"/>
      <c r="QN70" s="37"/>
      <c r="QO70" s="37"/>
      <c r="QP70" s="37"/>
      <c r="QQ70" s="37"/>
      <c r="QR70" s="37"/>
      <c r="QS70" s="37"/>
      <c r="QT70" s="37"/>
      <c r="QU70" s="37"/>
      <c r="QV70" s="37"/>
      <c r="QW70" s="37"/>
      <c r="QX70" s="37"/>
      <c r="QY70" s="37"/>
      <c r="QZ70" s="37"/>
      <c r="RA70" s="37"/>
      <c r="RB70" s="37"/>
      <c r="RC70" s="37"/>
      <c r="RD70" s="37"/>
      <c r="RE70" s="37"/>
      <c r="RF70" s="37"/>
      <c r="RG70" s="37"/>
      <c r="RH70" s="37"/>
      <c r="RI70" s="37"/>
      <c r="RJ70" s="37"/>
      <c r="RK70" s="37"/>
      <c r="RL70" s="37"/>
      <c r="RM70" s="37"/>
      <c r="RN70" s="37"/>
      <c r="RO70" s="37"/>
      <c r="RP70" s="37"/>
      <c r="RQ70" s="37"/>
      <c r="RR70" s="37"/>
      <c r="RS70" s="37"/>
      <c r="RT70" s="37"/>
      <c r="RU70" s="37"/>
      <c r="RV70" s="37"/>
      <c r="RW70" s="37"/>
      <c r="RX70" s="37"/>
      <c r="RY70" s="37"/>
      <c r="RZ70" s="37"/>
      <c r="SA70" s="37"/>
      <c r="SB70" s="37"/>
      <c r="SC70" s="37"/>
      <c r="SD70" s="37"/>
      <c r="SE70" s="37"/>
      <c r="SF70" s="37"/>
      <c r="SG70" s="37"/>
      <c r="SH70" s="37"/>
      <c r="SI70" s="37"/>
      <c r="SJ70" s="37"/>
      <c r="SK70" s="37"/>
      <c r="SL70" s="37"/>
      <c r="SM70" s="37"/>
      <c r="SN70" s="37"/>
      <c r="SO70" s="37"/>
      <c r="SP70" s="37"/>
      <c r="SQ70" s="37"/>
      <c r="SR70" s="37"/>
      <c r="SS70" s="37"/>
      <c r="ST70" s="37"/>
      <c r="SU70" s="37"/>
      <c r="SV70" s="37"/>
      <c r="SW70" s="37"/>
      <c r="SX70" s="37"/>
      <c r="SY70" s="37"/>
      <c r="SZ70" s="37"/>
      <c r="TA70" s="37"/>
      <c r="TB70" s="37"/>
      <c r="TC70" s="37"/>
      <c r="TD70" s="37"/>
      <c r="TE70" s="37"/>
      <c r="TF70" s="37"/>
      <c r="TG70" s="37"/>
      <c r="TH70" s="37"/>
      <c r="TI70" s="37"/>
      <c r="TJ70" s="37"/>
      <c r="TK70" s="37"/>
      <c r="TL70" s="37"/>
      <c r="TM70" s="37"/>
      <c r="TN70" s="37"/>
      <c r="TO70" s="37"/>
      <c r="TP70" s="37"/>
      <c r="TQ70" s="37"/>
      <c r="TR70" s="37"/>
      <c r="TS70" s="37"/>
      <c r="TT70" s="37"/>
      <c r="TU70" s="37"/>
      <c r="TV70" s="37"/>
      <c r="TW70" s="37"/>
      <c r="TX70" s="37"/>
      <c r="TY70" s="37"/>
      <c r="TZ70" s="37"/>
      <c r="UA70" s="37"/>
      <c r="UB70" s="37"/>
      <c r="UC70" s="37"/>
      <c r="UD70" s="37"/>
      <c r="UE70" s="37"/>
      <c r="UF70" s="37"/>
      <c r="UG70" s="37"/>
      <c r="UH70" s="37"/>
      <c r="UI70" s="37"/>
      <c r="UJ70" s="37"/>
      <c r="UK70" s="37"/>
      <c r="UL70" s="37"/>
      <c r="UM70" s="37"/>
      <c r="UN70" s="37"/>
      <c r="UO70" s="37"/>
      <c r="UP70" s="37"/>
      <c r="UQ70" s="37"/>
      <c r="UR70" s="37"/>
      <c r="US70" s="37"/>
      <c r="UT70" s="37"/>
      <c r="UU70" s="37"/>
      <c r="UV70" s="37"/>
      <c r="UW70" s="37"/>
      <c r="UX70" s="37"/>
      <c r="UY70" s="37"/>
      <c r="UZ70" s="37"/>
      <c r="VA70" s="37"/>
      <c r="VB70" s="37"/>
      <c r="VC70" s="37"/>
      <c r="VD70" s="37"/>
      <c r="VE70" s="37"/>
      <c r="VF70" s="37"/>
      <c r="VG70" s="37"/>
      <c r="VH70" s="37"/>
      <c r="VI70" s="37"/>
      <c r="VJ70" s="37"/>
      <c r="VK70" s="37"/>
      <c r="VL70" s="37"/>
      <c r="VM70" s="37"/>
      <c r="VN70" s="37"/>
      <c r="VO70" s="37"/>
      <c r="VP70" s="37"/>
      <c r="VQ70" s="37"/>
      <c r="VR70" s="37"/>
      <c r="VS70" s="37"/>
      <c r="VT70" s="37"/>
      <c r="VU70" s="37"/>
      <c r="VV70" s="37"/>
      <c r="VW70" s="37"/>
      <c r="VX70" s="37"/>
      <c r="VY70" s="37"/>
      <c r="VZ70" s="37"/>
      <c r="WA70" s="37"/>
      <c r="WB70" s="37"/>
      <c r="WC70" s="37"/>
      <c r="WD70" s="37"/>
      <c r="WE70" s="37"/>
      <c r="WF70" s="37"/>
      <c r="WG70" s="37"/>
      <c r="WH70" s="37"/>
      <c r="WI70" s="37"/>
      <c r="WJ70" s="37"/>
      <c r="WK70" s="37"/>
      <c r="WL70" s="37"/>
      <c r="WM70" s="37"/>
      <c r="WN70" s="37"/>
      <c r="WO70" s="37"/>
      <c r="WP70" s="37"/>
      <c r="WQ70" s="37"/>
      <c r="WR70" s="37"/>
      <c r="WS70" s="37"/>
      <c r="WT70" s="37"/>
      <c r="WU70" s="37"/>
      <c r="WV70" s="37"/>
      <c r="WW70" s="37"/>
      <c r="WX70" s="37"/>
      <c r="WY70" s="37"/>
      <c r="WZ70" s="37"/>
      <c r="XA70" s="37"/>
      <c r="XB70" s="37"/>
      <c r="XC70" s="37"/>
      <c r="XD70" s="37"/>
      <c r="XE70" s="37"/>
      <c r="XF70" s="37"/>
      <c r="XG70" s="37"/>
      <c r="XH70" s="37"/>
      <c r="XI70" s="37"/>
      <c r="XJ70" s="37"/>
      <c r="XK70" s="37"/>
      <c r="XL70" s="37"/>
      <c r="XM70" s="37"/>
      <c r="XN70" s="37"/>
      <c r="XO70" s="37"/>
      <c r="XP70" s="37"/>
      <c r="XQ70" s="37"/>
      <c r="XR70" s="37"/>
      <c r="XS70" s="37"/>
      <c r="XT70" s="37"/>
      <c r="XU70" s="37"/>
      <c r="XV70" s="37"/>
      <c r="XW70" s="37"/>
      <c r="XX70" s="37"/>
      <c r="XY70" s="37"/>
      <c r="XZ70" s="37"/>
      <c r="YA70" s="37"/>
      <c r="YB70" s="37"/>
      <c r="YC70" s="37"/>
      <c r="YD70" s="37"/>
      <c r="YE70" s="37"/>
      <c r="YF70" s="37"/>
      <c r="YG70" s="37"/>
      <c r="YH70" s="37"/>
      <c r="YI70" s="37"/>
      <c r="YJ70" s="37"/>
      <c r="YK70" s="37"/>
      <c r="YL70" s="37"/>
      <c r="YM70" s="37"/>
      <c r="YN70" s="37"/>
      <c r="YO70" s="37"/>
      <c r="YP70" s="37"/>
      <c r="YQ70" s="37"/>
      <c r="YR70" s="37"/>
      <c r="YS70" s="37"/>
      <c r="YT70" s="37"/>
      <c r="YU70" s="37"/>
      <c r="YV70" s="37"/>
      <c r="YW70" s="37"/>
      <c r="YX70" s="37"/>
      <c r="YY70" s="37"/>
      <c r="YZ70" s="37"/>
      <c r="ZA70" s="37"/>
      <c r="ZB70" s="37"/>
      <c r="ZC70" s="37"/>
      <c r="ZD70" s="37"/>
      <c r="ZE70" s="37"/>
      <c r="ZF70" s="37"/>
      <c r="ZG70" s="37"/>
      <c r="ZH70" s="37"/>
      <c r="ZI70" s="37"/>
      <c r="ZJ70" s="37"/>
      <c r="ZK70" s="37"/>
      <c r="ZL70" s="37"/>
      <c r="ZM70" s="37"/>
      <c r="ZN70" s="37"/>
      <c r="ZO70" s="37"/>
      <c r="ZP70" s="37"/>
      <c r="ZQ70" s="37"/>
      <c r="ZR70" s="37"/>
      <c r="ZS70" s="37"/>
      <c r="ZT70" s="37"/>
      <c r="ZU70" s="37"/>
      <c r="ZV70" s="37"/>
      <c r="ZW70" s="37"/>
      <c r="ZX70" s="37"/>
      <c r="ZY70" s="37"/>
      <c r="ZZ70" s="37"/>
      <c r="AAA70" s="37"/>
      <c r="AAB70" s="37"/>
      <c r="AAC70" s="37"/>
      <c r="AAD70" s="37"/>
      <c r="AAE70" s="37"/>
      <c r="AAF70" s="37"/>
      <c r="AAG70" s="37"/>
      <c r="AAH70" s="37"/>
      <c r="AAI70" s="37"/>
      <c r="AAJ70" s="37"/>
      <c r="AAK70" s="37"/>
      <c r="AAL70" s="37"/>
      <c r="AAM70" s="37"/>
      <c r="AAN70" s="37"/>
      <c r="AAO70" s="37"/>
      <c r="AAP70" s="37"/>
      <c r="AAQ70" s="37"/>
      <c r="AAR70" s="37"/>
      <c r="AAS70" s="37"/>
      <c r="AAT70" s="37"/>
      <c r="AAU70" s="37"/>
      <c r="AAV70" s="37"/>
      <c r="AAW70" s="37"/>
      <c r="AAX70" s="37"/>
      <c r="AAY70" s="37"/>
      <c r="AAZ70" s="37"/>
      <c r="ABA70" s="37"/>
      <c r="ABB70" s="37"/>
      <c r="ABC70" s="37"/>
      <c r="ABD70" s="37"/>
      <c r="ABE70" s="37"/>
      <c r="ABF70" s="37"/>
      <c r="ABG70" s="37"/>
      <c r="ABH70" s="37"/>
      <c r="ABI70" s="37"/>
      <c r="ABJ70" s="37"/>
      <c r="ABK70" s="37"/>
      <c r="ABL70" s="37"/>
      <c r="ABM70" s="37"/>
      <c r="ABN70" s="37"/>
      <c r="ABO70" s="37"/>
      <c r="ABP70" s="37"/>
      <c r="ABQ70" s="37"/>
      <c r="ABR70" s="37"/>
      <c r="ABS70" s="37"/>
      <c r="ABT70" s="37"/>
      <c r="ABU70" s="37"/>
      <c r="ABV70" s="37"/>
      <c r="ABW70" s="37"/>
      <c r="ABX70" s="37"/>
      <c r="ABY70" s="37"/>
      <c r="ABZ70" s="37"/>
      <c r="ACA70" s="37"/>
      <c r="ACB70" s="37"/>
      <c r="ACC70" s="37"/>
      <c r="ACD70" s="37"/>
      <c r="ACE70" s="37"/>
      <c r="ACF70" s="37"/>
      <c r="ACG70" s="37"/>
      <c r="ACH70" s="37"/>
      <c r="ACI70" s="37"/>
      <c r="ACJ70" s="37"/>
      <c r="ACK70" s="37"/>
      <c r="ACL70" s="37"/>
      <c r="ACM70" s="37"/>
      <c r="ACN70" s="37"/>
      <c r="ACO70" s="37"/>
      <c r="ACP70" s="37"/>
      <c r="ACQ70" s="37"/>
      <c r="ACR70" s="37"/>
      <c r="ACS70" s="37"/>
      <c r="ACT70" s="37"/>
      <c r="ACU70" s="37"/>
      <c r="ACV70" s="37"/>
      <c r="ACW70" s="37"/>
      <c r="ACX70" s="37"/>
      <c r="ACY70" s="37"/>
      <c r="ACZ70" s="37"/>
      <c r="ADA70" s="37"/>
      <c r="ADB70" s="37"/>
      <c r="ADC70" s="37"/>
      <c r="ADD70" s="37"/>
      <c r="ADE70" s="37"/>
      <c r="ADF70" s="37"/>
      <c r="ADG70" s="37"/>
      <c r="ADH70" s="37"/>
      <c r="ADI70" s="37"/>
      <c r="ADJ70" s="37"/>
      <c r="ADK70" s="37"/>
      <c r="ADL70" s="37"/>
      <c r="ADM70" s="37"/>
      <c r="ADN70" s="37"/>
      <c r="ADO70" s="37"/>
      <c r="ADP70" s="37"/>
      <c r="ADQ70" s="37"/>
      <c r="ADR70" s="37"/>
      <c r="ADS70" s="37"/>
      <c r="ADT70" s="37"/>
      <c r="ADU70" s="37"/>
      <c r="ADV70" s="37"/>
      <c r="ADW70" s="37"/>
      <c r="ADX70" s="37"/>
      <c r="ADY70" s="37"/>
      <c r="ADZ70" s="37"/>
      <c r="AEA70" s="37"/>
      <c r="AEB70" s="37"/>
      <c r="AEC70" s="37"/>
      <c r="AED70" s="37"/>
      <c r="AEE70" s="37"/>
      <c r="AEF70" s="37"/>
      <c r="AEG70" s="37"/>
      <c r="AEH70" s="37"/>
      <c r="AEI70" s="37"/>
      <c r="AEJ70" s="37"/>
      <c r="AEK70" s="37"/>
      <c r="AEL70" s="37"/>
      <c r="AEM70" s="37"/>
      <c r="AEN70" s="37"/>
      <c r="AEO70" s="37"/>
      <c r="AEP70" s="37"/>
      <c r="AEQ70" s="37"/>
      <c r="AER70" s="37"/>
      <c r="AES70" s="37"/>
      <c r="AET70" s="37"/>
      <c r="AEU70" s="37"/>
      <c r="AEV70" s="37"/>
      <c r="AEW70" s="37"/>
      <c r="AEX70" s="37"/>
      <c r="AEY70" s="37"/>
      <c r="AEZ70" s="37"/>
      <c r="AFA70" s="37"/>
      <c r="AFB70" s="37"/>
      <c r="AFC70" s="37"/>
      <c r="AFD70" s="37"/>
      <c r="AFE70" s="37"/>
      <c r="AFF70" s="37"/>
      <c r="AFG70" s="37"/>
      <c r="AFH70" s="37"/>
      <c r="AFI70" s="37"/>
      <c r="AFJ70" s="37"/>
      <c r="AFK70" s="37"/>
      <c r="AFL70" s="37"/>
      <c r="AFM70" s="37"/>
      <c r="AFN70" s="37"/>
      <c r="AFO70" s="37"/>
      <c r="AFP70" s="37"/>
      <c r="AFQ70" s="37"/>
      <c r="AFR70" s="37"/>
      <c r="AFS70" s="37"/>
      <c r="AFT70" s="37"/>
      <c r="AFU70" s="37"/>
      <c r="AFV70" s="37"/>
      <c r="AFW70" s="37"/>
      <c r="AFX70" s="37"/>
      <c r="AFY70" s="37"/>
      <c r="AFZ70" s="37"/>
      <c r="AGA70" s="37"/>
      <c r="AGB70" s="37"/>
      <c r="AGC70" s="37"/>
      <c r="AGD70" s="37"/>
      <c r="AGE70" s="37"/>
      <c r="AGF70" s="37"/>
      <c r="AGG70" s="37"/>
      <c r="AGH70" s="37"/>
      <c r="AGI70" s="37"/>
      <c r="AGJ70" s="37"/>
      <c r="AGK70" s="37"/>
      <c r="AGL70" s="37"/>
      <c r="AGM70" s="37"/>
      <c r="AGN70" s="37"/>
      <c r="AGO70" s="37"/>
      <c r="AGP70" s="37"/>
      <c r="AGQ70" s="37"/>
      <c r="AGR70" s="37"/>
      <c r="AGS70" s="37"/>
      <c r="AGT70" s="37"/>
      <c r="AGU70" s="37"/>
      <c r="AGV70" s="37"/>
      <c r="AGW70" s="37"/>
      <c r="AGX70" s="37"/>
      <c r="AGY70" s="37"/>
      <c r="AGZ70" s="37"/>
      <c r="AHA70" s="37"/>
      <c r="AHB70" s="37"/>
      <c r="AHC70" s="37"/>
      <c r="AHD70" s="37"/>
      <c r="AHE70" s="37"/>
      <c r="AHF70" s="37"/>
      <c r="AHG70" s="37"/>
      <c r="AHH70" s="37"/>
      <c r="AHI70" s="37"/>
      <c r="AHJ70" s="37"/>
      <c r="AHK70" s="37"/>
      <c r="AHL70" s="37"/>
      <c r="AHM70" s="37"/>
      <c r="AHN70" s="37"/>
      <c r="AHO70" s="37"/>
      <c r="AHP70" s="37"/>
      <c r="AHQ70" s="37"/>
      <c r="AHR70" s="37"/>
      <c r="AHS70" s="37"/>
      <c r="AHT70" s="37"/>
      <c r="AHU70" s="37"/>
      <c r="AHV70" s="37"/>
      <c r="AHW70" s="37"/>
      <c r="AHX70" s="37"/>
      <c r="AHY70" s="37"/>
      <c r="AHZ70" s="37"/>
      <c r="AIA70" s="37"/>
      <c r="AIB70" s="37"/>
      <c r="AIC70" s="37"/>
      <c r="AID70" s="37"/>
      <c r="AIE70" s="37"/>
      <c r="AIF70" s="37"/>
      <c r="AIG70" s="37"/>
      <c r="AIH70" s="37"/>
      <c r="AII70" s="37"/>
      <c r="AIJ70" s="37"/>
      <c r="AIK70" s="37"/>
      <c r="AIL70" s="37"/>
      <c r="AIM70" s="37"/>
      <c r="AIN70" s="37"/>
      <c r="AIO70" s="37"/>
      <c r="AIP70" s="37"/>
      <c r="AIQ70" s="37"/>
      <c r="AIR70" s="37"/>
      <c r="AIS70" s="37"/>
      <c r="AIT70" s="37"/>
      <c r="AIU70" s="37"/>
      <c r="AIV70" s="37"/>
      <c r="AIW70" s="37"/>
      <c r="AIX70" s="37"/>
      <c r="AIY70" s="37"/>
      <c r="AIZ70" s="37"/>
      <c r="AJA70" s="37"/>
      <c r="AJB70" s="37"/>
      <c r="AJC70" s="37"/>
      <c r="AJD70" s="37"/>
      <c r="AJE70" s="37"/>
      <c r="AJF70" s="37"/>
      <c r="AJG70" s="37"/>
      <c r="AJH70" s="37"/>
      <c r="AJI70" s="37"/>
      <c r="AJJ70" s="37"/>
      <c r="AJK70" s="37"/>
      <c r="AJL70" s="37"/>
      <c r="AJM70" s="37"/>
      <c r="AJN70" s="37"/>
      <c r="AJO70" s="37"/>
      <c r="AJP70" s="37"/>
      <c r="AJQ70" s="37"/>
      <c r="AJR70" s="37"/>
      <c r="AJS70" s="37"/>
      <c r="AJT70" s="37"/>
      <c r="AJU70" s="37"/>
      <c r="AJV70" s="37"/>
      <c r="AJW70" s="37"/>
      <c r="AJX70" s="37"/>
      <c r="AJY70" s="37"/>
      <c r="AJZ70" s="37"/>
      <c r="AKA70" s="37"/>
      <c r="AKB70" s="37"/>
      <c r="AKC70" s="37"/>
      <c r="AKD70" s="37"/>
      <c r="AKE70" s="37"/>
      <c r="AKF70" s="37"/>
      <c r="AKG70" s="37"/>
      <c r="AKH70" s="37"/>
      <c r="AKI70" s="37"/>
      <c r="AKJ70" s="37"/>
      <c r="AKK70" s="37"/>
      <c r="AKL70" s="37"/>
      <c r="AKM70" s="37"/>
      <c r="AKN70" s="37"/>
      <c r="AKO70" s="37"/>
      <c r="AKP70" s="37"/>
      <c r="AKQ70" s="37"/>
      <c r="AKR70" s="37"/>
      <c r="AKS70" s="37"/>
      <c r="AKT70" s="37"/>
      <c r="AKU70" s="37"/>
      <c r="AKV70" s="37"/>
      <c r="AKW70" s="37"/>
      <c r="AKX70" s="37"/>
      <c r="AKY70" s="37"/>
      <c r="AKZ70" s="37"/>
      <c r="ALA70" s="37"/>
      <c r="ALB70" s="37"/>
      <c r="ALC70" s="37"/>
      <c r="ALD70" s="37"/>
      <c r="ALE70" s="37"/>
      <c r="ALF70" s="37"/>
      <c r="ALG70" s="37"/>
      <c r="ALH70" s="37"/>
      <c r="ALI70" s="37"/>
      <c r="ALJ70" s="37"/>
      <c r="ALK70" s="37"/>
      <c r="ALL70" s="37"/>
      <c r="ALM70" s="37"/>
      <c r="ALN70" s="37"/>
      <c r="ALO70" s="37"/>
      <c r="ALP70" s="37"/>
      <c r="ALQ70" s="37"/>
      <c r="ALR70" s="37"/>
      <c r="ALS70" s="37"/>
      <c r="ALT70" s="37"/>
      <c r="ALU70" s="37"/>
      <c r="ALV70" s="37"/>
      <c r="ALW70" s="37"/>
      <c r="ALX70" s="37"/>
      <c r="ALY70" s="37"/>
      <c r="ALZ70" s="37"/>
      <c r="AMA70" s="37"/>
      <c r="AMB70" s="37"/>
      <c r="AMC70" s="37"/>
    </row>
    <row r="71" spans="1:1017" s="38" customFormat="1" ht="19.5" customHeight="1">
      <c r="A71" s="26" t="s">
        <v>124</v>
      </c>
      <c r="B71" s="25" t="s">
        <v>112</v>
      </c>
      <c r="C71" s="26" t="s">
        <v>46</v>
      </c>
      <c r="D71" s="26" t="s">
        <v>32</v>
      </c>
      <c r="E71" s="26" t="s">
        <v>261</v>
      </c>
      <c r="F71" s="26">
        <v>41</v>
      </c>
      <c r="G71" s="26" t="s">
        <v>34</v>
      </c>
      <c r="H71" s="26">
        <v>56</v>
      </c>
      <c r="I71" s="36">
        <v>42</v>
      </c>
      <c r="J71" s="36">
        <v>26</v>
      </c>
      <c r="K71" s="36">
        <v>17</v>
      </c>
      <c r="L71" s="36">
        <v>27</v>
      </c>
      <c r="M71" s="36">
        <v>26</v>
      </c>
      <c r="N71" s="36">
        <v>27</v>
      </c>
      <c r="O71" s="36">
        <v>72</v>
      </c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  <c r="OU71" s="37"/>
      <c r="OV71" s="37"/>
      <c r="OW71" s="37"/>
      <c r="OX71" s="37"/>
      <c r="OY71" s="37"/>
      <c r="OZ71" s="37"/>
      <c r="PA71" s="37"/>
      <c r="PB71" s="37"/>
      <c r="PC71" s="37"/>
      <c r="PD71" s="37"/>
      <c r="PE71" s="37"/>
      <c r="PF71" s="37"/>
      <c r="PG71" s="37"/>
      <c r="PH71" s="37"/>
      <c r="PI71" s="37"/>
      <c r="PJ71" s="37"/>
      <c r="PK71" s="37"/>
      <c r="PL71" s="37"/>
      <c r="PM71" s="37"/>
      <c r="PN71" s="37"/>
      <c r="PO71" s="37"/>
      <c r="PP71" s="37"/>
      <c r="PQ71" s="37"/>
      <c r="PR71" s="37"/>
      <c r="PS71" s="37"/>
      <c r="PT71" s="37"/>
      <c r="PU71" s="37"/>
      <c r="PV71" s="37"/>
      <c r="PW71" s="37"/>
      <c r="PX71" s="37"/>
      <c r="PY71" s="37"/>
      <c r="PZ71" s="37"/>
      <c r="QA71" s="37"/>
      <c r="QB71" s="37"/>
      <c r="QC71" s="37"/>
      <c r="QD71" s="37"/>
      <c r="QE71" s="37"/>
      <c r="QF71" s="37"/>
      <c r="QG71" s="37"/>
      <c r="QH71" s="37"/>
      <c r="QI71" s="37"/>
      <c r="QJ71" s="37"/>
      <c r="QK71" s="37"/>
      <c r="QL71" s="37"/>
      <c r="QM71" s="37"/>
      <c r="QN71" s="37"/>
      <c r="QO71" s="37"/>
      <c r="QP71" s="37"/>
      <c r="QQ71" s="37"/>
      <c r="QR71" s="37"/>
      <c r="QS71" s="37"/>
      <c r="QT71" s="37"/>
      <c r="QU71" s="37"/>
      <c r="QV71" s="37"/>
      <c r="QW71" s="37"/>
      <c r="QX71" s="37"/>
      <c r="QY71" s="37"/>
      <c r="QZ71" s="37"/>
      <c r="RA71" s="37"/>
      <c r="RB71" s="37"/>
      <c r="RC71" s="37"/>
      <c r="RD71" s="37"/>
      <c r="RE71" s="37"/>
      <c r="RF71" s="37"/>
      <c r="RG71" s="37"/>
      <c r="RH71" s="37"/>
      <c r="RI71" s="37"/>
      <c r="RJ71" s="37"/>
      <c r="RK71" s="37"/>
      <c r="RL71" s="37"/>
      <c r="RM71" s="37"/>
      <c r="RN71" s="37"/>
      <c r="RO71" s="37"/>
      <c r="RP71" s="37"/>
      <c r="RQ71" s="37"/>
      <c r="RR71" s="37"/>
      <c r="RS71" s="37"/>
      <c r="RT71" s="37"/>
      <c r="RU71" s="37"/>
      <c r="RV71" s="37"/>
      <c r="RW71" s="37"/>
      <c r="RX71" s="37"/>
      <c r="RY71" s="37"/>
      <c r="RZ71" s="37"/>
      <c r="SA71" s="37"/>
      <c r="SB71" s="37"/>
      <c r="SC71" s="37"/>
      <c r="SD71" s="37"/>
      <c r="SE71" s="37"/>
      <c r="SF71" s="37"/>
      <c r="SG71" s="37"/>
      <c r="SH71" s="37"/>
      <c r="SI71" s="37"/>
      <c r="SJ71" s="37"/>
      <c r="SK71" s="37"/>
      <c r="SL71" s="37"/>
      <c r="SM71" s="37"/>
      <c r="SN71" s="37"/>
      <c r="SO71" s="37"/>
      <c r="SP71" s="37"/>
      <c r="SQ71" s="37"/>
      <c r="SR71" s="37"/>
      <c r="SS71" s="37"/>
      <c r="ST71" s="37"/>
      <c r="SU71" s="37"/>
      <c r="SV71" s="37"/>
      <c r="SW71" s="37"/>
      <c r="SX71" s="37"/>
      <c r="SY71" s="37"/>
      <c r="SZ71" s="37"/>
      <c r="TA71" s="37"/>
      <c r="TB71" s="37"/>
      <c r="TC71" s="37"/>
      <c r="TD71" s="37"/>
      <c r="TE71" s="37"/>
      <c r="TF71" s="37"/>
      <c r="TG71" s="37"/>
      <c r="TH71" s="37"/>
      <c r="TI71" s="37"/>
      <c r="TJ71" s="37"/>
      <c r="TK71" s="37"/>
      <c r="TL71" s="37"/>
      <c r="TM71" s="37"/>
      <c r="TN71" s="37"/>
      <c r="TO71" s="37"/>
      <c r="TP71" s="37"/>
      <c r="TQ71" s="37"/>
      <c r="TR71" s="37"/>
      <c r="TS71" s="37"/>
      <c r="TT71" s="37"/>
      <c r="TU71" s="37"/>
      <c r="TV71" s="37"/>
      <c r="TW71" s="37"/>
      <c r="TX71" s="37"/>
      <c r="TY71" s="37"/>
      <c r="TZ71" s="37"/>
      <c r="UA71" s="37"/>
      <c r="UB71" s="37"/>
      <c r="UC71" s="37"/>
      <c r="UD71" s="37"/>
      <c r="UE71" s="37"/>
      <c r="UF71" s="37"/>
      <c r="UG71" s="37"/>
      <c r="UH71" s="37"/>
      <c r="UI71" s="37"/>
      <c r="UJ71" s="37"/>
      <c r="UK71" s="37"/>
      <c r="UL71" s="37"/>
      <c r="UM71" s="37"/>
      <c r="UN71" s="37"/>
      <c r="UO71" s="37"/>
      <c r="UP71" s="37"/>
      <c r="UQ71" s="37"/>
      <c r="UR71" s="37"/>
      <c r="US71" s="37"/>
      <c r="UT71" s="37"/>
      <c r="UU71" s="37"/>
      <c r="UV71" s="37"/>
      <c r="UW71" s="37"/>
      <c r="UX71" s="37"/>
      <c r="UY71" s="37"/>
      <c r="UZ71" s="37"/>
      <c r="VA71" s="37"/>
      <c r="VB71" s="37"/>
      <c r="VC71" s="37"/>
      <c r="VD71" s="37"/>
      <c r="VE71" s="37"/>
      <c r="VF71" s="37"/>
      <c r="VG71" s="37"/>
      <c r="VH71" s="37"/>
      <c r="VI71" s="37"/>
      <c r="VJ71" s="37"/>
      <c r="VK71" s="37"/>
      <c r="VL71" s="37"/>
      <c r="VM71" s="37"/>
      <c r="VN71" s="37"/>
      <c r="VO71" s="37"/>
      <c r="VP71" s="37"/>
      <c r="VQ71" s="37"/>
      <c r="VR71" s="37"/>
      <c r="VS71" s="37"/>
      <c r="VT71" s="37"/>
      <c r="VU71" s="37"/>
      <c r="VV71" s="37"/>
      <c r="VW71" s="37"/>
      <c r="VX71" s="37"/>
      <c r="VY71" s="37"/>
      <c r="VZ71" s="37"/>
      <c r="WA71" s="37"/>
      <c r="WB71" s="37"/>
      <c r="WC71" s="37"/>
      <c r="WD71" s="37"/>
      <c r="WE71" s="37"/>
      <c r="WF71" s="37"/>
      <c r="WG71" s="37"/>
      <c r="WH71" s="37"/>
      <c r="WI71" s="37"/>
      <c r="WJ71" s="37"/>
      <c r="WK71" s="37"/>
      <c r="WL71" s="37"/>
      <c r="WM71" s="37"/>
      <c r="WN71" s="37"/>
      <c r="WO71" s="37"/>
      <c r="WP71" s="37"/>
      <c r="WQ71" s="37"/>
      <c r="WR71" s="37"/>
      <c r="WS71" s="37"/>
      <c r="WT71" s="37"/>
      <c r="WU71" s="37"/>
      <c r="WV71" s="37"/>
      <c r="WW71" s="37"/>
      <c r="WX71" s="37"/>
      <c r="WY71" s="37"/>
      <c r="WZ71" s="37"/>
      <c r="XA71" s="37"/>
      <c r="XB71" s="37"/>
      <c r="XC71" s="37"/>
      <c r="XD71" s="37"/>
      <c r="XE71" s="37"/>
      <c r="XF71" s="37"/>
      <c r="XG71" s="37"/>
      <c r="XH71" s="37"/>
      <c r="XI71" s="37"/>
      <c r="XJ71" s="37"/>
      <c r="XK71" s="37"/>
      <c r="XL71" s="37"/>
      <c r="XM71" s="37"/>
      <c r="XN71" s="37"/>
      <c r="XO71" s="37"/>
      <c r="XP71" s="37"/>
      <c r="XQ71" s="37"/>
      <c r="XR71" s="37"/>
      <c r="XS71" s="37"/>
      <c r="XT71" s="37"/>
      <c r="XU71" s="37"/>
      <c r="XV71" s="37"/>
      <c r="XW71" s="37"/>
      <c r="XX71" s="37"/>
      <c r="XY71" s="37"/>
      <c r="XZ71" s="37"/>
      <c r="YA71" s="37"/>
      <c r="YB71" s="37"/>
      <c r="YC71" s="37"/>
      <c r="YD71" s="37"/>
      <c r="YE71" s="37"/>
      <c r="YF71" s="37"/>
      <c r="YG71" s="37"/>
      <c r="YH71" s="37"/>
      <c r="YI71" s="37"/>
      <c r="YJ71" s="37"/>
      <c r="YK71" s="37"/>
      <c r="YL71" s="37"/>
      <c r="YM71" s="37"/>
      <c r="YN71" s="37"/>
      <c r="YO71" s="37"/>
      <c r="YP71" s="37"/>
      <c r="YQ71" s="37"/>
      <c r="YR71" s="37"/>
      <c r="YS71" s="37"/>
      <c r="YT71" s="37"/>
      <c r="YU71" s="37"/>
      <c r="YV71" s="37"/>
      <c r="YW71" s="37"/>
      <c r="YX71" s="37"/>
      <c r="YY71" s="37"/>
      <c r="YZ71" s="37"/>
      <c r="ZA71" s="37"/>
      <c r="ZB71" s="37"/>
      <c r="ZC71" s="37"/>
      <c r="ZD71" s="37"/>
      <c r="ZE71" s="37"/>
      <c r="ZF71" s="37"/>
      <c r="ZG71" s="37"/>
      <c r="ZH71" s="37"/>
      <c r="ZI71" s="37"/>
      <c r="ZJ71" s="37"/>
      <c r="ZK71" s="37"/>
      <c r="ZL71" s="37"/>
      <c r="ZM71" s="37"/>
      <c r="ZN71" s="37"/>
      <c r="ZO71" s="37"/>
      <c r="ZP71" s="37"/>
      <c r="ZQ71" s="37"/>
      <c r="ZR71" s="37"/>
      <c r="ZS71" s="37"/>
      <c r="ZT71" s="37"/>
      <c r="ZU71" s="37"/>
      <c r="ZV71" s="37"/>
      <c r="ZW71" s="37"/>
      <c r="ZX71" s="37"/>
      <c r="ZY71" s="37"/>
      <c r="ZZ71" s="37"/>
      <c r="AAA71" s="37"/>
      <c r="AAB71" s="37"/>
      <c r="AAC71" s="37"/>
      <c r="AAD71" s="37"/>
      <c r="AAE71" s="37"/>
      <c r="AAF71" s="37"/>
      <c r="AAG71" s="37"/>
      <c r="AAH71" s="37"/>
      <c r="AAI71" s="37"/>
      <c r="AAJ71" s="37"/>
      <c r="AAK71" s="37"/>
      <c r="AAL71" s="37"/>
      <c r="AAM71" s="37"/>
      <c r="AAN71" s="37"/>
      <c r="AAO71" s="37"/>
      <c r="AAP71" s="37"/>
      <c r="AAQ71" s="37"/>
      <c r="AAR71" s="37"/>
      <c r="AAS71" s="37"/>
      <c r="AAT71" s="37"/>
      <c r="AAU71" s="37"/>
      <c r="AAV71" s="37"/>
      <c r="AAW71" s="37"/>
      <c r="AAX71" s="37"/>
      <c r="AAY71" s="37"/>
      <c r="AAZ71" s="37"/>
      <c r="ABA71" s="37"/>
      <c r="ABB71" s="37"/>
      <c r="ABC71" s="37"/>
      <c r="ABD71" s="37"/>
      <c r="ABE71" s="37"/>
      <c r="ABF71" s="37"/>
      <c r="ABG71" s="37"/>
      <c r="ABH71" s="37"/>
      <c r="ABI71" s="37"/>
      <c r="ABJ71" s="37"/>
      <c r="ABK71" s="37"/>
      <c r="ABL71" s="37"/>
      <c r="ABM71" s="37"/>
      <c r="ABN71" s="37"/>
      <c r="ABO71" s="37"/>
      <c r="ABP71" s="37"/>
      <c r="ABQ71" s="37"/>
      <c r="ABR71" s="37"/>
      <c r="ABS71" s="37"/>
      <c r="ABT71" s="37"/>
      <c r="ABU71" s="37"/>
      <c r="ABV71" s="37"/>
      <c r="ABW71" s="37"/>
      <c r="ABX71" s="37"/>
      <c r="ABY71" s="37"/>
      <c r="ABZ71" s="37"/>
      <c r="ACA71" s="37"/>
      <c r="ACB71" s="37"/>
      <c r="ACC71" s="37"/>
      <c r="ACD71" s="37"/>
      <c r="ACE71" s="37"/>
      <c r="ACF71" s="37"/>
      <c r="ACG71" s="37"/>
      <c r="ACH71" s="37"/>
      <c r="ACI71" s="37"/>
      <c r="ACJ71" s="37"/>
      <c r="ACK71" s="37"/>
      <c r="ACL71" s="37"/>
      <c r="ACM71" s="37"/>
      <c r="ACN71" s="37"/>
      <c r="ACO71" s="37"/>
      <c r="ACP71" s="37"/>
      <c r="ACQ71" s="37"/>
      <c r="ACR71" s="37"/>
      <c r="ACS71" s="37"/>
      <c r="ACT71" s="37"/>
      <c r="ACU71" s="37"/>
      <c r="ACV71" s="37"/>
      <c r="ACW71" s="37"/>
      <c r="ACX71" s="37"/>
      <c r="ACY71" s="37"/>
      <c r="ACZ71" s="37"/>
      <c r="ADA71" s="37"/>
      <c r="ADB71" s="37"/>
      <c r="ADC71" s="37"/>
      <c r="ADD71" s="37"/>
      <c r="ADE71" s="37"/>
      <c r="ADF71" s="37"/>
      <c r="ADG71" s="37"/>
      <c r="ADH71" s="37"/>
      <c r="ADI71" s="37"/>
      <c r="ADJ71" s="37"/>
      <c r="ADK71" s="37"/>
      <c r="ADL71" s="37"/>
      <c r="ADM71" s="37"/>
      <c r="ADN71" s="37"/>
      <c r="ADO71" s="37"/>
      <c r="ADP71" s="37"/>
      <c r="ADQ71" s="37"/>
      <c r="ADR71" s="37"/>
      <c r="ADS71" s="37"/>
      <c r="ADT71" s="37"/>
      <c r="ADU71" s="37"/>
      <c r="ADV71" s="37"/>
      <c r="ADW71" s="37"/>
      <c r="ADX71" s="37"/>
      <c r="ADY71" s="37"/>
      <c r="ADZ71" s="37"/>
      <c r="AEA71" s="37"/>
      <c r="AEB71" s="37"/>
      <c r="AEC71" s="37"/>
      <c r="AED71" s="37"/>
      <c r="AEE71" s="37"/>
      <c r="AEF71" s="37"/>
      <c r="AEG71" s="37"/>
      <c r="AEH71" s="37"/>
      <c r="AEI71" s="37"/>
      <c r="AEJ71" s="37"/>
      <c r="AEK71" s="37"/>
      <c r="AEL71" s="37"/>
      <c r="AEM71" s="37"/>
      <c r="AEN71" s="37"/>
      <c r="AEO71" s="37"/>
      <c r="AEP71" s="37"/>
      <c r="AEQ71" s="37"/>
      <c r="AER71" s="37"/>
      <c r="AES71" s="37"/>
      <c r="AET71" s="37"/>
      <c r="AEU71" s="37"/>
      <c r="AEV71" s="37"/>
      <c r="AEW71" s="37"/>
      <c r="AEX71" s="37"/>
      <c r="AEY71" s="37"/>
      <c r="AEZ71" s="37"/>
      <c r="AFA71" s="37"/>
      <c r="AFB71" s="37"/>
      <c r="AFC71" s="37"/>
      <c r="AFD71" s="37"/>
      <c r="AFE71" s="37"/>
      <c r="AFF71" s="37"/>
      <c r="AFG71" s="37"/>
      <c r="AFH71" s="37"/>
      <c r="AFI71" s="37"/>
      <c r="AFJ71" s="37"/>
      <c r="AFK71" s="37"/>
      <c r="AFL71" s="37"/>
      <c r="AFM71" s="37"/>
      <c r="AFN71" s="37"/>
      <c r="AFO71" s="37"/>
      <c r="AFP71" s="37"/>
      <c r="AFQ71" s="37"/>
      <c r="AFR71" s="37"/>
      <c r="AFS71" s="37"/>
      <c r="AFT71" s="37"/>
      <c r="AFU71" s="37"/>
      <c r="AFV71" s="37"/>
      <c r="AFW71" s="37"/>
      <c r="AFX71" s="37"/>
      <c r="AFY71" s="37"/>
      <c r="AFZ71" s="37"/>
      <c r="AGA71" s="37"/>
      <c r="AGB71" s="37"/>
      <c r="AGC71" s="37"/>
      <c r="AGD71" s="37"/>
      <c r="AGE71" s="37"/>
      <c r="AGF71" s="37"/>
      <c r="AGG71" s="37"/>
      <c r="AGH71" s="37"/>
      <c r="AGI71" s="37"/>
      <c r="AGJ71" s="37"/>
      <c r="AGK71" s="37"/>
      <c r="AGL71" s="37"/>
      <c r="AGM71" s="37"/>
      <c r="AGN71" s="37"/>
      <c r="AGO71" s="37"/>
      <c r="AGP71" s="37"/>
      <c r="AGQ71" s="37"/>
      <c r="AGR71" s="37"/>
      <c r="AGS71" s="37"/>
      <c r="AGT71" s="37"/>
      <c r="AGU71" s="37"/>
      <c r="AGV71" s="37"/>
      <c r="AGW71" s="37"/>
      <c r="AGX71" s="37"/>
      <c r="AGY71" s="37"/>
      <c r="AGZ71" s="37"/>
      <c r="AHA71" s="37"/>
      <c r="AHB71" s="37"/>
      <c r="AHC71" s="37"/>
      <c r="AHD71" s="37"/>
      <c r="AHE71" s="37"/>
      <c r="AHF71" s="37"/>
      <c r="AHG71" s="37"/>
      <c r="AHH71" s="37"/>
      <c r="AHI71" s="37"/>
      <c r="AHJ71" s="37"/>
      <c r="AHK71" s="37"/>
      <c r="AHL71" s="37"/>
      <c r="AHM71" s="37"/>
      <c r="AHN71" s="37"/>
      <c r="AHO71" s="37"/>
      <c r="AHP71" s="37"/>
      <c r="AHQ71" s="37"/>
      <c r="AHR71" s="37"/>
      <c r="AHS71" s="37"/>
      <c r="AHT71" s="37"/>
      <c r="AHU71" s="37"/>
      <c r="AHV71" s="37"/>
      <c r="AHW71" s="37"/>
      <c r="AHX71" s="37"/>
      <c r="AHY71" s="37"/>
      <c r="AHZ71" s="37"/>
      <c r="AIA71" s="37"/>
      <c r="AIB71" s="37"/>
      <c r="AIC71" s="37"/>
      <c r="AID71" s="37"/>
      <c r="AIE71" s="37"/>
      <c r="AIF71" s="37"/>
      <c r="AIG71" s="37"/>
      <c r="AIH71" s="37"/>
      <c r="AII71" s="37"/>
      <c r="AIJ71" s="37"/>
      <c r="AIK71" s="37"/>
      <c r="AIL71" s="37"/>
      <c r="AIM71" s="37"/>
      <c r="AIN71" s="37"/>
      <c r="AIO71" s="37"/>
      <c r="AIP71" s="37"/>
      <c r="AIQ71" s="37"/>
      <c r="AIR71" s="37"/>
      <c r="AIS71" s="37"/>
      <c r="AIT71" s="37"/>
      <c r="AIU71" s="37"/>
      <c r="AIV71" s="37"/>
      <c r="AIW71" s="37"/>
      <c r="AIX71" s="37"/>
      <c r="AIY71" s="37"/>
      <c r="AIZ71" s="37"/>
      <c r="AJA71" s="37"/>
      <c r="AJB71" s="37"/>
      <c r="AJC71" s="37"/>
      <c r="AJD71" s="37"/>
      <c r="AJE71" s="37"/>
      <c r="AJF71" s="37"/>
      <c r="AJG71" s="37"/>
      <c r="AJH71" s="37"/>
      <c r="AJI71" s="37"/>
      <c r="AJJ71" s="37"/>
      <c r="AJK71" s="37"/>
      <c r="AJL71" s="37"/>
      <c r="AJM71" s="37"/>
      <c r="AJN71" s="37"/>
      <c r="AJO71" s="37"/>
      <c r="AJP71" s="37"/>
      <c r="AJQ71" s="37"/>
      <c r="AJR71" s="37"/>
      <c r="AJS71" s="37"/>
      <c r="AJT71" s="37"/>
      <c r="AJU71" s="37"/>
      <c r="AJV71" s="37"/>
      <c r="AJW71" s="37"/>
      <c r="AJX71" s="37"/>
      <c r="AJY71" s="37"/>
      <c r="AJZ71" s="37"/>
      <c r="AKA71" s="37"/>
      <c r="AKB71" s="37"/>
      <c r="AKC71" s="37"/>
      <c r="AKD71" s="37"/>
      <c r="AKE71" s="37"/>
      <c r="AKF71" s="37"/>
      <c r="AKG71" s="37"/>
      <c r="AKH71" s="37"/>
      <c r="AKI71" s="37"/>
      <c r="AKJ71" s="37"/>
      <c r="AKK71" s="37"/>
      <c r="AKL71" s="37"/>
      <c r="AKM71" s="37"/>
      <c r="AKN71" s="37"/>
      <c r="AKO71" s="37"/>
      <c r="AKP71" s="37"/>
      <c r="AKQ71" s="37"/>
      <c r="AKR71" s="37"/>
      <c r="AKS71" s="37"/>
      <c r="AKT71" s="37"/>
      <c r="AKU71" s="37"/>
      <c r="AKV71" s="37"/>
      <c r="AKW71" s="37"/>
      <c r="AKX71" s="37"/>
      <c r="AKY71" s="37"/>
      <c r="AKZ71" s="37"/>
      <c r="ALA71" s="37"/>
      <c r="ALB71" s="37"/>
      <c r="ALC71" s="37"/>
      <c r="ALD71" s="37"/>
      <c r="ALE71" s="37"/>
      <c r="ALF71" s="37"/>
      <c r="ALG71" s="37"/>
      <c r="ALH71" s="37"/>
      <c r="ALI71" s="37"/>
      <c r="ALJ71" s="37"/>
      <c r="ALK71" s="37"/>
      <c r="ALL71" s="37"/>
      <c r="ALM71" s="37"/>
      <c r="ALN71" s="37"/>
      <c r="ALO71" s="37"/>
      <c r="ALP71" s="37"/>
      <c r="ALQ71" s="37"/>
      <c r="ALR71" s="37"/>
      <c r="ALS71" s="37"/>
      <c r="ALT71" s="37"/>
      <c r="ALU71" s="37"/>
      <c r="ALV71" s="37"/>
      <c r="ALW71" s="37"/>
      <c r="ALX71" s="37"/>
      <c r="ALY71" s="37"/>
      <c r="ALZ71" s="37"/>
      <c r="AMA71" s="37"/>
      <c r="AMB71" s="37"/>
      <c r="AMC71" s="37"/>
    </row>
    <row r="72" spans="1:1017" s="38" customFormat="1" ht="19.5" customHeight="1">
      <c r="A72" s="72"/>
      <c r="B72" s="73"/>
      <c r="C72" s="72"/>
      <c r="D72" s="72"/>
      <c r="E72" s="72"/>
      <c r="F72" s="72"/>
      <c r="G72" s="35">
        <v>39</v>
      </c>
      <c r="H72" s="35">
        <v>84</v>
      </c>
      <c r="I72" s="35">
        <v>100</v>
      </c>
      <c r="J72" s="35">
        <v>64</v>
      </c>
      <c r="K72" s="35">
        <v>31</v>
      </c>
      <c r="L72" s="35">
        <v>24</v>
      </c>
      <c r="M72" s="35">
        <v>19</v>
      </c>
      <c r="N72" s="35">
        <v>99</v>
      </c>
      <c r="O72" s="74">
        <v>3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/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  <c r="OU72" s="37"/>
      <c r="OV72" s="37"/>
      <c r="OW72" s="37"/>
      <c r="OX72" s="37"/>
      <c r="OY72" s="37"/>
      <c r="OZ72" s="37"/>
      <c r="PA72" s="37"/>
      <c r="PB72" s="37"/>
      <c r="PC72" s="37"/>
      <c r="PD72" s="37"/>
      <c r="PE72" s="37"/>
      <c r="PF72" s="37"/>
      <c r="PG72" s="37"/>
      <c r="PH72" s="37"/>
      <c r="PI72" s="37"/>
      <c r="PJ72" s="37"/>
      <c r="PK72" s="37"/>
      <c r="PL72" s="37"/>
      <c r="PM72" s="37"/>
      <c r="PN72" s="37"/>
      <c r="PO72" s="37"/>
      <c r="PP72" s="37"/>
      <c r="PQ72" s="37"/>
      <c r="PR72" s="37"/>
      <c r="PS72" s="37"/>
      <c r="PT72" s="37"/>
      <c r="PU72" s="37"/>
      <c r="PV72" s="37"/>
      <c r="PW72" s="37"/>
      <c r="PX72" s="37"/>
      <c r="PY72" s="37"/>
      <c r="PZ72" s="37"/>
      <c r="QA72" s="37"/>
      <c r="QB72" s="37"/>
      <c r="QC72" s="37"/>
      <c r="QD72" s="37"/>
      <c r="QE72" s="37"/>
      <c r="QF72" s="37"/>
      <c r="QG72" s="37"/>
      <c r="QH72" s="37"/>
      <c r="QI72" s="37"/>
      <c r="QJ72" s="37"/>
      <c r="QK72" s="37"/>
      <c r="QL72" s="37"/>
      <c r="QM72" s="37"/>
      <c r="QN72" s="37"/>
      <c r="QO72" s="37"/>
      <c r="QP72" s="37"/>
      <c r="QQ72" s="37"/>
      <c r="QR72" s="37"/>
      <c r="QS72" s="37"/>
      <c r="QT72" s="37"/>
      <c r="QU72" s="37"/>
      <c r="QV72" s="37"/>
      <c r="QW72" s="37"/>
      <c r="QX72" s="37"/>
      <c r="QY72" s="37"/>
      <c r="QZ72" s="37"/>
      <c r="RA72" s="37"/>
      <c r="RB72" s="37"/>
      <c r="RC72" s="37"/>
      <c r="RD72" s="37"/>
      <c r="RE72" s="37"/>
      <c r="RF72" s="37"/>
      <c r="RG72" s="37"/>
      <c r="RH72" s="37"/>
      <c r="RI72" s="37"/>
      <c r="RJ72" s="37"/>
      <c r="RK72" s="37"/>
      <c r="RL72" s="37"/>
      <c r="RM72" s="37"/>
      <c r="RN72" s="37"/>
      <c r="RO72" s="37"/>
      <c r="RP72" s="37"/>
      <c r="RQ72" s="37"/>
      <c r="RR72" s="37"/>
      <c r="RS72" s="37"/>
      <c r="RT72" s="37"/>
      <c r="RU72" s="37"/>
      <c r="RV72" s="37"/>
      <c r="RW72" s="37"/>
      <c r="RX72" s="37"/>
      <c r="RY72" s="37"/>
      <c r="RZ72" s="37"/>
      <c r="SA72" s="37"/>
      <c r="SB72" s="37"/>
      <c r="SC72" s="37"/>
      <c r="SD72" s="37"/>
      <c r="SE72" s="37"/>
      <c r="SF72" s="37"/>
      <c r="SG72" s="37"/>
      <c r="SH72" s="37"/>
      <c r="SI72" s="37"/>
      <c r="SJ72" s="37"/>
      <c r="SK72" s="37"/>
      <c r="SL72" s="37"/>
      <c r="SM72" s="37"/>
      <c r="SN72" s="37"/>
      <c r="SO72" s="37"/>
      <c r="SP72" s="37"/>
      <c r="SQ72" s="37"/>
      <c r="SR72" s="37"/>
      <c r="SS72" s="37"/>
      <c r="ST72" s="37"/>
      <c r="SU72" s="37"/>
      <c r="SV72" s="37"/>
      <c r="SW72" s="37"/>
      <c r="SX72" s="37"/>
      <c r="SY72" s="37"/>
      <c r="SZ72" s="37"/>
      <c r="TA72" s="37"/>
      <c r="TB72" s="37"/>
      <c r="TC72" s="37"/>
      <c r="TD72" s="37"/>
      <c r="TE72" s="37"/>
      <c r="TF72" s="37"/>
      <c r="TG72" s="37"/>
      <c r="TH72" s="37"/>
      <c r="TI72" s="37"/>
      <c r="TJ72" s="37"/>
      <c r="TK72" s="37"/>
      <c r="TL72" s="37"/>
      <c r="TM72" s="37"/>
      <c r="TN72" s="37"/>
      <c r="TO72" s="37"/>
      <c r="TP72" s="37"/>
      <c r="TQ72" s="37"/>
      <c r="TR72" s="37"/>
      <c r="TS72" s="37"/>
      <c r="TT72" s="37"/>
      <c r="TU72" s="37"/>
      <c r="TV72" s="37"/>
      <c r="TW72" s="37"/>
      <c r="TX72" s="37"/>
      <c r="TY72" s="37"/>
      <c r="TZ72" s="37"/>
      <c r="UA72" s="37"/>
      <c r="UB72" s="37"/>
      <c r="UC72" s="37"/>
      <c r="UD72" s="37"/>
      <c r="UE72" s="37"/>
      <c r="UF72" s="37"/>
      <c r="UG72" s="37"/>
      <c r="UH72" s="37"/>
      <c r="UI72" s="37"/>
      <c r="UJ72" s="37"/>
      <c r="UK72" s="37"/>
      <c r="UL72" s="37"/>
      <c r="UM72" s="37"/>
      <c r="UN72" s="37"/>
      <c r="UO72" s="37"/>
      <c r="UP72" s="37"/>
      <c r="UQ72" s="37"/>
      <c r="UR72" s="37"/>
      <c r="US72" s="37"/>
      <c r="UT72" s="37"/>
      <c r="UU72" s="37"/>
      <c r="UV72" s="37"/>
      <c r="UW72" s="37"/>
      <c r="UX72" s="37"/>
      <c r="UY72" s="37"/>
      <c r="UZ72" s="37"/>
      <c r="VA72" s="37"/>
      <c r="VB72" s="37"/>
      <c r="VC72" s="37"/>
      <c r="VD72" s="37"/>
      <c r="VE72" s="37"/>
      <c r="VF72" s="37"/>
      <c r="VG72" s="37"/>
      <c r="VH72" s="37"/>
      <c r="VI72" s="37"/>
      <c r="VJ72" s="37"/>
      <c r="VK72" s="37"/>
      <c r="VL72" s="37"/>
      <c r="VM72" s="37"/>
      <c r="VN72" s="37"/>
      <c r="VO72" s="37"/>
      <c r="VP72" s="37"/>
      <c r="VQ72" s="37"/>
      <c r="VR72" s="37"/>
      <c r="VS72" s="37"/>
      <c r="VT72" s="37"/>
      <c r="VU72" s="37"/>
      <c r="VV72" s="37"/>
      <c r="VW72" s="37"/>
      <c r="VX72" s="37"/>
      <c r="VY72" s="37"/>
      <c r="VZ72" s="37"/>
      <c r="WA72" s="37"/>
      <c r="WB72" s="37"/>
      <c r="WC72" s="37"/>
      <c r="WD72" s="37"/>
      <c r="WE72" s="37"/>
      <c r="WF72" s="37"/>
      <c r="WG72" s="37"/>
      <c r="WH72" s="37"/>
      <c r="WI72" s="37"/>
      <c r="WJ72" s="37"/>
      <c r="WK72" s="37"/>
      <c r="WL72" s="37"/>
      <c r="WM72" s="37"/>
      <c r="WN72" s="37"/>
      <c r="WO72" s="37"/>
      <c r="WP72" s="37"/>
      <c r="WQ72" s="37"/>
      <c r="WR72" s="37"/>
      <c r="WS72" s="37"/>
      <c r="WT72" s="37"/>
      <c r="WU72" s="37"/>
      <c r="WV72" s="37"/>
      <c r="WW72" s="37"/>
      <c r="WX72" s="37"/>
      <c r="WY72" s="37"/>
      <c r="WZ72" s="37"/>
      <c r="XA72" s="37"/>
      <c r="XB72" s="37"/>
      <c r="XC72" s="37"/>
      <c r="XD72" s="37"/>
      <c r="XE72" s="37"/>
      <c r="XF72" s="37"/>
      <c r="XG72" s="37"/>
      <c r="XH72" s="37"/>
      <c r="XI72" s="37"/>
      <c r="XJ72" s="37"/>
      <c r="XK72" s="37"/>
      <c r="XL72" s="37"/>
      <c r="XM72" s="37"/>
      <c r="XN72" s="37"/>
      <c r="XO72" s="37"/>
      <c r="XP72" s="37"/>
      <c r="XQ72" s="37"/>
      <c r="XR72" s="37"/>
      <c r="XS72" s="37"/>
      <c r="XT72" s="37"/>
      <c r="XU72" s="37"/>
      <c r="XV72" s="37"/>
      <c r="XW72" s="37"/>
      <c r="XX72" s="37"/>
      <c r="XY72" s="37"/>
      <c r="XZ72" s="37"/>
      <c r="YA72" s="37"/>
      <c r="YB72" s="37"/>
      <c r="YC72" s="37"/>
      <c r="YD72" s="37"/>
      <c r="YE72" s="37"/>
      <c r="YF72" s="37"/>
      <c r="YG72" s="37"/>
      <c r="YH72" s="37"/>
      <c r="YI72" s="37"/>
      <c r="YJ72" s="37"/>
      <c r="YK72" s="37"/>
      <c r="YL72" s="37"/>
      <c r="YM72" s="37"/>
      <c r="YN72" s="37"/>
      <c r="YO72" s="37"/>
      <c r="YP72" s="37"/>
      <c r="YQ72" s="37"/>
      <c r="YR72" s="37"/>
      <c r="YS72" s="37"/>
      <c r="YT72" s="37"/>
      <c r="YU72" s="37"/>
      <c r="YV72" s="37"/>
      <c r="YW72" s="37"/>
      <c r="YX72" s="37"/>
      <c r="YY72" s="37"/>
      <c r="YZ72" s="37"/>
      <c r="ZA72" s="37"/>
      <c r="ZB72" s="37"/>
      <c r="ZC72" s="37"/>
      <c r="ZD72" s="37"/>
      <c r="ZE72" s="37"/>
      <c r="ZF72" s="37"/>
      <c r="ZG72" s="37"/>
      <c r="ZH72" s="37"/>
      <c r="ZI72" s="37"/>
      <c r="ZJ72" s="37"/>
      <c r="ZK72" s="37"/>
      <c r="ZL72" s="37"/>
      <c r="ZM72" s="37"/>
      <c r="ZN72" s="37"/>
      <c r="ZO72" s="37"/>
      <c r="ZP72" s="37"/>
      <c r="ZQ72" s="37"/>
      <c r="ZR72" s="37"/>
      <c r="ZS72" s="37"/>
      <c r="ZT72" s="37"/>
      <c r="ZU72" s="37"/>
      <c r="ZV72" s="37"/>
      <c r="ZW72" s="37"/>
      <c r="ZX72" s="37"/>
      <c r="ZY72" s="37"/>
      <c r="ZZ72" s="37"/>
      <c r="AAA72" s="37"/>
      <c r="AAB72" s="37"/>
      <c r="AAC72" s="37"/>
      <c r="AAD72" s="37"/>
      <c r="AAE72" s="37"/>
      <c r="AAF72" s="37"/>
      <c r="AAG72" s="37"/>
      <c r="AAH72" s="37"/>
      <c r="AAI72" s="37"/>
      <c r="AAJ72" s="37"/>
      <c r="AAK72" s="37"/>
      <c r="AAL72" s="37"/>
      <c r="AAM72" s="37"/>
      <c r="AAN72" s="37"/>
      <c r="AAO72" s="37"/>
      <c r="AAP72" s="37"/>
      <c r="AAQ72" s="37"/>
      <c r="AAR72" s="37"/>
      <c r="AAS72" s="37"/>
      <c r="AAT72" s="37"/>
      <c r="AAU72" s="37"/>
      <c r="AAV72" s="37"/>
      <c r="AAW72" s="37"/>
      <c r="AAX72" s="37"/>
      <c r="AAY72" s="37"/>
      <c r="AAZ72" s="37"/>
      <c r="ABA72" s="37"/>
      <c r="ABB72" s="37"/>
      <c r="ABC72" s="37"/>
      <c r="ABD72" s="37"/>
      <c r="ABE72" s="37"/>
      <c r="ABF72" s="37"/>
      <c r="ABG72" s="37"/>
      <c r="ABH72" s="37"/>
      <c r="ABI72" s="37"/>
      <c r="ABJ72" s="37"/>
      <c r="ABK72" s="37"/>
      <c r="ABL72" s="37"/>
      <c r="ABM72" s="37"/>
      <c r="ABN72" s="37"/>
      <c r="ABO72" s="37"/>
      <c r="ABP72" s="37"/>
      <c r="ABQ72" s="37"/>
      <c r="ABR72" s="37"/>
      <c r="ABS72" s="37"/>
      <c r="ABT72" s="37"/>
      <c r="ABU72" s="37"/>
      <c r="ABV72" s="37"/>
      <c r="ABW72" s="37"/>
      <c r="ABX72" s="37"/>
      <c r="ABY72" s="37"/>
      <c r="ABZ72" s="37"/>
      <c r="ACA72" s="37"/>
      <c r="ACB72" s="37"/>
      <c r="ACC72" s="37"/>
      <c r="ACD72" s="37"/>
      <c r="ACE72" s="37"/>
      <c r="ACF72" s="37"/>
      <c r="ACG72" s="37"/>
      <c r="ACH72" s="37"/>
      <c r="ACI72" s="37"/>
      <c r="ACJ72" s="37"/>
      <c r="ACK72" s="37"/>
      <c r="ACL72" s="37"/>
      <c r="ACM72" s="37"/>
      <c r="ACN72" s="37"/>
      <c r="ACO72" s="37"/>
      <c r="ACP72" s="37"/>
      <c r="ACQ72" s="37"/>
      <c r="ACR72" s="37"/>
      <c r="ACS72" s="37"/>
      <c r="ACT72" s="37"/>
      <c r="ACU72" s="37"/>
      <c r="ACV72" s="37"/>
      <c r="ACW72" s="37"/>
      <c r="ACX72" s="37"/>
      <c r="ACY72" s="37"/>
      <c r="ACZ72" s="37"/>
      <c r="ADA72" s="37"/>
      <c r="ADB72" s="37"/>
      <c r="ADC72" s="37"/>
      <c r="ADD72" s="37"/>
      <c r="ADE72" s="37"/>
      <c r="ADF72" s="37"/>
      <c r="ADG72" s="37"/>
      <c r="ADH72" s="37"/>
      <c r="ADI72" s="37"/>
      <c r="ADJ72" s="37"/>
      <c r="ADK72" s="37"/>
      <c r="ADL72" s="37"/>
      <c r="ADM72" s="37"/>
      <c r="ADN72" s="37"/>
      <c r="ADO72" s="37"/>
      <c r="ADP72" s="37"/>
      <c r="ADQ72" s="37"/>
      <c r="ADR72" s="37"/>
      <c r="ADS72" s="37"/>
      <c r="ADT72" s="37"/>
      <c r="ADU72" s="37"/>
      <c r="ADV72" s="37"/>
      <c r="ADW72" s="37"/>
      <c r="ADX72" s="37"/>
      <c r="ADY72" s="37"/>
      <c r="ADZ72" s="37"/>
      <c r="AEA72" s="37"/>
      <c r="AEB72" s="37"/>
      <c r="AEC72" s="37"/>
      <c r="AED72" s="37"/>
      <c r="AEE72" s="37"/>
      <c r="AEF72" s="37"/>
      <c r="AEG72" s="37"/>
      <c r="AEH72" s="37"/>
      <c r="AEI72" s="37"/>
      <c r="AEJ72" s="37"/>
      <c r="AEK72" s="37"/>
      <c r="AEL72" s="37"/>
      <c r="AEM72" s="37"/>
      <c r="AEN72" s="37"/>
      <c r="AEO72" s="37"/>
      <c r="AEP72" s="37"/>
      <c r="AEQ72" s="37"/>
      <c r="AER72" s="37"/>
      <c r="AES72" s="37"/>
      <c r="AET72" s="37"/>
      <c r="AEU72" s="37"/>
      <c r="AEV72" s="37"/>
      <c r="AEW72" s="37"/>
      <c r="AEX72" s="37"/>
      <c r="AEY72" s="37"/>
      <c r="AEZ72" s="37"/>
      <c r="AFA72" s="37"/>
      <c r="AFB72" s="37"/>
      <c r="AFC72" s="37"/>
      <c r="AFD72" s="37"/>
      <c r="AFE72" s="37"/>
      <c r="AFF72" s="37"/>
      <c r="AFG72" s="37"/>
      <c r="AFH72" s="37"/>
      <c r="AFI72" s="37"/>
      <c r="AFJ72" s="37"/>
      <c r="AFK72" s="37"/>
      <c r="AFL72" s="37"/>
      <c r="AFM72" s="37"/>
      <c r="AFN72" s="37"/>
      <c r="AFO72" s="37"/>
      <c r="AFP72" s="37"/>
      <c r="AFQ72" s="37"/>
      <c r="AFR72" s="37"/>
      <c r="AFS72" s="37"/>
      <c r="AFT72" s="37"/>
      <c r="AFU72" s="37"/>
      <c r="AFV72" s="37"/>
      <c r="AFW72" s="37"/>
      <c r="AFX72" s="37"/>
      <c r="AFY72" s="37"/>
      <c r="AFZ72" s="37"/>
      <c r="AGA72" s="37"/>
      <c r="AGB72" s="37"/>
      <c r="AGC72" s="37"/>
      <c r="AGD72" s="37"/>
      <c r="AGE72" s="37"/>
      <c r="AGF72" s="37"/>
      <c r="AGG72" s="37"/>
      <c r="AGH72" s="37"/>
      <c r="AGI72" s="37"/>
      <c r="AGJ72" s="37"/>
      <c r="AGK72" s="37"/>
      <c r="AGL72" s="37"/>
      <c r="AGM72" s="37"/>
      <c r="AGN72" s="37"/>
      <c r="AGO72" s="37"/>
      <c r="AGP72" s="37"/>
      <c r="AGQ72" s="37"/>
      <c r="AGR72" s="37"/>
      <c r="AGS72" s="37"/>
      <c r="AGT72" s="37"/>
      <c r="AGU72" s="37"/>
      <c r="AGV72" s="37"/>
      <c r="AGW72" s="37"/>
      <c r="AGX72" s="37"/>
      <c r="AGY72" s="37"/>
      <c r="AGZ72" s="37"/>
      <c r="AHA72" s="37"/>
      <c r="AHB72" s="37"/>
      <c r="AHC72" s="37"/>
      <c r="AHD72" s="37"/>
      <c r="AHE72" s="37"/>
      <c r="AHF72" s="37"/>
      <c r="AHG72" s="37"/>
      <c r="AHH72" s="37"/>
      <c r="AHI72" s="37"/>
      <c r="AHJ72" s="37"/>
      <c r="AHK72" s="37"/>
      <c r="AHL72" s="37"/>
      <c r="AHM72" s="37"/>
      <c r="AHN72" s="37"/>
      <c r="AHO72" s="37"/>
      <c r="AHP72" s="37"/>
      <c r="AHQ72" s="37"/>
      <c r="AHR72" s="37"/>
      <c r="AHS72" s="37"/>
      <c r="AHT72" s="37"/>
      <c r="AHU72" s="37"/>
      <c r="AHV72" s="37"/>
      <c r="AHW72" s="37"/>
      <c r="AHX72" s="37"/>
      <c r="AHY72" s="37"/>
      <c r="AHZ72" s="37"/>
      <c r="AIA72" s="37"/>
      <c r="AIB72" s="37"/>
      <c r="AIC72" s="37"/>
      <c r="AID72" s="37"/>
      <c r="AIE72" s="37"/>
      <c r="AIF72" s="37"/>
      <c r="AIG72" s="37"/>
      <c r="AIH72" s="37"/>
      <c r="AII72" s="37"/>
      <c r="AIJ72" s="37"/>
      <c r="AIK72" s="37"/>
      <c r="AIL72" s="37"/>
      <c r="AIM72" s="37"/>
      <c r="AIN72" s="37"/>
      <c r="AIO72" s="37"/>
      <c r="AIP72" s="37"/>
      <c r="AIQ72" s="37"/>
      <c r="AIR72" s="37"/>
      <c r="AIS72" s="37"/>
      <c r="AIT72" s="37"/>
      <c r="AIU72" s="37"/>
      <c r="AIV72" s="37"/>
      <c r="AIW72" s="37"/>
      <c r="AIX72" s="37"/>
      <c r="AIY72" s="37"/>
      <c r="AIZ72" s="37"/>
      <c r="AJA72" s="37"/>
      <c r="AJB72" s="37"/>
      <c r="AJC72" s="37"/>
      <c r="AJD72" s="37"/>
      <c r="AJE72" s="37"/>
      <c r="AJF72" s="37"/>
      <c r="AJG72" s="37"/>
      <c r="AJH72" s="37"/>
      <c r="AJI72" s="37"/>
      <c r="AJJ72" s="37"/>
      <c r="AJK72" s="37"/>
      <c r="AJL72" s="37"/>
      <c r="AJM72" s="37"/>
      <c r="AJN72" s="37"/>
      <c r="AJO72" s="37"/>
      <c r="AJP72" s="37"/>
      <c r="AJQ72" s="37"/>
      <c r="AJR72" s="37"/>
      <c r="AJS72" s="37"/>
      <c r="AJT72" s="37"/>
      <c r="AJU72" s="37"/>
      <c r="AJV72" s="37"/>
      <c r="AJW72" s="37"/>
      <c r="AJX72" s="37"/>
      <c r="AJY72" s="37"/>
      <c r="AJZ72" s="37"/>
      <c r="AKA72" s="37"/>
      <c r="AKB72" s="37"/>
      <c r="AKC72" s="37"/>
      <c r="AKD72" s="37"/>
      <c r="AKE72" s="37"/>
      <c r="AKF72" s="37"/>
      <c r="AKG72" s="37"/>
      <c r="AKH72" s="37"/>
      <c r="AKI72" s="37"/>
      <c r="AKJ72" s="37"/>
      <c r="AKK72" s="37"/>
      <c r="AKL72" s="37"/>
      <c r="AKM72" s="37"/>
      <c r="AKN72" s="37"/>
      <c r="AKO72" s="37"/>
      <c r="AKP72" s="37"/>
      <c r="AKQ72" s="37"/>
      <c r="AKR72" s="37"/>
      <c r="AKS72" s="37"/>
      <c r="AKT72" s="37"/>
      <c r="AKU72" s="37"/>
      <c r="AKV72" s="37"/>
      <c r="AKW72" s="37"/>
      <c r="AKX72" s="37"/>
      <c r="AKY72" s="37"/>
      <c r="AKZ72" s="37"/>
      <c r="ALA72" s="37"/>
      <c r="ALB72" s="37"/>
      <c r="ALC72" s="37"/>
      <c r="ALD72" s="37"/>
      <c r="ALE72" s="37"/>
      <c r="ALF72" s="37"/>
      <c r="ALG72" s="37"/>
      <c r="ALH72" s="37"/>
      <c r="ALI72" s="37"/>
      <c r="ALJ72" s="37"/>
      <c r="ALK72" s="37"/>
      <c r="ALL72" s="37"/>
      <c r="ALM72" s="37"/>
      <c r="ALN72" s="37"/>
      <c r="ALO72" s="37"/>
      <c r="ALP72" s="37"/>
      <c r="ALQ72" s="37"/>
      <c r="ALR72" s="37"/>
      <c r="ALS72" s="37"/>
      <c r="ALT72" s="37"/>
      <c r="ALU72" s="37"/>
      <c r="ALV72" s="37"/>
      <c r="ALW72" s="37"/>
      <c r="ALX72" s="37"/>
      <c r="ALY72" s="37"/>
      <c r="ALZ72" s="37"/>
      <c r="AMA72" s="37"/>
      <c r="AMB72" s="37"/>
      <c r="AMC72" s="37"/>
    </row>
    <row r="73" spans="1:1017" s="38" customFormat="1" ht="19.5" customHeight="1">
      <c r="A73" s="75"/>
      <c r="B73" s="76"/>
      <c r="C73" s="75"/>
      <c r="D73" s="75"/>
      <c r="E73" s="75"/>
      <c r="F73" s="75"/>
      <c r="G73" s="77">
        <v>46</v>
      </c>
      <c r="H73" s="77">
        <v>61</v>
      </c>
      <c r="I73" s="77">
        <v>19</v>
      </c>
      <c r="J73" s="77">
        <v>14</v>
      </c>
      <c r="K73" s="77">
        <v>96</v>
      </c>
      <c r="L73" s="77">
        <v>90</v>
      </c>
      <c r="M73" s="77">
        <v>104</v>
      </c>
      <c r="N73" s="77"/>
      <c r="O73" s="7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/>
      <c r="OQ73" s="37"/>
      <c r="OR73" s="37"/>
      <c r="OS73" s="37"/>
      <c r="OT73" s="37"/>
      <c r="OU73" s="37"/>
      <c r="OV73" s="37"/>
      <c r="OW73" s="37"/>
      <c r="OX73" s="37"/>
      <c r="OY73" s="37"/>
      <c r="OZ73" s="37"/>
      <c r="PA73" s="37"/>
      <c r="PB73" s="37"/>
      <c r="PC73" s="37"/>
      <c r="PD73" s="37"/>
      <c r="PE73" s="37"/>
      <c r="PF73" s="37"/>
      <c r="PG73" s="37"/>
      <c r="PH73" s="37"/>
      <c r="PI73" s="37"/>
      <c r="PJ73" s="37"/>
      <c r="PK73" s="37"/>
      <c r="PL73" s="37"/>
      <c r="PM73" s="37"/>
      <c r="PN73" s="37"/>
      <c r="PO73" s="37"/>
      <c r="PP73" s="37"/>
      <c r="PQ73" s="37"/>
      <c r="PR73" s="37"/>
      <c r="PS73" s="37"/>
      <c r="PT73" s="37"/>
      <c r="PU73" s="37"/>
      <c r="PV73" s="37"/>
      <c r="PW73" s="37"/>
      <c r="PX73" s="37"/>
      <c r="PY73" s="37"/>
      <c r="PZ73" s="37"/>
      <c r="QA73" s="37"/>
      <c r="QB73" s="37"/>
      <c r="QC73" s="37"/>
      <c r="QD73" s="37"/>
      <c r="QE73" s="37"/>
      <c r="QF73" s="37"/>
      <c r="QG73" s="37"/>
      <c r="QH73" s="37"/>
      <c r="QI73" s="37"/>
      <c r="QJ73" s="37"/>
      <c r="QK73" s="37"/>
      <c r="QL73" s="37"/>
      <c r="QM73" s="37"/>
      <c r="QN73" s="37"/>
      <c r="QO73" s="37"/>
      <c r="QP73" s="37"/>
      <c r="QQ73" s="37"/>
      <c r="QR73" s="37"/>
      <c r="QS73" s="37"/>
      <c r="QT73" s="37"/>
      <c r="QU73" s="37"/>
      <c r="QV73" s="37"/>
      <c r="QW73" s="37"/>
      <c r="QX73" s="37"/>
      <c r="QY73" s="37"/>
      <c r="QZ73" s="37"/>
      <c r="RA73" s="37"/>
      <c r="RB73" s="37"/>
      <c r="RC73" s="37"/>
      <c r="RD73" s="37"/>
      <c r="RE73" s="37"/>
      <c r="RF73" s="37"/>
      <c r="RG73" s="37"/>
      <c r="RH73" s="37"/>
      <c r="RI73" s="37"/>
      <c r="RJ73" s="37"/>
      <c r="RK73" s="37"/>
      <c r="RL73" s="37"/>
      <c r="RM73" s="37"/>
      <c r="RN73" s="37"/>
      <c r="RO73" s="37"/>
      <c r="RP73" s="37"/>
      <c r="RQ73" s="37"/>
      <c r="RR73" s="37"/>
      <c r="RS73" s="37"/>
      <c r="RT73" s="37"/>
      <c r="RU73" s="37"/>
      <c r="RV73" s="37"/>
      <c r="RW73" s="37"/>
      <c r="RX73" s="37"/>
      <c r="RY73" s="37"/>
      <c r="RZ73" s="37"/>
      <c r="SA73" s="37"/>
      <c r="SB73" s="37"/>
      <c r="SC73" s="37"/>
      <c r="SD73" s="37"/>
      <c r="SE73" s="37"/>
      <c r="SF73" s="37"/>
      <c r="SG73" s="37"/>
      <c r="SH73" s="37"/>
      <c r="SI73" s="37"/>
      <c r="SJ73" s="37"/>
      <c r="SK73" s="37"/>
      <c r="SL73" s="37"/>
      <c r="SM73" s="37"/>
      <c r="SN73" s="37"/>
      <c r="SO73" s="37"/>
      <c r="SP73" s="37"/>
      <c r="SQ73" s="37"/>
      <c r="SR73" s="37"/>
      <c r="SS73" s="37"/>
      <c r="ST73" s="37"/>
      <c r="SU73" s="37"/>
      <c r="SV73" s="37"/>
      <c r="SW73" s="37"/>
      <c r="SX73" s="37"/>
      <c r="SY73" s="37"/>
      <c r="SZ73" s="37"/>
      <c r="TA73" s="37"/>
      <c r="TB73" s="37"/>
      <c r="TC73" s="37"/>
      <c r="TD73" s="37"/>
      <c r="TE73" s="37"/>
      <c r="TF73" s="37"/>
      <c r="TG73" s="37"/>
      <c r="TH73" s="37"/>
      <c r="TI73" s="37"/>
      <c r="TJ73" s="37"/>
      <c r="TK73" s="37"/>
      <c r="TL73" s="37"/>
      <c r="TM73" s="37"/>
      <c r="TN73" s="37"/>
      <c r="TO73" s="37"/>
      <c r="TP73" s="37"/>
      <c r="TQ73" s="37"/>
      <c r="TR73" s="37"/>
      <c r="TS73" s="37"/>
      <c r="TT73" s="37"/>
      <c r="TU73" s="37"/>
      <c r="TV73" s="37"/>
      <c r="TW73" s="37"/>
      <c r="TX73" s="37"/>
      <c r="TY73" s="37"/>
      <c r="TZ73" s="37"/>
      <c r="UA73" s="37"/>
      <c r="UB73" s="37"/>
      <c r="UC73" s="37"/>
      <c r="UD73" s="37"/>
      <c r="UE73" s="37"/>
      <c r="UF73" s="37"/>
      <c r="UG73" s="37"/>
      <c r="UH73" s="37"/>
      <c r="UI73" s="37"/>
      <c r="UJ73" s="37"/>
      <c r="UK73" s="37"/>
      <c r="UL73" s="37"/>
      <c r="UM73" s="37"/>
      <c r="UN73" s="37"/>
      <c r="UO73" s="37"/>
      <c r="UP73" s="37"/>
      <c r="UQ73" s="37"/>
      <c r="UR73" s="37"/>
      <c r="US73" s="37"/>
      <c r="UT73" s="37"/>
      <c r="UU73" s="37"/>
      <c r="UV73" s="37"/>
      <c r="UW73" s="37"/>
      <c r="UX73" s="37"/>
      <c r="UY73" s="37"/>
      <c r="UZ73" s="37"/>
      <c r="VA73" s="37"/>
      <c r="VB73" s="37"/>
      <c r="VC73" s="37"/>
      <c r="VD73" s="37"/>
      <c r="VE73" s="37"/>
      <c r="VF73" s="37"/>
      <c r="VG73" s="37"/>
      <c r="VH73" s="37"/>
      <c r="VI73" s="37"/>
      <c r="VJ73" s="37"/>
      <c r="VK73" s="37"/>
      <c r="VL73" s="37"/>
      <c r="VM73" s="37"/>
      <c r="VN73" s="37"/>
      <c r="VO73" s="37"/>
      <c r="VP73" s="37"/>
      <c r="VQ73" s="37"/>
      <c r="VR73" s="37"/>
      <c r="VS73" s="37"/>
      <c r="VT73" s="37"/>
      <c r="VU73" s="37"/>
      <c r="VV73" s="37"/>
      <c r="VW73" s="37"/>
      <c r="VX73" s="37"/>
      <c r="VY73" s="37"/>
      <c r="VZ73" s="37"/>
      <c r="WA73" s="37"/>
      <c r="WB73" s="37"/>
      <c r="WC73" s="37"/>
      <c r="WD73" s="37"/>
      <c r="WE73" s="37"/>
      <c r="WF73" s="37"/>
      <c r="WG73" s="37"/>
      <c r="WH73" s="37"/>
      <c r="WI73" s="37"/>
      <c r="WJ73" s="37"/>
      <c r="WK73" s="37"/>
      <c r="WL73" s="37"/>
      <c r="WM73" s="37"/>
      <c r="WN73" s="37"/>
      <c r="WO73" s="37"/>
      <c r="WP73" s="37"/>
      <c r="WQ73" s="37"/>
      <c r="WR73" s="37"/>
      <c r="WS73" s="37"/>
      <c r="WT73" s="37"/>
      <c r="WU73" s="37"/>
      <c r="WV73" s="37"/>
      <c r="WW73" s="37"/>
      <c r="WX73" s="37"/>
      <c r="WY73" s="37"/>
      <c r="WZ73" s="37"/>
      <c r="XA73" s="37"/>
      <c r="XB73" s="37"/>
      <c r="XC73" s="37"/>
      <c r="XD73" s="37"/>
      <c r="XE73" s="37"/>
      <c r="XF73" s="37"/>
      <c r="XG73" s="37"/>
      <c r="XH73" s="37"/>
      <c r="XI73" s="37"/>
      <c r="XJ73" s="37"/>
      <c r="XK73" s="37"/>
      <c r="XL73" s="37"/>
      <c r="XM73" s="37"/>
      <c r="XN73" s="37"/>
      <c r="XO73" s="37"/>
      <c r="XP73" s="37"/>
      <c r="XQ73" s="37"/>
      <c r="XR73" s="37"/>
      <c r="XS73" s="37"/>
      <c r="XT73" s="37"/>
      <c r="XU73" s="37"/>
      <c r="XV73" s="37"/>
      <c r="XW73" s="37"/>
      <c r="XX73" s="37"/>
      <c r="XY73" s="37"/>
      <c r="XZ73" s="37"/>
      <c r="YA73" s="37"/>
      <c r="YB73" s="37"/>
      <c r="YC73" s="37"/>
      <c r="YD73" s="37"/>
      <c r="YE73" s="37"/>
      <c r="YF73" s="37"/>
      <c r="YG73" s="37"/>
      <c r="YH73" s="37"/>
      <c r="YI73" s="37"/>
      <c r="YJ73" s="37"/>
      <c r="YK73" s="37"/>
      <c r="YL73" s="37"/>
      <c r="YM73" s="37"/>
      <c r="YN73" s="37"/>
      <c r="YO73" s="37"/>
      <c r="YP73" s="37"/>
      <c r="YQ73" s="37"/>
      <c r="YR73" s="37"/>
      <c r="YS73" s="37"/>
      <c r="YT73" s="37"/>
      <c r="YU73" s="37"/>
      <c r="YV73" s="37"/>
      <c r="YW73" s="37"/>
      <c r="YX73" s="37"/>
      <c r="YY73" s="37"/>
      <c r="YZ73" s="37"/>
      <c r="ZA73" s="37"/>
      <c r="ZB73" s="37"/>
      <c r="ZC73" s="37"/>
      <c r="ZD73" s="37"/>
      <c r="ZE73" s="37"/>
      <c r="ZF73" s="37"/>
      <c r="ZG73" s="37"/>
      <c r="ZH73" s="37"/>
      <c r="ZI73" s="37"/>
      <c r="ZJ73" s="37"/>
      <c r="ZK73" s="37"/>
      <c r="ZL73" s="37"/>
      <c r="ZM73" s="37"/>
      <c r="ZN73" s="37"/>
      <c r="ZO73" s="37"/>
      <c r="ZP73" s="37"/>
      <c r="ZQ73" s="37"/>
      <c r="ZR73" s="37"/>
      <c r="ZS73" s="37"/>
      <c r="ZT73" s="37"/>
      <c r="ZU73" s="37"/>
      <c r="ZV73" s="37"/>
      <c r="ZW73" s="37"/>
      <c r="ZX73" s="37"/>
      <c r="ZY73" s="37"/>
      <c r="ZZ73" s="37"/>
      <c r="AAA73" s="37"/>
      <c r="AAB73" s="37"/>
      <c r="AAC73" s="37"/>
      <c r="AAD73" s="37"/>
      <c r="AAE73" s="37"/>
      <c r="AAF73" s="37"/>
      <c r="AAG73" s="37"/>
      <c r="AAH73" s="37"/>
      <c r="AAI73" s="37"/>
      <c r="AAJ73" s="37"/>
      <c r="AAK73" s="37"/>
      <c r="AAL73" s="37"/>
      <c r="AAM73" s="37"/>
      <c r="AAN73" s="37"/>
      <c r="AAO73" s="37"/>
      <c r="AAP73" s="37"/>
      <c r="AAQ73" s="37"/>
      <c r="AAR73" s="37"/>
      <c r="AAS73" s="37"/>
      <c r="AAT73" s="37"/>
      <c r="AAU73" s="37"/>
      <c r="AAV73" s="37"/>
      <c r="AAW73" s="37"/>
      <c r="AAX73" s="37"/>
      <c r="AAY73" s="37"/>
      <c r="AAZ73" s="37"/>
      <c r="ABA73" s="37"/>
      <c r="ABB73" s="37"/>
      <c r="ABC73" s="37"/>
      <c r="ABD73" s="37"/>
      <c r="ABE73" s="37"/>
      <c r="ABF73" s="37"/>
      <c r="ABG73" s="37"/>
      <c r="ABH73" s="37"/>
      <c r="ABI73" s="37"/>
      <c r="ABJ73" s="37"/>
      <c r="ABK73" s="37"/>
      <c r="ABL73" s="37"/>
      <c r="ABM73" s="37"/>
      <c r="ABN73" s="37"/>
      <c r="ABO73" s="37"/>
      <c r="ABP73" s="37"/>
      <c r="ABQ73" s="37"/>
      <c r="ABR73" s="37"/>
      <c r="ABS73" s="37"/>
      <c r="ABT73" s="37"/>
      <c r="ABU73" s="37"/>
      <c r="ABV73" s="37"/>
      <c r="ABW73" s="37"/>
      <c r="ABX73" s="37"/>
      <c r="ABY73" s="37"/>
      <c r="ABZ73" s="37"/>
      <c r="ACA73" s="37"/>
      <c r="ACB73" s="37"/>
      <c r="ACC73" s="37"/>
      <c r="ACD73" s="37"/>
      <c r="ACE73" s="37"/>
      <c r="ACF73" s="37"/>
      <c r="ACG73" s="37"/>
      <c r="ACH73" s="37"/>
      <c r="ACI73" s="37"/>
      <c r="ACJ73" s="37"/>
      <c r="ACK73" s="37"/>
      <c r="ACL73" s="37"/>
      <c r="ACM73" s="37"/>
      <c r="ACN73" s="37"/>
      <c r="ACO73" s="37"/>
      <c r="ACP73" s="37"/>
      <c r="ACQ73" s="37"/>
      <c r="ACR73" s="37"/>
      <c r="ACS73" s="37"/>
      <c r="ACT73" s="37"/>
      <c r="ACU73" s="37"/>
      <c r="ACV73" s="37"/>
      <c r="ACW73" s="37"/>
      <c r="ACX73" s="37"/>
      <c r="ACY73" s="37"/>
      <c r="ACZ73" s="37"/>
      <c r="ADA73" s="37"/>
      <c r="ADB73" s="37"/>
      <c r="ADC73" s="37"/>
      <c r="ADD73" s="37"/>
      <c r="ADE73" s="37"/>
      <c r="ADF73" s="37"/>
      <c r="ADG73" s="37"/>
      <c r="ADH73" s="37"/>
      <c r="ADI73" s="37"/>
      <c r="ADJ73" s="37"/>
      <c r="ADK73" s="37"/>
      <c r="ADL73" s="37"/>
      <c r="ADM73" s="37"/>
      <c r="ADN73" s="37"/>
      <c r="ADO73" s="37"/>
      <c r="ADP73" s="37"/>
      <c r="ADQ73" s="37"/>
      <c r="ADR73" s="37"/>
      <c r="ADS73" s="37"/>
      <c r="ADT73" s="37"/>
      <c r="ADU73" s="37"/>
      <c r="ADV73" s="37"/>
      <c r="ADW73" s="37"/>
      <c r="ADX73" s="37"/>
      <c r="ADY73" s="37"/>
      <c r="ADZ73" s="37"/>
      <c r="AEA73" s="37"/>
      <c r="AEB73" s="37"/>
      <c r="AEC73" s="37"/>
      <c r="AED73" s="37"/>
      <c r="AEE73" s="37"/>
      <c r="AEF73" s="37"/>
      <c r="AEG73" s="37"/>
      <c r="AEH73" s="37"/>
      <c r="AEI73" s="37"/>
      <c r="AEJ73" s="37"/>
      <c r="AEK73" s="37"/>
      <c r="AEL73" s="37"/>
      <c r="AEM73" s="37"/>
      <c r="AEN73" s="37"/>
      <c r="AEO73" s="37"/>
      <c r="AEP73" s="37"/>
      <c r="AEQ73" s="37"/>
      <c r="AER73" s="37"/>
      <c r="AES73" s="37"/>
      <c r="AET73" s="37"/>
      <c r="AEU73" s="37"/>
      <c r="AEV73" s="37"/>
      <c r="AEW73" s="37"/>
      <c r="AEX73" s="37"/>
      <c r="AEY73" s="37"/>
      <c r="AEZ73" s="37"/>
      <c r="AFA73" s="37"/>
      <c r="AFB73" s="37"/>
      <c r="AFC73" s="37"/>
      <c r="AFD73" s="37"/>
      <c r="AFE73" s="37"/>
      <c r="AFF73" s="37"/>
      <c r="AFG73" s="37"/>
      <c r="AFH73" s="37"/>
      <c r="AFI73" s="37"/>
      <c r="AFJ73" s="37"/>
      <c r="AFK73" s="37"/>
      <c r="AFL73" s="37"/>
      <c r="AFM73" s="37"/>
      <c r="AFN73" s="37"/>
      <c r="AFO73" s="37"/>
      <c r="AFP73" s="37"/>
      <c r="AFQ73" s="37"/>
      <c r="AFR73" s="37"/>
      <c r="AFS73" s="37"/>
      <c r="AFT73" s="37"/>
      <c r="AFU73" s="37"/>
      <c r="AFV73" s="37"/>
      <c r="AFW73" s="37"/>
      <c r="AFX73" s="37"/>
      <c r="AFY73" s="37"/>
      <c r="AFZ73" s="37"/>
      <c r="AGA73" s="37"/>
      <c r="AGB73" s="37"/>
      <c r="AGC73" s="37"/>
      <c r="AGD73" s="37"/>
      <c r="AGE73" s="37"/>
      <c r="AGF73" s="37"/>
      <c r="AGG73" s="37"/>
      <c r="AGH73" s="37"/>
      <c r="AGI73" s="37"/>
      <c r="AGJ73" s="37"/>
      <c r="AGK73" s="37"/>
      <c r="AGL73" s="37"/>
      <c r="AGM73" s="37"/>
      <c r="AGN73" s="37"/>
      <c r="AGO73" s="37"/>
      <c r="AGP73" s="37"/>
      <c r="AGQ73" s="37"/>
      <c r="AGR73" s="37"/>
      <c r="AGS73" s="37"/>
      <c r="AGT73" s="37"/>
      <c r="AGU73" s="37"/>
      <c r="AGV73" s="37"/>
      <c r="AGW73" s="37"/>
      <c r="AGX73" s="37"/>
      <c r="AGY73" s="37"/>
      <c r="AGZ73" s="37"/>
      <c r="AHA73" s="37"/>
      <c r="AHB73" s="37"/>
      <c r="AHC73" s="37"/>
      <c r="AHD73" s="37"/>
      <c r="AHE73" s="37"/>
      <c r="AHF73" s="37"/>
      <c r="AHG73" s="37"/>
      <c r="AHH73" s="37"/>
      <c r="AHI73" s="37"/>
      <c r="AHJ73" s="37"/>
      <c r="AHK73" s="37"/>
      <c r="AHL73" s="37"/>
      <c r="AHM73" s="37"/>
      <c r="AHN73" s="37"/>
      <c r="AHO73" s="37"/>
      <c r="AHP73" s="37"/>
      <c r="AHQ73" s="37"/>
      <c r="AHR73" s="37"/>
      <c r="AHS73" s="37"/>
      <c r="AHT73" s="37"/>
      <c r="AHU73" s="37"/>
      <c r="AHV73" s="37"/>
      <c r="AHW73" s="37"/>
      <c r="AHX73" s="37"/>
      <c r="AHY73" s="37"/>
      <c r="AHZ73" s="37"/>
      <c r="AIA73" s="37"/>
      <c r="AIB73" s="37"/>
      <c r="AIC73" s="37"/>
      <c r="AID73" s="37"/>
      <c r="AIE73" s="37"/>
      <c r="AIF73" s="37"/>
      <c r="AIG73" s="37"/>
      <c r="AIH73" s="37"/>
      <c r="AII73" s="37"/>
      <c r="AIJ73" s="37"/>
      <c r="AIK73" s="37"/>
      <c r="AIL73" s="37"/>
      <c r="AIM73" s="37"/>
      <c r="AIN73" s="37"/>
      <c r="AIO73" s="37"/>
      <c r="AIP73" s="37"/>
      <c r="AIQ73" s="37"/>
      <c r="AIR73" s="37"/>
      <c r="AIS73" s="37"/>
      <c r="AIT73" s="37"/>
      <c r="AIU73" s="37"/>
      <c r="AIV73" s="37"/>
      <c r="AIW73" s="37"/>
      <c r="AIX73" s="37"/>
      <c r="AIY73" s="37"/>
      <c r="AIZ73" s="37"/>
      <c r="AJA73" s="37"/>
      <c r="AJB73" s="37"/>
      <c r="AJC73" s="37"/>
      <c r="AJD73" s="37"/>
      <c r="AJE73" s="37"/>
      <c r="AJF73" s="37"/>
      <c r="AJG73" s="37"/>
      <c r="AJH73" s="37"/>
      <c r="AJI73" s="37"/>
      <c r="AJJ73" s="37"/>
      <c r="AJK73" s="37"/>
      <c r="AJL73" s="37"/>
      <c r="AJM73" s="37"/>
      <c r="AJN73" s="37"/>
      <c r="AJO73" s="37"/>
      <c r="AJP73" s="37"/>
      <c r="AJQ73" s="37"/>
      <c r="AJR73" s="37"/>
      <c r="AJS73" s="37"/>
      <c r="AJT73" s="37"/>
      <c r="AJU73" s="37"/>
      <c r="AJV73" s="37"/>
      <c r="AJW73" s="37"/>
      <c r="AJX73" s="37"/>
      <c r="AJY73" s="37"/>
      <c r="AJZ73" s="37"/>
      <c r="AKA73" s="37"/>
      <c r="AKB73" s="37"/>
      <c r="AKC73" s="37"/>
      <c r="AKD73" s="37"/>
      <c r="AKE73" s="37"/>
      <c r="AKF73" s="37"/>
      <c r="AKG73" s="37"/>
      <c r="AKH73" s="37"/>
      <c r="AKI73" s="37"/>
      <c r="AKJ73" s="37"/>
      <c r="AKK73" s="37"/>
      <c r="AKL73" s="37"/>
      <c r="AKM73" s="37"/>
      <c r="AKN73" s="37"/>
      <c r="AKO73" s="37"/>
      <c r="AKP73" s="37"/>
      <c r="AKQ73" s="37"/>
      <c r="AKR73" s="37"/>
      <c r="AKS73" s="37"/>
      <c r="AKT73" s="37"/>
      <c r="AKU73" s="37"/>
      <c r="AKV73" s="37"/>
      <c r="AKW73" s="37"/>
      <c r="AKX73" s="37"/>
      <c r="AKY73" s="37"/>
      <c r="AKZ73" s="37"/>
      <c r="ALA73" s="37"/>
      <c r="ALB73" s="37"/>
      <c r="ALC73" s="37"/>
      <c r="ALD73" s="37"/>
      <c r="ALE73" s="37"/>
      <c r="ALF73" s="37"/>
      <c r="ALG73" s="37"/>
      <c r="ALH73" s="37"/>
      <c r="ALI73" s="37"/>
      <c r="ALJ73" s="37"/>
      <c r="ALK73" s="37"/>
      <c r="ALL73" s="37"/>
      <c r="ALM73" s="37"/>
      <c r="ALN73" s="37"/>
      <c r="ALO73" s="37"/>
      <c r="ALP73" s="37"/>
      <c r="ALQ73" s="37"/>
      <c r="ALR73" s="37"/>
      <c r="ALS73" s="37"/>
      <c r="ALT73" s="37"/>
      <c r="ALU73" s="37"/>
      <c r="ALV73" s="37"/>
      <c r="ALW73" s="37"/>
      <c r="ALX73" s="37"/>
      <c r="ALY73" s="37"/>
      <c r="ALZ73" s="37"/>
      <c r="AMA73" s="37"/>
      <c r="AMB73" s="37"/>
      <c r="AMC73" s="37"/>
    </row>
    <row r="74" spans="1:1017" s="38" customFormat="1" ht="19.5" customHeight="1">
      <c r="A74" s="26" t="s">
        <v>125</v>
      </c>
      <c r="B74" s="25" t="s">
        <v>113</v>
      </c>
      <c r="C74" s="26" t="s">
        <v>46</v>
      </c>
      <c r="D74" s="26" t="s">
        <v>32</v>
      </c>
      <c r="E74" s="26" t="s">
        <v>261</v>
      </c>
      <c r="F74" s="26">
        <v>42</v>
      </c>
      <c r="G74" s="26" t="s">
        <v>33</v>
      </c>
      <c r="H74" s="26">
        <v>55</v>
      </c>
      <c r="I74" s="36">
        <v>48</v>
      </c>
      <c r="J74" s="36">
        <v>26</v>
      </c>
      <c r="K74" s="36">
        <v>20</v>
      </c>
      <c r="L74" s="36">
        <v>31</v>
      </c>
      <c r="M74" s="36">
        <v>30</v>
      </c>
      <c r="N74" s="36">
        <v>31</v>
      </c>
      <c r="O74" s="36">
        <v>78</v>
      </c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/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/>
      <c r="OP74" s="37"/>
      <c r="OQ74" s="37"/>
      <c r="OR74" s="37"/>
      <c r="OS74" s="37"/>
      <c r="OT74" s="37"/>
      <c r="OU74" s="37"/>
      <c r="OV74" s="37"/>
      <c r="OW74" s="37"/>
      <c r="OX74" s="37"/>
      <c r="OY74" s="37"/>
      <c r="OZ74" s="37"/>
      <c r="PA74" s="37"/>
      <c r="PB74" s="37"/>
      <c r="PC74" s="37"/>
      <c r="PD74" s="37"/>
      <c r="PE74" s="37"/>
      <c r="PF74" s="37"/>
      <c r="PG74" s="37"/>
      <c r="PH74" s="37"/>
      <c r="PI74" s="37"/>
      <c r="PJ74" s="37"/>
      <c r="PK74" s="37"/>
      <c r="PL74" s="37"/>
      <c r="PM74" s="37"/>
      <c r="PN74" s="37"/>
      <c r="PO74" s="37"/>
      <c r="PP74" s="37"/>
      <c r="PQ74" s="37"/>
      <c r="PR74" s="37"/>
      <c r="PS74" s="37"/>
      <c r="PT74" s="37"/>
      <c r="PU74" s="37"/>
      <c r="PV74" s="37"/>
      <c r="PW74" s="37"/>
      <c r="PX74" s="37"/>
      <c r="PY74" s="37"/>
      <c r="PZ74" s="37"/>
      <c r="QA74" s="37"/>
      <c r="QB74" s="37"/>
      <c r="QC74" s="37"/>
      <c r="QD74" s="37"/>
      <c r="QE74" s="37"/>
      <c r="QF74" s="37"/>
      <c r="QG74" s="37"/>
      <c r="QH74" s="37"/>
      <c r="QI74" s="37"/>
      <c r="QJ74" s="37"/>
      <c r="QK74" s="37"/>
      <c r="QL74" s="37"/>
      <c r="QM74" s="37"/>
      <c r="QN74" s="37"/>
      <c r="QO74" s="37"/>
      <c r="QP74" s="37"/>
      <c r="QQ74" s="37"/>
      <c r="QR74" s="37"/>
      <c r="QS74" s="37"/>
      <c r="QT74" s="37"/>
      <c r="QU74" s="37"/>
      <c r="QV74" s="37"/>
      <c r="QW74" s="37"/>
      <c r="QX74" s="37"/>
      <c r="QY74" s="37"/>
      <c r="QZ74" s="37"/>
      <c r="RA74" s="37"/>
      <c r="RB74" s="37"/>
      <c r="RC74" s="37"/>
      <c r="RD74" s="37"/>
      <c r="RE74" s="37"/>
      <c r="RF74" s="37"/>
      <c r="RG74" s="37"/>
      <c r="RH74" s="37"/>
      <c r="RI74" s="37"/>
      <c r="RJ74" s="37"/>
      <c r="RK74" s="37"/>
      <c r="RL74" s="37"/>
      <c r="RM74" s="37"/>
      <c r="RN74" s="37"/>
      <c r="RO74" s="37"/>
      <c r="RP74" s="37"/>
      <c r="RQ74" s="37"/>
      <c r="RR74" s="37"/>
      <c r="RS74" s="37"/>
      <c r="RT74" s="37"/>
      <c r="RU74" s="37"/>
      <c r="RV74" s="37"/>
      <c r="RW74" s="37"/>
      <c r="RX74" s="37"/>
      <c r="RY74" s="37"/>
      <c r="RZ74" s="37"/>
      <c r="SA74" s="37"/>
      <c r="SB74" s="37"/>
      <c r="SC74" s="37"/>
      <c r="SD74" s="37"/>
      <c r="SE74" s="37"/>
      <c r="SF74" s="37"/>
      <c r="SG74" s="37"/>
      <c r="SH74" s="37"/>
      <c r="SI74" s="37"/>
      <c r="SJ74" s="37"/>
      <c r="SK74" s="37"/>
      <c r="SL74" s="37"/>
      <c r="SM74" s="37"/>
      <c r="SN74" s="37"/>
      <c r="SO74" s="37"/>
      <c r="SP74" s="37"/>
      <c r="SQ74" s="37"/>
      <c r="SR74" s="37"/>
      <c r="SS74" s="37"/>
      <c r="ST74" s="37"/>
      <c r="SU74" s="37"/>
      <c r="SV74" s="37"/>
      <c r="SW74" s="37"/>
      <c r="SX74" s="37"/>
      <c r="SY74" s="37"/>
      <c r="SZ74" s="37"/>
      <c r="TA74" s="37"/>
      <c r="TB74" s="37"/>
      <c r="TC74" s="37"/>
      <c r="TD74" s="37"/>
      <c r="TE74" s="37"/>
      <c r="TF74" s="37"/>
      <c r="TG74" s="37"/>
      <c r="TH74" s="37"/>
      <c r="TI74" s="37"/>
      <c r="TJ74" s="37"/>
      <c r="TK74" s="37"/>
      <c r="TL74" s="37"/>
      <c r="TM74" s="37"/>
      <c r="TN74" s="37"/>
      <c r="TO74" s="37"/>
      <c r="TP74" s="37"/>
      <c r="TQ74" s="37"/>
      <c r="TR74" s="37"/>
      <c r="TS74" s="37"/>
      <c r="TT74" s="37"/>
      <c r="TU74" s="37"/>
      <c r="TV74" s="37"/>
      <c r="TW74" s="37"/>
      <c r="TX74" s="37"/>
      <c r="TY74" s="37"/>
      <c r="TZ74" s="37"/>
      <c r="UA74" s="37"/>
      <c r="UB74" s="37"/>
      <c r="UC74" s="37"/>
      <c r="UD74" s="37"/>
      <c r="UE74" s="37"/>
      <c r="UF74" s="37"/>
      <c r="UG74" s="37"/>
      <c r="UH74" s="37"/>
      <c r="UI74" s="37"/>
      <c r="UJ74" s="37"/>
      <c r="UK74" s="37"/>
      <c r="UL74" s="37"/>
      <c r="UM74" s="37"/>
      <c r="UN74" s="37"/>
      <c r="UO74" s="37"/>
      <c r="UP74" s="37"/>
      <c r="UQ74" s="37"/>
      <c r="UR74" s="37"/>
      <c r="US74" s="37"/>
      <c r="UT74" s="37"/>
      <c r="UU74" s="37"/>
      <c r="UV74" s="37"/>
      <c r="UW74" s="37"/>
      <c r="UX74" s="37"/>
      <c r="UY74" s="37"/>
      <c r="UZ74" s="37"/>
      <c r="VA74" s="37"/>
      <c r="VB74" s="37"/>
      <c r="VC74" s="37"/>
      <c r="VD74" s="37"/>
      <c r="VE74" s="37"/>
      <c r="VF74" s="37"/>
      <c r="VG74" s="37"/>
      <c r="VH74" s="37"/>
      <c r="VI74" s="37"/>
      <c r="VJ74" s="37"/>
      <c r="VK74" s="37"/>
      <c r="VL74" s="37"/>
      <c r="VM74" s="37"/>
      <c r="VN74" s="37"/>
      <c r="VO74" s="37"/>
      <c r="VP74" s="37"/>
      <c r="VQ74" s="37"/>
      <c r="VR74" s="37"/>
      <c r="VS74" s="37"/>
      <c r="VT74" s="37"/>
      <c r="VU74" s="37"/>
      <c r="VV74" s="37"/>
      <c r="VW74" s="37"/>
      <c r="VX74" s="37"/>
      <c r="VY74" s="37"/>
      <c r="VZ74" s="37"/>
      <c r="WA74" s="37"/>
      <c r="WB74" s="37"/>
      <c r="WC74" s="37"/>
      <c r="WD74" s="37"/>
      <c r="WE74" s="37"/>
      <c r="WF74" s="37"/>
      <c r="WG74" s="37"/>
      <c r="WH74" s="37"/>
      <c r="WI74" s="37"/>
      <c r="WJ74" s="37"/>
      <c r="WK74" s="37"/>
      <c r="WL74" s="37"/>
      <c r="WM74" s="37"/>
      <c r="WN74" s="37"/>
      <c r="WO74" s="37"/>
      <c r="WP74" s="37"/>
      <c r="WQ74" s="37"/>
      <c r="WR74" s="37"/>
      <c r="WS74" s="37"/>
      <c r="WT74" s="37"/>
      <c r="WU74" s="37"/>
      <c r="WV74" s="37"/>
      <c r="WW74" s="37"/>
      <c r="WX74" s="37"/>
      <c r="WY74" s="37"/>
      <c r="WZ74" s="37"/>
      <c r="XA74" s="37"/>
      <c r="XB74" s="37"/>
      <c r="XC74" s="37"/>
      <c r="XD74" s="37"/>
      <c r="XE74" s="37"/>
      <c r="XF74" s="37"/>
      <c r="XG74" s="37"/>
      <c r="XH74" s="37"/>
      <c r="XI74" s="37"/>
      <c r="XJ74" s="37"/>
      <c r="XK74" s="37"/>
      <c r="XL74" s="37"/>
      <c r="XM74" s="37"/>
      <c r="XN74" s="37"/>
      <c r="XO74" s="37"/>
      <c r="XP74" s="37"/>
      <c r="XQ74" s="37"/>
      <c r="XR74" s="37"/>
      <c r="XS74" s="37"/>
      <c r="XT74" s="37"/>
      <c r="XU74" s="37"/>
      <c r="XV74" s="37"/>
      <c r="XW74" s="37"/>
      <c r="XX74" s="37"/>
      <c r="XY74" s="37"/>
      <c r="XZ74" s="37"/>
      <c r="YA74" s="37"/>
      <c r="YB74" s="37"/>
      <c r="YC74" s="37"/>
      <c r="YD74" s="37"/>
      <c r="YE74" s="37"/>
      <c r="YF74" s="37"/>
      <c r="YG74" s="37"/>
      <c r="YH74" s="37"/>
      <c r="YI74" s="37"/>
      <c r="YJ74" s="37"/>
      <c r="YK74" s="37"/>
      <c r="YL74" s="37"/>
      <c r="YM74" s="37"/>
      <c r="YN74" s="37"/>
      <c r="YO74" s="37"/>
      <c r="YP74" s="37"/>
      <c r="YQ74" s="37"/>
      <c r="YR74" s="37"/>
      <c r="YS74" s="37"/>
      <c r="YT74" s="37"/>
      <c r="YU74" s="37"/>
      <c r="YV74" s="37"/>
      <c r="YW74" s="37"/>
      <c r="YX74" s="37"/>
      <c r="YY74" s="37"/>
      <c r="YZ74" s="37"/>
      <c r="ZA74" s="37"/>
      <c r="ZB74" s="37"/>
      <c r="ZC74" s="37"/>
      <c r="ZD74" s="37"/>
      <c r="ZE74" s="37"/>
      <c r="ZF74" s="37"/>
      <c r="ZG74" s="37"/>
      <c r="ZH74" s="37"/>
      <c r="ZI74" s="37"/>
      <c r="ZJ74" s="37"/>
      <c r="ZK74" s="37"/>
      <c r="ZL74" s="37"/>
      <c r="ZM74" s="37"/>
      <c r="ZN74" s="37"/>
      <c r="ZO74" s="37"/>
      <c r="ZP74" s="37"/>
      <c r="ZQ74" s="37"/>
      <c r="ZR74" s="37"/>
      <c r="ZS74" s="37"/>
      <c r="ZT74" s="37"/>
      <c r="ZU74" s="37"/>
      <c r="ZV74" s="37"/>
      <c r="ZW74" s="37"/>
      <c r="ZX74" s="37"/>
      <c r="ZY74" s="37"/>
      <c r="ZZ74" s="37"/>
      <c r="AAA74" s="37"/>
      <c r="AAB74" s="37"/>
      <c r="AAC74" s="37"/>
      <c r="AAD74" s="37"/>
      <c r="AAE74" s="37"/>
      <c r="AAF74" s="37"/>
      <c r="AAG74" s="37"/>
      <c r="AAH74" s="37"/>
      <c r="AAI74" s="37"/>
      <c r="AAJ74" s="37"/>
      <c r="AAK74" s="37"/>
      <c r="AAL74" s="37"/>
      <c r="AAM74" s="37"/>
      <c r="AAN74" s="37"/>
      <c r="AAO74" s="37"/>
      <c r="AAP74" s="37"/>
      <c r="AAQ74" s="37"/>
      <c r="AAR74" s="37"/>
      <c r="AAS74" s="37"/>
      <c r="AAT74" s="37"/>
      <c r="AAU74" s="37"/>
      <c r="AAV74" s="37"/>
      <c r="AAW74" s="37"/>
      <c r="AAX74" s="37"/>
      <c r="AAY74" s="37"/>
      <c r="AAZ74" s="37"/>
      <c r="ABA74" s="37"/>
      <c r="ABB74" s="37"/>
      <c r="ABC74" s="37"/>
      <c r="ABD74" s="37"/>
      <c r="ABE74" s="37"/>
      <c r="ABF74" s="37"/>
      <c r="ABG74" s="37"/>
      <c r="ABH74" s="37"/>
      <c r="ABI74" s="37"/>
      <c r="ABJ74" s="37"/>
      <c r="ABK74" s="37"/>
      <c r="ABL74" s="37"/>
      <c r="ABM74" s="37"/>
      <c r="ABN74" s="37"/>
      <c r="ABO74" s="37"/>
      <c r="ABP74" s="37"/>
      <c r="ABQ74" s="37"/>
      <c r="ABR74" s="37"/>
      <c r="ABS74" s="37"/>
      <c r="ABT74" s="37"/>
      <c r="ABU74" s="37"/>
      <c r="ABV74" s="37"/>
      <c r="ABW74" s="37"/>
      <c r="ABX74" s="37"/>
      <c r="ABY74" s="37"/>
      <c r="ABZ74" s="37"/>
      <c r="ACA74" s="37"/>
      <c r="ACB74" s="37"/>
      <c r="ACC74" s="37"/>
      <c r="ACD74" s="37"/>
      <c r="ACE74" s="37"/>
      <c r="ACF74" s="37"/>
      <c r="ACG74" s="37"/>
      <c r="ACH74" s="37"/>
      <c r="ACI74" s="37"/>
      <c r="ACJ74" s="37"/>
      <c r="ACK74" s="37"/>
      <c r="ACL74" s="37"/>
      <c r="ACM74" s="37"/>
      <c r="ACN74" s="37"/>
      <c r="ACO74" s="37"/>
      <c r="ACP74" s="37"/>
      <c r="ACQ74" s="37"/>
      <c r="ACR74" s="37"/>
      <c r="ACS74" s="37"/>
      <c r="ACT74" s="37"/>
      <c r="ACU74" s="37"/>
      <c r="ACV74" s="37"/>
      <c r="ACW74" s="37"/>
      <c r="ACX74" s="37"/>
      <c r="ACY74" s="37"/>
      <c r="ACZ74" s="37"/>
      <c r="ADA74" s="37"/>
      <c r="ADB74" s="37"/>
      <c r="ADC74" s="37"/>
      <c r="ADD74" s="37"/>
      <c r="ADE74" s="37"/>
      <c r="ADF74" s="37"/>
      <c r="ADG74" s="37"/>
      <c r="ADH74" s="37"/>
      <c r="ADI74" s="37"/>
      <c r="ADJ74" s="37"/>
      <c r="ADK74" s="37"/>
      <c r="ADL74" s="37"/>
      <c r="ADM74" s="37"/>
      <c r="ADN74" s="37"/>
      <c r="ADO74" s="37"/>
      <c r="ADP74" s="37"/>
      <c r="ADQ74" s="37"/>
      <c r="ADR74" s="37"/>
      <c r="ADS74" s="37"/>
      <c r="ADT74" s="37"/>
      <c r="ADU74" s="37"/>
      <c r="ADV74" s="37"/>
      <c r="ADW74" s="37"/>
      <c r="ADX74" s="37"/>
      <c r="ADY74" s="37"/>
      <c r="ADZ74" s="37"/>
      <c r="AEA74" s="37"/>
      <c r="AEB74" s="37"/>
      <c r="AEC74" s="37"/>
      <c r="AED74" s="37"/>
      <c r="AEE74" s="37"/>
      <c r="AEF74" s="37"/>
      <c r="AEG74" s="37"/>
      <c r="AEH74" s="37"/>
      <c r="AEI74" s="37"/>
      <c r="AEJ74" s="37"/>
      <c r="AEK74" s="37"/>
      <c r="AEL74" s="37"/>
      <c r="AEM74" s="37"/>
      <c r="AEN74" s="37"/>
      <c r="AEO74" s="37"/>
      <c r="AEP74" s="37"/>
      <c r="AEQ74" s="37"/>
      <c r="AER74" s="37"/>
      <c r="AES74" s="37"/>
      <c r="AET74" s="37"/>
      <c r="AEU74" s="37"/>
      <c r="AEV74" s="37"/>
      <c r="AEW74" s="37"/>
      <c r="AEX74" s="37"/>
      <c r="AEY74" s="37"/>
      <c r="AEZ74" s="37"/>
      <c r="AFA74" s="37"/>
      <c r="AFB74" s="37"/>
      <c r="AFC74" s="37"/>
      <c r="AFD74" s="37"/>
      <c r="AFE74" s="37"/>
      <c r="AFF74" s="37"/>
      <c r="AFG74" s="37"/>
      <c r="AFH74" s="37"/>
      <c r="AFI74" s="37"/>
      <c r="AFJ74" s="37"/>
      <c r="AFK74" s="37"/>
      <c r="AFL74" s="37"/>
      <c r="AFM74" s="37"/>
      <c r="AFN74" s="37"/>
      <c r="AFO74" s="37"/>
      <c r="AFP74" s="37"/>
      <c r="AFQ74" s="37"/>
      <c r="AFR74" s="37"/>
      <c r="AFS74" s="37"/>
      <c r="AFT74" s="37"/>
      <c r="AFU74" s="37"/>
      <c r="AFV74" s="37"/>
      <c r="AFW74" s="37"/>
      <c r="AFX74" s="37"/>
      <c r="AFY74" s="37"/>
      <c r="AFZ74" s="37"/>
      <c r="AGA74" s="37"/>
      <c r="AGB74" s="37"/>
      <c r="AGC74" s="37"/>
      <c r="AGD74" s="37"/>
      <c r="AGE74" s="37"/>
      <c r="AGF74" s="37"/>
      <c r="AGG74" s="37"/>
      <c r="AGH74" s="37"/>
      <c r="AGI74" s="37"/>
      <c r="AGJ74" s="37"/>
      <c r="AGK74" s="37"/>
      <c r="AGL74" s="37"/>
      <c r="AGM74" s="37"/>
      <c r="AGN74" s="37"/>
      <c r="AGO74" s="37"/>
      <c r="AGP74" s="37"/>
      <c r="AGQ74" s="37"/>
      <c r="AGR74" s="37"/>
      <c r="AGS74" s="37"/>
      <c r="AGT74" s="37"/>
      <c r="AGU74" s="37"/>
      <c r="AGV74" s="37"/>
      <c r="AGW74" s="37"/>
      <c r="AGX74" s="37"/>
      <c r="AGY74" s="37"/>
      <c r="AGZ74" s="37"/>
      <c r="AHA74" s="37"/>
      <c r="AHB74" s="37"/>
      <c r="AHC74" s="37"/>
      <c r="AHD74" s="37"/>
      <c r="AHE74" s="37"/>
      <c r="AHF74" s="37"/>
      <c r="AHG74" s="37"/>
      <c r="AHH74" s="37"/>
      <c r="AHI74" s="37"/>
      <c r="AHJ74" s="37"/>
      <c r="AHK74" s="37"/>
      <c r="AHL74" s="37"/>
      <c r="AHM74" s="37"/>
      <c r="AHN74" s="37"/>
      <c r="AHO74" s="37"/>
      <c r="AHP74" s="37"/>
      <c r="AHQ74" s="37"/>
      <c r="AHR74" s="37"/>
      <c r="AHS74" s="37"/>
      <c r="AHT74" s="37"/>
      <c r="AHU74" s="37"/>
      <c r="AHV74" s="37"/>
      <c r="AHW74" s="37"/>
      <c r="AHX74" s="37"/>
      <c r="AHY74" s="37"/>
      <c r="AHZ74" s="37"/>
      <c r="AIA74" s="37"/>
      <c r="AIB74" s="37"/>
      <c r="AIC74" s="37"/>
      <c r="AID74" s="37"/>
      <c r="AIE74" s="37"/>
      <c r="AIF74" s="37"/>
      <c r="AIG74" s="37"/>
      <c r="AIH74" s="37"/>
      <c r="AII74" s="37"/>
      <c r="AIJ74" s="37"/>
      <c r="AIK74" s="37"/>
      <c r="AIL74" s="37"/>
      <c r="AIM74" s="37"/>
      <c r="AIN74" s="37"/>
      <c r="AIO74" s="37"/>
      <c r="AIP74" s="37"/>
      <c r="AIQ74" s="37"/>
      <c r="AIR74" s="37"/>
      <c r="AIS74" s="37"/>
      <c r="AIT74" s="37"/>
      <c r="AIU74" s="37"/>
      <c r="AIV74" s="37"/>
      <c r="AIW74" s="37"/>
      <c r="AIX74" s="37"/>
      <c r="AIY74" s="37"/>
      <c r="AIZ74" s="37"/>
      <c r="AJA74" s="37"/>
      <c r="AJB74" s="37"/>
      <c r="AJC74" s="37"/>
      <c r="AJD74" s="37"/>
      <c r="AJE74" s="37"/>
      <c r="AJF74" s="37"/>
      <c r="AJG74" s="37"/>
      <c r="AJH74" s="37"/>
      <c r="AJI74" s="37"/>
      <c r="AJJ74" s="37"/>
      <c r="AJK74" s="37"/>
      <c r="AJL74" s="37"/>
      <c r="AJM74" s="37"/>
      <c r="AJN74" s="37"/>
      <c r="AJO74" s="37"/>
      <c r="AJP74" s="37"/>
      <c r="AJQ74" s="37"/>
      <c r="AJR74" s="37"/>
      <c r="AJS74" s="37"/>
      <c r="AJT74" s="37"/>
      <c r="AJU74" s="37"/>
      <c r="AJV74" s="37"/>
      <c r="AJW74" s="37"/>
      <c r="AJX74" s="37"/>
      <c r="AJY74" s="37"/>
      <c r="AJZ74" s="37"/>
      <c r="AKA74" s="37"/>
      <c r="AKB74" s="37"/>
      <c r="AKC74" s="37"/>
      <c r="AKD74" s="37"/>
      <c r="AKE74" s="37"/>
      <c r="AKF74" s="37"/>
      <c r="AKG74" s="37"/>
      <c r="AKH74" s="37"/>
      <c r="AKI74" s="37"/>
      <c r="AKJ74" s="37"/>
      <c r="AKK74" s="37"/>
      <c r="AKL74" s="37"/>
      <c r="AKM74" s="37"/>
      <c r="AKN74" s="37"/>
      <c r="AKO74" s="37"/>
      <c r="AKP74" s="37"/>
      <c r="AKQ74" s="37"/>
      <c r="AKR74" s="37"/>
      <c r="AKS74" s="37"/>
      <c r="AKT74" s="37"/>
      <c r="AKU74" s="37"/>
      <c r="AKV74" s="37"/>
      <c r="AKW74" s="37"/>
      <c r="AKX74" s="37"/>
      <c r="AKY74" s="37"/>
      <c r="AKZ74" s="37"/>
      <c r="ALA74" s="37"/>
      <c r="ALB74" s="37"/>
      <c r="ALC74" s="37"/>
      <c r="ALD74" s="37"/>
      <c r="ALE74" s="37"/>
      <c r="ALF74" s="37"/>
      <c r="ALG74" s="37"/>
      <c r="ALH74" s="37"/>
      <c r="ALI74" s="37"/>
      <c r="ALJ74" s="37"/>
      <c r="ALK74" s="37"/>
      <c r="ALL74" s="37"/>
      <c r="ALM74" s="37"/>
      <c r="ALN74" s="37"/>
      <c r="ALO74" s="37"/>
      <c r="ALP74" s="37"/>
      <c r="ALQ74" s="37"/>
      <c r="ALR74" s="37"/>
      <c r="ALS74" s="37"/>
      <c r="ALT74" s="37"/>
      <c r="ALU74" s="37"/>
      <c r="ALV74" s="37"/>
      <c r="ALW74" s="37"/>
      <c r="ALX74" s="37"/>
      <c r="ALY74" s="37"/>
      <c r="ALZ74" s="37"/>
      <c r="AMA74" s="37"/>
      <c r="AMB74" s="37"/>
      <c r="AMC74" s="37"/>
    </row>
    <row r="75" spans="1:1017" s="38" customFormat="1" ht="19.5" customHeight="1">
      <c r="A75" s="72"/>
      <c r="B75" s="73"/>
      <c r="C75" s="72"/>
      <c r="D75" s="72"/>
      <c r="E75" s="72"/>
      <c r="F75" s="72"/>
      <c r="G75" s="35">
        <v>44</v>
      </c>
      <c r="H75" s="35">
        <v>98</v>
      </c>
      <c r="I75" s="35">
        <v>116</v>
      </c>
      <c r="J75" s="35">
        <v>67</v>
      </c>
      <c r="K75" s="35">
        <v>35</v>
      </c>
      <c r="L75" s="35">
        <v>27</v>
      </c>
      <c r="M75" s="35">
        <v>20</v>
      </c>
      <c r="N75" s="35">
        <v>99</v>
      </c>
      <c r="O75" s="74">
        <v>3</v>
      </c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  <c r="OU75" s="37"/>
      <c r="OV75" s="37"/>
      <c r="OW75" s="37"/>
      <c r="OX75" s="37"/>
      <c r="OY75" s="37"/>
      <c r="OZ75" s="37"/>
      <c r="PA75" s="37"/>
      <c r="PB75" s="37"/>
      <c r="PC75" s="37"/>
      <c r="PD75" s="37"/>
      <c r="PE75" s="37"/>
      <c r="PF75" s="37"/>
      <c r="PG75" s="37"/>
      <c r="PH75" s="37"/>
      <c r="PI75" s="37"/>
      <c r="PJ75" s="37"/>
      <c r="PK75" s="37"/>
      <c r="PL75" s="37"/>
      <c r="PM75" s="37"/>
      <c r="PN75" s="37"/>
      <c r="PO75" s="37"/>
      <c r="PP75" s="37"/>
      <c r="PQ75" s="37"/>
      <c r="PR75" s="37"/>
      <c r="PS75" s="37"/>
      <c r="PT75" s="37"/>
      <c r="PU75" s="37"/>
      <c r="PV75" s="37"/>
      <c r="PW75" s="37"/>
      <c r="PX75" s="37"/>
      <c r="PY75" s="37"/>
      <c r="PZ75" s="37"/>
      <c r="QA75" s="37"/>
      <c r="QB75" s="37"/>
      <c r="QC75" s="37"/>
      <c r="QD75" s="37"/>
      <c r="QE75" s="37"/>
      <c r="QF75" s="37"/>
      <c r="QG75" s="37"/>
      <c r="QH75" s="37"/>
      <c r="QI75" s="37"/>
      <c r="QJ75" s="37"/>
      <c r="QK75" s="37"/>
      <c r="QL75" s="37"/>
      <c r="QM75" s="37"/>
      <c r="QN75" s="37"/>
      <c r="QO75" s="37"/>
      <c r="QP75" s="37"/>
      <c r="QQ75" s="37"/>
      <c r="QR75" s="37"/>
      <c r="QS75" s="37"/>
      <c r="QT75" s="37"/>
      <c r="QU75" s="37"/>
      <c r="QV75" s="37"/>
      <c r="QW75" s="37"/>
      <c r="QX75" s="37"/>
      <c r="QY75" s="37"/>
      <c r="QZ75" s="37"/>
      <c r="RA75" s="37"/>
      <c r="RB75" s="37"/>
      <c r="RC75" s="37"/>
      <c r="RD75" s="37"/>
      <c r="RE75" s="37"/>
      <c r="RF75" s="37"/>
      <c r="RG75" s="37"/>
      <c r="RH75" s="37"/>
      <c r="RI75" s="37"/>
      <c r="RJ75" s="37"/>
      <c r="RK75" s="37"/>
      <c r="RL75" s="37"/>
      <c r="RM75" s="37"/>
      <c r="RN75" s="37"/>
      <c r="RO75" s="37"/>
      <c r="RP75" s="37"/>
      <c r="RQ75" s="37"/>
      <c r="RR75" s="37"/>
      <c r="RS75" s="37"/>
      <c r="RT75" s="37"/>
      <c r="RU75" s="37"/>
      <c r="RV75" s="37"/>
      <c r="RW75" s="37"/>
      <c r="RX75" s="37"/>
      <c r="RY75" s="37"/>
      <c r="RZ75" s="37"/>
      <c r="SA75" s="37"/>
      <c r="SB75" s="37"/>
      <c r="SC75" s="37"/>
      <c r="SD75" s="37"/>
      <c r="SE75" s="37"/>
      <c r="SF75" s="37"/>
      <c r="SG75" s="37"/>
      <c r="SH75" s="37"/>
      <c r="SI75" s="37"/>
      <c r="SJ75" s="37"/>
      <c r="SK75" s="37"/>
      <c r="SL75" s="37"/>
      <c r="SM75" s="37"/>
      <c r="SN75" s="37"/>
      <c r="SO75" s="37"/>
      <c r="SP75" s="37"/>
      <c r="SQ75" s="37"/>
      <c r="SR75" s="37"/>
      <c r="SS75" s="37"/>
      <c r="ST75" s="37"/>
      <c r="SU75" s="37"/>
      <c r="SV75" s="37"/>
      <c r="SW75" s="37"/>
      <c r="SX75" s="37"/>
      <c r="SY75" s="37"/>
      <c r="SZ75" s="37"/>
      <c r="TA75" s="37"/>
      <c r="TB75" s="37"/>
      <c r="TC75" s="37"/>
      <c r="TD75" s="37"/>
      <c r="TE75" s="37"/>
      <c r="TF75" s="37"/>
      <c r="TG75" s="37"/>
      <c r="TH75" s="37"/>
      <c r="TI75" s="37"/>
      <c r="TJ75" s="37"/>
      <c r="TK75" s="37"/>
      <c r="TL75" s="37"/>
      <c r="TM75" s="37"/>
      <c r="TN75" s="37"/>
      <c r="TO75" s="37"/>
      <c r="TP75" s="37"/>
      <c r="TQ75" s="37"/>
      <c r="TR75" s="37"/>
      <c r="TS75" s="37"/>
      <c r="TT75" s="37"/>
      <c r="TU75" s="37"/>
      <c r="TV75" s="37"/>
      <c r="TW75" s="37"/>
      <c r="TX75" s="37"/>
      <c r="TY75" s="37"/>
      <c r="TZ75" s="37"/>
      <c r="UA75" s="37"/>
      <c r="UB75" s="37"/>
      <c r="UC75" s="37"/>
      <c r="UD75" s="37"/>
      <c r="UE75" s="37"/>
      <c r="UF75" s="37"/>
      <c r="UG75" s="37"/>
      <c r="UH75" s="37"/>
      <c r="UI75" s="37"/>
      <c r="UJ75" s="37"/>
      <c r="UK75" s="37"/>
      <c r="UL75" s="37"/>
      <c r="UM75" s="37"/>
      <c r="UN75" s="37"/>
      <c r="UO75" s="37"/>
      <c r="UP75" s="37"/>
      <c r="UQ75" s="37"/>
      <c r="UR75" s="37"/>
      <c r="US75" s="37"/>
      <c r="UT75" s="37"/>
      <c r="UU75" s="37"/>
      <c r="UV75" s="37"/>
      <c r="UW75" s="37"/>
      <c r="UX75" s="37"/>
      <c r="UY75" s="37"/>
      <c r="UZ75" s="37"/>
      <c r="VA75" s="37"/>
      <c r="VB75" s="37"/>
      <c r="VC75" s="37"/>
      <c r="VD75" s="37"/>
      <c r="VE75" s="37"/>
      <c r="VF75" s="37"/>
      <c r="VG75" s="37"/>
      <c r="VH75" s="37"/>
      <c r="VI75" s="37"/>
      <c r="VJ75" s="37"/>
      <c r="VK75" s="37"/>
      <c r="VL75" s="37"/>
      <c r="VM75" s="37"/>
      <c r="VN75" s="37"/>
      <c r="VO75" s="37"/>
      <c r="VP75" s="37"/>
      <c r="VQ75" s="37"/>
      <c r="VR75" s="37"/>
      <c r="VS75" s="37"/>
      <c r="VT75" s="37"/>
      <c r="VU75" s="37"/>
      <c r="VV75" s="37"/>
      <c r="VW75" s="37"/>
      <c r="VX75" s="37"/>
      <c r="VY75" s="37"/>
      <c r="VZ75" s="37"/>
      <c r="WA75" s="37"/>
      <c r="WB75" s="37"/>
      <c r="WC75" s="37"/>
      <c r="WD75" s="37"/>
      <c r="WE75" s="37"/>
      <c r="WF75" s="37"/>
      <c r="WG75" s="37"/>
      <c r="WH75" s="37"/>
      <c r="WI75" s="37"/>
      <c r="WJ75" s="37"/>
      <c r="WK75" s="37"/>
      <c r="WL75" s="37"/>
      <c r="WM75" s="37"/>
      <c r="WN75" s="37"/>
      <c r="WO75" s="37"/>
      <c r="WP75" s="37"/>
      <c r="WQ75" s="37"/>
      <c r="WR75" s="37"/>
      <c r="WS75" s="37"/>
      <c r="WT75" s="37"/>
      <c r="WU75" s="37"/>
      <c r="WV75" s="37"/>
      <c r="WW75" s="37"/>
      <c r="WX75" s="37"/>
      <c r="WY75" s="37"/>
      <c r="WZ75" s="37"/>
      <c r="XA75" s="37"/>
      <c r="XB75" s="37"/>
      <c r="XC75" s="37"/>
      <c r="XD75" s="37"/>
      <c r="XE75" s="37"/>
      <c r="XF75" s="37"/>
      <c r="XG75" s="37"/>
      <c r="XH75" s="37"/>
      <c r="XI75" s="37"/>
      <c r="XJ75" s="37"/>
      <c r="XK75" s="37"/>
      <c r="XL75" s="37"/>
      <c r="XM75" s="37"/>
      <c r="XN75" s="37"/>
      <c r="XO75" s="37"/>
      <c r="XP75" s="37"/>
      <c r="XQ75" s="37"/>
      <c r="XR75" s="37"/>
      <c r="XS75" s="37"/>
      <c r="XT75" s="37"/>
      <c r="XU75" s="37"/>
      <c r="XV75" s="37"/>
      <c r="XW75" s="37"/>
      <c r="XX75" s="37"/>
      <c r="XY75" s="37"/>
      <c r="XZ75" s="37"/>
      <c r="YA75" s="37"/>
      <c r="YB75" s="37"/>
      <c r="YC75" s="37"/>
      <c r="YD75" s="37"/>
      <c r="YE75" s="37"/>
      <c r="YF75" s="37"/>
      <c r="YG75" s="37"/>
      <c r="YH75" s="37"/>
      <c r="YI75" s="37"/>
      <c r="YJ75" s="37"/>
      <c r="YK75" s="37"/>
      <c r="YL75" s="37"/>
      <c r="YM75" s="37"/>
      <c r="YN75" s="37"/>
      <c r="YO75" s="37"/>
      <c r="YP75" s="37"/>
      <c r="YQ75" s="37"/>
      <c r="YR75" s="37"/>
      <c r="YS75" s="37"/>
      <c r="YT75" s="37"/>
      <c r="YU75" s="37"/>
      <c r="YV75" s="37"/>
      <c r="YW75" s="37"/>
      <c r="YX75" s="37"/>
      <c r="YY75" s="37"/>
      <c r="YZ75" s="37"/>
      <c r="ZA75" s="37"/>
      <c r="ZB75" s="37"/>
      <c r="ZC75" s="37"/>
      <c r="ZD75" s="37"/>
      <c r="ZE75" s="37"/>
      <c r="ZF75" s="37"/>
      <c r="ZG75" s="37"/>
      <c r="ZH75" s="37"/>
      <c r="ZI75" s="37"/>
      <c r="ZJ75" s="37"/>
      <c r="ZK75" s="37"/>
      <c r="ZL75" s="37"/>
      <c r="ZM75" s="37"/>
      <c r="ZN75" s="37"/>
      <c r="ZO75" s="37"/>
      <c r="ZP75" s="37"/>
      <c r="ZQ75" s="37"/>
      <c r="ZR75" s="37"/>
      <c r="ZS75" s="37"/>
      <c r="ZT75" s="37"/>
      <c r="ZU75" s="37"/>
      <c r="ZV75" s="37"/>
      <c r="ZW75" s="37"/>
      <c r="ZX75" s="37"/>
      <c r="ZY75" s="37"/>
      <c r="ZZ75" s="37"/>
      <c r="AAA75" s="37"/>
      <c r="AAB75" s="37"/>
      <c r="AAC75" s="37"/>
      <c r="AAD75" s="37"/>
      <c r="AAE75" s="37"/>
      <c r="AAF75" s="37"/>
      <c r="AAG75" s="37"/>
      <c r="AAH75" s="37"/>
      <c r="AAI75" s="37"/>
      <c r="AAJ75" s="37"/>
      <c r="AAK75" s="37"/>
      <c r="AAL75" s="37"/>
      <c r="AAM75" s="37"/>
      <c r="AAN75" s="37"/>
      <c r="AAO75" s="37"/>
      <c r="AAP75" s="37"/>
      <c r="AAQ75" s="37"/>
      <c r="AAR75" s="37"/>
      <c r="AAS75" s="37"/>
      <c r="AAT75" s="37"/>
      <c r="AAU75" s="37"/>
      <c r="AAV75" s="37"/>
      <c r="AAW75" s="37"/>
      <c r="AAX75" s="37"/>
      <c r="AAY75" s="37"/>
      <c r="AAZ75" s="37"/>
      <c r="ABA75" s="37"/>
      <c r="ABB75" s="37"/>
      <c r="ABC75" s="37"/>
      <c r="ABD75" s="37"/>
      <c r="ABE75" s="37"/>
      <c r="ABF75" s="37"/>
      <c r="ABG75" s="37"/>
      <c r="ABH75" s="37"/>
      <c r="ABI75" s="37"/>
      <c r="ABJ75" s="37"/>
      <c r="ABK75" s="37"/>
      <c r="ABL75" s="37"/>
      <c r="ABM75" s="37"/>
      <c r="ABN75" s="37"/>
      <c r="ABO75" s="37"/>
      <c r="ABP75" s="37"/>
      <c r="ABQ75" s="37"/>
      <c r="ABR75" s="37"/>
      <c r="ABS75" s="37"/>
      <c r="ABT75" s="37"/>
      <c r="ABU75" s="37"/>
      <c r="ABV75" s="37"/>
      <c r="ABW75" s="37"/>
      <c r="ABX75" s="37"/>
      <c r="ABY75" s="37"/>
      <c r="ABZ75" s="37"/>
      <c r="ACA75" s="37"/>
      <c r="ACB75" s="37"/>
      <c r="ACC75" s="37"/>
      <c r="ACD75" s="37"/>
      <c r="ACE75" s="37"/>
      <c r="ACF75" s="37"/>
      <c r="ACG75" s="37"/>
      <c r="ACH75" s="37"/>
      <c r="ACI75" s="37"/>
      <c r="ACJ75" s="37"/>
      <c r="ACK75" s="37"/>
      <c r="ACL75" s="37"/>
      <c r="ACM75" s="37"/>
      <c r="ACN75" s="37"/>
      <c r="ACO75" s="37"/>
      <c r="ACP75" s="37"/>
      <c r="ACQ75" s="37"/>
      <c r="ACR75" s="37"/>
      <c r="ACS75" s="37"/>
      <c r="ACT75" s="37"/>
      <c r="ACU75" s="37"/>
      <c r="ACV75" s="37"/>
      <c r="ACW75" s="37"/>
      <c r="ACX75" s="37"/>
      <c r="ACY75" s="37"/>
      <c r="ACZ75" s="37"/>
      <c r="ADA75" s="37"/>
      <c r="ADB75" s="37"/>
      <c r="ADC75" s="37"/>
      <c r="ADD75" s="37"/>
      <c r="ADE75" s="37"/>
      <c r="ADF75" s="37"/>
      <c r="ADG75" s="37"/>
      <c r="ADH75" s="37"/>
      <c r="ADI75" s="37"/>
      <c r="ADJ75" s="37"/>
      <c r="ADK75" s="37"/>
      <c r="ADL75" s="37"/>
      <c r="ADM75" s="37"/>
      <c r="ADN75" s="37"/>
      <c r="ADO75" s="37"/>
      <c r="ADP75" s="37"/>
      <c r="ADQ75" s="37"/>
      <c r="ADR75" s="37"/>
      <c r="ADS75" s="37"/>
      <c r="ADT75" s="37"/>
      <c r="ADU75" s="37"/>
      <c r="ADV75" s="37"/>
      <c r="ADW75" s="37"/>
      <c r="ADX75" s="37"/>
      <c r="ADY75" s="37"/>
      <c r="ADZ75" s="37"/>
      <c r="AEA75" s="37"/>
      <c r="AEB75" s="37"/>
      <c r="AEC75" s="37"/>
      <c r="AED75" s="37"/>
      <c r="AEE75" s="37"/>
      <c r="AEF75" s="37"/>
      <c r="AEG75" s="37"/>
      <c r="AEH75" s="37"/>
      <c r="AEI75" s="37"/>
      <c r="AEJ75" s="37"/>
      <c r="AEK75" s="37"/>
      <c r="AEL75" s="37"/>
      <c r="AEM75" s="37"/>
      <c r="AEN75" s="37"/>
      <c r="AEO75" s="37"/>
      <c r="AEP75" s="37"/>
      <c r="AEQ75" s="37"/>
      <c r="AER75" s="37"/>
      <c r="AES75" s="37"/>
      <c r="AET75" s="37"/>
      <c r="AEU75" s="37"/>
      <c r="AEV75" s="37"/>
      <c r="AEW75" s="37"/>
      <c r="AEX75" s="37"/>
      <c r="AEY75" s="37"/>
      <c r="AEZ75" s="37"/>
      <c r="AFA75" s="37"/>
      <c r="AFB75" s="37"/>
      <c r="AFC75" s="37"/>
      <c r="AFD75" s="37"/>
      <c r="AFE75" s="37"/>
      <c r="AFF75" s="37"/>
      <c r="AFG75" s="37"/>
      <c r="AFH75" s="37"/>
      <c r="AFI75" s="37"/>
      <c r="AFJ75" s="37"/>
      <c r="AFK75" s="37"/>
      <c r="AFL75" s="37"/>
      <c r="AFM75" s="37"/>
      <c r="AFN75" s="37"/>
      <c r="AFO75" s="37"/>
      <c r="AFP75" s="37"/>
      <c r="AFQ75" s="37"/>
      <c r="AFR75" s="37"/>
      <c r="AFS75" s="37"/>
      <c r="AFT75" s="37"/>
      <c r="AFU75" s="37"/>
      <c r="AFV75" s="37"/>
      <c r="AFW75" s="37"/>
      <c r="AFX75" s="37"/>
      <c r="AFY75" s="37"/>
      <c r="AFZ75" s="37"/>
      <c r="AGA75" s="37"/>
      <c r="AGB75" s="37"/>
      <c r="AGC75" s="37"/>
      <c r="AGD75" s="37"/>
      <c r="AGE75" s="37"/>
      <c r="AGF75" s="37"/>
      <c r="AGG75" s="37"/>
      <c r="AGH75" s="37"/>
      <c r="AGI75" s="37"/>
      <c r="AGJ75" s="37"/>
      <c r="AGK75" s="37"/>
      <c r="AGL75" s="37"/>
      <c r="AGM75" s="37"/>
      <c r="AGN75" s="37"/>
      <c r="AGO75" s="37"/>
      <c r="AGP75" s="37"/>
      <c r="AGQ75" s="37"/>
      <c r="AGR75" s="37"/>
      <c r="AGS75" s="37"/>
      <c r="AGT75" s="37"/>
      <c r="AGU75" s="37"/>
      <c r="AGV75" s="37"/>
      <c r="AGW75" s="37"/>
      <c r="AGX75" s="37"/>
      <c r="AGY75" s="37"/>
      <c r="AGZ75" s="37"/>
      <c r="AHA75" s="37"/>
      <c r="AHB75" s="37"/>
      <c r="AHC75" s="37"/>
      <c r="AHD75" s="37"/>
      <c r="AHE75" s="37"/>
      <c r="AHF75" s="37"/>
      <c r="AHG75" s="37"/>
      <c r="AHH75" s="37"/>
      <c r="AHI75" s="37"/>
      <c r="AHJ75" s="37"/>
      <c r="AHK75" s="37"/>
      <c r="AHL75" s="37"/>
      <c r="AHM75" s="37"/>
      <c r="AHN75" s="37"/>
      <c r="AHO75" s="37"/>
      <c r="AHP75" s="37"/>
      <c r="AHQ75" s="37"/>
      <c r="AHR75" s="37"/>
      <c r="AHS75" s="37"/>
      <c r="AHT75" s="37"/>
      <c r="AHU75" s="37"/>
      <c r="AHV75" s="37"/>
      <c r="AHW75" s="37"/>
      <c r="AHX75" s="37"/>
      <c r="AHY75" s="37"/>
      <c r="AHZ75" s="37"/>
      <c r="AIA75" s="37"/>
      <c r="AIB75" s="37"/>
      <c r="AIC75" s="37"/>
      <c r="AID75" s="37"/>
      <c r="AIE75" s="37"/>
      <c r="AIF75" s="37"/>
      <c r="AIG75" s="37"/>
      <c r="AIH75" s="37"/>
      <c r="AII75" s="37"/>
      <c r="AIJ75" s="37"/>
      <c r="AIK75" s="37"/>
      <c r="AIL75" s="37"/>
      <c r="AIM75" s="37"/>
      <c r="AIN75" s="37"/>
      <c r="AIO75" s="37"/>
      <c r="AIP75" s="37"/>
      <c r="AIQ75" s="37"/>
      <c r="AIR75" s="37"/>
      <c r="AIS75" s="37"/>
      <c r="AIT75" s="37"/>
      <c r="AIU75" s="37"/>
      <c r="AIV75" s="37"/>
      <c r="AIW75" s="37"/>
      <c r="AIX75" s="37"/>
      <c r="AIY75" s="37"/>
      <c r="AIZ75" s="37"/>
      <c r="AJA75" s="37"/>
      <c r="AJB75" s="37"/>
      <c r="AJC75" s="37"/>
      <c r="AJD75" s="37"/>
      <c r="AJE75" s="37"/>
      <c r="AJF75" s="37"/>
      <c r="AJG75" s="37"/>
      <c r="AJH75" s="37"/>
      <c r="AJI75" s="37"/>
      <c r="AJJ75" s="37"/>
      <c r="AJK75" s="37"/>
      <c r="AJL75" s="37"/>
      <c r="AJM75" s="37"/>
      <c r="AJN75" s="37"/>
      <c r="AJO75" s="37"/>
      <c r="AJP75" s="37"/>
      <c r="AJQ75" s="37"/>
      <c r="AJR75" s="37"/>
      <c r="AJS75" s="37"/>
      <c r="AJT75" s="37"/>
      <c r="AJU75" s="37"/>
      <c r="AJV75" s="37"/>
      <c r="AJW75" s="37"/>
      <c r="AJX75" s="37"/>
      <c r="AJY75" s="37"/>
      <c r="AJZ75" s="37"/>
      <c r="AKA75" s="37"/>
      <c r="AKB75" s="37"/>
      <c r="AKC75" s="37"/>
      <c r="AKD75" s="37"/>
      <c r="AKE75" s="37"/>
      <c r="AKF75" s="37"/>
      <c r="AKG75" s="37"/>
      <c r="AKH75" s="37"/>
      <c r="AKI75" s="37"/>
      <c r="AKJ75" s="37"/>
      <c r="AKK75" s="37"/>
      <c r="AKL75" s="37"/>
      <c r="AKM75" s="37"/>
      <c r="AKN75" s="37"/>
      <c r="AKO75" s="37"/>
      <c r="AKP75" s="37"/>
      <c r="AKQ75" s="37"/>
      <c r="AKR75" s="37"/>
      <c r="AKS75" s="37"/>
      <c r="AKT75" s="37"/>
      <c r="AKU75" s="37"/>
      <c r="AKV75" s="37"/>
      <c r="AKW75" s="37"/>
      <c r="AKX75" s="37"/>
      <c r="AKY75" s="37"/>
      <c r="AKZ75" s="37"/>
      <c r="ALA75" s="37"/>
      <c r="ALB75" s="37"/>
      <c r="ALC75" s="37"/>
      <c r="ALD75" s="37"/>
      <c r="ALE75" s="37"/>
      <c r="ALF75" s="37"/>
      <c r="ALG75" s="37"/>
      <c r="ALH75" s="37"/>
      <c r="ALI75" s="37"/>
      <c r="ALJ75" s="37"/>
      <c r="ALK75" s="37"/>
      <c r="ALL75" s="37"/>
      <c r="ALM75" s="37"/>
      <c r="ALN75" s="37"/>
      <c r="ALO75" s="37"/>
      <c r="ALP75" s="37"/>
      <c r="ALQ75" s="37"/>
      <c r="ALR75" s="37"/>
      <c r="ALS75" s="37"/>
      <c r="ALT75" s="37"/>
      <c r="ALU75" s="37"/>
      <c r="ALV75" s="37"/>
      <c r="ALW75" s="37"/>
      <c r="ALX75" s="37"/>
      <c r="ALY75" s="37"/>
      <c r="ALZ75" s="37"/>
      <c r="AMA75" s="37"/>
      <c r="AMB75" s="37"/>
      <c r="AMC75" s="37"/>
    </row>
    <row r="76" spans="1:1017" s="38" customFormat="1" ht="19.5" customHeight="1">
      <c r="A76" s="75"/>
      <c r="B76" s="76"/>
      <c r="C76" s="75"/>
      <c r="D76" s="75"/>
      <c r="E76" s="75"/>
      <c r="F76" s="75"/>
      <c r="G76" s="77">
        <v>52</v>
      </c>
      <c r="H76" s="77">
        <v>61</v>
      </c>
      <c r="I76" s="77">
        <v>21</v>
      </c>
      <c r="J76" s="77">
        <v>16</v>
      </c>
      <c r="K76" s="77">
        <v>118</v>
      </c>
      <c r="L76" s="77">
        <v>116</v>
      </c>
      <c r="M76" s="77">
        <v>120</v>
      </c>
      <c r="N76" s="77"/>
      <c r="O76" s="7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  <c r="OU76" s="37"/>
      <c r="OV76" s="37"/>
      <c r="OW76" s="37"/>
      <c r="OX76" s="37"/>
      <c r="OY76" s="37"/>
      <c r="OZ76" s="37"/>
      <c r="PA76" s="37"/>
      <c r="PB76" s="37"/>
      <c r="PC76" s="37"/>
      <c r="PD76" s="37"/>
      <c r="PE76" s="37"/>
      <c r="PF76" s="37"/>
      <c r="PG76" s="37"/>
      <c r="PH76" s="37"/>
      <c r="PI76" s="37"/>
      <c r="PJ76" s="37"/>
      <c r="PK76" s="37"/>
      <c r="PL76" s="37"/>
      <c r="PM76" s="37"/>
      <c r="PN76" s="37"/>
      <c r="PO76" s="37"/>
      <c r="PP76" s="37"/>
      <c r="PQ76" s="37"/>
      <c r="PR76" s="37"/>
      <c r="PS76" s="37"/>
      <c r="PT76" s="37"/>
      <c r="PU76" s="37"/>
      <c r="PV76" s="37"/>
      <c r="PW76" s="37"/>
      <c r="PX76" s="37"/>
      <c r="PY76" s="37"/>
      <c r="PZ76" s="37"/>
      <c r="QA76" s="37"/>
      <c r="QB76" s="37"/>
      <c r="QC76" s="37"/>
      <c r="QD76" s="37"/>
      <c r="QE76" s="37"/>
      <c r="QF76" s="37"/>
      <c r="QG76" s="37"/>
      <c r="QH76" s="37"/>
      <c r="QI76" s="37"/>
      <c r="QJ76" s="37"/>
      <c r="QK76" s="37"/>
      <c r="QL76" s="37"/>
      <c r="QM76" s="37"/>
      <c r="QN76" s="37"/>
      <c r="QO76" s="37"/>
      <c r="QP76" s="37"/>
      <c r="QQ76" s="37"/>
      <c r="QR76" s="37"/>
      <c r="QS76" s="37"/>
      <c r="QT76" s="37"/>
      <c r="QU76" s="37"/>
      <c r="QV76" s="37"/>
      <c r="QW76" s="37"/>
      <c r="QX76" s="37"/>
      <c r="QY76" s="37"/>
      <c r="QZ76" s="37"/>
      <c r="RA76" s="37"/>
      <c r="RB76" s="37"/>
      <c r="RC76" s="37"/>
      <c r="RD76" s="37"/>
      <c r="RE76" s="37"/>
      <c r="RF76" s="37"/>
      <c r="RG76" s="37"/>
      <c r="RH76" s="37"/>
      <c r="RI76" s="37"/>
      <c r="RJ76" s="37"/>
      <c r="RK76" s="37"/>
      <c r="RL76" s="37"/>
      <c r="RM76" s="37"/>
      <c r="RN76" s="37"/>
      <c r="RO76" s="37"/>
      <c r="RP76" s="37"/>
      <c r="RQ76" s="37"/>
      <c r="RR76" s="37"/>
      <c r="RS76" s="37"/>
      <c r="RT76" s="37"/>
      <c r="RU76" s="37"/>
      <c r="RV76" s="37"/>
      <c r="RW76" s="37"/>
      <c r="RX76" s="37"/>
      <c r="RY76" s="37"/>
      <c r="RZ76" s="37"/>
      <c r="SA76" s="37"/>
      <c r="SB76" s="37"/>
      <c r="SC76" s="37"/>
      <c r="SD76" s="37"/>
      <c r="SE76" s="37"/>
      <c r="SF76" s="37"/>
      <c r="SG76" s="37"/>
      <c r="SH76" s="37"/>
      <c r="SI76" s="37"/>
      <c r="SJ76" s="37"/>
      <c r="SK76" s="37"/>
      <c r="SL76" s="37"/>
      <c r="SM76" s="37"/>
      <c r="SN76" s="37"/>
      <c r="SO76" s="37"/>
      <c r="SP76" s="37"/>
      <c r="SQ76" s="37"/>
      <c r="SR76" s="37"/>
      <c r="SS76" s="37"/>
      <c r="ST76" s="37"/>
      <c r="SU76" s="37"/>
      <c r="SV76" s="37"/>
      <c r="SW76" s="37"/>
      <c r="SX76" s="37"/>
      <c r="SY76" s="37"/>
      <c r="SZ76" s="37"/>
      <c r="TA76" s="37"/>
      <c r="TB76" s="37"/>
      <c r="TC76" s="37"/>
      <c r="TD76" s="37"/>
      <c r="TE76" s="37"/>
      <c r="TF76" s="37"/>
      <c r="TG76" s="37"/>
      <c r="TH76" s="37"/>
      <c r="TI76" s="37"/>
      <c r="TJ76" s="37"/>
      <c r="TK76" s="37"/>
      <c r="TL76" s="37"/>
      <c r="TM76" s="37"/>
      <c r="TN76" s="37"/>
      <c r="TO76" s="37"/>
      <c r="TP76" s="37"/>
      <c r="TQ76" s="37"/>
      <c r="TR76" s="37"/>
      <c r="TS76" s="37"/>
      <c r="TT76" s="37"/>
      <c r="TU76" s="37"/>
      <c r="TV76" s="37"/>
      <c r="TW76" s="37"/>
      <c r="TX76" s="37"/>
      <c r="TY76" s="37"/>
      <c r="TZ76" s="37"/>
      <c r="UA76" s="37"/>
      <c r="UB76" s="37"/>
      <c r="UC76" s="37"/>
      <c r="UD76" s="37"/>
      <c r="UE76" s="37"/>
      <c r="UF76" s="37"/>
      <c r="UG76" s="37"/>
      <c r="UH76" s="37"/>
      <c r="UI76" s="37"/>
      <c r="UJ76" s="37"/>
      <c r="UK76" s="37"/>
      <c r="UL76" s="37"/>
      <c r="UM76" s="37"/>
      <c r="UN76" s="37"/>
      <c r="UO76" s="37"/>
      <c r="UP76" s="37"/>
      <c r="UQ76" s="37"/>
      <c r="UR76" s="37"/>
      <c r="US76" s="37"/>
      <c r="UT76" s="37"/>
      <c r="UU76" s="37"/>
      <c r="UV76" s="37"/>
      <c r="UW76" s="37"/>
      <c r="UX76" s="37"/>
      <c r="UY76" s="37"/>
      <c r="UZ76" s="37"/>
      <c r="VA76" s="37"/>
      <c r="VB76" s="37"/>
      <c r="VC76" s="37"/>
      <c r="VD76" s="37"/>
      <c r="VE76" s="37"/>
      <c r="VF76" s="37"/>
      <c r="VG76" s="37"/>
      <c r="VH76" s="37"/>
      <c r="VI76" s="37"/>
      <c r="VJ76" s="37"/>
      <c r="VK76" s="37"/>
      <c r="VL76" s="37"/>
      <c r="VM76" s="37"/>
      <c r="VN76" s="37"/>
      <c r="VO76" s="37"/>
      <c r="VP76" s="37"/>
      <c r="VQ76" s="37"/>
      <c r="VR76" s="37"/>
      <c r="VS76" s="37"/>
      <c r="VT76" s="37"/>
      <c r="VU76" s="37"/>
      <c r="VV76" s="37"/>
      <c r="VW76" s="37"/>
      <c r="VX76" s="37"/>
      <c r="VY76" s="37"/>
      <c r="VZ76" s="37"/>
      <c r="WA76" s="37"/>
      <c r="WB76" s="37"/>
      <c r="WC76" s="37"/>
      <c r="WD76" s="37"/>
      <c r="WE76" s="37"/>
      <c r="WF76" s="37"/>
      <c r="WG76" s="37"/>
      <c r="WH76" s="37"/>
      <c r="WI76" s="37"/>
      <c r="WJ76" s="37"/>
      <c r="WK76" s="37"/>
      <c r="WL76" s="37"/>
      <c r="WM76" s="37"/>
      <c r="WN76" s="37"/>
      <c r="WO76" s="37"/>
      <c r="WP76" s="37"/>
      <c r="WQ76" s="37"/>
      <c r="WR76" s="37"/>
      <c r="WS76" s="37"/>
      <c r="WT76" s="37"/>
      <c r="WU76" s="37"/>
      <c r="WV76" s="37"/>
      <c r="WW76" s="37"/>
      <c r="WX76" s="37"/>
      <c r="WY76" s="37"/>
      <c r="WZ76" s="37"/>
      <c r="XA76" s="37"/>
      <c r="XB76" s="37"/>
      <c r="XC76" s="37"/>
      <c r="XD76" s="37"/>
      <c r="XE76" s="37"/>
      <c r="XF76" s="37"/>
      <c r="XG76" s="37"/>
      <c r="XH76" s="37"/>
      <c r="XI76" s="37"/>
      <c r="XJ76" s="37"/>
      <c r="XK76" s="37"/>
      <c r="XL76" s="37"/>
      <c r="XM76" s="37"/>
      <c r="XN76" s="37"/>
      <c r="XO76" s="37"/>
      <c r="XP76" s="37"/>
      <c r="XQ76" s="37"/>
      <c r="XR76" s="37"/>
      <c r="XS76" s="37"/>
      <c r="XT76" s="37"/>
      <c r="XU76" s="37"/>
      <c r="XV76" s="37"/>
      <c r="XW76" s="37"/>
      <c r="XX76" s="37"/>
      <c r="XY76" s="37"/>
      <c r="XZ76" s="37"/>
      <c r="YA76" s="37"/>
      <c r="YB76" s="37"/>
      <c r="YC76" s="37"/>
      <c r="YD76" s="37"/>
      <c r="YE76" s="37"/>
      <c r="YF76" s="37"/>
      <c r="YG76" s="37"/>
      <c r="YH76" s="37"/>
      <c r="YI76" s="37"/>
      <c r="YJ76" s="37"/>
      <c r="YK76" s="37"/>
      <c r="YL76" s="37"/>
      <c r="YM76" s="37"/>
      <c r="YN76" s="37"/>
      <c r="YO76" s="37"/>
      <c r="YP76" s="37"/>
      <c r="YQ76" s="37"/>
      <c r="YR76" s="37"/>
      <c r="YS76" s="37"/>
      <c r="YT76" s="37"/>
      <c r="YU76" s="37"/>
      <c r="YV76" s="37"/>
      <c r="YW76" s="37"/>
      <c r="YX76" s="37"/>
      <c r="YY76" s="37"/>
      <c r="YZ76" s="37"/>
      <c r="ZA76" s="37"/>
      <c r="ZB76" s="37"/>
      <c r="ZC76" s="37"/>
      <c r="ZD76" s="37"/>
      <c r="ZE76" s="37"/>
      <c r="ZF76" s="37"/>
      <c r="ZG76" s="37"/>
      <c r="ZH76" s="37"/>
      <c r="ZI76" s="37"/>
      <c r="ZJ76" s="37"/>
      <c r="ZK76" s="37"/>
      <c r="ZL76" s="37"/>
      <c r="ZM76" s="37"/>
      <c r="ZN76" s="37"/>
      <c r="ZO76" s="37"/>
      <c r="ZP76" s="37"/>
      <c r="ZQ76" s="37"/>
      <c r="ZR76" s="37"/>
      <c r="ZS76" s="37"/>
      <c r="ZT76" s="37"/>
      <c r="ZU76" s="37"/>
      <c r="ZV76" s="37"/>
      <c r="ZW76" s="37"/>
      <c r="ZX76" s="37"/>
      <c r="ZY76" s="37"/>
      <c r="ZZ76" s="37"/>
      <c r="AAA76" s="37"/>
      <c r="AAB76" s="37"/>
      <c r="AAC76" s="37"/>
      <c r="AAD76" s="37"/>
      <c r="AAE76" s="37"/>
      <c r="AAF76" s="37"/>
      <c r="AAG76" s="37"/>
      <c r="AAH76" s="37"/>
      <c r="AAI76" s="37"/>
      <c r="AAJ76" s="37"/>
      <c r="AAK76" s="37"/>
      <c r="AAL76" s="37"/>
      <c r="AAM76" s="37"/>
      <c r="AAN76" s="37"/>
      <c r="AAO76" s="37"/>
      <c r="AAP76" s="37"/>
      <c r="AAQ76" s="37"/>
      <c r="AAR76" s="37"/>
      <c r="AAS76" s="37"/>
      <c r="AAT76" s="37"/>
      <c r="AAU76" s="37"/>
      <c r="AAV76" s="37"/>
      <c r="AAW76" s="37"/>
      <c r="AAX76" s="37"/>
      <c r="AAY76" s="37"/>
      <c r="AAZ76" s="37"/>
      <c r="ABA76" s="37"/>
      <c r="ABB76" s="37"/>
      <c r="ABC76" s="37"/>
      <c r="ABD76" s="37"/>
      <c r="ABE76" s="37"/>
      <c r="ABF76" s="37"/>
      <c r="ABG76" s="37"/>
      <c r="ABH76" s="37"/>
      <c r="ABI76" s="37"/>
      <c r="ABJ76" s="37"/>
      <c r="ABK76" s="37"/>
      <c r="ABL76" s="37"/>
      <c r="ABM76" s="37"/>
      <c r="ABN76" s="37"/>
      <c r="ABO76" s="37"/>
      <c r="ABP76" s="37"/>
      <c r="ABQ76" s="37"/>
      <c r="ABR76" s="37"/>
      <c r="ABS76" s="37"/>
      <c r="ABT76" s="37"/>
      <c r="ABU76" s="37"/>
      <c r="ABV76" s="37"/>
      <c r="ABW76" s="37"/>
      <c r="ABX76" s="37"/>
      <c r="ABY76" s="37"/>
      <c r="ABZ76" s="37"/>
      <c r="ACA76" s="37"/>
      <c r="ACB76" s="37"/>
      <c r="ACC76" s="37"/>
      <c r="ACD76" s="37"/>
      <c r="ACE76" s="37"/>
      <c r="ACF76" s="37"/>
      <c r="ACG76" s="37"/>
      <c r="ACH76" s="37"/>
      <c r="ACI76" s="37"/>
      <c r="ACJ76" s="37"/>
      <c r="ACK76" s="37"/>
      <c r="ACL76" s="37"/>
      <c r="ACM76" s="37"/>
      <c r="ACN76" s="37"/>
      <c r="ACO76" s="37"/>
      <c r="ACP76" s="37"/>
      <c r="ACQ76" s="37"/>
      <c r="ACR76" s="37"/>
      <c r="ACS76" s="37"/>
      <c r="ACT76" s="37"/>
      <c r="ACU76" s="37"/>
      <c r="ACV76" s="37"/>
      <c r="ACW76" s="37"/>
      <c r="ACX76" s="37"/>
      <c r="ACY76" s="37"/>
      <c r="ACZ76" s="37"/>
      <c r="ADA76" s="37"/>
      <c r="ADB76" s="37"/>
      <c r="ADC76" s="37"/>
      <c r="ADD76" s="37"/>
      <c r="ADE76" s="37"/>
      <c r="ADF76" s="37"/>
      <c r="ADG76" s="37"/>
      <c r="ADH76" s="37"/>
      <c r="ADI76" s="37"/>
      <c r="ADJ76" s="37"/>
      <c r="ADK76" s="37"/>
      <c r="ADL76" s="37"/>
      <c r="ADM76" s="37"/>
      <c r="ADN76" s="37"/>
      <c r="ADO76" s="37"/>
      <c r="ADP76" s="37"/>
      <c r="ADQ76" s="37"/>
      <c r="ADR76" s="37"/>
      <c r="ADS76" s="37"/>
      <c r="ADT76" s="37"/>
      <c r="ADU76" s="37"/>
      <c r="ADV76" s="37"/>
      <c r="ADW76" s="37"/>
      <c r="ADX76" s="37"/>
      <c r="ADY76" s="37"/>
      <c r="ADZ76" s="37"/>
      <c r="AEA76" s="37"/>
      <c r="AEB76" s="37"/>
      <c r="AEC76" s="37"/>
      <c r="AED76" s="37"/>
      <c r="AEE76" s="37"/>
      <c r="AEF76" s="37"/>
      <c r="AEG76" s="37"/>
      <c r="AEH76" s="37"/>
      <c r="AEI76" s="37"/>
      <c r="AEJ76" s="37"/>
      <c r="AEK76" s="37"/>
      <c r="AEL76" s="37"/>
      <c r="AEM76" s="37"/>
      <c r="AEN76" s="37"/>
      <c r="AEO76" s="37"/>
      <c r="AEP76" s="37"/>
      <c r="AEQ76" s="37"/>
      <c r="AER76" s="37"/>
      <c r="AES76" s="37"/>
      <c r="AET76" s="37"/>
      <c r="AEU76" s="37"/>
      <c r="AEV76" s="37"/>
      <c r="AEW76" s="37"/>
      <c r="AEX76" s="37"/>
      <c r="AEY76" s="37"/>
      <c r="AEZ76" s="37"/>
      <c r="AFA76" s="37"/>
      <c r="AFB76" s="37"/>
      <c r="AFC76" s="37"/>
      <c r="AFD76" s="37"/>
      <c r="AFE76" s="37"/>
      <c r="AFF76" s="37"/>
      <c r="AFG76" s="37"/>
      <c r="AFH76" s="37"/>
      <c r="AFI76" s="37"/>
      <c r="AFJ76" s="37"/>
      <c r="AFK76" s="37"/>
      <c r="AFL76" s="37"/>
      <c r="AFM76" s="37"/>
      <c r="AFN76" s="37"/>
      <c r="AFO76" s="37"/>
      <c r="AFP76" s="37"/>
      <c r="AFQ76" s="37"/>
      <c r="AFR76" s="37"/>
      <c r="AFS76" s="37"/>
      <c r="AFT76" s="37"/>
      <c r="AFU76" s="37"/>
      <c r="AFV76" s="37"/>
      <c r="AFW76" s="37"/>
      <c r="AFX76" s="37"/>
      <c r="AFY76" s="37"/>
      <c r="AFZ76" s="37"/>
      <c r="AGA76" s="37"/>
      <c r="AGB76" s="37"/>
      <c r="AGC76" s="37"/>
      <c r="AGD76" s="37"/>
      <c r="AGE76" s="37"/>
      <c r="AGF76" s="37"/>
      <c r="AGG76" s="37"/>
      <c r="AGH76" s="37"/>
      <c r="AGI76" s="37"/>
      <c r="AGJ76" s="37"/>
      <c r="AGK76" s="37"/>
      <c r="AGL76" s="37"/>
      <c r="AGM76" s="37"/>
      <c r="AGN76" s="37"/>
      <c r="AGO76" s="37"/>
      <c r="AGP76" s="37"/>
      <c r="AGQ76" s="37"/>
      <c r="AGR76" s="37"/>
      <c r="AGS76" s="37"/>
      <c r="AGT76" s="37"/>
      <c r="AGU76" s="37"/>
      <c r="AGV76" s="37"/>
      <c r="AGW76" s="37"/>
      <c r="AGX76" s="37"/>
      <c r="AGY76" s="37"/>
      <c r="AGZ76" s="37"/>
      <c r="AHA76" s="37"/>
      <c r="AHB76" s="37"/>
      <c r="AHC76" s="37"/>
      <c r="AHD76" s="37"/>
      <c r="AHE76" s="37"/>
      <c r="AHF76" s="37"/>
      <c r="AHG76" s="37"/>
      <c r="AHH76" s="37"/>
      <c r="AHI76" s="37"/>
      <c r="AHJ76" s="37"/>
      <c r="AHK76" s="37"/>
      <c r="AHL76" s="37"/>
      <c r="AHM76" s="37"/>
      <c r="AHN76" s="37"/>
      <c r="AHO76" s="37"/>
      <c r="AHP76" s="37"/>
      <c r="AHQ76" s="37"/>
      <c r="AHR76" s="37"/>
      <c r="AHS76" s="37"/>
      <c r="AHT76" s="37"/>
      <c r="AHU76" s="37"/>
      <c r="AHV76" s="37"/>
      <c r="AHW76" s="37"/>
      <c r="AHX76" s="37"/>
      <c r="AHY76" s="37"/>
      <c r="AHZ76" s="37"/>
      <c r="AIA76" s="37"/>
      <c r="AIB76" s="37"/>
      <c r="AIC76" s="37"/>
      <c r="AID76" s="37"/>
      <c r="AIE76" s="37"/>
      <c r="AIF76" s="37"/>
      <c r="AIG76" s="37"/>
      <c r="AIH76" s="37"/>
      <c r="AII76" s="37"/>
      <c r="AIJ76" s="37"/>
      <c r="AIK76" s="37"/>
      <c r="AIL76" s="37"/>
      <c r="AIM76" s="37"/>
      <c r="AIN76" s="37"/>
      <c r="AIO76" s="37"/>
      <c r="AIP76" s="37"/>
      <c r="AIQ76" s="37"/>
      <c r="AIR76" s="37"/>
      <c r="AIS76" s="37"/>
      <c r="AIT76" s="37"/>
      <c r="AIU76" s="37"/>
      <c r="AIV76" s="37"/>
      <c r="AIW76" s="37"/>
      <c r="AIX76" s="37"/>
      <c r="AIY76" s="37"/>
      <c r="AIZ76" s="37"/>
      <c r="AJA76" s="37"/>
      <c r="AJB76" s="37"/>
      <c r="AJC76" s="37"/>
      <c r="AJD76" s="37"/>
      <c r="AJE76" s="37"/>
      <c r="AJF76" s="37"/>
      <c r="AJG76" s="37"/>
      <c r="AJH76" s="37"/>
      <c r="AJI76" s="37"/>
      <c r="AJJ76" s="37"/>
      <c r="AJK76" s="37"/>
      <c r="AJL76" s="37"/>
      <c r="AJM76" s="37"/>
      <c r="AJN76" s="37"/>
      <c r="AJO76" s="37"/>
      <c r="AJP76" s="37"/>
      <c r="AJQ76" s="37"/>
      <c r="AJR76" s="37"/>
      <c r="AJS76" s="37"/>
      <c r="AJT76" s="37"/>
      <c r="AJU76" s="37"/>
      <c r="AJV76" s="37"/>
      <c r="AJW76" s="37"/>
      <c r="AJX76" s="37"/>
      <c r="AJY76" s="37"/>
      <c r="AJZ76" s="37"/>
      <c r="AKA76" s="37"/>
      <c r="AKB76" s="37"/>
      <c r="AKC76" s="37"/>
      <c r="AKD76" s="37"/>
      <c r="AKE76" s="37"/>
      <c r="AKF76" s="37"/>
      <c r="AKG76" s="37"/>
      <c r="AKH76" s="37"/>
      <c r="AKI76" s="37"/>
      <c r="AKJ76" s="37"/>
      <c r="AKK76" s="37"/>
      <c r="AKL76" s="37"/>
      <c r="AKM76" s="37"/>
      <c r="AKN76" s="37"/>
      <c r="AKO76" s="37"/>
      <c r="AKP76" s="37"/>
      <c r="AKQ76" s="37"/>
      <c r="AKR76" s="37"/>
      <c r="AKS76" s="37"/>
      <c r="AKT76" s="37"/>
      <c r="AKU76" s="37"/>
      <c r="AKV76" s="37"/>
      <c r="AKW76" s="37"/>
      <c r="AKX76" s="37"/>
      <c r="AKY76" s="37"/>
      <c r="AKZ76" s="37"/>
      <c r="ALA76" s="37"/>
      <c r="ALB76" s="37"/>
      <c r="ALC76" s="37"/>
      <c r="ALD76" s="37"/>
      <c r="ALE76" s="37"/>
      <c r="ALF76" s="37"/>
      <c r="ALG76" s="37"/>
      <c r="ALH76" s="37"/>
      <c r="ALI76" s="37"/>
      <c r="ALJ76" s="37"/>
      <c r="ALK76" s="37"/>
      <c r="ALL76" s="37"/>
      <c r="ALM76" s="37"/>
      <c r="ALN76" s="37"/>
      <c r="ALO76" s="37"/>
      <c r="ALP76" s="37"/>
      <c r="ALQ76" s="37"/>
      <c r="ALR76" s="37"/>
      <c r="ALS76" s="37"/>
      <c r="ALT76" s="37"/>
      <c r="ALU76" s="37"/>
      <c r="ALV76" s="37"/>
      <c r="ALW76" s="37"/>
      <c r="ALX76" s="37"/>
      <c r="ALY76" s="37"/>
      <c r="ALZ76" s="37"/>
      <c r="AMA76" s="37"/>
      <c r="AMB76" s="37"/>
      <c r="AMC76" s="37"/>
    </row>
    <row r="77" spans="1:1017" s="38" customFormat="1" ht="19.5" customHeight="1">
      <c r="A77" s="26" t="s">
        <v>134</v>
      </c>
      <c r="B77" s="25" t="s">
        <v>129</v>
      </c>
      <c r="C77" s="26" t="s">
        <v>46</v>
      </c>
      <c r="D77" s="26" t="s">
        <v>32</v>
      </c>
      <c r="E77" s="26" t="s">
        <v>261</v>
      </c>
      <c r="F77" s="26">
        <v>40</v>
      </c>
      <c r="G77" s="26" t="s">
        <v>34</v>
      </c>
      <c r="H77" s="26">
        <v>55</v>
      </c>
      <c r="I77" s="36">
        <v>42</v>
      </c>
      <c r="J77" s="36">
        <v>25</v>
      </c>
      <c r="K77" s="36">
        <v>18</v>
      </c>
      <c r="L77" s="36">
        <v>28</v>
      </c>
      <c r="M77" s="36">
        <v>26</v>
      </c>
      <c r="N77" s="36">
        <v>28</v>
      </c>
      <c r="O77" s="36">
        <v>69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/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  <c r="OU77" s="37"/>
      <c r="OV77" s="37"/>
      <c r="OW77" s="37"/>
      <c r="OX77" s="37"/>
      <c r="OY77" s="37"/>
      <c r="OZ77" s="37"/>
      <c r="PA77" s="37"/>
      <c r="PB77" s="37"/>
      <c r="PC77" s="37"/>
      <c r="PD77" s="37"/>
      <c r="PE77" s="37"/>
      <c r="PF77" s="37"/>
      <c r="PG77" s="37"/>
      <c r="PH77" s="37"/>
      <c r="PI77" s="37"/>
      <c r="PJ77" s="37"/>
      <c r="PK77" s="37"/>
      <c r="PL77" s="37"/>
      <c r="PM77" s="37"/>
      <c r="PN77" s="37"/>
      <c r="PO77" s="37"/>
      <c r="PP77" s="37"/>
      <c r="PQ77" s="37"/>
      <c r="PR77" s="37"/>
      <c r="PS77" s="37"/>
      <c r="PT77" s="37"/>
      <c r="PU77" s="37"/>
      <c r="PV77" s="37"/>
      <c r="PW77" s="37"/>
      <c r="PX77" s="37"/>
      <c r="PY77" s="37"/>
      <c r="PZ77" s="37"/>
      <c r="QA77" s="37"/>
      <c r="QB77" s="37"/>
      <c r="QC77" s="37"/>
      <c r="QD77" s="37"/>
      <c r="QE77" s="37"/>
      <c r="QF77" s="37"/>
      <c r="QG77" s="37"/>
      <c r="QH77" s="37"/>
      <c r="QI77" s="37"/>
      <c r="QJ77" s="37"/>
      <c r="QK77" s="37"/>
      <c r="QL77" s="37"/>
      <c r="QM77" s="37"/>
      <c r="QN77" s="37"/>
      <c r="QO77" s="37"/>
      <c r="QP77" s="37"/>
      <c r="QQ77" s="37"/>
      <c r="QR77" s="37"/>
      <c r="QS77" s="37"/>
      <c r="QT77" s="37"/>
      <c r="QU77" s="37"/>
      <c r="QV77" s="37"/>
      <c r="QW77" s="37"/>
      <c r="QX77" s="37"/>
      <c r="QY77" s="37"/>
      <c r="QZ77" s="37"/>
      <c r="RA77" s="37"/>
      <c r="RB77" s="37"/>
      <c r="RC77" s="37"/>
      <c r="RD77" s="37"/>
      <c r="RE77" s="37"/>
      <c r="RF77" s="37"/>
      <c r="RG77" s="37"/>
      <c r="RH77" s="37"/>
      <c r="RI77" s="37"/>
      <c r="RJ77" s="37"/>
      <c r="RK77" s="37"/>
      <c r="RL77" s="37"/>
      <c r="RM77" s="37"/>
      <c r="RN77" s="37"/>
      <c r="RO77" s="37"/>
      <c r="RP77" s="37"/>
      <c r="RQ77" s="37"/>
      <c r="RR77" s="37"/>
      <c r="RS77" s="37"/>
      <c r="RT77" s="37"/>
      <c r="RU77" s="37"/>
      <c r="RV77" s="37"/>
      <c r="RW77" s="37"/>
      <c r="RX77" s="37"/>
      <c r="RY77" s="37"/>
      <c r="RZ77" s="37"/>
      <c r="SA77" s="37"/>
      <c r="SB77" s="37"/>
      <c r="SC77" s="37"/>
      <c r="SD77" s="37"/>
      <c r="SE77" s="37"/>
      <c r="SF77" s="37"/>
      <c r="SG77" s="37"/>
      <c r="SH77" s="37"/>
      <c r="SI77" s="37"/>
      <c r="SJ77" s="37"/>
      <c r="SK77" s="37"/>
      <c r="SL77" s="37"/>
      <c r="SM77" s="37"/>
      <c r="SN77" s="37"/>
      <c r="SO77" s="37"/>
      <c r="SP77" s="37"/>
      <c r="SQ77" s="37"/>
      <c r="SR77" s="37"/>
      <c r="SS77" s="37"/>
      <c r="ST77" s="37"/>
      <c r="SU77" s="37"/>
      <c r="SV77" s="37"/>
      <c r="SW77" s="37"/>
      <c r="SX77" s="37"/>
      <c r="SY77" s="37"/>
      <c r="SZ77" s="37"/>
      <c r="TA77" s="37"/>
      <c r="TB77" s="37"/>
      <c r="TC77" s="37"/>
      <c r="TD77" s="37"/>
      <c r="TE77" s="37"/>
      <c r="TF77" s="37"/>
      <c r="TG77" s="37"/>
      <c r="TH77" s="37"/>
      <c r="TI77" s="37"/>
      <c r="TJ77" s="37"/>
      <c r="TK77" s="37"/>
      <c r="TL77" s="37"/>
      <c r="TM77" s="37"/>
      <c r="TN77" s="37"/>
      <c r="TO77" s="37"/>
      <c r="TP77" s="37"/>
      <c r="TQ77" s="37"/>
      <c r="TR77" s="37"/>
      <c r="TS77" s="37"/>
      <c r="TT77" s="37"/>
      <c r="TU77" s="37"/>
      <c r="TV77" s="37"/>
      <c r="TW77" s="37"/>
      <c r="TX77" s="37"/>
      <c r="TY77" s="37"/>
      <c r="TZ77" s="37"/>
      <c r="UA77" s="37"/>
      <c r="UB77" s="37"/>
      <c r="UC77" s="37"/>
      <c r="UD77" s="37"/>
      <c r="UE77" s="37"/>
      <c r="UF77" s="37"/>
      <c r="UG77" s="37"/>
      <c r="UH77" s="37"/>
      <c r="UI77" s="37"/>
      <c r="UJ77" s="37"/>
      <c r="UK77" s="37"/>
      <c r="UL77" s="37"/>
      <c r="UM77" s="37"/>
      <c r="UN77" s="37"/>
      <c r="UO77" s="37"/>
      <c r="UP77" s="37"/>
      <c r="UQ77" s="37"/>
      <c r="UR77" s="37"/>
      <c r="US77" s="37"/>
      <c r="UT77" s="37"/>
      <c r="UU77" s="37"/>
      <c r="UV77" s="37"/>
      <c r="UW77" s="37"/>
      <c r="UX77" s="37"/>
      <c r="UY77" s="37"/>
      <c r="UZ77" s="37"/>
      <c r="VA77" s="37"/>
      <c r="VB77" s="37"/>
      <c r="VC77" s="37"/>
      <c r="VD77" s="37"/>
      <c r="VE77" s="37"/>
      <c r="VF77" s="37"/>
      <c r="VG77" s="37"/>
      <c r="VH77" s="37"/>
      <c r="VI77" s="37"/>
      <c r="VJ77" s="37"/>
      <c r="VK77" s="37"/>
      <c r="VL77" s="37"/>
      <c r="VM77" s="37"/>
      <c r="VN77" s="37"/>
      <c r="VO77" s="37"/>
      <c r="VP77" s="37"/>
      <c r="VQ77" s="37"/>
      <c r="VR77" s="37"/>
      <c r="VS77" s="37"/>
      <c r="VT77" s="37"/>
      <c r="VU77" s="37"/>
      <c r="VV77" s="37"/>
      <c r="VW77" s="37"/>
      <c r="VX77" s="37"/>
      <c r="VY77" s="37"/>
      <c r="VZ77" s="37"/>
      <c r="WA77" s="37"/>
      <c r="WB77" s="37"/>
      <c r="WC77" s="37"/>
      <c r="WD77" s="37"/>
      <c r="WE77" s="37"/>
      <c r="WF77" s="37"/>
      <c r="WG77" s="37"/>
      <c r="WH77" s="37"/>
      <c r="WI77" s="37"/>
      <c r="WJ77" s="37"/>
      <c r="WK77" s="37"/>
      <c r="WL77" s="37"/>
      <c r="WM77" s="37"/>
      <c r="WN77" s="37"/>
      <c r="WO77" s="37"/>
      <c r="WP77" s="37"/>
      <c r="WQ77" s="37"/>
      <c r="WR77" s="37"/>
      <c r="WS77" s="37"/>
      <c r="WT77" s="37"/>
      <c r="WU77" s="37"/>
      <c r="WV77" s="37"/>
      <c r="WW77" s="37"/>
      <c r="WX77" s="37"/>
      <c r="WY77" s="37"/>
      <c r="WZ77" s="37"/>
      <c r="XA77" s="37"/>
      <c r="XB77" s="37"/>
      <c r="XC77" s="37"/>
      <c r="XD77" s="37"/>
      <c r="XE77" s="37"/>
      <c r="XF77" s="37"/>
      <c r="XG77" s="37"/>
      <c r="XH77" s="37"/>
      <c r="XI77" s="37"/>
      <c r="XJ77" s="37"/>
      <c r="XK77" s="37"/>
      <c r="XL77" s="37"/>
      <c r="XM77" s="37"/>
      <c r="XN77" s="37"/>
      <c r="XO77" s="37"/>
      <c r="XP77" s="37"/>
      <c r="XQ77" s="37"/>
      <c r="XR77" s="37"/>
      <c r="XS77" s="37"/>
      <c r="XT77" s="37"/>
      <c r="XU77" s="37"/>
      <c r="XV77" s="37"/>
      <c r="XW77" s="37"/>
      <c r="XX77" s="37"/>
      <c r="XY77" s="37"/>
      <c r="XZ77" s="37"/>
      <c r="YA77" s="37"/>
      <c r="YB77" s="37"/>
      <c r="YC77" s="37"/>
      <c r="YD77" s="37"/>
      <c r="YE77" s="37"/>
      <c r="YF77" s="37"/>
      <c r="YG77" s="37"/>
      <c r="YH77" s="37"/>
      <c r="YI77" s="37"/>
      <c r="YJ77" s="37"/>
      <c r="YK77" s="37"/>
      <c r="YL77" s="37"/>
      <c r="YM77" s="37"/>
      <c r="YN77" s="37"/>
      <c r="YO77" s="37"/>
      <c r="YP77" s="37"/>
      <c r="YQ77" s="37"/>
      <c r="YR77" s="37"/>
      <c r="YS77" s="37"/>
      <c r="YT77" s="37"/>
      <c r="YU77" s="37"/>
      <c r="YV77" s="37"/>
      <c r="YW77" s="37"/>
      <c r="YX77" s="37"/>
      <c r="YY77" s="37"/>
      <c r="YZ77" s="37"/>
      <c r="ZA77" s="37"/>
      <c r="ZB77" s="37"/>
      <c r="ZC77" s="37"/>
      <c r="ZD77" s="37"/>
      <c r="ZE77" s="37"/>
      <c r="ZF77" s="37"/>
      <c r="ZG77" s="37"/>
      <c r="ZH77" s="37"/>
      <c r="ZI77" s="37"/>
      <c r="ZJ77" s="37"/>
      <c r="ZK77" s="37"/>
      <c r="ZL77" s="37"/>
      <c r="ZM77" s="37"/>
      <c r="ZN77" s="37"/>
      <c r="ZO77" s="37"/>
      <c r="ZP77" s="37"/>
      <c r="ZQ77" s="37"/>
      <c r="ZR77" s="37"/>
      <c r="ZS77" s="37"/>
      <c r="ZT77" s="37"/>
      <c r="ZU77" s="37"/>
      <c r="ZV77" s="37"/>
      <c r="ZW77" s="37"/>
      <c r="ZX77" s="37"/>
      <c r="ZY77" s="37"/>
      <c r="ZZ77" s="37"/>
      <c r="AAA77" s="37"/>
      <c r="AAB77" s="37"/>
      <c r="AAC77" s="37"/>
      <c r="AAD77" s="37"/>
      <c r="AAE77" s="37"/>
      <c r="AAF77" s="37"/>
      <c r="AAG77" s="37"/>
      <c r="AAH77" s="37"/>
      <c r="AAI77" s="37"/>
      <c r="AAJ77" s="37"/>
      <c r="AAK77" s="37"/>
      <c r="AAL77" s="37"/>
      <c r="AAM77" s="37"/>
      <c r="AAN77" s="37"/>
      <c r="AAO77" s="37"/>
      <c r="AAP77" s="37"/>
      <c r="AAQ77" s="37"/>
      <c r="AAR77" s="37"/>
      <c r="AAS77" s="37"/>
      <c r="AAT77" s="37"/>
      <c r="AAU77" s="37"/>
      <c r="AAV77" s="37"/>
      <c r="AAW77" s="37"/>
      <c r="AAX77" s="37"/>
      <c r="AAY77" s="37"/>
      <c r="AAZ77" s="37"/>
      <c r="ABA77" s="37"/>
      <c r="ABB77" s="37"/>
      <c r="ABC77" s="37"/>
      <c r="ABD77" s="37"/>
      <c r="ABE77" s="37"/>
      <c r="ABF77" s="37"/>
      <c r="ABG77" s="37"/>
      <c r="ABH77" s="37"/>
      <c r="ABI77" s="37"/>
      <c r="ABJ77" s="37"/>
      <c r="ABK77" s="37"/>
      <c r="ABL77" s="37"/>
      <c r="ABM77" s="37"/>
      <c r="ABN77" s="37"/>
      <c r="ABO77" s="37"/>
      <c r="ABP77" s="37"/>
      <c r="ABQ77" s="37"/>
      <c r="ABR77" s="37"/>
      <c r="ABS77" s="37"/>
      <c r="ABT77" s="37"/>
      <c r="ABU77" s="37"/>
      <c r="ABV77" s="37"/>
      <c r="ABW77" s="37"/>
      <c r="ABX77" s="37"/>
      <c r="ABY77" s="37"/>
      <c r="ABZ77" s="37"/>
      <c r="ACA77" s="37"/>
      <c r="ACB77" s="37"/>
      <c r="ACC77" s="37"/>
      <c r="ACD77" s="37"/>
      <c r="ACE77" s="37"/>
      <c r="ACF77" s="37"/>
      <c r="ACG77" s="37"/>
      <c r="ACH77" s="37"/>
      <c r="ACI77" s="37"/>
      <c r="ACJ77" s="37"/>
      <c r="ACK77" s="37"/>
      <c r="ACL77" s="37"/>
      <c r="ACM77" s="37"/>
      <c r="ACN77" s="37"/>
      <c r="ACO77" s="37"/>
      <c r="ACP77" s="37"/>
      <c r="ACQ77" s="37"/>
      <c r="ACR77" s="37"/>
      <c r="ACS77" s="37"/>
      <c r="ACT77" s="37"/>
      <c r="ACU77" s="37"/>
      <c r="ACV77" s="37"/>
      <c r="ACW77" s="37"/>
      <c r="ACX77" s="37"/>
      <c r="ACY77" s="37"/>
      <c r="ACZ77" s="37"/>
      <c r="ADA77" s="37"/>
      <c r="ADB77" s="37"/>
      <c r="ADC77" s="37"/>
      <c r="ADD77" s="37"/>
      <c r="ADE77" s="37"/>
      <c r="ADF77" s="37"/>
      <c r="ADG77" s="37"/>
      <c r="ADH77" s="37"/>
      <c r="ADI77" s="37"/>
      <c r="ADJ77" s="37"/>
      <c r="ADK77" s="37"/>
      <c r="ADL77" s="37"/>
      <c r="ADM77" s="37"/>
      <c r="ADN77" s="37"/>
      <c r="ADO77" s="37"/>
      <c r="ADP77" s="37"/>
      <c r="ADQ77" s="37"/>
      <c r="ADR77" s="37"/>
      <c r="ADS77" s="37"/>
      <c r="ADT77" s="37"/>
      <c r="ADU77" s="37"/>
      <c r="ADV77" s="37"/>
      <c r="ADW77" s="37"/>
      <c r="ADX77" s="37"/>
      <c r="ADY77" s="37"/>
      <c r="ADZ77" s="37"/>
      <c r="AEA77" s="37"/>
      <c r="AEB77" s="37"/>
      <c r="AEC77" s="37"/>
      <c r="AED77" s="37"/>
      <c r="AEE77" s="37"/>
      <c r="AEF77" s="37"/>
      <c r="AEG77" s="37"/>
      <c r="AEH77" s="37"/>
      <c r="AEI77" s="37"/>
      <c r="AEJ77" s="37"/>
      <c r="AEK77" s="37"/>
      <c r="AEL77" s="37"/>
      <c r="AEM77" s="37"/>
      <c r="AEN77" s="37"/>
      <c r="AEO77" s="37"/>
      <c r="AEP77" s="37"/>
      <c r="AEQ77" s="37"/>
      <c r="AER77" s="37"/>
      <c r="AES77" s="37"/>
      <c r="AET77" s="37"/>
      <c r="AEU77" s="37"/>
      <c r="AEV77" s="37"/>
      <c r="AEW77" s="37"/>
      <c r="AEX77" s="37"/>
      <c r="AEY77" s="37"/>
      <c r="AEZ77" s="37"/>
      <c r="AFA77" s="37"/>
      <c r="AFB77" s="37"/>
      <c r="AFC77" s="37"/>
      <c r="AFD77" s="37"/>
      <c r="AFE77" s="37"/>
      <c r="AFF77" s="37"/>
      <c r="AFG77" s="37"/>
      <c r="AFH77" s="37"/>
      <c r="AFI77" s="37"/>
      <c r="AFJ77" s="37"/>
      <c r="AFK77" s="37"/>
      <c r="AFL77" s="37"/>
      <c r="AFM77" s="37"/>
      <c r="AFN77" s="37"/>
      <c r="AFO77" s="37"/>
      <c r="AFP77" s="37"/>
      <c r="AFQ77" s="37"/>
      <c r="AFR77" s="37"/>
      <c r="AFS77" s="37"/>
      <c r="AFT77" s="37"/>
      <c r="AFU77" s="37"/>
      <c r="AFV77" s="37"/>
      <c r="AFW77" s="37"/>
      <c r="AFX77" s="37"/>
      <c r="AFY77" s="37"/>
      <c r="AFZ77" s="37"/>
      <c r="AGA77" s="37"/>
      <c r="AGB77" s="37"/>
      <c r="AGC77" s="37"/>
      <c r="AGD77" s="37"/>
      <c r="AGE77" s="37"/>
      <c r="AGF77" s="37"/>
      <c r="AGG77" s="37"/>
      <c r="AGH77" s="37"/>
      <c r="AGI77" s="37"/>
      <c r="AGJ77" s="37"/>
      <c r="AGK77" s="37"/>
      <c r="AGL77" s="37"/>
      <c r="AGM77" s="37"/>
      <c r="AGN77" s="37"/>
      <c r="AGO77" s="37"/>
      <c r="AGP77" s="37"/>
      <c r="AGQ77" s="37"/>
      <c r="AGR77" s="37"/>
      <c r="AGS77" s="37"/>
      <c r="AGT77" s="37"/>
      <c r="AGU77" s="37"/>
      <c r="AGV77" s="37"/>
      <c r="AGW77" s="37"/>
      <c r="AGX77" s="37"/>
      <c r="AGY77" s="37"/>
      <c r="AGZ77" s="37"/>
      <c r="AHA77" s="37"/>
      <c r="AHB77" s="37"/>
      <c r="AHC77" s="37"/>
      <c r="AHD77" s="37"/>
      <c r="AHE77" s="37"/>
      <c r="AHF77" s="37"/>
      <c r="AHG77" s="37"/>
      <c r="AHH77" s="37"/>
      <c r="AHI77" s="37"/>
      <c r="AHJ77" s="37"/>
      <c r="AHK77" s="37"/>
      <c r="AHL77" s="37"/>
      <c r="AHM77" s="37"/>
      <c r="AHN77" s="37"/>
      <c r="AHO77" s="37"/>
      <c r="AHP77" s="37"/>
      <c r="AHQ77" s="37"/>
      <c r="AHR77" s="37"/>
      <c r="AHS77" s="37"/>
      <c r="AHT77" s="37"/>
      <c r="AHU77" s="37"/>
      <c r="AHV77" s="37"/>
      <c r="AHW77" s="37"/>
      <c r="AHX77" s="37"/>
      <c r="AHY77" s="37"/>
      <c r="AHZ77" s="37"/>
      <c r="AIA77" s="37"/>
      <c r="AIB77" s="37"/>
      <c r="AIC77" s="37"/>
      <c r="AID77" s="37"/>
      <c r="AIE77" s="37"/>
      <c r="AIF77" s="37"/>
      <c r="AIG77" s="37"/>
      <c r="AIH77" s="37"/>
      <c r="AII77" s="37"/>
      <c r="AIJ77" s="37"/>
      <c r="AIK77" s="37"/>
      <c r="AIL77" s="37"/>
      <c r="AIM77" s="37"/>
      <c r="AIN77" s="37"/>
      <c r="AIO77" s="37"/>
      <c r="AIP77" s="37"/>
      <c r="AIQ77" s="37"/>
      <c r="AIR77" s="37"/>
      <c r="AIS77" s="37"/>
      <c r="AIT77" s="37"/>
      <c r="AIU77" s="37"/>
      <c r="AIV77" s="37"/>
      <c r="AIW77" s="37"/>
      <c r="AIX77" s="37"/>
      <c r="AIY77" s="37"/>
      <c r="AIZ77" s="37"/>
      <c r="AJA77" s="37"/>
      <c r="AJB77" s="37"/>
      <c r="AJC77" s="37"/>
      <c r="AJD77" s="37"/>
      <c r="AJE77" s="37"/>
      <c r="AJF77" s="37"/>
      <c r="AJG77" s="37"/>
      <c r="AJH77" s="37"/>
      <c r="AJI77" s="37"/>
      <c r="AJJ77" s="37"/>
      <c r="AJK77" s="37"/>
      <c r="AJL77" s="37"/>
      <c r="AJM77" s="37"/>
      <c r="AJN77" s="37"/>
      <c r="AJO77" s="37"/>
      <c r="AJP77" s="37"/>
      <c r="AJQ77" s="37"/>
      <c r="AJR77" s="37"/>
      <c r="AJS77" s="37"/>
      <c r="AJT77" s="37"/>
      <c r="AJU77" s="37"/>
      <c r="AJV77" s="37"/>
      <c r="AJW77" s="37"/>
      <c r="AJX77" s="37"/>
      <c r="AJY77" s="37"/>
      <c r="AJZ77" s="37"/>
      <c r="AKA77" s="37"/>
      <c r="AKB77" s="37"/>
      <c r="AKC77" s="37"/>
      <c r="AKD77" s="37"/>
      <c r="AKE77" s="37"/>
      <c r="AKF77" s="37"/>
      <c r="AKG77" s="37"/>
      <c r="AKH77" s="37"/>
      <c r="AKI77" s="37"/>
      <c r="AKJ77" s="37"/>
      <c r="AKK77" s="37"/>
      <c r="AKL77" s="37"/>
      <c r="AKM77" s="37"/>
      <c r="AKN77" s="37"/>
      <c r="AKO77" s="37"/>
      <c r="AKP77" s="37"/>
      <c r="AKQ77" s="37"/>
      <c r="AKR77" s="37"/>
      <c r="AKS77" s="37"/>
      <c r="AKT77" s="37"/>
      <c r="AKU77" s="37"/>
      <c r="AKV77" s="37"/>
      <c r="AKW77" s="37"/>
      <c r="AKX77" s="37"/>
      <c r="AKY77" s="37"/>
      <c r="AKZ77" s="37"/>
      <c r="ALA77" s="37"/>
      <c r="ALB77" s="37"/>
      <c r="ALC77" s="37"/>
      <c r="ALD77" s="37"/>
      <c r="ALE77" s="37"/>
      <c r="ALF77" s="37"/>
      <c r="ALG77" s="37"/>
      <c r="ALH77" s="37"/>
      <c r="ALI77" s="37"/>
      <c r="ALJ77" s="37"/>
      <c r="ALK77" s="37"/>
      <c r="ALL77" s="37"/>
      <c r="ALM77" s="37"/>
      <c r="ALN77" s="37"/>
      <c r="ALO77" s="37"/>
      <c r="ALP77" s="37"/>
      <c r="ALQ77" s="37"/>
      <c r="ALR77" s="37"/>
      <c r="ALS77" s="37"/>
      <c r="ALT77" s="37"/>
      <c r="ALU77" s="37"/>
      <c r="ALV77" s="37"/>
      <c r="ALW77" s="37"/>
      <c r="ALX77" s="37"/>
      <c r="ALY77" s="37"/>
      <c r="ALZ77" s="37"/>
      <c r="AMA77" s="37"/>
      <c r="AMB77" s="37"/>
      <c r="AMC77" s="37"/>
    </row>
    <row r="78" spans="1:1017" s="38" customFormat="1" ht="19.5" customHeight="1">
      <c r="A78" s="72"/>
      <c r="B78" s="73"/>
      <c r="C78" s="72"/>
      <c r="D78" s="72"/>
      <c r="E78" s="72"/>
      <c r="F78" s="72"/>
      <c r="G78" s="35">
        <v>41</v>
      </c>
      <c r="H78" s="35">
        <v>91</v>
      </c>
      <c r="I78" s="35">
        <v>108</v>
      </c>
      <c r="J78" s="35">
        <v>66</v>
      </c>
      <c r="K78" s="35">
        <v>34</v>
      </c>
      <c r="L78" s="35">
        <v>26</v>
      </c>
      <c r="M78" s="35">
        <v>19</v>
      </c>
      <c r="N78" s="35">
        <v>95</v>
      </c>
      <c r="O78" s="74">
        <v>4</v>
      </c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/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  <c r="OU78" s="37"/>
      <c r="OV78" s="37"/>
      <c r="OW78" s="37"/>
      <c r="OX78" s="37"/>
      <c r="OY78" s="37"/>
      <c r="OZ78" s="37"/>
      <c r="PA78" s="37"/>
      <c r="PB78" s="37"/>
      <c r="PC78" s="37"/>
      <c r="PD78" s="37"/>
      <c r="PE78" s="37"/>
      <c r="PF78" s="37"/>
      <c r="PG78" s="37"/>
      <c r="PH78" s="37"/>
      <c r="PI78" s="37"/>
      <c r="PJ78" s="37"/>
      <c r="PK78" s="37"/>
      <c r="PL78" s="37"/>
      <c r="PM78" s="37"/>
      <c r="PN78" s="37"/>
      <c r="PO78" s="37"/>
      <c r="PP78" s="37"/>
      <c r="PQ78" s="37"/>
      <c r="PR78" s="37"/>
      <c r="PS78" s="37"/>
      <c r="PT78" s="37"/>
      <c r="PU78" s="37"/>
      <c r="PV78" s="37"/>
      <c r="PW78" s="37"/>
      <c r="PX78" s="37"/>
      <c r="PY78" s="37"/>
      <c r="PZ78" s="37"/>
      <c r="QA78" s="37"/>
      <c r="QB78" s="37"/>
      <c r="QC78" s="37"/>
      <c r="QD78" s="37"/>
      <c r="QE78" s="37"/>
      <c r="QF78" s="37"/>
      <c r="QG78" s="37"/>
      <c r="QH78" s="37"/>
      <c r="QI78" s="37"/>
      <c r="QJ78" s="37"/>
      <c r="QK78" s="37"/>
      <c r="QL78" s="37"/>
      <c r="QM78" s="37"/>
      <c r="QN78" s="37"/>
      <c r="QO78" s="37"/>
      <c r="QP78" s="37"/>
      <c r="QQ78" s="37"/>
      <c r="QR78" s="37"/>
      <c r="QS78" s="37"/>
      <c r="QT78" s="37"/>
      <c r="QU78" s="37"/>
      <c r="QV78" s="37"/>
      <c r="QW78" s="37"/>
      <c r="QX78" s="37"/>
      <c r="QY78" s="37"/>
      <c r="QZ78" s="37"/>
      <c r="RA78" s="37"/>
      <c r="RB78" s="37"/>
      <c r="RC78" s="37"/>
      <c r="RD78" s="37"/>
      <c r="RE78" s="37"/>
      <c r="RF78" s="37"/>
      <c r="RG78" s="37"/>
      <c r="RH78" s="37"/>
      <c r="RI78" s="37"/>
      <c r="RJ78" s="37"/>
      <c r="RK78" s="37"/>
      <c r="RL78" s="37"/>
      <c r="RM78" s="37"/>
      <c r="RN78" s="37"/>
      <c r="RO78" s="37"/>
      <c r="RP78" s="37"/>
      <c r="RQ78" s="37"/>
      <c r="RR78" s="37"/>
      <c r="RS78" s="37"/>
      <c r="RT78" s="37"/>
      <c r="RU78" s="37"/>
      <c r="RV78" s="37"/>
      <c r="RW78" s="37"/>
      <c r="RX78" s="37"/>
      <c r="RY78" s="37"/>
      <c r="RZ78" s="37"/>
      <c r="SA78" s="37"/>
      <c r="SB78" s="37"/>
      <c r="SC78" s="37"/>
      <c r="SD78" s="37"/>
      <c r="SE78" s="37"/>
      <c r="SF78" s="37"/>
      <c r="SG78" s="37"/>
      <c r="SH78" s="37"/>
      <c r="SI78" s="37"/>
      <c r="SJ78" s="37"/>
      <c r="SK78" s="37"/>
      <c r="SL78" s="37"/>
      <c r="SM78" s="37"/>
      <c r="SN78" s="37"/>
      <c r="SO78" s="37"/>
      <c r="SP78" s="37"/>
      <c r="SQ78" s="37"/>
      <c r="SR78" s="37"/>
      <c r="SS78" s="37"/>
      <c r="ST78" s="37"/>
      <c r="SU78" s="37"/>
      <c r="SV78" s="37"/>
      <c r="SW78" s="37"/>
      <c r="SX78" s="37"/>
      <c r="SY78" s="37"/>
      <c r="SZ78" s="37"/>
      <c r="TA78" s="37"/>
      <c r="TB78" s="37"/>
      <c r="TC78" s="37"/>
      <c r="TD78" s="37"/>
      <c r="TE78" s="37"/>
      <c r="TF78" s="37"/>
      <c r="TG78" s="37"/>
      <c r="TH78" s="37"/>
      <c r="TI78" s="37"/>
      <c r="TJ78" s="37"/>
      <c r="TK78" s="37"/>
      <c r="TL78" s="37"/>
      <c r="TM78" s="37"/>
      <c r="TN78" s="37"/>
      <c r="TO78" s="37"/>
      <c r="TP78" s="37"/>
      <c r="TQ78" s="37"/>
      <c r="TR78" s="37"/>
      <c r="TS78" s="37"/>
      <c r="TT78" s="37"/>
      <c r="TU78" s="37"/>
      <c r="TV78" s="37"/>
      <c r="TW78" s="37"/>
      <c r="TX78" s="37"/>
      <c r="TY78" s="37"/>
      <c r="TZ78" s="37"/>
      <c r="UA78" s="37"/>
      <c r="UB78" s="37"/>
      <c r="UC78" s="37"/>
      <c r="UD78" s="37"/>
      <c r="UE78" s="37"/>
      <c r="UF78" s="37"/>
      <c r="UG78" s="37"/>
      <c r="UH78" s="37"/>
      <c r="UI78" s="37"/>
      <c r="UJ78" s="37"/>
      <c r="UK78" s="37"/>
      <c r="UL78" s="37"/>
      <c r="UM78" s="37"/>
      <c r="UN78" s="37"/>
      <c r="UO78" s="37"/>
      <c r="UP78" s="37"/>
      <c r="UQ78" s="37"/>
      <c r="UR78" s="37"/>
      <c r="US78" s="37"/>
      <c r="UT78" s="37"/>
      <c r="UU78" s="37"/>
      <c r="UV78" s="37"/>
      <c r="UW78" s="37"/>
      <c r="UX78" s="37"/>
      <c r="UY78" s="37"/>
      <c r="UZ78" s="37"/>
      <c r="VA78" s="37"/>
      <c r="VB78" s="37"/>
      <c r="VC78" s="37"/>
      <c r="VD78" s="37"/>
      <c r="VE78" s="37"/>
      <c r="VF78" s="37"/>
      <c r="VG78" s="37"/>
      <c r="VH78" s="37"/>
      <c r="VI78" s="37"/>
      <c r="VJ78" s="37"/>
      <c r="VK78" s="37"/>
      <c r="VL78" s="37"/>
      <c r="VM78" s="37"/>
      <c r="VN78" s="37"/>
      <c r="VO78" s="37"/>
      <c r="VP78" s="37"/>
      <c r="VQ78" s="37"/>
      <c r="VR78" s="37"/>
      <c r="VS78" s="37"/>
      <c r="VT78" s="37"/>
      <c r="VU78" s="37"/>
      <c r="VV78" s="37"/>
      <c r="VW78" s="37"/>
      <c r="VX78" s="37"/>
      <c r="VY78" s="37"/>
      <c r="VZ78" s="37"/>
      <c r="WA78" s="37"/>
      <c r="WB78" s="37"/>
      <c r="WC78" s="37"/>
      <c r="WD78" s="37"/>
      <c r="WE78" s="37"/>
      <c r="WF78" s="37"/>
      <c r="WG78" s="37"/>
      <c r="WH78" s="37"/>
      <c r="WI78" s="37"/>
      <c r="WJ78" s="37"/>
      <c r="WK78" s="37"/>
      <c r="WL78" s="37"/>
      <c r="WM78" s="37"/>
      <c r="WN78" s="37"/>
      <c r="WO78" s="37"/>
      <c r="WP78" s="37"/>
      <c r="WQ78" s="37"/>
      <c r="WR78" s="37"/>
      <c r="WS78" s="37"/>
      <c r="WT78" s="37"/>
      <c r="WU78" s="37"/>
      <c r="WV78" s="37"/>
      <c r="WW78" s="37"/>
      <c r="WX78" s="37"/>
      <c r="WY78" s="37"/>
      <c r="WZ78" s="37"/>
      <c r="XA78" s="37"/>
      <c r="XB78" s="37"/>
      <c r="XC78" s="37"/>
      <c r="XD78" s="37"/>
      <c r="XE78" s="37"/>
      <c r="XF78" s="37"/>
      <c r="XG78" s="37"/>
      <c r="XH78" s="37"/>
      <c r="XI78" s="37"/>
      <c r="XJ78" s="37"/>
      <c r="XK78" s="37"/>
      <c r="XL78" s="37"/>
      <c r="XM78" s="37"/>
      <c r="XN78" s="37"/>
      <c r="XO78" s="37"/>
      <c r="XP78" s="37"/>
      <c r="XQ78" s="37"/>
      <c r="XR78" s="37"/>
      <c r="XS78" s="37"/>
      <c r="XT78" s="37"/>
      <c r="XU78" s="37"/>
      <c r="XV78" s="37"/>
      <c r="XW78" s="37"/>
      <c r="XX78" s="37"/>
      <c r="XY78" s="37"/>
      <c r="XZ78" s="37"/>
      <c r="YA78" s="37"/>
      <c r="YB78" s="37"/>
      <c r="YC78" s="37"/>
      <c r="YD78" s="37"/>
      <c r="YE78" s="37"/>
      <c r="YF78" s="37"/>
      <c r="YG78" s="37"/>
      <c r="YH78" s="37"/>
      <c r="YI78" s="37"/>
      <c r="YJ78" s="37"/>
      <c r="YK78" s="37"/>
      <c r="YL78" s="37"/>
      <c r="YM78" s="37"/>
      <c r="YN78" s="37"/>
      <c r="YO78" s="37"/>
      <c r="YP78" s="37"/>
      <c r="YQ78" s="37"/>
      <c r="YR78" s="37"/>
      <c r="YS78" s="37"/>
      <c r="YT78" s="37"/>
      <c r="YU78" s="37"/>
      <c r="YV78" s="37"/>
      <c r="YW78" s="37"/>
      <c r="YX78" s="37"/>
      <c r="YY78" s="37"/>
      <c r="YZ78" s="37"/>
      <c r="ZA78" s="37"/>
      <c r="ZB78" s="37"/>
      <c r="ZC78" s="37"/>
      <c r="ZD78" s="37"/>
      <c r="ZE78" s="37"/>
      <c r="ZF78" s="37"/>
      <c r="ZG78" s="37"/>
      <c r="ZH78" s="37"/>
      <c r="ZI78" s="37"/>
      <c r="ZJ78" s="37"/>
      <c r="ZK78" s="37"/>
      <c r="ZL78" s="37"/>
      <c r="ZM78" s="37"/>
      <c r="ZN78" s="37"/>
      <c r="ZO78" s="37"/>
      <c r="ZP78" s="37"/>
      <c r="ZQ78" s="37"/>
      <c r="ZR78" s="37"/>
      <c r="ZS78" s="37"/>
      <c r="ZT78" s="37"/>
      <c r="ZU78" s="37"/>
      <c r="ZV78" s="37"/>
      <c r="ZW78" s="37"/>
      <c r="ZX78" s="37"/>
      <c r="ZY78" s="37"/>
      <c r="ZZ78" s="37"/>
      <c r="AAA78" s="37"/>
      <c r="AAB78" s="37"/>
      <c r="AAC78" s="37"/>
      <c r="AAD78" s="37"/>
      <c r="AAE78" s="37"/>
      <c r="AAF78" s="37"/>
      <c r="AAG78" s="37"/>
      <c r="AAH78" s="37"/>
      <c r="AAI78" s="37"/>
      <c r="AAJ78" s="37"/>
      <c r="AAK78" s="37"/>
      <c r="AAL78" s="37"/>
      <c r="AAM78" s="37"/>
      <c r="AAN78" s="37"/>
      <c r="AAO78" s="37"/>
      <c r="AAP78" s="37"/>
      <c r="AAQ78" s="37"/>
      <c r="AAR78" s="37"/>
      <c r="AAS78" s="37"/>
      <c r="AAT78" s="37"/>
      <c r="AAU78" s="37"/>
      <c r="AAV78" s="37"/>
      <c r="AAW78" s="37"/>
      <c r="AAX78" s="37"/>
      <c r="AAY78" s="37"/>
      <c r="AAZ78" s="37"/>
      <c r="ABA78" s="37"/>
      <c r="ABB78" s="37"/>
      <c r="ABC78" s="37"/>
      <c r="ABD78" s="37"/>
      <c r="ABE78" s="37"/>
      <c r="ABF78" s="37"/>
      <c r="ABG78" s="37"/>
      <c r="ABH78" s="37"/>
      <c r="ABI78" s="37"/>
      <c r="ABJ78" s="37"/>
      <c r="ABK78" s="37"/>
      <c r="ABL78" s="37"/>
      <c r="ABM78" s="37"/>
      <c r="ABN78" s="37"/>
      <c r="ABO78" s="37"/>
      <c r="ABP78" s="37"/>
      <c r="ABQ78" s="37"/>
      <c r="ABR78" s="37"/>
      <c r="ABS78" s="37"/>
      <c r="ABT78" s="37"/>
      <c r="ABU78" s="37"/>
      <c r="ABV78" s="37"/>
      <c r="ABW78" s="37"/>
      <c r="ABX78" s="37"/>
      <c r="ABY78" s="37"/>
      <c r="ABZ78" s="37"/>
      <c r="ACA78" s="37"/>
      <c r="ACB78" s="37"/>
      <c r="ACC78" s="37"/>
      <c r="ACD78" s="37"/>
      <c r="ACE78" s="37"/>
      <c r="ACF78" s="37"/>
      <c r="ACG78" s="37"/>
      <c r="ACH78" s="37"/>
      <c r="ACI78" s="37"/>
      <c r="ACJ78" s="37"/>
      <c r="ACK78" s="37"/>
      <c r="ACL78" s="37"/>
      <c r="ACM78" s="37"/>
      <c r="ACN78" s="37"/>
      <c r="ACO78" s="37"/>
      <c r="ACP78" s="37"/>
      <c r="ACQ78" s="37"/>
      <c r="ACR78" s="37"/>
      <c r="ACS78" s="37"/>
      <c r="ACT78" s="37"/>
      <c r="ACU78" s="37"/>
      <c r="ACV78" s="37"/>
      <c r="ACW78" s="37"/>
      <c r="ACX78" s="37"/>
      <c r="ACY78" s="37"/>
      <c r="ACZ78" s="37"/>
      <c r="ADA78" s="37"/>
      <c r="ADB78" s="37"/>
      <c r="ADC78" s="37"/>
      <c r="ADD78" s="37"/>
      <c r="ADE78" s="37"/>
      <c r="ADF78" s="37"/>
      <c r="ADG78" s="37"/>
      <c r="ADH78" s="37"/>
      <c r="ADI78" s="37"/>
      <c r="ADJ78" s="37"/>
      <c r="ADK78" s="37"/>
      <c r="ADL78" s="37"/>
      <c r="ADM78" s="37"/>
      <c r="ADN78" s="37"/>
      <c r="ADO78" s="37"/>
      <c r="ADP78" s="37"/>
      <c r="ADQ78" s="37"/>
      <c r="ADR78" s="37"/>
      <c r="ADS78" s="37"/>
      <c r="ADT78" s="37"/>
      <c r="ADU78" s="37"/>
      <c r="ADV78" s="37"/>
      <c r="ADW78" s="37"/>
      <c r="ADX78" s="37"/>
      <c r="ADY78" s="37"/>
      <c r="ADZ78" s="37"/>
      <c r="AEA78" s="37"/>
      <c r="AEB78" s="37"/>
      <c r="AEC78" s="37"/>
      <c r="AED78" s="37"/>
      <c r="AEE78" s="37"/>
      <c r="AEF78" s="37"/>
      <c r="AEG78" s="37"/>
      <c r="AEH78" s="37"/>
      <c r="AEI78" s="37"/>
      <c r="AEJ78" s="37"/>
      <c r="AEK78" s="37"/>
      <c r="AEL78" s="37"/>
      <c r="AEM78" s="37"/>
      <c r="AEN78" s="37"/>
      <c r="AEO78" s="37"/>
      <c r="AEP78" s="37"/>
      <c r="AEQ78" s="37"/>
      <c r="AER78" s="37"/>
      <c r="AES78" s="37"/>
      <c r="AET78" s="37"/>
      <c r="AEU78" s="37"/>
      <c r="AEV78" s="37"/>
      <c r="AEW78" s="37"/>
      <c r="AEX78" s="37"/>
      <c r="AEY78" s="37"/>
      <c r="AEZ78" s="37"/>
      <c r="AFA78" s="37"/>
      <c r="AFB78" s="37"/>
      <c r="AFC78" s="37"/>
      <c r="AFD78" s="37"/>
      <c r="AFE78" s="37"/>
      <c r="AFF78" s="37"/>
      <c r="AFG78" s="37"/>
      <c r="AFH78" s="37"/>
      <c r="AFI78" s="37"/>
      <c r="AFJ78" s="37"/>
      <c r="AFK78" s="37"/>
      <c r="AFL78" s="37"/>
      <c r="AFM78" s="37"/>
      <c r="AFN78" s="37"/>
      <c r="AFO78" s="37"/>
      <c r="AFP78" s="37"/>
      <c r="AFQ78" s="37"/>
      <c r="AFR78" s="37"/>
      <c r="AFS78" s="37"/>
      <c r="AFT78" s="37"/>
      <c r="AFU78" s="37"/>
      <c r="AFV78" s="37"/>
      <c r="AFW78" s="37"/>
      <c r="AFX78" s="37"/>
      <c r="AFY78" s="37"/>
      <c r="AFZ78" s="37"/>
      <c r="AGA78" s="37"/>
      <c r="AGB78" s="37"/>
      <c r="AGC78" s="37"/>
      <c r="AGD78" s="37"/>
      <c r="AGE78" s="37"/>
      <c r="AGF78" s="37"/>
      <c r="AGG78" s="37"/>
      <c r="AGH78" s="37"/>
      <c r="AGI78" s="37"/>
      <c r="AGJ78" s="37"/>
      <c r="AGK78" s="37"/>
      <c r="AGL78" s="37"/>
      <c r="AGM78" s="37"/>
      <c r="AGN78" s="37"/>
      <c r="AGO78" s="37"/>
      <c r="AGP78" s="37"/>
      <c r="AGQ78" s="37"/>
      <c r="AGR78" s="37"/>
      <c r="AGS78" s="37"/>
      <c r="AGT78" s="37"/>
      <c r="AGU78" s="37"/>
      <c r="AGV78" s="37"/>
      <c r="AGW78" s="37"/>
      <c r="AGX78" s="37"/>
      <c r="AGY78" s="37"/>
      <c r="AGZ78" s="37"/>
      <c r="AHA78" s="37"/>
      <c r="AHB78" s="37"/>
      <c r="AHC78" s="37"/>
      <c r="AHD78" s="37"/>
      <c r="AHE78" s="37"/>
      <c r="AHF78" s="37"/>
      <c r="AHG78" s="37"/>
      <c r="AHH78" s="37"/>
      <c r="AHI78" s="37"/>
      <c r="AHJ78" s="37"/>
      <c r="AHK78" s="37"/>
      <c r="AHL78" s="37"/>
      <c r="AHM78" s="37"/>
      <c r="AHN78" s="37"/>
      <c r="AHO78" s="37"/>
      <c r="AHP78" s="37"/>
      <c r="AHQ78" s="37"/>
      <c r="AHR78" s="37"/>
      <c r="AHS78" s="37"/>
      <c r="AHT78" s="37"/>
      <c r="AHU78" s="37"/>
      <c r="AHV78" s="37"/>
      <c r="AHW78" s="37"/>
      <c r="AHX78" s="37"/>
      <c r="AHY78" s="37"/>
      <c r="AHZ78" s="37"/>
      <c r="AIA78" s="37"/>
      <c r="AIB78" s="37"/>
      <c r="AIC78" s="37"/>
      <c r="AID78" s="37"/>
      <c r="AIE78" s="37"/>
      <c r="AIF78" s="37"/>
      <c r="AIG78" s="37"/>
      <c r="AIH78" s="37"/>
      <c r="AII78" s="37"/>
      <c r="AIJ78" s="37"/>
      <c r="AIK78" s="37"/>
      <c r="AIL78" s="37"/>
      <c r="AIM78" s="37"/>
      <c r="AIN78" s="37"/>
      <c r="AIO78" s="37"/>
      <c r="AIP78" s="37"/>
      <c r="AIQ78" s="37"/>
      <c r="AIR78" s="37"/>
      <c r="AIS78" s="37"/>
      <c r="AIT78" s="37"/>
      <c r="AIU78" s="37"/>
      <c r="AIV78" s="37"/>
      <c r="AIW78" s="37"/>
      <c r="AIX78" s="37"/>
      <c r="AIY78" s="37"/>
      <c r="AIZ78" s="37"/>
      <c r="AJA78" s="37"/>
      <c r="AJB78" s="37"/>
      <c r="AJC78" s="37"/>
      <c r="AJD78" s="37"/>
      <c r="AJE78" s="37"/>
      <c r="AJF78" s="37"/>
      <c r="AJG78" s="37"/>
      <c r="AJH78" s="37"/>
      <c r="AJI78" s="37"/>
      <c r="AJJ78" s="37"/>
      <c r="AJK78" s="37"/>
      <c r="AJL78" s="37"/>
      <c r="AJM78" s="37"/>
      <c r="AJN78" s="37"/>
      <c r="AJO78" s="37"/>
      <c r="AJP78" s="37"/>
      <c r="AJQ78" s="37"/>
      <c r="AJR78" s="37"/>
      <c r="AJS78" s="37"/>
      <c r="AJT78" s="37"/>
      <c r="AJU78" s="37"/>
      <c r="AJV78" s="37"/>
      <c r="AJW78" s="37"/>
      <c r="AJX78" s="37"/>
      <c r="AJY78" s="37"/>
      <c r="AJZ78" s="37"/>
      <c r="AKA78" s="37"/>
      <c r="AKB78" s="37"/>
      <c r="AKC78" s="37"/>
      <c r="AKD78" s="37"/>
      <c r="AKE78" s="37"/>
      <c r="AKF78" s="37"/>
      <c r="AKG78" s="37"/>
      <c r="AKH78" s="37"/>
      <c r="AKI78" s="37"/>
      <c r="AKJ78" s="37"/>
      <c r="AKK78" s="37"/>
      <c r="AKL78" s="37"/>
      <c r="AKM78" s="37"/>
      <c r="AKN78" s="37"/>
      <c r="AKO78" s="37"/>
      <c r="AKP78" s="37"/>
      <c r="AKQ78" s="37"/>
      <c r="AKR78" s="37"/>
      <c r="AKS78" s="37"/>
      <c r="AKT78" s="37"/>
      <c r="AKU78" s="37"/>
      <c r="AKV78" s="37"/>
      <c r="AKW78" s="37"/>
      <c r="AKX78" s="37"/>
      <c r="AKY78" s="37"/>
      <c r="AKZ78" s="37"/>
      <c r="ALA78" s="37"/>
      <c r="ALB78" s="37"/>
      <c r="ALC78" s="37"/>
      <c r="ALD78" s="37"/>
      <c r="ALE78" s="37"/>
      <c r="ALF78" s="37"/>
      <c r="ALG78" s="37"/>
      <c r="ALH78" s="37"/>
      <c r="ALI78" s="37"/>
      <c r="ALJ78" s="37"/>
      <c r="ALK78" s="37"/>
      <c r="ALL78" s="37"/>
      <c r="ALM78" s="37"/>
      <c r="ALN78" s="37"/>
      <c r="ALO78" s="37"/>
      <c r="ALP78" s="37"/>
      <c r="ALQ78" s="37"/>
      <c r="ALR78" s="37"/>
      <c r="ALS78" s="37"/>
      <c r="ALT78" s="37"/>
      <c r="ALU78" s="37"/>
      <c r="ALV78" s="37"/>
      <c r="ALW78" s="37"/>
      <c r="ALX78" s="37"/>
      <c r="ALY78" s="37"/>
      <c r="ALZ78" s="37"/>
      <c r="AMA78" s="37"/>
      <c r="AMB78" s="37"/>
      <c r="AMC78" s="37"/>
    </row>
    <row r="79" spans="1:1017" s="38" customFormat="1" ht="19.5" customHeight="1">
      <c r="A79" s="75"/>
      <c r="B79" s="76"/>
      <c r="C79" s="75"/>
      <c r="D79" s="75"/>
      <c r="E79" s="75"/>
      <c r="F79" s="75"/>
      <c r="G79" s="77">
        <v>47</v>
      </c>
      <c r="H79" s="77">
        <v>58</v>
      </c>
      <c r="I79" s="77">
        <v>20</v>
      </c>
      <c r="J79" s="77">
        <v>15</v>
      </c>
      <c r="K79" s="77">
        <v>104</v>
      </c>
      <c r="L79" s="77">
        <v>103</v>
      </c>
      <c r="M79" s="77">
        <v>115</v>
      </c>
      <c r="N79" s="77"/>
      <c r="O79" s="7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  <c r="OU79" s="37"/>
      <c r="OV79" s="37"/>
      <c r="OW79" s="37"/>
      <c r="OX79" s="37"/>
      <c r="OY79" s="37"/>
      <c r="OZ79" s="37"/>
      <c r="PA79" s="37"/>
      <c r="PB79" s="37"/>
      <c r="PC79" s="37"/>
      <c r="PD79" s="37"/>
      <c r="PE79" s="37"/>
      <c r="PF79" s="37"/>
      <c r="PG79" s="37"/>
      <c r="PH79" s="37"/>
      <c r="PI79" s="37"/>
      <c r="PJ79" s="37"/>
      <c r="PK79" s="37"/>
      <c r="PL79" s="37"/>
      <c r="PM79" s="37"/>
      <c r="PN79" s="37"/>
      <c r="PO79" s="37"/>
      <c r="PP79" s="37"/>
      <c r="PQ79" s="37"/>
      <c r="PR79" s="37"/>
      <c r="PS79" s="37"/>
      <c r="PT79" s="37"/>
      <c r="PU79" s="37"/>
      <c r="PV79" s="37"/>
      <c r="PW79" s="37"/>
      <c r="PX79" s="37"/>
      <c r="PY79" s="37"/>
      <c r="PZ79" s="37"/>
      <c r="QA79" s="37"/>
      <c r="QB79" s="37"/>
      <c r="QC79" s="37"/>
      <c r="QD79" s="37"/>
      <c r="QE79" s="37"/>
      <c r="QF79" s="37"/>
      <c r="QG79" s="37"/>
      <c r="QH79" s="37"/>
      <c r="QI79" s="37"/>
      <c r="QJ79" s="37"/>
      <c r="QK79" s="37"/>
      <c r="QL79" s="37"/>
      <c r="QM79" s="37"/>
      <c r="QN79" s="37"/>
      <c r="QO79" s="37"/>
      <c r="QP79" s="37"/>
      <c r="QQ79" s="37"/>
      <c r="QR79" s="37"/>
      <c r="QS79" s="37"/>
      <c r="QT79" s="37"/>
      <c r="QU79" s="37"/>
      <c r="QV79" s="37"/>
      <c r="QW79" s="37"/>
      <c r="QX79" s="37"/>
      <c r="QY79" s="37"/>
      <c r="QZ79" s="37"/>
      <c r="RA79" s="37"/>
      <c r="RB79" s="37"/>
      <c r="RC79" s="37"/>
      <c r="RD79" s="37"/>
      <c r="RE79" s="37"/>
      <c r="RF79" s="37"/>
      <c r="RG79" s="37"/>
      <c r="RH79" s="37"/>
      <c r="RI79" s="37"/>
      <c r="RJ79" s="37"/>
      <c r="RK79" s="37"/>
      <c r="RL79" s="37"/>
      <c r="RM79" s="37"/>
      <c r="RN79" s="37"/>
      <c r="RO79" s="37"/>
      <c r="RP79" s="37"/>
      <c r="RQ79" s="37"/>
      <c r="RR79" s="37"/>
      <c r="RS79" s="37"/>
      <c r="RT79" s="37"/>
      <c r="RU79" s="37"/>
      <c r="RV79" s="37"/>
      <c r="RW79" s="37"/>
      <c r="RX79" s="37"/>
      <c r="RY79" s="37"/>
      <c r="RZ79" s="37"/>
      <c r="SA79" s="37"/>
      <c r="SB79" s="37"/>
      <c r="SC79" s="37"/>
      <c r="SD79" s="37"/>
      <c r="SE79" s="37"/>
      <c r="SF79" s="37"/>
      <c r="SG79" s="37"/>
      <c r="SH79" s="37"/>
      <c r="SI79" s="37"/>
      <c r="SJ79" s="37"/>
      <c r="SK79" s="37"/>
      <c r="SL79" s="37"/>
      <c r="SM79" s="37"/>
      <c r="SN79" s="37"/>
      <c r="SO79" s="37"/>
      <c r="SP79" s="37"/>
      <c r="SQ79" s="37"/>
      <c r="SR79" s="37"/>
      <c r="SS79" s="37"/>
      <c r="ST79" s="37"/>
      <c r="SU79" s="37"/>
      <c r="SV79" s="37"/>
      <c r="SW79" s="37"/>
      <c r="SX79" s="37"/>
      <c r="SY79" s="37"/>
      <c r="SZ79" s="37"/>
      <c r="TA79" s="37"/>
      <c r="TB79" s="37"/>
      <c r="TC79" s="37"/>
      <c r="TD79" s="37"/>
      <c r="TE79" s="37"/>
      <c r="TF79" s="37"/>
      <c r="TG79" s="37"/>
      <c r="TH79" s="37"/>
      <c r="TI79" s="37"/>
      <c r="TJ79" s="37"/>
      <c r="TK79" s="37"/>
      <c r="TL79" s="37"/>
      <c r="TM79" s="37"/>
      <c r="TN79" s="37"/>
      <c r="TO79" s="37"/>
      <c r="TP79" s="37"/>
      <c r="TQ79" s="37"/>
      <c r="TR79" s="37"/>
      <c r="TS79" s="37"/>
      <c r="TT79" s="37"/>
      <c r="TU79" s="37"/>
      <c r="TV79" s="37"/>
      <c r="TW79" s="37"/>
      <c r="TX79" s="37"/>
      <c r="TY79" s="37"/>
      <c r="TZ79" s="37"/>
      <c r="UA79" s="37"/>
      <c r="UB79" s="37"/>
      <c r="UC79" s="37"/>
      <c r="UD79" s="37"/>
      <c r="UE79" s="37"/>
      <c r="UF79" s="37"/>
      <c r="UG79" s="37"/>
      <c r="UH79" s="37"/>
      <c r="UI79" s="37"/>
      <c r="UJ79" s="37"/>
      <c r="UK79" s="37"/>
      <c r="UL79" s="37"/>
      <c r="UM79" s="37"/>
      <c r="UN79" s="37"/>
      <c r="UO79" s="37"/>
      <c r="UP79" s="37"/>
      <c r="UQ79" s="37"/>
      <c r="UR79" s="37"/>
      <c r="US79" s="37"/>
      <c r="UT79" s="37"/>
      <c r="UU79" s="37"/>
      <c r="UV79" s="37"/>
      <c r="UW79" s="37"/>
      <c r="UX79" s="37"/>
      <c r="UY79" s="37"/>
      <c r="UZ79" s="37"/>
      <c r="VA79" s="37"/>
      <c r="VB79" s="37"/>
      <c r="VC79" s="37"/>
      <c r="VD79" s="37"/>
      <c r="VE79" s="37"/>
      <c r="VF79" s="37"/>
      <c r="VG79" s="37"/>
      <c r="VH79" s="37"/>
      <c r="VI79" s="37"/>
      <c r="VJ79" s="37"/>
      <c r="VK79" s="37"/>
      <c r="VL79" s="37"/>
      <c r="VM79" s="37"/>
      <c r="VN79" s="37"/>
      <c r="VO79" s="37"/>
      <c r="VP79" s="37"/>
      <c r="VQ79" s="37"/>
      <c r="VR79" s="37"/>
      <c r="VS79" s="37"/>
      <c r="VT79" s="37"/>
      <c r="VU79" s="37"/>
      <c r="VV79" s="37"/>
      <c r="VW79" s="37"/>
      <c r="VX79" s="37"/>
      <c r="VY79" s="37"/>
      <c r="VZ79" s="37"/>
      <c r="WA79" s="37"/>
      <c r="WB79" s="37"/>
      <c r="WC79" s="37"/>
      <c r="WD79" s="37"/>
      <c r="WE79" s="37"/>
      <c r="WF79" s="37"/>
      <c r="WG79" s="37"/>
      <c r="WH79" s="37"/>
      <c r="WI79" s="37"/>
      <c r="WJ79" s="37"/>
      <c r="WK79" s="37"/>
      <c r="WL79" s="37"/>
      <c r="WM79" s="37"/>
      <c r="WN79" s="37"/>
      <c r="WO79" s="37"/>
      <c r="WP79" s="37"/>
      <c r="WQ79" s="37"/>
      <c r="WR79" s="37"/>
      <c r="WS79" s="37"/>
      <c r="WT79" s="37"/>
      <c r="WU79" s="37"/>
      <c r="WV79" s="37"/>
      <c r="WW79" s="37"/>
      <c r="WX79" s="37"/>
      <c r="WY79" s="37"/>
      <c r="WZ79" s="37"/>
      <c r="XA79" s="37"/>
      <c r="XB79" s="37"/>
      <c r="XC79" s="37"/>
      <c r="XD79" s="37"/>
      <c r="XE79" s="37"/>
      <c r="XF79" s="37"/>
      <c r="XG79" s="37"/>
      <c r="XH79" s="37"/>
      <c r="XI79" s="37"/>
      <c r="XJ79" s="37"/>
      <c r="XK79" s="37"/>
      <c r="XL79" s="37"/>
      <c r="XM79" s="37"/>
      <c r="XN79" s="37"/>
      <c r="XO79" s="37"/>
      <c r="XP79" s="37"/>
      <c r="XQ79" s="37"/>
      <c r="XR79" s="37"/>
      <c r="XS79" s="37"/>
      <c r="XT79" s="37"/>
      <c r="XU79" s="37"/>
      <c r="XV79" s="37"/>
      <c r="XW79" s="37"/>
      <c r="XX79" s="37"/>
      <c r="XY79" s="37"/>
      <c r="XZ79" s="37"/>
      <c r="YA79" s="37"/>
      <c r="YB79" s="37"/>
      <c r="YC79" s="37"/>
      <c r="YD79" s="37"/>
      <c r="YE79" s="37"/>
      <c r="YF79" s="37"/>
      <c r="YG79" s="37"/>
      <c r="YH79" s="37"/>
      <c r="YI79" s="37"/>
      <c r="YJ79" s="37"/>
      <c r="YK79" s="37"/>
      <c r="YL79" s="37"/>
      <c r="YM79" s="37"/>
      <c r="YN79" s="37"/>
      <c r="YO79" s="37"/>
      <c r="YP79" s="37"/>
      <c r="YQ79" s="37"/>
      <c r="YR79" s="37"/>
      <c r="YS79" s="37"/>
      <c r="YT79" s="37"/>
      <c r="YU79" s="37"/>
      <c r="YV79" s="37"/>
      <c r="YW79" s="37"/>
      <c r="YX79" s="37"/>
      <c r="YY79" s="37"/>
      <c r="YZ79" s="37"/>
      <c r="ZA79" s="37"/>
      <c r="ZB79" s="37"/>
      <c r="ZC79" s="37"/>
      <c r="ZD79" s="37"/>
      <c r="ZE79" s="37"/>
      <c r="ZF79" s="37"/>
      <c r="ZG79" s="37"/>
      <c r="ZH79" s="37"/>
      <c r="ZI79" s="37"/>
      <c r="ZJ79" s="37"/>
      <c r="ZK79" s="37"/>
      <c r="ZL79" s="37"/>
      <c r="ZM79" s="37"/>
      <c r="ZN79" s="37"/>
      <c r="ZO79" s="37"/>
      <c r="ZP79" s="37"/>
      <c r="ZQ79" s="37"/>
      <c r="ZR79" s="37"/>
      <c r="ZS79" s="37"/>
      <c r="ZT79" s="37"/>
      <c r="ZU79" s="37"/>
      <c r="ZV79" s="37"/>
      <c r="ZW79" s="37"/>
      <c r="ZX79" s="37"/>
      <c r="ZY79" s="37"/>
      <c r="ZZ79" s="37"/>
      <c r="AAA79" s="37"/>
      <c r="AAB79" s="37"/>
      <c r="AAC79" s="37"/>
      <c r="AAD79" s="37"/>
      <c r="AAE79" s="37"/>
      <c r="AAF79" s="37"/>
      <c r="AAG79" s="37"/>
      <c r="AAH79" s="37"/>
      <c r="AAI79" s="37"/>
      <c r="AAJ79" s="37"/>
      <c r="AAK79" s="37"/>
      <c r="AAL79" s="37"/>
      <c r="AAM79" s="37"/>
      <c r="AAN79" s="37"/>
      <c r="AAO79" s="37"/>
      <c r="AAP79" s="37"/>
      <c r="AAQ79" s="37"/>
      <c r="AAR79" s="37"/>
      <c r="AAS79" s="37"/>
      <c r="AAT79" s="37"/>
      <c r="AAU79" s="37"/>
      <c r="AAV79" s="37"/>
      <c r="AAW79" s="37"/>
      <c r="AAX79" s="37"/>
      <c r="AAY79" s="37"/>
      <c r="AAZ79" s="37"/>
      <c r="ABA79" s="37"/>
      <c r="ABB79" s="37"/>
      <c r="ABC79" s="37"/>
      <c r="ABD79" s="37"/>
      <c r="ABE79" s="37"/>
      <c r="ABF79" s="37"/>
      <c r="ABG79" s="37"/>
      <c r="ABH79" s="37"/>
      <c r="ABI79" s="37"/>
      <c r="ABJ79" s="37"/>
      <c r="ABK79" s="37"/>
      <c r="ABL79" s="37"/>
      <c r="ABM79" s="37"/>
      <c r="ABN79" s="37"/>
      <c r="ABO79" s="37"/>
      <c r="ABP79" s="37"/>
      <c r="ABQ79" s="37"/>
      <c r="ABR79" s="37"/>
      <c r="ABS79" s="37"/>
      <c r="ABT79" s="37"/>
      <c r="ABU79" s="37"/>
      <c r="ABV79" s="37"/>
      <c r="ABW79" s="37"/>
      <c r="ABX79" s="37"/>
      <c r="ABY79" s="37"/>
      <c r="ABZ79" s="37"/>
      <c r="ACA79" s="37"/>
      <c r="ACB79" s="37"/>
      <c r="ACC79" s="37"/>
      <c r="ACD79" s="37"/>
      <c r="ACE79" s="37"/>
      <c r="ACF79" s="37"/>
      <c r="ACG79" s="37"/>
      <c r="ACH79" s="37"/>
      <c r="ACI79" s="37"/>
      <c r="ACJ79" s="37"/>
      <c r="ACK79" s="37"/>
      <c r="ACL79" s="37"/>
      <c r="ACM79" s="37"/>
      <c r="ACN79" s="37"/>
      <c r="ACO79" s="37"/>
      <c r="ACP79" s="37"/>
      <c r="ACQ79" s="37"/>
      <c r="ACR79" s="37"/>
      <c r="ACS79" s="37"/>
      <c r="ACT79" s="37"/>
      <c r="ACU79" s="37"/>
      <c r="ACV79" s="37"/>
      <c r="ACW79" s="37"/>
      <c r="ACX79" s="37"/>
      <c r="ACY79" s="37"/>
      <c r="ACZ79" s="37"/>
      <c r="ADA79" s="37"/>
      <c r="ADB79" s="37"/>
      <c r="ADC79" s="37"/>
      <c r="ADD79" s="37"/>
      <c r="ADE79" s="37"/>
      <c r="ADF79" s="37"/>
      <c r="ADG79" s="37"/>
      <c r="ADH79" s="37"/>
      <c r="ADI79" s="37"/>
      <c r="ADJ79" s="37"/>
      <c r="ADK79" s="37"/>
      <c r="ADL79" s="37"/>
      <c r="ADM79" s="37"/>
      <c r="ADN79" s="37"/>
      <c r="ADO79" s="37"/>
      <c r="ADP79" s="37"/>
      <c r="ADQ79" s="37"/>
      <c r="ADR79" s="37"/>
      <c r="ADS79" s="37"/>
      <c r="ADT79" s="37"/>
      <c r="ADU79" s="37"/>
      <c r="ADV79" s="37"/>
      <c r="ADW79" s="37"/>
      <c r="ADX79" s="37"/>
      <c r="ADY79" s="37"/>
      <c r="ADZ79" s="37"/>
      <c r="AEA79" s="37"/>
      <c r="AEB79" s="37"/>
      <c r="AEC79" s="37"/>
      <c r="AED79" s="37"/>
      <c r="AEE79" s="37"/>
      <c r="AEF79" s="37"/>
      <c r="AEG79" s="37"/>
      <c r="AEH79" s="37"/>
      <c r="AEI79" s="37"/>
      <c r="AEJ79" s="37"/>
      <c r="AEK79" s="37"/>
      <c r="AEL79" s="37"/>
      <c r="AEM79" s="37"/>
      <c r="AEN79" s="37"/>
      <c r="AEO79" s="37"/>
      <c r="AEP79" s="37"/>
      <c r="AEQ79" s="37"/>
      <c r="AER79" s="37"/>
      <c r="AES79" s="37"/>
      <c r="AET79" s="37"/>
      <c r="AEU79" s="37"/>
      <c r="AEV79" s="37"/>
      <c r="AEW79" s="37"/>
      <c r="AEX79" s="37"/>
      <c r="AEY79" s="37"/>
      <c r="AEZ79" s="37"/>
      <c r="AFA79" s="37"/>
      <c r="AFB79" s="37"/>
      <c r="AFC79" s="37"/>
      <c r="AFD79" s="37"/>
      <c r="AFE79" s="37"/>
      <c r="AFF79" s="37"/>
      <c r="AFG79" s="37"/>
      <c r="AFH79" s="37"/>
      <c r="AFI79" s="37"/>
      <c r="AFJ79" s="37"/>
      <c r="AFK79" s="37"/>
      <c r="AFL79" s="37"/>
      <c r="AFM79" s="37"/>
      <c r="AFN79" s="37"/>
      <c r="AFO79" s="37"/>
      <c r="AFP79" s="37"/>
      <c r="AFQ79" s="37"/>
      <c r="AFR79" s="37"/>
      <c r="AFS79" s="37"/>
      <c r="AFT79" s="37"/>
      <c r="AFU79" s="37"/>
      <c r="AFV79" s="37"/>
      <c r="AFW79" s="37"/>
      <c r="AFX79" s="37"/>
      <c r="AFY79" s="37"/>
      <c r="AFZ79" s="37"/>
      <c r="AGA79" s="37"/>
      <c r="AGB79" s="37"/>
      <c r="AGC79" s="37"/>
      <c r="AGD79" s="37"/>
      <c r="AGE79" s="37"/>
      <c r="AGF79" s="37"/>
      <c r="AGG79" s="37"/>
      <c r="AGH79" s="37"/>
      <c r="AGI79" s="37"/>
      <c r="AGJ79" s="37"/>
      <c r="AGK79" s="37"/>
      <c r="AGL79" s="37"/>
      <c r="AGM79" s="37"/>
      <c r="AGN79" s="37"/>
      <c r="AGO79" s="37"/>
      <c r="AGP79" s="37"/>
      <c r="AGQ79" s="37"/>
      <c r="AGR79" s="37"/>
      <c r="AGS79" s="37"/>
      <c r="AGT79" s="37"/>
      <c r="AGU79" s="37"/>
      <c r="AGV79" s="37"/>
      <c r="AGW79" s="37"/>
      <c r="AGX79" s="37"/>
      <c r="AGY79" s="37"/>
      <c r="AGZ79" s="37"/>
      <c r="AHA79" s="37"/>
      <c r="AHB79" s="37"/>
      <c r="AHC79" s="37"/>
      <c r="AHD79" s="37"/>
      <c r="AHE79" s="37"/>
      <c r="AHF79" s="37"/>
      <c r="AHG79" s="37"/>
      <c r="AHH79" s="37"/>
      <c r="AHI79" s="37"/>
      <c r="AHJ79" s="37"/>
      <c r="AHK79" s="37"/>
      <c r="AHL79" s="37"/>
      <c r="AHM79" s="37"/>
      <c r="AHN79" s="37"/>
      <c r="AHO79" s="37"/>
      <c r="AHP79" s="37"/>
      <c r="AHQ79" s="37"/>
      <c r="AHR79" s="37"/>
      <c r="AHS79" s="37"/>
      <c r="AHT79" s="37"/>
      <c r="AHU79" s="37"/>
      <c r="AHV79" s="37"/>
      <c r="AHW79" s="37"/>
      <c r="AHX79" s="37"/>
      <c r="AHY79" s="37"/>
      <c r="AHZ79" s="37"/>
      <c r="AIA79" s="37"/>
      <c r="AIB79" s="37"/>
      <c r="AIC79" s="37"/>
      <c r="AID79" s="37"/>
      <c r="AIE79" s="37"/>
      <c r="AIF79" s="37"/>
      <c r="AIG79" s="37"/>
      <c r="AIH79" s="37"/>
      <c r="AII79" s="37"/>
      <c r="AIJ79" s="37"/>
      <c r="AIK79" s="37"/>
      <c r="AIL79" s="37"/>
      <c r="AIM79" s="37"/>
      <c r="AIN79" s="37"/>
      <c r="AIO79" s="37"/>
      <c r="AIP79" s="37"/>
      <c r="AIQ79" s="37"/>
      <c r="AIR79" s="37"/>
      <c r="AIS79" s="37"/>
      <c r="AIT79" s="37"/>
      <c r="AIU79" s="37"/>
      <c r="AIV79" s="37"/>
      <c r="AIW79" s="37"/>
      <c r="AIX79" s="37"/>
      <c r="AIY79" s="37"/>
      <c r="AIZ79" s="37"/>
      <c r="AJA79" s="37"/>
      <c r="AJB79" s="37"/>
      <c r="AJC79" s="37"/>
      <c r="AJD79" s="37"/>
      <c r="AJE79" s="37"/>
      <c r="AJF79" s="37"/>
      <c r="AJG79" s="37"/>
      <c r="AJH79" s="37"/>
      <c r="AJI79" s="37"/>
      <c r="AJJ79" s="37"/>
      <c r="AJK79" s="37"/>
      <c r="AJL79" s="37"/>
      <c r="AJM79" s="37"/>
      <c r="AJN79" s="37"/>
      <c r="AJO79" s="37"/>
      <c r="AJP79" s="37"/>
      <c r="AJQ79" s="37"/>
      <c r="AJR79" s="37"/>
      <c r="AJS79" s="37"/>
      <c r="AJT79" s="37"/>
      <c r="AJU79" s="37"/>
      <c r="AJV79" s="37"/>
      <c r="AJW79" s="37"/>
      <c r="AJX79" s="37"/>
      <c r="AJY79" s="37"/>
      <c r="AJZ79" s="37"/>
      <c r="AKA79" s="37"/>
      <c r="AKB79" s="37"/>
      <c r="AKC79" s="37"/>
      <c r="AKD79" s="37"/>
      <c r="AKE79" s="37"/>
      <c r="AKF79" s="37"/>
      <c r="AKG79" s="37"/>
      <c r="AKH79" s="37"/>
      <c r="AKI79" s="37"/>
      <c r="AKJ79" s="37"/>
      <c r="AKK79" s="37"/>
      <c r="AKL79" s="37"/>
      <c r="AKM79" s="37"/>
      <c r="AKN79" s="37"/>
      <c r="AKO79" s="37"/>
      <c r="AKP79" s="37"/>
      <c r="AKQ79" s="37"/>
      <c r="AKR79" s="37"/>
      <c r="AKS79" s="37"/>
      <c r="AKT79" s="37"/>
      <c r="AKU79" s="37"/>
      <c r="AKV79" s="37"/>
      <c r="AKW79" s="37"/>
      <c r="AKX79" s="37"/>
      <c r="AKY79" s="37"/>
      <c r="AKZ79" s="37"/>
      <c r="ALA79" s="37"/>
      <c r="ALB79" s="37"/>
      <c r="ALC79" s="37"/>
      <c r="ALD79" s="37"/>
      <c r="ALE79" s="37"/>
      <c r="ALF79" s="37"/>
      <c r="ALG79" s="37"/>
      <c r="ALH79" s="37"/>
      <c r="ALI79" s="37"/>
      <c r="ALJ79" s="37"/>
      <c r="ALK79" s="37"/>
      <c r="ALL79" s="37"/>
      <c r="ALM79" s="37"/>
      <c r="ALN79" s="37"/>
      <c r="ALO79" s="37"/>
      <c r="ALP79" s="37"/>
      <c r="ALQ79" s="37"/>
      <c r="ALR79" s="37"/>
      <c r="ALS79" s="37"/>
      <c r="ALT79" s="37"/>
      <c r="ALU79" s="37"/>
      <c r="ALV79" s="37"/>
      <c r="ALW79" s="37"/>
      <c r="ALX79" s="37"/>
      <c r="ALY79" s="37"/>
      <c r="ALZ79" s="37"/>
      <c r="AMA79" s="37"/>
      <c r="AMB79" s="37"/>
      <c r="AMC79" s="37"/>
    </row>
    <row r="80" spans="1:1017" s="38" customFormat="1" ht="19.5" customHeight="1">
      <c r="A80" s="26" t="s">
        <v>135</v>
      </c>
      <c r="B80" s="25" t="s">
        <v>130</v>
      </c>
      <c r="C80" s="26" t="s">
        <v>46</v>
      </c>
      <c r="D80" s="26" t="s">
        <v>32</v>
      </c>
      <c r="E80" s="26" t="s">
        <v>261</v>
      </c>
      <c r="F80" s="26">
        <v>41</v>
      </c>
      <c r="G80" s="26" t="s">
        <v>33</v>
      </c>
      <c r="H80" s="26">
        <v>53</v>
      </c>
      <c r="I80" s="36">
        <v>45</v>
      </c>
      <c r="J80" s="36">
        <v>23</v>
      </c>
      <c r="K80" s="36">
        <v>18</v>
      </c>
      <c r="L80" s="36">
        <v>30</v>
      </c>
      <c r="M80" s="36">
        <v>30</v>
      </c>
      <c r="N80" s="36">
        <v>30</v>
      </c>
      <c r="O80" s="36">
        <v>70</v>
      </c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  <c r="OU80" s="37"/>
      <c r="OV80" s="37"/>
      <c r="OW80" s="37"/>
      <c r="OX80" s="37"/>
      <c r="OY80" s="37"/>
      <c r="OZ80" s="37"/>
      <c r="PA80" s="37"/>
      <c r="PB80" s="37"/>
      <c r="PC80" s="37"/>
      <c r="PD80" s="37"/>
      <c r="PE80" s="37"/>
      <c r="PF80" s="37"/>
      <c r="PG80" s="37"/>
      <c r="PH80" s="37"/>
      <c r="PI80" s="37"/>
      <c r="PJ80" s="37"/>
      <c r="PK80" s="37"/>
      <c r="PL80" s="37"/>
      <c r="PM80" s="37"/>
      <c r="PN80" s="37"/>
      <c r="PO80" s="37"/>
      <c r="PP80" s="37"/>
      <c r="PQ80" s="37"/>
      <c r="PR80" s="37"/>
      <c r="PS80" s="37"/>
      <c r="PT80" s="37"/>
      <c r="PU80" s="37"/>
      <c r="PV80" s="37"/>
      <c r="PW80" s="37"/>
      <c r="PX80" s="37"/>
      <c r="PY80" s="37"/>
      <c r="PZ80" s="37"/>
      <c r="QA80" s="37"/>
      <c r="QB80" s="37"/>
      <c r="QC80" s="37"/>
      <c r="QD80" s="37"/>
      <c r="QE80" s="37"/>
      <c r="QF80" s="37"/>
      <c r="QG80" s="37"/>
      <c r="QH80" s="37"/>
      <c r="QI80" s="37"/>
      <c r="QJ80" s="37"/>
      <c r="QK80" s="37"/>
      <c r="QL80" s="37"/>
      <c r="QM80" s="37"/>
      <c r="QN80" s="37"/>
      <c r="QO80" s="37"/>
      <c r="QP80" s="37"/>
      <c r="QQ80" s="37"/>
      <c r="QR80" s="37"/>
      <c r="QS80" s="37"/>
      <c r="QT80" s="37"/>
      <c r="QU80" s="37"/>
      <c r="QV80" s="37"/>
      <c r="QW80" s="37"/>
      <c r="QX80" s="37"/>
      <c r="QY80" s="37"/>
      <c r="QZ80" s="37"/>
      <c r="RA80" s="37"/>
      <c r="RB80" s="37"/>
      <c r="RC80" s="37"/>
      <c r="RD80" s="37"/>
      <c r="RE80" s="37"/>
      <c r="RF80" s="37"/>
      <c r="RG80" s="37"/>
      <c r="RH80" s="37"/>
      <c r="RI80" s="37"/>
      <c r="RJ80" s="37"/>
      <c r="RK80" s="37"/>
      <c r="RL80" s="37"/>
      <c r="RM80" s="37"/>
      <c r="RN80" s="37"/>
      <c r="RO80" s="37"/>
      <c r="RP80" s="37"/>
      <c r="RQ80" s="37"/>
      <c r="RR80" s="37"/>
      <c r="RS80" s="37"/>
      <c r="RT80" s="37"/>
      <c r="RU80" s="37"/>
      <c r="RV80" s="37"/>
      <c r="RW80" s="37"/>
      <c r="RX80" s="37"/>
      <c r="RY80" s="37"/>
      <c r="RZ80" s="37"/>
      <c r="SA80" s="37"/>
      <c r="SB80" s="37"/>
      <c r="SC80" s="37"/>
      <c r="SD80" s="37"/>
      <c r="SE80" s="37"/>
      <c r="SF80" s="37"/>
      <c r="SG80" s="37"/>
      <c r="SH80" s="37"/>
      <c r="SI80" s="37"/>
      <c r="SJ80" s="37"/>
      <c r="SK80" s="37"/>
      <c r="SL80" s="37"/>
      <c r="SM80" s="37"/>
      <c r="SN80" s="37"/>
      <c r="SO80" s="37"/>
      <c r="SP80" s="37"/>
      <c r="SQ80" s="37"/>
      <c r="SR80" s="37"/>
      <c r="SS80" s="37"/>
      <c r="ST80" s="37"/>
      <c r="SU80" s="37"/>
      <c r="SV80" s="37"/>
      <c r="SW80" s="37"/>
      <c r="SX80" s="37"/>
      <c r="SY80" s="37"/>
      <c r="SZ80" s="37"/>
      <c r="TA80" s="37"/>
      <c r="TB80" s="37"/>
      <c r="TC80" s="37"/>
      <c r="TD80" s="37"/>
      <c r="TE80" s="37"/>
      <c r="TF80" s="37"/>
      <c r="TG80" s="37"/>
      <c r="TH80" s="37"/>
      <c r="TI80" s="37"/>
      <c r="TJ80" s="37"/>
      <c r="TK80" s="37"/>
      <c r="TL80" s="37"/>
      <c r="TM80" s="37"/>
      <c r="TN80" s="37"/>
      <c r="TO80" s="37"/>
      <c r="TP80" s="37"/>
      <c r="TQ80" s="37"/>
      <c r="TR80" s="37"/>
      <c r="TS80" s="37"/>
      <c r="TT80" s="37"/>
      <c r="TU80" s="37"/>
      <c r="TV80" s="37"/>
      <c r="TW80" s="37"/>
      <c r="TX80" s="37"/>
      <c r="TY80" s="37"/>
      <c r="TZ80" s="37"/>
      <c r="UA80" s="37"/>
      <c r="UB80" s="37"/>
      <c r="UC80" s="37"/>
      <c r="UD80" s="37"/>
      <c r="UE80" s="37"/>
      <c r="UF80" s="37"/>
      <c r="UG80" s="37"/>
      <c r="UH80" s="37"/>
      <c r="UI80" s="37"/>
      <c r="UJ80" s="37"/>
      <c r="UK80" s="37"/>
      <c r="UL80" s="37"/>
      <c r="UM80" s="37"/>
      <c r="UN80" s="37"/>
      <c r="UO80" s="37"/>
      <c r="UP80" s="37"/>
      <c r="UQ80" s="37"/>
      <c r="UR80" s="37"/>
      <c r="US80" s="37"/>
      <c r="UT80" s="37"/>
      <c r="UU80" s="37"/>
      <c r="UV80" s="37"/>
      <c r="UW80" s="37"/>
      <c r="UX80" s="37"/>
      <c r="UY80" s="37"/>
      <c r="UZ80" s="37"/>
      <c r="VA80" s="37"/>
      <c r="VB80" s="37"/>
      <c r="VC80" s="37"/>
      <c r="VD80" s="37"/>
      <c r="VE80" s="37"/>
      <c r="VF80" s="37"/>
      <c r="VG80" s="37"/>
      <c r="VH80" s="37"/>
      <c r="VI80" s="37"/>
      <c r="VJ80" s="37"/>
      <c r="VK80" s="37"/>
      <c r="VL80" s="37"/>
      <c r="VM80" s="37"/>
      <c r="VN80" s="37"/>
      <c r="VO80" s="37"/>
      <c r="VP80" s="37"/>
      <c r="VQ80" s="37"/>
      <c r="VR80" s="37"/>
      <c r="VS80" s="37"/>
      <c r="VT80" s="37"/>
      <c r="VU80" s="37"/>
      <c r="VV80" s="37"/>
      <c r="VW80" s="37"/>
      <c r="VX80" s="37"/>
      <c r="VY80" s="37"/>
      <c r="VZ80" s="37"/>
      <c r="WA80" s="37"/>
      <c r="WB80" s="37"/>
      <c r="WC80" s="37"/>
      <c r="WD80" s="37"/>
      <c r="WE80" s="37"/>
      <c r="WF80" s="37"/>
      <c r="WG80" s="37"/>
      <c r="WH80" s="37"/>
      <c r="WI80" s="37"/>
      <c r="WJ80" s="37"/>
      <c r="WK80" s="37"/>
      <c r="WL80" s="37"/>
      <c r="WM80" s="37"/>
      <c r="WN80" s="37"/>
      <c r="WO80" s="37"/>
      <c r="WP80" s="37"/>
      <c r="WQ80" s="37"/>
      <c r="WR80" s="37"/>
      <c r="WS80" s="37"/>
      <c r="WT80" s="37"/>
      <c r="WU80" s="37"/>
      <c r="WV80" s="37"/>
      <c r="WW80" s="37"/>
      <c r="WX80" s="37"/>
      <c r="WY80" s="37"/>
      <c r="WZ80" s="37"/>
      <c r="XA80" s="37"/>
      <c r="XB80" s="37"/>
      <c r="XC80" s="37"/>
      <c r="XD80" s="37"/>
      <c r="XE80" s="37"/>
      <c r="XF80" s="37"/>
      <c r="XG80" s="37"/>
      <c r="XH80" s="37"/>
      <c r="XI80" s="37"/>
      <c r="XJ80" s="37"/>
      <c r="XK80" s="37"/>
      <c r="XL80" s="37"/>
      <c r="XM80" s="37"/>
      <c r="XN80" s="37"/>
      <c r="XO80" s="37"/>
      <c r="XP80" s="37"/>
      <c r="XQ80" s="37"/>
      <c r="XR80" s="37"/>
      <c r="XS80" s="37"/>
      <c r="XT80" s="37"/>
      <c r="XU80" s="37"/>
      <c r="XV80" s="37"/>
      <c r="XW80" s="37"/>
      <c r="XX80" s="37"/>
      <c r="XY80" s="37"/>
      <c r="XZ80" s="37"/>
      <c r="YA80" s="37"/>
      <c r="YB80" s="37"/>
      <c r="YC80" s="37"/>
      <c r="YD80" s="37"/>
      <c r="YE80" s="37"/>
      <c r="YF80" s="37"/>
      <c r="YG80" s="37"/>
      <c r="YH80" s="37"/>
      <c r="YI80" s="37"/>
      <c r="YJ80" s="37"/>
      <c r="YK80" s="37"/>
      <c r="YL80" s="37"/>
      <c r="YM80" s="37"/>
      <c r="YN80" s="37"/>
      <c r="YO80" s="37"/>
      <c r="YP80" s="37"/>
      <c r="YQ80" s="37"/>
      <c r="YR80" s="37"/>
      <c r="YS80" s="37"/>
      <c r="YT80" s="37"/>
      <c r="YU80" s="37"/>
      <c r="YV80" s="37"/>
      <c r="YW80" s="37"/>
      <c r="YX80" s="37"/>
      <c r="YY80" s="37"/>
      <c r="YZ80" s="37"/>
      <c r="ZA80" s="37"/>
      <c r="ZB80" s="37"/>
      <c r="ZC80" s="37"/>
      <c r="ZD80" s="37"/>
      <c r="ZE80" s="37"/>
      <c r="ZF80" s="37"/>
      <c r="ZG80" s="37"/>
      <c r="ZH80" s="37"/>
      <c r="ZI80" s="37"/>
      <c r="ZJ80" s="37"/>
      <c r="ZK80" s="37"/>
      <c r="ZL80" s="37"/>
      <c r="ZM80" s="37"/>
      <c r="ZN80" s="37"/>
      <c r="ZO80" s="37"/>
      <c r="ZP80" s="37"/>
      <c r="ZQ80" s="37"/>
      <c r="ZR80" s="37"/>
      <c r="ZS80" s="37"/>
      <c r="ZT80" s="37"/>
      <c r="ZU80" s="37"/>
      <c r="ZV80" s="37"/>
      <c r="ZW80" s="37"/>
      <c r="ZX80" s="37"/>
      <c r="ZY80" s="37"/>
      <c r="ZZ80" s="37"/>
      <c r="AAA80" s="37"/>
      <c r="AAB80" s="37"/>
      <c r="AAC80" s="37"/>
      <c r="AAD80" s="37"/>
      <c r="AAE80" s="37"/>
      <c r="AAF80" s="37"/>
      <c r="AAG80" s="37"/>
      <c r="AAH80" s="37"/>
      <c r="AAI80" s="37"/>
      <c r="AAJ80" s="37"/>
      <c r="AAK80" s="37"/>
      <c r="AAL80" s="37"/>
      <c r="AAM80" s="37"/>
      <c r="AAN80" s="37"/>
      <c r="AAO80" s="37"/>
      <c r="AAP80" s="37"/>
      <c r="AAQ80" s="37"/>
      <c r="AAR80" s="37"/>
      <c r="AAS80" s="37"/>
      <c r="AAT80" s="37"/>
      <c r="AAU80" s="37"/>
      <c r="AAV80" s="37"/>
      <c r="AAW80" s="37"/>
      <c r="AAX80" s="37"/>
      <c r="AAY80" s="37"/>
      <c r="AAZ80" s="37"/>
      <c r="ABA80" s="37"/>
      <c r="ABB80" s="37"/>
      <c r="ABC80" s="37"/>
      <c r="ABD80" s="37"/>
      <c r="ABE80" s="37"/>
      <c r="ABF80" s="37"/>
      <c r="ABG80" s="37"/>
      <c r="ABH80" s="37"/>
      <c r="ABI80" s="37"/>
      <c r="ABJ80" s="37"/>
      <c r="ABK80" s="37"/>
      <c r="ABL80" s="37"/>
      <c r="ABM80" s="37"/>
      <c r="ABN80" s="37"/>
      <c r="ABO80" s="37"/>
      <c r="ABP80" s="37"/>
      <c r="ABQ80" s="37"/>
      <c r="ABR80" s="37"/>
      <c r="ABS80" s="37"/>
      <c r="ABT80" s="37"/>
      <c r="ABU80" s="37"/>
      <c r="ABV80" s="37"/>
      <c r="ABW80" s="37"/>
      <c r="ABX80" s="37"/>
      <c r="ABY80" s="37"/>
      <c r="ABZ80" s="37"/>
      <c r="ACA80" s="37"/>
      <c r="ACB80" s="37"/>
      <c r="ACC80" s="37"/>
      <c r="ACD80" s="37"/>
      <c r="ACE80" s="37"/>
      <c r="ACF80" s="37"/>
      <c r="ACG80" s="37"/>
      <c r="ACH80" s="37"/>
      <c r="ACI80" s="37"/>
      <c r="ACJ80" s="37"/>
      <c r="ACK80" s="37"/>
      <c r="ACL80" s="37"/>
      <c r="ACM80" s="37"/>
      <c r="ACN80" s="37"/>
      <c r="ACO80" s="37"/>
      <c r="ACP80" s="37"/>
      <c r="ACQ80" s="37"/>
      <c r="ACR80" s="37"/>
      <c r="ACS80" s="37"/>
      <c r="ACT80" s="37"/>
      <c r="ACU80" s="37"/>
      <c r="ACV80" s="37"/>
      <c r="ACW80" s="37"/>
      <c r="ACX80" s="37"/>
      <c r="ACY80" s="37"/>
      <c r="ACZ80" s="37"/>
      <c r="ADA80" s="37"/>
      <c r="ADB80" s="37"/>
      <c r="ADC80" s="37"/>
      <c r="ADD80" s="37"/>
      <c r="ADE80" s="37"/>
      <c r="ADF80" s="37"/>
      <c r="ADG80" s="37"/>
      <c r="ADH80" s="37"/>
      <c r="ADI80" s="37"/>
      <c r="ADJ80" s="37"/>
      <c r="ADK80" s="37"/>
      <c r="ADL80" s="37"/>
      <c r="ADM80" s="37"/>
      <c r="ADN80" s="37"/>
      <c r="ADO80" s="37"/>
      <c r="ADP80" s="37"/>
      <c r="ADQ80" s="37"/>
      <c r="ADR80" s="37"/>
      <c r="ADS80" s="37"/>
      <c r="ADT80" s="37"/>
      <c r="ADU80" s="37"/>
      <c r="ADV80" s="37"/>
      <c r="ADW80" s="37"/>
      <c r="ADX80" s="37"/>
      <c r="ADY80" s="37"/>
      <c r="ADZ80" s="37"/>
      <c r="AEA80" s="37"/>
      <c r="AEB80" s="37"/>
      <c r="AEC80" s="37"/>
      <c r="AED80" s="37"/>
      <c r="AEE80" s="37"/>
      <c r="AEF80" s="37"/>
      <c r="AEG80" s="37"/>
      <c r="AEH80" s="37"/>
      <c r="AEI80" s="37"/>
      <c r="AEJ80" s="37"/>
      <c r="AEK80" s="37"/>
      <c r="AEL80" s="37"/>
      <c r="AEM80" s="37"/>
      <c r="AEN80" s="37"/>
      <c r="AEO80" s="37"/>
      <c r="AEP80" s="37"/>
      <c r="AEQ80" s="37"/>
      <c r="AER80" s="37"/>
      <c r="AES80" s="37"/>
      <c r="AET80" s="37"/>
      <c r="AEU80" s="37"/>
      <c r="AEV80" s="37"/>
      <c r="AEW80" s="37"/>
      <c r="AEX80" s="37"/>
      <c r="AEY80" s="37"/>
      <c r="AEZ80" s="37"/>
      <c r="AFA80" s="37"/>
      <c r="AFB80" s="37"/>
      <c r="AFC80" s="37"/>
      <c r="AFD80" s="37"/>
      <c r="AFE80" s="37"/>
      <c r="AFF80" s="37"/>
      <c r="AFG80" s="37"/>
      <c r="AFH80" s="37"/>
      <c r="AFI80" s="37"/>
      <c r="AFJ80" s="37"/>
      <c r="AFK80" s="37"/>
      <c r="AFL80" s="37"/>
      <c r="AFM80" s="37"/>
      <c r="AFN80" s="37"/>
      <c r="AFO80" s="37"/>
      <c r="AFP80" s="37"/>
      <c r="AFQ80" s="37"/>
      <c r="AFR80" s="37"/>
      <c r="AFS80" s="37"/>
      <c r="AFT80" s="37"/>
      <c r="AFU80" s="37"/>
      <c r="AFV80" s="37"/>
      <c r="AFW80" s="37"/>
      <c r="AFX80" s="37"/>
      <c r="AFY80" s="37"/>
      <c r="AFZ80" s="37"/>
      <c r="AGA80" s="37"/>
      <c r="AGB80" s="37"/>
      <c r="AGC80" s="37"/>
      <c r="AGD80" s="37"/>
      <c r="AGE80" s="37"/>
      <c r="AGF80" s="37"/>
      <c r="AGG80" s="37"/>
      <c r="AGH80" s="37"/>
      <c r="AGI80" s="37"/>
      <c r="AGJ80" s="37"/>
      <c r="AGK80" s="37"/>
      <c r="AGL80" s="37"/>
      <c r="AGM80" s="37"/>
      <c r="AGN80" s="37"/>
      <c r="AGO80" s="37"/>
      <c r="AGP80" s="37"/>
      <c r="AGQ80" s="37"/>
      <c r="AGR80" s="37"/>
      <c r="AGS80" s="37"/>
      <c r="AGT80" s="37"/>
      <c r="AGU80" s="37"/>
      <c r="AGV80" s="37"/>
      <c r="AGW80" s="37"/>
      <c r="AGX80" s="37"/>
      <c r="AGY80" s="37"/>
      <c r="AGZ80" s="37"/>
      <c r="AHA80" s="37"/>
      <c r="AHB80" s="37"/>
      <c r="AHC80" s="37"/>
      <c r="AHD80" s="37"/>
      <c r="AHE80" s="37"/>
      <c r="AHF80" s="37"/>
      <c r="AHG80" s="37"/>
      <c r="AHH80" s="37"/>
      <c r="AHI80" s="37"/>
      <c r="AHJ80" s="37"/>
      <c r="AHK80" s="37"/>
      <c r="AHL80" s="37"/>
      <c r="AHM80" s="37"/>
      <c r="AHN80" s="37"/>
      <c r="AHO80" s="37"/>
      <c r="AHP80" s="37"/>
      <c r="AHQ80" s="37"/>
      <c r="AHR80" s="37"/>
      <c r="AHS80" s="37"/>
      <c r="AHT80" s="37"/>
      <c r="AHU80" s="37"/>
      <c r="AHV80" s="37"/>
      <c r="AHW80" s="37"/>
      <c r="AHX80" s="37"/>
      <c r="AHY80" s="37"/>
      <c r="AHZ80" s="37"/>
      <c r="AIA80" s="37"/>
      <c r="AIB80" s="37"/>
      <c r="AIC80" s="37"/>
      <c r="AID80" s="37"/>
      <c r="AIE80" s="37"/>
      <c r="AIF80" s="37"/>
      <c r="AIG80" s="37"/>
      <c r="AIH80" s="37"/>
      <c r="AII80" s="37"/>
      <c r="AIJ80" s="37"/>
      <c r="AIK80" s="37"/>
      <c r="AIL80" s="37"/>
      <c r="AIM80" s="37"/>
      <c r="AIN80" s="37"/>
      <c r="AIO80" s="37"/>
      <c r="AIP80" s="37"/>
      <c r="AIQ80" s="37"/>
      <c r="AIR80" s="37"/>
      <c r="AIS80" s="37"/>
      <c r="AIT80" s="37"/>
      <c r="AIU80" s="37"/>
      <c r="AIV80" s="37"/>
      <c r="AIW80" s="37"/>
      <c r="AIX80" s="37"/>
      <c r="AIY80" s="37"/>
      <c r="AIZ80" s="37"/>
      <c r="AJA80" s="37"/>
      <c r="AJB80" s="37"/>
      <c r="AJC80" s="37"/>
      <c r="AJD80" s="37"/>
      <c r="AJE80" s="37"/>
      <c r="AJF80" s="37"/>
      <c r="AJG80" s="37"/>
      <c r="AJH80" s="37"/>
      <c r="AJI80" s="37"/>
      <c r="AJJ80" s="37"/>
      <c r="AJK80" s="37"/>
      <c r="AJL80" s="37"/>
      <c r="AJM80" s="37"/>
      <c r="AJN80" s="37"/>
      <c r="AJO80" s="37"/>
      <c r="AJP80" s="37"/>
      <c r="AJQ80" s="37"/>
      <c r="AJR80" s="37"/>
      <c r="AJS80" s="37"/>
      <c r="AJT80" s="37"/>
      <c r="AJU80" s="37"/>
      <c r="AJV80" s="37"/>
      <c r="AJW80" s="37"/>
      <c r="AJX80" s="37"/>
      <c r="AJY80" s="37"/>
      <c r="AJZ80" s="37"/>
      <c r="AKA80" s="37"/>
      <c r="AKB80" s="37"/>
      <c r="AKC80" s="37"/>
      <c r="AKD80" s="37"/>
      <c r="AKE80" s="37"/>
      <c r="AKF80" s="37"/>
      <c r="AKG80" s="37"/>
      <c r="AKH80" s="37"/>
      <c r="AKI80" s="37"/>
      <c r="AKJ80" s="37"/>
      <c r="AKK80" s="37"/>
      <c r="AKL80" s="37"/>
      <c r="AKM80" s="37"/>
      <c r="AKN80" s="37"/>
      <c r="AKO80" s="37"/>
      <c r="AKP80" s="37"/>
      <c r="AKQ80" s="37"/>
      <c r="AKR80" s="37"/>
      <c r="AKS80" s="37"/>
      <c r="AKT80" s="37"/>
      <c r="AKU80" s="37"/>
      <c r="AKV80" s="37"/>
      <c r="AKW80" s="37"/>
      <c r="AKX80" s="37"/>
      <c r="AKY80" s="37"/>
      <c r="AKZ80" s="37"/>
      <c r="ALA80" s="37"/>
      <c r="ALB80" s="37"/>
      <c r="ALC80" s="37"/>
      <c r="ALD80" s="37"/>
      <c r="ALE80" s="37"/>
      <c r="ALF80" s="37"/>
      <c r="ALG80" s="37"/>
      <c r="ALH80" s="37"/>
      <c r="ALI80" s="37"/>
      <c r="ALJ80" s="37"/>
      <c r="ALK80" s="37"/>
      <c r="ALL80" s="37"/>
      <c r="ALM80" s="37"/>
      <c r="ALN80" s="37"/>
      <c r="ALO80" s="37"/>
      <c r="ALP80" s="37"/>
      <c r="ALQ80" s="37"/>
      <c r="ALR80" s="37"/>
      <c r="ALS80" s="37"/>
      <c r="ALT80" s="37"/>
      <c r="ALU80" s="37"/>
      <c r="ALV80" s="37"/>
      <c r="ALW80" s="37"/>
      <c r="ALX80" s="37"/>
      <c r="ALY80" s="37"/>
      <c r="ALZ80" s="37"/>
      <c r="AMA80" s="37"/>
      <c r="AMB80" s="37"/>
      <c r="AMC80" s="37"/>
    </row>
    <row r="81" spans="1:1017" s="38" customFormat="1" ht="19.5" customHeight="1">
      <c r="A81" s="72"/>
      <c r="B81" s="73"/>
      <c r="C81" s="72"/>
      <c r="D81" s="72"/>
      <c r="E81" s="72"/>
      <c r="F81" s="72"/>
      <c r="G81" s="35">
        <v>43</v>
      </c>
      <c r="H81" s="35">
        <v>95</v>
      </c>
      <c r="I81" s="35">
        <v>114</v>
      </c>
      <c r="J81" s="35">
        <v>72</v>
      </c>
      <c r="K81" s="35">
        <v>34</v>
      </c>
      <c r="L81" s="35">
        <v>27</v>
      </c>
      <c r="M81" s="35">
        <v>22</v>
      </c>
      <c r="N81" s="35">
        <v>95</v>
      </c>
      <c r="O81" s="74">
        <v>4</v>
      </c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  <c r="OU81" s="37"/>
      <c r="OV81" s="37"/>
      <c r="OW81" s="37"/>
      <c r="OX81" s="37"/>
      <c r="OY81" s="37"/>
      <c r="OZ81" s="37"/>
      <c r="PA81" s="37"/>
      <c r="PB81" s="37"/>
      <c r="PC81" s="37"/>
      <c r="PD81" s="37"/>
      <c r="PE81" s="37"/>
      <c r="PF81" s="37"/>
      <c r="PG81" s="37"/>
      <c r="PH81" s="37"/>
      <c r="PI81" s="37"/>
      <c r="PJ81" s="37"/>
      <c r="PK81" s="37"/>
      <c r="PL81" s="37"/>
      <c r="PM81" s="37"/>
      <c r="PN81" s="37"/>
      <c r="PO81" s="37"/>
      <c r="PP81" s="37"/>
      <c r="PQ81" s="37"/>
      <c r="PR81" s="37"/>
      <c r="PS81" s="37"/>
      <c r="PT81" s="37"/>
      <c r="PU81" s="37"/>
      <c r="PV81" s="37"/>
      <c r="PW81" s="37"/>
      <c r="PX81" s="37"/>
      <c r="PY81" s="37"/>
      <c r="PZ81" s="37"/>
      <c r="QA81" s="37"/>
      <c r="QB81" s="37"/>
      <c r="QC81" s="37"/>
      <c r="QD81" s="37"/>
      <c r="QE81" s="37"/>
      <c r="QF81" s="37"/>
      <c r="QG81" s="37"/>
      <c r="QH81" s="37"/>
      <c r="QI81" s="37"/>
      <c r="QJ81" s="37"/>
      <c r="QK81" s="37"/>
      <c r="QL81" s="37"/>
      <c r="QM81" s="37"/>
      <c r="QN81" s="37"/>
      <c r="QO81" s="37"/>
      <c r="QP81" s="37"/>
      <c r="QQ81" s="37"/>
      <c r="QR81" s="37"/>
      <c r="QS81" s="37"/>
      <c r="QT81" s="37"/>
      <c r="QU81" s="37"/>
      <c r="QV81" s="37"/>
      <c r="QW81" s="37"/>
      <c r="QX81" s="37"/>
      <c r="QY81" s="37"/>
      <c r="QZ81" s="37"/>
      <c r="RA81" s="37"/>
      <c r="RB81" s="37"/>
      <c r="RC81" s="37"/>
      <c r="RD81" s="37"/>
      <c r="RE81" s="37"/>
      <c r="RF81" s="37"/>
      <c r="RG81" s="37"/>
      <c r="RH81" s="37"/>
      <c r="RI81" s="37"/>
      <c r="RJ81" s="37"/>
      <c r="RK81" s="37"/>
      <c r="RL81" s="37"/>
      <c r="RM81" s="37"/>
      <c r="RN81" s="37"/>
      <c r="RO81" s="37"/>
      <c r="RP81" s="37"/>
      <c r="RQ81" s="37"/>
      <c r="RR81" s="37"/>
      <c r="RS81" s="37"/>
      <c r="RT81" s="37"/>
      <c r="RU81" s="37"/>
      <c r="RV81" s="37"/>
      <c r="RW81" s="37"/>
      <c r="RX81" s="37"/>
      <c r="RY81" s="37"/>
      <c r="RZ81" s="37"/>
      <c r="SA81" s="37"/>
      <c r="SB81" s="37"/>
      <c r="SC81" s="37"/>
      <c r="SD81" s="37"/>
      <c r="SE81" s="37"/>
      <c r="SF81" s="37"/>
      <c r="SG81" s="37"/>
      <c r="SH81" s="37"/>
      <c r="SI81" s="37"/>
      <c r="SJ81" s="37"/>
      <c r="SK81" s="37"/>
      <c r="SL81" s="37"/>
      <c r="SM81" s="37"/>
      <c r="SN81" s="37"/>
      <c r="SO81" s="37"/>
      <c r="SP81" s="37"/>
      <c r="SQ81" s="37"/>
      <c r="SR81" s="37"/>
      <c r="SS81" s="37"/>
      <c r="ST81" s="37"/>
      <c r="SU81" s="37"/>
      <c r="SV81" s="37"/>
      <c r="SW81" s="37"/>
      <c r="SX81" s="37"/>
      <c r="SY81" s="37"/>
      <c r="SZ81" s="37"/>
      <c r="TA81" s="37"/>
      <c r="TB81" s="37"/>
      <c r="TC81" s="37"/>
      <c r="TD81" s="37"/>
      <c r="TE81" s="37"/>
      <c r="TF81" s="37"/>
      <c r="TG81" s="37"/>
      <c r="TH81" s="37"/>
      <c r="TI81" s="37"/>
      <c r="TJ81" s="37"/>
      <c r="TK81" s="37"/>
      <c r="TL81" s="37"/>
      <c r="TM81" s="37"/>
      <c r="TN81" s="37"/>
      <c r="TO81" s="37"/>
      <c r="TP81" s="37"/>
      <c r="TQ81" s="37"/>
      <c r="TR81" s="37"/>
      <c r="TS81" s="37"/>
      <c r="TT81" s="37"/>
      <c r="TU81" s="37"/>
      <c r="TV81" s="37"/>
      <c r="TW81" s="37"/>
      <c r="TX81" s="37"/>
      <c r="TY81" s="37"/>
      <c r="TZ81" s="37"/>
      <c r="UA81" s="37"/>
      <c r="UB81" s="37"/>
      <c r="UC81" s="37"/>
      <c r="UD81" s="37"/>
      <c r="UE81" s="37"/>
      <c r="UF81" s="37"/>
      <c r="UG81" s="37"/>
      <c r="UH81" s="37"/>
      <c r="UI81" s="37"/>
      <c r="UJ81" s="37"/>
      <c r="UK81" s="37"/>
      <c r="UL81" s="37"/>
      <c r="UM81" s="37"/>
      <c r="UN81" s="37"/>
      <c r="UO81" s="37"/>
      <c r="UP81" s="37"/>
      <c r="UQ81" s="37"/>
      <c r="UR81" s="37"/>
      <c r="US81" s="37"/>
      <c r="UT81" s="37"/>
      <c r="UU81" s="37"/>
      <c r="UV81" s="37"/>
      <c r="UW81" s="37"/>
      <c r="UX81" s="37"/>
      <c r="UY81" s="37"/>
      <c r="UZ81" s="37"/>
      <c r="VA81" s="37"/>
      <c r="VB81" s="37"/>
      <c r="VC81" s="37"/>
      <c r="VD81" s="37"/>
      <c r="VE81" s="37"/>
      <c r="VF81" s="37"/>
      <c r="VG81" s="37"/>
      <c r="VH81" s="37"/>
      <c r="VI81" s="37"/>
      <c r="VJ81" s="37"/>
      <c r="VK81" s="37"/>
      <c r="VL81" s="37"/>
      <c r="VM81" s="37"/>
      <c r="VN81" s="37"/>
      <c r="VO81" s="37"/>
      <c r="VP81" s="37"/>
      <c r="VQ81" s="37"/>
      <c r="VR81" s="37"/>
      <c r="VS81" s="37"/>
      <c r="VT81" s="37"/>
      <c r="VU81" s="37"/>
      <c r="VV81" s="37"/>
      <c r="VW81" s="37"/>
      <c r="VX81" s="37"/>
      <c r="VY81" s="37"/>
      <c r="VZ81" s="37"/>
      <c r="WA81" s="37"/>
      <c r="WB81" s="37"/>
      <c r="WC81" s="37"/>
      <c r="WD81" s="37"/>
      <c r="WE81" s="37"/>
      <c r="WF81" s="37"/>
      <c r="WG81" s="37"/>
      <c r="WH81" s="37"/>
      <c r="WI81" s="37"/>
      <c r="WJ81" s="37"/>
      <c r="WK81" s="37"/>
      <c r="WL81" s="37"/>
      <c r="WM81" s="37"/>
      <c r="WN81" s="37"/>
      <c r="WO81" s="37"/>
      <c r="WP81" s="37"/>
      <c r="WQ81" s="37"/>
      <c r="WR81" s="37"/>
      <c r="WS81" s="37"/>
      <c r="WT81" s="37"/>
      <c r="WU81" s="37"/>
      <c r="WV81" s="37"/>
      <c r="WW81" s="37"/>
      <c r="WX81" s="37"/>
      <c r="WY81" s="37"/>
      <c r="WZ81" s="37"/>
      <c r="XA81" s="37"/>
      <c r="XB81" s="37"/>
      <c r="XC81" s="37"/>
      <c r="XD81" s="37"/>
      <c r="XE81" s="37"/>
      <c r="XF81" s="37"/>
      <c r="XG81" s="37"/>
      <c r="XH81" s="37"/>
      <c r="XI81" s="37"/>
      <c r="XJ81" s="37"/>
      <c r="XK81" s="37"/>
      <c r="XL81" s="37"/>
      <c r="XM81" s="37"/>
      <c r="XN81" s="37"/>
      <c r="XO81" s="37"/>
      <c r="XP81" s="37"/>
      <c r="XQ81" s="37"/>
      <c r="XR81" s="37"/>
      <c r="XS81" s="37"/>
      <c r="XT81" s="37"/>
      <c r="XU81" s="37"/>
      <c r="XV81" s="37"/>
      <c r="XW81" s="37"/>
      <c r="XX81" s="37"/>
      <c r="XY81" s="37"/>
      <c r="XZ81" s="37"/>
      <c r="YA81" s="37"/>
      <c r="YB81" s="37"/>
      <c r="YC81" s="37"/>
      <c r="YD81" s="37"/>
      <c r="YE81" s="37"/>
      <c r="YF81" s="37"/>
      <c r="YG81" s="37"/>
      <c r="YH81" s="37"/>
      <c r="YI81" s="37"/>
      <c r="YJ81" s="37"/>
      <c r="YK81" s="37"/>
      <c r="YL81" s="37"/>
      <c r="YM81" s="37"/>
      <c r="YN81" s="37"/>
      <c r="YO81" s="37"/>
      <c r="YP81" s="37"/>
      <c r="YQ81" s="37"/>
      <c r="YR81" s="37"/>
      <c r="YS81" s="37"/>
      <c r="YT81" s="37"/>
      <c r="YU81" s="37"/>
      <c r="YV81" s="37"/>
      <c r="YW81" s="37"/>
      <c r="YX81" s="37"/>
      <c r="YY81" s="37"/>
      <c r="YZ81" s="37"/>
      <c r="ZA81" s="37"/>
      <c r="ZB81" s="37"/>
      <c r="ZC81" s="37"/>
      <c r="ZD81" s="37"/>
      <c r="ZE81" s="37"/>
      <c r="ZF81" s="37"/>
      <c r="ZG81" s="37"/>
      <c r="ZH81" s="37"/>
      <c r="ZI81" s="37"/>
      <c r="ZJ81" s="37"/>
      <c r="ZK81" s="37"/>
      <c r="ZL81" s="37"/>
      <c r="ZM81" s="37"/>
      <c r="ZN81" s="37"/>
      <c r="ZO81" s="37"/>
      <c r="ZP81" s="37"/>
      <c r="ZQ81" s="37"/>
      <c r="ZR81" s="37"/>
      <c r="ZS81" s="37"/>
      <c r="ZT81" s="37"/>
      <c r="ZU81" s="37"/>
      <c r="ZV81" s="37"/>
      <c r="ZW81" s="37"/>
      <c r="ZX81" s="37"/>
      <c r="ZY81" s="37"/>
      <c r="ZZ81" s="37"/>
      <c r="AAA81" s="37"/>
      <c r="AAB81" s="37"/>
      <c r="AAC81" s="37"/>
      <c r="AAD81" s="37"/>
      <c r="AAE81" s="37"/>
      <c r="AAF81" s="37"/>
      <c r="AAG81" s="37"/>
      <c r="AAH81" s="37"/>
      <c r="AAI81" s="37"/>
      <c r="AAJ81" s="37"/>
      <c r="AAK81" s="37"/>
      <c r="AAL81" s="37"/>
      <c r="AAM81" s="37"/>
      <c r="AAN81" s="37"/>
      <c r="AAO81" s="37"/>
      <c r="AAP81" s="37"/>
      <c r="AAQ81" s="37"/>
      <c r="AAR81" s="37"/>
      <c r="AAS81" s="37"/>
      <c r="AAT81" s="37"/>
      <c r="AAU81" s="37"/>
      <c r="AAV81" s="37"/>
      <c r="AAW81" s="37"/>
      <c r="AAX81" s="37"/>
      <c r="AAY81" s="37"/>
      <c r="AAZ81" s="37"/>
      <c r="ABA81" s="37"/>
      <c r="ABB81" s="37"/>
      <c r="ABC81" s="37"/>
      <c r="ABD81" s="37"/>
      <c r="ABE81" s="37"/>
      <c r="ABF81" s="37"/>
      <c r="ABG81" s="37"/>
      <c r="ABH81" s="37"/>
      <c r="ABI81" s="37"/>
      <c r="ABJ81" s="37"/>
      <c r="ABK81" s="37"/>
      <c r="ABL81" s="37"/>
      <c r="ABM81" s="37"/>
      <c r="ABN81" s="37"/>
      <c r="ABO81" s="37"/>
      <c r="ABP81" s="37"/>
      <c r="ABQ81" s="37"/>
      <c r="ABR81" s="37"/>
      <c r="ABS81" s="37"/>
      <c r="ABT81" s="37"/>
      <c r="ABU81" s="37"/>
      <c r="ABV81" s="37"/>
      <c r="ABW81" s="37"/>
      <c r="ABX81" s="37"/>
      <c r="ABY81" s="37"/>
      <c r="ABZ81" s="37"/>
      <c r="ACA81" s="37"/>
      <c r="ACB81" s="37"/>
      <c r="ACC81" s="37"/>
      <c r="ACD81" s="37"/>
      <c r="ACE81" s="37"/>
      <c r="ACF81" s="37"/>
      <c r="ACG81" s="37"/>
      <c r="ACH81" s="37"/>
      <c r="ACI81" s="37"/>
      <c r="ACJ81" s="37"/>
      <c r="ACK81" s="37"/>
      <c r="ACL81" s="37"/>
      <c r="ACM81" s="37"/>
      <c r="ACN81" s="37"/>
      <c r="ACO81" s="37"/>
      <c r="ACP81" s="37"/>
      <c r="ACQ81" s="37"/>
      <c r="ACR81" s="37"/>
      <c r="ACS81" s="37"/>
      <c r="ACT81" s="37"/>
      <c r="ACU81" s="37"/>
      <c r="ACV81" s="37"/>
      <c r="ACW81" s="37"/>
      <c r="ACX81" s="37"/>
      <c r="ACY81" s="37"/>
      <c r="ACZ81" s="37"/>
      <c r="ADA81" s="37"/>
      <c r="ADB81" s="37"/>
      <c r="ADC81" s="37"/>
      <c r="ADD81" s="37"/>
      <c r="ADE81" s="37"/>
      <c r="ADF81" s="37"/>
      <c r="ADG81" s="37"/>
      <c r="ADH81" s="37"/>
      <c r="ADI81" s="37"/>
      <c r="ADJ81" s="37"/>
      <c r="ADK81" s="37"/>
      <c r="ADL81" s="37"/>
      <c r="ADM81" s="37"/>
      <c r="ADN81" s="37"/>
      <c r="ADO81" s="37"/>
      <c r="ADP81" s="37"/>
      <c r="ADQ81" s="37"/>
      <c r="ADR81" s="37"/>
      <c r="ADS81" s="37"/>
      <c r="ADT81" s="37"/>
      <c r="ADU81" s="37"/>
      <c r="ADV81" s="37"/>
      <c r="ADW81" s="37"/>
      <c r="ADX81" s="37"/>
      <c r="ADY81" s="37"/>
      <c r="ADZ81" s="37"/>
      <c r="AEA81" s="37"/>
      <c r="AEB81" s="37"/>
      <c r="AEC81" s="37"/>
      <c r="AED81" s="37"/>
      <c r="AEE81" s="37"/>
      <c r="AEF81" s="37"/>
      <c r="AEG81" s="37"/>
      <c r="AEH81" s="37"/>
      <c r="AEI81" s="37"/>
      <c r="AEJ81" s="37"/>
      <c r="AEK81" s="37"/>
      <c r="AEL81" s="37"/>
      <c r="AEM81" s="37"/>
      <c r="AEN81" s="37"/>
      <c r="AEO81" s="37"/>
      <c r="AEP81" s="37"/>
      <c r="AEQ81" s="37"/>
      <c r="AER81" s="37"/>
      <c r="AES81" s="37"/>
      <c r="AET81" s="37"/>
      <c r="AEU81" s="37"/>
      <c r="AEV81" s="37"/>
      <c r="AEW81" s="37"/>
      <c r="AEX81" s="37"/>
      <c r="AEY81" s="37"/>
      <c r="AEZ81" s="37"/>
      <c r="AFA81" s="37"/>
      <c r="AFB81" s="37"/>
      <c r="AFC81" s="37"/>
      <c r="AFD81" s="37"/>
      <c r="AFE81" s="37"/>
      <c r="AFF81" s="37"/>
      <c r="AFG81" s="37"/>
      <c r="AFH81" s="37"/>
      <c r="AFI81" s="37"/>
      <c r="AFJ81" s="37"/>
      <c r="AFK81" s="37"/>
      <c r="AFL81" s="37"/>
      <c r="AFM81" s="37"/>
      <c r="AFN81" s="37"/>
      <c r="AFO81" s="37"/>
      <c r="AFP81" s="37"/>
      <c r="AFQ81" s="37"/>
      <c r="AFR81" s="37"/>
      <c r="AFS81" s="37"/>
      <c r="AFT81" s="37"/>
      <c r="AFU81" s="37"/>
      <c r="AFV81" s="37"/>
      <c r="AFW81" s="37"/>
      <c r="AFX81" s="37"/>
      <c r="AFY81" s="37"/>
      <c r="AFZ81" s="37"/>
      <c r="AGA81" s="37"/>
      <c r="AGB81" s="37"/>
      <c r="AGC81" s="37"/>
      <c r="AGD81" s="37"/>
      <c r="AGE81" s="37"/>
      <c r="AGF81" s="37"/>
      <c r="AGG81" s="37"/>
      <c r="AGH81" s="37"/>
      <c r="AGI81" s="37"/>
      <c r="AGJ81" s="37"/>
      <c r="AGK81" s="37"/>
      <c r="AGL81" s="37"/>
      <c r="AGM81" s="37"/>
      <c r="AGN81" s="37"/>
      <c r="AGO81" s="37"/>
      <c r="AGP81" s="37"/>
      <c r="AGQ81" s="37"/>
      <c r="AGR81" s="37"/>
      <c r="AGS81" s="37"/>
      <c r="AGT81" s="37"/>
      <c r="AGU81" s="37"/>
      <c r="AGV81" s="37"/>
      <c r="AGW81" s="37"/>
      <c r="AGX81" s="37"/>
      <c r="AGY81" s="37"/>
      <c r="AGZ81" s="37"/>
      <c r="AHA81" s="37"/>
      <c r="AHB81" s="37"/>
      <c r="AHC81" s="37"/>
      <c r="AHD81" s="37"/>
      <c r="AHE81" s="37"/>
      <c r="AHF81" s="37"/>
      <c r="AHG81" s="37"/>
      <c r="AHH81" s="37"/>
      <c r="AHI81" s="37"/>
      <c r="AHJ81" s="37"/>
      <c r="AHK81" s="37"/>
      <c r="AHL81" s="37"/>
      <c r="AHM81" s="37"/>
      <c r="AHN81" s="37"/>
      <c r="AHO81" s="37"/>
      <c r="AHP81" s="37"/>
      <c r="AHQ81" s="37"/>
      <c r="AHR81" s="37"/>
      <c r="AHS81" s="37"/>
      <c r="AHT81" s="37"/>
      <c r="AHU81" s="37"/>
      <c r="AHV81" s="37"/>
      <c r="AHW81" s="37"/>
      <c r="AHX81" s="37"/>
      <c r="AHY81" s="37"/>
      <c r="AHZ81" s="37"/>
      <c r="AIA81" s="37"/>
      <c r="AIB81" s="37"/>
      <c r="AIC81" s="37"/>
      <c r="AID81" s="37"/>
      <c r="AIE81" s="37"/>
      <c r="AIF81" s="37"/>
      <c r="AIG81" s="37"/>
      <c r="AIH81" s="37"/>
      <c r="AII81" s="37"/>
      <c r="AIJ81" s="37"/>
      <c r="AIK81" s="37"/>
      <c r="AIL81" s="37"/>
      <c r="AIM81" s="37"/>
      <c r="AIN81" s="37"/>
      <c r="AIO81" s="37"/>
      <c r="AIP81" s="37"/>
      <c r="AIQ81" s="37"/>
      <c r="AIR81" s="37"/>
      <c r="AIS81" s="37"/>
      <c r="AIT81" s="37"/>
      <c r="AIU81" s="37"/>
      <c r="AIV81" s="37"/>
      <c r="AIW81" s="37"/>
      <c r="AIX81" s="37"/>
      <c r="AIY81" s="37"/>
      <c r="AIZ81" s="37"/>
      <c r="AJA81" s="37"/>
      <c r="AJB81" s="37"/>
      <c r="AJC81" s="37"/>
      <c r="AJD81" s="37"/>
      <c r="AJE81" s="37"/>
      <c r="AJF81" s="37"/>
      <c r="AJG81" s="37"/>
      <c r="AJH81" s="37"/>
      <c r="AJI81" s="37"/>
      <c r="AJJ81" s="37"/>
      <c r="AJK81" s="37"/>
      <c r="AJL81" s="37"/>
      <c r="AJM81" s="37"/>
      <c r="AJN81" s="37"/>
      <c r="AJO81" s="37"/>
      <c r="AJP81" s="37"/>
      <c r="AJQ81" s="37"/>
      <c r="AJR81" s="37"/>
      <c r="AJS81" s="37"/>
      <c r="AJT81" s="37"/>
      <c r="AJU81" s="37"/>
      <c r="AJV81" s="37"/>
      <c r="AJW81" s="37"/>
      <c r="AJX81" s="37"/>
      <c r="AJY81" s="37"/>
      <c r="AJZ81" s="37"/>
      <c r="AKA81" s="37"/>
      <c r="AKB81" s="37"/>
      <c r="AKC81" s="37"/>
      <c r="AKD81" s="37"/>
      <c r="AKE81" s="37"/>
      <c r="AKF81" s="37"/>
      <c r="AKG81" s="37"/>
      <c r="AKH81" s="37"/>
      <c r="AKI81" s="37"/>
      <c r="AKJ81" s="37"/>
      <c r="AKK81" s="37"/>
      <c r="AKL81" s="37"/>
      <c r="AKM81" s="37"/>
      <c r="AKN81" s="37"/>
      <c r="AKO81" s="37"/>
      <c r="AKP81" s="37"/>
      <c r="AKQ81" s="37"/>
      <c r="AKR81" s="37"/>
      <c r="AKS81" s="37"/>
      <c r="AKT81" s="37"/>
      <c r="AKU81" s="37"/>
      <c r="AKV81" s="37"/>
      <c r="AKW81" s="37"/>
      <c r="AKX81" s="37"/>
      <c r="AKY81" s="37"/>
      <c r="AKZ81" s="37"/>
      <c r="ALA81" s="37"/>
      <c r="ALB81" s="37"/>
      <c r="ALC81" s="37"/>
      <c r="ALD81" s="37"/>
      <c r="ALE81" s="37"/>
      <c r="ALF81" s="37"/>
      <c r="ALG81" s="37"/>
      <c r="ALH81" s="37"/>
      <c r="ALI81" s="37"/>
      <c r="ALJ81" s="37"/>
      <c r="ALK81" s="37"/>
      <c r="ALL81" s="37"/>
      <c r="ALM81" s="37"/>
      <c r="ALN81" s="37"/>
      <c r="ALO81" s="37"/>
      <c r="ALP81" s="37"/>
      <c r="ALQ81" s="37"/>
      <c r="ALR81" s="37"/>
      <c r="ALS81" s="37"/>
      <c r="ALT81" s="37"/>
      <c r="ALU81" s="37"/>
      <c r="ALV81" s="37"/>
      <c r="ALW81" s="37"/>
      <c r="ALX81" s="37"/>
      <c r="ALY81" s="37"/>
      <c r="ALZ81" s="37"/>
      <c r="AMA81" s="37"/>
      <c r="AMB81" s="37"/>
      <c r="AMC81" s="37"/>
    </row>
    <row r="82" spans="1:1017" s="38" customFormat="1" ht="19.5" customHeight="1">
      <c r="A82" s="75"/>
      <c r="B82" s="76"/>
      <c r="C82" s="75"/>
      <c r="D82" s="75"/>
      <c r="E82" s="75"/>
      <c r="F82" s="75"/>
      <c r="G82" s="77">
        <v>48</v>
      </c>
      <c r="H82" s="77">
        <v>56</v>
      </c>
      <c r="I82" s="77">
        <v>20</v>
      </c>
      <c r="J82" s="77">
        <v>15</v>
      </c>
      <c r="K82" s="77">
        <v>110</v>
      </c>
      <c r="L82" s="77">
        <v>105</v>
      </c>
      <c r="M82" s="77">
        <v>118</v>
      </c>
      <c r="N82" s="77"/>
      <c r="O82" s="7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  <c r="OU82" s="37"/>
      <c r="OV82" s="37"/>
      <c r="OW82" s="37"/>
      <c r="OX82" s="37"/>
      <c r="OY82" s="37"/>
      <c r="OZ82" s="37"/>
      <c r="PA82" s="37"/>
      <c r="PB82" s="37"/>
      <c r="PC82" s="37"/>
      <c r="PD82" s="37"/>
      <c r="PE82" s="37"/>
      <c r="PF82" s="37"/>
      <c r="PG82" s="37"/>
      <c r="PH82" s="37"/>
      <c r="PI82" s="37"/>
      <c r="PJ82" s="37"/>
      <c r="PK82" s="37"/>
      <c r="PL82" s="37"/>
      <c r="PM82" s="37"/>
      <c r="PN82" s="37"/>
      <c r="PO82" s="37"/>
      <c r="PP82" s="37"/>
      <c r="PQ82" s="37"/>
      <c r="PR82" s="37"/>
      <c r="PS82" s="37"/>
      <c r="PT82" s="37"/>
      <c r="PU82" s="37"/>
      <c r="PV82" s="37"/>
      <c r="PW82" s="37"/>
      <c r="PX82" s="37"/>
      <c r="PY82" s="37"/>
      <c r="PZ82" s="37"/>
      <c r="QA82" s="37"/>
      <c r="QB82" s="37"/>
      <c r="QC82" s="37"/>
      <c r="QD82" s="37"/>
      <c r="QE82" s="37"/>
      <c r="QF82" s="37"/>
      <c r="QG82" s="37"/>
      <c r="QH82" s="37"/>
      <c r="QI82" s="37"/>
      <c r="QJ82" s="37"/>
      <c r="QK82" s="37"/>
      <c r="QL82" s="37"/>
      <c r="QM82" s="37"/>
      <c r="QN82" s="37"/>
      <c r="QO82" s="37"/>
      <c r="QP82" s="37"/>
      <c r="QQ82" s="37"/>
      <c r="QR82" s="37"/>
      <c r="QS82" s="37"/>
      <c r="QT82" s="37"/>
      <c r="QU82" s="37"/>
      <c r="QV82" s="37"/>
      <c r="QW82" s="37"/>
      <c r="QX82" s="37"/>
      <c r="QY82" s="37"/>
      <c r="QZ82" s="37"/>
      <c r="RA82" s="37"/>
      <c r="RB82" s="37"/>
      <c r="RC82" s="37"/>
      <c r="RD82" s="37"/>
      <c r="RE82" s="37"/>
      <c r="RF82" s="37"/>
      <c r="RG82" s="37"/>
      <c r="RH82" s="37"/>
      <c r="RI82" s="37"/>
      <c r="RJ82" s="37"/>
      <c r="RK82" s="37"/>
      <c r="RL82" s="37"/>
      <c r="RM82" s="37"/>
      <c r="RN82" s="37"/>
      <c r="RO82" s="37"/>
      <c r="RP82" s="37"/>
      <c r="RQ82" s="37"/>
      <c r="RR82" s="37"/>
      <c r="RS82" s="37"/>
      <c r="RT82" s="37"/>
      <c r="RU82" s="37"/>
      <c r="RV82" s="37"/>
      <c r="RW82" s="37"/>
      <c r="RX82" s="37"/>
      <c r="RY82" s="37"/>
      <c r="RZ82" s="37"/>
      <c r="SA82" s="37"/>
      <c r="SB82" s="37"/>
      <c r="SC82" s="37"/>
      <c r="SD82" s="37"/>
      <c r="SE82" s="37"/>
      <c r="SF82" s="37"/>
      <c r="SG82" s="37"/>
      <c r="SH82" s="37"/>
      <c r="SI82" s="37"/>
      <c r="SJ82" s="37"/>
      <c r="SK82" s="37"/>
      <c r="SL82" s="37"/>
      <c r="SM82" s="37"/>
      <c r="SN82" s="37"/>
      <c r="SO82" s="37"/>
      <c r="SP82" s="37"/>
      <c r="SQ82" s="37"/>
      <c r="SR82" s="37"/>
      <c r="SS82" s="37"/>
      <c r="ST82" s="37"/>
      <c r="SU82" s="37"/>
      <c r="SV82" s="37"/>
      <c r="SW82" s="37"/>
      <c r="SX82" s="37"/>
      <c r="SY82" s="37"/>
      <c r="SZ82" s="37"/>
      <c r="TA82" s="37"/>
      <c r="TB82" s="37"/>
      <c r="TC82" s="37"/>
      <c r="TD82" s="37"/>
      <c r="TE82" s="37"/>
      <c r="TF82" s="37"/>
      <c r="TG82" s="37"/>
      <c r="TH82" s="37"/>
      <c r="TI82" s="37"/>
      <c r="TJ82" s="37"/>
      <c r="TK82" s="37"/>
      <c r="TL82" s="37"/>
      <c r="TM82" s="37"/>
      <c r="TN82" s="37"/>
      <c r="TO82" s="37"/>
      <c r="TP82" s="37"/>
      <c r="TQ82" s="37"/>
      <c r="TR82" s="37"/>
      <c r="TS82" s="37"/>
      <c r="TT82" s="37"/>
      <c r="TU82" s="37"/>
      <c r="TV82" s="37"/>
      <c r="TW82" s="37"/>
      <c r="TX82" s="37"/>
      <c r="TY82" s="37"/>
      <c r="TZ82" s="37"/>
      <c r="UA82" s="37"/>
      <c r="UB82" s="37"/>
      <c r="UC82" s="37"/>
      <c r="UD82" s="37"/>
      <c r="UE82" s="37"/>
      <c r="UF82" s="37"/>
      <c r="UG82" s="37"/>
      <c r="UH82" s="37"/>
      <c r="UI82" s="37"/>
      <c r="UJ82" s="37"/>
      <c r="UK82" s="37"/>
      <c r="UL82" s="37"/>
      <c r="UM82" s="37"/>
      <c r="UN82" s="37"/>
      <c r="UO82" s="37"/>
      <c r="UP82" s="37"/>
      <c r="UQ82" s="37"/>
      <c r="UR82" s="37"/>
      <c r="US82" s="37"/>
      <c r="UT82" s="37"/>
      <c r="UU82" s="37"/>
      <c r="UV82" s="37"/>
      <c r="UW82" s="37"/>
      <c r="UX82" s="37"/>
      <c r="UY82" s="37"/>
      <c r="UZ82" s="37"/>
      <c r="VA82" s="37"/>
      <c r="VB82" s="37"/>
      <c r="VC82" s="37"/>
      <c r="VD82" s="37"/>
      <c r="VE82" s="37"/>
      <c r="VF82" s="37"/>
      <c r="VG82" s="37"/>
      <c r="VH82" s="37"/>
      <c r="VI82" s="37"/>
      <c r="VJ82" s="37"/>
      <c r="VK82" s="37"/>
      <c r="VL82" s="37"/>
      <c r="VM82" s="37"/>
      <c r="VN82" s="37"/>
      <c r="VO82" s="37"/>
      <c r="VP82" s="37"/>
      <c r="VQ82" s="37"/>
      <c r="VR82" s="37"/>
      <c r="VS82" s="37"/>
      <c r="VT82" s="37"/>
      <c r="VU82" s="37"/>
      <c r="VV82" s="37"/>
      <c r="VW82" s="37"/>
      <c r="VX82" s="37"/>
      <c r="VY82" s="37"/>
      <c r="VZ82" s="37"/>
      <c r="WA82" s="37"/>
      <c r="WB82" s="37"/>
      <c r="WC82" s="37"/>
      <c r="WD82" s="37"/>
      <c r="WE82" s="37"/>
      <c r="WF82" s="37"/>
      <c r="WG82" s="37"/>
      <c r="WH82" s="37"/>
      <c r="WI82" s="37"/>
      <c r="WJ82" s="37"/>
      <c r="WK82" s="37"/>
      <c r="WL82" s="37"/>
      <c r="WM82" s="37"/>
      <c r="WN82" s="37"/>
      <c r="WO82" s="37"/>
      <c r="WP82" s="37"/>
      <c r="WQ82" s="37"/>
      <c r="WR82" s="37"/>
      <c r="WS82" s="37"/>
      <c r="WT82" s="37"/>
      <c r="WU82" s="37"/>
      <c r="WV82" s="37"/>
      <c r="WW82" s="37"/>
      <c r="WX82" s="37"/>
      <c r="WY82" s="37"/>
      <c r="WZ82" s="37"/>
      <c r="XA82" s="37"/>
      <c r="XB82" s="37"/>
      <c r="XC82" s="37"/>
      <c r="XD82" s="37"/>
      <c r="XE82" s="37"/>
      <c r="XF82" s="37"/>
      <c r="XG82" s="37"/>
      <c r="XH82" s="37"/>
      <c r="XI82" s="37"/>
      <c r="XJ82" s="37"/>
      <c r="XK82" s="37"/>
      <c r="XL82" s="37"/>
      <c r="XM82" s="37"/>
      <c r="XN82" s="37"/>
      <c r="XO82" s="37"/>
      <c r="XP82" s="37"/>
      <c r="XQ82" s="37"/>
      <c r="XR82" s="37"/>
      <c r="XS82" s="37"/>
      <c r="XT82" s="37"/>
      <c r="XU82" s="37"/>
      <c r="XV82" s="37"/>
      <c r="XW82" s="37"/>
      <c r="XX82" s="37"/>
      <c r="XY82" s="37"/>
      <c r="XZ82" s="37"/>
      <c r="YA82" s="37"/>
      <c r="YB82" s="37"/>
      <c r="YC82" s="37"/>
      <c r="YD82" s="37"/>
      <c r="YE82" s="37"/>
      <c r="YF82" s="37"/>
      <c r="YG82" s="37"/>
      <c r="YH82" s="37"/>
      <c r="YI82" s="37"/>
      <c r="YJ82" s="37"/>
      <c r="YK82" s="37"/>
      <c r="YL82" s="37"/>
      <c r="YM82" s="37"/>
      <c r="YN82" s="37"/>
      <c r="YO82" s="37"/>
      <c r="YP82" s="37"/>
      <c r="YQ82" s="37"/>
      <c r="YR82" s="37"/>
      <c r="YS82" s="37"/>
      <c r="YT82" s="37"/>
      <c r="YU82" s="37"/>
      <c r="YV82" s="37"/>
      <c r="YW82" s="37"/>
      <c r="YX82" s="37"/>
      <c r="YY82" s="37"/>
      <c r="YZ82" s="37"/>
      <c r="ZA82" s="37"/>
      <c r="ZB82" s="37"/>
      <c r="ZC82" s="37"/>
      <c r="ZD82" s="37"/>
      <c r="ZE82" s="37"/>
      <c r="ZF82" s="37"/>
      <c r="ZG82" s="37"/>
      <c r="ZH82" s="37"/>
      <c r="ZI82" s="37"/>
      <c r="ZJ82" s="37"/>
      <c r="ZK82" s="37"/>
      <c r="ZL82" s="37"/>
      <c r="ZM82" s="37"/>
      <c r="ZN82" s="37"/>
      <c r="ZO82" s="37"/>
      <c r="ZP82" s="37"/>
      <c r="ZQ82" s="37"/>
      <c r="ZR82" s="37"/>
      <c r="ZS82" s="37"/>
      <c r="ZT82" s="37"/>
      <c r="ZU82" s="37"/>
      <c r="ZV82" s="37"/>
      <c r="ZW82" s="37"/>
      <c r="ZX82" s="37"/>
      <c r="ZY82" s="37"/>
      <c r="ZZ82" s="37"/>
      <c r="AAA82" s="37"/>
      <c r="AAB82" s="37"/>
      <c r="AAC82" s="37"/>
      <c r="AAD82" s="37"/>
      <c r="AAE82" s="37"/>
      <c r="AAF82" s="37"/>
      <c r="AAG82" s="37"/>
      <c r="AAH82" s="37"/>
      <c r="AAI82" s="37"/>
      <c r="AAJ82" s="37"/>
      <c r="AAK82" s="37"/>
      <c r="AAL82" s="37"/>
      <c r="AAM82" s="37"/>
      <c r="AAN82" s="37"/>
      <c r="AAO82" s="37"/>
      <c r="AAP82" s="37"/>
      <c r="AAQ82" s="37"/>
      <c r="AAR82" s="37"/>
      <c r="AAS82" s="37"/>
      <c r="AAT82" s="37"/>
      <c r="AAU82" s="37"/>
      <c r="AAV82" s="37"/>
      <c r="AAW82" s="37"/>
      <c r="AAX82" s="37"/>
      <c r="AAY82" s="37"/>
      <c r="AAZ82" s="37"/>
      <c r="ABA82" s="37"/>
      <c r="ABB82" s="37"/>
      <c r="ABC82" s="37"/>
      <c r="ABD82" s="37"/>
      <c r="ABE82" s="37"/>
      <c r="ABF82" s="37"/>
      <c r="ABG82" s="37"/>
      <c r="ABH82" s="37"/>
      <c r="ABI82" s="37"/>
      <c r="ABJ82" s="37"/>
      <c r="ABK82" s="37"/>
      <c r="ABL82" s="37"/>
      <c r="ABM82" s="37"/>
      <c r="ABN82" s="37"/>
      <c r="ABO82" s="37"/>
      <c r="ABP82" s="37"/>
      <c r="ABQ82" s="37"/>
      <c r="ABR82" s="37"/>
      <c r="ABS82" s="37"/>
      <c r="ABT82" s="37"/>
      <c r="ABU82" s="37"/>
      <c r="ABV82" s="37"/>
      <c r="ABW82" s="37"/>
      <c r="ABX82" s="37"/>
      <c r="ABY82" s="37"/>
      <c r="ABZ82" s="37"/>
      <c r="ACA82" s="37"/>
      <c r="ACB82" s="37"/>
      <c r="ACC82" s="37"/>
      <c r="ACD82" s="37"/>
      <c r="ACE82" s="37"/>
      <c r="ACF82" s="37"/>
      <c r="ACG82" s="37"/>
      <c r="ACH82" s="37"/>
      <c r="ACI82" s="37"/>
      <c r="ACJ82" s="37"/>
      <c r="ACK82" s="37"/>
      <c r="ACL82" s="37"/>
      <c r="ACM82" s="37"/>
      <c r="ACN82" s="37"/>
      <c r="ACO82" s="37"/>
      <c r="ACP82" s="37"/>
      <c r="ACQ82" s="37"/>
      <c r="ACR82" s="37"/>
      <c r="ACS82" s="37"/>
      <c r="ACT82" s="37"/>
      <c r="ACU82" s="37"/>
      <c r="ACV82" s="37"/>
      <c r="ACW82" s="37"/>
      <c r="ACX82" s="37"/>
      <c r="ACY82" s="37"/>
      <c r="ACZ82" s="37"/>
      <c r="ADA82" s="37"/>
      <c r="ADB82" s="37"/>
      <c r="ADC82" s="37"/>
      <c r="ADD82" s="37"/>
      <c r="ADE82" s="37"/>
      <c r="ADF82" s="37"/>
      <c r="ADG82" s="37"/>
      <c r="ADH82" s="37"/>
      <c r="ADI82" s="37"/>
      <c r="ADJ82" s="37"/>
      <c r="ADK82" s="37"/>
      <c r="ADL82" s="37"/>
      <c r="ADM82" s="37"/>
      <c r="ADN82" s="37"/>
      <c r="ADO82" s="37"/>
      <c r="ADP82" s="37"/>
      <c r="ADQ82" s="37"/>
      <c r="ADR82" s="37"/>
      <c r="ADS82" s="37"/>
      <c r="ADT82" s="37"/>
      <c r="ADU82" s="37"/>
      <c r="ADV82" s="37"/>
      <c r="ADW82" s="37"/>
      <c r="ADX82" s="37"/>
      <c r="ADY82" s="37"/>
      <c r="ADZ82" s="37"/>
      <c r="AEA82" s="37"/>
      <c r="AEB82" s="37"/>
      <c r="AEC82" s="37"/>
      <c r="AED82" s="37"/>
      <c r="AEE82" s="37"/>
      <c r="AEF82" s="37"/>
      <c r="AEG82" s="37"/>
      <c r="AEH82" s="37"/>
      <c r="AEI82" s="37"/>
      <c r="AEJ82" s="37"/>
      <c r="AEK82" s="37"/>
      <c r="AEL82" s="37"/>
      <c r="AEM82" s="37"/>
      <c r="AEN82" s="37"/>
      <c r="AEO82" s="37"/>
      <c r="AEP82" s="37"/>
      <c r="AEQ82" s="37"/>
      <c r="AER82" s="37"/>
      <c r="AES82" s="37"/>
      <c r="AET82" s="37"/>
      <c r="AEU82" s="37"/>
      <c r="AEV82" s="37"/>
      <c r="AEW82" s="37"/>
      <c r="AEX82" s="37"/>
      <c r="AEY82" s="37"/>
      <c r="AEZ82" s="37"/>
      <c r="AFA82" s="37"/>
      <c r="AFB82" s="37"/>
      <c r="AFC82" s="37"/>
      <c r="AFD82" s="37"/>
      <c r="AFE82" s="37"/>
      <c r="AFF82" s="37"/>
      <c r="AFG82" s="37"/>
      <c r="AFH82" s="37"/>
      <c r="AFI82" s="37"/>
      <c r="AFJ82" s="37"/>
      <c r="AFK82" s="37"/>
      <c r="AFL82" s="37"/>
      <c r="AFM82" s="37"/>
      <c r="AFN82" s="37"/>
      <c r="AFO82" s="37"/>
      <c r="AFP82" s="37"/>
      <c r="AFQ82" s="37"/>
      <c r="AFR82" s="37"/>
      <c r="AFS82" s="37"/>
      <c r="AFT82" s="37"/>
      <c r="AFU82" s="37"/>
      <c r="AFV82" s="37"/>
      <c r="AFW82" s="37"/>
      <c r="AFX82" s="37"/>
      <c r="AFY82" s="37"/>
      <c r="AFZ82" s="37"/>
      <c r="AGA82" s="37"/>
      <c r="AGB82" s="37"/>
      <c r="AGC82" s="37"/>
      <c r="AGD82" s="37"/>
      <c r="AGE82" s="37"/>
      <c r="AGF82" s="37"/>
      <c r="AGG82" s="37"/>
      <c r="AGH82" s="37"/>
      <c r="AGI82" s="37"/>
      <c r="AGJ82" s="37"/>
      <c r="AGK82" s="37"/>
      <c r="AGL82" s="37"/>
      <c r="AGM82" s="37"/>
      <c r="AGN82" s="37"/>
      <c r="AGO82" s="37"/>
      <c r="AGP82" s="37"/>
      <c r="AGQ82" s="37"/>
      <c r="AGR82" s="37"/>
      <c r="AGS82" s="37"/>
      <c r="AGT82" s="37"/>
      <c r="AGU82" s="37"/>
      <c r="AGV82" s="37"/>
      <c r="AGW82" s="37"/>
      <c r="AGX82" s="37"/>
      <c r="AGY82" s="37"/>
      <c r="AGZ82" s="37"/>
      <c r="AHA82" s="37"/>
      <c r="AHB82" s="37"/>
      <c r="AHC82" s="37"/>
      <c r="AHD82" s="37"/>
      <c r="AHE82" s="37"/>
      <c r="AHF82" s="37"/>
      <c r="AHG82" s="37"/>
      <c r="AHH82" s="37"/>
      <c r="AHI82" s="37"/>
      <c r="AHJ82" s="37"/>
      <c r="AHK82" s="37"/>
      <c r="AHL82" s="37"/>
      <c r="AHM82" s="37"/>
      <c r="AHN82" s="37"/>
      <c r="AHO82" s="37"/>
      <c r="AHP82" s="37"/>
      <c r="AHQ82" s="37"/>
      <c r="AHR82" s="37"/>
      <c r="AHS82" s="37"/>
      <c r="AHT82" s="37"/>
      <c r="AHU82" s="37"/>
      <c r="AHV82" s="37"/>
      <c r="AHW82" s="37"/>
      <c r="AHX82" s="37"/>
      <c r="AHY82" s="37"/>
      <c r="AHZ82" s="37"/>
      <c r="AIA82" s="37"/>
      <c r="AIB82" s="37"/>
      <c r="AIC82" s="37"/>
      <c r="AID82" s="37"/>
      <c r="AIE82" s="37"/>
      <c r="AIF82" s="37"/>
      <c r="AIG82" s="37"/>
      <c r="AIH82" s="37"/>
      <c r="AII82" s="37"/>
      <c r="AIJ82" s="37"/>
      <c r="AIK82" s="37"/>
      <c r="AIL82" s="37"/>
      <c r="AIM82" s="37"/>
      <c r="AIN82" s="37"/>
      <c r="AIO82" s="37"/>
      <c r="AIP82" s="37"/>
      <c r="AIQ82" s="37"/>
      <c r="AIR82" s="37"/>
      <c r="AIS82" s="37"/>
      <c r="AIT82" s="37"/>
      <c r="AIU82" s="37"/>
      <c r="AIV82" s="37"/>
      <c r="AIW82" s="37"/>
      <c r="AIX82" s="37"/>
      <c r="AIY82" s="37"/>
      <c r="AIZ82" s="37"/>
      <c r="AJA82" s="37"/>
      <c r="AJB82" s="37"/>
      <c r="AJC82" s="37"/>
      <c r="AJD82" s="37"/>
      <c r="AJE82" s="37"/>
      <c r="AJF82" s="37"/>
      <c r="AJG82" s="37"/>
      <c r="AJH82" s="37"/>
      <c r="AJI82" s="37"/>
      <c r="AJJ82" s="37"/>
      <c r="AJK82" s="37"/>
      <c r="AJL82" s="37"/>
      <c r="AJM82" s="37"/>
      <c r="AJN82" s="37"/>
      <c r="AJO82" s="37"/>
      <c r="AJP82" s="37"/>
      <c r="AJQ82" s="37"/>
      <c r="AJR82" s="37"/>
      <c r="AJS82" s="37"/>
      <c r="AJT82" s="37"/>
      <c r="AJU82" s="37"/>
      <c r="AJV82" s="37"/>
      <c r="AJW82" s="37"/>
      <c r="AJX82" s="37"/>
      <c r="AJY82" s="37"/>
      <c r="AJZ82" s="37"/>
      <c r="AKA82" s="37"/>
      <c r="AKB82" s="37"/>
      <c r="AKC82" s="37"/>
      <c r="AKD82" s="37"/>
      <c r="AKE82" s="37"/>
      <c r="AKF82" s="37"/>
      <c r="AKG82" s="37"/>
      <c r="AKH82" s="37"/>
      <c r="AKI82" s="37"/>
      <c r="AKJ82" s="37"/>
      <c r="AKK82" s="37"/>
      <c r="AKL82" s="37"/>
      <c r="AKM82" s="37"/>
      <c r="AKN82" s="37"/>
      <c r="AKO82" s="37"/>
      <c r="AKP82" s="37"/>
      <c r="AKQ82" s="37"/>
      <c r="AKR82" s="37"/>
      <c r="AKS82" s="37"/>
      <c r="AKT82" s="37"/>
      <c r="AKU82" s="37"/>
      <c r="AKV82" s="37"/>
      <c r="AKW82" s="37"/>
      <c r="AKX82" s="37"/>
      <c r="AKY82" s="37"/>
      <c r="AKZ82" s="37"/>
      <c r="ALA82" s="37"/>
      <c r="ALB82" s="37"/>
      <c r="ALC82" s="37"/>
      <c r="ALD82" s="37"/>
      <c r="ALE82" s="37"/>
      <c r="ALF82" s="37"/>
      <c r="ALG82" s="37"/>
      <c r="ALH82" s="37"/>
      <c r="ALI82" s="37"/>
      <c r="ALJ82" s="37"/>
      <c r="ALK82" s="37"/>
      <c r="ALL82" s="37"/>
      <c r="ALM82" s="37"/>
      <c r="ALN82" s="37"/>
      <c r="ALO82" s="37"/>
      <c r="ALP82" s="37"/>
      <c r="ALQ82" s="37"/>
      <c r="ALR82" s="37"/>
      <c r="ALS82" s="37"/>
      <c r="ALT82" s="37"/>
      <c r="ALU82" s="37"/>
      <c r="ALV82" s="37"/>
      <c r="ALW82" s="37"/>
      <c r="ALX82" s="37"/>
      <c r="ALY82" s="37"/>
      <c r="ALZ82" s="37"/>
      <c r="AMA82" s="37"/>
      <c r="AMB82" s="37"/>
      <c r="AMC82" s="37"/>
    </row>
    <row r="83" spans="1:1017" s="38" customFormat="1" ht="19.5" customHeight="1">
      <c r="A83" s="26" t="s">
        <v>136</v>
      </c>
      <c r="B83" s="25" t="s">
        <v>131</v>
      </c>
      <c r="C83" s="26" t="s">
        <v>46</v>
      </c>
      <c r="D83" s="26" t="s">
        <v>32</v>
      </c>
      <c r="E83" s="26" t="s">
        <v>261</v>
      </c>
      <c r="F83" s="26">
        <v>43</v>
      </c>
      <c r="G83" s="26" t="s">
        <v>33</v>
      </c>
      <c r="H83" s="26">
        <v>54</v>
      </c>
      <c r="I83" s="36">
        <v>46</v>
      </c>
      <c r="J83" s="36">
        <v>26</v>
      </c>
      <c r="K83" s="36">
        <v>20</v>
      </c>
      <c r="L83" s="36">
        <v>32</v>
      </c>
      <c r="M83" s="36">
        <v>31</v>
      </c>
      <c r="N83" s="36">
        <v>32</v>
      </c>
      <c r="O83" s="36">
        <v>75</v>
      </c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  <c r="OU83" s="37"/>
      <c r="OV83" s="37"/>
      <c r="OW83" s="37"/>
      <c r="OX83" s="37"/>
      <c r="OY83" s="37"/>
      <c r="OZ83" s="37"/>
      <c r="PA83" s="37"/>
      <c r="PB83" s="37"/>
      <c r="PC83" s="37"/>
      <c r="PD83" s="37"/>
      <c r="PE83" s="37"/>
      <c r="PF83" s="37"/>
      <c r="PG83" s="37"/>
      <c r="PH83" s="37"/>
      <c r="PI83" s="37"/>
      <c r="PJ83" s="37"/>
      <c r="PK83" s="37"/>
      <c r="PL83" s="37"/>
      <c r="PM83" s="37"/>
      <c r="PN83" s="37"/>
      <c r="PO83" s="37"/>
      <c r="PP83" s="37"/>
      <c r="PQ83" s="37"/>
      <c r="PR83" s="37"/>
      <c r="PS83" s="37"/>
      <c r="PT83" s="37"/>
      <c r="PU83" s="37"/>
      <c r="PV83" s="37"/>
      <c r="PW83" s="37"/>
      <c r="PX83" s="37"/>
      <c r="PY83" s="37"/>
      <c r="PZ83" s="37"/>
      <c r="QA83" s="37"/>
      <c r="QB83" s="37"/>
      <c r="QC83" s="37"/>
      <c r="QD83" s="37"/>
      <c r="QE83" s="37"/>
      <c r="QF83" s="37"/>
      <c r="QG83" s="37"/>
      <c r="QH83" s="37"/>
      <c r="QI83" s="37"/>
      <c r="QJ83" s="37"/>
      <c r="QK83" s="37"/>
      <c r="QL83" s="37"/>
      <c r="QM83" s="37"/>
      <c r="QN83" s="37"/>
      <c r="QO83" s="37"/>
      <c r="QP83" s="37"/>
      <c r="QQ83" s="37"/>
      <c r="QR83" s="37"/>
      <c r="QS83" s="37"/>
      <c r="QT83" s="37"/>
      <c r="QU83" s="37"/>
      <c r="QV83" s="37"/>
      <c r="QW83" s="37"/>
      <c r="QX83" s="37"/>
      <c r="QY83" s="37"/>
      <c r="QZ83" s="37"/>
      <c r="RA83" s="37"/>
      <c r="RB83" s="37"/>
      <c r="RC83" s="37"/>
      <c r="RD83" s="37"/>
      <c r="RE83" s="37"/>
      <c r="RF83" s="37"/>
      <c r="RG83" s="37"/>
      <c r="RH83" s="37"/>
      <c r="RI83" s="37"/>
      <c r="RJ83" s="37"/>
      <c r="RK83" s="37"/>
      <c r="RL83" s="37"/>
      <c r="RM83" s="37"/>
      <c r="RN83" s="37"/>
      <c r="RO83" s="37"/>
      <c r="RP83" s="37"/>
      <c r="RQ83" s="37"/>
      <c r="RR83" s="37"/>
      <c r="RS83" s="37"/>
      <c r="RT83" s="37"/>
      <c r="RU83" s="37"/>
      <c r="RV83" s="37"/>
      <c r="RW83" s="37"/>
      <c r="RX83" s="37"/>
      <c r="RY83" s="37"/>
      <c r="RZ83" s="37"/>
      <c r="SA83" s="37"/>
      <c r="SB83" s="37"/>
      <c r="SC83" s="37"/>
      <c r="SD83" s="37"/>
      <c r="SE83" s="37"/>
      <c r="SF83" s="37"/>
      <c r="SG83" s="37"/>
      <c r="SH83" s="37"/>
      <c r="SI83" s="37"/>
      <c r="SJ83" s="37"/>
      <c r="SK83" s="37"/>
      <c r="SL83" s="37"/>
      <c r="SM83" s="37"/>
      <c r="SN83" s="37"/>
      <c r="SO83" s="37"/>
      <c r="SP83" s="37"/>
      <c r="SQ83" s="37"/>
      <c r="SR83" s="37"/>
      <c r="SS83" s="37"/>
      <c r="ST83" s="37"/>
      <c r="SU83" s="37"/>
      <c r="SV83" s="37"/>
      <c r="SW83" s="37"/>
      <c r="SX83" s="37"/>
      <c r="SY83" s="37"/>
      <c r="SZ83" s="37"/>
      <c r="TA83" s="37"/>
      <c r="TB83" s="37"/>
      <c r="TC83" s="37"/>
      <c r="TD83" s="37"/>
      <c r="TE83" s="37"/>
      <c r="TF83" s="37"/>
      <c r="TG83" s="37"/>
      <c r="TH83" s="37"/>
      <c r="TI83" s="37"/>
      <c r="TJ83" s="37"/>
      <c r="TK83" s="37"/>
      <c r="TL83" s="37"/>
      <c r="TM83" s="37"/>
      <c r="TN83" s="37"/>
      <c r="TO83" s="37"/>
      <c r="TP83" s="37"/>
      <c r="TQ83" s="37"/>
      <c r="TR83" s="37"/>
      <c r="TS83" s="37"/>
      <c r="TT83" s="37"/>
      <c r="TU83" s="37"/>
      <c r="TV83" s="37"/>
      <c r="TW83" s="37"/>
      <c r="TX83" s="37"/>
      <c r="TY83" s="37"/>
      <c r="TZ83" s="37"/>
      <c r="UA83" s="37"/>
      <c r="UB83" s="37"/>
      <c r="UC83" s="37"/>
      <c r="UD83" s="37"/>
      <c r="UE83" s="37"/>
      <c r="UF83" s="37"/>
      <c r="UG83" s="37"/>
      <c r="UH83" s="37"/>
      <c r="UI83" s="37"/>
      <c r="UJ83" s="37"/>
      <c r="UK83" s="37"/>
      <c r="UL83" s="37"/>
      <c r="UM83" s="37"/>
      <c r="UN83" s="37"/>
      <c r="UO83" s="37"/>
      <c r="UP83" s="37"/>
      <c r="UQ83" s="37"/>
      <c r="UR83" s="37"/>
      <c r="US83" s="37"/>
      <c r="UT83" s="37"/>
      <c r="UU83" s="37"/>
      <c r="UV83" s="37"/>
      <c r="UW83" s="37"/>
      <c r="UX83" s="37"/>
      <c r="UY83" s="37"/>
      <c r="UZ83" s="37"/>
      <c r="VA83" s="37"/>
      <c r="VB83" s="37"/>
      <c r="VC83" s="37"/>
      <c r="VD83" s="37"/>
      <c r="VE83" s="37"/>
      <c r="VF83" s="37"/>
      <c r="VG83" s="37"/>
      <c r="VH83" s="37"/>
      <c r="VI83" s="37"/>
      <c r="VJ83" s="37"/>
      <c r="VK83" s="37"/>
      <c r="VL83" s="37"/>
      <c r="VM83" s="37"/>
      <c r="VN83" s="37"/>
      <c r="VO83" s="37"/>
      <c r="VP83" s="37"/>
      <c r="VQ83" s="37"/>
      <c r="VR83" s="37"/>
      <c r="VS83" s="37"/>
      <c r="VT83" s="37"/>
      <c r="VU83" s="37"/>
      <c r="VV83" s="37"/>
      <c r="VW83" s="37"/>
      <c r="VX83" s="37"/>
      <c r="VY83" s="37"/>
      <c r="VZ83" s="37"/>
      <c r="WA83" s="37"/>
      <c r="WB83" s="37"/>
      <c r="WC83" s="37"/>
      <c r="WD83" s="37"/>
      <c r="WE83" s="37"/>
      <c r="WF83" s="37"/>
      <c r="WG83" s="37"/>
      <c r="WH83" s="37"/>
      <c r="WI83" s="37"/>
      <c r="WJ83" s="37"/>
      <c r="WK83" s="37"/>
      <c r="WL83" s="37"/>
      <c r="WM83" s="37"/>
      <c r="WN83" s="37"/>
      <c r="WO83" s="37"/>
      <c r="WP83" s="37"/>
      <c r="WQ83" s="37"/>
      <c r="WR83" s="37"/>
      <c r="WS83" s="37"/>
      <c r="WT83" s="37"/>
      <c r="WU83" s="37"/>
      <c r="WV83" s="37"/>
      <c r="WW83" s="37"/>
      <c r="WX83" s="37"/>
      <c r="WY83" s="37"/>
      <c r="WZ83" s="37"/>
      <c r="XA83" s="37"/>
      <c r="XB83" s="37"/>
      <c r="XC83" s="37"/>
      <c r="XD83" s="37"/>
      <c r="XE83" s="37"/>
      <c r="XF83" s="37"/>
      <c r="XG83" s="37"/>
      <c r="XH83" s="37"/>
      <c r="XI83" s="37"/>
      <c r="XJ83" s="37"/>
      <c r="XK83" s="37"/>
      <c r="XL83" s="37"/>
      <c r="XM83" s="37"/>
      <c r="XN83" s="37"/>
      <c r="XO83" s="37"/>
      <c r="XP83" s="37"/>
      <c r="XQ83" s="37"/>
      <c r="XR83" s="37"/>
      <c r="XS83" s="37"/>
      <c r="XT83" s="37"/>
      <c r="XU83" s="37"/>
      <c r="XV83" s="37"/>
      <c r="XW83" s="37"/>
      <c r="XX83" s="37"/>
      <c r="XY83" s="37"/>
      <c r="XZ83" s="37"/>
      <c r="YA83" s="37"/>
      <c r="YB83" s="37"/>
      <c r="YC83" s="37"/>
      <c r="YD83" s="37"/>
      <c r="YE83" s="37"/>
      <c r="YF83" s="37"/>
      <c r="YG83" s="37"/>
      <c r="YH83" s="37"/>
      <c r="YI83" s="37"/>
      <c r="YJ83" s="37"/>
      <c r="YK83" s="37"/>
      <c r="YL83" s="37"/>
      <c r="YM83" s="37"/>
      <c r="YN83" s="37"/>
      <c r="YO83" s="37"/>
      <c r="YP83" s="37"/>
      <c r="YQ83" s="37"/>
      <c r="YR83" s="37"/>
      <c r="YS83" s="37"/>
      <c r="YT83" s="37"/>
      <c r="YU83" s="37"/>
      <c r="YV83" s="37"/>
      <c r="YW83" s="37"/>
      <c r="YX83" s="37"/>
      <c r="YY83" s="37"/>
      <c r="YZ83" s="37"/>
      <c r="ZA83" s="37"/>
      <c r="ZB83" s="37"/>
      <c r="ZC83" s="37"/>
      <c r="ZD83" s="37"/>
      <c r="ZE83" s="37"/>
      <c r="ZF83" s="37"/>
      <c r="ZG83" s="37"/>
      <c r="ZH83" s="37"/>
      <c r="ZI83" s="37"/>
      <c r="ZJ83" s="37"/>
      <c r="ZK83" s="37"/>
      <c r="ZL83" s="37"/>
      <c r="ZM83" s="37"/>
      <c r="ZN83" s="37"/>
      <c r="ZO83" s="37"/>
      <c r="ZP83" s="37"/>
      <c r="ZQ83" s="37"/>
      <c r="ZR83" s="37"/>
      <c r="ZS83" s="37"/>
      <c r="ZT83" s="37"/>
      <c r="ZU83" s="37"/>
      <c r="ZV83" s="37"/>
      <c r="ZW83" s="37"/>
      <c r="ZX83" s="37"/>
      <c r="ZY83" s="37"/>
      <c r="ZZ83" s="37"/>
      <c r="AAA83" s="37"/>
      <c r="AAB83" s="37"/>
      <c r="AAC83" s="37"/>
      <c r="AAD83" s="37"/>
      <c r="AAE83" s="37"/>
      <c r="AAF83" s="37"/>
      <c r="AAG83" s="37"/>
      <c r="AAH83" s="37"/>
      <c r="AAI83" s="37"/>
      <c r="AAJ83" s="37"/>
      <c r="AAK83" s="37"/>
      <c r="AAL83" s="37"/>
      <c r="AAM83" s="37"/>
      <c r="AAN83" s="37"/>
      <c r="AAO83" s="37"/>
      <c r="AAP83" s="37"/>
      <c r="AAQ83" s="37"/>
      <c r="AAR83" s="37"/>
      <c r="AAS83" s="37"/>
      <c r="AAT83" s="37"/>
      <c r="AAU83" s="37"/>
      <c r="AAV83" s="37"/>
      <c r="AAW83" s="37"/>
      <c r="AAX83" s="37"/>
      <c r="AAY83" s="37"/>
      <c r="AAZ83" s="37"/>
      <c r="ABA83" s="37"/>
      <c r="ABB83" s="37"/>
      <c r="ABC83" s="37"/>
      <c r="ABD83" s="37"/>
      <c r="ABE83" s="37"/>
      <c r="ABF83" s="37"/>
      <c r="ABG83" s="37"/>
      <c r="ABH83" s="37"/>
      <c r="ABI83" s="37"/>
      <c r="ABJ83" s="37"/>
      <c r="ABK83" s="37"/>
      <c r="ABL83" s="37"/>
      <c r="ABM83" s="37"/>
      <c r="ABN83" s="37"/>
      <c r="ABO83" s="37"/>
      <c r="ABP83" s="37"/>
      <c r="ABQ83" s="37"/>
      <c r="ABR83" s="37"/>
      <c r="ABS83" s="37"/>
      <c r="ABT83" s="37"/>
      <c r="ABU83" s="37"/>
      <c r="ABV83" s="37"/>
      <c r="ABW83" s="37"/>
      <c r="ABX83" s="37"/>
      <c r="ABY83" s="37"/>
      <c r="ABZ83" s="37"/>
      <c r="ACA83" s="37"/>
      <c r="ACB83" s="37"/>
      <c r="ACC83" s="37"/>
      <c r="ACD83" s="37"/>
      <c r="ACE83" s="37"/>
      <c r="ACF83" s="37"/>
      <c r="ACG83" s="37"/>
      <c r="ACH83" s="37"/>
      <c r="ACI83" s="37"/>
      <c r="ACJ83" s="37"/>
      <c r="ACK83" s="37"/>
      <c r="ACL83" s="37"/>
      <c r="ACM83" s="37"/>
      <c r="ACN83" s="37"/>
      <c r="ACO83" s="37"/>
      <c r="ACP83" s="37"/>
      <c r="ACQ83" s="37"/>
      <c r="ACR83" s="37"/>
      <c r="ACS83" s="37"/>
      <c r="ACT83" s="37"/>
      <c r="ACU83" s="37"/>
      <c r="ACV83" s="37"/>
      <c r="ACW83" s="37"/>
      <c r="ACX83" s="37"/>
      <c r="ACY83" s="37"/>
      <c r="ACZ83" s="37"/>
      <c r="ADA83" s="37"/>
      <c r="ADB83" s="37"/>
      <c r="ADC83" s="37"/>
      <c r="ADD83" s="37"/>
      <c r="ADE83" s="37"/>
      <c r="ADF83" s="37"/>
      <c r="ADG83" s="37"/>
      <c r="ADH83" s="37"/>
      <c r="ADI83" s="37"/>
      <c r="ADJ83" s="37"/>
      <c r="ADK83" s="37"/>
      <c r="ADL83" s="37"/>
      <c r="ADM83" s="37"/>
      <c r="ADN83" s="37"/>
      <c r="ADO83" s="37"/>
      <c r="ADP83" s="37"/>
      <c r="ADQ83" s="37"/>
      <c r="ADR83" s="37"/>
      <c r="ADS83" s="37"/>
      <c r="ADT83" s="37"/>
      <c r="ADU83" s="37"/>
      <c r="ADV83" s="37"/>
      <c r="ADW83" s="37"/>
      <c r="ADX83" s="37"/>
      <c r="ADY83" s="37"/>
      <c r="ADZ83" s="37"/>
      <c r="AEA83" s="37"/>
      <c r="AEB83" s="37"/>
      <c r="AEC83" s="37"/>
      <c r="AED83" s="37"/>
      <c r="AEE83" s="37"/>
      <c r="AEF83" s="37"/>
      <c r="AEG83" s="37"/>
      <c r="AEH83" s="37"/>
      <c r="AEI83" s="37"/>
      <c r="AEJ83" s="37"/>
      <c r="AEK83" s="37"/>
      <c r="AEL83" s="37"/>
      <c r="AEM83" s="37"/>
      <c r="AEN83" s="37"/>
      <c r="AEO83" s="37"/>
      <c r="AEP83" s="37"/>
      <c r="AEQ83" s="37"/>
      <c r="AER83" s="37"/>
      <c r="AES83" s="37"/>
      <c r="AET83" s="37"/>
      <c r="AEU83" s="37"/>
      <c r="AEV83" s="37"/>
      <c r="AEW83" s="37"/>
      <c r="AEX83" s="37"/>
      <c r="AEY83" s="37"/>
      <c r="AEZ83" s="37"/>
      <c r="AFA83" s="37"/>
      <c r="AFB83" s="37"/>
      <c r="AFC83" s="37"/>
      <c r="AFD83" s="37"/>
      <c r="AFE83" s="37"/>
      <c r="AFF83" s="37"/>
      <c r="AFG83" s="37"/>
      <c r="AFH83" s="37"/>
      <c r="AFI83" s="37"/>
      <c r="AFJ83" s="37"/>
      <c r="AFK83" s="37"/>
      <c r="AFL83" s="37"/>
      <c r="AFM83" s="37"/>
      <c r="AFN83" s="37"/>
      <c r="AFO83" s="37"/>
      <c r="AFP83" s="37"/>
      <c r="AFQ83" s="37"/>
      <c r="AFR83" s="37"/>
      <c r="AFS83" s="37"/>
      <c r="AFT83" s="37"/>
      <c r="AFU83" s="37"/>
      <c r="AFV83" s="37"/>
      <c r="AFW83" s="37"/>
      <c r="AFX83" s="37"/>
      <c r="AFY83" s="37"/>
      <c r="AFZ83" s="37"/>
      <c r="AGA83" s="37"/>
      <c r="AGB83" s="37"/>
      <c r="AGC83" s="37"/>
      <c r="AGD83" s="37"/>
      <c r="AGE83" s="37"/>
      <c r="AGF83" s="37"/>
      <c r="AGG83" s="37"/>
      <c r="AGH83" s="37"/>
      <c r="AGI83" s="37"/>
      <c r="AGJ83" s="37"/>
      <c r="AGK83" s="37"/>
      <c r="AGL83" s="37"/>
      <c r="AGM83" s="37"/>
      <c r="AGN83" s="37"/>
      <c r="AGO83" s="37"/>
      <c r="AGP83" s="37"/>
      <c r="AGQ83" s="37"/>
      <c r="AGR83" s="37"/>
      <c r="AGS83" s="37"/>
      <c r="AGT83" s="37"/>
      <c r="AGU83" s="37"/>
      <c r="AGV83" s="37"/>
      <c r="AGW83" s="37"/>
      <c r="AGX83" s="37"/>
      <c r="AGY83" s="37"/>
      <c r="AGZ83" s="37"/>
      <c r="AHA83" s="37"/>
      <c r="AHB83" s="37"/>
      <c r="AHC83" s="37"/>
      <c r="AHD83" s="37"/>
      <c r="AHE83" s="37"/>
      <c r="AHF83" s="37"/>
      <c r="AHG83" s="37"/>
      <c r="AHH83" s="37"/>
      <c r="AHI83" s="37"/>
      <c r="AHJ83" s="37"/>
      <c r="AHK83" s="37"/>
      <c r="AHL83" s="37"/>
      <c r="AHM83" s="37"/>
      <c r="AHN83" s="37"/>
      <c r="AHO83" s="37"/>
      <c r="AHP83" s="37"/>
      <c r="AHQ83" s="37"/>
      <c r="AHR83" s="37"/>
      <c r="AHS83" s="37"/>
      <c r="AHT83" s="37"/>
      <c r="AHU83" s="37"/>
      <c r="AHV83" s="37"/>
      <c r="AHW83" s="37"/>
      <c r="AHX83" s="37"/>
      <c r="AHY83" s="37"/>
      <c r="AHZ83" s="37"/>
      <c r="AIA83" s="37"/>
      <c r="AIB83" s="37"/>
      <c r="AIC83" s="37"/>
      <c r="AID83" s="37"/>
      <c r="AIE83" s="37"/>
      <c r="AIF83" s="37"/>
      <c r="AIG83" s="37"/>
      <c r="AIH83" s="37"/>
      <c r="AII83" s="37"/>
      <c r="AIJ83" s="37"/>
      <c r="AIK83" s="37"/>
      <c r="AIL83" s="37"/>
      <c r="AIM83" s="37"/>
      <c r="AIN83" s="37"/>
      <c r="AIO83" s="37"/>
      <c r="AIP83" s="37"/>
      <c r="AIQ83" s="37"/>
      <c r="AIR83" s="37"/>
      <c r="AIS83" s="37"/>
      <c r="AIT83" s="37"/>
      <c r="AIU83" s="37"/>
      <c r="AIV83" s="37"/>
      <c r="AIW83" s="37"/>
      <c r="AIX83" s="37"/>
      <c r="AIY83" s="37"/>
      <c r="AIZ83" s="37"/>
      <c r="AJA83" s="37"/>
      <c r="AJB83" s="37"/>
      <c r="AJC83" s="37"/>
      <c r="AJD83" s="37"/>
      <c r="AJE83" s="37"/>
      <c r="AJF83" s="37"/>
      <c r="AJG83" s="37"/>
      <c r="AJH83" s="37"/>
      <c r="AJI83" s="37"/>
      <c r="AJJ83" s="37"/>
      <c r="AJK83" s="37"/>
      <c r="AJL83" s="37"/>
      <c r="AJM83" s="37"/>
      <c r="AJN83" s="37"/>
      <c r="AJO83" s="37"/>
      <c r="AJP83" s="37"/>
      <c r="AJQ83" s="37"/>
      <c r="AJR83" s="37"/>
      <c r="AJS83" s="37"/>
      <c r="AJT83" s="37"/>
      <c r="AJU83" s="37"/>
      <c r="AJV83" s="37"/>
      <c r="AJW83" s="37"/>
      <c r="AJX83" s="37"/>
      <c r="AJY83" s="37"/>
      <c r="AJZ83" s="37"/>
      <c r="AKA83" s="37"/>
      <c r="AKB83" s="37"/>
      <c r="AKC83" s="37"/>
      <c r="AKD83" s="37"/>
      <c r="AKE83" s="37"/>
      <c r="AKF83" s="37"/>
      <c r="AKG83" s="37"/>
      <c r="AKH83" s="37"/>
      <c r="AKI83" s="37"/>
      <c r="AKJ83" s="37"/>
      <c r="AKK83" s="37"/>
      <c r="AKL83" s="37"/>
      <c r="AKM83" s="37"/>
      <c r="AKN83" s="37"/>
      <c r="AKO83" s="37"/>
      <c r="AKP83" s="37"/>
      <c r="AKQ83" s="37"/>
      <c r="AKR83" s="37"/>
      <c r="AKS83" s="37"/>
      <c r="AKT83" s="37"/>
      <c r="AKU83" s="37"/>
      <c r="AKV83" s="37"/>
      <c r="AKW83" s="37"/>
      <c r="AKX83" s="37"/>
      <c r="AKY83" s="37"/>
      <c r="AKZ83" s="37"/>
      <c r="ALA83" s="37"/>
      <c r="ALB83" s="37"/>
      <c r="ALC83" s="37"/>
      <c r="ALD83" s="37"/>
      <c r="ALE83" s="37"/>
      <c r="ALF83" s="37"/>
      <c r="ALG83" s="37"/>
      <c r="ALH83" s="37"/>
      <c r="ALI83" s="37"/>
      <c r="ALJ83" s="37"/>
      <c r="ALK83" s="37"/>
      <c r="ALL83" s="37"/>
      <c r="ALM83" s="37"/>
      <c r="ALN83" s="37"/>
      <c r="ALO83" s="37"/>
      <c r="ALP83" s="37"/>
      <c r="ALQ83" s="37"/>
      <c r="ALR83" s="37"/>
      <c r="ALS83" s="37"/>
      <c r="ALT83" s="37"/>
      <c r="ALU83" s="37"/>
      <c r="ALV83" s="37"/>
      <c r="ALW83" s="37"/>
      <c r="ALX83" s="37"/>
      <c r="ALY83" s="37"/>
      <c r="ALZ83" s="37"/>
      <c r="AMA83" s="37"/>
      <c r="AMB83" s="37"/>
      <c r="AMC83" s="37"/>
    </row>
    <row r="84" spans="1:1017" s="38" customFormat="1" ht="19.5" customHeight="1">
      <c r="A84" s="72"/>
      <c r="B84" s="73"/>
      <c r="C84" s="72"/>
      <c r="D84" s="72"/>
      <c r="E84" s="72"/>
      <c r="F84" s="72"/>
      <c r="G84" s="35">
        <v>43</v>
      </c>
      <c r="H84" s="35">
        <v>100</v>
      </c>
      <c r="I84" s="35">
        <v>112</v>
      </c>
      <c r="J84" s="35">
        <v>76</v>
      </c>
      <c r="K84" s="35">
        <v>37</v>
      </c>
      <c r="L84" s="35">
        <v>28</v>
      </c>
      <c r="M84" s="35">
        <v>22</v>
      </c>
      <c r="N84" s="35">
        <v>102</v>
      </c>
      <c r="O84" s="74">
        <v>4</v>
      </c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  <c r="OU84" s="37"/>
      <c r="OV84" s="37"/>
      <c r="OW84" s="37"/>
      <c r="OX84" s="37"/>
      <c r="OY84" s="37"/>
      <c r="OZ84" s="37"/>
      <c r="PA84" s="37"/>
      <c r="PB84" s="37"/>
      <c r="PC84" s="37"/>
      <c r="PD84" s="37"/>
      <c r="PE84" s="37"/>
      <c r="PF84" s="37"/>
      <c r="PG84" s="37"/>
      <c r="PH84" s="37"/>
      <c r="PI84" s="37"/>
      <c r="PJ84" s="37"/>
      <c r="PK84" s="37"/>
      <c r="PL84" s="37"/>
      <c r="PM84" s="37"/>
      <c r="PN84" s="37"/>
      <c r="PO84" s="37"/>
      <c r="PP84" s="37"/>
      <c r="PQ84" s="37"/>
      <c r="PR84" s="37"/>
      <c r="PS84" s="37"/>
      <c r="PT84" s="37"/>
      <c r="PU84" s="37"/>
      <c r="PV84" s="37"/>
      <c r="PW84" s="37"/>
      <c r="PX84" s="37"/>
      <c r="PY84" s="37"/>
      <c r="PZ84" s="37"/>
      <c r="QA84" s="37"/>
      <c r="QB84" s="37"/>
      <c r="QC84" s="37"/>
      <c r="QD84" s="37"/>
      <c r="QE84" s="37"/>
      <c r="QF84" s="37"/>
      <c r="QG84" s="37"/>
      <c r="QH84" s="37"/>
      <c r="QI84" s="37"/>
      <c r="QJ84" s="37"/>
      <c r="QK84" s="37"/>
      <c r="QL84" s="37"/>
      <c r="QM84" s="37"/>
      <c r="QN84" s="37"/>
      <c r="QO84" s="37"/>
      <c r="QP84" s="37"/>
      <c r="QQ84" s="37"/>
      <c r="QR84" s="37"/>
      <c r="QS84" s="37"/>
      <c r="QT84" s="37"/>
      <c r="QU84" s="37"/>
      <c r="QV84" s="37"/>
      <c r="QW84" s="37"/>
      <c r="QX84" s="37"/>
      <c r="QY84" s="37"/>
      <c r="QZ84" s="37"/>
      <c r="RA84" s="37"/>
      <c r="RB84" s="37"/>
      <c r="RC84" s="37"/>
      <c r="RD84" s="37"/>
      <c r="RE84" s="37"/>
      <c r="RF84" s="37"/>
      <c r="RG84" s="37"/>
      <c r="RH84" s="37"/>
      <c r="RI84" s="37"/>
      <c r="RJ84" s="37"/>
      <c r="RK84" s="37"/>
      <c r="RL84" s="37"/>
      <c r="RM84" s="37"/>
      <c r="RN84" s="37"/>
      <c r="RO84" s="37"/>
      <c r="RP84" s="37"/>
      <c r="RQ84" s="37"/>
      <c r="RR84" s="37"/>
      <c r="RS84" s="37"/>
      <c r="RT84" s="37"/>
      <c r="RU84" s="37"/>
      <c r="RV84" s="37"/>
      <c r="RW84" s="37"/>
      <c r="RX84" s="37"/>
      <c r="RY84" s="37"/>
      <c r="RZ84" s="37"/>
      <c r="SA84" s="37"/>
      <c r="SB84" s="37"/>
      <c r="SC84" s="37"/>
      <c r="SD84" s="37"/>
      <c r="SE84" s="37"/>
      <c r="SF84" s="37"/>
      <c r="SG84" s="37"/>
      <c r="SH84" s="37"/>
      <c r="SI84" s="37"/>
      <c r="SJ84" s="37"/>
      <c r="SK84" s="37"/>
      <c r="SL84" s="37"/>
      <c r="SM84" s="37"/>
      <c r="SN84" s="37"/>
      <c r="SO84" s="37"/>
      <c r="SP84" s="37"/>
      <c r="SQ84" s="37"/>
      <c r="SR84" s="37"/>
      <c r="SS84" s="37"/>
      <c r="ST84" s="37"/>
      <c r="SU84" s="37"/>
      <c r="SV84" s="37"/>
      <c r="SW84" s="37"/>
      <c r="SX84" s="37"/>
      <c r="SY84" s="37"/>
      <c r="SZ84" s="37"/>
      <c r="TA84" s="37"/>
      <c r="TB84" s="37"/>
      <c r="TC84" s="37"/>
      <c r="TD84" s="37"/>
      <c r="TE84" s="37"/>
      <c r="TF84" s="37"/>
      <c r="TG84" s="37"/>
      <c r="TH84" s="37"/>
      <c r="TI84" s="37"/>
      <c r="TJ84" s="37"/>
      <c r="TK84" s="37"/>
      <c r="TL84" s="37"/>
      <c r="TM84" s="37"/>
      <c r="TN84" s="37"/>
      <c r="TO84" s="37"/>
      <c r="TP84" s="37"/>
      <c r="TQ84" s="37"/>
      <c r="TR84" s="37"/>
      <c r="TS84" s="37"/>
      <c r="TT84" s="37"/>
      <c r="TU84" s="37"/>
      <c r="TV84" s="37"/>
      <c r="TW84" s="37"/>
      <c r="TX84" s="37"/>
      <c r="TY84" s="37"/>
      <c r="TZ84" s="37"/>
      <c r="UA84" s="37"/>
      <c r="UB84" s="37"/>
      <c r="UC84" s="37"/>
      <c r="UD84" s="37"/>
      <c r="UE84" s="37"/>
      <c r="UF84" s="37"/>
      <c r="UG84" s="37"/>
      <c r="UH84" s="37"/>
      <c r="UI84" s="37"/>
      <c r="UJ84" s="37"/>
      <c r="UK84" s="37"/>
      <c r="UL84" s="37"/>
      <c r="UM84" s="37"/>
      <c r="UN84" s="37"/>
      <c r="UO84" s="37"/>
      <c r="UP84" s="37"/>
      <c r="UQ84" s="37"/>
      <c r="UR84" s="37"/>
      <c r="US84" s="37"/>
      <c r="UT84" s="37"/>
      <c r="UU84" s="37"/>
      <c r="UV84" s="37"/>
      <c r="UW84" s="37"/>
      <c r="UX84" s="37"/>
      <c r="UY84" s="37"/>
      <c r="UZ84" s="37"/>
      <c r="VA84" s="37"/>
      <c r="VB84" s="37"/>
      <c r="VC84" s="37"/>
      <c r="VD84" s="37"/>
      <c r="VE84" s="37"/>
      <c r="VF84" s="37"/>
      <c r="VG84" s="37"/>
      <c r="VH84" s="37"/>
      <c r="VI84" s="37"/>
      <c r="VJ84" s="37"/>
      <c r="VK84" s="37"/>
      <c r="VL84" s="37"/>
      <c r="VM84" s="37"/>
      <c r="VN84" s="37"/>
      <c r="VO84" s="37"/>
      <c r="VP84" s="37"/>
      <c r="VQ84" s="37"/>
      <c r="VR84" s="37"/>
      <c r="VS84" s="37"/>
      <c r="VT84" s="37"/>
      <c r="VU84" s="37"/>
      <c r="VV84" s="37"/>
      <c r="VW84" s="37"/>
      <c r="VX84" s="37"/>
      <c r="VY84" s="37"/>
      <c r="VZ84" s="37"/>
      <c r="WA84" s="37"/>
      <c r="WB84" s="37"/>
      <c r="WC84" s="37"/>
      <c r="WD84" s="37"/>
      <c r="WE84" s="37"/>
      <c r="WF84" s="37"/>
      <c r="WG84" s="37"/>
      <c r="WH84" s="37"/>
      <c r="WI84" s="37"/>
      <c r="WJ84" s="37"/>
      <c r="WK84" s="37"/>
      <c r="WL84" s="37"/>
      <c r="WM84" s="37"/>
      <c r="WN84" s="37"/>
      <c r="WO84" s="37"/>
      <c r="WP84" s="37"/>
      <c r="WQ84" s="37"/>
      <c r="WR84" s="37"/>
      <c r="WS84" s="37"/>
      <c r="WT84" s="37"/>
      <c r="WU84" s="37"/>
      <c r="WV84" s="37"/>
      <c r="WW84" s="37"/>
      <c r="WX84" s="37"/>
      <c r="WY84" s="37"/>
      <c r="WZ84" s="37"/>
      <c r="XA84" s="37"/>
      <c r="XB84" s="37"/>
      <c r="XC84" s="37"/>
      <c r="XD84" s="37"/>
      <c r="XE84" s="37"/>
      <c r="XF84" s="37"/>
      <c r="XG84" s="37"/>
      <c r="XH84" s="37"/>
      <c r="XI84" s="37"/>
      <c r="XJ84" s="37"/>
      <c r="XK84" s="37"/>
      <c r="XL84" s="37"/>
      <c r="XM84" s="37"/>
      <c r="XN84" s="37"/>
      <c r="XO84" s="37"/>
      <c r="XP84" s="37"/>
      <c r="XQ84" s="37"/>
      <c r="XR84" s="37"/>
      <c r="XS84" s="37"/>
      <c r="XT84" s="37"/>
      <c r="XU84" s="37"/>
      <c r="XV84" s="37"/>
      <c r="XW84" s="37"/>
      <c r="XX84" s="37"/>
      <c r="XY84" s="37"/>
      <c r="XZ84" s="37"/>
      <c r="YA84" s="37"/>
      <c r="YB84" s="37"/>
      <c r="YC84" s="37"/>
      <c r="YD84" s="37"/>
      <c r="YE84" s="37"/>
      <c r="YF84" s="37"/>
      <c r="YG84" s="37"/>
      <c r="YH84" s="37"/>
      <c r="YI84" s="37"/>
      <c r="YJ84" s="37"/>
      <c r="YK84" s="37"/>
      <c r="YL84" s="37"/>
      <c r="YM84" s="37"/>
      <c r="YN84" s="37"/>
      <c r="YO84" s="37"/>
      <c r="YP84" s="37"/>
      <c r="YQ84" s="37"/>
      <c r="YR84" s="37"/>
      <c r="YS84" s="37"/>
      <c r="YT84" s="37"/>
      <c r="YU84" s="37"/>
      <c r="YV84" s="37"/>
      <c r="YW84" s="37"/>
      <c r="YX84" s="37"/>
      <c r="YY84" s="37"/>
      <c r="YZ84" s="37"/>
      <c r="ZA84" s="37"/>
      <c r="ZB84" s="37"/>
      <c r="ZC84" s="37"/>
      <c r="ZD84" s="37"/>
      <c r="ZE84" s="37"/>
      <c r="ZF84" s="37"/>
      <c r="ZG84" s="37"/>
      <c r="ZH84" s="37"/>
      <c r="ZI84" s="37"/>
      <c r="ZJ84" s="37"/>
      <c r="ZK84" s="37"/>
      <c r="ZL84" s="37"/>
      <c r="ZM84" s="37"/>
      <c r="ZN84" s="37"/>
      <c r="ZO84" s="37"/>
      <c r="ZP84" s="37"/>
      <c r="ZQ84" s="37"/>
      <c r="ZR84" s="37"/>
      <c r="ZS84" s="37"/>
      <c r="ZT84" s="37"/>
      <c r="ZU84" s="37"/>
      <c r="ZV84" s="37"/>
      <c r="ZW84" s="37"/>
      <c r="ZX84" s="37"/>
      <c r="ZY84" s="37"/>
      <c r="ZZ84" s="37"/>
      <c r="AAA84" s="37"/>
      <c r="AAB84" s="37"/>
      <c r="AAC84" s="37"/>
      <c r="AAD84" s="37"/>
      <c r="AAE84" s="37"/>
      <c r="AAF84" s="37"/>
      <c r="AAG84" s="37"/>
      <c r="AAH84" s="37"/>
      <c r="AAI84" s="37"/>
      <c r="AAJ84" s="37"/>
      <c r="AAK84" s="37"/>
      <c r="AAL84" s="37"/>
      <c r="AAM84" s="37"/>
      <c r="AAN84" s="37"/>
      <c r="AAO84" s="37"/>
      <c r="AAP84" s="37"/>
      <c r="AAQ84" s="37"/>
      <c r="AAR84" s="37"/>
      <c r="AAS84" s="37"/>
      <c r="AAT84" s="37"/>
      <c r="AAU84" s="37"/>
      <c r="AAV84" s="37"/>
      <c r="AAW84" s="37"/>
      <c r="AAX84" s="37"/>
      <c r="AAY84" s="37"/>
      <c r="AAZ84" s="37"/>
      <c r="ABA84" s="37"/>
      <c r="ABB84" s="37"/>
      <c r="ABC84" s="37"/>
      <c r="ABD84" s="37"/>
      <c r="ABE84" s="37"/>
      <c r="ABF84" s="37"/>
      <c r="ABG84" s="37"/>
      <c r="ABH84" s="37"/>
      <c r="ABI84" s="37"/>
      <c r="ABJ84" s="37"/>
      <c r="ABK84" s="37"/>
      <c r="ABL84" s="37"/>
      <c r="ABM84" s="37"/>
      <c r="ABN84" s="37"/>
      <c r="ABO84" s="37"/>
      <c r="ABP84" s="37"/>
      <c r="ABQ84" s="37"/>
      <c r="ABR84" s="37"/>
      <c r="ABS84" s="37"/>
      <c r="ABT84" s="37"/>
      <c r="ABU84" s="37"/>
      <c r="ABV84" s="37"/>
      <c r="ABW84" s="37"/>
      <c r="ABX84" s="37"/>
      <c r="ABY84" s="37"/>
      <c r="ABZ84" s="37"/>
      <c r="ACA84" s="37"/>
      <c r="ACB84" s="37"/>
      <c r="ACC84" s="37"/>
      <c r="ACD84" s="37"/>
      <c r="ACE84" s="37"/>
      <c r="ACF84" s="37"/>
      <c r="ACG84" s="37"/>
      <c r="ACH84" s="37"/>
      <c r="ACI84" s="37"/>
      <c r="ACJ84" s="37"/>
      <c r="ACK84" s="37"/>
      <c r="ACL84" s="37"/>
      <c r="ACM84" s="37"/>
      <c r="ACN84" s="37"/>
      <c r="ACO84" s="37"/>
      <c r="ACP84" s="37"/>
      <c r="ACQ84" s="37"/>
      <c r="ACR84" s="37"/>
      <c r="ACS84" s="37"/>
      <c r="ACT84" s="37"/>
      <c r="ACU84" s="37"/>
      <c r="ACV84" s="37"/>
      <c r="ACW84" s="37"/>
      <c r="ACX84" s="37"/>
      <c r="ACY84" s="37"/>
      <c r="ACZ84" s="37"/>
      <c r="ADA84" s="37"/>
      <c r="ADB84" s="37"/>
      <c r="ADC84" s="37"/>
      <c r="ADD84" s="37"/>
      <c r="ADE84" s="37"/>
      <c r="ADF84" s="37"/>
      <c r="ADG84" s="37"/>
      <c r="ADH84" s="37"/>
      <c r="ADI84" s="37"/>
      <c r="ADJ84" s="37"/>
      <c r="ADK84" s="37"/>
      <c r="ADL84" s="37"/>
      <c r="ADM84" s="37"/>
      <c r="ADN84" s="37"/>
      <c r="ADO84" s="37"/>
      <c r="ADP84" s="37"/>
      <c r="ADQ84" s="37"/>
      <c r="ADR84" s="37"/>
      <c r="ADS84" s="37"/>
      <c r="ADT84" s="37"/>
      <c r="ADU84" s="37"/>
      <c r="ADV84" s="37"/>
      <c r="ADW84" s="37"/>
      <c r="ADX84" s="37"/>
      <c r="ADY84" s="37"/>
      <c r="ADZ84" s="37"/>
      <c r="AEA84" s="37"/>
      <c r="AEB84" s="37"/>
      <c r="AEC84" s="37"/>
      <c r="AED84" s="37"/>
      <c r="AEE84" s="37"/>
      <c r="AEF84" s="37"/>
      <c r="AEG84" s="37"/>
      <c r="AEH84" s="37"/>
      <c r="AEI84" s="37"/>
      <c r="AEJ84" s="37"/>
      <c r="AEK84" s="37"/>
      <c r="AEL84" s="37"/>
      <c r="AEM84" s="37"/>
      <c r="AEN84" s="37"/>
      <c r="AEO84" s="37"/>
      <c r="AEP84" s="37"/>
      <c r="AEQ84" s="37"/>
      <c r="AER84" s="37"/>
      <c r="AES84" s="37"/>
      <c r="AET84" s="37"/>
      <c r="AEU84" s="37"/>
      <c r="AEV84" s="37"/>
      <c r="AEW84" s="37"/>
      <c r="AEX84" s="37"/>
      <c r="AEY84" s="37"/>
      <c r="AEZ84" s="37"/>
      <c r="AFA84" s="37"/>
      <c r="AFB84" s="37"/>
      <c r="AFC84" s="37"/>
      <c r="AFD84" s="37"/>
      <c r="AFE84" s="37"/>
      <c r="AFF84" s="37"/>
      <c r="AFG84" s="37"/>
      <c r="AFH84" s="37"/>
      <c r="AFI84" s="37"/>
      <c r="AFJ84" s="37"/>
      <c r="AFK84" s="37"/>
      <c r="AFL84" s="37"/>
      <c r="AFM84" s="37"/>
      <c r="AFN84" s="37"/>
      <c r="AFO84" s="37"/>
      <c r="AFP84" s="37"/>
      <c r="AFQ84" s="37"/>
      <c r="AFR84" s="37"/>
      <c r="AFS84" s="37"/>
      <c r="AFT84" s="37"/>
      <c r="AFU84" s="37"/>
      <c r="AFV84" s="37"/>
      <c r="AFW84" s="37"/>
      <c r="AFX84" s="37"/>
      <c r="AFY84" s="37"/>
      <c r="AFZ84" s="37"/>
      <c r="AGA84" s="37"/>
      <c r="AGB84" s="37"/>
      <c r="AGC84" s="37"/>
      <c r="AGD84" s="37"/>
      <c r="AGE84" s="37"/>
      <c r="AGF84" s="37"/>
      <c r="AGG84" s="37"/>
      <c r="AGH84" s="37"/>
      <c r="AGI84" s="37"/>
      <c r="AGJ84" s="37"/>
      <c r="AGK84" s="37"/>
      <c r="AGL84" s="37"/>
      <c r="AGM84" s="37"/>
      <c r="AGN84" s="37"/>
      <c r="AGO84" s="37"/>
      <c r="AGP84" s="37"/>
      <c r="AGQ84" s="37"/>
      <c r="AGR84" s="37"/>
      <c r="AGS84" s="37"/>
      <c r="AGT84" s="37"/>
      <c r="AGU84" s="37"/>
      <c r="AGV84" s="37"/>
      <c r="AGW84" s="37"/>
      <c r="AGX84" s="37"/>
      <c r="AGY84" s="37"/>
      <c r="AGZ84" s="37"/>
      <c r="AHA84" s="37"/>
      <c r="AHB84" s="37"/>
      <c r="AHC84" s="37"/>
      <c r="AHD84" s="37"/>
      <c r="AHE84" s="37"/>
      <c r="AHF84" s="37"/>
      <c r="AHG84" s="37"/>
      <c r="AHH84" s="37"/>
      <c r="AHI84" s="37"/>
      <c r="AHJ84" s="37"/>
      <c r="AHK84" s="37"/>
      <c r="AHL84" s="37"/>
      <c r="AHM84" s="37"/>
      <c r="AHN84" s="37"/>
      <c r="AHO84" s="37"/>
      <c r="AHP84" s="37"/>
      <c r="AHQ84" s="37"/>
      <c r="AHR84" s="37"/>
      <c r="AHS84" s="37"/>
      <c r="AHT84" s="37"/>
      <c r="AHU84" s="37"/>
      <c r="AHV84" s="37"/>
      <c r="AHW84" s="37"/>
      <c r="AHX84" s="37"/>
      <c r="AHY84" s="37"/>
      <c r="AHZ84" s="37"/>
      <c r="AIA84" s="37"/>
      <c r="AIB84" s="37"/>
      <c r="AIC84" s="37"/>
      <c r="AID84" s="37"/>
      <c r="AIE84" s="37"/>
      <c r="AIF84" s="37"/>
      <c r="AIG84" s="37"/>
      <c r="AIH84" s="37"/>
      <c r="AII84" s="37"/>
      <c r="AIJ84" s="37"/>
      <c r="AIK84" s="37"/>
      <c r="AIL84" s="37"/>
      <c r="AIM84" s="37"/>
      <c r="AIN84" s="37"/>
      <c r="AIO84" s="37"/>
      <c r="AIP84" s="37"/>
      <c r="AIQ84" s="37"/>
      <c r="AIR84" s="37"/>
      <c r="AIS84" s="37"/>
      <c r="AIT84" s="37"/>
      <c r="AIU84" s="37"/>
      <c r="AIV84" s="37"/>
      <c r="AIW84" s="37"/>
      <c r="AIX84" s="37"/>
      <c r="AIY84" s="37"/>
      <c r="AIZ84" s="37"/>
      <c r="AJA84" s="37"/>
      <c r="AJB84" s="37"/>
      <c r="AJC84" s="37"/>
      <c r="AJD84" s="37"/>
      <c r="AJE84" s="37"/>
      <c r="AJF84" s="37"/>
      <c r="AJG84" s="37"/>
      <c r="AJH84" s="37"/>
      <c r="AJI84" s="37"/>
      <c r="AJJ84" s="37"/>
      <c r="AJK84" s="37"/>
      <c r="AJL84" s="37"/>
      <c r="AJM84" s="37"/>
      <c r="AJN84" s="37"/>
      <c r="AJO84" s="37"/>
      <c r="AJP84" s="37"/>
      <c r="AJQ84" s="37"/>
      <c r="AJR84" s="37"/>
      <c r="AJS84" s="37"/>
      <c r="AJT84" s="37"/>
      <c r="AJU84" s="37"/>
      <c r="AJV84" s="37"/>
      <c r="AJW84" s="37"/>
      <c r="AJX84" s="37"/>
      <c r="AJY84" s="37"/>
      <c r="AJZ84" s="37"/>
      <c r="AKA84" s="37"/>
      <c r="AKB84" s="37"/>
      <c r="AKC84" s="37"/>
      <c r="AKD84" s="37"/>
      <c r="AKE84" s="37"/>
      <c r="AKF84" s="37"/>
      <c r="AKG84" s="37"/>
      <c r="AKH84" s="37"/>
      <c r="AKI84" s="37"/>
      <c r="AKJ84" s="37"/>
      <c r="AKK84" s="37"/>
      <c r="AKL84" s="37"/>
      <c r="AKM84" s="37"/>
      <c r="AKN84" s="37"/>
      <c r="AKO84" s="37"/>
      <c r="AKP84" s="37"/>
      <c r="AKQ84" s="37"/>
      <c r="AKR84" s="37"/>
      <c r="AKS84" s="37"/>
      <c r="AKT84" s="37"/>
      <c r="AKU84" s="37"/>
      <c r="AKV84" s="37"/>
      <c r="AKW84" s="37"/>
      <c r="AKX84" s="37"/>
      <c r="AKY84" s="37"/>
      <c r="AKZ84" s="37"/>
      <c r="ALA84" s="37"/>
      <c r="ALB84" s="37"/>
      <c r="ALC84" s="37"/>
      <c r="ALD84" s="37"/>
      <c r="ALE84" s="37"/>
      <c r="ALF84" s="37"/>
      <c r="ALG84" s="37"/>
      <c r="ALH84" s="37"/>
      <c r="ALI84" s="37"/>
      <c r="ALJ84" s="37"/>
      <c r="ALK84" s="37"/>
      <c r="ALL84" s="37"/>
      <c r="ALM84" s="37"/>
      <c r="ALN84" s="37"/>
      <c r="ALO84" s="37"/>
      <c r="ALP84" s="37"/>
      <c r="ALQ84" s="37"/>
      <c r="ALR84" s="37"/>
      <c r="ALS84" s="37"/>
      <c r="ALT84" s="37"/>
      <c r="ALU84" s="37"/>
      <c r="ALV84" s="37"/>
      <c r="ALW84" s="37"/>
      <c r="ALX84" s="37"/>
      <c r="ALY84" s="37"/>
      <c r="ALZ84" s="37"/>
      <c r="AMA84" s="37"/>
      <c r="AMB84" s="37"/>
      <c r="AMC84" s="37"/>
    </row>
    <row r="85" spans="1:1017" s="38" customFormat="1" ht="19.5" customHeight="1">
      <c r="A85" s="75"/>
      <c r="B85" s="76"/>
      <c r="C85" s="75"/>
      <c r="D85" s="75"/>
      <c r="E85" s="75"/>
      <c r="F85" s="75"/>
      <c r="G85" s="77">
        <v>48</v>
      </c>
      <c r="H85" s="77">
        <v>63</v>
      </c>
      <c r="I85" s="77">
        <v>21</v>
      </c>
      <c r="J85" s="77">
        <v>15</v>
      </c>
      <c r="K85" s="77">
        <v>112</v>
      </c>
      <c r="L85" s="77">
        <v>110</v>
      </c>
      <c r="M85" s="77">
        <v>116</v>
      </c>
      <c r="N85" s="77"/>
      <c r="O85" s="7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  <c r="OU85" s="37"/>
      <c r="OV85" s="37"/>
      <c r="OW85" s="37"/>
      <c r="OX85" s="37"/>
      <c r="OY85" s="37"/>
      <c r="OZ85" s="37"/>
      <c r="PA85" s="37"/>
      <c r="PB85" s="37"/>
      <c r="PC85" s="37"/>
      <c r="PD85" s="37"/>
      <c r="PE85" s="37"/>
      <c r="PF85" s="37"/>
      <c r="PG85" s="37"/>
      <c r="PH85" s="37"/>
      <c r="PI85" s="37"/>
      <c r="PJ85" s="37"/>
      <c r="PK85" s="37"/>
      <c r="PL85" s="37"/>
      <c r="PM85" s="37"/>
      <c r="PN85" s="37"/>
      <c r="PO85" s="37"/>
      <c r="PP85" s="37"/>
      <c r="PQ85" s="37"/>
      <c r="PR85" s="37"/>
      <c r="PS85" s="37"/>
      <c r="PT85" s="37"/>
      <c r="PU85" s="37"/>
      <c r="PV85" s="37"/>
      <c r="PW85" s="37"/>
      <c r="PX85" s="37"/>
      <c r="PY85" s="37"/>
      <c r="PZ85" s="37"/>
      <c r="QA85" s="37"/>
      <c r="QB85" s="37"/>
      <c r="QC85" s="37"/>
      <c r="QD85" s="37"/>
      <c r="QE85" s="37"/>
      <c r="QF85" s="37"/>
      <c r="QG85" s="37"/>
      <c r="QH85" s="37"/>
      <c r="QI85" s="37"/>
      <c r="QJ85" s="37"/>
      <c r="QK85" s="37"/>
      <c r="QL85" s="37"/>
      <c r="QM85" s="37"/>
      <c r="QN85" s="37"/>
      <c r="QO85" s="37"/>
      <c r="QP85" s="37"/>
      <c r="QQ85" s="37"/>
      <c r="QR85" s="37"/>
      <c r="QS85" s="37"/>
      <c r="QT85" s="37"/>
      <c r="QU85" s="37"/>
      <c r="QV85" s="37"/>
      <c r="QW85" s="37"/>
      <c r="QX85" s="37"/>
      <c r="QY85" s="37"/>
      <c r="QZ85" s="37"/>
      <c r="RA85" s="37"/>
      <c r="RB85" s="37"/>
      <c r="RC85" s="37"/>
      <c r="RD85" s="37"/>
      <c r="RE85" s="37"/>
      <c r="RF85" s="37"/>
      <c r="RG85" s="37"/>
      <c r="RH85" s="37"/>
      <c r="RI85" s="37"/>
      <c r="RJ85" s="37"/>
      <c r="RK85" s="37"/>
      <c r="RL85" s="37"/>
      <c r="RM85" s="37"/>
      <c r="RN85" s="37"/>
      <c r="RO85" s="37"/>
      <c r="RP85" s="37"/>
      <c r="RQ85" s="37"/>
      <c r="RR85" s="37"/>
      <c r="RS85" s="37"/>
      <c r="RT85" s="37"/>
      <c r="RU85" s="37"/>
      <c r="RV85" s="37"/>
      <c r="RW85" s="37"/>
      <c r="RX85" s="37"/>
      <c r="RY85" s="37"/>
      <c r="RZ85" s="37"/>
      <c r="SA85" s="37"/>
      <c r="SB85" s="37"/>
      <c r="SC85" s="37"/>
      <c r="SD85" s="37"/>
      <c r="SE85" s="37"/>
      <c r="SF85" s="37"/>
      <c r="SG85" s="37"/>
      <c r="SH85" s="37"/>
      <c r="SI85" s="37"/>
      <c r="SJ85" s="37"/>
      <c r="SK85" s="37"/>
      <c r="SL85" s="37"/>
      <c r="SM85" s="37"/>
      <c r="SN85" s="37"/>
      <c r="SO85" s="37"/>
      <c r="SP85" s="37"/>
      <c r="SQ85" s="37"/>
      <c r="SR85" s="37"/>
      <c r="SS85" s="37"/>
      <c r="ST85" s="37"/>
      <c r="SU85" s="37"/>
      <c r="SV85" s="37"/>
      <c r="SW85" s="37"/>
      <c r="SX85" s="37"/>
      <c r="SY85" s="37"/>
      <c r="SZ85" s="37"/>
      <c r="TA85" s="37"/>
      <c r="TB85" s="37"/>
      <c r="TC85" s="37"/>
      <c r="TD85" s="37"/>
      <c r="TE85" s="37"/>
      <c r="TF85" s="37"/>
      <c r="TG85" s="37"/>
      <c r="TH85" s="37"/>
      <c r="TI85" s="37"/>
      <c r="TJ85" s="37"/>
      <c r="TK85" s="37"/>
      <c r="TL85" s="37"/>
      <c r="TM85" s="37"/>
      <c r="TN85" s="37"/>
      <c r="TO85" s="37"/>
      <c r="TP85" s="37"/>
      <c r="TQ85" s="37"/>
      <c r="TR85" s="37"/>
      <c r="TS85" s="37"/>
      <c r="TT85" s="37"/>
      <c r="TU85" s="37"/>
      <c r="TV85" s="37"/>
      <c r="TW85" s="37"/>
      <c r="TX85" s="37"/>
      <c r="TY85" s="37"/>
      <c r="TZ85" s="37"/>
      <c r="UA85" s="37"/>
      <c r="UB85" s="37"/>
      <c r="UC85" s="37"/>
      <c r="UD85" s="37"/>
      <c r="UE85" s="37"/>
      <c r="UF85" s="37"/>
      <c r="UG85" s="37"/>
      <c r="UH85" s="37"/>
      <c r="UI85" s="37"/>
      <c r="UJ85" s="37"/>
      <c r="UK85" s="37"/>
      <c r="UL85" s="37"/>
      <c r="UM85" s="37"/>
      <c r="UN85" s="37"/>
      <c r="UO85" s="37"/>
      <c r="UP85" s="37"/>
      <c r="UQ85" s="37"/>
      <c r="UR85" s="37"/>
      <c r="US85" s="37"/>
      <c r="UT85" s="37"/>
      <c r="UU85" s="37"/>
      <c r="UV85" s="37"/>
      <c r="UW85" s="37"/>
      <c r="UX85" s="37"/>
      <c r="UY85" s="37"/>
      <c r="UZ85" s="37"/>
      <c r="VA85" s="37"/>
      <c r="VB85" s="37"/>
      <c r="VC85" s="37"/>
      <c r="VD85" s="37"/>
      <c r="VE85" s="37"/>
      <c r="VF85" s="37"/>
      <c r="VG85" s="37"/>
      <c r="VH85" s="37"/>
      <c r="VI85" s="37"/>
      <c r="VJ85" s="37"/>
      <c r="VK85" s="37"/>
      <c r="VL85" s="37"/>
      <c r="VM85" s="37"/>
      <c r="VN85" s="37"/>
      <c r="VO85" s="37"/>
      <c r="VP85" s="37"/>
      <c r="VQ85" s="37"/>
      <c r="VR85" s="37"/>
      <c r="VS85" s="37"/>
      <c r="VT85" s="37"/>
      <c r="VU85" s="37"/>
      <c r="VV85" s="37"/>
      <c r="VW85" s="37"/>
      <c r="VX85" s="37"/>
      <c r="VY85" s="37"/>
      <c r="VZ85" s="37"/>
      <c r="WA85" s="37"/>
      <c r="WB85" s="37"/>
      <c r="WC85" s="37"/>
      <c r="WD85" s="37"/>
      <c r="WE85" s="37"/>
      <c r="WF85" s="37"/>
      <c r="WG85" s="37"/>
      <c r="WH85" s="37"/>
      <c r="WI85" s="37"/>
      <c r="WJ85" s="37"/>
      <c r="WK85" s="37"/>
      <c r="WL85" s="37"/>
      <c r="WM85" s="37"/>
      <c r="WN85" s="37"/>
      <c r="WO85" s="37"/>
      <c r="WP85" s="37"/>
      <c r="WQ85" s="37"/>
      <c r="WR85" s="37"/>
      <c r="WS85" s="37"/>
      <c r="WT85" s="37"/>
      <c r="WU85" s="37"/>
      <c r="WV85" s="37"/>
      <c r="WW85" s="37"/>
      <c r="WX85" s="37"/>
      <c r="WY85" s="37"/>
      <c r="WZ85" s="37"/>
      <c r="XA85" s="37"/>
      <c r="XB85" s="37"/>
      <c r="XC85" s="37"/>
      <c r="XD85" s="37"/>
      <c r="XE85" s="37"/>
      <c r="XF85" s="37"/>
      <c r="XG85" s="37"/>
      <c r="XH85" s="37"/>
      <c r="XI85" s="37"/>
      <c r="XJ85" s="37"/>
      <c r="XK85" s="37"/>
      <c r="XL85" s="37"/>
      <c r="XM85" s="37"/>
      <c r="XN85" s="37"/>
      <c r="XO85" s="37"/>
      <c r="XP85" s="37"/>
      <c r="XQ85" s="37"/>
      <c r="XR85" s="37"/>
      <c r="XS85" s="37"/>
      <c r="XT85" s="37"/>
      <c r="XU85" s="37"/>
      <c r="XV85" s="37"/>
      <c r="XW85" s="37"/>
      <c r="XX85" s="37"/>
      <c r="XY85" s="37"/>
      <c r="XZ85" s="37"/>
      <c r="YA85" s="37"/>
      <c r="YB85" s="37"/>
      <c r="YC85" s="37"/>
      <c r="YD85" s="37"/>
      <c r="YE85" s="37"/>
      <c r="YF85" s="37"/>
      <c r="YG85" s="37"/>
      <c r="YH85" s="37"/>
      <c r="YI85" s="37"/>
      <c r="YJ85" s="37"/>
      <c r="YK85" s="37"/>
      <c r="YL85" s="37"/>
      <c r="YM85" s="37"/>
      <c r="YN85" s="37"/>
      <c r="YO85" s="37"/>
      <c r="YP85" s="37"/>
      <c r="YQ85" s="37"/>
      <c r="YR85" s="37"/>
      <c r="YS85" s="37"/>
      <c r="YT85" s="37"/>
      <c r="YU85" s="37"/>
      <c r="YV85" s="37"/>
      <c r="YW85" s="37"/>
      <c r="YX85" s="37"/>
      <c r="YY85" s="37"/>
      <c r="YZ85" s="37"/>
      <c r="ZA85" s="37"/>
      <c r="ZB85" s="37"/>
      <c r="ZC85" s="37"/>
      <c r="ZD85" s="37"/>
      <c r="ZE85" s="37"/>
      <c r="ZF85" s="37"/>
      <c r="ZG85" s="37"/>
      <c r="ZH85" s="37"/>
      <c r="ZI85" s="37"/>
      <c r="ZJ85" s="37"/>
      <c r="ZK85" s="37"/>
      <c r="ZL85" s="37"/>
      <c r="ZM85" s="37"/>
      <c r="ZN85" s="37"/>
      <c r="ZO85" s="37"/>
      <c r="ZP85" s="37"/>
      <c r="ZQ85" s="37"/>
      <c r="ZR85" s="37"/>
      <c r="ZS85" s="37"/>
      <c r="ZT85" s="37"/>
      <c r="ZU85" s="37"/>
      <c r="ZV85" s="37"/>
      <c r="ZW85" s="37"/>
      <c r="ZX85" s="37"/>
      <c r="ZY85" s="37"/>
      <c r="ZZ85" s="37"/>
      <c r="AAA85" s="37"/>
      <c r="AAB85" s="37"/>
      <c r="AAC85" s="37"/>
      <c r="AAD85" s="37"/>
      <c r="AAE85" s="37"/>
      <c r="AAF85" s="37"/>
      <c r="AAG85" s="37"/>
      <c r="AAH85" s="37"/>
      <c r="AAI85" s="37"/>
      <c r="AAJ85" s="37"/>
      <c r="AAK85" s="37"/>
      <c r="AAL85" s="37"/>
      <c r="AAM85" s="37"/>
      <c r="AAN85" s="37"/>
      <c r="AAO85" s="37"/>
      <c r="AAP85" s="37"/>
      <c r="AAQ85" s="37"/>
      <c r="AAR85" s="37"/>
      <c r="AAS85" s="37"/>
      <c r="AAT85" s="37"/>
      <c r="AAU85" s="37"/>
      <c r="AAV85" s="37"/>
      <c r="AAW85" s="37"/>
      <c r="AAX85" s="37"/>
      <c r="AAY85" s="37"/>
      <c r="AAZ85" s="37"/>
      <c r="ABA85" s="37"/>
      <c r="ABB85" s="37"/>
      <c r="ABC85" s="37"/>
      <c r="ABD85" s="37"/>
      <c r="ABE85" s="37"/>
      <c r="ABF85" s="37"/>
      <c r="ABG85" s="37"/>
      <c r="ABH85" s="37"/>
      <c r="ABI85" s="37"/>
      <c r="ABJ85" s="37"/>
      <c r="ABK85" s="37"/>
      <c r="ABL85" s="37"/>
      <c r="ABM85" s="37"/>
      <c r="ABN85" s="37"/>
      <c r="ABO85" s="37"/>
      <c r="ABP85" s="37"/>
      <c r="ABQ85" s="37"/>
      <c r="ABR85" s="37"/>
      <c r="ABS85" s="37"/>
      <c r="ABT85" s="37"/>
      <c r="ABU85" s="37"/>
      <c r="ABV85" s="37"/>
      <c r="ABW85" s="37"/>
      <c r="ABX85" s="37"/>
      <c r="ABY85" s="37"/>
      <c r="ABZ85" s="37"/>
      <c r="ACA85" s="37"/>
      <c r="ACB85" s="37"/>
      <c r="ACC85" s="37"/>
      <c r="ACD85" s="37"/>
      <c r="ACE85" s="37"/>
      <c r="ACF85" s="37"/>
      <c r="ACG85" s="37"/>
      <c r="ACH85" s="37"/>
      <c r="ACI85" s="37"/>
      <c r="ACJ85" s="37"/>
      <c r="ACK85" s="37"/>
      <c r="ACL85" s="37"/>
      <c r="ACM85" s="37"/>
      <c r="ACN85" s="37"/>
      <c r="ACO85" s="37"/>
      <c r="ACP85" s="37"/>
      <c r="ACQ85" s="37"/>
      <c r="ACR85" s="37"/>
      <c r="ACS85" s="37"/>
      <c r="ACT85" s="37"/>
      <c r="ACU85" s="37"/>
      <c r="ACV85" s="37"/>
      <c r="ACW85" s="37"/>
      <c r="ACX85" s="37"/>
      <c r="ACY85" s="37"/>
      <c r="ACZ85" s="37"/>
      <c r="ADA85" s="37"/>
      <c r="ADB85" s="37"/>
      <c r="ADC85" s="37"/>
      <c r="ADD85" s="37"/>
      <c r="ADE85" s="37"/>
      <c r="ADF85" s="37"/>
      <c r="ADG85" s="37"/>
      <c r="ADH85" s="37"/>
      <c r="ADI85" s="37"/>
      <c r="ADJ85" s="37"/>
      <c r="ADK85" s="37"/>
      <c r="ADL85" s="37"/>
      <c r="ADM85" s="37"/>
      <c r="ADN85" s="37"/>
      <c r="ADO85" s="37"/>
      <c r="ADP85" s="37"/>
      <c r="ADQ85" s="37"/>
      <c r="ADR85" s="37"/>
      <c r="ADS85" s="37"/>
      <c r="ADT85" s="37"/>
      <c r="ADU85" s="37"/>
      <c r="ADV85" s="37"/>
      <c r="ADW85" s="37"/>
      <c r="ADX85" s="37"/>
      <c r="ADY85" s="37"/>
      <c r="ADZ85" s="37"/>
      <c r="AEA85" s="37"/>
      <c r="AEB85" s="37"/>
      <c r="AEC85" s="37"/>
      <c r="AED85" s="37"/>
      <c r="AEE85" s="37"/>
      <c r="AEF85" s="37"/>
      <c r="AEG85" s="37"/>
      <c r="AEH85" s="37"/>
      <c r="AEI85" s="37"/>
      <c r="AEJ85" s="37"/>
      <c r="AEK85" s="37"/>
      <c r="AEL85" s="37"/>
      <c r="AEM85" s="37"/>
      <c r="AEN85" s="37"/>
      <c r="AEO85" s="37"/>
      <c r="AEP85" s="37"/>
      <c r="AEQ85" s="37"/>
      <c r="AER85" s="37"/>
      <c r="AES85" s="37"/>
      <c r="AET85" s="37"/>
      <c r="AEU85" s="37"/>
      <c r="AEV85" s="37"/>
      <c r="AEW85" s="37"/>
      <c r="AEX85" s="37"/>
      <c r="AEY85" s="37"/>
      <c r="AEZ85" s="37"/>
      <c r="AFA85" s="37"/>
      <c r="AFB85" s="37"/>
      <c r="AFC85" s="37"/>
      <c r="AFD85" s="37"/>
      <c r="AFE85" s="37"/>
      <c r="AFF85" s="37"/>
      <c r="AFG85" s="37"/>
      <c r="AFH85" s="37"/>
      <c r="AFI85" s="37"/>
      <c r="AFJ85" s="37"/>
      <c r="AFK85" s="37"/>
      <c r="AFL85" s="37"/>
      <c r="AFM85" s="37"/>
      <c r="AFN85" s="37"/>
      <c r="AFO85" s="37"/>
      <c r="AFP85" s="37"/>
      <c r="AFQ85" s="37"/>
      <c r="AFR85" s="37"/>
      <c r="AFS85" s="37"/>
      <c r="AFT85" s="37"/>
      <c r="AFU85" s="37"/>
      <c r="AFV85" s="37"/>
      <c r="AFW85" s="37"/>
      <c r="AFX85" s="37"/>
      <c r="AFY85" s="37"/>
      <c r="AFZ85" s="37"/>
      <c r="AGA85" s="37"/>
      <c r="AGB85" s="37"/>
      <c r="AGC85" s="37"/>
      <c r="AGD85" s="37"/>
      <c r="AGE85" s="37"/>
      <c r="AGF85" s="37"/>
      <c r="AGG85" s="37"/>
      <c r="AGH85" s="37"/>
      <c r="AGI85" s="37"/>
      <c r="AGJ85" s="37"/>
      <c r="AGK85" s="37"/>
      <c r="AGL85" s="37"/>
      <c r="AGM85" s="37"/>
      <c r="AGN85" s="37"/>
      <c r="AGO85" s="37"/>
      <c r="AGP85" s="37"/>
      <c r="AGQ85" s="37"/>
      <c r="AGR85" s="37"/>
      <c r="AGS85" s="37"/>
      <c r="AGT85" s="37"/>
      <c r="AGU85" s="37"/>
      <c r="AGV85" s="37"/>
      <c r="AGW85" s="37"/>
      <c r="AGX85" s="37"/>
      <c r="AGY85" s="37"/>
      <c r="AGZ85" s="37"/>
      <c r="AHA85" s="37"/>
      <c r="AHB85" s="37"/>
      <c r="AHC85" s="37"/>
      <c r="AHD85" s="37"/>
      <c r="AHE85" s="37"/>
      <c r="AHF85" s="37"/>
      <c r="AHG85" s="37"/>
      <c r="AHH85" s="37"/>
      <c r="AHI85" s="37"/>
      <c r="AHJ85" s="37"/>
      <c r="AHK85" s="37"/>
      <c r="AHL85" s="37"/>
      <c r="AHM85" s="37"/>
      <c r="AHN85" s="37"/>
      <c r="AHO85" s="37"/>
      <c r="AHP85" s="37"/>
      <c r="AHQ85" s="37"/>
      <c r="AHR85" s="37"/>
      <c r="AHS85" s="37"/>
      <c r="AHT85" s="37"/>
      <c r="AHU85" s="37"/>
      <c r="AHV85" s="37"/>
      <c r="AHW85" s="37"/>
      <c r="AHX85" s="37"/>
      <c r="AHY85" s="37"/>
      <c r="AHZ85" s="37"/>
      <c r="AIA85" s="37"/>
      <c r="AIB85" s="37"/>
      <c r="AIC85" s="37"/>
      <c r="AID85" s="37"/>
      <c r="AIE85" s="37"/>
      <c r="AIF85" s="37"/>
      <c r="AIG85" s="37"/>
      <c r="AIH85" s="37"/>
      <c r="AII85" s="37"/>
      <c r="AIJ85" s="37"/>
      <c r="AIK85" s="37"/>
      <c r="AIL85" s="37"/>
      <c r="AIM85" s="37"/>
      <c r="AIN85" s="37"/>
      <c r="AIO85" s="37"/>
      <c r="AIP85" s="37"/>
      <c r="AIQ85" s="37"/>
      <c r="AIR85" s="37"/>
      <c r="AIS85" s="37"/>
      <c r="AIT85" s="37"/>
      <c r="AIU85" s="37"/>
      <c r="AIV85" s="37"/>
      <c r="AIW85" s="37"/>
      <c r="AIX85" s="37"/>
      <c r="AIY85" s="37"/>
      <c r="AIZ85" s="37"/>
      <c r="AJA85" s="37"/>
      <c r="AJB85" s="37"/>
      <c r="AJC85" s="37"/>
      <c r="AJD85" s="37"/>
      <c r="AJE85" s="37"/>
      <c r="AJF85" s="37"/>
      <c r="AJG85" s="37"/>
      <c r="AJH85" s="37"/>
      <c r="AJI85" s="37"/>
      <c r="AJJ85" s="37"/>
      <c r="AJK85" s="37"/>
      <c r="AJL85" s="37"/>
      <c r="AJM85" s="37"/>
      <c r="AJN85" s="37"/>
      <c r="AJO85" s="37"/>
      <c r="AJP85" s="37"/>
      <c r="AJQ85" s="37"/>
      <c r="AJR85" s="37"/>
      <c r="AJS85" s="37"/>
      <c r="AJT85" s="37"/>
      <c r="AJU85" s="37"/>
      <c r="AJV85" s="37"/>
      <c r="AJW85" s="37"/>
      <c r="AJX85" s="37"/>
      <c r="AJY85" s="37"/>
      <c r="AJZ85" s="37"/>
      <c r="AKA85" s="37"/>
      <c r="AKB85" s="37"/>
      <c r="AKC85" s="37"/>
      <c r="AKD85" s="37"/>
      <c r="AKE85" s="37"/>
      <c r="AKF85" s="37"/>
      <c r="AKG85" s="37"/>
      <c r="AKH85" s="37"/>
      <c r="AKI85" s="37"/>
      <c r="AKJ85" s="37"/>
      <c r="AKK85" s="37"/>
      <c r="AKL85" s="37"/>
      <c r="AKM85" s="37"/>
      <c r="AKN85" s="37"/>
      <c r="AKO85" s="37"/>
      <c r="AKP85" s="37"/>
      <c r="AKQ85" s="37"/>
      <c r="AKR85" s="37"/>
      <c r="AKS85" s="37"/>
      <c r="AKT85" s="37"/>
      <c r="AKU85" s="37"/>
      <c r="AKV85" s="37"/>
      <c r="AKW85" s="37"/>
      <c r="AKX85" s="37"/>
      <c r="AKY85" s="37"/>
      <c r="AKZ85" s="37"/>
      <c r="ALA85" s="37"/>
      <c r="ALB85" s="37"/>
      <c r="ALC85" s="37"/>
      <c r="ALD85" s="37"/>
      <c r="ALE85" s="37"/>
      <c r="ALF85" s="37"/>
      <c r="ALG85" s="37"/>
      <c r="ALH85" s="37"/>
      <c r="ALI85" s="37"/>
      <c r="ALJ85" s="37"/>
      <c r="ALK85" s="37"/>
      <c r="ALL85" s="37"/>
      <c r="ALM85" s="37"/>
      <c r="ALN85" s="37"/>
      <c r="ALO85" s="37"/>
      <c r="ALP85" s="37"/>
      <c r="ALQ85" s="37"/>
      <c r="ALR85" s="37"/>
      <c r="ALS85" s="37"/>
      <c r="ALT85" s="37"/>
      <c r="ALU85" s="37"/>
      <c r="ALV85" s="37"/>
      <c r="ALW85" s="37"/>
      <c r="ALX85" s="37"/>
      <c r="ALY85" s="37"/>
      <c r="ALZ85" s="37"/>
      <c r="AMA85" s="37"/>
      <c r="AMB85" s="37"/>
      <c r="AMC85" s="37"/>
    </row>
    <row r="86" spans="1:1017" s="38" customFormat="1" ht="19.5" customHeight="1">
      <c r="A86" s="26" t="s">
        <v>137</v>
      </c>
      <c r="B86" s="25" t="s">
        <v>132</v>
      </c>
      <c r="C86" s="26" t="s">
        <v>46</v>
      </c>
      <c r="D86" s="26" t="s">
        <v>32</v>
      </c>
      <c r="E86" s="26" t="s">
        <v>261</v>
      </c>
      <c r="F86" s="26">
        <v>43</v>
      </c>
      <c r="G86" s="26" t="s">
        <v>34</v>
      </c>
      <c r="H86" s="26">
        <v>59</v>
      </c>
      <c r="I86" s="36">
        <v>48</v>
      </c>
      <c r="J86" s="36">
        <v>26</v>
      </c>
      <c r="K86" s="36">
        <v>20</v>
      </c>
      <c r="L86" s="36">
        <v>31</v>
      </c>
      <c r="M86" s="36">
        <v>31</v>
      </c>
      <c r="N86" s="36">
        <v>31</v>
      </c>
      <c r="O86" s="36">
        <v>75</v>
      </c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/>
      <c r="GY86" s="37"/>
      <c r="GZ86" s="37"/>
      <c r="HA86" s="37"/>
      <c r="HB86" s="37"/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/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/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  <c r="OU86" s="37"/>
      <c r="OV86" s="37"/>
      <c r="OW86" s="37"/>
      <c r="OX86" s="37"/>
      <c r="OY86" s="37"/>
      <c r="OZ86" s="37"/>
      <c r="PA86" s="37"/>
      <c r="PB86" s="37"/>
      <c r="PC86" s="37"/>
      <c r="PD86" s="37"/>
      <c r="PE86" s="37"/>
      <c r="PF86" s="37"/>
      <c r="PG86" s="37"/>
      <c r="PH86" s="37"/>
      <c r="PI86" s="37"/>
      <c r="PJ86" s="37"/>
      <c r="PK86" s="37"/>
      <c r="PL86" s="37"/>
      <c r="PM86" s="37"/>
      <c r="PN86" s="37"/>
      <c r="PO86" s="37"/>
      <c r="PP86" s="37"/>
      <c r="PQ86" s="37"/>
      <c r="PR86" s="37"/>
      <c r="PS86" s="37"/>
      <c r="PT86" s="37"/>
      <c r="PU86" s="37"/>
      <c r="PV86" s="37"/>
      <c r="PW86" s="37"/>
      <c r="PX86" s="37"/>
      <c r="PY86" s="37"/>
      <c r="PZ86" s="37"/>
      <c r="QA86" s="37"/>
      <c r="QB86" s="37"/>
      <c r="QC86" s="37"/>
      <c r="QD86" s="37"/>
      <c r="QE86" s="37"/>
      <c r="QF86" s="37"/>
      <c r="QG86" s="37"/>
      <c r="QH86" s="37"/>
      <c r="QI86" s="37"/>
      <c r="QJ86" s="37"/>
      <c r="QK86" s="37"/>
      <c r="QL86" s="37"/>
      <c r="QM86" s="37"/>
      <c r="QN86" s="37"/>
      <c r="QO86" s="37"/>
      <c r="QP86" s="37"/>
      <c r="QQ86" s="37"/>
      <c r="QR86" s="37"/>
      <c r="QS86" s="37"/>
      <c r="QT86" s="37"/>
      <c r="QU86" s="37"/>
      <c r="QV86" s="37"/>
      <c r="QW86" s="37"/>
      <c r="QX86" s="37"/>
      <c r="QY86" s="37"/>
      <c r="QZ86" s="37"/>
      <c r="RA86" s="37"/>
      <c r="RB86" s="37"/>
      <c r="RC86" s="37"/>
      <c r="RD86" s="37"/>
      <c r="RE86" s="37"/>
      <c r="RF86" s="37"/>
      <c r="RG86" s="37"/>
      <c r="RH86" s="37"/>
      <c r="RI86" s="37"/>
      <c r="RJ86" s="37"/>
      <c r="RK86" s="37"/>
      <c r="RL86" s="37"/>
      <c r="RM86" s="37"/>
      <c r="RN86" s="37"/>
      <c r="RO86" s="37"/>
      <c r="RP86" s="37"/>
      <c r="RQ86" s="37"/>
      <c r="RR86" s="37"/>
      <c r="RS86" s="37"/>
      <c r="RT86" s="37"/>
      <c r="RU86" s="37"/>
      <c r="RV86" s="37"/>
      <c r="RW86" s="37"/>
      <c r="RX86" s="37"/>
      <c r="RY86" s="37"/>
      <c r="RZ86" s="37"/>
      <c r="SA86" s="37"/>
      <c r="SB86" s="37"/>
      <c r="SC86" s="37"/>
      <c r="SD86" s="37"/>
      <c r="SE86" s="37"/>
      <c r="SF86" s="37"/>
      <c r="SG86" s="37"/>
      <c r="SH86" s="37"/>
      <c r="SI86" s="37"/>
      <c r="SJ86" s="37"/>
      <c r="SK86" s="37"/>
      <c r="SL86" s="37"/>
      <c r="SM86" s="37"/>
      <c r="SN86" s="37"/>
      <c r="SO86" s="37"/>
      <c r="SP86" s="37"/>
      <c r="SQ86" s="37"/>
      <c r="SR86" s="37"/>
      <c r="SS86" s="37"/>
      <c r="ST86" s="37"/>
      <c r="SU86" s="37"/>
      <c r="SV86" s="37"/>
      <c r="SW86" s="37"/>
      <c r="SX86" s="37"/>
      <c r="SY86" s="37"/>
      <c r="SZ86" s="37"/>
      <c r="TA86" s="37"/>
      <c r="TB86" s="37"/>
      <c r="TC86" s="37"/>
      <c r="TD86" s="37"/>
      <c r="TE86" s="37"/>
      <c r="TF86" s="37"/>
      <c r="TG86" s="37"/>
      <c r="TH86" s="37"/>
      <c r="TI86" s="37"/>
      <c r="TJ86" s="37"/>
      <c r="TK86" s="37"/>
      <c r="TL86" s="37"/>
      <c r="TM86" s="37"/>
      <c r="TN86" s="37"/>
      <c r="TO86" s="37"/>
      <c r="TP86" s="37"/>
      <c r="TQ86" s="37"/>
      <c r="TR86" s="37"/>
      <c r="TS86" s="37"/>
      <c r="TT86" s="37"/>
      <c r="TU86" s="37"/>
      <c r="TV86" s="37"/>
      <c r="TW86" s="37"/>
      <c r="TX86" s="37"/>
      <c r="TY86" s="37"/>
      <c r="TZ86" s="37"/>
      <c r="UA86" s="37"/>
      <c r="UB86" s="37"/>
      <c r="UC86" s="37"/>
      <c r="UD86" s="37"/>
      <c r="UE86" s="37"/>
      <c r="UF86" s="37"/>
      <c r="UG86" s="37"/>
      <c r="UH86" s="37"/>
      <c r="UI86" s="37"/>
      <c r="UJ86" s="37"/>
      <c r="UK86" s="37"/>
      <c r="UL86" s="37"/>
      <c r="UM86" s="37"/>
      <c r="UN86" s="37"/>
      <c r="UO86" s="37"/>
      <c r="UP86" s="37"/>
      <c r="UQ86" s="37"/>
      <c r="UR86" s="37"/>
      <c r="US86" s="37"/>
      <c r="UT86" s="37"/>
      <c r="UU86" s="37"/>
      <c r="UV86" s="37"/>
      <c r="UW86" s="37"/>
      <c r="UX86" s="37"/>
      <c r="UY86" s="37"/>
      <c r="UZ86" s="37"/>
      <c r="VA86" s="37"/>
      <c r="VB86" s="37"/>
      <c r="VC86" s="37"/>
      <c r="VD86" s="37"/>
      <c r="VE86" s="37"/>
      <c r="VF86" s="37"/>
      <c r="VG86" s="37"/>
      <c r="VH86" s="37"/>
      <c r="VI86" s="37"/>
      <c r="VJ86" s="37"/>
      <c r="VK86" s="37"/>
      <c r="VL86" s="37"/>
      <c r="VM86" s="37"/>
      <c r="VN86" s="37"/>
      <c r="VO86" s="37"/>
      <c r="VP86" s="37"/>
      <c r="VQ86" s="37"/>
      <c r="VR86" s="37"/>
      <c r="VS86" s="37"/>
      <c r="VT86" s="37"/>
      <c r="VU86" s="37"/>
      <c r="VV86" s="37"/>
      <c r="VW86" s="37"/>
      <c r="VX86" s="37"/>
      <c r="VY86" s="37"/>
      <c r="VZ86" s="37"/>
      <c r="WA86" s="37"/>
      <c r="WB86" s="37"/>
      <c r="WC86" s="37"/>
      <c r="WD86" s="37"/>
      <c r="WE86" s="37"/>
      <c r="WF86" s="37"/>
      <c r="WG86" s="37"/>
      <c r="WH86" s="37"/>
      <c r="WI86" s="37"/>
      <c r="WJ86" s="37"/>
      <c r="WK86" s="37"/>
      <c r="WL86" s="37"/>
      <c r="WM86" s="37"/>
      <c r="WN86" s="37"/>
      <c r="WO86" s="37"/>
      <c r="WP86" s="37"/>
      <c r="WQ86" s="37"/>
      <c r="WR86" s="37"/>
      <c r="WS86" s="37"/>
      <c r="WT86" s="37"/>
      <c r="WU86" s="37"/>
      <c r="WV86" s="37"/>
      <c r="WW86" s="37"/>
      <c r="WX86" s="37"/>
      <c r="WY86" s="37"/>
      <c r="WZ86" s="37"/>
      <c r="XA86" s="37"/>
      <c r="XB86" s="37"/>
      <c r="XC86" s="37"/>
      <c r="XD86" s="37"/>
      <c r="XE86" s="37"/>
      <c r="XF86" s="37"/>
      <c r="XG86" s="37"/>
      <c r="XH86" s="37"/>
      <c r="XI86" s="37"/>
      <c r="XJ86" s="37"/>
      <c r="XK86" s="37"/>
      <c r="XL86" s="37"/>
      <c r="XM86" s="37"/>
      <c r="XN86" s="37"/>
      <c r="XO86" s="37"/>
      <c r="XP86" s="37"/>
      <c r="XQ86" s="37"/>
      <c r="XR86" s="37"/>
      <c r="XS86" s="37"/>
      <c r="XT86" s="37"/>
      <c r="XU86" s="37"/>
      <c r="XV86" s="37"/>
      <c r="XW86" s="37"/>
      <c r="XX86" s="37"/>
      <c r="XY86" s="37"/>
      <c r="XZ86" s="37"/>
      <c r="YA86" s="37"/>
      <c r="YB86" s="37"/>
      <c r="YC86" s="37"/>
      <c r="YD86" s="37"/>
      <c r="YE86" s="37"/>
      <c r="YF86" s="37"/>
      <c r="YG86" s="37"/>
      <c r="YH86" s="37"/>
      <c r="YI86" s="37"/>
      <c r="YJ86" s="37"/>
      <c r="YK86" s="37"/>
      <c r="YL86" s="37"/>
      <c r="YM86" s="37"/>
      <c r="YN86" s="37"/>
      <c r="YO86" s="37"/>
      <c r="YP86" s="37"/>
      <c r="YQ86" s="37"/>
      <c r="YR86" s="37"/>
      <c r="YS86" s="37"/>
      <c r="YT86" s="37"/>
      <c r="YU86" s="37"/>
      <c r="YV86" s="37"/>
      <c r="YW86" s="37"/>
      <c r="YX86" s="37"/>
      <c r="YY86" s="37"/>
      <c r="YZ86" s="37"/>
      <c r="ZA86" s="37"/>
      <c r="ZB86" s="37"/>
      <c r="ZC86" s="37"/>
      <c r="ZD86" s="37"/>
      <c r="ZE86" s="37"/>
      <c r="ZF86" s="37"/>
      <c r="ZG86" s="37"/>
      <c r="ZH86" s="37"/>
      <c r="ZI86" s="37"/>
      <c r="ZJ86" s="37"/>
      <c r="ZK86" s="37"/>
      <c r="ZL86" s="37"/>
      <c r="ZM86" s="37"/>
      <c r="ZN86" s="37"/>
      <c r="ZO86" s="37"/>
      <c r="ZP86" s="37"/>
      <c r="ZQ86" s="37"/>
      <c r="ZR86" s="37"/>
      <c r="ZS86" s="37"/>
      <c r="ZT86" s="37"/>
      <c r="ZU86" s="37"/>
      <c r="ZV86" s="37"/>
      <c r="ZW86" s="37"/>
      <c r="ZX86" s="37"/>
      <c r="ZY86" s="37"/>
      <c r="ZZ86" s="37"/>
      <c r="AAA86" s="37"/>
      <c r="AAB86" s="37"/>
      <c r="AAC86" s="37"/>
      <c r="AAD86" s="37"/>
      <c r="AAE86" s="37"/>
      <c r="AAF86" s="37"/>
      <c r="AAG86" s="37"/>
      <c r="AAH86" s="37"/>
      <c r="AAI86" s="37"/>
      <c r="AAJ86" s="37"/>
      <c r="AAK86" s="37"/>
      <c r="AAL86" s="37"/>
      <c r="AAM86" s="37"/>
      <c r="AAN86" s="37"/>
      <c r="AAO86" s="37"/>
      <c r="AAP86" s="37"/>
      <c r="AAQ86" s="37"/>
      <c r="AAR86" s="37"/>
      <c r="AAS86" s="37"/>
      <c r="AAT86" s="37"/>
      <c r="AAU86" s="37"/>
      <c r="AAV86" s="37"/>
      <c r="AAW86" s="37"/>
      <c r="AAX86" s="37"/>
      <c r="AAY86" s="37"/>
      <c r="AAZ86" s="37"/>
      <c r="ABA86" s="37"/>
      <c r="ABB86" s="37"/>
      <c r="ABC86" s="37"/>
      <c r="ABD86" s="37"/>
      <c r="ABE86" s="37"/>
      <c r="ABF86" s="37"/>
      <c r="ABG86" s="37"/>
      <c r="ABH86" s="37"/>
      <c r="ABI86" s="37"/>
      <c r="ABJ86" s="37"/>
      <c r="ABK86" s="37"/>
      <c r="ABL86" s="37"/>
      <c r="ABM86" s="37"/>
      <c r="ABN86" s="37"/>
      <c r="ABO86" s="37"/>
      <c r="ABP86" s="37"/>
      <c r="ABQ86" s="37"/>
      <c r="ABR86" s="37"/>
      <c r="ABS86" s="37"/>
      <c r="ABT86" s="37"/>
      <c r="ABU86" s="37"/>
      <c r="ABV86" s="37"/>
      <c r="ABW86" s="37"/>
      <c r="ABX86" s="37"/>
      <c r="ABY86" s="37"/>
      <c r="ABZ86" s="37"/>
      <c r="ACA86" s="37"/>
      <c r="ACB86" s="37"/>
      <c r="ACC86" s="37"/>
      <c r="ACD86" s="37"/>
      <c r="ACE86" s="37"/>
      <c r="ACF86" s="37"/>
      <c r="ACG86" s="37"/>
      <c r="ACH86" s="37"/>
      <c r="ACI86" s="37"/>
      <c r="ACJ86" s="37"/>
      <c r="ACK86" s="37"/>
      <c r="ACL86" s="37"/>
      <c r="ACM86" s="37"/>
      <c r="ACN86" s="37"/>
      <c r="ACO86" s="37"/>
      <c r="ACP86" s="37"/>
      <c r="ACQ86" s="37"/>
      <c r="ACR86" s="37"/>
      <c r="ACS86" s="37"/>
      <c r="ACT86" s="37"/>
      <c r="ACU86" s="37"/>
      <c r="ACV86" s="37"/>
      <c r="ACW86" s="37"/>
      <c r="ACX86" s="37"/>
      <c r="ACY86" s="37"/>
      <c r="ACZ86" s="37"/>
      <c r="ADA86" s="37"/>
      <c r="ADB86" s="37"/>
      <c r="ADC86" s="37"/>
      <c r="ADD86" s="37"/>
      <c r="ADE86" s="37"/>
      <c r="ADF86" s="37"/>
      <c r="ADG86" s="37"/>
      <c r="ADH86" s="37"/>
      <c r="ADI86" s="37"/>
      <c r="ADJ86" s="37"/>
      <c r="ADK86" s="37"/>
      <c r="ADL86" s="37"/>
      <c r="ADM86" s="37"/>
      <c r="ADN86" s="37"/>
      <c r="ADO86" s="37"/>
      <c r="ADP86" s="37"/>
      <c r="ADQ86" s="37"/>
      <c r="ADR86" s="37"/>
      <c r="ADS86" s="37"/>
      <c r="ADT86" s="37"/>
      <c r="ADU86" s="37"/>
      <c r="ADV86" s="37"/>
      <c r="ADW86" s="37"/>
      <c r="ADX86" s="37"/>
      <c r="ADY86" s="37"/>
      <c r="ADZ86" s="37"/>
      <c r="AEA86" s="37"/>
      <c r="AEB86" s="37"/>
      <c r="AEC86" s="37"/>
      <c r="AED86" s="37"/>
      <c r="AEE86" s="37"/>
      <c r="AEF86" s="37"/>
      <c r="AEG86" s="37"/>
      <c r="AEH86" s="37"/>
      <c r="AEI86" s="37"/>
      <c r="AEJ86" s="37"/>
      <c r="AEK86" s="37"/>
      <c r="AEL86" s="37"/>
      <c r="AEM86" s="37"/>
      <c r="AEN86" s="37"/>
      <c r="AEO86" s="37"/>
      <c r="AEP86" s="37"/>
      <c r="AEQ86" s="37"/>
      <c r="AER86" s="37"/>
      <c r="AES86" s="37"/>
      <c r="AET86" s="37"/>
      <c r="AEU86" s="37"/>
      <c r="AEV86" s="37"/>
      <c r="AEW86" s="37"/>
      <c r="AEX86" s="37"/>
      <c r="AEY86" s="37"/>
      <c r="AEZ86" s="37"/>
      <c r="AFA86" s="37"/>
      <c r="AFB86" s="37"/>
      <c r="AFC86" s="37"/>
      <c r="AFD86" s="37"/>
      <c r="AFE86" s="37"/>
      <c r="AFF86" s="37"/>
      <c r="AFG86" s="37"/>
      <c r="AFH86" s="37"/>
      <c r="AFI86" s="37"/>
      <c r="AFJ86" s="37"/>
      <c r="AFK86" s="37"/>
      <c r="AFL86" s="37"/>
      <c r="AFM86" s="37"/>
      <c r="AFN86" s="37"/>
      <c r="AFO86" s="37"/>
      <c r="AFP86" s="37"/>
      <c r="AFQ86" s="37"/>
      <c r="AFR86" s="37"/>
      <c r="AFS86" s="37"/>
      <c r="AFT86" s="37"/>
      <c r="AFU86" s="37"/>
      <c r="AFV86" s="37"/>
      <c r="AFW86" s="37"/>
      <c r="AFX86" s="37"/>
      <c r="AFY86" s="37"/>
      <c r="AFZ86" s="37"/>
      <c r="AGA86" s="37"/>
      <c r="AGB86" s="37"/>
      <c r="AGC86" s="37"/>
      <c r="AGD86" s="37"/>
      <c r="AGE86" s="37"/>
      <c r="AGF86" s="37"/>
      <c r="AGG86" s="37"/>
      <c r="AGH86" s="37"/>
      <c r="AGI86" s="37"/>
      <c r="AGJ86" s="37"/>
      <c r="AGK86" s="37"/>
      <c r="AGL86" s="37"/>
      <c r="AGM86" s="37"/>
      <c r="AGN86" s="37"/>
      <c r="AGO86" s="37"/>
      <c r="AGP86" s="37"/>
      <c r="AGQ86" s="37"/>
      <c r="AGR86" s="37"/>
      <c r="AGS86" s="37"/>
      <c r="AGT86" s="37"/>
      <c r="AGU86" s="37"/>
      <c r="AGV86" s="37"/>
      <c r="AGW86" s="37"/>
      <c r="AGX86" s="37"/>
      <c r="AGY86" s="37"/>
      <c r="AGZ86" s="37"/>
      <c r="AHA86" s="37"/>
      <c r="AHB86" s="37"/>
      <c r="AHC86" s="37"/>
      <c r="AHD86" s="37"/>
      <c r="AHE86" s="37"/>
      <c r="AHF86" s="37"/>
      <c r="AHG86" s="37"/>
      <c r="AHH86" s="37"/>
      <c r="AHI86" s="37"/>
      <c r="AHJ86" s="37"/>
      <c r="AHK86" s="37"/>
      <c r="AHL86" s="37"/>
      <c r="AHM86" s="37"/>
      <c r="AHN86" s="37"/>
      <c r="AHO86" s="37"/>
      <c r="AHP86" s="37"/>
      <c r="AHQ86" s="37"/>
      <c r="AHR86" s="37"/>
      <c r="AHS86" s="37"/>
      <c r="AHT86" s="37"/>
      <c r="AHU86" s="37"/>
      <c r="AHV86" s="37"/>
      <c r="AHW86" s="37"/>
      <c r="AHX86" s="37"/>
      <c r="AHY86" s="37"/>
      <c r="AHZ86" s="37"/>
      <c r="AIA86" s="37"/>
      <c r="AIB86" s="37"/>
      <c r="AIC86" s="37"/>
      <c r="AID86" s="37"/>
      <c r="AIE86" s="37"/>
      <c r="AIF86" s="37"/>
      <c r="AIG86" s="37"/>
      <c r="AIH86" s="37"/>
      <c r="AII86" s="37"/>
      <c r="AIJ86" s="37"/>
      <c r="AIK86" s="37"/>
      <c r="AIL86" s="37"/>
      <c r="AIM86" s="37"/>
      <c r="AIN86" s="37"/>
      <c r="AIO86" s="37"/>
      <c r="AIP86" s="37"/>
      <c r="AIQ86" s="37"/>
      <c r="AIR86" s="37"/>
      <c r="AIS86" s="37"/>
      <c r="AIT86" s="37"/>
      <c r="AIU86" s="37"/>
      <c r="AIV86" s="37"/>
      <c r="AIW86" s="37"/>
      <c r="AIX86" s="37"/>
      <c r="AIY86" s="37"/>
      <c r="AIZ86" s="37"/>
      <c r="AJA86" s="37"/>
      <c r="AJB86" s="37"/>
      <c r="AJC86" s="37"/>
      <c r="AJD86" s="37"/>
      <c r="AJE86" s="37"/>
      <c r="AJF86" s="37"/>
      <c r="AJG86" s="37"/>
      <c r="AJH86" s="37"/>
      <c r="AJI86" s="37"/>
      <c r="AJJ86" s="37"/>
      <c r="AJK86" s="37"/>
      <c r="AJL86" s="37"/>
      <c r="AJM86" s="37"/>
      <c r="AJN86" s="37"/>
      <c r="AJO86" s="37"/>
      <c r="AJP86" s="37"/>
      <c r="AJQ86" s="37"/>
      <c r="AJR86" s="37"/>
      <c r="AJS86" s="37"/>
      <c r="AJT86" s="37"/>
      <c r="AJU86" s="37"/>
      <c r="AJV86" s="37"/>
      <c r="AJW86" s="37"/>
      <c r="AJX86" s="37"/>
      <c r="AJY86" s="37"/>
      <c r="AJZ86" s="37"/>
      <c r="AKA86" s="37"/>
      <c r="AKB86" s="37"/>
      <c r="AKC86" s="37"/>
      <c r="AKD86" s="37"/>
      <c r="AKE86" s="37"/>
      <c r="AKF86" s="37"/>
      <c r="AKG86" s="37"/>
      <c r="AKH86" s="37"/>
      <c r="AKI86" s="37"/>
      <c r="AKJ86" s="37"/>
      <c r="AKK86" s="37"/>
      <c r="AKL86" s="37"/>
      <c r="AKM86" s="37"/>
      <c r="AKN86" s="37"/>
      <c r="AKO86" s="37"/>
      <c r="AKP86" s="37"/>
      <c r="AKQ86" s="37"/>
      <c r="AKR86" s="37"/>
      <c r="AKS86" s="37"/>
      <c r="AKT86" s="37"/>
      <c r="AKU86" s="37"/>
      <c r="AKV86" s="37"/>
      <c r="AKW86" s="37"/>
      <c r="AKX86" s="37"/>
      <c r="AKY86" s="37"/>
      <c r="AKZ86" s="37"/>
      <c r="ALA86" s="37"/>
      <c r="ALB86" s="37"/>
      <c r="ALC86" s="37"/>
      <c r="ALD86" s="37"/>
      <c r="ALE86" s="37"/>
      <c r="ALF86" s="37"/>
      <c r="ALG86" s="37"/>
      <c r="ALH86" s="37"/>
      <c r="ALI86" s="37"/>
      <c r="ALJ86" s="37"/>
      <c r="ALK86" s="37"/>
      <c r="ALL86" s="37"/>
      <c r="ALM86" s="37"/>
      <c r="ALN86" s="37"/>
      <c r="ALO86" s="37"/>
      <c r="ALP86" s="37"/>
      <c r="ALQ86" s="37"/>
      <c r="ALR86" s="37"/>
      <c r="ALS86" s="37"/>
      <c r="ALT86" s="37"/>
      <c r="ALU86" s="37"/>
      <c r="ALV86" s="37"/>
      <c r="ALW86" s="37"/>
      <c r="ALX86" s="37"/>
      <c r="ALY86" s="37"/>
      <c r="ALZ86" s="37"/>
      <c r="AMA86" s="37"/>
      <c r="AMB86" s="37"/>
      <c r="AMC86" s="37"/>
    </row>
    <row r="87" spans="1:1017" s="38" customFormat="1" ht="19.5" customHeight="1">
      <c r="A87" s="72"/>
      <c r="B87" s="73"/>
      <c r="C87" s="72"/>
      <c r="D87" s="72"/>
      <c r="E87" s="72"/>
      <c r="F87" s="72"/>
      <c r="G87" s="35">
        <v>46</v>
      </c>
      <c r="H87" s="35">
        <v>98</v>
      </c>
      <c r="I87" s="35">
        <v>120</v>
      </c>
      <c r="J87" s="35">
        <v>68</v>
      </c>
      <c r="K87" s="35">
        <v>36</v>
      </c>
      <c r="L87" s="35">
        <v>27</v>
      </c>
      <c r="M87" s="35">
        <v>22</v>
      </c>
      <c r="N87" s="35">
        <v>99</v>
      </c>
      <c r="O87" s="74">
        <v>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  <c r="OU87" s="37"/>
      <c r="OV87" s="37"/>
      <c r="OW87" s="37"/>
      <c r="OX87" s="37"/>
      <c r="OY87" s="37"/>
      <c r="OZ87" s="37"/>
      <c r="PA87" s="37"/>
      <c r="PB87" s="37"/>
      <c r="PC87" s="37"/>
      <c r="PD87" s="37"/>
      <c r="PE87" s="37"/>
      <c r="PF87" s="37"/>
      <c r="PG87" s="37"/>
      <c r="PH87" s="37"/>
      <c r="PI87" s="37"/>
      <c r="PJ87" s="37"/>
      <c r="PK87" s="37"/>
      <c r="PL87" s="37"/>
      <c r="PM87" s="37"/>
      <c r="PN87" s="37"/>
      <c r="PO87" s="37"/>
      <c r="PP87" s="37"/>
      <c r="PQ87" s="37"/>
      <c r="PR87" s="37"/>
      <c r="PS87" s="37"/>
      <c r="PT87" s="37"/>
      <c r="PU87" s="37"/>
      <c r="PV87" s="37"/>
      <c r="PW87" s="37"/>
      <c r="PX87" s="37"/>
      <c r="PY87" s="37"/>
      <c r="PZ87" s="37"/>
      <c r="QA87" s="37"/>
      <c r="QB87" s="37"/>
      <c r="QC87" s="37"/>
      <c r="QD87" s="37"/>
      <c r="QE87" s="37"/>
      <c r="QF87" s="37"/>
      <c r="QG87" s="37"/>
      <c r="QH87" s="37"/>
      <c r="QI87" s="37"/>
      <c r="QJ87" s="37"/>
      <c r="QK87" s="37"/>
      <c r="QL87" s="37"/>
      <c r="QM87" s="37"/>
      <c r="QN87" s="37"/>
      <c r="QO87" s="37"/>
      <c r="QP87" s="37"/>
      <c r="QQ87" s="37"/>
      <c r="QR87" s="37"/>
      <c r="QS87" s="37"/>
      <c r="QT87" s="37"/>
      <c r="QU87" s="37"/>
      <c r="QV87" s="37"/>
      <c r="QW87" s="37"/>
      <c r="QX87" s="37"/>
      <c r="QY87" s="37"/>
      <c r="QZ87" s="37"/>
      <c r="RA87" s="37"/>
      <c r="RB87" s="37"/>
      <c r="RC87" s="37"/>
      <c r="RD87" s="37"/>
      <c r="RE87" s="37"/>
      <c r="RF87" s="37"/>
      <c r="RG87" s="37"/>
      <c r="RH87" s="37"/>
      <c r="RI87" s="37"/>
      <c r="RJ87" s="37"/>
      <c r="RK87" s="37"/>
      <c r="RL87" s="37"/>
      <c r="RM87" s="37"/>
      <c r="RN87" s="37"/>
      <c r="RO87" s="37"/>
      <c r="RP87" s="37"/>
      <c r="RQ87" s="37"/>
      <c r="RR87" s="37"/>
      <c r="RS87" s="37"/>
      <c r="RT87" s="37"/>
      <c r="RU87" s="37"/>
      <c r="RV87" s="37"/>
      <c r="RW87" s="37"/>
      <c r="RX87" s="37"/>
      <c r="RY87" s="37"/>
      <c r="RZ87" s="37"/>
      <c r="SA87" s="37"/>
      <c r="SB87" s="37"/>
      <c r="SC87" s="37"/>
      <c r="SD87" s="37"/>
      <c r="SE87" s="37"/>
      <c r="SF87" s="37"/>
      <c r="SG87" s="37"/>
      <c r="SH87" s="37"/>
      <c r="SI87" s="37"/>
      <c r="SJ87" s="37"/>
      <c r="SK87" s="37"/>
      <c r="SL87" s="37"/>
      <c r="SM87" s="37"/>
      <c r="SN87" s="37"/>
      <c r="SO87" s="37"/>
      <c r="SP87" s="37"/>
      <c r="SQ87" s="37"/>
      <c r="SR87" s="37"/>
      <c r="SS87" s="37"/>
      <c r="ST87" s="37"/>
      <c r="SU87" s="37"/>
      <c r="SV87" s="37"/>
      <c r="SW87" s="37"/>
      <c r="SX87" s="37"/>
      <c r="SY87" s="37"/>
      <c r="SZ87" s="37"/>
      <c r="TA87" s="37"/>
      <c r="TB87" s="37"/>
      <c r="TC87" s="37"/>
      <c r="TD87" s="37"/>
      <c r="TE87" s="37"/>
      <c r="TF87" s="37"/>
      <c r="TG87" s="37"/>
      <c r="TH87" s="37"/>
      <c r="TI87" s="37"/>
      <c r="TJ87" s="37"/>
      <c r="TK87" s="37"/>
      <c r="TL87" s="37"/>
      <c r="TM87" s="37"/>
      <c r="TN87" s="37"/>
      <c r="TO87" s="37"/>
      <c r="TP87" s="37"/>
      <c r="TQ87" s="37"/>
      <c r="TR87" s="37"/>
      <c r="TS87" s="37"/>
      <c r="TT87" s="37"/>
      <c r="TU87" s="37"/>
      <c r="TV87" s="37"/>
      <c r="TW87" s="37"/>
      <c r="TX87" s="37"/>
      <c r="TY87" s="37"/>
      <c r="TZ87" s="37"/>
      <c r="UA87" s="37"/>
      <c r="UB87" s="37"/>
      <c r="UC87" s="37"/>
      <c r="UD87" s="37"/>
      <c r="UE87" s="37"/>
      <c r="UF87" s="37"/>
      <c r="UG87" s="37"/>
      <c r="UH87" s="37"/>
      <c r="UI87" s="37"/>
      <c r="UJ87" s="37"/>
      <c r="UK87" s="37"/>
      <c r="UL87" s="37"/>
      <c r="UM87" s="37"/>
      <c r="UN87" s="37"/>
      <c r="UO87" s="37"/>
      <c r="UP87" s="37"/>
      <c r="UQ87" s="37"/>
      <c r="UR87" s="37"/>
      <c r="US87" s="37"/>
      <c r="UT87" s="37"/>
      <c r="UU87" s="37"/>
      <c r="UV87" s="37"/>
      <c r="UW87" s="37"/>
      <c r="UX87" s="37"/>
      <c r="UY87" s="37"/>
      <c r="UZ87" s="37"/>
      <c r="VA87" s="37"/>
      <c r="VB87" s="37"/>
      <c r="VC87" s="37"/>
      <c r="VD87" s="37"/>
      <c r="VE87" s="37"/>
      <c r="VF87" s="37"/>
      <c r="VG87" s="37"/>
      <c r="VH87" s="37"/>
      <c r="VI87" s="37"/>
      <c r="VJ87" s="37"/>
      <c r="VK87" s="37"/>
      <c r="VL87" s="37"/>
      <c r="VM87" s="37"/>
      <c r="VN87" s="37"/>
      <c r="VO87" s="37"/>
      <c r="VP87" s="37"/>
      <c r="VQ87" s="37"/>
      <c r="VR87" s="37"/>
      <c r="VS87" s="37"/>
      <c r="VT87" s="37"/>
      <c r="VU87" s="37"/>
      <c r="VV87" s="37"/>
      <c r="VW87" s="37"/>
      <c r="VX87" s="37"/>
      <c r="VY87" s="37"/>
      <c r="VZ87" s="37"/>
      <c r="WA87" s="37"/>
      <c r="WB87" s="37"/>
      <c r="WC87" s="37"/>
      <c r="WD87" s="37"/>
      <c r="WE87" s="37"/>
      <c r="WF87" s="37"/>
      <c r="WG87" s="37"/>
      <c r="WH87" s="37"/>
      <c r="WI87" s="37"/>
      <c r="WJ87" s="37"/>
      <c r="WK87" s="37"/>
      <c r="WL87" s="37"/>
      <c r="WM87" s="37"/>
      <c r="WN87" s="37"/>
      <c r="WO87" s="37"/>
      <c r="WP87" s="37"/>
      <c r="WQ87" s="37"/>
      <c r="WR87" s="37"/>
      <c r="WS87" s="37"/>
      <c r="WT87" s="37"/>
      <c r="WU87" s="37"/>
      <c r="WV87" s="37"/>
      <c r="WW87" s="37"/>
      <c r="WX87" s="37"/>
      <c r="WY87" s="37"/>
      <c r="WZ87" s="37"/>
      <c r="XA87" s="37"/>
      <c r="XB87" s="37"/>
      <c r="XC87" s="37"/>
      <c r="XD87" s="37"/>
      <c r="XE87" s="37"/>
      <c r="XF87" s="37"/>
      <c r="XG87" s="37"/>
      <c r="XH87" s="37"/>
      <c r="XI87" s="37"/>
      <c r="XJ87" s="37"/>
      <c r="XK87" s="37"/>
      <c r="XL87" s="37"/>
      <c r="XM87" s="37"/>
      <c r="XN87" s="37"/>
      <c r="XO87" s="37"/>
      <c r="XP87" s="37"/>
      <c r="XQ87" s="37"/>
      <c r="XR87" s="37"/>
      <c r="XS87" s="37"/>
      <c r="XT87" s="37"/>
      <c r="XU87" s="37"/>
      <c r="XV87" s="37"/>
      <c r="XW87" s="37"/>
      <c r="XX87" s="37"/>
      <c r="XY87" s="37"/>
      <c r="XZ87" s="37"/>
      <c r="YA87" s="37"/>
      <c r="YB87" s="37"/>
      <c r="YC87" s="37"/>
      <c r="YD87" s="37"/>
      <c r="YE87" s="37"/>
      <c r="YF87" s="37"/>
      <c r="YG87" s="37"/>
      <c r="YH87" s="37"/>
      <c r="YI87" s="37"/>
      <c r="YJ87" s="37"/>
      <c r="YK87" s="37"/>
      <c r="YL87" s="37"/>
      <c r="YM87" s="37"/>
      <c r="YN87" s="37"/>
      <c r="YO87" s="37"/>
      <c r="YP87" s="37"/>
      <c r="YQ87" s="37"/>
      <c r="YR87" s="37"/>
      <c r="YS87" s="37"/>
      <c r="YT87" s="37"/>
      <c r="YU87" s="37"/>
      <c r="YV87" s="37"/>
      <c r="YW87" s="37"/>
      <c r="YX87" s="37"/>
      <c r="YY87" s="37"/>
      <c r="YZ87" s="37"/>
      <c r="ZA87" s="37"/>
      <c r="ZB87" s="37"/>
      <c r="ZC87" s="37"/>
      <c r="ZD87" s="37"/>
      <c r="ZE87" s="37"/>
      <c r="ZF87" s="37"/>
      <c r="ZG87" s="37"/>
      <c r="ZH87" s="37"/>
      <c r="ZI87" s="37"/>
      <c r="ZJ87" s="37"/>
      <c r="ZK87" s="37"/>
      <c r="ZL87" s="37"/>
      <c r="ZM87" s="37"/>
      <c r="ZN87" s="37"/>
      <c r="ZO87" s="37"/>
      <c r="ZP87" s="37"/>
      <c r="ZQ87" s="37"/>
      <c r="ZR87" s="37"/>
      <c r="ZS87" s="37"/>
      <c r="ZT87" s="37"/>
      <c r="ZU87" s="37"/>
      <c r="ZV87" s="37"/>
      <c r="ZW87" s="37"/>
      <c r="ZX87" s="37"/>
      <c r="ZY87" s="37"/>
      <c r="ZZ87" s="37"/>
      <c r="AAA87" s="37"/>
      <c r="AAB87" s="37"/>
      <c r="AAC87" s="37"/>
      <c r="AAD87" s="37"/>
      <c r="AAE87" s="37"/>
      <c r="AAF87" s="37"/>
      <c r="AAG87" s="37"/>
      <c r="AAH87" s="37"/>
      <c r="AAI87" s="37"/>
      <c r="AAJ87" s="37"/>
      <c r="AAK87" s="37"/>
      <c r="AAL87" s="37"/>
      <c r="AAM87" s="37"/>
      <c r="AAN87" s="37"/>
      <c r="AAO87" s="37"/>
      <c r="AAP87" s="37"/>
      <c r="AAQ87" s="37"/>
      <c r="AAR87" s="37"/>
      <c r="AAS87" s="37"/>
      <c r="AAT87" s="37"/>
      <c r="AAU87" s="37"/>
      <c r="AAV87" s="37"/>
      <c r="AAW87" s="37"/>
      <c r="AAX87" s="37"/>
      <c r="AAY87" s="37"/>
      <c r="AAZ87" s="37"/>
      <c r="ABA87" s="37"/>
      <c r="ABB87" s="37"/>
      <c r="ABC87" s="37"/>
      <c r="ABD87" s="37"/>
      <c r="ABE87" s="37"/>
      <c r="ABF87" s="37"/>
      <c r="ABG87" s="37"/>
      <c r="ABH87" s="37"/>
      <c r="ABI87" s="37"/>
      <c r="ABJ87" s="37"/>
      <c r="ABK87" s="37"/>
      <c r="ABL87" s="37"/>
      <c r="ABM87" s="37"/>
      <c r="ABN87" s="37"/>
      <c r="ABO87" s="37"/>
      <c r="ABP87" s="37"/>
      <c r="ABQ87" s="37"/>
      <c r="ABR87" s="37"/>
      <c r="ABS87" s="37"/>
      <c r="ABT87" s="37"/>
      <c r="ABU87" s="37"/>
      <c r="ABV87" s="37"/>
      <c r="ABW87" s="37"/>
      <c r="ABX87" s="37"/>
      <c r="ABY87" s="37"/>
      <c r="ABZ87" s="37"/>
      <c r="ACA87" s="37"/>
      <c r="ACB87" s="37"/>
      <c r="ACC87" s="37"/>
      <c r="ACD87" s="37"/>
      <c r="ACE87" s="37"/>
      <c r="ACF87" s="37"/>
      <c r="ACG87" s="37"/>
      <c r="ACH87" s="37"/>
      <c r="ACI87" s="37"/>
      <c r="ACJ87" s="37"/>
      <c r="ACK87" s="37"/>
      <c r="ACL87" s="37"/>
      <c r="ACM87" s="37"/>
      <c r="ACN87" s="37"/>
      <c r="ACO87" s="37"/>
      <c r="ACP87" s="37"/>
      <c r="ACQ87" s="37"/>
      <c r="ACR87" s="37"/>
      <c r="ACS87" s="37"/>
      <c r="ACT87" s="37"/>
      <c r="ACU87" s="37"/>
      <c r="ACV87" s="37"/>
      <c r="ACW87" s="37"/>
      <c r="ACX87" s="37"/>
      <c r="ACY87" s="37"/>
      <c r="ACZ87" s="37"/>
      <c r="ADA87" s="37"/>
      <c r="ADB87" s="37"/>
      <c r="ADC87" s="37"/>
      <c r="ADD87" s="37"/>
      <c r="ADE87" s="37"/>
      <c r="ADF87" s="37"/>
      <c r="ADG87" s="37"/>
      <c r="ADH87" s="37"/>
      <c r="ADI87" s="37"/>
      <c r="ADJ87" s="37"/>
      <c r="ADK87" s="37"/>
      <c r="ADL87" s="37"/>
      <c r="ADM87" s="37"/>
      <c r="ADN87" s="37"/>
      <c r="ADO87" s="37"/>
      <c r="ADP87" s="37"/>
      <c r="ADQ87" s="37"/>
      <c r="ADR87" s="37"/>
      <c r="ADS87" s="37"/>
      <c r="ADT87" s="37"/>
      <c r="ADU87" s="37"/>
      <c r="ADV87" s="37"/>
      <c r="ADW87" s="37"/>
      <c r="ADX87" s="37"/>
      <c r="ADY87" s="37"/>
      <c r="ADZ87" s="37"/>
      <c r="AEA87" s="37"/>
      <c r="AEB87" s="37"/>
      <c r="AEC87" s="37"/>
      <c r="AED87" s="37"/>
      <c r="AEE87" s="37"/>
      <c r="AEF87" s="37"/>
      <c r="AEG87" s="37"/>
      <c r="AEH87" s="37"/>
      <c r="AEI87" s="37"/>
      <c r="AEJ87" s="37"/>
      <c r="AEK87" s="37"/>
      <c r="AEL87" s="37"/>
      <c r="AEM87" s="37"/>
      <c r="AEN87" s="37"/>
      <c r="AEO87" s="37"/>
      <c r="AEP87" s="37"/>
      <c r="AEQ87" s="37"/>
      <c r="AER87" s="37"/>
      <c r="AES87" s="37"/>
      <c r="AET87" s="37"/>
      <c r="AEU87" s="37"/>
      <c r="AEV87" s="37"/>
      <c r="AEW87" s="37"/>
      <c r="AEX87" s="37"/>
      <c r="AEY87" s="37"/>
      <c r="AEZ87" s="37"/>
      <c r="AFA87" s="37"/>
      <c r="AFB87" s="37"/>
      <c r="AFC87" s="37"/>
      <c r="AFD87" s="37"/>
      <c r="AFE87" s="37"/>
      <c r="AFF87" s="37"/>
      <c r="AFG87" s="37"/>
      <c r="AFH87" s="37"/>
      <c r="AFI87" s="37"/>
      <c r="AFJ87" s="37"/>
      <c r="AFK87" s="37"/>
      <c r="AFL87" s="37"/>
      <c r="AFM87" s="37"/>
      <c r="AFN87" s="37"/>
      <c r="AFO87" s="37"/>
      <c r="AFP87" s="37"/>
      <c r="AFQ87" s="37"/>
      <c r="AFR87" s="37"/>
      <c r="AFS87" s="37"/>
      <c r="AFT87" s="37"/>
      <c r="AFU87" s="37"/>
      <c r="AFV87" s="37"/>
      <c r="AFW87" s="37"/>
      <c r="AFX87" s="37"/>
      <c r="AFY87" s="37"/>
      <c r="AFZ87" s="37"/>
      <c r="AGA87" s="37"/>
      <c r="AGB87" s="37"/>
      <c r="AGC87" s="37"/>
      <c r="AGD87" s="37"/>
      <c r="AGE87" s="37"/>
      <c r="AGF87" s="37"/>
      <c r="AGG87" s="37"/>
      <c r="AGH87" s="37"/>
      <c r="AGI87" s="37"/>
      <c r="AGJ87" s="37"/>
      <c r="AGK87" s="37"/>
      <c r="AGL87" s="37"/>
      <c r="AGM87" s="37"/>
      <c r="AGN87" s="37"/>
      <c r="AGO87" s="37"/>
      <c r="AGP87" s="37"/>
      <c r="AGQ87" s="37"/>
      <c r="AGR87" s="37"/>
      <c r="AGS87" s="37"/>
      <c r="AGT87" s="37"/>
      <c r="AGU87" s="37"/>
      <c r="AGV87" s="37"/>
      <c r="AGW87" s="37"/>
      <c r="AGX87" s="37"/>
      <c r="AGY87" s="37"/>
      <c r="AGZ87" s="37"/>
      <c r="AHA87" s="37"/>
      <c r="AHB87" s="37"/>
      <c r="AHC87" s="37"/>
      <c r="AHD87" s="37"/>
      <c r="AHE87" s="37"/>
      <c r="AHF87" s="37"/>
      <c r="AHG87" s="37"/>
      <c r="AHH87" s="37"/>
      <c r="AHI87" s="37"/>
      <c r="AHJ87" s="37"/>
      <c r="AHK87" s="37"/>
      <c r="AHL87" s="37"/>
      <c r="AHM87" s="37"/>
      <c r="AHN87" s="37"/>
      <c r="AHO87" s="37"/>
      <c r="AHP87" s="37"/>
      <c r="AHQ87" s="37"/>
      <c r="AHR87" s="37"/>
      <c r="AHS87" s="37"/>
      <c r="AHT87" s="37"/>
      <c r="AHU87" s="37"/>
      <c r="AHV87" s="37"/>
      <c r="AHW87" s="37"/>
      <c r="AHX87" s="37"/>
      <c r="AHY87" s="37"/>
      <c r="AHZ87" s="37"/>
      <c r="AIA87" s="37"/>
      <c r="AIB87" s="37"/>
      <c r="AIC87" s="37"/>
      <c r="AID87" s="37"/>
      <c r="AIE87" s="37"/>
      <c r="AIF87" s="37"/>
      <c r="AIG87" s="37"/>
      <c r="AIH87" s="37"/>
      <c r="AII87" s="37"/>
      <c r="AIJ87" s="37"/>
      <c r="AIK87" s="37"/>
      <c r="AIL87" s="37"/>
      <c r="AIM87" s="37"/>
      <c r="AIN87" s="37"/>
      <c r="AIO87" s="37"/>
      <c r="AIP87" s="37"/>
      <c r="AIQ87" s="37"/>
      <c r="AIR87" s="37"/>
      <c r="AIS87" s="37"/>
      <c r="AIT87" s="37"/>
      <c r="AIU87" s="37"/>
      <c r="AIV87" s="37"/>
      <c r="AIW87" s="37"/>
      <c r="AIX87" s="37"/>
      <c r="AIY87" s="37"/>
      <c r="AIZ87" s="37"/>
      <c r="AJA87" s="37"/>
      <c r="AJB87" s="37"/>
      <c r="AJC87" s="37"/>
      <c r="AJD87" s="37"/>
      <c r="AJE87" s="37"/>
      <c r="AJF87" s="37"/>
      <c r="AJG87" s="37"/>
      <c r="AJH87" s="37"/>
      <c r="AJI87" s="37"/>
      <c r="AJJ87" s="37"/>
      <c r="AJK87" s="37"/>
      <c r="AJL87" s="37"/>
      <c r="AJM87" s="37"/>
      <c r="AJN87" s="37"/>
      <c r="AJO87" s="37"/>
      <c r="AJP87" s="37"/>
      <c r="AJQ87" s="37"/>
      <c r="AJR87" s="37"/>
      <c r="AJS87" s="37"/>
      <c r="AJT87" s="37"/>
      <c r="AJU87" s="37"/>
      <c r="AJV87" s="37"/>
      <c r="AJW87" s="37"/>
      <c r="AJX87" s="37"/>
      <c r="AJY87" s="37"/>
      <c r="AJZ87" s="37"/>
      <c r="AKA87" s="37"/>
      <c r="AKB87" s="37"/>
      <c r="AKC87" s="37"/>
      <c r="AKD87" s="37"/>
      <c r="AKE87" s="37"/>
      <c r="AKF87" s="37"/>
      <c r="AKG87" s="37"/>
      <c r="AKH87" s="37"/>
      <c r="AKI87" s="37"/>
      <c r="AKJ87" s="37"/>
      <c r="AKK87" s="37"/>
      <c r="AKL87" s="37"/>
      <c r="AKM87" s="37"/>
      <c r="AKN87" s="37"/>
      <c r="AKO87" s="37"/>
      <c r="AKP87" s="37"/>
      <c r="AKQ87" s="37"/>
      <c r="AKR87" s="37"/>
      <c r="AKS87" s="37"/>
      <c r="AKT87" s="37"/>
      <c r="AKU87" s="37"/>
      <c r="AKV87" s="37"/>
      <c r="AKW87" s="37"/>
      <c r="AKX87" s="37"/>
      <c r="AKY87" s="37"/>
      <c r="AKZ87" s="37"/>
      <c r="ALA87" s="37"/>
      <c r="ALB87" s="37"/>
      <c r="ALC87" s="37"/>
      <c r="ALD87" s="37"/>
      <c r="ALE87" s="37"/>
      <c r="ALF87" s="37"/>
      <c r="ALG87" s="37"/>
      <c r="ALH87" s="37"/>
      <c r="ALI87" s="37"/>
      <c r="ALJ87" s="37"/>
      <c r="ALK87" s="37"/>
      <c r="ALL87" s="37"/>
      <c r="ALM87" s="37"/>
      <c r="ALN87" s="37"/>
      <c r="ALO87" s="37"/>
      <c r="ALP87" s="37"/>
      <c r="ALQ87" s="37"/>
      <c r="ALR87" s="37"/>
      <c r="ALS87" s="37"/>
      <c r="ALT87" s="37"/>
      <c r="ALU87" s="37"/>
      <c r="ALV87" s="37"/>
      <c r="ALW87" s="37"/>
      <c r="ALX87" s="37"/>
      <c r="ALY87" s="37"/>
      <c r="ALZ87" s="37"/>
      <c r="AMA87" s="37"/>
      <c r="AMB87" s="37"/>
      <c r="AMC87" s="37"/>
    </row>
    <row r="88" spans="1:1017" s="38" customFormat="1" ht="19.5" customHeight="1">
      <c r="A88" s="75"/>
      <c r="B88" s="76"/>
      <c r="C88" s="75"/>
      <c r="D88" s="75"/>
      <c r="E88" s="75"/>
      <c r="F88" s="75"/>
      <c r="G88" s="77">
        <v>50</v>
      </c>
      <c r="H88" s="77">
        <v>62</v>
      </c>
      <c r="I88" s="77">
        <v>22</v>
      </c>
      <c r="J88" s="77">
        <v>16</v>
      </c>
      <c r="K88" s="77">
        <v>120</v>
      </c>
      <c r="L88" s="77">
        <v>118</v>
      </c>
      <c r="M88" s="77">
        <v>122</v>
      </c>
      <c r="N88" s="77"/>
      <c r="O88" s="7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/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/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  <c r="OU88" s="37"/>
      <c r="OV88" s="37"/>
      <c r="OW88" s="37"/>
      <c r="OX88" s="37"/>
      <c r="OY88" s="37"/>
      <c r="OZ88" s="37"/>
      <c r="PA88" s="37"/>
      <c r="PB88" s="37"/>
      <c r="PC88" s="37"/>
      <c r="PD88" s="37"/>
      <c r="PE88" s="37"/>
      <c r="PF88" s="37"/>
      <c r="PG88" s="37"/>
      <c r="PH88" s="37"/>
      <c r="PI88" s="37"/>
      <c r="PJ88" s="37"/>
      <c r="PK88" s="37"/>
      <c r="PL88" s="37"/>
      <c r="PM88" s="37"/>
      <c r="PN88" s="37"/>
      <c r="PO88" s="37"/>
      <c r="PP88" s="37"/>
      <c r="PQ88" s="37"/>
      <c r="PR88" s="37"/>
      <c r="PS88" s="37"/>
      <c r="PT88" s="37"/>
      <c r="PU88" s="37"/>
      <c r="PV88" s="37"/>
      <c r="PW88" s="37"/>
      <c r="PX88" s="37"/>
      <c r="PY88" s="37"/>
      <c r="PZ88" s="37"/>
      <c r="QA88" s="37"/>
      <c r="QB88" s="37"/>
      <c r="QC88" s="37"/>
      <c r="QD88" s="37"/>
      <c r="QE88" s="37"/>
      <c r="QF88" s="37"/>
      <c r="QG88" s="37"/>
      <c r="QH88" s="37"/>
      <c r="QI88" s="37"/>
      <c r="QJ88" s="37"/>
      <c r="QK88" s="37"/>
      <c r="QL88" s="37"/>
      <c r="QM88" s="37"/>
      <c r="QN88" s="37"/>
      <c r="QO88" s="37"/>
      <c r="QP88" s="37"/>
      <c r="QQ88" s="37"/>
      <c r="QR88" s="37"/>
      <c r="QS88" s="37"/>
      <c r="QT88" s="37"/>
      <c r="QU88" s="37"/>
      <c r="QV88" s="37"/>
      <c r="QW88" s="37"/>
      <c r="QX88" s="37"/>
      <c r="QY88" s="37"/>
      <c r="QZ88" s="37"/>
      <c r="RA88" s="37"/>
      <c r="RB88" s="37"/>
      <c r="RC88" s="37"/>
      <c r="RD88" s="37"/>
      <c r="RE88" s="37"/>
      <c r="RF88" s="37"/>
      <c r="RG88" s="37"/>
      <c r="RH88" s="37"/>
      <c r="RI88" s="37"/>
      <c r="RJ88" s="37"/>
      <c r="RK88" s="37"/>
      <c r="RL88" s="37"/>
      <c r="RM88" s="37"/>
      <c r="RN88" s="37"/>
      <c r="RO88" s="37"/>
      <c r="RP88" s="37"/>
      <c r="RQ88" s="37"/>
      <c r="RR88" s="37"/>
      <c r="RS88" s="37"/>
      <c r="RT88" s="37"/>
      <c r="RU88" s="37"/>
      <c r="RV88" s="37"/>
      <c r="RW88" s="37"/>
      <c r="RX88" s="37"/>
      <c r="RY88" s="37"/>
      <c r="RZ88" s="37"/>
      <c r="SA88" s="37"/>
      <c r="SB88" s="37"/>
      <c r="SC88" s="37"/>
      <c r="SD88" s="37"/>
      <c r="SE88" s="37"/>
      <c r="SF88" s="37"/>
      <c r="SG88" s="37"/>
      <c r="SH88" s="37"/>
      <c r="SI88" s="37"/>
      <c r="SJ88" s="37"/>
      <c r="SK88" s="37"/>
      <c r="SL88" s="37"/>
      <c r="SM88" s="37"/>
      <c r="SN88" s="37"/>
      <c r="SO88" s="37"/>
      <c r="SP88" s="37"/>
      <c r="SQ88" s="37"/>
      <c r="SR88" s="37"/>
      <c r="SS88" s="37"/>
      <c r="ST88" s="37"/>
      <c r="SU88" s="37"/>
      <c r="SV88" s="37"/>
      <c r="SW88" s="37"/>
      <c r="SX88" s="37"/>
      <c r="SY88" s="37"/>
      <c r="SZ88" s="37"/>
      <c r="TA88" s="37"/>
      <c r="TB88" s="37"/>
      <c r="TC88" s="37"/>
      <c r="TD88" s="37"/>
      <c r="TE88" s="37"/>
      <c r="TF88" s="37"/>
      <c r="TG88" s="37"/>
      <c r="TH88" s="37"/>
      <c r="TI88" s="37"/>
      <c r="TJ88" s="37"/>
      <c r="TK88" s="37"/>
      <c r="TL88" s="37"/>
      <c r="TM88" s="37"/>
      <c r="TN88" s="37"/>
      <c r="TO88" s="37"/>
      <c r="TP88" s="37"/>
      <c r="TQ88" s="37"/>
      <c r="TR88" s="37"/>
      <c r="TS88" s="37"/>
      <c r="TT88" s="37"/>
      <c r="TU88" s="37"/>
      <c r="TV88" s="37"/>
      <c r="TW88" s="37"/>
      <c r="TX88" s="37"/>
      <c r="TY88" s="37"/>
      <c r="TZ88" s="37"/>
      <c r="UA88" s="37"/>
      <c r="UB88" s="37"/>
      <c r="UC88" s="37"/>
      <c r="UD88" s="37"/>
      <c r="UE88" s="37"/>
      <c r="UF88" s="37"/>
      <c r="UG88" s="37"/>
      <c r="UH88" s="37"/>
      <c r="UI88" s="37"/>
      <c r="UJ88" s="37"/>
      <c r="UK88" s="37"/>
      <c r="UL88" s="37"/>
      <c r="UM88" s="37"/>
      <c r="UN88" s="37"/>
      <c r="UO88" s="37"/>
      <c r="UP88" s="37"/>
      <c r="UQ88" s="37"/>
      <c r="UR88" s="37"/>
      <c r="US88" s="37"/>
      <c r="UT88" s="37"/>
      <c r="UU88" s="37"/>
      <c r="UV88" s="37"/>
      <c r="UW88" s="37"/>
      <c r="UX88" s="37"/>
      <c r="UY88" s="37"/>
      <c r="UZ88" s="37"/>
      <c r="VA88" s="37"/>
      <c r="VB88" s="37"/>
      <c r="VC88" s="37"/>
      <c r="VD88" s="37"/>
      <c r="VE88" s="37"/>
      <c r="VF88" s="37"/>
      <c r="VG88" s="37"/>
      <c r="VH88" s="37"/>
      <c r="VI88" s="37"/>
      <c r="VJ88" s="37"/>
      <c r="VK88" s="37"/>
      <c r="VL88" s="37"/>
      <c r="VM88" s="37"/>
      <c r="VN88" s="37"/>
      <c r="VO88" s="37"/>
      <c r="VP88" s="37"/>
      <c r="VQ88" s="37"/>
      <c r="VR88" s="37"/>
      <c r="VS88" s="37"/>
      <c r="VT88" s="37"/>
      <c r="VU88" s="37"/>
      <c r="VV88" s="37"/>
      <c r="VW88" s="37"/>
      <c r="VX88" s="37"/>
      <c r="VY88" s="37"/>
      <c r="VZ88" s="37"/>
      <c r="WA88" s="37"/>
      <c r="WB88" s="37"/>
      <c r="WC88" s="37"/>
      <c r="WD88" s="37"/>
      <c r="WE88" s="37"/>
      <c r="WF88" s="37"/>
      <c r="WG88" s="37"/>
      <c r="WH88" s="37"/>
      <c r="WI88" s="37"/>
      <c r="WJ88" s="37"/>
      <c r="WK88" s="37"/>
      <c r="WL88" s="37"/>
      <c r="WM88" s="37"/>
      <c r="WN88" s="37"/>
      <c r="WO88" s="37"/>
      <c r="WP88" s="37"/>
      <c r="WQ88" s="37"/>
      <c r="WR88" s="37"/>
      <c r="WS88" s="37"/>
      <c r="WT88" s="37"/>
      <c r="WU88" s="37"/>
      <c r="WV88" s="37"/>
      <c r="WW88" s="37"/>
      <c r="WX88" s="37"/>
      <c r="WY88" s="37"/>
      <c r="WZ88" s="37"/>
      <c r="XA88" s="37"/>
      <c r="XB88" s="37"/>
      <c r="XC88" s="37"/>
      <c r="XD88" s="37"/>
      <c r="XE88" s="37"/>
      <c r="XF88" s="37"/>
      <c r="XG88" s="37"/>
      <c r="XH88" s="37"/>
      <c r="XI88" s="37"/>
      <c r="XJ88" s="37"/>
      <c r="XK88" s="37"/>
      <c r="XL88" s="37"/>
      <c r="XM88" s="37"/>
      <c r="XN88" s="37"/>
      <c r="XO88" s="37"/>
      <c r="XP88" s="37"/>
      <c r="XQ88" s="37"/>
      <c r="XR88" s="37"/>
      <c r="XS88" s="37"/>
      <c r="XT88" s="37"/>
      <c r="XU88" s="37"/>
      <c r="XV88" s="37"/>
      <c r="XW88" s="37"/>
      <c r="XX88" s="37"/>
      <c r="XY88" s="37"/>
      <c r="XZ88" s="37"/>
      <c r="YA88" s="37"/>
      <c r="YB88" s="37"/>
      <c r="YC88" s="37"/>
      <c r="YD88" s="37"/>
      <c r="YE88" s="37"/>
      <c r="YF88" s="37"/>
      <c r="YG88" s="37"/>
      <c r="YH88" s="37"/>
      <c r="YI88" s="37"/>
      <c r="YJ88" s="37"/>
      <c r="YK88" s="37"/>
      <c r="YL88" s="37"/>
      <c r="YM88" s="37"/>
      <c r="YN88" s="37"/>
      <c r="YO88" s="37"/>
      <c r="YP88" s="37"/>
      <c r="YQ88" s="37"/>
      <c r="YR88" s="37"/>
      <c r="YS88" s="37"/>
      <c r="YT88" s="37"/>
      <c r="YU88" s="37"/>
      <c r="YV88" s="37"/>
      <c r="YW88" s="37"/>
      <c r="YX88" s="37"/>
      <c r="YY88" s="37"/>
      <c r="YZ88" s="37"/>
      <c r="ZA88" s="37"/>
      <c r="ZB88" s="37"/>
      <c r="ZC88" s="37"/>
      <c r="ZD88" s="37"/>
      <c r="ZE88" s="37"/>
      <c r="ZF88" s="37"/>
      <c r="ZG88" s="37"/>
      <c r="ZH88" s="37"/>
      <c r="ZI88" s="37"/>
      <c r="ZJ88" s="37"/>
      <c r="ZK88" s="37"/>
      <c r="ZL88" s="37"/>
      <c r="ZM88" s="37"/>
      <c r="ZN88" s="37"/>
      <c r="ZO88" s="37"/>
      <c r="ZP88" s="37"/>
      <c r="ZQ88" s="37"/>
      <c r="ZR88" s="37"/>
      <c r="ZS88" s="37"/>
      <c r="ZT88" s="37"/>
      <c r="ZU88" s="37"/>
      <c r="ZV88" s="37"/>
      <c r="ZW88" s="37"/>
      <c r="ZX88" s="37"/>
      <c r="ZY88" s="37"/>
      <c r="ZZ88" s="37"/>
      <c r="AAA88" s="37"/>
      <c r="AAB88" s="37"/>
      <c r="AAC88" s="37"/>
      <c r="AAD88" s="37"/>
      <c r="AAE88" s="37"/>
      <c r="AAF88" s="37"/>
      <c r="AAG88" s="37"/>
      <c r="AAH88" s="37"/>
      <c r="AAI88" s="37"/>
      <c r="AAJ88" s="37"/>
      <c r="AAK88" s="37"/>
      <c r="AAL88" s="37"/>
      <c r="AAM88" s="37"/>
      <c r="AAN88" s="37"/>
      <c r="AAO88" s="37"/>
      <c r="AAP88" s="37"/>
      <c r="AAQ88" s="37"/>
      <c r="AAR88" s="37"/>
      <c r="AAS88" s="37"/>
      <c r="AAT88" s="37"/>
      <c r="AAU88" s="37"/>
      <c r="AAV88" s="37"/>
      <c r="AAW88" s="37"/>
      <c r="AAX88" s="37"/>
      <c r="AAY88" s="37"/>
      <c r="AAZ88" s="37"/>
      <c r="ABA88" s="37"/>
      <c r="ABB88" s="37"/>
      <c r="ABC88" s="37"/>
      <c r="ABD88" s="37"/>
      <c r="ABE88" s="37"/>
      <c r="ABF88" s="37"/>
      <c r="ABG88" s="37"/>
      <c r="ABH88" s="37"/>
      <c r="ABI88" s="37"/>
      <c r="ABJ88" s="37"/>
      <c r="ABK88" s="37"/>
      <c r="ABL88" s="37"/>
      <c r="ABM88" s="37"/>
      <c r="ABN88" s="37"/>
      <c r="ABO88" s="37"/>
      <c r="ABP88" s="37"/>
      <c r="ABQ88" s="37"/>
      <c r="ABR88" s="37"/>
      <c r="ABS88" s="37"/>
      <c r="ABT88" s="37"/>
      <c r="ABU88" s="37"/>
      <c r="ABV88" s="37"/>
      <c r="ABW88" s="37"/>
      <c r="ABX88" s="37"/>
      <c r="ABY88" s="37"/>
      <c r="ABZ88" s="37"/>
      <c r="ACA88" s="37"/>
      <c r="ACB88" s="37"/>
      <c r="ACC88" s="37"/>
      <c r="ACD88" s="37"/>
      <c r="ACE88" s="37"/>
      <c r="ACF88" s="37"/>
      <c r="ACG88" s="37"/>
      <c r="ACH88" s="37"/>
      <c r="ACI88" s="37"/>
      <c r="ACJ88" s="37"/>
      <c r="ACK88" s="37"/>
      <c r="ACL88" s="37"/>
      <c r="ACM88" s="37"/>
      <c r="ACN88" s="37"/>
      <c r="ACO88" s="37"/>
      <c r="ACP88" s="37"/>
      <c r="ACQ88" s="37"/>
      <c r="ACR88" s="37"/>
      <c r="ACS88" s="37"/>
      <c r="ACT88" s="37"/>
      <c r="ACU88" s="37"/>
      <c r="ACV88" s="37"/>
      <c r="ACW88" s="37"/>
      <c r="ACX88" s="37"/>
      <c r="ACY88" s="37"/>
      <c r="ACZ88" s="37"/>
      <c r="ADA88" s="37"/>
      <c r="ADB88" s="37"/>
      <c r="ADC88" s="37"/>
      <c r="ADD88" s="37"/>
      <c r="ADE88" s="37"/>
      <c r="ADF88" s="37"/>
      <c r="ADG88" s="37"/>
      <c r="ADH88" s="37"/>
      <c r="ADI88" s="37"/>
      <c r="ADJ88" s="37"/>
      <c r="ADK88" s="37"/>
      <c r="ADL88" s="37"/>
      <c r="ADM88" s="37"/>
      <c r="ADN88" s="37"/>
      <c r="ADO88" s="37"/>
      <c r="ADP88" s="37"/>
      <c r="ADQ88" s="37"/>
      <c r="ADR88" s="37"/>
      <c r="ADS88" s="37"/>
      <c r="ADT88" s="37"/>
      <c r="ADU88" s="37"/>
      <c r="ADV88" s="37"/>
      <c r="ADW88" s="37"/>
      <c r="ADX88" s="37"/>
      <c r="ADY88" s="37"/>
      <c r="ADZ88" s="37"/>
      <c r="AEA88" s="37"/>
      <c r="AEB88" s="37"/>
      <c r="AEC88" s="37"/>
      <c r="AED88" s="37"/>
      <c r="AEE88" s="37"/>
      <c r="AEF88" s="37"/>
      <c r="AEG88" s="37"/>
      <c r="AEH88" s="37"/>
      <c r="AEI88" s="37"/>
      <c r="AEJ88" s="37"/>
      <c r="AEK88" s="37"/>
      <c r="AEL88" s="37"/>
      <c r="AEM88" s="37"/>
      <c r="AEN88" s="37"/>
      <c r="AEO88" s="37"/>
      <c r="AEP88" s="37"/>
      <c r="AEQ88" s="37"/>
      <c r="AER88" s="37"/>
      <c r="AES88" s="37"/>
      <c r="AET88" s="37"/>
      <c r="AEU88" s="37"/>
      <c r="AEV88" s="37"/>
      <c r="AEW88" s="37"/>
      <c r="AEX88" s="37"/>
      <c r="AEY88" s="37"/>
      <c r="AEZ88" s="37"/>
      <c r="AFA88" s="37"/>
      <c r="AFB88" s="37"/>
      <c r="AFC88" s="37"/>
      <c r="AFD88" s="37"/>
      <c r="AFE88" s="37"/>
      <c r="AFF88" s="37"/>
      <c r="AFG88" s="37"/>
      <c r="AFH88" s="37"/>
      <c r="AFI88" s="37"/>
      <c r="AFJ88" s="37"/>
      <c r="AFK88" s="37"/>
      <c r="AFL88" s="37"/>
      <c r="AFM88" s="37"/>
      <c r="AFN88" s="37"/>
      <c r="AFO88" s="37"/>
      <c r="AFP88" s="37"/>
      <c r="AFQ88" s="37"/>
      <c r="AFR88" s="37"/>
      <c r="AFS88" s="37"/>
      <c r="AFT88" s="37"/>
      <c r="AFU88" s="37"/>
      <c r="AFV88" s="37"/>
      <c r="AFW88" s="37"/>
      <c r="AFX88" s="37"/>
      <c r="AFY88" s="37"/>
      <c r="AFZ88" s="37"/>
      <c r="AGA88" s="37"/>
      <c r="AGB88" s="37"/>
      <c r="AGC88" s="37"/>
      <c r="AGD88" s="37"/>
      <c r="AGE88" s="37"/>
      <c r="AGF88" s="37"/>
      <c r="AGG88" s="37"/>
      <c r="AGH88" s="37"/>
      <c r="AGI88" s="37"/>
      <c r="AGJ88" s="37"/>
      <c r="AGK88" s="37"/>
      <c r="AGL88" s="37"/>
      <c r="AGM88" s="37"/>
      <c r="AGN88" s="37"/>
      <c r="AGO88" s="37"/>
      <c r="AGP88" s="37"/>
      <c r="AGQ88" s="37"/>
      <c r="AGR88" s="37"/>
      <c r="AGS88" s="37"/>
      <c r="AGT88" s="37"/>
      <c r="AGU88" s="37"/>
      <c r="AGV88" s="37"/>
      <c r="AGW88" s="37"/>
      <c r="AGX88" s="37"/>
      <c r="AGY88" s="37"/>
      <c r="AGZ88" s="37"/>
      <c r="AHA88" s="37"/>
      <c r="AHB88" s="37"/>
      <c r="AHC88" s="37"/>
      <c r="AHD88" s="37"/>
      <c r="AHE88" s="37"/>
      <c r="AHF88" s="37"/>
      <c r="AHG88" s="37"/>
      <c r="AHH88" s="37"/>
      <c r="AHI88" s="37"/>
      <c r="AHJ88" s="37"/>
      <c r="AHK88" s="37"/>
      <c r="AHL88" s="37"/>
      <c r="AHM88" s="37"/>
      <c r="AHN88" s="37"/>
      <c r="AHO88" s="37"/>
      <c r="AHP88" s="37"/>
      <c r="AHQ88" s="37"/>
      <c r="AHR88" s="37"/>
      <c r="AHS88" s="37"/>
      <c r="AHT88" s="37"/>
      <c r="AHU88" s="37"/>
      <c r="AHV88" s="37"/>
      <c r="AHW88" s="37"/>
      <c r="AHX88" s="37"/>
      <c r="AHY88" s="37"/>
      <c r="AHZ88" s="37"/>
      <c r="AIA88" s="37"/>
      <c r="AIB88" s="37"/>
      <c r="AIC88" s="37"/>
      <c r="AID88" s="37"/>
      <c r="AIE88" s="37"/>
      <c r="AIF88" s="37"/>
      <c r="AIG88" s="37"/>
      <c r="AIH88" s="37"/>
      <c r="AII88" s="37"/>
      <c r="AIJ88" s="37"/>
      <c r="AIK88" s="37"/>
      <c r="AIL88" s="37"/>
      <c r="AIM88" s="37"/>
      <c r="AIN88" s="37"/>
      <c r="AIO88" s="37"/>
      <c r="AIP88" s="37"/>
      <c r="AIQ88" s="37"/>
      <c r="AIR88" s="37"/>
      <c r="AIS88" s="37"/>
      <c r="AIT88" s="37"/>
      <c r="AIU88" s="37"/>
      <c r="AIV88" s="37"/>
      <c r="AIW88" s="37"/>
      <c r="AIX88" s="37"/>
      <c r="AIY88" s="37"/>
      <c r="AIZ88" s="37"/>
      <c r="AJA88" s="37"/>
      <c r="AJB88" s="37"/>
      <c r="AJC88" s="37"/>
      <c r="AJD88" s="37"/>
      <c r="AJE88" s="37"/>
      <c r="AJF88" s="37"/>
      <c r="AJG88" s="37"/>
      <c r="AJH88" s="37"/>
      <c r="AJI88" s="37"/>
      <c r="AJJ88" s="37"/>
      <c r="AJK88" s="37"/>
      <c r="AJL88" s="37"/>
      <c r="AJM88" s="37"/>
      <c r="AJN88" s="37"/>
      <c r="AJO88" s="37"/>
      <c r="AJP88" s="37"/>
      <c r="AJQ88" s="37"/>
      <c r="AJR88" s="37"/>
      <c r="AJS88" s="37"/>
      <c r="AJT88" s="37"/>
      <c r="AJU88" s="37"/>
      <c r="AJV88" s="37"/>
      <c r="AJW88" s="37"/>
      <c r="AJX88" s="37"/>
      <c r="AJY88" s="37"/>
      <c r="AJZ88" s="37"/>
      <c r="AKA88" s="37"/>
      <c r="AKB88" s="37"/>
      <c r="AKC88" s="37"/>
      <c r="AKD88" s="37"/>
      <c r="AKE88" s="37"/>
      <c r="AKF88" s="37"/>
      <c r="AKG88" s="37"/>
      <c r="AKH88" s="37"/>
      <c r="AKI88" s="37"/>
      <c r="AKJ88" s="37"/>
      <c r="AKK88" s="37"/>
      <c r="AKL88" s="37"/>
      <c r="AKM88" s="37"/>
      <c r="AKN88" s="37"/>
      <c r="AKO88" s="37"/>
      <c r="AKP88" s="37"/>
      <c r="AKQ88" s="37"/>
      <c r="AKR88" s="37"/>
      <c r="AKS88" s="37"/>
      <c r="AKT88" s="37"/>
      <c r="AKU88" s="37"/>
      <c r="AKV88" s="37"/>
      <c r="AKW88" s="37"/>
      <c r="AKX88" s="37"/>
      <c r="AKY88" s="37"/>
      <c r="AKZ88" s="37"/>
      <c r="ALA88" s="37"/>
      <c r="ALB88" s="37"/>
      <c r="ALC88" s="37"/>
      <c r="ALD88" s="37"/>
      <c r="ALE88" s="37"/>
      <c r="ALF88" s="37"/>
      <c r="ALG88" s="37"/>
      <c r="ALH88" s="37"/>
      <c r="ALI88" s="37"/>
      <c r="ALJ88" s="37"/>
      <c r="ALK88" s="37"/>
      <c r="ALL88" s="37"/>
      <c r="ALM88" s="37"/>
      <c r="ALN88" s="37"/>
      <c r="ALO88" s="37"/>
      <c r="ALP88" s="37"/>
      <c r="ALQ88" s="37"/>
      <c r="ALR88" s="37"/>
      <c r="ALS88" s="37"/>
      <c r="ALT88" s="37"/>
      <c r="ALU88" s="37"/>
      <c r="ALV88" s="37"/>
      <c r="ALW88" s="37"/>
      <c r="ALX88" s="37"/>
      <c r="ALY88" s="37"/>
      <c r="ALZ88" s="37"/>
      <c r="AMA88" s="37"/>
      <c r="AMB88" s="37"/>
      <c r="AMC88" s="37"/>
    </row>
    <row r="89" spans="1:1017" s="38" customFormat="1" ht="19.5" customHeight="1">
      <c r="A89" s="26" t="s">
        <v>138</v>
      </c>
      <c r="B89" s="25" t="s">
        <v>133</v>
      </c>
      <c r="C89" s="26" t="s">
        <v>46</v>
      </c>
      <c r="D89" s="26" t="s">
        <v>32</v>
      </c>
      <c r="E89" s="26" t="s">
        <v>261</v>
      </c>
      <c r="F89" s="26">
        <v>40</v>
      </c>
      <c r="G89" s="26" t="s">
        <v>36</v>
      </c>
      <c r="H89" s="26">
        <v>57</v>
      </c>
      <c r="I89" s="36">
        <v>39</v>
      </c>
      <c r="J89" s="36">
        <v>25</v>
      </c>
      <c r="K89" s="36">
        <v>16</v>
      </c>
      <c r="L89" s="36">
        <v>26</v>
      </c>
      <c r="M89" s="36">
        <v>24</v>
      </c>
      <c r="N89" s="36">
        <v>26</v>
      </c>
      <c r="O89" s="36">
        <v>66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  <c r="OU89" s="37"/>
      <c r="OV89" s="37"/>
      <c r="OW89" s="37"/>
      <c r="OX89" s="37"/>
      <c r="OY89" s="37"/>
      <c r="OZ89" s="37"/>
      <c r="PA89" s="37"/>
      <c r="PB89" s="37"/>
      <c r="PC89" s="37"/>
      <c r="PD89" s="37"/>
      <c r="PE89" s="37"/>
      <c r="PF89" s="37"/>
      <c r="PG89" s="37"/>
      <c r="PH89" s="37"/>
      <c r="PI89" s="37"/>
      <c r="PJ89" s="37"/>
      <c r="PK89" s="37"/>
      <c r="PL89" s="37"/>
      <c r="PM89" s="37"/>
      <c r="PN89" s="37"/>
      <c r="PO89" s="37"/>
      <c r="PP89" s="37"/>
      <c r="PQ89" s="37"/>
      <c r="PR89" s="37"/>
      <c r="PS89" s="37"/>
      <c r="PT89" s="37"/>
      <c r="PU89" s="37"/>
      <c r="PV89" s="37"/>
      <c r="PW89" s="37"/>
      <c r="PX89" s="37"/>
      <c r="PY89" s="37"/>
      <c r="PZ89" s="37"/>
      <c r="QA89" s="37"/>
      <c r="QB89" s="37"/>
      <c r="QC89" s="37"/>
      <c r="QD89" s="37"/>
      <c r="QE89" s="37"/>
      <c r="QF89" s="37"/>
      <c r="QG89" s="37"/>
      <c r="QH89" s="37"/>
      <c r="QI89" s="37"/>
      <c r="QJ89" s="37"/>
      <c r="QK89" s="37"/>
      <c r="QL89" s="37"/>
      <c r="QM89" s="37"/>
      <c r="QN89" s="37"/>
      <c r="QO89" s="37"/>
      <c r="QP89" s="37"/>
      <c r="QQ89" s="37"/>
      <c r="QR89" s="37"/>
      <c r="QS89" s="37"/>
      <c r="QT89" s="37"/>
      <c r="QU89" s="37"/>
      <c r="QV89" s="37"/>
      <c r="QW89" s="37"/>
      <c r="QX89" s="37"/>
      <c r="QY89" s="37"/>
      <c r="QZ89" s="37"/>
      <c r="RA89" s="37"/>
      <c r="RB89" s="37"/>
      <c r="RC89" s="37"/>
      <c r="RD89" s="37"/>
      <c r="RE89" s="37"/>
      <c r="RF89" s="37"/>
      <c r="RG89" s="37"/>
      <c r="RH89" s="37"/>
      <c r="RI89" s="37"/>
      <c r="RJ89" s="37"/>
      <c r="RK89" s="37"/>
      <c r="RL89" s="37"/>
      <c r="RM89" s="37"/>
      <c r="RN89" s="37"/>
      <c r="RO89" s="37"/>
      <c r="RP89" s="37"/>
      <c r="RQ89" s="37"/>
      <c r="RR89" s="37"/>
      <c r="RS89" s="37"/>
      <c r="RT89" s="37"/>
      <c r="RU89" s="37"/>
      <c r="RV89" s="37"/>
      <c r="RW89" s="37"/>
      <c r="RX89" s="37"/>
      <c r="RY89" s="37"/>
      <c r="RZ89" s="37"/>
      <c r="SA89" s="37"/>
      <c r="SB89" s="37"/>
      <c r="SC89" s="37"/>
      <c r="SD89" s="37"/>
      <c r="SE89" s="37"/>
      <c r="SF89" s="37"/>
      <c r="SG89" s="37"/>
      <c r="SH89" s="37"/>
      <c r="SI89" s="37"/>
      <c r="SJ89" s="37"/>
      <c r="SK89" s="37"/>
      <c r="SL89" s="37"/>
      <c r="SM89" s="37"/>
      <c r="SN89" s="37"/>
      <c r="SO89" s="37"/>
      <c r="SP89" s="37"/>
      <c r="SQ89" s="37"/>
      <c r="SR89" s="37"/>
      <c r="SS89" s="37"/>
      <c r="ST89" s="37"/>
      <c r="SU89" s="37"/>
      <c r="SV89" s="37"/>
      <c r="SW89" s="37"/>
      <c r="SX89" s="37"/>
      <c r="SY89" s="37"/>
      <c r="SZ89" s="37"/>
      <c r="TA89" s="37"/>
      <c r="TB89" s="37"/>
      <c r="TC89" s="37"/>
      <c r="TD89" s="37"/>
      <c r="TE89" s="37"/>
      <c r="TF89" s="37"/>
      <c r="TG89" s="37"/>
      <c r="TH89" s="37"/>
      <c r="TI89" s="37"/>
      <c r="TJ89" s="37"/>
      <c r="TK89" s="37"/>
      <c r="TL89" s="37"/>
      <c r="TM89" s="37"/>
      <c r="TN89" s="37"/>
      <c r="TO89" s="37"/>
      <c r="TP89" s="37"/>
      <c r="TQ89" s="37"/>
      <c r="TR89" s="37"/>
      <c r="TS89" s="37"/>
      <c r="TT89" s="37"/>
      <c r="TU89" s="37"/>
      <c r="TV89" s="37"/>
      <c r="TW89" s="37"/>
      <c r="TX89" s="37"/>
      <c r="TY89" s="37"/>
      <c r="TZ89" s="37"/>
      <c r="UA89" s="37"/>
      <c r="UB89" s="37"/>
      <c r="UC89" s="37"/>
      <c r="UD89" s="37"/>
      <c r="UE89" s="37"/>
      <c r="UF89" s="37"/>
      <c r="UG89" s="37"/>
      <c r="UH89" s="37"/>
      <c r="UI89" s="37"/>
      <c r="UJ89" s="37"/>
      <c r="UK89" s="37"/>
      <c r="UL89" s="37"/>
      <c r="UM89" s="37"/>
      <c r="UN89" s="37"/>
      <c r="UO89" s="37"/>
      <c r="UP89" s="37"/>
      <c r="UQ89" s="37"/>
      <c r="UR89" s="37"/>
      <c r="US89" s="37"/>
      <c r="UT89" s="37"/>
      <c r="UU89" s="37"/>
      <c r="UV89" s="37"/>
      <c r="UW89" s="37"/>
      <c r="UX89" s="37"/>
      <c r="UY89" s="37"/>
      <c r="UZ89" s="37"/>
      <c r="VA89" s="37"/>
      <c r="VB89" s="37"/>
      <c r="VC89" s="37"/>
      <c r="VD89" s="37"/>
      <c r="VE89" s="37"/>
      <c r="VF89" s="37"/>
      <c r="VG89" s="37"/>
      <c r="VH89" s="37"/>
      <c r="VI89" s="37"/>
      <c r="VJ89" s="37"/>
      <c r="VK89" s="37"/>
      <c r="VL89" s="37"/>
      <c r="VM89" s="37"/>
      <c r="VN89" s="37"/>
      <c r="VO89" s="37"/>
      <c r="VP89" s="37"/>
      <c r="VQ89" s="37"/>
      <c r="VR89" s="37"/>
      <c r="VS89" s="37"/>
      <c r="VT89" s="37"/>
      <c r="VU89" s="37"/>
      <c r="VV89" s="37"/>
      <c r="VW89" s="37"/>
      <c r="VX89" s="37"/>
      <c r="VY89" s="37"/>
      <c r="VZ89" s="37"/>
      <c r="WA89" s="37"/>
      <c r="WB89" s="37"/>
      <c r="WC89" s="37"/>
      <c r="WD89" s="37"/>
      <c r="WE89" s="37"/>
      <c r="WF89" s="37"/>
      <c r="WG89" s="37"/>
      <c r="WH89" s="37"/>
      <c r="WI89" s="37"/>
      <c r="WJ89" s="37"/>
      <c r="WK89" s="37"/>
      <c r="WL89" s="37"/>
      <c r="WM89" s="37"/>
      <c r="WN89" s="37"/>
      <c r="WO89" s="37"/>
      <c r="WP89" s="37"/>
      <c r="WQ89" s="37"/>
      <c r="WR89" s="37"/>
      <c r="WS89" s="37"/>
      <c r="WT89" s="37"/>
      <c r="WU89" s="37"/>
      <c r="WV89" s="37"/>
      <c r="WW89" s="37"/>
      <c r="WX89" s="37"/>
      <c r="WY89" s="37"/>
      <c r="WZ89" s="37"/>
      <c r="XA89" s="37"/>
      <c r="XB89" s="37"/>
      <c r="XC89" s="37"/>
      <c r="XD89" s="37"/>
      <c r="XE89" s="37"/>
      <c r="XF89" s="37"/>
      <c r="XG89" s="37"/>
      <c r="XH89" s="37"/>
      <c r="XI89" s="37"/>
      <c r="XJ89" s="37"/>
      <c r="XK89" s="37"/>
      <c r="XL89" s="37"/>
      <c r="XM89" s="37"/>
      <c r="XN89" s="37"/>
      <c r="XO89" s="37"/>
      <c r="XP89" s="37"/>
      <c r="XQ89" s="37"/>
      <c r="XR89" s="37"/>
      <c r="XS89" s="37"/>
      <c r="XT89" s="37"/>
      <c r="XU89" s="37"/>
      <c r="XV89" s="37"/>
      <c r="XW89" s="37"/>
      <c r="XX89" s="37"/>
      <c r="XY89" s="37"/>
      <c r="XZ89" s="37"/>
      <c r="YA89" s="37"/>
      <c r="YB89" s="37"/>
      <c r="YC89" s="37"/>
      <c r="YD89" s="37"/>
      <c r="YE89" s="37"/>
      <c r="YF89" s="37"/>
      <c r="YG89" s="37"/>
      <c r="YH89" s="37"/>
      <c r="YI89" s="37"/>
      <c r="YJ89" s="37"/>
      <c r="YK89" s="37"/>
      <c r="YL89" s="37"/>
      <c r="YM89" s="37"/>
      <c r="YN89" s="37"/>
      <c r="YO89" s="37"/>
      <c r="YP89" s="37"/>
      <c r="YQ89" s="37"/>
      <c r="YR89" s="37"/>
      <c r="YS89" s="37"/>
      <c r="YT89" s="37"/>
      <c r="YU89" s="37"/>
      <c r="YV89" s="37"/>
      <c r="YW89" s="37"/>
      <c r="YX89" s="37"/>
      <c r="YY89" s="37"/>
      <c r="YZ89" s="37"/>
      <c r="ZA89" s="37"/>
      <c r="ZB89" s="37"/>
      <c r="ZC89" s="37"/>
      <c r="ZD89" s="37"/>
      <c r="ZE89" s="37"/>
      <c r="ZF89" s="37"/>
      <c r="ZG89" s="37"/>
      <c r="ZH89" s="37"/>
      <c r="ZI89" s="37"/>
      <c r="ZJ89" s="37"/>
      <c r="ZK89" s="37"/>
      <c r="ZL89" s="37"/>
      <c r="ZM89" s="37"/>
      <c r="ZN89" s="37"/>
      <c r="ZO89" s="37"/>
      <c r="ZP89" s="37"/>
      <c r="ZQ89" s="37"/>
      <c r="ZR89" s="37"/>
      <c r="ZS89" s="37"/>
      <c r="ZT89" s="37"/>
      <c r="ZU89" s="37"/>
      <c r="ZV89" s="37"/>
      <c r="ZW89" s="37"/>
      <c r="ZX89" s="37"/>
      <c r="ZY89" s="37"/>
      <c r="ZZ89" s="37"/>
      <c r="AAA89" s="37"/>
      <c r="AAB89" s="37"/>
      <c r="AAC89" s="37"/>
      <c r="AAD89" s="37"/>
      <c r="AAE89" s="37"/>
      <c r="AAF89" s="37"/>
      <c r="AAG89" s="37"/>
      <c r="AAH89" s="37"/>
      <c r="AAI89" s="37"/>
      <c r="AAJ89" s="37"/>
      <c r="AAK89" s="37"/>
      <c r="AAL89" s="37"/>
      <c r="AAM89" s="37"/>
      <c r="AAN89" s="37"/>
      <c r="AAO89" s="37"/>
      <c r="AAP89" s="37"/>
      <c r="AAQ89" s="37"/>
      <c r="AAR89" s="37"/>
      <c r="AAS89" s="37"/>
      <c r="AAT89" s="37"/>
      <c r="AAU89" s="37"/>
      <c r="AAV89" s="37"/>
      <c r="AAW89" s="37"/>
      <c r="AAX89" s="37"/>
      <c r="AAY89" s="37"/>
      <c r="AAZ89" s="37"/>
      <c r="ABA89" s="37"/>
      <c r="ABB89" s="37"/>
      <c r="ABC89" s="37"/>
      <c r="ABD89" s="37"/>
      <c r="ABE89" s="37"/>
      <c r="ABF89" s="37"/>
      <c r="ABG89" s="37"/>
      <c r="ABH89" s="37"/>
      <c r="ABI89" s="37"/>
      <c r="ABJ89" s="37"/>
      <c r="ABK89" s="37"/>
      <c r="ABL89" s="37"/>
      <c r="ABM89" s="37"/>
      <c r="ABN89" s="37"/>
      <c r="ABO89" s="37"/>
      <c r="ABP89" s="37"/>
      <c r="ABQ89" s="37"/>
      <c r="ABR89" s="37"/>
      <c r="ABS89" s="37"/>
      <c r="ABT89" s="37"/>
      <c r="ABU89" s="37"/>
      <c r="ABV89" s="37"/>
      <c r="ABW89" s="37"/>
      <c r="ABX89" s="37"/>
      <c r="ABY89" s="37"/>
      <c r="ABZ89" s="37"/>
      <c r="ACA89" s="37"/>
      <c r="ACB89" s="37"/>
      <c r="ACC89" s="37"/>
      <c r="ACD89" s="37"/>
      <c r="ACE89" s="37"/>
      <c r="ACF89" s="37"/>
      <c r="ACG89" s="37"/>
      <c r="ACH89" s="37"/>
      <c r="ACI89" s="37"/>
      <c r="ACJ89" s="37"/>
      <c r="ACK89" s="37"/>
      <c r="ACL89" s="37"/>
      <c r="ACM89" s="37"/>
      <c r="ACN89" s="37"/>
      <c r="ACO89" s="37"/>
      <c r="ACP89" s="37"/>
      <c r="ACQ89" s="37"/>
      <c r="ACR89" s="37"/>
      <c r="ACS89" s="37"/>
      <c r="ACT89" s="37"/>
      <c r="ACU89" s="37"/>
      <c r="ACV89" s="37"/>
      <c r="ACW89" s="37"/>
      <c r="ACX89" s="37"/>
      <c r="ACY89" s="37"/>
      <c r="ACZ89" s="37"/>
      <c r="ADA89" s="37"/>
      <c r="ADB89" s="37"/>
      <c r="ADC89" s="37"/>
      <c r="ADD89" s="37"/>
      <c r="ADE89" s="37"/>
      <c r="ADF89" s="37"/>
      <c r="ADG89" s="37"/>
      <c r="ADH89" s="37"/>
      <c r="ADI89" s="37"/>
      <c r="ADJ89" s="37"/>
      <c r="ADK89" s="37"/>
      <c r="ADL89" s="37"/>
      <c r="ADM89" s="37"/>
      <c r="ADN89" s="37"/>
      <c r="ADO89" s="37"/>
      <c r="ADP89" s="37"/>
      <c r="ADQ89" s="37"/>
      <c r="ADR89" s="37"/>
      <c r="ADS89" s="37"/>
      <c r="ADT89" s="37"/>
      <c r="ADU89" s="37"/>
      <c r="ADV89" s="37"/>
      <c r="ADW89" s="37"/>
      <c r="ADX89" s="37"/>
      <c r="ADY89" s="37"/>
      <c r="ADZ89" s="37"/>
      <c r="AEA89" s="37"/>
      <c r="AEB89" s="37"/>
      <c r="AEC89" s="37"/>
      <c r="AED89" s="37"/>
      <c r="AEE89" s="37"/>
      <c r="AEF89" s="37"/>
      <c r="AEG89" s="37"/>
      <c r="AEH89" s="37"/>
      <c r="AEI89" s="37"/>
      <c r="AEJ89" s="37"/>
      <c r="AEK89" s="37"/>
      <c r="AEL89" s="37"/>
      <c r="AEM89" s="37"/>
      <c r="AEN89" s="37"/>
      <c r="AEO89" s="37"/>
      <c r="AEP89" s="37"/>
      <c r="AEQ89" s="37"/>
      <c r="AER89" s="37"/>
      <c r="AES89" s="37"/>
      <c r="AET89" s="37"/>
      <c r="AEU89" s="37"/>
      <c r="AEV89" s="37"/>
      <c r="AEW89" s="37"/>
      <c r="AEX89" s="37"/>
      <c r="AEY89" s="37"/>
      <c r="AEZ89" s="37"/>
      <c r="AFA89" s="37"/>
      <c r="AFB89" s="37"/>
      <c r="AFC89" s="37"/>
      <c r="AFD89" s="37"/>
      <c r="AFE89" s="37"/>
      <c r="AFF89" s="37"/>
      <c r="AFG89" s="37"/>
      <c r="AFH89" s="37"/>
      <c r="AFI89" s="37"/>
      <c r="AFJ89" s="37"/>
      <c r="AFK89" s="37"/>
      <c r="AFL89" s="37"/>
      <c r="AFM89" s="37"/>
      <c r="AFN89" s="37"/>
      <c r="AFO89" s="37"/>
      <c r="AFP89" s="37"/>
      <c r="AFQ89" s="37"/>
      <c r="AFR89" s="37"/>
      <c r="AFS89" s="37"/>
      <c r="AFT89" s="37"/>
      <c r="AFU89" s="37"/>
      <c r="AFV89" s="37"/>
      <c r="AFW89" s="37"/>
      <c r="AFX89" s="37"/>
      <c r="AFY89" s="37"/>
      <c r="AFZ89" s="37"/>
      <c r="AGA89" s="37"/>
      <c r="AGB89" s="37"/>
      <c r="AGC89" s="37"/>
      <c r="AGD89" s="37"/>
      <c r="AGE89" s="37"/>
      <c r="AGF89" s="37"/>
      <c r="AGG89" s="37"/>
      <c r="AGH89" s="37"/>
      <c r="AGI89" s="37"/>
      <c r="AGJ89" s="37"/>
      <c r="AGK89" s="37"/>
      <c r="AGL89" s="37"/>
      <c r="AGM89" s="37"/>
      <c r="AGN89" s="37"/>
      <c r="AGO89" s="37"/>
      <c r="AGP89" s="37"/>
      <c r="AGQ89" s="37"/>
      <c r="AGR89" s="37"/>
      <c r="AGS89" s="37"/>
      <c r="AGT89" s="37"/>
      <c r="AGU89" s="37"/>
      <c r="AGV89" s="37"/>
      <c r="AGW89" s="37"/>
      <c r="AGX89" s="37"/>
      <c r="AGY89" s="37"/>
      <c r="AGZ89" s="37"/>
      <c r="AHA89" s="37"/>
      <c r="AHB89" s="37"/>
      <c r="AHC89" s="37"/>
      <c r="AHD89" s="37"/>
      <c r="AHE89" s="37"/>
      <c r="AHF89" s="37"/>
      <c r="AHG89" s="37"/>
      <c r="AHH89" s="37"/>
      <c r="AHI89" s="37"/>
      <c r="AHJ89" s="37"/>
      <c r="AHK89" s="37"/>
      <c r="AHL89" s="37"/>
      <c r="AHM89" s="37"/>
      <c r="AHN89" s="37"/>
      <c r="AHO89" s="37"/>
      <c r="AHP89" s="37"/>
      <c r="AHQ89" s="37"/>
      <c r="AHR89" s="37"/>
      <c r="AHS89" s="37"/>
      <c r="AHT89" s="37"/>
      <c r="AHU89" s="37"/>
      <c r="AHV89" s="37"/>
      <c r="AHW89" s="37"/>
      <c r="AHX89" s="37"/>
      <c r="AHY89" s="37"/>
      <c r="AHZ89" s="37"/>
      <c r="AIA89" s="37"/>
      <c r="AIB89" s="37"/>
      <c r="AIC89" s="37"/>
      <c r="AID89" s="37"/>
      <c r="AIE89" s="37"/>
      <c r="AIF89" s="37"/>
      <c r="AIG89" s="37"/>
      <c r="AIH89" s="37"/>
      <c r="AII89" s="37"/>
      <c r="AIJ89" s="37"/>
      <c r="AIK89" s="37"/>
      <c r="AIL89" s="37"/>
      <c r="AIM89" s="37"/>
      <c r="AIN89" s="37"/>
      <c r="AIO89" s="37"/>
      <c r="AIP89" s="37"/>
      <c r="AIQ89" s="37"/>
      <c r="AIR89" s="37"/>
      <c r="AIS89" s="37"/>
      <c r="AIT89" s="37"/>
      <c r="AIU89" s="37"/>
      <c r="AIV89" s="37"/>
      <c r="AIW89" s="37"/>
      <c r="AIX89" s="37"/>
      <c r="AIY89" s="37"/>
      <c r="AIZ89" s="37"/>
      <c r="AJA89" s="37"/>
      <c r="AJB89" s="37"/>
      <c r="AJC89" s="37"/>
      <c r="AJD89" s="37"/>
      <c r="AJE89" s="37"/>
      <c r="AJF89" s="37"/>
      <c r="AJG89" s="37"/>
      <c r="AJH89" s="37"/>
      <c r="AJI89" s="37"/>
      <c r="AJJ89" s="37"/>
      <c r="AJK89" s="37"/>
      <c r="AJL89" s="37"/>
      <c r="AJM89" s="37"/>
      <c r="AJN89" s="37"/>
      <c r="AJO89" s="37"/>
      <c r="AJP89" s="37"/>
      <c r="AJQ89" s="37"/>
      <c r="AJR89" s="37"/>
      <c r="AJS89" s="37"/>
      <c r="AJT89" s="37"/>
      <c r="AJU89" s="37"/>
      <c r="AJV89" s="37"/>
      <c r="AJW89" s="37"/>
      <c r="AJX89" s="37"/>
      <c r="AJY89" s="37"/>
      <c r="AJZ89" s="37"/>
      <c r="AKA89" s="37"/>
      <c r="AKB89" s="37"/>
      <c r="AKC89" s="37"/>
      <c r="AKD89" s="37"/>
      <c r="AKE89" s="37"/>
      <c r="AKF89" s="37"/>
      <c r="AKG89" s="37"/>
      <c r="AKH89" s="37"/>
      <c r="AKI89" s="37"/>
      <c r="AKJ89" s="37"/>
      <c r="AKK89" s="37"/>
      <c r="AKL89" s="37"/>
      <c r="AKM89" s="37"/>
      <c r="AKN89" s="37"/>
      <c r="AKO89" s="37"/>
      <c r="AKP89" s="37"/>
      <c r="AKQ89" s="37"/>
      <c r="AKR89" s="37"/>
      <c r="AKS89" s="37"/>
      <c r="AKT89" s="37"/>
      <c r="AKU89" s="37"/>
      <c r="AKV89" s="37"/>
      <c r="AKW89" s="37"/>
      <c r="AKX89" s="37"/>
      <c r="AKY89" s="37"/>
      <c r="AKZ89" s="37"/>
      <c r="ALA89" s="37"/>
      <c r="ALB89" s="37"/>
      <c r="ALC89" s="37"/>
      <c r="ALD89" s="37"/>
      <c r="ALE89" s="37"/>
      <c r="ALF89" s="37"/>
      <c r="ALG89" s="37"/>
      <c r="ALH89" s="37"/>
      <c r="ALI89" s="37"/>
      <c r="ALJ89" s="37"/>
      <c r="ALK89" s="37"/>
      <c r="ALL89" s="37"/>
      <c r="ALM89" s="37"/>
      <c r="ALN89" s="37"/>
      <c r="ALO89" s="37"/>
      <c r="ALP89" s="37"/>
      <c r="ALQ89" s="37"/>
      <c r="ALR89" s="37"/>
      <c r="ALS89" s="37"/>
      <c r="ALT89" s="37"/>
      <c r="ALU89" s="37"/>
      <c r="ALV89" s="37"/>
      <c r="ALW89" s="37"/>
      <c r="ALX89" s="37"/>
      <c r="ALY89" s="37"/>
      <c r="ALZ89" s="37"/>
      <c r="AMA89" s="37"/>
      <c r="AMB89" s="37"/>
      <c r="AMC89" s="37"/>
    </row>
    <row r="90" spans="1:1017" s="38" customFormat="1" ht="19.5" customHeight="1">
      <c r="A90" s="72"/>
      <c r="B90" s="73"/>
      <c r="C90" s="72"/>
      <c r="D90" s="72"/>
      <c r="E90" s="72"/>
      <c r="F90" s="72"/>
      <c r="G90" s="35">
        <v>37</v>
      </c>
      <c r="H90" s="35">
        <v>74</v>
      </c>
      <c r="I90" s="35">
        <v>90</v>
      </c>
      <c r="J90" s="35">
        <v>60</v>
      </c>
      <c r="K90" s="35">
        <v>29</v>
      </c>
      <c r="L90" s="35">
        <v>23</v>
      </c>
      <c r="M90" s="35">
        <v>19</v>
      </c>
      <c r="N90" s="35">
        <v>97</v>
      </c>
      <c r="O90" s="74">
        <v>4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  <c r="OU90" s="37"/>
      <c r="OV90" s="37"/>
      <c r="OW90" s="37"/>
      <c r="OX90" s="37"/>
      <c r="OY90" s="37"/>
      <c r="OZ90" s="37"/>
      <c r="PA90" s="37"/>
      <c r="PB90" s="37"/>
      <c r="PC90" s="37"/>
      <c r="PD90" s="37"/>
      <c r="PE90" s="37"/>
      <c r="PF90" s="37"/>
      <c r="PG90" s="37"/>
      <c r="PH90" s="37"/>
      <c r="PI90" s="37"/>
      <c r="PJ90" s="37"/>
      <c r="PK90" s="37"/>
      <c r="PL90" s="37"/>
      <c r="PM90" s="37"/>
      <c r="PN90" s="37"/>
      <c r="PO90" s="37"/>
      <c r="PP90" s="37"/>
      <c r="PQ90" s="37"/>
      <c r="PR90" s="37"/>
      <c r="PS90" s="37"/>
      <c r="PT90" s="37"/>
      <c r="PU90" s="37"/>
      <c r="PV90" s="37"/>
      <c r="PW90" s="37"/>
      <c r="PX90" s="37"/>
      <c r="PY90" s="37"/>
      <c r="PZ90" s="37"/>
      <c r="QA90" s="37"/>
      <c r="QB90" s="37"/>
      <c r="QC90" s="37"/>
      <c r="QD90" s="37"/>
      <c r="QE90" s="37"/>
      <c r="QF90" s="37"/>
      <c r="QG90" s="37"/>
      <c r="QH90" s="37"/>
      <c r="QI90" s="37"/>
      <c r="QJ90" s="37"/>
      <c r="QK90" s="37"/>
      <c r="QL90" s="37"/>
      <c r="QM90" s="37"/>
      <c r="QN90" s="37"/>
      <c r="QO90" s="37"/>
      <c r="QP90" s="37"/>
      <c r="QQ90" s="37"/>
      <c r="QR90" s="37"/>
      <c r="QS90" s="37"/>
      <c r="QT90" s="37"/>
      <c r="QU90" s="37"/>
      <c r="QV90" s="37"/>
      <c r="QW90" s="37"/>
      <c r="QX90" s="37"/>
      <c r="QY90" s="37"/>
      <c r="QZ90" s="37"/>
      <c r="RA90" s="37"/>
      <c r="RB90" s="37"/>
      <c r="RC90" s="37"/>
      <c r="RD90" s="37"/>
      <c r="RE90" s="37"/>
      <c r="RF90" s="37"/>
      <c r="RG90" s="37"/>
      <c r="RH90" s="37"/>
      <c r="RI90" s="37"/>
      <c r="RJ90" s="37"/>
      <c r="RK90" s="37"/>
      <c r="RL90" s="37"/>
      <c r="RM90" s="37"/>
      <c r="RN90" s="37"/>
      <c r="RO90" s="37"/>
      <c r="RP90" s="37"/>
      <c r="RQ90" s="37"/>
      <c r="RR90" s="37"/>
      <c r="RS90" s="37"/>
      <c r="RT90" s="37"/>
      <c r="RU90" s="37"/>
      <c r="RV90" s="37"/>
      <c r="RW90" s="37"/>
      <c r="RX90" s="37"/>
      <c r="RY90" s="37"/>
      <c r="RZ90" s="37"/>
      <c r="SA90" s="37"/>
      <c r="SB90" s="37"/>
      <c r="SC90" s="37"/>
      <c r="SD90" s="37"/>
      <c r="SE90" s="37"/>
      <c r="SF90" s="37"/>
      <c r="SG90" s="37"/>
      <c r="SH90" s="37"/>
      <c r="SI90" s="37"/>
      <c r="SJ90" s="37"/>
      <c r="SK90" s="37"/>
      <c r="SL90" s="37"/>
      <c r="SM90" s="37"/>
      <c r="SN90" s="37"/>
      <c r="SO90" s="37"/>
      <c r="SP90" s="37"/>
      <c r="SQ90" s="37"/>
      <c r="SR90" s="37"/>
      <c r="SS90" s="37"/>
      <c r="ST90" s="37"/>
      <c r="SU90" s="37"/>
      <c r="SV90" s="37"/>
      <c r="SW90" s="37"/>
      <c r="SX90" s="37"/>
      <c r="SY90" s="37"/>
      <c r="SZ90" s="37"/>
      <c r="TA90" s="37"/>
      <c r="TB90" s="37"/>
      <c r="TC90" s="37"/>
      <c r="TD90" s="37"/>
      <c r="TE90" s="37"/>
      <c r="TF90" s="37"/>
      <c r="TG90" s="37"/>
      <c r="TH90" s="37"/>
      <c r="TI90" s="37"/>
      <c r="TJ90" s="37"/>
      <c r="TK90" s="37"/>
      <c r="TL90" s="37"/>
      <c r="TM90" s="37"/>
      <c r="TN90" s="37"/>
      <c r="TO90" s="37"/>
      <c r="TP90" s="37"/>
      <c r="TQ90" s="37"/>
      <c r="TR90" s="37"/>
      <c r="TS90" s="37"/>
      <c r="TT90" s="37"/>
      <c r="TU90" s="37"/>
      <c r="TV90" s="37"/>
      <c r="TW90" s="37"/>
      <c r="TX90" s="37"/>
      <c r="TY90" s="37"/>
      <c r="TZ90" s="37"/>
      <c r="UA90" s="37"/>
      <c r="UB90" s="37"/>
      <c r="UC90" s="37"/>
      <c r="UD90" s="37"/>
      <c r="UE90" s="37"/>
      <c r="UF90" s="37"/>
      <c r="UG90" s="37"/>
      <c r="UH90" s="37"/>
      <c r="UI90" s="37"/>
      <c r="UJ90" s="37"/>
      <c r="UK90" s="37"/>
      <c r="UL90" s="37"/>
      <c r="UM90" s="37"/>
      <c r="UN90" s="37"/>
      <c r="UO90" s="37"/>
      <c r="UP90" s="37"/>
      <c r="UQ90" s="37"/>
      <c r="UR90" s="37"/>
      <c r="US90" s="37"/>
      <c r="UT90" s="37"/>
      <c r="UU90" s="37"/>
      <c r="UV90" s="37"/>
      <c r="UW90" s="37"/>
      <c r="UX90" s="37"/>
      <c r="UY90" s="37"/>
      <c r="UZ90" s="37"/>
      <c r="VA90" s="37"/>
      <c r="VB90" s="37"/>
      <c r="VC90" s="37"/>
      <c r="VD90" s="37"/>
      <c r="VE90" s="37"/>
      <c r="VF90" s="37"/>
      <c r="VG90" s="37"/>
      <c r="VH90" s="37"/>
      <c r="VI90" s="37"/>
      <c r="VJ90" s="37"/>
      <c r="VK90" s="37"/>
      <c r="VL90" s="37"/>
      <c r="VM90" s="37"/>
      <c r="VN90" s="37"/>
      <c r="VO90" s="37"/>
      <c r="VP90" s="37"/>
      <c r="VQ90" s="37"/>
      <c r="VR90" s="37"/>
      <c r="VS90" s="37"/>
      <c r="VT90" s="37"/>
      <c r="VU90" s="37"/>
      <c r="VV90" s="37"/>
      <c r="VW90" s="37"/>
      <c r="VX90" s="37"/>
      <c r="VY90" s="37"/>
      <c r="VZ90" s="37"/>
      <c r="WA90" s="37"/>
      <c r="WB90" s="37"/>
      <c r="WC90" s="37"/>
      <c r="WD90" s="37"/>
      <c r="WE90" s="37"/>
      <c r="WF90" s="37"/>
      <c r="WG90" s="37"/>
      <c r="WH90" s="37"/>
      <c r="WI90" s="37"/>
      <c r="WJ90" s="37"/>
      <c r="WK90" s="37"/>
      <c r="WL90" s="37"/>
      <c r="WM90" s="37"/>
      <c r="WN90" s="37"/>
      <c r="WO90" s="37"/>
      <c r="WP90" s="37"/>
      <c r="WQ90" s="37"/>
      <c r="WR90" s="37"/>
      <c r="WS90" s="37"/>
      <c r="WT90" s="37"/>
      <c r="WU90" s="37"/>
      <c r="WV90" s="37"/>
      <c r="WW90" s="37"/>
      <c r="WX90" s="37"/>
      <c r="WY90" s="37"/>
      <c r="WZ90" s="37"/>
      <c r="XA90" s="37"/>
      <c r="XB90" s="37"/>
      <c r="XC90" s="37"/>
      <c r="XD90" s="37"/>
      <c r="XE90" s="37"/>
      <c r="XF90" s="37"/>
      <c r="XG90" s="37"/>
      <c r="XH90" s="37"/>
      <c r="XI90" s="37"/>
      <c r="XJ90" s="37"/>
      <c r="XK90" s="37"/>
      <c r="XL90" s="37"/>
      <c r="XM90" s="37"/>
      <c r="XN90" s="37"/>
      <c r="XO90" s="37"/>
      <c r="XP90" s="37"/>
      <c r="XQ90" s="37"/>
      <c r="XR90" s="37"/>
      <c r="XS90" s="37"/>
      <c r="XT90" s="37"/>
      <c r="XU90" s="37"/>
      <c r="XV90" s="37"/>
      <c r="XW90" s="37"/>
      <c r="XX90" s="37"/>
      <c r="XY90" s="37"/>
      <c r="XZ90" s="37"/>
      <c r="YA90" s="37"/>
      <c r="YB90" s="37"/>
      <c r="YC90" s="37"/>
      <c r="YD90" s="37"/>
      <c r="YE90" s="37"/>
      <c r="YF90" s="37"/>
      <c r="YG90" s="37"/>
      <c r="YH90" s="37"/>
      <c r="YI90" s="37"/>
      <c r="YJ90" s="37"/>
      <c r="YK90" s="37"/>
      <c r="YL90" s="37"/>
      <c r="YM90" s="37"/>
      <c r="YN90" s="37"/>
      <c r="YO90" s="37"/>
      <c r="YP90" s="37"/>
      <c r="YQ90" s="37"/>
      <c r="YR90" s="37"/>
      <c r="YS90" s="37"/>
      <c r="YT90" s="37"/>
      <c r="YU90" s="37"/>
      <c r="YV90" s="37"/>
      <c r="YW90" s="37"/>
      <c r="YX90" s="37"/>
      <c r="YY90" s="37"/>
      <c r="YZ90" s="37"/>
      <c r="ZA90" s="37"/>
      <c r="ZB90" s="37"/>
      <c r="ZC90" s="37"/>
      <c r="ZD90" s="37"/>
      <c r="ZE90" s="37"/>
      <c r="ZF90" s="37"/>
      <c r="ZG90" s="37"/>
      <c r="ZH90" s="37"/>
      <c r="ZI90" s="37"/>
      <c r="ZJ90" s="37"/>
      <c r="ZK90" s="37"/>
      <c r="ZL90" s="37"/>
      <c r="ZM90" s="37"/>
      <c r="ZN90" s="37"/>
      <c r="ZO90" s="37"/>
      <c r="ZP90" s="37"/>
      <c r="ZQ90" s="37"/>
      <c r="ZR90" s="37"/>
      <c r="ZS90" s="37"/>
      <c r="ZT90" s="37"/>
      <c r="ZU90" s="37"/>
      <c r="ZV90" s="37"/>
      <c r="ZW90" s="37"/>
      <c r="ZX90" s="37"/>
      <c r="ZY90" s="37"/>
      <c r="ZZ90" s="37"/>
      <c r="AAA90" s="37"/>
      <c r="AAB90" s="37"/>
      <c r="AAC90" s="37"/>
      <c r="AAD90" s="37"/>
      <c r="AAE90" s="37"/>
      <c r="AAF90" s="37"/>
      <c r="AAG90" s="37"/>
      <c r="AAH90" s="37"/>
      <c r="AAI90" s="37"/>
      <c r="AAJ90" s="37"/>
      <c r="AAK90" s="37"/>
      <c r="AAL90" s="37"/>
      <c r="AAM90" s="37"/>
      <c r="AAN90" s="37"/>
      <c r="AAO90" s="37"/>
      <c r="AAP90" s="37"/>
      <c r="AAQ90" s="37"/>
      <c r="AAR90" s="37"/>
      <c r="AAS90" s="37"/>
      <c r="AAT90" s="37"/>
      <c r="AAU90" s="37"/>
      <c r="AAV90" s="37"/>
      <c r="AAW90" s="37"/>
      <c r="AAX90" s="37"/>
      <c r="AAY90" s="37"/>
      <c r="AAZ90" s="37"/>
      <c r="ABA90" s="37"/>
      <c r="ABB90" s="37"/>
      <c r="ABC90" s="37"/>
      <c r="ABD90" s="37"/>
      <c r="ABE90" s="37"/>
      <c r="ABF90" s="37"/>
      <c r="ABG90" s="37"/>
      <c r="ABH90" s="37"/>
      <c r="ABI90" s="37"/>
      <c r="ABJ90" s="37"/>
      <c r="ABK90" s="37"/>
      <c r="ABL90" s="37"/>
      <c r="ABM90" s="37"/>
      <c r="ABN90" s="37"/>
      <c r="ABO90" s="37"/>
      <c r="ABP90" s="37"/>
      <c r="ABQ90" s="37"/>
      <c r="ABR90" s="37"/>
      <c r="ABS90" s="37"/>
      <c r="ABT90" s="37"/>
      <c r="ABU90" s="37"/>
      <c r="ABV90" s="37"/>
      <c r="ABW90" s="37"/>
      <c r="ABX90" s="37"/>
      <c r="ABY90" s="37"/>
      <c r="ABZ90" s="37"/>
      <c r="ACA90" s="37"/>
      <c r="ACB90" s="37"/>
      <c r="ACC90" s="37"/>
      <c r="ACD90" s="37"/>
      <c r="ACE90" s="37"/>
      <c r="ACF90" s="37"/>
      <c r="ACG90" s="37"/>
      <c r="ACH90" s="37"/>
      <c r="ACI90" s="37"/>
      <c r="ACJ90" s="37"/>
      <c r="ACK90" s="37"/>
      <c r="ACL90" s="37"/>
      <c r="ACM90" s="37"/>
      <c r="ACN90" s="37"/>
      <c r="ACO90" s="37"/>
      <c r="ACP90" s="37"/>
      <c r="ACQ90" s="37"/>
      <c r="ACR90" s="37"/>
      <c r="ACS90" s="37"/>
      <c r="ACT90" s="37"/>
      <c r="ACU90" s="37"/>
      <c r="ACV90" s="37"/>
      <c r="ACW90" s="37"/>
      <c r="ACX90" s="37"/>
      <c r="ACY90" s="37"/>
      <c r="ACZ90" s="37"/>
      <c r="ADA90" s="37"/>
      <c r="ADB90" s="37"/>
      <c r="ADC90" s="37"/>
      <c r="ADD90" s="37"/>
      <c r="ADE90" s="37"/>
      <c r="ADF90" s="37"/>
      <c r="ADG90" s="37"/>
      <c r="ADH90" s="37"/>
      <c r="ADI90" s="37"/>
      <c r="ADJ90" s="37"/>
      <c r="ADK90" s="37"/>
      <c r="ADL90" s="37"/>
      <c r="ADM90" s="37"/>
      <c r="ADN90" s="37"/>
      <c r="ADO90" s="37"/>
      <c r="ADP90" s="37"/>
      <c r="ADQ90" s="37"/>
      <c r="ADR90" s="37"/>
      <c r="ADS90" s="37"/>
      <c r="ADT90" s="37"/>
      <c r="ADU90" s="37"/>
      <c r="ADV90" s="37"/>
      <c r="ADW90" s="37"/>
      <c r="ADX90" s="37"/>
      <c r="ADY90" s="37"/>
      <c r="ADZ90" s="37"/>
      <c r="AEA90" s="37"/>
      <c r="AEB90" s="37"/>
      <c r="AEC90" s="37"/>
      <c r="AED90" s="37"/>
      <c r="AEE90" s="37"/>
      <c r="AEF90" s="37"/>
      <c r="AEG90" s="37"/>
      <c r="AEH90" s="37"/>
      <c r="AEI90" s="37"/>
      <c r="AEJ90" s="37"/>
      <c r="AEK90" s="37"/>
      <c r="AEL90" s="37"/>
      <c r="AEM90" s="37"/>
      <c r="AEN90" s="37"/>
      <c r="AEO90" s="37"/>
      <c r="AEP90" s="37"/>
      <c r="AEQ90" s="37"/>
      <c r="AER90" s="37"/>
      <c r="AES90" s="37"/>
      <c r="AET90" s="37"/>
      <c r="AEU90" s="37"/>
      <c r="AEV90" s="37"/>
      <c r="AEW90" s="37"/>
      <c r="AEX90" s="37"/>
      <c r="AEY90" s="37"/>
      <c r="AEZ90" s="37"/>
      <c r="AFA90" s="37"/>
      <c r="AFB90" s="37"/>
      <c r="AFC90" s="37"/>
      <c r="AFD90" s="37"/>
      <c r="AFE90" s="37"/>
      <c r="AFF90" s="37"/>
      <c r="AFG90" s="37"/>
      <c r="AFH90" s="37"/>
      <c r="AFI90" s="37"/>
      <c r="AFJ90" s="37"/>
      <c r="AFK90" s="37"/>
      <c r="AFL90" s="37"/>
      <c r="AFM90" s="37"/>
      <c r="AFN90" s="37"/>
      <c r="AFO90" s="37"/>
      <c r="AFP90" s="37"/>
      <c r="AFQ90" s="37"/>
      <c r="AFR90" s="37"/>
      <c r="AFS90" s="37"/>
      <c r="AFT90" s="37"/>
      <c r="AFU90" s="37"/>
      <c r="AFV90" s="37"/>
      <c r="AFW90" s="37"/>
      <c r="AFX90" s="37"/>
      <c r="AFY90" s="37"/>
      <c r="AFZ90" s="37"/>
      <c r="AGA90" s="37"/>
      <c r="AGB90" s="37"/>
      <c r="AGC90" s="37"/>
      <c r="AGD90" s="37"/>
      <c r="AGE90" s="37"/>
      <c r="AGF90" s="37"/>
      <c r="AGG90" s="37"/>
      <c r="AGH90" s="37"/>
      <c r="AGI90" s="37"/>
      <c r="AGJ90" s="37"/>
      <c r="AGK90" s="37"/>
      <c r="AGL90" s="37"/>
      <c r="AGM90" s="37"/>
      <c r="AGN90" s="37"/>
      <c r="AGO90" s="37"/>
      <c r="AGP90" s="37"/>
      <c r="AGQ90" s="37"/>
      <c r="AGR90" s="37"/>
      <c r="AGS90" s="37"/>
      <c r="AGT90" s="37"/>
      <c r="AGU90" s="37"/>
      <c r="AGV90" s="37"/>
      <c r="AGW90" s="37"/>
      <c r="AGX90" s="37"/>
      <c r="AGY90" s="37"/>
      <c r="AGZ90" s="37"/>
      <c r="AHA90" s="37"/>
      <c r="AHB90" s="37"/>
      <c r="AHC90" s="37"/>
      <c r="AHD90" s="37"/>
      <c r="AHE90" s="37"/>
      <c r="AHF90" s="37"/>
      <c r="AHG90" s="37"/>
      <c r="AHH90" s="37"/>
      <c r="AHI90" s="37"/>
      <c r="AHJ90" s="37"/>
      <c r="AHK90" s="37"/>
      <c r="AHL90" s="37"/>
      <c r="AHM90" s="37"/>
      <c r="AHN90" s="37"/>
      <c r="AHO90" s="37"/>
      <c r="AHP90" s="37"/>
      <c r="AHQ90" s="37"/>
      <c r="AHR90" s="37"/>
      <c r="AHS90" s="37"/>
      <c r="AHT90" s="37"/>
      <c r="AHU90" s="37"/>
      <c r="AHV90" s="37"/>
      <c r="AHW90" s="37"/>
      <c r="AHX90" s="37"/>
      <c r="AHY90" s="37"/>
      <c r="AHZ90" s="37"/>
      <c r="AIA90" s="37"/>
      <c r="AIB90" s="37"/>
      <c r="AIC90" s="37"/>
      <c r="AID90" s="37"/>
      <c r="AIE90" s="37"/>
      <c r="AIF90" s="37"/>
      <c r="AIG90" s="37"/>
      <c r="AIH90" s="37"/>
      <c r="AII90" s="37"/>
      <c r="AIJ90" s="37"/>
      <c r="AIK90" s="37"/>
      <c r="AIL90" s="37"/>
      <c r="AIM90" s="37"/>
      <c r="AIN90" s="37"/>
      <c r="AIO90" s="37"/>
      <c r="AIP90" s="37"/>
      <c r="AIQ90" s="37"/>
      <c r="AIR90" s="37"/>
      <c r="AIS90" s="37"/>
      <c r="AIT90" s="37"/>
      <c r="AIU90" s="37"/>
      <c r="AIV90" s="37"/>
      <c r="AIW90" s="37"/>
      <c r="AIX90" s="37"/>
      <c r="AIY90" s="37"/>
      <c r="AIZ90" s="37"/>
      <c r="AJA90" s="37"/>
      <c r="AJB90" s="37"/>
      <c r="AJC90" s="37"/>
      <c r="AJD90" s="37"/>
      <c r="AJE90" s="37"/>
      <c r="AJF90" s="37"/>
      <c r="AJG90" s="37"/>
      <c r="AJH90" s="37"/>
      <c r="AJI90" s="37"/>
      <c r="AJJ90" s="37"/>
      <c r="AJK90" s="37"/>
      <c r="AJL90" s="37"/>
      <c r="AJM90" s="37"/>
      <c r="AJN90" s="37"/>
      <c r="AJO90" s="37"/>
      <c r="AJP90" s="37"/>
      <c r="AJQ90" s="37"/>
      <c r="AJR90" s="37"/>
      <c r="AJS90" s="37"/>
      <c r="AJT90" s="37"/>
      <c r="AJU90" s="37"/>
      <c r="AJV90" s="37"/>
      <c r="AJW90" s="37"/>
      <c r="AJX90" s="37"/>
      <c r="AJY90" s="37"/>
      <c r="AJZ90" s="37"/>
      <c r="AKA90" s="37"/>
      <c r="AKB90" s="37"/>
      <c r="AKC90" s="37"/>
      <c r="AKD90" s="37"/>
      <c r="AKE90" s="37"/>
      <c r="AKF90" s="37"/>
      <c r="AKG90" s="37"/>
      <c r="AKH90" s="37"/>
      <c r="AKI90" s="37"/>
      <c r="AKJ90" s="37"/>
      <c r="AKK90" s="37"/>
      <c r="AKL90" s="37"/>
      <c r="AKM90" s="37"/>
      <c r="AKN90" s="37"/>
      <c r="AKO90" s="37"/>
      <c r="AKP90" s="37"/>
      <c r="AKQ90" s="37"/>
      <c r="AKR90" s="37"/>
      <c r="AKS90" s="37"/>
      <c r="AKT90" s="37"/>
      <c r="AKU90" s="37"/>
      <c r="AKV90" s="37"/>
      <c r="AKW90" s="37"/>
      <c r="AKX90" s="37"/>
      <c r="AKY90" s="37"/>
      <c r="AKZ90" s="37"/>
      <c r="ALA90" s="37"/>
      <c r="ALB90" s="37"/>
      <c r="ALC90" s="37"/>
      <c r="ALD90" s="37"/>
      <c r="ALE90" s="37"/>
      <c r="ALF90" s="37"/>
      <c r="ALG90" s="37"/>
      <c r="ALH90" s="37"/>
      <c r="ALI90" s="37"/>
      <c r="ALJ90" s="37"/>
      <c r="ALK90" s="37"/>
      <c r="ALL90" s="37"/>
      <c r="ALM90" s="37"/>
      <c r="ALN90" s="37"/>
      <c r="ALO90" s="37"/>
      <c r="ALP90" s="37"/>
      <c r="ALQ90" s="37"/>
      <c r="ALR90" s="37"/>
      <c r="ALS90" s="37"/>
      <c r="ALT90" s="37"/>
      <c r="ALU90" s="37"/>
      <c r="ALV90" s="37"/>
      <c r="ALW90" s="37"/>
      <c r="ALX90" s="37"/>
      <c r="ALY90" s="37"/>
      <c r="ALZ90" s="37"/>
      <c r="AMA90" s="37"/>
      <c r="AMB90" s="37"/>
      <c r="AMC90" s="37"/>
    </row>
    <row r="91" spans="1:1017" s="38" customFormat="1" ht="19.5" customHeight="1">
      <c r="A91" s="75"/>
      <c r="B91" s="76"/>
      <c r="C91" s="75"/>
      <c r="D91" s="75"/>
      <c r="E91" s="75"/>
      <c r="F91" s="75"/>
      <c r="G91" s="77">
        <v>42</v>
      </c>
      <c r="H91" s="77">
        <v>58</v>
      </c>
      <c r="I91" s="77">
        <v>18</v>
      </c>
      <c r="J91" s="77">
        <v>14</v>
      </c>
      <c r="K91" s="77">
        <v>96</v>
      </c>
      <c r="L91" s="77">
        <v>90</v>
      </c>
      <c r="M91" s="77">
        <v>96</v>
      </c>
      <c r="N91" s="77"/>
      <c r="O91" s="7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  <c r="OU91" s="37"/>
      <c r="OV91" s="37"/>
      <c r="OW91" s="37"/>
      <c r="OX91" s="37"/>
      <c r="OY91" s="37"/>
      <c r="OZ91" s="37"/>
      <c r="PA91" s="37"/>
      <c r="PB91" s="37"/>
      <c r="PC91" s="37"/>
      <c r="PD91" s="37"/>
      <c r="PE91" s="37"/>
      <c r="PF91" s="37"/>
      <c r="PG91" s="37"/>
      <c r="PH91" s="37"/>
      <c r="PI91" s="37"/>
      <c r="PJ91" s="37"/>
      <c r="PK91" s="37"/>
      <c r="PL91" s="37"/>
      <c r="PM91" s="37"/>
      <c r="PN91" s="37"/>
      <c r="PO91" s="37"/>
      <c r="PP91" s="37"/>
      <c r="PQ91" s="37"/>
      <c r="PR91" s="37"/>
      <c r="PS91" s="37"/>
      <c r="PT91" s="37"/>
      <c r="PU91" s="37"/>
      <c r="PV91" s="37"/>
      <c r="PW91" s="37"/>
      <c r="PX91" s="37"/>
      <c r="PY91" s="37"/>
      <c r="PZ91" s="37"/>
      <c r="QA91" s="37"/>
      <c r="QB91" s="37"/>
      <c r="QC91" s="37"/>
      <c r="QD91" s="37"/>
      <c r="QE91" s="37"/>
      <c r="QF91" s="37"/>
      <c r="QG91" s="37"/>
      <c r="QH91" s="37"/>
      <c r="QI91" s="37"/>
      <c r="QJ91" s="37"/>
      <c r="QK91" s="37"/>
      <c r="QL91" s="37"/>
      <c r="QM91" s="37"/>
      <c r="QN91" s="37"/>
      <c r="QO91" s="37"/>
      <c r="QP91" s="37"/>
      <c r="QQ91" s="37"/>
      <c r="QR91" s="37"/>
      <c r="QS91" s="37"/>
      <c r="QT91" s="37"/>
      <c r="QU91" s="37"/>
      <c r="QV91" s="37"/>
      <c r="QW91" s="37"/>
      <c r="QX91" s="37"/>
      <c r="QY91" s="37"/>
      <c r="QZ91" s="37"/>
      <c r="RA91" s="37"/>
      <c r="RB91" s="37"/>
      <c r="RC91" s="37"/>
      <c r="RD91" s="37"/>
      <c r="RE91" s="37"/>
      <c r="RF91" s="37"/>
      <c r="RG91" s="37"/>
      <c r="RH91" s="37"/>
      <c r="RI91" s="37"/>
      <c r="RJ91" s="37"/>
      <c r="RK91" s="37"/>
      <c r="RL91" s="37"/>
      <c r="RM91" s="37"/>
      <c r="RN91" s="37"/>
      <c r="RO91" s="37"/>
      <c r="RP91" s="37"/>
      <c r="RQ91" s="37"/>
      <c r="RR91" s="37"/>
      <c r="RS91" s="37"/>
      <c r="RT91" s="37"/>
      <c r="RU91" s="37"/>
      <c r="RV91" s="37"/>
      <c r="RW91" s="37"/>
      <c r="RX91" s="37"/>
      <c r="RY91" s="37"/>
      <c r="RZ91" s="37"/>
      <c r="SA91" s="37"/>
      <c r="SB91" s="37"/>
      <c r="SC91" s="37"/>
      <c r="SD91" s="37"/>
      <c r="SE91" s="37"/>
      <c r="SF91" s="37"/>
      <c r="SG91" s="37"/>
      <c r="SH91" s="37"/>
      <c r="SI91" s="37"/>
      <c r="SJ91" s="37"/>
      <c r="SK91" s="37"/>
      <c r="SL91" s="37"/>
      <c r="SM91" s="37"/>
      <c r="SN91" s="37"/>
      <c r="SO91" s="37"/>
      <c r="SP91" s="37"/>
      <c r="SQ91" s="37"/>
      <c r="SR91" s="37"/>
      <c r="SS91" s="37"/>
      <c r="ST91" s="37"/>
      <c r="SU91" s="37"/>
      <c r="SV91" s="37"/>
      <c r="SW91" s="37"/>
      <c r="SX91" s="37"/>
      <c r="SY91" s="37"/>
      <c r="SZ91" s="37"/>
      <c r="TA91" s="37"/>
      <c r="TB91" s="37"/>
      <c r="TC91" s="37"/>
      <c r="TD91" s="37"/>
      <c r="TE91" s="37"/>
      <c r="TF91" s="37"/>
      <c r="TG91" s="37"/>
      <c r="TH91" s="37"/>
      <c r="TI91" s="37"/>
      <c r="TJ91" s="37"/>
      <c r="TK91" s="37"/>
      <c r="TL91" s="37"/>
      <c r="TM91" s="37"/>
      <c r="TN91" s="37"/>
      <c r="TO91" s="37"/>
      <c r="TP91" s="37"/>
      <c r="TQ91" s="37"/>
      <c r="TR91" s="37"/>
      <c r="TS91" s="37"/>
      <c r="TT91" s="37"/>
      <c r="TU91" s="37"/>
      <c r="TV91" s="37"/>
      <c r="TW91" s="37"/>
      <c r="TX91" s="37"/>
      <c r="TY91" s="37"/>
      <c r="TZ91" s="37"/>
      <c r="UA91" s="37"/>
      <c r="UB91" s="37"/>
      <c r="UC91" s="37"/>
      <c r="UD91" s="37"/>
      <c r="UE91" s="37"/>
      <c r="UF91" s="37"/>
      <c r="UG91" s="37"/>
      <c r="UH91" s="37"/>
      <c r="UI91" s="37"/>
      <c r="UJ91" s="37"/>
      <c r="UK91" s="37"/>
      <c r="UL91" s="37"/>
      <c r="UM91" s="37"/>
      <c r="UN91" s="37"/>
      <c r="UO91" s="37"/>
      <c r="UP91" s="37"/>
      <c r="UQ91" s="37"/>
      <c r="UR91" s="37"/>
      <c r="US91" s="37"/>
      <c r="UT91" s="37"/>
      <c r="UU91" s="37"/>
      <c r="UV91" s="37"/>
      <c r="UW91" s="37"/>
      <c r="UX91" s="37"/>
      <c r="UY91" s="37"/>
      <c r="UZ91" s="37"/>
      <c r="VA91" s="37"/>
      <c r="VB91" s="37"/>
      <c r="VC91" s="37"/>
      <c r="VD91" s="37"/>
      <c r="VE91" s="37"/>
      <c r="VF91" s="37"/>
      <c r="VG91" s="37"/>
      <c r="VH91" s="37"/>
      <c r="VI91" s="37"/>
      <c r="VJ91" s="37"/>
      <c r="VK91" s="37"/>
      <c r="VL91" s="37"/>
      <c r="VM91" s="37"/>
      <c r="VN91" s="37"/>
      <c r="VO91" s="37"/>
      <c r="VP91" s="37"/>
      <c r="VQ91" s="37"/>
      <c r="VR91" s="37"/>
      <c r="VS91" s="37"/>
      <c r="VT91" s="37"/>
      <c r="VU91" s="37"/>
      <c r="VV91" s="37"/>
      <c r="VW91" s="37"/>
      <c r="VX91" s="37"/>
      <c r="VY91" s="37"/>
      <c r="VZ91" s="37"/>
      <c r="WA91" s="37"/>
      <c r="WB91" s="37"/>
      <c r="WC91" s="37"/>
      <c r="WD91" s="37"/>
      <c r="WE91" s="37"/>
      <c r="WF91" s="37"/>
      <c r="WG91" s="37"/>
      <c r="WH91" s="37"/>
      <c r="WI91" s="37"/>
      <c r="WJ91" s="37"/>
      <c r="WK91" s="37"/>
      <c r="WL91" s="37"/>
      <c r="WM91" s="37"/>
      <c r="WN91" s="37"/>
      <c r="WO91" s="37"/>
      <c r="WP91" s="37"/>
      <c r="WQ91" s="37"/>
      <c r="WR91" s="37"/>
      <c r="WS91" s="37"/>
      <c r="WT91" s="37"/>
      <c r="WU91" s="37"/>
      <c r="WV91" s="37"/>
      <c r="WW91" s="37"/>
      <c r="WX91" s="37"/>
      <c r="WY91" s="37"/>
      <c r="WZ91" s="37"/>
      <c r="XA91" s="37"/>
      <c r="XB91" s="37"/>
      <c r="XC91" s="37"/>
      <c r="XD91" s="37"/>
      <c r="XE91" s="37"/>
      <c r="XF91" s="37"/>
      <c r="XG91" s="37"/>
      <c r="XH91" s="37"/>
      <c r="XI91" s="37"/>
      <c r="XJ91" s="37"/>
      <c r="XK91" s="37"/>
      <c r="XL91" s="37"/>
      <c r="XM91" s="37"/>
      <c r="XN91" s="37"/>
      <c r="XO91" s="37"/>
      <c r="XP91" s="37"/>
      <c r="XQ91" s="37"/>
      <c r="XR91" s="37"/>
      <c r="XS91" s="37"/>
      <c r="XT91" s="37"/>
      <c r="XU91" s="37"/>
      <c r="XV91" s="37"/>
      <c r="XW91" s="37"/>
      <c r="XX91" s="37"/>
      <c r="XY91" s="37"/>
      <c r="XZ91" s="37"/>
      <c r="YA91" s="37"/>
      <c r="YB91" s="37"/>
      <c r="YC91" s="37"/>
      <c r="YD91" s="37"/>
      <c r="YE91" s="37"/>
      <c r="YF91" s="37"/>
      <c r="YG91" s="37"/>
      <c r="YH91" s="37"/>
      <c r="YI91" s="37"/>
      <c r="YJ91" s="37"/>
      <c r="YK91" s="37"/>
      <c r="YL91" s="37"/>
      <c r="YM91" s="37"/>
      <c r="YN91" s="37"/>
      <c r="YO91" s="37"/>
      <c r="YP91" s="37"/>
      <c r="YQ91" s="37"/>
      <c r="YR91" s="37"/>
      <c r="YS91" s="37"/>
      <c r="YT91" s="37"/>
      <c r="YU91" s="37"/>
      <c r="YV91" s="37"/>
      <c r="YW91" s="37"/>
      <c r="YX91" s="37"/>
      <c r="YY91" s="37"/>
      <c r="YZ91" s="37"/>
      <c r="ZA91" s="37"/>
      <c r="ZB91" s="37"/>
      <c r="ZC91" s="37"/>
      <c r="ZD91" s="37"/>
      <c r="ZE91" s="37"/>
      <c r="ZF91" s="37"/>
      <c r="ZG91" s="37"/>
      <c r="ZH91" s="37"/>
      <c r="ZI91" s="37"/>
      <c r="ZJ91" s="37"/>
      <c r="ZK91" s="37"/>
      <c r="ZL91" s="37"/>
      <c r="ZM91" s="37"/>
      <c r="ZN91" s="37"/>
      <c r="ZO91" s="37"/>
      <c r="ZP91" s="37"/>
      <c r="ZQ91" s="37"/>
      <c r="ZR91" s="37"/>
      <c r="ZS91" s="37"/>
      <c r="ZT91" s="37"/>
      <c r="ZU91" s="37"/>
      <c r="ZV91" s="37"/>
      <c r="ZW91" s="37"/>
      <c r="ZX91" s="37"/>
      <c r="ZY91" s="37"/>
      <c r="ZZ91" s="37"/>
      <c r="AAA91" s="37"/>
      <c r="AAB91" s="37"/>
      <c r="AAC91" s="37"/>
      <c r="AAD91" s="37"/>
      <c r="AAE91" s="37"/>
      <c r="AAF91" s="37"/>
      <c r="AAG91" s="37"/>
      <c r="AAH91" s="37"/>
      <c r="AAI91" s="37"/>
      <c r="AAJ91" s="37"/>
      <c r="AAK91" s="37"/>
      <c r="AAL91" s="37"/>
      <c r="AAM91" s="37"/>
      <c r="AAN91" s="37"/>
      <c r="AAO91" s="37"/>
      <c r="AAP91" s="37"/>
      <c r="AAQ91" s="37"/>
      <c r="AAR91" s="37"/>
      <c r="AAS91" s="37"/>
      <c r="AAT91" s="37"/>
      <c r="AAU91" s="37"/>
      <c r="AAV91" s="37"/>
      <c r="AAW91" s="37"/>
      <c r="AAX91" s="37"/>
      <c r="AAY91" s="37"/>
      <c r="AAZ91" s="37"/>
      <c r="ABA91" s="37"/>
      <c r="ABB91" s="37"/>
      <c r="ABC91" s="37"/>
      <c r="ABD91" s="37"/>
      <c r="ABE91" s="37"/>
      <c r="ABF91" s="37"/>
      <c r="ABG91" s="37"/>
      <c r="ABH91" s="37"/>
      <c r="ABI91" s="37"/>
      <c r="ABJ91" s="37"/>
      <c r="ABK91" s="37"/>
      <c r="ABL91" s="37"/>
      <c r="ABM91" s="37"/>
      <c r="ABN91" s="37"/>
      <c r="ABO91" s="37"/>
      <c r="ABP91" s="37"/>
      <c r="ABQ91" s="37"/>
      <c r="ABR91" s="37"/>
      <c r="ABS91" s="37"/>
      <c r="ABT91" s="37"/>
      <c r="ABU91" s="37"/>
      <c r="ABV91" s="37"/>
      <c r="ABW91" s="37"/>
      <c r="ABX91" s="37"/>
      <c r="ABY91" s="37"/>
      <c r="ABZ91" s="37"/>
      <c r="ACA91" s="37"/>
      <c r="ACB91" s="37"/>
      <c r="ACC91" s="37"/>
      <c r="ACD91" s="37"/>
      <c r="ACE91" s="37"/>
      <c r="ACF91" s="37"/>
      <c r="ACG91" s="37"/>
      <c r="ACH91" s="37"/>
      <c r="ACI91" s="37"/>
      <c r="ACJ91" s="37"/>
      <c r="ACK91" s="37"/>
      <c r="ACL91" s="37"/>
      <c r="ACM91" s="37"/>
      <c r="ACN91" s="37"/>
      <c r="ACO91" s="37"/>
      <c r="ACP91" s="37"/>
      <c r="ACQ91" s="37"/>
      <c r="ACR91" s="37"/>
      <c r="ACS91" s="37"/>
      <c r="ACT91" s="37"/>
      <c r="ACU91" s="37"/>
      <c r="ACV91" s="37"/>
      <c r="ACW91" s="37"/>
      <c r="ACX91" s="37"/>
      <c r="ACY91" s="37"/>
      <c r="ACZ91" s="37"/>
      <c r="ADA91" s="37"/>
      <c r="ADB91" s="37"/>
      <c r="ADC91" s="37"/>
      <c r="ADD91" s="37"/>
      <c r="ADE91" s="37"/>
      <c r="ADF91" s="37"/>
      <c r="ADG91" s="37"/>
      <c r="ADH91" s="37"/>
      <c r="ADI91" s="37"/>
      <c r="ADJ91" s="37"/>
      <c r="ADK91" s="37"/>
      <c r="ADL91" s="37"/>
      <c r="ADM91" s="37"/>
      <c r="ADN91" s="37"/>
      <c r="ADO91" s="37"/>
      <c r="ADP91" s="37"/>
      <c r="ADQ91" s="37"/>
      <c r="ADR91" s="37"/>
      <c r="ADS91" s="37"/>
      <c r="ADT91" s="37"/>
      <c r="ADU91" s="37"/>
      <c r="ADV91" s="37"/>
      <c r="ADW91" s="37"/>
      <c r="ADX91" s="37"/>
      <c r="ADY91" s="37"/>
      <c r="ADZ91" s="37"/>
      <c r="AEA91" s="37"/>
      <c r="AEB91" s="37"/>
      <c r="AEC91" s="37"/>
      <c r="AED91" s="37"/>
      <c r="AEE91" s="37"/>
      <c r="AEF91" s="37"/>
      <c r="AEG91" s="37"/>
      <c r="AEH91" s="37"/>
      <c r="AEI91" s="37"/>
      <c r="AEJ91" s="37"/>
      <c r="AEK91" s="37"/>
      <c r="AEL91" s="37"/>
      <c r="AEM91" s="37"/>
      <c r="AEN91" s="37"/>
      <c r="AEO91" s="37"/>
      <c r="AEP91" s="37"/>
      <c r="AEQ91" s="37"/>
      <c r="AER91" s="37"/>
      <c r="AES91" s="37"/>
      <c r="AET91" s="37"/>
      <c r="AEU91" s="37"/>
      <c r="AEV91" s="37"/>
      <c r="AEW91" s="37"/>
      <c r="AEX91" s="37"/>
      <c r="AEY91" s="37"/>
      <c r="AEZ91" s="37"/>
      <c r="AFA91" s="37"/>
      <c r="AFB91" s="37"/>
      <c r="AFC91" s="37"/>
      <c r="AFD91" s="37"/>
      <c r="AFE91" s="37"/>
      <c r="AFF91" s="37"/>
      <c r="AFG91" s="37"/>
      <c r="AFH91" s="37"/>
      <c r="AFI91" s="37"/>
      <c r="AFJ91" s="37"/>
      <c r="AFK91" s="37"/>
      <c r="AFL91" s="37"/>
      <c r="AFM91" s="37"/>
      <c r="AFN91" s="37"/>
      <c r="AFO91" s="37"/>
      <c r="AFP91" s="37"/>
      <c r="AFQ91" s="37"/>
      <c r="AFR91" s="37"/>
      <c r="AFS91" s="37"/>
      <c r="AFT91" s="37"/>
      <c r="AFU91" s="37"/>
      <c r="AFV91" s="37"/>
      <c r="AFW91" s="37"/>
      <c r="AFX91" s="37"/>
      <c r="AFY91" s="37"/>
      <c r="AFZ91" s="37"/>
      <c r="AGA91" s="37"/>
      <c r="AGB91" s="37"/>
      <c r="AGC91" s="37"/>
      <c r="AGD91" s="37"/>
      <c r="AGE91" s="37"/>
      <c r="AGF91" s="37"/>
      <c r="AGG91" s="37"/>
      <c r="AGH91" s="37"/>
      <c r="AGI91" s="37"/>
      <c r="AGJ91" s="37"/>
      <c r="AGK91" s="37"/>
      <c r="AGL91" s="37"/>
      <c r="AGM91" s="37"/>
      <c r="AGN91" s="37"/>
      <c r="AGO91" s="37"/>
      <c r="AGP91" s="37"/>
      <c r="AGQ91" s="37"/>
      <c r="AGR91" s="37"/>
      <c r="AGS91" s="37"/>
      <c r="AGT91" s="37"/>
      <c r="AGU91" s="37"/>
      <c r="AGV91" s="37"/>
      <c r="AGW91" s="37"/>
      <c r="AGX91" s="37"/>
      <c r="AGY91" s="37"/>
      <c r="AGZ91" s="37"/>
      <c r="AHA91" s="37"/>
      <c r="AHB91" s="37"/>
      <c r="AHC91" s="37"/>
      <c r="AHD91" s="37"/>
      <c r="AHE91" s="37"/>
      <c r="AHF91" s="37"/>
      <c r="AHG91" s="37"/>
      <c r="AHH91" s="37"/>
      <c r="AHI91" s="37"/>
      <c r="AHJ91" s="37"/>
      <c r="AHK91" s="37"/>
      <c r="AHL91" s="37"/>
      <c r="AHM91" s="37"/>
      <c r="AHN91" s="37"/>
      <c r="AHO91" s="37"/>
      <c r="AHP91" s="37"/>
      <c r="AHQ91" s="37"/>
      <c r="AHR91" s="37"/>
      <c r="AHS91" s="37"/>
      <c r="AHT91" s="37"/>
      <c r="AHU91" s="37"/>
      <c r="AHV91" s="37"/>
      <c r="AHW91" s="37"/>
      <c r="AHX91" s="37"/>
      <c r="AHY91" s="37"/>
      <c r="AHZ91" s="37"/>
      <c r="AIA91" s="37"/>
      <c r="AIB91" s="37"/>
      <c r="AIC91" s="37"/>
      <c r="AID91" s="37"/>
      <c r="AIE91" s="37"/>
      <c r="AIF91" s="37"/>
      <c r="AIG91" s="37"/>
      <c r="AIH91" s="37"/>
      <c r="AII91" s="37"/>
      <c r="AIJ91" s="37"/>
      <c r="AIK91" s="37"/>
      <c r="AIL91" s="37"/>
      <c r="AIM91" s="37"/>
      <c r="AIN91" s="37"/>
      <c r="AIO91" s="37"/>
      <c r="AIP91" s="37"/>
      <c r="AIQ91" s="37"/>
      <c r="AIR91" s="37"/>
      <c r="AIS91" s="37"/>
      <c r="AIT91" s="37"/>
      <c r="AIU91" s="37"/>
      <c r="AIV91" s="37"/>
      <c r="AIW91" s="37"/>
      <c r="AIX91" s="37"/>
      <c r="AIY91" s="37"/>
      <c r="AIZ91" s="37"/>
      <c r="AJA91" s="37"/>
      <c r="AJB91" s="37"/>
      <c r="AJC91" s="37"/>
      <c r="AJD91" s="37"/>
      <c r="AJE91" s="37"/>
      <c r="AJF91" s="37"/>
      <c r="AJG91" s="37"/>
      <c r="AJH91" s="37"/>
      <c r="AJI91" s="37"/>
      <c r="AJJ91" s="37"/>
      <c r="AJK91" s="37"/>
      <c r="AJL91" s="37"/>
      <c r="AJM91" s="37"/>
      <c r="AJN91" s="37"/>
      <c r="AJO91" s="37"/>
      <c r="AJP91" s="37"/>
      <c r="AJQ91" s="37"/>
      <c r="AJR91" s="37"/>
      <c r="AJS91" s="37"/>
      <c r="AJT91" s="37"/>
      <c r="AJU91" s="37"/>
      <c r="AJV91" s="37"/>
      <c r="AJW91" s="37"/>
      <c r="AJX91" s="37"/>
      <c r="AJY91" s="37"/>
      <c r="AJZ91" s="37"/>
      <c r="AKA91" s="37"/>
      <c r="AKB91" s="37"/>
      <c r="AKC91" s="37"/>
      <c r="AKD91" s="37"/>
      <c r="AKE91" s="37"/>
      <c r="AKF91" s="37"/>
      <c r="AKG91" s="37"/>
      <c r="AKH91" s="37"/>
      <c r="AKI91" s="37"/>
      <c r="AKJ91" s="37"/>
      <c r="AKK91" s="37"/>
      <c r="AKL91" s="37"/>
      <c r="AKM91" s="37"/>
      <c r="AKN91" s="37"/>
      <c r="AKO91" s="37"/>
      <c r="AKP91" s="37"/>
      <c r="AKQ91" s="37"/>
      <c r="AKR91" s="37"/>
      <c r="AKS91" s="37"/>
      <c r="AKT91" s="37"/>
      <c r="AKU91" s="37"/>
      <c r="AKV91" s="37"/>
      <c r="AKW91" s="37"/>
      <c r="AKX91" s="37"/>
      <c r="AKY91" s="37"/>
      <c r="AKZ91" s="37"/>
      <c r="ALA91" s="37"/>
      <c r="ALB91" s="37"/>
      <c r="ALC91" s="37"/>
      <c r="ALD91" s="37"/>
      <c r="ALE91" s="37"/>
      <c r="ALF91" s="37"/>
      <c r="ALG91" s="37"/>
      <c r="ALH91" s="37"/>
      <c r="ALI91" s="37"/>
      <c r="ALJ91" s="37"/>
      <c r="ALK91" s="37"/>
      <c r="ALL91" s="37"/>
      <c r="ALM91" s="37"/>
      <c r="ALN91" s="37"/>
      <c r="ALO91" s="37"/>
      <c r="ALP91" s="37"/>
      <c r="ALQ91" s="37"/>
      <c r="ALR91" s="37"/>
      <c r="ALS91" s="37"/>
      <c r="ALT91" s="37"/>
      <c r="ALU91" s="37"/>
      <c r="ALV91" s="37"/>
      <c r="ALW91" s="37"/>
      <c r="ALX91" s="37"/>
      <c r="ALY91" s="37"/>
      <c r="ALZ91" s="37"/>
      <c r="AMA91" s="37"/>
      <c r="AMB91" s="37"/>
      <c r="AMC91" s="37"/>
    </row>
    <row r="92" spans="1:1017" s="38" customFormat="1" ht="19.5" customHeight="1">
      <c r="A92" s="26" t="s">
        <v>150</v>
      </c>
      <c r="B92" s="25" t="s">
        <v>151</v>
      </c>
      <c r="C92" s="26" t="s">
        <v>46</v>
      </c>
      <c r="D92" s="26" t="s">
        <v>32</v>
      </c>
      <c r="E92" s="26" t="s">
        <v>261</v>
      </c>
      <c r="F92" s="26">
        <v>40</v>
      </c>
      <c r="G92" s="26" t="s">
        <v>36</v>
      </c>
      <c r="H92" s="26">
        <v>58</v>
      </c>
      <c r="I92" s="36">
        <v>47</v>
      </c>
      <c r="J92" s="36">
        <v>22</v>
      </c>
      <c r="K92" s="36">
        <v>19</v>
      </c>
      <c r="L92" s="36">
        <v>29</v>
      </c>
      <c r="M92" s="36">
        <v>29</v>
      </c>
      <c r="N92" s="36">
        <v>29</v>
      </c>
      <c r="O92" s="36">
        <v>67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/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  <c r="OU92" s="37"/>
      <c r="OV92" s="37"/>
      <c r="OW92" s="37"/>
      <c r="OX92" s="37"/>
      <c r="OY92" s="37"/>
      <c r="OZ92" s="37"/>
      <c r="PA92" s="37"/>
      <c r="PB92" s="37"/>
      <c r="PC92" s="37"/>
      <c r="PD92" s="37"/>
      <c r="PE92" s="37"/>
      <c r="PF92" s="37"/>
      <c r="PG92" s="37"/>
      <c r="PH92" s="37"/>
      <c r="PI92" s="37"/>
      <c r="PJ92" s="37"/>
      <c r="PK92" s="37"/>
      <c r="PL92" s="37"/>
      <c r="PM92" s="37"/>
      <c r="PN92" s="37"/>
      <c r="PO92" s="37"/>
      <c r="PP92" s="37"/>
      <c r="PQ92" s="37"/>
      <c r="PR92" s="37"/>
      <c r="PS92" s="37"/>
      <c r="PT92" s="37"/>
      <c r="PU92" s="37"/>
      <c r="PV92" s="37"/>
      <c r="PW92" s="37"/>
      <c r="PX92" s="37"/>
      <c r="PY92" s="37"/>
      <c r="PZ92" s="37"/>
      <c r="QA92" s="37"/>
      <c r="QB92" s="37"/>
      <c r="QC92" s="37"/>
      <c r="QD92" s="37"/>
      <c r="QE92" s="37"/>
      <c r="QF92" s="37"/>
      <c r="QG92" s="37"/>
      <c r="QH92" s="37"/>
      <c r="QI92" s="37"/>
      <c r="QJ92" s="37"/>
      <c r="QK92" s="37"/>
      <c r="QL92" s="37"/>
      <c r="QM92" s="37"/>
      <c r="QN92" s="37"/>
      <c r="QO92" s="37"/>
      <c r="QP92" s="37"/>
      <c r="QQ92" s="37"/>
      <c r="QR92" s="37"/>
      <c r="QS92" s="37"/>
      <c r="QT92" s="37"/>
      <c r="QU92" s="37"/>
      <c r="QV92" s="37"/>
      <c r="QW92" s="37"/>
      <c r="QX92" s="37"/>
      <c r="QY92" s="37"/>
      <c r="QZ92" s="37"/>
      <c r="RA92" s="37"/>
      <c r="RB92" s="37"/>
      <c r="RC92" s="37"/>
      <c r="RD92" s="37"/>
      <c r="RE92" s="37"/>
      <c r="RF92" s="37"/>
      <c r="RG92" s="37"/>
      <c r="RH92" s="37"/>
      <c r="RI92" s="37"/>
      <c r="RJ92" s="37"/>
      <c r="RK92" s="37"/>
      <c r="RL92" s="37"/>
      <c r="RM92" s="37"/>
      <c r="RN92" s="37"/>
      <c r="RO92" s="37"/>
      <c r="RP92" s="37"/>
      <c r="RQ92" s="37"/>
      <c r="RR92" s="37"/>
      <c r="RS92" s="37"/>
      <c r="RT92" s="37"/>
      <c r="RU92" s="37"/>
      <c r="RV92" s="37"/>
      <c r="RW92" s="37"/>
      <c r="RX92" s="37"/>
      <c r="RY92" s="37"/>
      <c r="RZ92" s="37"/>
      <c r="SA92" s="37"/>
      <c r="SB92" s="37"/>
      <c r="SC92" s="37"/>
      <c r="SD92" s="37"/>
      <c r="SE92" s="37"/>
      <c r="SF92" s="37"/>
      <c r="SG92" s="37"/>
      <c r="SH92" s="37"/>
      <c r="SI92" s="37"/>
      <c r="SJ92" s="37"/>
      <c r="SK92" s="37"/>
      <c r="SL92" s="37"/>
      <c r="SM92" s="37"/>
      <c r="SN92" s="37"/>
      <c r="SO92" s="37"/>
      <c r="SP92" s="37"/>
      <c r="SQ92" s="37"/>
      <c r="SR92" s="37"/>
      <c r="SS92" s="37"/>
      <c r="ST92" s="37"/>
      <c r="SU92" s="37"/>
      <c r="SV92" s="37"/>
      <c r="SW92" s="37"/>
      <c r="SX92" s="37"/>
      <c r="SY92" s="37"/>
      <c r="SZ92" s="37"/>
      <c r="TA92" s="37"/>
      <c r="TB92" s="37"/>
      <c r="TC92" s="37"/>
      <c r="TD92" s="37"/>
      <c r="TE92" s="37"/>
      <c r="TF92" s="37"/>
      <c r="TG92" s="37"/>
      <c r="TH92" s="37"/>
      <c r="TI92" s="37"/>
      <c r="TJ92" s="37"/>
      <c r="TK92" s="37"/>
      <c r="TL92" s="37"/>
      <c r="TM92" s="37"/>
      <c r="TN92" s="37"/>
      <c r="TO92" s="37"/>
      <c r="TP92" s="37"/>
      <c r="TQ92" s="37"/>
      <c r="TR92" s="37"/>
      <c r="TS92" s="37"/>
      <c r="TT92" s="37"/>
      <c r="TU92" s="37"/>
      <c r="TV92" s="37"/>
      <c r="TW92" s="37"/>
      <c r="TX92" s="37"/>
      <c r="TY92" s="37"/>
      <c r="TZ92" s="37"/>
      <c r="UA92" s="37"/>
      <c r="UB92" s="37"/>
      <c r="UC92" s="37"/>
      <c r="UD92" s="37"/>
      <c r="UE92" s="37"/>
      <c r="UF92" s="37"/>
      <c r="UG92" s="37"/>
      <c r="UH92" s="37"/>
      <c r="UI92" s="37"/>
      <c r="UJ92" s="37"/>
      <c r="UK92" s="37"/>
      <c r="UL92" s="37"/>
      <c r="UM92" s="37"/>
      <c r="UN92" s="37"/>
      <c r="UO92" s="37"/>
      <c r="UP92" s="37"/>
      <c r="UQ92" s="37"/>
      <c r="UR92" s="37"/>
      <c r="US92" s="37"/>
      <c r="UT92" s="37"/>
      <c r="UU92" s="37"/>
      <c r="UV92" s="37"/>
      <c r="UW92" s="37"/>
      <c r="UX92" s="37"/>
      <c r="UY92" s="37"/>
      <c r="UZ92" s="37"/>
      <c r="VA92" s="37"/>
      <c r="VB92" s="37"/>
      <c r="VC92" s="37"/>
      <c r="VD92" s="37"/>
      <c r="VE92" s="37"/>
      <c r="VF92" s="37"/>
      <c r="VG92" s="37"/>
      <c r="VH92" s="37"/>
      <c r="VI92" s="37"/>
      <c r="VJ92" s="37"/>
      <c r="VK92" s="37"/>
      <c r="VL92" s="37"/>
      <c r="VM92" s="37"/>
      <c r="VN92" s="37"/>
      <c r="VO92" s="37"/>
      <c r="VP92" s="37"/>
      <c r="VQ92" s="37"/>
      <c r="VR92" s="37"/>
      <c r="VS92" s="37"/>
      <c r="VT92" s="37"/>
      <c r="VU92" s="37"/>
      <c r="VV92" s="37"/>
      <c r="VW92" s="37"/>
      <c r="VX92" s="37"/>
      <c r="VY92" s="37"/>
      <c r="VZ92" s="37"/>
      <c r="WA92" s="37"/>
      <c r="WB92" s="37"/>
      <c r="WC92" s="37"/>
      <c r="WD92" s="37"/>
      <c r="WE92" s="37"/>
      <c r="WF92" s="37"/>
      <c r="WG92" s="37"/>
      <c r="WH92" s="37"/>
      <c r="WI92" s="37"/>
      <c r="WJ92" s="37"/>
      <c r="WK92" s="37"/>
      <c r="WL92" s="37"/>
      <c r="WM92" s="37"/>
      <c r="WN92" s="37"/>
      <c r="WO92" s="37"/>
      <c r="WP92" s="37"/>
      <c r="WQ92" s="37"/>
      <c r="WR92" s="37"/>
      <c r="WS92" s="37"/>
      <c r="WT92" s="37"/>
      <c r="WU92" s="37"/>
      <c r="WV92" s="37"/>
      <c r="WW92" s="37"/>
      <c r="WX92" s="37"/>
      <c r="WY92" s="37"/>
      <c r="WZ92" s="37"/>
      <c r="XA92" s="37"/>
      <c r="XB92" s="37"/>
      <c r="XC92" s="37"/>
      <c r="XD92" s="37"/>
      <c r="XE92" s="37"/>
      <c r="XF92" s="37"/>
      <c r="XG92" s="37"/>
      <c r="XH92" s="37"/>
      <c r="XI92" s="37"/>
      <c r="XJ92" s="37"/>
      <c r="XK92" s="37"/>
      <c r="XL92" s="37"/>
      <c r="XM92" s="37"/>
      <c r="XN92" s="37"/>
      <c r="XO92" s="37"/>
      <c r="XP92" s="37"/>
      <c r="XQ92" s="37"/>
      <c r="XR92" s="37"/>
      <c r="XS92" s="37"/>
      <c r="XT92" s="37"/>
      <c r="XU92" s="37"/>
      <c r="XV92" s="37"/>
      <c r="XW92" s="37"/>
      <c r="XX92" s="37"/>
      <c r="XY92" s="37"/>
      <c r="XZ92" s="37"/>
      <c r="YA92" s="37"/>
      <c r="YB92" s="37"/>
      <c r="YC92" s="37"/>
      <c r="YD92" s="37"/>
      <c r="YE92" s="37"/>
      <c r="YF92" s="37"/>
      <c r="YG92" s="37"/>
      <c r="YH92" s="37"/>
      <c r="YI92" s="37"/>
      <c r="YJ92" s="37"/>
      <c r="YK92" s="37"/>
      <c r="YL92" s="37"/>
      <c r="YM92" s="37"/>
      <c r="YN92" s="37"/>
      <c r="YO92" s="37"/>
      <c r="YP92" s="37"/>
      <c r="YQ92" s="37"/>
      <c r="YR92" s="37"/>
      <c r="YS92" s="37"/>
      <c r="YT92" s="37"/>
      <c r="YU92" s="37"/>
      <c r="YV92" s="37"/>
      <c r="YW92" s="37"/>
      <c r="YX92" s="37"/>
      <c r="YY92" s="37"/>
      <c r="YZ92" s="37"/>
      <c r="ZA92" s="37"/>
      <c r="ZB92" s="37"/>
      <c r="ZC92" s="37"/>
      <c r="ZD92" s="37"/>
      <c r="ZE92" s="37"/>
      <c r="ZF92" s="37"/>
      <c r="ZG92" s="37"/>
      <c r="ZH92" s="37"/>
      <c r="ZI92" s="37"/>
      <c r="ZJ92" s="37"/>
      <c r="ZK92" s="37"/>
      <c r="ZL92" s="37"/>
      <c r="ZM92" s="37"/>
      <c r="ZN92" s="37"/>
      <c r="ZO92" s="37"/>
      <c r="ZP92" s="37"/>
      <c r="ZQ92" s="37"/>
      <c r="ZR92" s="37"/>
      <c r="ZS92" s="37"/>
      <c r="ZT92" s="37"/>
      <c r="ZU92" s="37"/>
      <c r="ZV92" s="37"/>
      <c r="ZW92" s="37"/>
      <c r="ZX92" s="37"/>
      <c r="ZY92" s="37"/>
      <c r="ZZ92" s="37"/>
      <c r="AAA92" s="37"/>
      <c r="AAB92" s="37"/>
      <c r="AAC92" s="37"/>
      <c r="AAD92" s="37"/>
      <c r="AAE92" s="37"/>
      <c r="AAF92" s="37"/>
      <c r="AAG92" s="37"/>
      <c r="AAH92" s="37"/>
      <c r="AAI92" s="37"/>
      <c r="AAJ92" s="37"/>
      <c r="AAK92" s="37"/>
      <c r="AAL92" s="37"/>
      <c r="AAM92" s="37"/>
      <c r="AAN92" s="37"/>
      <c r="AAO92" s="37"/>
      <c r="AAP92" s="37"/>
      <c r="AAQ92" s="37"/>
      <c r="AAR92" s="37"/>
      <c r="AAS92" s="37"/>
      <c r="AAT92" s="37"/>
      <c r="AAU92" s="37"/>
      <c r="AAV92" s="37"/>
      <c r="AAW92" s="37"/>
      <c r="AAX92" s="37"/>
      <c r="AAY92" s="37"/>
      <c r="AAZ92" s="37"/>
      <c r="ABA92" s="37"/>
      <c r="ABB92" s="37"/>
      <c r="ABC92" s="37"/>
      <c r="ABD92" s="37"/>
      <c r="ABE92" s="37"/>
      <c r="ABF92" s="37"/>
      <c r="ABG92" s="37"/>
      <c r="ABH92" s="37"/>
      <c r="ABI92" s="37"/>
      <c r="ABJ92" s="37"/>
      <c r="ABK92" s="37"/>
      <c r="ABL92" s="37"/>
      <c r="ABM92" s="37"/>
      <c r="ABN92" s="37"/>
      <c r="ABO92" s="37"/>
      <c r="ABP92" s="37"/>
      <c r="ABQ92" s="37"/>
      <c r="ABR92" s="37"/>
      <c r="ABS92" s="37"/>
      <c r="ABT92" s="37"/>
      <c r="ABU92" s="37"/>
      <c r="ABV92" s="37"/>
      <c r="ABW92" s="37"/>
      <c r="ABX92" s="37"/>
      <c r="ABY92" s="37"/>
      <c r="ABZ92" s="37"/>
      <c r="ACA92" s="37"/>
      <c r="ACB92" s="37"/>
      <c r="ACC92" s="37"/>
      <c r="ACD92" s="37"/>
      <c r="ACE92" s="37"/>
      <c r="ACF92" s="37"/>
      <c r="ACG92" s="37"/>
      <c r="ACH92" s="37"/>
      <c r="ACI92" s="37"/>
      <c r="ACJ92" s="37"/>
      <c r="ACK92" s="37"/>
      <c r="ACL92" s="37"/>
      <c r="ACM92" s="37"/>
      <c r="ACN92" s="37"/>
      <c r="ACO92" s="37"/>
      <c r="ACP92" s="37"/>
      <c r="ACQ92" s="37"/>
      <c r="ACR92" s="37"/>
      <c r="ACS92" s="37"/>
      <c r="ACT92" s="37"/>
      <c r="ACU92" s="37"/>
      <c r="ACV92" s="37"/>
      <c r="ACW92" s="37"/>
      <c r="ACX92" s="37"/>
      <c r="ACY92" s="37"/>
      <c r="ACZ92" s="37"/>
      <c r="ADA92" s="37"/>
      <c r="ADB92" s="37"/>
      <c r="ADC92" s="37"/>
      <c r="ADD92" s="37"/>
      <c r="ADE92" s="37"/>
      <c r="ADF92" s="37"/>
      <c r="ADG92" s="37"/>
      <c r="ADH92" s="37"/>
      <c r="ADI92" s="37"/>
      <c r="ADJ92" s="37"/>
      <c r="ADK92" s="37"/>
      <c r="ADL92" s="37"/>
      <c r="ADM92" s="37"/>
      <c r="ADN92" s="37"/>
      <c r="ADO92" s="37"/>
      <c r="ADP92" s="37"/>
      <c r="ADQ92" s="37"/>
      <c r="ADR92" s="37"/>
      <c r="ADS92" s="37"/>
      <c r="ADT92" s="37"/>
      <c r="ADU92" s="37"/>
      <c r="ADV92" s="37"/>
      <c r="ADW92" s="37"/>
      <c r="ADX92" s="37"/>
      <c r="ADY92" s="37"/>
      <c r="ADZ92" s="37"/>
      <c r="AEA92" s="37"/>
      <c r="AEB92" s="37"/>
      <c r="AEC92" s="37"/>
      <c r="AED92" s="37"/>
      <c r="AEE92" s="37"/>
      <c r="AEF92" s="37"/>
      <c r="AEG92" s="37"/>
      <c r="AEH92" s="37"/>
      <c r="AEI92" s="37"/>
      <c r="AEJ92" s="37"/>
      <c r="AEK92" s="37"/>
      <c r="AEL92" s="37"/>
      <c r="AEM92" s="37"/>
      <c r="AEN92" s="37"/>
      <c r="AEO92" s="37"/>
      <c r="AEP92" s="37"/>
      <c r="AEQ92" s="37"/>
      <c r="AER92" s="37"/>
      <c r="AES92" s="37"/>
      <c r="AET92" s="37"/>
      <c r="AEU92" s="37"/>
      <c r="AEV92" s="37"/>
      <c r="AEW92" s="37"/>
      <c r="AEX92" s="37"/>
      <c r="AEY92" s="37"/>
      <c r="AEZ92" s="37"/>
      <c r="AFA92" s="37"/>
      <c r="AFB92" s="37"/>
      <c r="AFC92" s="37"/>
      <c r="AFD92" s="37"/>
      <c r="AFE92" s="37"/>
      <c r="AFF92" s="37"/>
      <c r="AFG92" s="37"/>
      <c r="AFH92" s="37"/>
      <c r="AFI92" s="37"/>
      <c r="AFJ92" s="37"/>
      <c r="AFK92" s="37"/>
      <c r="AFL92" s="37"/>
      <c r="AFM92" s="37"/>
      <c r="AFN92" s="37"/>
      <c r="AFO92" s="37"/>
      <c r="AFP92" s="37"/>
      <c r="AFQ92" s="37"/>
      <c r="AFR92" s="37"/>
      <c r="AFS92" s="37"/>
      <c r="AFT92" s="37"/>
      <c r="AFU92" s="37"/>
      <c r="AFV92" s="37"/>
      <c r="AFW92" s="37"/>
      <c r="AFX92" s="37"/>
      <c r="AFY92" s="37"/>
      <c r="AFZ92" s="37"/>
      <c r="AGA92" s="37"/>
      <c r="AGB92" s="37"/>
      <c r="AGC92" s="37"/>
      <c r="AGD92" s="37"/>
      <c r="AGE92" s="37"/>
      <c r="AGF92" s="37"/>
      <c r="AGG92" s="37"/>
      <c r="AGH92" s="37"/>
      <c r="AGI92" s="37"/>
      <c r="AGJ92" s="37"/>
      <c r="AGK92" s="37"/>
      <c r="AGL92" s="37"/>
      <c r="AGM92" s="37"/>
      <c r="AGN92" s="37"/>
      <c r="AGO92" s="37"/>
      <c r="AGP92" s="37"/>
      <c r="AGQ92" s="37"/>
      <c r="AGR92" s="37"/>
      <c r="AGS92" s="37"/>
      <c r="AGT92" s="37"/>
      <c r="AGU92" s="37"/>
      <c r="AGV92" s="37"/>
      <c r="AGW92" s="37"/>
      <c r="AGX92" s="37"/>
      <c r="AGY92" s="37"/>
      <c r="AGZ92" s="37"/>
      <c r="AHA92" s="37"/>
      <c r="AHB92" s="37"/>
      <c r="AHC92" s="37"/>
      <c r="AHD92" s="37"/>
      <c r="AHE92" s="37"/>
      <c r="AHF92" s="37"/>
      <c r="AHG92" s="37"/>
      <c r="AHH92" s="37"/>
      <c r="AHI92" s="37"/>
      <c r="AHJ92" s="37"/>
      <c r="AHK92" s="37"/>
      <c r="AHL92" s="37"/>
      <c r="AHM92" s="37"/>
      <c r="AHN92" s="37"/>
      <c r="AHO92" s="37"/>
      <c r="AHP92" s="37"/>
      <c r="AHQ92" s="37"/>
      <c r="AHR92" s="37"/>
      <c r="AHS92" s="37"/>
      <c r="AHT92" s="37"/>
      <c r="AHU92" s="37"/>
      <c r="AHV92" s="37"/>
      <c r="AHW92" s="37"/>
      <c r="AHX92" s="37"/>
      <c r="AHY92" s="37"/>
      <c r="AHZ92" s="37"/>
      <c r="AIA92" s="37"/>
      <c r="AIB92" s="37"/>
      <c r="AIC92" s="37"/>
      <c r="AID92" s="37"/>
      <c r="AIE92" s="37"/>
      <c r="AIF92" s="37"/>
      <c r="AIG92" s="37"/>
      <c r="AIH92" s="37"/>
      <c r="AII92" s="37"/>
      <c r="AIJ92" s="37"/>
      <c r="AIK92" s="37"/>
      <c r="AIL92" s="37"/>
      <c r="AIM92" s="37"/>
      <c r="AIN92" s="37"/>
      <c r="AIO92" s="37"/>
      <c r="AIP92" s="37"/>
      <c r="AIQ92" s="37"/>
      <c r="AIR92" s="37"/>
      <c r="AIS92" s="37"/>
      <c r="AIT92" s="37"/>
      <c r="AIU92" s="37"/>
      <c r="AIV92" s="37"/>
      <c r="AIW92" s="37"/>
      <c r="AIX92" s="37"/>
      <c r="AIY92" s="37"/>
      <c r="AIZ92" s="37"/>
      <c r="AJA92" s="37"/>
      <c r="AJB92" s="37"/>
      <c r="AJC92" s="37"/>
      <c r="AJD92" s="37"/>
      <c r="AJE92" s="37"/>
      <c r="AJF92" s="37"/>
      <c r="AJG92" s="37"/>
      <c r="AJH92" s="37"/>
      <c r="AJI92" s="37"/>
      <c r="AJJ92" s="37"/>
      <c r="AJK92" s="37"/>
      <c r="AJL92" s="37"/>
      <c r="AJM92" s="37"/>
      <c r="AJN92" s="37"/>
      <c r="AJO92" s="37"/>
      <c r="AJP92" s="37"/>
      <c r="AJQ92" s="37"/>
      <c r="AJR92" s="37"/>
      <c r="AJS92" s="37"/>
      <c r="AJT92" s="37"/>
      <c r="AJU92" s="37"/>
      <c r="AJV92" s="37"/>
      <c r="AJW92" s="37"/>
      <c r="AJX92" s="37"/>
      <c r="AJY92" s="37"/>
      <c r="AJZ92" s="37"/>
      <c r="AKA92" s="37"/>
      <c r="AKB92" s="37"/>
      <c r="AKC92" s="37"/>
      <c r="AKD92" s="37"/>
      <c r="AKE92" s="37"/>
      <c r="AKF92" s="37"/>
      <c r="AKG92" s="37"/>
      <c r="AKH92" s="37"/>
      <c r="AKI92" s="37"/>
      <c r="AKJ92" s="37"/>
      <c r="AKK92" s="37"/>
      <c r="AKL92" s="37"/>
      <c r="AKM92" s="37"/>
      <c r="AKN92" s="37"/>
      <c r="AKO92" s="37"/>
      <c r="AKP92" s="37"/>
      <c r="AKQ92" s="37"/>
      <c r="AKR92" s="37"/>
      <c r="AKS92" s="37"/>
      <c r="AKT92" s="37"/>
      <c r="AKU92" s="37"/>
      <c r="AKV92" s="37"/>
      <c r="AKW92" s="37"/>
      <c r="AKX92" s="37"/>
      <c r="AKY92" s="37"/>
      <c r="AKZ92" s="37"/>
      <c r="ALA92" s="37"/>
      <c r="ALB92" s="37"/>
      <c r="ALC92" s="37"/>
      <c r="ALD92" s="37"/>
      <c r="ALE92" s="37"/>
      <c r="ALF92" s="37"/>
      <c r="ALG92" s="37"/>
      <c r="ALH92" s="37"/>
      <c r="ALI92" s="37"/>
      <c r="ALJ92" s="37"/>
      <c r="ALK92" s="37"/>
      <c r="ALL92" s="37"/>
      <c r="ALM92" s="37"/>
      <c r="ALN92" s="37"/>
      <c r="ALO92" s="37"/>
      <c r="ALP92" s="37"/>
      <c r="ALQ92" s="37"/>
      <c r="ALR92" s="37"/>
      <c r="ALS92" s="37"/>
      <c r="ALT92" s="37"/>
      <c r="ALU92" s="37"/>
      <c r="ALV92" s="37"/>
      <c r="ALW92" s="37"/>
      <c r="ALX92" s="37"/>
      <c r="ALY92" s="37"/>
      <c r="ALZ92" s="37"/>
      <c r="AMA92" s="37"/>
      <c r="AMB92" s="37"/>
      <c r="AMC92" s="37"/>
    </row>
    <row r="93" spans="1:1017" s="38" customFormat="1" ht="19.5" customHeight="1">
      <c r="A93" s="72"/>
      <c r="B93" s="73"/>
      <c r="C93" s="72"/>
      <c r="D93" s="72"/>
      <c r="E93" s="72"/>
      <c r="F93" s="72"/>
      <c r="G93" s="35">
        <v>40</v>
      </c>
      <c r="H93" s="35">
        <v>91</v>
      </c>
      <c r="I93" s="35">
        <v>102</v>
      </c>
      <c r="J93" s="35">
        <v>65</v>
      </c>
      <c r="K93" s="35">
        <v>33</v>
      </c>
      <c r="L93" s="35">
        <v>25</v>
      </c>
      <c r="M93" s="35">
        <v>20</v>
      </c>
      <c r="N93" s="35">
        <v>90</v>
      </c>
      <c r="O93" s="74">
        <v>4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  <c r="OU93" s="37"/>
      <c r="OV93" s="37"/>
      <c r="OW93" s="37"/>
      <c r="OX93" s="37"/>
      <c r="OY93" s="37"/>
      <c r="OZ93" s="37"/>
      <c r="PA93" s="37"/>
      <c r="PB93" s="37"/>
      <c r="PC93" s="37"/>
      <c r="PD93" s="37"/>
      <c r="PE93" s="37"/>
      <c r="PF93" s="37"/>
      <c r="PG93" s="37"/>
      <c r="PH93" s="37"/>
      <c r="PI93" s="37"/>
      <c r="PJ93" s="37"/>
      <c r="PK93" s="37"/>
      <c r="PL93" s="37"/>
      <c r="PM93" s="37"/>
      <c r="PN93" s="37"/>
      <c r="PO93" s="37"/>
      <c r="PP93" s="37"/>
      <c r="PQ93" s="37"/>
      <c r="PR93" s="37"/>
      <c r="PS93" s="37"/>
      <c r="PT93" s="37"/>
      <c r="PU93" s="37"/>
      <c r="PV93" s="37"/>
      <c r="PW93" s="37"/>
      <c r="PX93" s="37"/>
      <c r="PY93" s="37"/>
      <c r="PZ93" s="37"/>
      <c r="QA93" s="37"/>
      <c r="QB93" s="37"/>
      <c r="QC93" s="37"/>
      <c r="QD93" s="37"/>
      <c r="QE93" s="37"/>
      <c r="QF93" s="37"/>
      <c r="QG93" s="37"/>
      <c r="QH93" s="37"/>
      <c r="QI93" s="37"/>
      <c r="QJ93" s="37"/>
      <c r="QK93" s="37"/>
      <c r="QL93" s="37"/>
      <c r="QM93" s="37"/>
      <c r="QN93" s="37"/>
      <c r="QO93" s="37"/>
      <c r="QP93" s="37"/>
      <c r="QQ93" s="37"/>
      <c r="QR93" s="37"/>
      <c r="QS93" s="37"/>
      <c r="QT93" s="37"/>
      <c r="QU93" s="37"/>
      <c r="QV93" s="37"/>
      <c r="QW93" s="37"/>
      <c r="QX93" s="37"/>
      <c r="QY93" s="37"/>
      <c r="QZ93" s="37"/>
      <c r="RA93" s="37"/>
      <c r="RB93" s="37"/>
      <c r="RC93" s="37"/>
      <c r="RD93" s="37"/>
      <c r="RE93" s="37"/>
      <c r="RF93" s="37"/>
      <c r="RG93" s="37"/>
      <c r="RH93" s="37"/>
      <c r="RI93" s="37"/>
      <c r="RJ93" s="37"/>
      <c r="RK93" s="37"/>
      <c r="RL93" s="37"/>
      <c r="RM93" s="37"/>
      <c r="RN93" s="37"/>
      <c r="RO93" s="37"/>
      <c r="RP93" s="37"/>
      <c r="RQ93" s="37"/>
      <c r="RR93" s="37"/>
      <c r="RS93" s="37"/>
      <c r="RT93" s="37"/>
      <c r="RU93" s="37"/>
      <c r="RV93" s="37"/>
      <c r="RW93" s="37"/>
      <c r="RX93" s="37"/>
      <c r="RY93" s="37"/>
      <c r="RZ93" s="37"/>
      <c r="SA93" s="37"/>
      <c r="SB93" s="37"/>
      <c r="SC93" s="37"/>
      <c r="SD93" s="37"/>
      <c r="SE93" s="37"/>
      <c r="SF93" s="37"/>
      <c r="SG93" s="37"/>
      <c r="SH93" s="37"/>
      <c r="SI93" s="37"/>
      <c r="SJ93" s="37"/>
      <c r="SK93" s="37"/>
      <c r="SL93" s="37"/>
      <c r="SM93" s="37"/>
      <c r="SN93" s="37"/>
      <c r="SO93" s="37"/>
      <c r="SP93" s="37"/>
      <c r="SQ93" s="37"/>
      <c r="SR93" s="37"/>
      <c r="SS93" s="37"/>
      <c r="ST93" s="37"/>
      <c r="SU93" s="37"/>
      <c r="SV93" s="37"/>
      <c r="SW93" s="37"/>
      <c r="SX93" s="37"/>
      <c r="SY93" s="37"/>
      <c r="SZ93" s="37"/>
      <c r="TA93" s="37"/>
      <c r="TB93" s="37"/>
      <c r="TC93" s="37"/>
      <c r="TD93" s="37"/>
      <c r="TE93" s="37"/>
      <c r="TF93" s="37"/>
      <c r="TG93" s="37"/>
      <c r="TH93" s="37"/>
      <c r="TI93" s="37"/>
      <c r="TJ93" s="37"/>
      <c r="TK93" s="37"/>
      <c r="TL93" s="37"/>
      <c r="TM93" s="37"/>
      <c r="TN93" s="37"/>
      <c r="TO93" s="37"/>
      <c r="TP93" s="37"/>
      <c r="TQ93" s="37"/>
      <c r="TR93" s="37"/>
      <c r="TS93" s="37"/>
      <c r="TT93" s="37"/>
      <c r="TU93" s="37"/>
      <c r="TV93" s="37"/>
      <c r="TW93" s="37"/>
      <c r="TX93" s="37"/>
      <c r="TY93" s="37"/>
      <c r="TZ93" s="37"/>
      <c r="UA93" s="37"/>
      <c r="UB93" s="37"/>
      <c r="UC93" s="37"/>
      <c r="UD93" s="37"/>
      <c r="UE93" s="37"/>
      <c r="UF93" s="37"/>
      <c r="UG93" s="37"/>
      <c r="UH93" s="37"/>
      <c r="UI93" s="37"/>
      <c r="UJ93" s="37"/>
      <c r="UK93" s="37"/>
      <c r="UL93" s="37"/>
      <c r="UM93" s="37"/>
      <c r="UN93" s="37"/>
      <c r="UO93" s="37"/>
      <c r="UP93" s="37"/>
      <c r="UQ93" s="37"/>
      <c r="UR93" s="37"/>
      <c r="US93" s="37"/>
      <c r="UT93" s="37"/>
      <c r="UU93" s="37"/>
      <c r="UV93" s="37"/>
      <c r="UW93" s="37"/>
      <c r="UX93" s="37"/>
      <c r="UY93" s="37"/>
      <c r="UZ93" s="37"/>
      <c r="VA93" s="37"/>
      <c r="VB93" s="37"/>
      <c r="VC93" s="37"/>
      <c r="VD93" s="37"/>
      <c r="VE93" s="37"/>
      <c r="VF93" s="37"/>
      <c r="VG93" s="37"/>
      <c r="VH93" s="37"/>
      <c r="VI93" s="37"/>
      <c r="VJ93" s="37"/>
      <c r="VK93" s="37"/>
      <c r="VL93" s="37"/>
      <c r="VM93" s="37"/>
      <c r="VN93" s="37"/>
      <c r="VO93" s="37"/>
      <c r="VP93" s="37"/>
      <c r="VQ93" s="37"/>
      <c r="VR93" s="37"/>
      <c r="VS93" s="37"/>
      <c r="VT93" s="37"/>
      <c r="VU93" s="37"/>
      <c r="VV93" s="37"/>
      <c r="VW93" s="37"/>
      <c r="VX93" s="37"/>
      <c r="VY93" s="37"/>
      <c r="VZ93" s="37"/>
      <c r="WA93" s="37"/>
      <c r="WB93" s="37"/>
      <c r="WC93" s="37"/>
      <c r="WD93" s="37"/>
      <c r="WE93" s="37"/>
      <c r="WF93" s="37"/>
      <c r="WG93" s="37"/>
      <c r="WH93" s="37"/>
      <c r="WI93" s="37"/>
      <c r="WJ93" s="37"/>
      <c r="WK93" s="37"/>
      <c r="WL93" s="37"/>
      <c r="WM93" s="37"/>
      <c r="WN93" s="37"/>
      <c r="WO93" s="37"/>
      <c r="WP93" s="37"/>
      <c r="WQ93" s="37"/>
      <c r="WR93" s="37"/>
      <c r="WS93" s="37"/>
      <c r="WT93" s="37"/>
      <c r="WU93" s="37"/>
      <c r="WV93" s="37"/>
      <c r="WW93" s="37"/>
      <c r="WX93" s="37"/>
      <c r="WY93" s="37"/>
      <c r="WZ93" s="37"/>
      <c r="XA93" s="37"/>
      <c r="XB93" s="37"/>
      <c r="XC93" s="37"/>
      <c r="XD93" s="37"/>
      <c r="XE93" s="37"/>
      <c r="XF93" s="37"/>
      <c r="XG93" s="37"/>
      <c r="XH93" s="37"/>
      <c r="XI93" s="37"/>
      <c r="XJ93" s="37"/>
      <c r="XK93" s="37"/>
      <c r="XL93" s="37"/>
      <c r="XM93" s="37"/>
      <c r="XN93" s="37"/>
      <c r="XO93" s="37"/>
      <c r="XP93" s="37"/>
      <c r="XQ93" s="37"/>
      <c r="XR93" s="37"/>
      <c r="XS93" s="37"/>
      <c r="XT93" s="37"/>
      <c r="XU93" s="37"/>
      <c r="XV93" s="37"/>
      <c r="XW93" s="37"/>
      <c r="XX93" s="37"/>
      <c r="XY93" s="37"/>
      <c r="XZ93" s="37"/>
      <c r="YA93" s="37"/>
      <c r="YB93" s="37"/>
      <c r="YC93" s="37"/>
      <c r="YD93" s="37"/>
      <c r="YE93" s="37"/>
      <c r="YF93" s="37"/>
      <c r="YG93" s="37"/>
      <c r="YH93" s="37"/>
      <c r="YI93" s="37"/>
      <c r="YJ93" s="37"/>
      <c r="YK93" s="37"/>
      <c r="YL93" s="37"/>
      <c r="YM93" s="37"/>
      <c r="YN93" s="37"/>
      <c r="YO93" s="37"/>
      <c r="YP93" s="37"/>
      <c r="YQ93" s="37"/>
      <c r="YR93" s="37"/>
      <c r="YS93" s="37"/>
      <c r="YT93" s="37"/>
      <c r="YU93" s="37"/>
      <c r="YV93" s="37"/>
      <c r="YW93" s="37"/>
      <c r="YX93" s="37"/>
      <c r="YY93" s="37"/>
      <c r="YZ93" s="37"/>
      <c r="ZA93" s="37"/>
      <c r="ZB93" s="37"/>
      <c r="ZC93" s="37"/>
      <c r="ZD93" s="37"/>
      <c r="ZE93" s="37"/>
      <c r="ZF93" s="37"/>
      <c r="ZG93" s="37"/>
      <c r="ZH93" s="37"/>
      <c r="ZI93" s="37"/>
      <c r="ZJ93" s="37"/>
      <c r="ZK93" s="37"/>
      <c r="ZL93" s="37"/>
      <c r="ZM93" s="37"/>
      <c r="ZN93" s="37"/>
      <c r="ZO93" s="37"/>
      <c r="ZP93" s="37"/>
      <c r="ZQ93" s="37"/>
      <c r="ZR93" s="37"/>
      <c r="ZS93" s="37"/>
      <c r="ZT93" s="37"/>
      <c r="ZU93" s="37"/>
      <c r="ZV93" s="37"/>
      <c r="ZW93" s="37"/>
      <c r="ZX93" s="37"/>
      <c r="ZY93" s="37"/>
      <c r="ZZ93" s="37"/>
      <c r="AAA93" s="37"/>
      <c r="AAB93" s="37"/>
      <c r="AAC93" s="37"/>
      <c r="AAD93" s="37"/>
      <c r="AAE93" s="37"/>
      <c r="AAF93" s="37"/>
      <c r="AAG93" s="37"/>
      <c r="AAH93" s="37"/>
      <c r="AAI93" s="37"/>
      <c r="AAJ93" s="37"/>
      <c r="AAK93" s="37"/>
      <c r="AAL93" s="37"/>
      <c r="AAM93" s="37"/>
      <c r="AAN93" s="37"/>
      <c r="AAO93" s="37"/>
      <c r="AAP93" s="37"/>
      <c r="AAQ93" s="37"/>
      <c r="AAR93" s="37"/>
      <c r="AAS93" s="37"/>
      <c r="AAT93" s="37"/>
      <c r="AAU93" s="37"/>
      <c r="AAV93" s="37"/>
      <c r="AAW93" s="37"/>
      <c r="AAX93" s="37"/>
      <c r="AAY93" s="37"/>
      <c r="AAZ93" s="37"/>
      <c r="ABA93" s="37"/>
      <c r="ABB93" s="37"/>
      <c r="ABC93" s="37"/>
      <c r="ABD93" s="37"/>
      <c r="ABE93" s="37"/>
      <c r="ABF93" s="37"/>
      <c r="ABG93" s="37"/>
      <c r="ABH93" s="37"/>
      <c r="ABI93" s="37"/>
      <c r="ABJ93" s="37"/>
      <c r="ABK93" s="37"/>
      <c r="ABL93" s="37"/>
      <c r="ABM93" s="37"/>
      <c r="ABN93" s="37"/>
      <c r="ABO93" s="37"/>
      <c r="ABP93" s="37"/>
      <c r="ABQ93" s="37"/>
      <c r="ABR93" s="37"/>
      <c r="ABS93" s="37"/>
      <c r="ABT93" s="37"/>
      <c r="ABU93" s="37"/>
      <c r="ABV93" s="37"/>
      <c r="ABW93" s="37"/>
      <c r="ABX93" s="37"/>
      <c r="ABY93" s="37"/>
      <c r="ABZ93" s="37"/>
      <c r="ACA93" s="37"/>
      <c r="ACB93" s="37"/>
      <c r="ACC93" s="37"/>
      <c r="ACD93" s="37"/>
      <c r="ACE93" s="37"/>
      <c r="ACF93" s="37"/>
      <c r="ACG93" s="37"/>
      <c r="ACH93" s="37"/>
      <c r="ACI93" s="37"/>
      <c r="ACJ93" s="37"/>
      <c r="ACK93" s="37"/>
      <c r="ACL93" s="37"/>
      <c r="ACM93" s="37"/>
      <c r="ACN93" s="37"/>
      <c r="ACO93" s="37"/>
      <c r="ACP93" s="37"/>
      <c r="ACQ93" s="37"/>
      <c r="ACR93" s="37"/>
      <c r="ACS93" s="37"/>
      <c r="ACT93" s="37"/>
      <c r="ACU93" s="37"/>
      <c r="ACV93" s="37"/>
      <c r="ACW93" s="37"/>
      <c r="ACX93" s="37"/>
      <c r="ACY93" s="37"/>
      <c r="ACZ93" s="37"/>
      <c r="ADA93" s="37"/>
      <c r="ADB93" s="37"/>
      <c r="ADC93" s="37"/>
      <c r="ADD93" s="37"/>
      <c r="ADE93" s="37"/>
      <c r="ADF93" s="37"/>
      <c r="ADG93" s="37"/>
      <c r="ADH93" s="37"/>
      <c r="ADI93" s="37"/>
      <c r="ADJ93" s="37"/>
      <c r="ADK93" s="37"/>
      <c r="ADL93" s="37"/>
      <c r="ADM93" s="37"/>
      <c r="ADN93" s="37"/>
      <c r="ADO93" s="37"/>
      <c r="ADP93" s="37"/>
      <c r="ADQ93" s="37"/>
      <c r="ADR93" s="37"/>
      <c r="ADS93" s="37"/>
      <c r="ADT93" s="37"/>
      <c r="ADU93" s="37"/>
      <c r="ADV93" s="37"/>
      <c r="ADW93" s="37"/>
      <c r="ADX93" s="37"/>
      <c r="ADY93" s="37"/>
      <c r="ADZ93" s="37"/>
      <c r="AEA93" s="37"/>
      <c r="AEB93" s="37"/>
      <c r="AEC93" s="37"/>
      <c r="AED93" s="37"/>
      <c r="AEE93" s="37"/>
      <c r="AEF93" s="37"/>
      <c r="AEG93" s="37"/>
      <c r="AEH93" s="37"/>
      <c r="AEI93" s="37"/>
      <c r="AEJ93" s="37"/>
      <c r="AEK93" s="37"/>
      <c r="AEL93" s="37"/>
      <c r="AEM93" s="37"/>
      <c r="AEN93" s="37"/>
      <c r="AEO93" s="37"/>
      <c r="AEP93" s="37"/>
      <c r="AEQ93" s="37"/>
      <c r="AER93" s="37"/>
      <c r="AES93" s="37"/>
      <c r="AET93" s="37"/>
      <c r="AEU93" s="37"/>
      <c r="AEV93" s="37"/>
      <c r="AEW93" s="37"/>
      <c r="AEX93" s="37"/>
      <c r="AEY93" s="37"/>
      <c r="AEZ93" s="37"/>
      <c r="AFA93" s="37"/>
      <c r="AFB93" s="37"/>
      <c r="AFC93" s="37"/>
      <c r="AFD93" s="37"/>
      <c r="AFE93" s="37"/>
      <c r="AFF93" s="37"/>
      <c r="AFG93" s="37"/>
      <c r="AFH93" s="37"/>
      <c r="AFI93" s="37"/>
      <c r="AFJ93" s="37"/>
      <c r="AFK93" s="37"/>
      <c r="AFL93" s="37"/>
      <c r="AFM93" s="37"/>
      <c r="AFN93" s="37"/>
      <c r="AFO93" s="37"/>
      <c r="AFP93" s="37"/>
      <c r="AFQ93" s="37"/>
      <c r="AFR93" s="37"/>
      <c r="AFS93" s="37"/>
      <c r="AFT93" s="37"/>
      <c r="AFU93" s="37"/>
      <c r="AFV93" s="37"/>
      <c r="AFW93" s="37"/>
      <c r="AFX93" s="37"/>
      <c r="AFY93" s="37"/>
      <c r="AFZ93" s="37"/>
      <c r="AGA93" s="37"/>
      <c r="AGB93" s="37"/>
      <c r="AGC93" s="37"/>
      <c r="AGD93" s="37"/>
      <c r="AGE93" s="37"/>
      <c r="AGF93" s="37"/>
      <c r="AGG93" s="37"/>
      <c r="AGH93" s="37"/>
      <c r="AGI93" s="37"/>
      <c r="AGJ93" s="37"/>
      <c r="AGK93" s="37"/>
      <c r="AGL93" s="37"/>
      <c r="AGM93" s="37"/>
      <c r="AGN93" s="37"/>
      <c r="AGO93" s="37"/>
      <c r="AGP93" s="37"/>
      <c r="AGQ93" s="37"/>
      <c r="AGR93" s="37"/>
      <c r="AGS93" s="37"/>
      <c r="AGT93" s="37"/>
      <c r="AGU93" s="37"/>
      <c r="AGV93" s="37"/>
      <c r="AGW93" s="37"/>
      <c r="AGX93" s="37"/>
      <c r="AGY93" s="37"/>
      <c r="AGZ93" s="37"/>
      <c r="AHA93" s="37"/>
      <c r="AHB93" s="37"/>
      <c r="AHC93" s="37"/>
      <c r="AHD93" s="37"/>
      <c r="AHE93" s="37"/>
      <c r="AHF93" s="37"/>
      <c r="AHG93" s="37"/>
      <c r="AHH93" s="37"/>
      <c r="AHI93" s="37"/>
      <c r="AHJ93" s="37"/>
      <c r="AHK93" s="37"/>
      <c r="AHL93" s="37"/>
      <c r="AHM93" s="37"/>
      <c r="AHN93" s="37"/>
      <c r="AHO93" s="37"/>
      <c r="AHP93" s="37"/>
      <c r="AHQ93" s="37"/>
      <c r="AHR93" s="37"/>
      <c r="AHS93" s="37"/>
      <c r="AHT93" s="37"/>
      <c r="AHU93" s="37"/>
      <c r="AHV93" s="37"/>
      <c r="AHW93" s="37"/>
      <c r="AHX93" s="37"/>
      <c r="AHY93" s="37"/>
      <c r="AHZ93" s="37"/>
      <c r="AIA93" s="37"/>
      <c r="AIB93" s="37"/>
      <c r="AIC93" s="37"/>
      <c r="AID93" s="37"/>
      <c r="AIE93" s="37"/>
      <c r="AIF93" s="37"/>
      <c r="AIG93" s="37"/>
      <c r="AIH93" s="37"/>
      <c r="AII93" s="37"/>
      <c r="AIJ93" s="37"/>
      <c r="AIK93" s="37"/>
      <c r="AIL93" s="37"/>
      <c r="AIM93" s="37"/>
      <c r="AIN93" s="37"/>
      <c r="AIO93" s="37"/>
      <c r="AIP93" s="37"/>
      <c r="AIQ93" s="37"/>
      <c r="AIR93" s="37"/>
      <c r="AIS93" s="37"/>
      <c r="AIT93" s="37"/>
      <c r="AIU93" s="37"/>
      <c r="AIV93" s="37"/>
      <c r="AIW93" s="37"/>
      <c r="AIX93" s="37"/>
      <c r="AIY93" s="37"/>
      <c r="AIZ93" s="37"/>
      <c r="AJA93" s="37"/>
      <c r="AJB93" s="37"/>
      <c r="AJC93" s="37"/>
      <c r="AJD93" s="37"/>
      <c r="AJE93" s="37"/>
      <c r="AJF93" s="37"/>
      <c r="AJG93" s="37"/>
      <c r="AJH93" s="37"/>
      <c r="AJI93" s="37"/>
      <c r="AJJ93" s="37"/>
      <c r="AJK93" s="37"/>
      <c r="AJL93" s="37"/>
      <c r="AJM93" s="37"/>
      <c r="AJN93" s="37"/>
      <c r="AJO93" s="37"/>
      <c r="AJP93" s="37"/>
      <c r="AJQ93" s="37"/>
      <c r="AJR93" s="37"/>
      <c r="AJS93" s="37"/>
      <c r="AJT93" s="37"/>
      <c r="AJU93" s="37"/>
      <c r="AJV93" s="37"/>
      <c r="AJW93" s="37"/>
      <c r="AJX93" s="37"/>
      <c r="AJY93" s="37"/>
      <c r="AJZ93" s="37"/>
      <c r="AKA93" s="37"/>
      <c r="AKB93" s="37"/>
      <c r="AKC93" s="37"/>
      <c r="AKD93" s="37"/>
      <c r="AKE93" s="37"/>
      <c r="AKF93" s="37"/>
      <c r="AKG93" s="37"/>
      <c r="AKH93" s="37"/>
      <c r="AKI93" s="37"/>
      <c r="AKJ93" s="37"/>
      <c r="AKK93" s="37"/>
      <c r="AKL93" s="37"/>
      <c r="AKM93" s="37"/>
      <c r="AKN93" s="37"/>
      <c r="AKO93" s="37"/>
      <c r="AKP93" s="37"/>
      <c r="AKQ93" s="37"/>
      <c r="AKR93" s="37"/>
      <c r="AKS93" s="37"/>
      <c r="AKT93" s="37"/>
      <c r="AKU93" s="37"/>
      <c r="AKV93" s="37"/>
      <c r="AKW93" s="37"/>
      <c r="AKX93" s="37"/>
      <c r="AKY93" s="37"/>
      <c r="AKZ93" s="37"/>
      <c r="ALA93" s="37"/>
      <c r="ALB93" s="37"/>
      <c r="ALC93" s="37"/>
      <c r="ALD93" s="37"/>
      <c r="ALE93" s="37"/>
      <c r="ALF93" s="37"/>
      <c r="ALG93" s="37"/>
      <c r="ALH93" s="37"/>
      <c r="ALI93" s="37"/>
      <c r="ALJ93" s="37"/>
      <c r="ALK93" s="37"/>
      <c r="ALL93" s="37"/>
      <c r="ALM93" s="37"/>
      <c r="ALN93" s="37"/>
      <c r="ALO93" s="37"/>
      <c r="ALP93" s="37"/>
      <c r="ALQ93" s="37"/>
      <c r="ALR93" s="37"/>
      <c r="ALS93" s="37"/>
      <c r="ALT93" s="37"/>
      <c r="ALU93" s="37"/>
      <c r="ALV93" s="37"/>
      <c r="ALW93" s="37"/>
      <c r="ALX93" s="37"/>
      <c r="ALY93" s="37"/>
      <c r="ALZ93" s="37"/>
      <c r="AMA93" s="37"/>
      <c r="AMB93" s="37"/>
      <c r="AMC93" s="37"/>
    </row>
    <row r="94" spans="1:1017" s="38" customFormat="1" ht="19.5" customHeight="1">
      <c r="A94" s="75"/>
      <c r="B94" s="76"/>
      <c r="C94" s="75"/>
      <c r="D94" s="75"/>
      <c r="E94" s="75"/>
      <c r="F94" s="75"/>
      <c r="G94" s="77">
        <v>46</v>
      </c>
      <c r="H94" s="77">
        <v>58</v>
      </c>
      <c r="I94" s="77">
        <v>19</v>
      </c>
      <c r="J94" s="77">
        <v>14</v>
      </c>
      <c r="K94" s="77">
        <v>102</v>
      </c>
      <c r="L94" s="77">
        <v>98</v>
      </c>
      <c r="M94" s="77">
        <v>104</v>
      </c>
      <c r="N94" s="77"/>
      <c r="O94" s="7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/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  <c r="OU94" s="37"/>
      <c r="OV94" s="37"/>
      <c r="OW94" s="37"/>
      <c r="OX94" s="37"/>
      <c r="OY94" s="37"/>
      <c r="OZ94" s="37"/>
      <c r="PA94" s="37"/>
      <c r="PB94" s="37"/>
      <c r="PC94" s="37"/>
      <c r="PD94" s="37"/>
      <c r="PE94" s="37"/>
      <c r="PF94" s="37"/>
      <c r="PG94" s="37"/>
      <c r="PH94" s="37"/>
      <c r="PI94" s="37"/>
      <c r="PJ94" s="37"/>
      <c r="PK94" s="37"/>
      <c r="PL94" s="37"/>
      <c r="PM94" s="37"/>
      <c r="PN94" s="37"/>
      <c r="PO94" s="37"/>
      <c r="PP94" s="37"/>
      <c r="PQ94" s="37"/>
      <c r="PR94" s="37"/>
      <c r="PS94" s="37"/>
      <c r="PT94" s="37"/>
      <c r="PU94" s="37"/>
      <c r="PV94" s="37"/>
      <c r="PW94" s="37"/>
      <c r="PX94" s="37"/>
      <c r="PY94" s="37"/>
      <c r="PZ94" s="37"/>
      <c r="QA94" s="37"/>
      <c r="QB94" s="37"/>
      <c r="QC94" s="37"/>
      <c r="QD94" s="37"/>
      <c r="QE94" s="37"/>
      <c r="QF94" s="37"/>
      <c r="QG94" s="37"/>
      <c r="QH94" s="37"/>
      <c r="QI94" s="37"/>
      <c r="QJ94" s="37"/>
      <c r="QK94" s="37"/>
      <c r="QL94" s="37"/>
      <c r="QM94" s="37"/>
      <c r="QN94" s="37"/>
      <c r="QO94" s="37"/>
      <c r="QP94" s="37"/>
      <c r="QQ94" s="37"/>
      <c r="QR94" s="37"/>
      <c r="QS94" s="37"/>
      <c r="QT94" s="37"/>
      <c r="QU94" s="37"/>
      <c r="QV94" s="37"/>
      <c r="QW94" s="37"/>
      <c r="QX94" s="37"/>
      <c r="QY94" s="37"/>
      <c r="QZ94" s="37"/>
      <c r="RA94" s="37"/>
      <c r="RB94" s="37"/>
      <c r="RC94" s="37"/>
      <c r="RD94" s="37"/>
      <c r="RE94" s="37"/>
      <c r="RF94" s="37"/>
      <c r="RG94" s="37"/>
      <c r="RH94" s="37"/>
      <c r="RI94" s="37"/>
      <c r="RJ94" s="37"/>
      <c r="RK94" s="37"/>
      <c r="RL94" s="37"/>
      <c r="RM94" s="37"/>
      <c r="RN94" s="37"/>
      <c r="RO94" s="37"/>
      <c r="RP94" s="37"/>
      <c r="RQ94" s="37"/>
      <c r="RR94" s="37"/>
      <c r="RS94" s="37"/>
      <c r="RT94" s="37"/>
      <c r="RU94" s="37"/>
      <c r="RV94" s="37"/>
      <c r="RW94" s="37"/>
      <c r="RX94" s="37"/>
      <c r="RY94" s="37"/>
      <c r="RZ94" s="37"/>
      <c r="SA94" s="37"/>
      <c r="SB94" s="37"/>
      <c r="SC94" s="37"/>
      <c r="SD94" s="37"/>
      <c r="SE94" s="37"/>
      <c r="SF94" s="37"/>
      <c r="SG94" s="37"/>
      <c r="SH94" s="37"/>
      <c r="SI94" s="37"/>
      <c r="SJ94" s="37"/>
      <c r="SK94" s="37"/>
      <c r="SL94" s="37"/>
      <c r="SM94" s="37"/>
      <c r="SN94" s="37"/>
      <c r="SO94" s="37"/>
      <c r="SP94" s="37"/>
      <c r="SQ94" s="37"/>
      <c r="SR94" s="37"/>
      <c r="SS94" s="37"/>
      <c r="ST94" s="37"/>
      <c r="SU94" s="37"/>
      <c r="SV94" s="37"/>
      <c r="SW94" s="37"/>
      <c r="SX94" s="37"/>
      <c r="SY94" s="37"/>
      <c r="SZ94" s="37"/>
      <c r="TA94" s="37"/>
      <c r="TB94" s="37"/>
      <c r="TC94" s="37"/>
      <c r="TD94" s="37"/>
      <c r="TE94" s="37"/>
      <c r="TF94" s="37"/>
      <c r="TG94" s="37"/>
      <c r="TH94" s="37"/>
      <c r="TI94" s="37"/>
      <c r="TJ94" s="37"/>
      <c r="TK94" s="37"/>
      <c r="TL94" s="37"/>
      <c r="TM94" s="37"/>
      <c r="TN94" s="37"/>
      <c r="TO94" s="37"/>
      <c r="TP94" s="37"/>
      <c r="TQ94" s="37"/>
      <c r="TR94" s="37"/>
      <c r="TS94" s="37"/>
      <c r="TT94" s="37"/>
      <c r="TU94" s="37"/>
      <c r="TV94" s="37"/>
      <c r="TW94" s="37"/>
      <c r="TX94" s="37"/>
      <c r="TY94" s="37"/>
      <c r="TZ94" s="37"/>
      <c r="UA94" s="37"/>
      <c r="UB94" s="37"/>
      <c r="UC94" s="37"/>
      <c r="UD94" s="37"/>
      <c r="UE94" s="37"/>
      <c r="UF94" s="37"/>
      <c r="UG94" s="37"/>
      <c r="UH94" s="37"/>
      <c r="UI94" s="37"/>
      <c r="UJ94" s="37"/>
      <c r="UK94" s="37"/>
      <c r="UL94" s="37"/>
      <c r="UM94" s="37"/>
      <c r="UN94" s="37"/>
      <c r="UO94" s="37"/>
      <c r="UP94" s="37"/>
      <c r="UQ94" s="37"/>
      <c r="UR94" s="37"/>
      <c r="US94" s="37"/>
      <c r="UT94" s="37"/>
      <c r="UU94" s="37"/>
      <c r="UV94" s="37"/>
      <c r="UW94" s="37"/>
      <c r="UX94" s="37"/>
      <c r="UY94" s="37"/>
      <c r="UZ94" s="37"/>
      <c r="VA94" s="37"/>
      <c r="VB94" s="37"/>
      <c r="VC94" s="37"/>
      <c r="VD94" s="37"/>
      <c r="VE94" s="37"/>
      <c r="VF94" s="37"/>
      <c r="VG94" s="37"/>
      <c r="VH94" s="37"/>
      <c r="VI94" s="37"/>
      <c r="VJ94" s="37"/>
      <c r="VK94" s="37"/>
      <c r="VL94" s="37"/>
      <c r="VM94" s="37"/>
      <c r="VN94" s="37"/>
      <c r="VO94" s="37"/>
      <c r="VP94" s="37"/>
      <c r="VQ94" s="37"/>
      <c r="VR94" s="37"/>
      <c r="VS94" s="37"/>
      <c r="VT94" s="37"/>
      <c r="VU94" s="37"/>
      <c r="VV94" s="37"/>
      <c r="VW94" s="37"/>
      <c r="VX94" s="37"/>
      <c r="VY94" s="37"/>
      <c r="VZ94" s="37"/>
      <c r="WA94" s="37"/>
      <c r="WB94" s="37"/>
      <c r="WC94" s="37"/>
      <c r="WD94" s="37"/>
      <c r="WE94" s="37"/>
      <c r="WF94" s="37"/>
      <c r="WG94" s="37"/>
      <c r="WH94" s="37"/>
      <c r="WI94" s="37"/>
      <c r="WJ94" s="37"/>
      <c r="WK94" s="37"/>
      <c r="WL94" s="37"/>
      <c r="WM94" s="37"/>
      <c r="WN94" s="37"/>
      <c r="WO94" s="37"/>
      <c r="WP94" s="37"/>
      <c r="WQ94" s="37"/>
      <c r="WR94" s="37"/>
      <c r="WS94" s="37"/>
      <c r="WT94" s="37"/>
      <c r="WU94" s="37"/>
      <c r="WV94" s="37"/>
      <c r="WW94" s="37"/>
      <c r="WX94" s="37"/>
      <c r="WY94" s="37"/>
      <c r="WZ94" s="37"/>
      <c r="XA94" s="37"/>
      <c r="XB94" s="37"/>
      <c r="XC94" s="37"/>
      <c r="XD94" s="37"/>
      <c r="XE94" s="37"/>
      <c r="XF94" s="37"/>
      <c r="XG94" s="37"/>
      <c r="XH94" s="37"/>
      <c r="XI94" s="37"/>
      <c r="XJ94" s="37"/>
      <c r="XK94" s="37"/>
      <c r="XL94" s="37"/>
      <c r="XM94" s="37"/>
      <c r="XN94" s="37"/>
      <c r="XO94" s="37"/>
      <c r="XP94" s="37"/>
      <c r="XQ94" s="37"/>
      <c r="XR94" s="37"/>
      <c r="XS94" s="37"/>
      <c r="XT94" s="37"/>
      <c r="XU94" s="37"/>
      <c r="XV94" s="37"/>
      <c r="XW94" s="37"/>
      <c r="XX94" s="37"/>
      <c r="XY94" s="37"/>
      <c r="XZ94" s="37"/>
      <c r="YA94" s="37"/>
      <c r="YB94" s="37"/>
      <c r="YC94" s="37"/>
      <c r="YD94" s="37"/>
      <c r="YE94" s="37"/>
      <c r="YF94" s="37"/>
      <c r="YG94" s="37"/>
      <c r="YH94" s="37"/>
      <c r="YI94" s="37"/>
      <c r="YJ94" s="37"/>
      <c r="YK94" s="37"/>
      <c r="YL94" s="37"/>
      <c r="YM94" s="37"/>
      <c r="YN94" s="37"/>
      <c r="YO94" s="37"/>
      <c r="YP94" s="37"/>
      <c r="YQ94" s="37"/>
      <c r="YR94" s="37"/>
      <c r="YS94" s="37"/>
      <c r="YT94" s="37"/>
      <c r="YU94" s="37"/>
      <c r="YV94" s="37"/>
      <c r="YW94" s="37"/>
      <c r="YX94" s="37"/>
      <c r="YY94" s="37"/>
      <c r="YZ94" s="37"/>
      <c r="ZA94" s="37"/>
      <c r="ZB94" s="37"/>
      <c r="ZC94" s="37"/>
      <c r="ZD94" s="37"/>
      <c r="ZE94" s="37"/>
      <c r="ZF94" s="37"/>
      <c r="ZG94" s="37"/>
      <c r="ZH94" s="37"/>
      <c r="ZI94" s="37"/>
      <c r="ZJ94" s="37"/>
      <c r="ZK94" s="37"/>
      <c r="ZL94" s="37"/>
      <c r="ZM94" s="37"/>
      <c r="ZN94" s="37"/>
      <c r="ZO94" s="37"/>
      <c r="ZP94" s="37"/>
      <c r="ZQ94" s="37"/>
      <c r="ZR94" s="37"/>
      <c r="ZS94" s="37"/>
      <c r="ZT94" s="37"/>
      <c r="ZU94" s="37"/>
      <c r="ZV94" s="37"/>
      <c r="ZW94" s="37"/>
      <c r="ZX94" s="37"/>
      <c r="ZY94" s="37"/>
      <c r="ZZ94" s="37"/>
      <c r="AAA94" s="37"/>
      <c r="AAB94" s="37"/>
      <c r="AAC94" s="37"/>
      <c r="AAD94" s="37"/>
      <c r="AAE94" s="37"/>
      <c r="AAF94" s="37"/>
      <c r="AAG94" s="37"/>
      <c r="AAH94" s="37"/>
      <c r="AAI94" s="37"/>
      <c r="AAJ94" s="37"/>
      <c r="AAK94" s="37"/>
      <c r="AAL94" s="37"/>
      <c r="AAM94" s="37"/>
      <c r="AAN94" s="37"/>
      <c r="AAO94" s="37"/>
      <c r="AAP94" s="37"/>
      <c r="AAQ94" s="37"/>
      <c r="AAR94" s="37"/>
      <c r="AAS94" s="37"/>
      <c r="AAT94" s="37"/>
      <c r="AAU94" s="37"/>
      <c r="AAV94" s="37"/>
      <c r="AAW94" s="37"/>
      <c r="AAX94" s="37"/>
      <c r="AAY94" s="37"/>
      <c r="AAZ94" s="37"/>
      <c r="ABA94" s="37"/>
      <c r="ABB94" s="37"/>
      <c r="ABC94" s="37"/>
      <c r="ABD94" s="37"/>
      <c r="ABE94" s="37"/>
      <c r="ABF94" s="37"/>
      <c r="ABG94" s="37"/>
      <c r="ABH94" s="37"/>
      <c r="ABI94" s="37"/>
      <c r="ABJ94" s="37"/>
      <c r="ABK94" s="37"/>
      <c r="ABL94" s="37"/>
      <c r="ABM94" s="37"/>
      <c r="ABN94" s="37"/>
      <c r="ABO94" s="37"/>
      <c r="ABP94" s="37"/>
      <c r="ABQ94" s="37"/>
      <c r="ABR94" s="37"/>
      <c r="ABS94" s="37"/>
      <c r="ABT94" s="37"/>
      <c r="ABU94" s="37"/>
      <c r="ABV94" s="37"/>
      <c r="ABW94" s="37"/>
      <c r="ABX94" s="37"/>
      <c r="ABY94" s="37"/>
      <c r="ABZ94" s="37"/>
      <c r="ACA94" s="37"/>
      <c r="ACB94" s="37"/>
      <c r="ACC94" s="37"/>
      <c r="ACD94" s="37"/>
      <c r="ACE94" s="37"/>
      <c r="ACF94" s="37"/>
      <c r="ACG94" s="37"/>
      <c r="ACH94" s="37"/>
      <c r="ACI94" s="37"/>
      <c r="ACJ94" s="37"/>
      <c r="ACK94" s="37"/>
      <c r="ACL94" s="37"/>
      <c r="ACM94" s="37"/>
      <c r="ACN94" s="37"/>
      <c r="ACO94" s="37"/>
      <c r="ACP94" s="37"/>
      <c r="ACQ94" s="37"/>
      <c r="ACR94" s="37"/>
      <c r="ACS94" s="37"/>
      <c r="ACT94" s="37"/>
      <c r="ACU94" s="37"/>
      <c r="ACV94" s="37"/>
      <c r="ACW94" s="37"/>
      <c r="ACX94" s="37"/>
      <c r="ACY94" s="37"/>
      <c r="ACZ94" s="37"/>
      <c r="ADA94" s="37"/>
      <c r="ADB94" s="37"/>
      <c r="ADC94" s="37"/>
      <c r="ADD94" s="37"/>
      <c r="ADE94" s="37"/>
      <c r="ADF94" s="37"/>
      <c r="ADG94" s="37"/>
      <c r="ADH94" s="37"/>
      <c r="ADI94" s="37"/>
      <c r="ADJ94" s="37"/>
      <c r="ADK94" s="37"/>
      <c r="ADL94" s="37"/>
      <c r="ADM94" s="37"/>
      <c r="ADN94" s="37"/>
      <c r="ADO94" s="37"/>
      <c r="ADP94" s="37"/>
      <c r="ADQ94" s="37"/>
      <c r="ADR94" s="37"/>
      <c r="ADS94" s="37"/>
      <c r="ADT94" s="37"/>
      <c r="ADU94" s="37"/>
      <c r="ADV94" s="37"/>
      <c r="ADW94" s="37"/>
      <c r="ADX94" s="37"/>
      <c r="ADY94" s="37"/>
      <c r="ADZ94" s="37"/>
      <c r="AEA94" s="37"/>
      <c r="AEB94" s="37"/>
      <c r="AEC94" s="37"/>
      <c r="AED94" s="37"/>
      <c r="AEE94" s="37"/>
      <c r="AEF94" s="37"/>
      <c r="AEG94" s="37"/>
      <c r="AEH94" s="37"/>
      <c r="AEI94" s="37"/>
      <c r="AEJ94" s="37"/>
      <c r="AEK94" s="37"/>
      <c r="AEL94" s="37"/>
      <c r="AEM94" s="37"/>
      <c r="AEN94" s="37"/>
      <c r="AEO94" s="37"/>
      <c r="AEP94" s="37"/>
      <c r="AEQ94" s="37"/>
      <c r="AER94" s="37"/>
      <c r="AES94" s="37"/>
      <c r="AET94" s="37"/>
      <c r="AEU94" s="37"/>
      <c r="AEV94" s="37"/>
      <c r="AEW94" s="37"/>
      <c r="AEX94" s="37"/>
      <c r="AEY94" s="37"/>
      <c r="AEZ94" s="37"/>
      <c r="AFA94" s="37"/>
      <c r="AFB94" s="37"/>
      <c r="AFC94" s="37"/>
      <c r="AFD94" s="37"/>
      <c r="AFE94" s="37"/>
      <c r="AFF94" s="37"/>
      <c r="AFG94" s="37"/>
      <c r="AFH94" s="37"/>
      <c r="AFI94" s="37"/>
      <c r="AFJ94" s="37"/>
      <c r="AFK94" s="37"/>
      <c r="AFL94" s="37"/>
      <c r="AFM94" s="37"/>
      <c r="AFN94" s="37"/>
      <c r="AFO94" s="37"/>
      <c r="AFP94" s="37"/>
      <c r="AFQ94" s="37"/>
      <c r="AFR94" s="37"/>
      <c r="AFS94" s="37"/>
      <c r="AFT94" s="37"/>
      <c r="AFU94" s="37"/>
      <c r="AFV94" s="37"/>
      <c r="AFW94" s="37"/>
      <c r="AFX94" s="37"/>
      <c r="AFY94" s="37"/>
      <c r="AFZ94" s="37"/>
      <c r="AGA94" s="37"/>
      <c r="AGB94" s="37"/>
      <c r="AGC94" s="37"/>
      <c r="AGD94" s="37"/>
      <c r="AGE94" s="37"/>
      <c r="AGF94" s="37"/>
      <c r="AGG94" s="37"/>
      <c r="AGH94" s="37"/>
      <c r="AGI94" s="37"/>
      <c r="AGJ94" s="37"/>
      <c r="AGK94" s="37"/>
      <c r="AGL94" s="37"/>
      <c r="AGM94" s="37"/>
      <c r="AGN94" s="37"/>
      <c r="AGO94" s="37"/>
      <c r="AGP94" s="37"/>
      <c r="AGQ94" s="37"/>
      <c r="AGR94" s="37"/>
      <c r="AGS94" s="37"/>
      <c r="AGT94" s="37"/>
      <c r="AGU94" s="37"/>
      <c r="AGV94" s="37"/>
      <c r="AGW94" s="37"/>
      <c r="AGX94" s="37"/>
      <c r="AGY94" s="37"/>
      <c r="AGZ94" s="37"/>
      <c r="AHA94" s="37"/>
      <c r="AHB94" s="37"/>
      <c r="AHC94" s="37"/>
      <c r="AHD94" s="37"/>
      <c r="AHE94" s="37"/>
      <c r="AHF94" s="37"/>
      <c r="AHG94" s="37"/>
      <c r="AHH94" s="37"/>
      <c r="AHI94" s="37"/>
      <c r="AHJ94" s="37"/>
      <c r="AHK94" s="37"/>
      <c r="AHL94" s="37"/>
      <c r="AHM94" s="37"/>
      <c r="AHN94" s="37"/>
      <c r="AHO94" s="37"/>
      <c r="AHP94" s="37"/>
      <c r="AHQ94" s="37"/>
      <c r="AHR94" s="37"/>
      <c r="AHS94" s="37"/>
      <c r="AHT94" s="37"/>
      <c r="AHU94" s="37"/>
      <c r="AHV94" s="37"/>
      <c r="AHW94" s="37"/>
      <c r="AHX94" s="37"/>
      <c r="AHY94" s="37"/>
      <c r="AHZ94" s="37"/>
      <c r="AIA94" s="37"/>
      <c r="AIB94" s="37"/>
      <c r="AIC94" s="37"/>
      <c r="AID94" s="37"/>
      <c r="AIE94" s="37"/>
      <c r="AIF94" s="37"/>
      <c r="AIG94" s="37"/>
      <c r="AIH94" s="37"/>
      <c r="AII94" s="37"/>
      <c r="AIJ94" s="37"/>
      <c r="AIK94" s="37"/>
      <c r="AIL94" s="37"/>
      <c r="AIM94" s="37"/>
      <c r="AIN94" s="37"/>
      <c r="AIO94" s="37"/>
      <c r="AIP94" s="37"/>
      <c r="AIQ94" s="37"/>
      <c r="AIR94" s="37"/>
      <c r="AIS94" s="37"/>
      <c r="AIT94" s="37"/>
      <c r="AIU94" s="37"/>
      <c r="AIV94" s="37"/>
      <c r="AIW94" s="37"/>
      <c r="AIX94" s="37"/>
      <c r="AIY94" s="37"/>
      <c r="AIZ94" s="37"/>
      <c r="AJA94" s="37"/>
      <c r="AJB94" s="37"/>
      <c r="AJC94" s="37"/>
      <c r="AJD94" s="37"/>
      <c r="AJE94" s="37"/>
      <c r="AJF94" s="37"/>
      <c r="AJG94" s="37"/>
      <c r="AJH94" s="37"/>
      <c r="AJI94" s="37"/>
      <c r="AJJ94" s="37"/>
      <c r="AJK94" s="37"/>
      <c r="AJL94" s="37"/>
      <c r="AJM94" s="37"/>
      <c r="AJN94" s="37"/>
      <c r="AJO94" s="37"/>
      <c r="AJP94" s="37"/>
      <c r="AJQ94" s="37"/>
      <c r="AJR94" s="37"/>
      <c r="AJS94" s="37"/>
      <c r="AJT94" s="37"/>
      <c r="AJU94" s="37"/>
      <c r="AJV94" s="37"/>
      <c r="AJW94" s="37"/>
      <c r="AJX94" s="37"/>
      <c r="AJY94" s="37"/>
      <c r="AJZ94" s="37"/>
      <c r="AKA94" s="37"/>
      <c r="AKB94" s="37"/>
      <c r="AKC94" s="37"/>
      <c r="AKD94" s="37"/>
      <c r="AKE94" s="37"/>
      <c r="AKF94" s="37"/>
      <c r="AKG94" s="37"/>
      <c r="AKH94" s="37"/>
      <c r="AKI94" s="37"/>
      <c r="AKJ94" s="37"/>
      <c r="AKK94" s="37"/>
      <c r="AKL94" s="37"/>
      <c r="AKM94" s="37"/>
      <c r="AKN94" s="37"/>
      <c r="AKO94" s="37"/>
      <c r="AKP94" s="37"/>
      <c r="AKQ94" s="37"/>
      <c r="AKR94" s="37"/>
      <c r="AKS94" s="37"/>
      <c r="AKT94" s="37"/>
      <c r="AKU94" s="37"/>
      <c r="AKV94" s="37"/>
      <c r="AKW94" s="37"/>
      <c r="AKX94" s="37"/>
      <c r="AKY94" s="37"/>
      <c r="AKZ94" s="37"/>
      <c r="ALA94" s="37"/>
      <c r="ALB94" s="37"/>
      <c r="ALC94" s="37"/>
      <c r="ALD94" s="37"/>
      <c r="ALE94" s="37"/>
      <c r="ALF94" s="37"/>
      <c r="ALG94" s="37"/>
      <c r="ALH94" s="37"/>
      <c r="ALI94" s="37"/>
      <c r="ALJ94" s="37"/>
      <c r="ALK94" s="37"/>
      <c r="ALL94" s="37"/>
      <c r="ALM94" s="37"/>
      <c r="ALN94" s="37"/>
      <c r="ALO94" s="37"/>
      <c r="ALP94" s="37"/>
      <c r="ALQ94" s="37"/>
      <c r="ALR94" s="37"/>
      <c r="ALS94" s="37"/>
      <c r="ALT94" s="37"/>
      <c r="ALU94" s="37"/>
      <c r="ALV94" s="37"/>
      <c r="ALW94" s="37"/>
      <c r="ALX94" s="37"/>
      <c r="ALY94" s="37"/>
      <c r="ALZ94" s="37"/>
      <c r="AMA94" s="37"/>
      <c r="AMB94" s="37"/>
      <c r="AMC94" s="37"/>
    </row>
    <row r="95" spans="1:1017" s="38" customFormat="1" ht="19.5" customHeight="1">
      <c r="A95" s="26" t="s">
        <v>152</v>
      </c>
      <c r="B95" s="25" t="s">
        <v>153</v>
      </c>
      <c r="C95" s="26" t="s">
        <v>46</v>
      </c>
      <c r="D95" s="26" t="s">
        <v>32</v>
      </c>
      <c r="E95" s="26" t="s">
        <v>261</v>
      </c>
      <c r="F95" s="26">
        <v>41</v>
      </c>
      <c r="G95" s="26" t="s">
        <v>36</v>
      </c>
      <c r="H95" s="26">
        <v>59</v>
      </c>
      <c r="I95" s="36">
        <v>41</v>
      </c>
      <c r="J95" s="36">
        <v>24</v>
      </c>
      <c r="K95" s="36">
        <v>17</v>
      </c>
      <c r="L95" s="36">
        <v>27</v>
      </c>
      <c r="M95" s="36">
        <v>26</v>
      </c>
      <c r="N95" s="36">
        <v>27</v>
      </c>
      <c r="O95" s="36">
        <v>70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  <c r="OU95" s="37"/>
      <c r="OV95" s="37"/>
      <c r="OW95" s="37"/>
      <c r="OX95" s="37"/>
      <c r="OY95" s="37"/>
      <c r="OZ95" s="37"/>
      <c r="PA95" s="37"/>
      <c r="PB95" s="37"/>
      <c r="PC95" s="37"/>
      <c r="PD95" s="37"/>
      <c r="PE95" s="37"/>
      <c r="PF95" s="37"/>
      <c r="PG95" s="37"/>
      <c r="PH95" s="37"/>
      <c r="PI95" s="37"/>
      <c r="PJ95" s="37"/>
      <c r="PK95" s="37"/>
      <c r="PL95" s="37"/>
      <c r="PM95" s="37"/>
      <c r="PN95" s="37"/>
      <c r="PO95" s="37"/>
      <c r="PP95" s="37"/>
      <c r="PQ95" s="37"/>
      <c r="PR95" s="37"/>
      <c r="PS95" s="37"/>
      <c r="PT95" s="37"/>
      <c r="PU95" s="37"/>
      <c r="PV95" s="37"/>
      <c r="PW95" s="37"/>
      <c r="PX95" s="37"/>
      <c r="PY95" s="37"/>
      <c r="PZ95" s="37"/>
      <c r="QA95" s="37"/>
      <c r="QB95" s="37"/>
      <c r="QC95" s="37"/>
      <c r="QD95" s="37"/>
      <c r="QE95" s="37"/>
      <c r="QF95" s="37"/>
      <c r="QG95" s="37"/>
      <c r="QH95" s="37"/>
      <c r="QI95" s="37"/>
      <c r="QJ95" s="37"/>
      <c r="QK95" s="37"/>
      <c r="QL95" s="37"/>
      <c r="QM95" s="37"/>
      <c r="QN95" s="37"/>
      <c r="QO95" s="37"/>
      <c r="QP95" s="37"/>
      <c r="QQ95" s="37"/>
      <c r="QR95" s="37"/>
      <c r="QS95" s="37"/>
      <c r="QT95" s="37"/>
      <c r="QU95" s="37"/>
      <c r="QV95" s="37"/>
      <c r="QW95" s="37"/>
      <c r="QX95" s="37"/>
      <c r="QY95" s="37"/>
      <c r="QZ95" s="37"/>
      <c r="RA95" s="37"/>
      <c r="RB95" s="37"/>
      <c r="RC95" s="37"/>
      <c r="RD95" s="37"/>
      <c r="RE95" s="37"/>
      <c r="RF95" s="37"/>
      <c r="RG95" s="37"/>
      <c r="RH95" s="37"/>
      <c r="RI95" s="37"/>
      <c r="RJ95" s="37"/>
      <c r="RK95" s="37"/>
      <c r="RL95" s="37"/>
      <c r="RM95" s="37"/>
      <c r="RN95" s="37"/>
      <c r="RO95" s="37"/>
      <c r="RP95" s="37"/>
      <c r="RQ95" s="37"/>
      <c r="RR95" s="37"/>
      <c r="RS95" s="37"/>
      <c r="RT95" s="37"/>
      <c r="RU95" s="37"/>
      <c r="RV95" s="37"/>
      <c r="RW95" s="37"/>
      <c r="RX95" s="37"/>
      <c r="RY95" s="37"/>
      <c r="RZ95" s="37"/>
      <c r="SA95" s="37"/>
      <c r="SB95" s="37"/>
      <c r="SC95" s="37"/>
      <c r="SD95" s="37"/>
      <c r="SE95" s="37"/>
      <c r="SF95" s="37"/>
      <c r="SG95" s="37"/>
      <c r="SH95" s="37"/>
      <c r="SI95" s="37"/>
      <c r="SJ95" s="37"/>
      <c r="SK95" s="37"/>
      <c r="SL95" s="37"/>
      <c r="SM95" s="37"/>
      <c r="SN95" s="37"/>
      <c r="SO95" s="37"/>
      <c r="SP95" s="37"/>
      <c r="SQ95" s="37"/>
      <c r="SR95" s="37"/>
      <c r="SS95" s="37"/>
      <c r="ST95" s="37"/>
      <c r="SU95" s="37"/>
      <c r="SV95" s="37"/>
      <c r="SW95" s="37"/>
      <c r="SX95" s="37"/>
      <c r="SY95" s="37"/>
      <c r="SZ95" s="37"/>
      <c r="TA95" s="37"/>
      <c r="TB95" s="37"/>
      <c r="TC95" s="37"/>
      <c r="TD95" s="37"/>
      <c r="TE95" s="37"/>
      <c r="TF95" s="37"/>
      <c r="TG95" s="37"/>
      <c r="TH95" s="37"/>
      <c r="TI95" s="37"/>
      <c r="TJ95" s="37"/>
      <c r="TK95" s="37"/>
      <c r="TL95" s="37"/>
      <c r="TM95" s="37"/>
      <c r="TN95" s="37"/>
      <c r="TO95" s="37"/>
      <c r="TP95" s="37"/>
      <c r="TQ95" s="37"/>
      <c r="TR95" s="37"/>
      <c r="TS95" s="37"/>
      <c r="TT95" s="37"/>
      <c r="TU95" s="37"/>
      <c r="TV95" s="37"/>
      <c r="TW95" s="37"/>
      <c r="TX95" s="37"/>
      <c r="TY95" s="37"/>
      <c r="TZ95" s="37"/>
      <c r="UA95" s="37"/>
      <c r="UB95" s="37"/>
      <c r="UC95" s="37"/>
      <c r="UD95" s="37"/>
      <c r="UE95" s="37"/>
      <c r="UF95" s="37"/>
      <c r="UG95" s="37"/>
      <c r="UH95" s="37"/>
      <c r="UI95" s="37"/>
      <c r="UJ95" s="37"/>
      <c r="UK95" s="37"/>
      <c r="UL95" s="37"/>
      <c r="UM95" s="37"/>
      <c r="UN95" s="37"/>
      <c r="UO95" s="37"/>
      <c r="UP95" s="37"/>
      <c r="UQ95" s="37"/>
      <c r="UR95" s="37"/>
      <c r="US95" s="37"/>
      <c r="UT95" s="37"/>
      <c r="UU95" s="37"/>
      <c r="UV95" s="37"/>
      <c r="UW95" s="37"/>
      <c r="UX95" s="37"/>
      <c r="UY95" s="37"/>
      <c r="UZ95" s="37"/>
      <c r="VA95" s="37"/>
      <c r="VB95" s="37"/>
      <c r="VC95" s="37"/>
      <c r="VD95" s="37"/>
      <c r="VE95" s="37"/>
      <c r="VF95" s="37"/>
      <c r="VG95" s="37"/>
      <c r="VH95" s="37"/>
      <c r="VI95" s="37"/>
      <c r="VJ95" s="37"/>
      <c r="VK95" s="37"/>
      <c r="VL95" s="37"/>
      <c r="VM95" s="37"/>
      <c r="VN95" s="37"/>
      <c r="VO95" s="37"/>
      <c r="VP95" s="37"/>
      <c r="VQ95" s="37"/>
      <c r="VR95" s="37"/>
      <c r="VS95" s="37"/>
      <c r="VT95" s="37"/>
      <c r="VU95" s="37"/>
      <c r="VV95" s="37"/>
      <c r="VW95" s="37"/>
      <c r="VX95" s="37"/>
      <c r="VY95" s="37"/>
      <c r="VZ95" s="37"/>
      <c r="WA95" s="37"/>
      <c r="WB95" s="37"/>
      <c r="WC95" s="37"/>
      <c r="WD95" s="37"/>
      <c r="WE95" s="37"/>
      <c r="WF95" s="37"/>
      <c r="WG95" s="37"/>
      <c r="WH95" s="37"/>
      <c r="WI95" s="37"/>
      <c r="WJ95" s="37"/>
      <c r="WK95" s="37"/>
      <c r="WL95" s="37"/>
      <c r="WM95" s="37"/>
      <c r="WN95" s="37"/>
      <c r="WO95" s="37"/>
      <c r="WP95" s="37"/>
      <c r="WQ95" s="37"/>
      <c r="WR95" s="37"/>
      <c r="WS95" s="37"/>
      <c r="WT95" s="37"/>
      <c r="WU95" s="37"/>
      <c r="WV95" s="37"/>
      <c r="WW95" s="37"/>
      <c r="WX95" s="37"/>
      <c r="WY95" s="37"/>
      <c r="WZ95" s="37"/>
      <c r="XA95" s="37"/>
      <c r="XB95" s="37"/>
      <c r="XC95" s="37"/>
      <c r="XD95" s="37"/>
      <c r="XE95" s="37"/>
      <c r="XF95" s="37"/>
      <c r="XG95" s="37"/>
      <c r="XH95" s="37"/>
      <c r="XI95" s="37"/>
      <c r="XJ95" s="37"/>
      <c r="XK95" s="37"/>
      <c r="XL95" s="37"/>
      <c r="XM95" s="37"/>
      <c r="XN95" s="37"/>
      <c r="XO95" s="37"/>
      <c r="XP95" s="37"/>
      <c r="XQ95" s="37"/>
      <c r="XR95" s="37"/>
      <c r="XS95" s="37"/>
      <c r="XT95" s="37"/>
      <c r="XU95" s="37"/>
      <c r="XV95" s="37"/>
      <c r="XW95" s="37"/>
      <c r="XX95" s="37"/>
      <c r="XY95" s="37"/>
      <c r="XZ95" s="37"/>
      <c r="YA95" s="37"/>
      <c r="YB95" s="37"/>
      <c r="YC95" s="37"/>
      <c r="YD95" s="37"/>
      <c r="YE95" s="37"/>
      <c r="YF95" s="37"/>
      <c r="YG95" s="37"/>
      <c r="YH95" s="37"/>
      <c r="YI95" s="37"/>
      <c r="YJ95" s="37"/>
      <c r="YK95" s="37"/>
      <c r="YL95" s="37"/>
      <c r="YM95" s="37"/>
      <c r="YN95" s="37"/>
      <c r="YO95" s="37"/>
      <c r="YP95" s="37"/>
      <c r="YQ95" s="37"/>
      <c r="YR95" s="37"/>
      <c r="YS95" s="37"/>
      <c r="YT95" s="37"/>
      <c r="YU95" s="37"/>
      <c r="YV95" s="37"/>
      <c r="YW95" s="37"/>
      <c r="YX95" s="37"/>
      <c r="YY95" s="37"/>
      <c r="YZ95" s="37"/>
      <c r="ZA95" s="37"/>
      <c r="ZB95" s="37"/>
      <c r="ZC95" s="37"/>
      <c r="ZD95" s="37"/>
      <c r="ZE95" s="37"/>
      <c r="ZF95" s="37"/>
      <c r="ZG95" s="37"/>
      <c r="ZH95" s="37"/>
      <c r="ZI95" s="37"/>
      <c r="ZJ95" s="37"/>
      <c r="ZK95" s="37"/>
      <c r="ZL95" s="37"/>
      <c r="ZM95" s="37"/>
      <c r="ZN95" s="37"/>
      <c r="ZO95" s="37"/>
      <c r="ZP95" s="37"/>
      <c r="ZQ95" s="37"/>
      <c r="ZR95" s="37"/>
      <c r="ZS95" s="37"/>
      <c r="ZT95" s="37"/>
      <c r="ZU95" s="37"/>
      <c r="ZV95" s="37"/>
      <c r="ZW95" s="37"/>
      <c r="ZX95" s="37"/>
      <c r="ZY95" s="37"/>
      <c r="ZZ95" s="37"/>
      <c r="AAA95" s="37"/>
      <c r="AAB95" s="37"/>
      <c r="AAC95" s="37"/>
      <c r="AAD95" s="37"/>
      <c r="AAE95" s="37"/>
      <c r="AAF95" s="37"/>
      <c r="AAG95" s="37"/>
      <c r="AAH95" s="37"/>
      <c r="AAI95" s="37"/>
      <c r="AAJ95" s="37"/>
      <c r="AAK95" s="37"/>
      <c r="AAL95" s="37"/>
      <c r="AAM95" s="37"/>
      <c r="AAN95" s="37"/>
      <c r="AAO95" s="37"/>
      <c r="AAP95" s="37"/>
      <c r="AAQ95" s="37"/>
      <c r="AAR95" s="37"/>
      <c r="AAS95" s="37"/>
      <c r="AAT95" s="37"/>
      <c r="AAU95" s="37"/>
      <c r="AAV95" s="37"/>
      <c r="AAW95" s="37"/>
      <c r="AAX95" s="37"/>
      <c r="AAY95" s="37"/>
      <c r="AAZ95" s="37"/>
      <c r="ABA95" s="37"/>
      <c r="ABB95" s="37"/>
      <c r="ABC95" s="37"/>
      <c r="ABD95" s="37"/>
      <c r="ABE95" s="37"/>
      <c r="ABF95" s="37"/>
      <c r="ABG95" s="37"/>
      <c r="ABH95" s="37"/>
      <c r="ABI95" s="37"/>
      <c r="ABJ95" s="37"/>
      <c r="ABK95" s="37"/>
      <c r="ABL95" s="37"/>
      <c r="ABM95" s="37"/>
      <c r="ABN95" s="37"/>
      <c r="ABO95" s="37"/>
      <c r="ABP95" s="37"/>
      <c r="ABQ95" s="37"/>
      <c r="ABR95" s="37"/>
      <c r="ABS95" s="37"/>
      <c r="ABT95" s="37"/>
      <c r="ABU95" s="37"/>
      <c r="ABV95" s="37"/>
      <c r="ABW95" s="37"/>
      <c r="ABX95" s="37"/>
      <c r="ABY95" s="37"/>
      <c r="ABZ95" s="37"/>
      <c r="ACA95" s="37"/>
      <c r="ACB95" s="37"/>
      <c r="ACC95" s="37"/>
      <c r="ACD95" s="37"/>
      <c r="ACE95" s="37"/>
      <c r="ACF95" s="37"/>
      <c r="ACG95" s="37"/>
      <c r="ACH95" s="37"/>
      <c r="ACI95" s="37"/>
      <c r="ACJ95" s="37"/>
      <c r="ACK95" s="37"/>
      <c r="ACL95" s="37"/>
      <c r="ACM95" s="37"/>
      <c r="ACN95" s="37"/>
      <c r="ACO95" s="37"/>
      <c r="ACP95" s="37"/>
      <c r="ACQ95" s="37"/>
      <c r="ACR95" s="37"/>
      <c r="ACS95" s="37"/>
      <c r="ACT95" s="37"/>
      <c r="ACU95" s="37"/>
      <c r="ACV95" s="37"/>
      <c r="ACW95" s="37"/>
      <c r="ACX95" s="37"/>
      <c r="ACY95" s="37"/>
      <c r="ACZ95" s="37"/>
      <c r="ADA95" s="37"/>
      <c r="ADB95" s="37"/>
      <c r="ADC95" s="37"/>
      <c r="ADD95" s="37"/>
      <c r="ADE95" s="37"/>
      <c r="ADF95" s="37"/>
      <c r="ADG95" s="37"/>
      <c r="ADH95" s="37"/>
      <c r="ADI95" s="37"/>
      <c r="ADJ95" s="37"/>
      <c r="ADK95" s="37"/>
      <c r="ADL95" s="37"/>
      <c r="ADM95" s="37"/>
      <c r="ADN95" s="37"/>
      <c r="ADO95" s="37"/>
      <c r="ADP95" s="37"/>
      <c r="ADQ95" s="37"/>
      <c r="ADR95" s="37"/>
      <c r="ADS95" s="37"/>
      <c r="ADT95" s="37"/>
      <c r="ADU95" s="37"/>
      <c r="ADV95" s="37"/>
      <c r="ADW95" s="37"/>
      <c r="ADX95" s="37"/>
      <c r="ADY95" s="37"/>
      <c r="ADZ95" s="37"/>
      <c r="AEA95" s="37"/>
      <c r="AEB95" s="37"/>
      <c r="AEC95" s="37"/>
      <c r="AED95" s="37"/>
      <c r="AEE95" s="37"/>
      <c r="AEF95" s="37"/>
      <c r="AEG95" s="37"/>
      <c r="AEH95" s="37"/>
      <c r="AEI95" s="37"/>
      <c r="AEJ95" s="37"/>
      <c r="AEK95" s="37"/>
      <c r="AEL95" s="37"/>
      <c r="AEM95" s="37"/>
      <c r="AEN95" s="37"/>
      <c r="AEO95" s="37"/>
      <c r="AEP95" s="37"/>
      <c r="AEQ95" s="37"/>
      <c r="AER95" s="37"/>
      <c r="AES95" s="37"/>
      <c r="AET95" s="37"/>
      <c r="AEU95" s="37"/>
      <c r="AEV95" s="37"/>
      <c r="AEW95" s="37"/>
      <c r="AEX95" s="37"/>
      <c r="AEY95" s="37"/>
      <c r="AEZ95" s="37"/>
      <c r="AFA95" s="37"/>
      <c r="AFB95" s="37"/>
      <c r="AFC95" s="37"/>
      <c r="AFD95" s="37"/>
      <c r="AFE95" s="37"/>
      <c r="AFF95" s="37"/>
      <c r="AFG95" s="37"/>
      <c r="AFH95" s="37"/>
      <c r="AFI95" s="37"/>
      <c r="AFJ95" s="37"/>
      <c r="AFK95" s="37"/>
      <c r="AFL95" s="37"/>
      <c r="AFM95" s="37"/>
      <c r="AFN95" s="37"/>
      <c r="AFO95" s="37"/>
      <c r="AFP95" s="37"/>
      <c r="AFQ95" s="37"/>
      <c r="AFR95" s="37"/>
      <c r="AFS95" s="37"/>
      <c r="AFT95" s="37"/>
      <c r="AFU95" s="37"/>
      <c r="AFV95" s="37"/>
      <c r="AFW95" s="37"/>
      <c r="AFX95" s="37"/>
      <c r="AFY95" s="37"/>
      <c r="AFZ95" s="37"/>
      <c r="AGA95" s="37"/>
      <c r="AGB95" s="37"/>
      <c r="AGC95" s="37"/>
      <c r="AGD95" s="37"/>
      <c r="AGE95" s="37"/>
      <c r="AGF95" s="37"/>
      <c r="AGG95" s="37"/>
      <c r="AGH95" s="37"/>
      <c r="AGI95" s="37"/>
      <c r="AGJ95" s="37"/>
      <c r="AGK95" s="37"/>
      <c r="AGL95" s="37"/>
      <c r="AGM95" s="37"/>
      <c r="AGN95" s="37"/>
      <c r="AGO95" s="37"/>
      <c r="AGP95" s="37"/>
      <c r="AGQ95" s="37"/>
      <c r="AGR95" s="37"/>
      <c r="AGS95" s="37"/>
      <c r="AGT95" s="37"/>
      <c r="AGU95" s="37"/>
      <c r="AGV95" s="37"/>
      <c r="AGW95" s="37"/>
      <c r="AGX95" s="37"/>
      <c r="AGY95" s="37"/>
      <c r="AGZ95" s="37"/>
      <c r="AHA95" s="37"/>
      <c r="AHB95" s="37"/>
      <c r="AHC95" s="37"/>
      <c r="AHD95" s="37"/>
      <c r="AHE95" s="37"/>
      <c r="AHF95" s="37"/>
      <c r="AHG95" s="37"/>
      <c r="AHH95" s="37"/>
      <c r="AHI95" s="37"/>
      <c r="AHJ95" s="37"/>
      <c r="AHK95" s="37"/>
      <c r="AHL95" s="37"/>
      <c r="AHM95" s="37"/>
      <c r="AHN95" s="37"/>
      <c r="AHO95" s="37"/>
      <c r="AHP95" s="37"/>
      <c r="AHQ95" s="37"/>
      <c r="AHR95" s="37"/>
      <c r="AHS95" s="37"/>
      <c r="AHT95" s="37"/>
      <c r="AHU95" s="37"/>
      <c r="AHV95" s="37"/>
      <c r="AHW95" s="37"/>
      <c r="AHX95" s="37"/>
      <c r="AHY95" s="37"/>
      <c r="AHZ95" s="37"/>
      <c r="AIA95" s="37"/>
      <c r="AIB95" s="37"/>
      <c r="AIC95" s="37"/>
      <c r="AID95" s="37"/>
      <c r="AIE95" s="37"/>
      <c r="AIF95" s="37"/>
      <c r="AIG95" s="37"/>
      <c r="AIH95" s="37"/>
      <c r="AII95" s="37"/>
      <c r="AIJ95" s="37"/>
      <c r="AIK95" s="37"/>
      <c r="AIL95" s="37"/>
      <c r="AIM95" s="37"/>
      <c r="AIN95" s="37"/>
      <c r="AIO95" s="37"/>
      <c r="AIP95" s="37"/>
      <c r="AIQ95" s="37"/>
      <c r="AIR95" s="37"/>
      <c r="AIS95" s="37"/>
      <c r="AIT95" s="37"/>
      <c r="AIU95" s="37"/>
      <c r="AIV95" s="37"/>
      <c r="AIW95" s="37"/>
      <c r="AIX95" s="37"/>
      <c r="AIY95" s="37"/>
      <c r="AIZ95" s="37"/>
      <c r="AJA95" s="37"/>
      <c r="AJB95" s="37"/>
      <c r="AJC95" s="37"/>
      <c r="AJD95" s="37"/>
      <c r="AJE95" s="37"/>
      <c r="AJF95" s="37"/>
      <c r="AJG95" s="37"/>
      <c r="AJH95" s="37"/>
      <c r="AJI95" s="37"/>
      <c r="AJJ95" s="37"/>
      <c r="AJK95" s="37"/>
      <c r="AJL95" s="37"/>
      <c r="AJM95" s="37"/>
      <c r="AJN95" s="37"/>
      <c r="AJO95" s="37"/>
      <c r="AJP95" s="37"/>
      <c r="AJQ95" s="37"/>
      <c r="AJR95" s="37"/>
      <c r="AJS95" s="37"/>
      <c r="AJT95" s="37"/>
      <c r="AJU95" s="37"/>
      <c r="AJV95" s="37"/>
      <c r="AJW95" s="37"/>
      <c r="AJX95" s="37"/>
      <c r="AJY95" s="37"/>
      <c r="AJZ95" s="37"/>
      <c r="AKA95" s="37"/>
      <c r="AKB95" s="37"/>
      <c r="AKC95" s="37"/>
      <c r="AKD95" s="37"/>
      <c r="AKE95" s="37"/>
      <c r="AKF95" s="37"/>
      <c r="AKG95" s="37"/>
      <c r="AKH95" s="37"/>
      <c r="AKI95" s="37"/>
      <c r="AKJ95" s="37"/>
      <c r="AKK95" s="37"/>
      <c r="AKL95" s="37"/>
      <c r="AKM95" s="37"/>
      <c r="AKN95" s="37"/>
      <c r="AKO95" s="37"/>
      <c r="AKP95" s="37"/>
      <c r="AKQ95" s="37"/>
      <c r="AKR95" s="37"/>
      <c r="AKS95" s="37"/>
      <c r="AKT95" s="37"/>
      <c r="AKU95" s="37"/>
      <c r="AKV95" s="37"/>
      <c r="AKW95" s="37"/>
      <c r="AKX95" s="37"/>
      <c r="AKY95" s="37"/>
      <c r="AKZ95" s="37"/>
      <c r="ALA95" s="37"/>
      <c r="ALB95" s="37"/>
      <c r="ALC95" s="37"/>
      <c r="ALD95" s="37"/>
      <c r="ALE95" s="37"/>
      <c r="ALF95" s="37"/>
      <c r="ALG95" s="37"/>
      <c r="ALH95" s="37"/>
      <c r="ALI95" s="37"/>
      <c r="ALJ95" s="37"/>
      <c r="ALK95" s="37"/>
      <c r="ALL95" s="37"/>
      <c r="ALM95" s="37"/>
      <c r="ALN95" s="37"/>
      <c r="ALO95" s="37"/>
      <c r="ALP95" s="37"/>
      <c r="ALQ95" s="37"/>
      <c r="ALR95" s="37"/>
      <c r="ALS95" s="37"/>
      <c r="ALT95" s="37"/>
      <c r="ALU95" s="37"/>
      <c r="ALV95" s="37"/>
      <c r="ALW95" s="37"/>
      <c r="ALX95" s="37"/>
      <c r="ALY95" s="37"/>
      <c r="ALZ95" s="37"/>
      <c r="AMA95" s="37"/>
      <c r="AMB95" s="37"/>
      <c r="AMC95" s="37"/>
    </row>
    <row r="96" spans="1:1017" s="38" customFormat="1" ht="19.5" customHeight="1">
      <c r="A96" s="72"/>
      <c r="B96" s="73"/>
      <c r="C96" s="72"/>
      <c r="D96" s="72"/>
      <c r="E96" s="72"/>
      <c r="F96" s="72"/>
      <c r="G96" s="35">
        <v>38</v>
      </c>
      <c r="H96" s="35">
        <v>87</v>
      </c>
      <c r="I96" s="35">
        <v>108</v>
      </c>
      <c r="J96" s="35">
        <v>65</v>
      </c>
      <c r="K96" s="35">
        <v>34</v>
      </c>
      <c r="L96" s="35">
        <v>25</v>
      </c>
      <c r="M96" s="35">
        <v>20</v>
      </c>
      <c r="N96" s="35">
        <v>95</v>
      </c>
      <c r="O96" s="74">
        <v>4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  <c r="OU96" s="37"/>
      <c r="OV96" s="37"/>
      <c r="OW96" s="37"/>
      <c r="OX96" s="37"/>
      <c r="OY96" s="37"/>
      <c r="OZ96" s="37"/>
      <c r="PA96" s="37"/>
      <c r="PB96" s="37"/>
      <c r="PC96" s="37"/>
      <c r="PD96" s="37"/>
      <c r="PE96" s="37"/>
      <c r="PF96" s="37"/>
      <c r="PG96" s="37"/>
      <c r="PH96" s="37"/>
      <c r="PI96" s="37"/>
      <c r="PJ96" s="37"/>
      <c r="PK96" s="37"/>
      <c r="PL96" s="37"/>
      <c r="PM96" s="37"/>
      <c r="PN96" s="37"/>
      <c r="PO96" s="37"/>
      <c r="PP96" s="37"/>
      <c r="PQ96" s="37"/>
      <c r="PR96" s="37"/>
      <c r="PS96" s="37"/>
      <c r="PT96" s="37"/>
      <c r="PU96" s="37"/>
      <c r="PV96" s="37"/>
      <c r="PW96" s="37"/>
      <c r="PX96" s="37"/>
      <c r="PY96" s="37"/>
      <c r="PZ96" s="37"/>
      <c r="QA96" s="37"/>
      <c r="QB96" s="37"/>
      <c r="QC96" s="37"/>
      <c r="QD96" s="37"/>
      <c r="QE96" s="37"/>
      <c r="QF96" s="37"/>
      <c r="QG96" s="37"/>
      <c r="QH96" s="37"/>
      <c r="QI96" s="37"/>
      <c r="QJ96" s="37"/>
      <c r="QK96" s="37"/>
      <c r="QL96" s="37"/>
      <c r="QM96" s="37"/>
      <c r="QN96" s="37"/>
      <c r="QO96" s="37"/>
      <c r="QP96" s="37"/>
      <c r="QQ96" s="37"/>
      <c r="QR96" s="37"/>
      <c r="QS96" s="37"/>
      <c r="QT96" s="37"/>
      <c r="QU96" s="37"/>
      <c r="QV96" s="37"/>
      <c r="QW96" s="37"/>
      <c r="QX96" s="37"/>
      <c r="QY96" s="37"/>
      <c r="QZ96" s="37"/>
      <c r="RA96" s="37"/>
      <c r="RB96" s="37"/>
      <c r="RC96" s="37"/>
      <c r="RD96" s="37"/>
      <c r="RE96" s="37"/>
      <c r="RF96" s="37"/>
      <c r="RG96" s="37"/>
      <c r="RH96" s="37"/>
      <c r="RI96" s="37"/>
      <c r="RJ96" s="37"/>
      <c r="RK96" s="37"/>
      <c r="RL96" s="37"/>
      <c r="RM96" s="37"/>
      <c r="RN96" s="37"/>
      <c r="RO96" s="37"/>
      <c r="RP96" s="37"/>
      <c r="RQ96" s="37"/>
      <c r="RR96" s="37"/>
      <c r="RS96" s="37"/>
      <c r="RT96" s="37"/>
      <c r="RU96" s="37"/>
      <c r="RV96" s="37"/>
      <c r="RW96" s="37"/>
      <c r="RX96" s="37"/>
      <c r="RY96" s="37"/>
      <c r="RZ96" s="37"/>
      <c r="SA96" s="37"/>
      <c r="SB96" s="37"/>
      <c r="SC96" s="37"/>
      <c r="SD96" s="37"/>
      <c r="SE96" s="37"/>
      <c r="SF96" s="37"/>
      <c r="SG96" s="37"/>
      <c r="SH96" s="37"/>
      <c r="SI96" s="37"/>
      <c r="SJ96" s="37"/>
      <c r="SK96" s="37"/>
      <c r="SL96" s="37"/>
      <c r="SM96" s="37"/>
      <c r="SN96" s="37"/>
      <c r="SO96" s="37"/>
      <c r="SP96" s="37"/>
      <c r="SQ96" s="37"/>
      <c r="SR96" s="37"/>
      <c r="SS96" s="37"/>
      <c r="ST96" s="37"/>
      <c r="SU96" s="37"/>
      <c r="SV96" s="37"/>
      <c r="SW96" s="37"/>
      <c r="SX96" s="37"/>
      <c r="SY96" s="37"/>
      <c r="SZ96" s="37"/>
      <c r="TA96" s="37"/>
      <c r="TB96" s="37"/>
      <c r="TC96" s="37"/>
      <c r="TD96" s="37"/>
      <c r="TE96" s="37"/>
      <c r="TF96" s="37"/>
      <c r="TG96" s="37"/>
      <c r="TH96" s="37"/>
      <c r="TI96" s="37"/>
      <c r="TJ96" s="37"/>
      <c r="TK96" s="37"/>
      <c r="TL96" s="37"/>
      <c r="TM96" s="37"/>
      <c r="TN96" s="37"/>
      <c r="TO96" s="37"/>
      <c r="TP96" s="37"/>
      <c r="TQ96" s="37"/>
      <c r="TR96" s="37"/>
      <c r="TS96" s="37"/>
      <c r="TT96" s="37"/>
      <c r="TU96" s="37"/>
      <c r="TV96" s="37"/>
      <c r="TW96" s="37"/>
      <c r="TX96" s="37"/>
      <c r="TY96" s="37"/>
      <c r="TZ96" s="37"/>
      <c r="UA96" s="37"/>
      <c r="UB96" s="37"/>
      <c r="UC96" s="37"/>
      <c r="UD96" s="37"/>
      <c r="UE96" s="37"/>
      <c r="UF96" s="37"/>
      <c r="UG96" s="37"/>
      <c r="UH96" s="37"/>
      <c r="UI96" s="37"/>
      <c r="UJ96" s="37"/>
      <c r="UK96" s="37"/>
      <c r="UL96" s="37"/>
      <c r="UM96" s="37"/>
      <c r="UN96" s="37"/>
      <c r="UO96" s="37"/>
      <c r="UP96" s="37"/>
      <c r="UQ96" s="37"/>
      <c r="UR96" s="37"/>
      <c r="US96" s="37"/>
      <c r="UT96" s="37"/>
      <c r="UU96" s="37"/>
      <c r="UV96" s="37"/>
      <c r="UW96" s="37"/>
      <c r="UX96" s="37"/>
      <c r="UY96" s="37"/>
      <c r="UZ96" s="37"/>
      <c r="VA96" s="37"/>
      <c r="VB96" s="37"/>
      <c r="VC96" s="37"/>
      <c r="VD96" s="37"/>
      <c r="VE96" s="37"/>
      <c r="VF96" s="37"/>
      <c r="VG96" s="37"/>
      <c r="VH96" s="37"/>
      <c r="VI96" s="37"/>
      <c r="VJ96" s="37"/>
      <c r="VK96" s="37"/>
      <c r="VL96" s="37"/>
      <c r="VM96" s="37"/>
      <c r="VN96" s="37"/>
      <c r="VO96" s="37"/>
      <c r="VP96" s="37"/>
      <c r="VQ96" s="37"/>
      <c r="VR96" s="37"/>
      <c r="VS96" s="37"/>
      <c r="VT96" s="37"/>
      <c r="VU96" s="37"/>
      <c r="VV96" s="37"/>
      <c r="VW96" s="37"/>
      <c r="VX96" s="37"/>
      <c r="VY96" s="37"/>
      <c r="VZ96" s="37"/>
      <c r="WA96" s="37"/>
      <c r="WB96" s="37"/>
      <c r="WC96" s="37"/>
      <c r="WD96" s="37"/>
      <c r="WE96" s="37"/>
      <c r="WF96" s="37"/>
      <c r="WG96" s="37"/>
      <c r="WH96" s="37"/>
      <c r="WI96" s="37"/>
      <c r="WJ96" s="37"/>
      <c r="WK96" s="37"/>
      <c r="WL96" s="37"/>
      <c r="WM96" s="37"/>
      <c r="WN96" s="37"/>
      <c r="WO96" s="37"/>
      <c r="WP96" s="37"/>
      <c r="WQ96" s="37"/>
      <c r="WR96" s="37"/>
      <c r="WS96" s="37"/>
      <c r="WT96" s="37"/>
      <c r="WU96" s="37"/>
      <c r="WV96" s="37"/>
      <c r="WW96" s="37"/>
      <c r="WX96" s="37"/>
      <c r="WY96" s="37"/>
      <c r="WZ96" s="37"/>
      <c r="XA96" s="37"/>
      <c r="XB96" s="37"/>
      <c r="XC96" s="37"/>
      <c r="XD96" s="37"/>
      <c r="XE96" s="37"/>
      <c r="XF96" s="37"/>
      <c r="XG96" s="37"/>
      <c r="XH96" s="37"/>
      <c r="XI96" s="37"/>
      <c r="XJ96" s="37"/>
      <c r="XK96" s="37"/>
      <c r="XL96" s="37"/>
      <c r="XM96" s="37"/>
      <c r="XN96" s="37"/>
      <c r="XO96" s="37"/>
      <c r="XP96" s="37"/>
      <c r="XQ96" s="37"/>
      <c r="XR96" s="37"/>
      <c r="XS96" s="37"/>
      <c r="XT96" s="37"/>
      <c r="XU96" s="37"/>
      <c r="XV96" s="37"/>
      <c r="XW96" s="37"/>
      <c r="XX96" s="37"/>
      <c r="XY96" s="37"/>
      <c r="XZ96" s="37"/>
      <c r="YA96" s="37"/>
      <c r="YB96" s="37"/>
      <c r="YC96" s="37"/>
      <c r="YD96" s="37"/>
      <c r="YE96" s="37"/>
      <c r="YF96" s="37"/>
      <c r="YG96" s="37"/>
      <c r="YH96" s="37"/>
      <c r="YI96" s="37"/>
      <c r="YJ96" s="37"/>
      <c r="YK96" s="37"/>
      <c r="YL96" s="37"/>
      <c r="YM96" s="37"/>
      <c r="YN96" s="37"/>
      <c r="YO96" s="37"/>
      <c r="YP96" s="37"/>
      <c r="YQ96" s="37"/>
      <c r="YR96" s="37"/>
      <c r="YS96" s="37"/>
      <c r="YT96" s="37"/>
      <c r="YU96" s="37"/>
      <c r="YV96" s="37"/>
      <c r="YW96" s="37"/>
      <c r="YX96" s="37"/>
      <c r="YY96" s="37"/>
      <c r="YZ96" s="37"/>
      <c r="ZA96" s="37"/>
      <c r="ZB96" s="37"/>
      <c r="ZC96" s="37"/>
      <c r="ZD96" s="37"/>
      <c r="ZE96" s="37"/>
      <c r="ZF96" s="37"/>
      <c r="ZG96" s="37"/>
      <c r="ZH96" s="37"/>
      <c r="ZI96" s="37"/>
      <c r="ZJ96" s="37"/>
      <c r="ZK96" s="37"/>
      <c r="ZL96" s="37"/>
      <c r="ZM96" s="37"/>
      <c r="ZN96" s="37"/>
      <c r="ZO96" s="37"/>
      <c r="ZP96" s="37"/>
      <c r="ZQ96" s="37"/>
      <c r="ZR96" s="37"/>
      <c r="ZS96" s="37"/>
      <c r="ZT96" s="37"/>
      <c r="ZU96" s="37"/>
      <c r="ZV96" s="37"/>
      <c r="ZW96" s="37"/>
      <c r="ZX96" s="37"/>
      <c r="ZY96" s="37"/>
      <c r="ZZ96" s="37"/>
      <c r="AAA96" s="37"/>
      <c r="AAB96" s="37"/>
      <c r="AAC96" s="37"/>
      <c r="AAD96" s="37"/>
      <c r="AAE96" s="37"/>
      <c r="AAF96" s="37"/>
      <c r="AAG96" s="37"/>
      <c r="AAH96" s="37"/>
      <c r="AAI96" s="37"/>
      <c r="AAJ96" s="37"/>
      <c r="AAK96" s="37"/>
      <c r="AAL96" s="37"/>
      <c r="AAM96" s="37"/>
      <c r="AAN96" s="37"/>
      <c r="AAO96" s="37"/>
      <c r="AAP96" s="37"/>
      <c r="AAQ96" s="37"/>
      <c r="AAR96" s="37"/>
      <c r="AAS96" s="37"/>
      <c r="AAT96" s="37"/>
      <c r="AAU96" s="37"/>
      <c r="AAV96" s="37"/>
      <c r="AAW96" s="37"/>
      <c r="AAX96" s="37"/>
      <c r="AAY96" s="37"/>
      <c r="AAZ96" s="37"/>
      <c r="ABA96" s="37"/>
      <c r="ABB96" s="37"/>
      <c r="ABC96" s="37"/>
      <c r="ABD96" s="37"/>
      <c r="ABE96" s="37"/>
      <c r="ABF96" s="37"/>
      <c r="ABG96" s="37"/>
      <c r="ABH96" s="37"/>
      <c r="ABI96" s="37"/>
      <c r="ABJ96" s="37"/>
      <c r="ABK96" s="37"/>
      <c r="ABL96" s="37"/>
      <c r="ABM96" s="37"/>
      <c r="ABN96" s="37"/>
      <c r="ABO96" s="37"/>
      <c r="ABP96" s="37"/>
      <c r="ABQ96" s="37"/>
      <c r="ABR96" s="37"/>
      <c r="ABS96" s="37"/>
      <c r="ABT96" s="37"/>
      <c r="ABU96" s="37"/>
      <c r="ABV96" s="37"/>
      <c r="ABW96" s="37"/>
      <c r="ABX96" s="37"/>
      <c r="ABY96" s="37"/>
      <c r="ABZ96" s="37"/>
      <c r="ACA96" s="37"/>
      <c r="ACB96" s="37"/>
      <c r="ACC96" s="37"/>
      <c r="ACD96" s="37"/>
      <c r="ACE96" s="37"/>
      <c r="ACF96" s="37"/>
      <c r="ACG96" s="37"/>
      <c r="ACH96" s="37"/>
      <c r="ACI96" s="37"/>
      <c r="ACJ96" s="37"/>
      <c r="ACK96" s="37"/>
      <c r="ACL96" s="37"/>
      <c r="ACM96" s="37"/>
      <c r="ACN96" s="37"/>
      <c r="ACO96" s="37"/>
      <c r="ACP96" s="37"/>
      <c r="ACQ96" s="37"/>
      <c r="ACR96" s="37"/>
      <c r="ACS96" s="37"/>
      <c r="ACT96" s="37"/>
      <c r="ACU96" s="37"/>
      <c r="ACV96" s="37"/>
      <c r="ACW96" s="37"/>
      <c r="ACX96" s="37"/>
      <c r="ACY96" s="37"/>
      <c r="ACZ96" s="37"/>
      <c r="ADA96" s="37"/>
      <c r="ADB96" s="37"/>
      <c r="ADC96" s="37"/>
      <c r="ADD96" s="37"/>
      <c r="ADE96" s="37"/>
      <c r="ADF96" s="37"/>
      <c r="ADG96" s="37"/>
      <c r="ADH96" s="37"/>
      <c r="ADI96" s="37"/>
      <c r="ADJ96" s="37"/>
      <c r="ADK96" s="37"/>
      <c r="ADL96" s="37"/>
      <c r="ADM96" s="37"/>
      <c r="ADN96" s="37"/>
      <c r="ADO96" s="37"/>
      <c r="ADP96" s="37"/>
      <c r="ADQ96" s="37"/>
      <c r="ADR96" s="37"/>
      <c r="ADS96" s="37"/>
      <c r="ADT96" s="37"/>
      <c r="ADU96" s="37"/>
      <c r="ADV96" s="37"/>
      <c r="ADW96" s="37"/>
      <c r="ADX96" s="37"/>
      <c r="ADY96" s="37"/>
      <c r="ADZ96" s="37"/>
      <c r="AEA96" s="37"/>
      <c r="AEB96" s="37"/>
      <c r="AEC96" s="37"/>
      <c r="AED96" s="37"/>
      <c r="AEE96" s="37"/>
      <c r="AEF96" s="37"/>
      <c r="AEG96" s="37"/>
      <c r="AEH96" s="37"/>
      <c r="AEI96" s="37"/>
      <c r="AEJ96" s="37"/>
      <c r="AEK96" s="37"/>
      <c r="AEL96" s="37"/>
      <c r="AEM96" s="37"/>
      <c r="AEN96" s="37"/>
      <c r="AEO96" s="37"/>
      <c r="AEP96" s="37"/>
      <c r="AEQ96" s="37"/>
      <c r="AER96" s="37"/>
      <c r="AES96" s="37"/>
      <c r="AET96" s="37"/>
      <c r="AEU96" s="37"/>
      <c r="AEV96" s="37"/>
      <c r="AEW96" s="37"/>
      <c r="AEX96" s="37"/>
      <c r="AEY96" s="37"/>
      <c r="AEZ96" s="37"/>
      <c r="AFA96" s="37"/>
      <c r="AFB96" s="37"/>
      <c r="AFC96" s="37"/>
      <c r="AFD96" s="37"/>
      <c r="AFE96" s="37"/>
      <c r="AFF96" s="37"/>
      <c r="AFG96" s="37"/>
      <c r="AFH96" s="37"/>
      <c r="AFI96" s="37"/>
      <c r="AFJ96" s="37"/>
      <c r="AFK96" s="37"/>
      <c r="AFL96" s="37"/>
      <c r="AFM96" s="37"/>
      <c r="AFN96" s="37"/>
      <c r="AFO96" s="37"/>
      <c r="AFP96" s="37"/>
      <c r="AFQ96" s="37"/>
      <c r="AFR96" s="37"/>
      <c r="AFS96" s="37"/>
      <c r="AFT96" s="37"/>
      <c r="AFU96" s="37"/>
      <c r="AFV96" s="37"/>
      <c r="AFW96" s="37"/>
      <c r="AFX96" s="37"/>
      <c r="AFY96" s="37"/>
      <c r="AFZ96" s="37"/>
      <c r="AGA96" s="37"/>
      <c r="AGB96" s="37"/>
      <c r="AGC96" s="37"/>
      <c r="AGD96" s="37"/>
      <c r="AGE96" s="37"/>
      <c r="AGF96" s="37"/>
      <c r="AGG96" s="37"/>
      <c r="AGH96" s="37"/>
      <c r="AGI96" s="37"/>
      <c r="AGJ96" s="37"/>
      <c r="AGK96" s="37"/>
      <c r="AGL96" s="37"/>
      <c r="AGM96" s="37"/>
      <c r="AGN96" s="37"/>
      <c r="AGO96" s="37"/>
      <c r="AGP96" s="37"/>
      <c r="AGQ96" s="37"/>
      <c r="AGR96" s="37"/>
      <c r="AGS96" s="37"/>
      <c r="AGT96" s="37"/>
      <c r="AGU96" s="37"/>
      <c r="AGV96" s="37"/>
      <c r="AGW96" s="37"/>
      <c r="AGX96" s="37"/>
      <c r="AGY96" s="37"/>
      <c r="AGZ96" s="37"/>
      <c r="AHA96" s="37"/>
      <c r="AHB96" s="37"/>
      <c r="AHC96" s="37"/>
      <c r="AHD96" s="37"/>
      <c r="AHE96" s="37"/>
      <c r="AHF96" s="37"/>
      <c r="AHG96" s="37"/>
      <c r="AHH96" s="37"/>
      <c r="AHI96" s="37"/>
      <c r="AHJ96" s="37"/>
      <c r="AHK96" s="37"/>
      <c r="AHL96" s="37"/>
      <c r="AHM96" s="37"/>
      <c r="AHN96" s="37"/>
      <c r="AHO96" s="37"/>
      <c r="AHP96" s="37"/>
      <c r="AHQ96" s="37"/>
      <c r="AHR96" s="37"/>
      <c r="AHS96" s="37"/>
      <c r="AHT96" s="37"/>
      <c r="AHU96" s="37"/>
      <c r="AHV96" s="37"/>
      <c r="AHW96" s="37"/>
      <c r="AHX96" s="37"/>
      <c r="AHY96" s="37"/>
      <c r="AHZ96" s="37"/>
      <c r="AIA96" s="37"/>
      <c r="AIB96" s="37"/>
      <c r="AIC96" s="37"/>
      <c r="AID96" s="37"/>
      <c r="AIE96" s="37"/>
      <c r="AIF96" s="37"/>
      <c r="AIG96" s="37"/>
      <c r="AIH96" s="37"/>
      <c r="AII96" s="37"/>
      <c r="AIJ96" s="37"/>
      <c r="AIK96" s="37"/>
      <c r="AIL96" s="37"/>
      <c r="AIM96" s="37"/>
      <c r="AIN96" s="37"/>
      <c r="AIO96" s="37"/>
      <c r="AIP96" s="37"/>
      <c r="AIQ96" s="37"/>
      <c r="AIR96" s="37"/>
      <c r="AIS96" s="37"/>
      <c r="AIT96" s="37"/>
      <c r="AIU96" s="37"/>
      <c r="AIV96" s="37"/>
      <c r="AIW96" s="37"/>
      <c r="AIX96" s="37"/>
      <c r="AIY96" s="37"/>
      <c r="AIZ96" s="37"/>
      <c r="AJA96" s="37"/>
      <c r="AJB96" s="37"/>
      <c r="AJC96" s="37"/>
      <c r="AJD96" s="37"/>
      <c r="AJE96" s="37"/>
      <c r="AJF96" s="37"/>
      <c r="AJG96" s="37"/>
      <c r="AJH96" s="37"/>
      <c r="AJI96" s="37"/>
      <c r="AJJ96" s="37"/>
      <c r="AJK96" s="37"/>
      <c r="AJL96" s="37"/>
      <c r="AJM96" s="37"/>
      <c r="AJN96" s="37"/>
      <c r="AJO96" s="37"/>
      <c r="AJP96" s="37"/>
      <c r="AJQ96" s="37"/>
      <c r="AJR96" s="37"/>
      <c r="AJS96" s="37"/>
      <c r="AJT96" s="37"/>
      <c r="AJU96" s="37"/>
      <c r="AJV96" s="37"/>
      <c r="AJW96" s="37"/>
      <c r="AJX96" s="37"/>
      <c r="AJY96" s="37"/>
      <c r="AJZ96" s="37"/>
      <c r="AKA96" s="37"/>
      <c r="AKB96" s="37"/>
      <c r="AKC96" s="37"/>
      <c r="AKD96" s="37"/>
      <c r="AKE96" s="37"/>
      <c r="AKF96" s="37"/>
      <c r="AKG96" s="37"/>
      <c r="AKH96" s="37"/>
      <c r="AKI96" s="37"/>
      <c r="AKJ96" s="37"/>
      <c r="AKK96" s="37"/>
      <c r="AKL96" s="37"/>
      <c r="AKM96" s="37"/>
      <c r="AKN96" s="37"/>
      <c r="AKO96" s="37"/>
      <c r="AKP96" s="37"/>
      <c r="AKQ96" s="37"/>
      <c r="AKR96" s="37"/>
      <c r="AKS96" s="37"/>
      <c r="AKT96" s="37"/>
      <c r="AKU96" s="37"/>
      <c r="AKV96" s="37"/>
      <c r="AKW96" s="37"/>
      <c r="AKX96" s="37"/>
      <c r="AKY96" s="37"/>
      <c r="AKZ96" s="37"/>
      <c r="ALA96" s="37"/>
      <c r="ALB96" s="37"/>
      <c r="ALC96" s="37"/>
      <c r="ALD96" s="37"/>
      <c r="ALE96" s="37"/>
      <c r="ALF96" s="37"/>
      <c r="ALG96" s="37"/>
      <c r="ALH96" s="37"/>
      <c r="ALI96" s="37"/>
      <c r="ALJ96" s="37"/>
      <c r="ALK96" s="37"/>
      <c r="ALL96" s="37"/>
      <c r="ALM96" s="37"/>
      <c r="ALN96" s="37"/>
      <c r="ALO96" s="37"/>
      <c r="ALP96" s="37"/>
      <c r="ALQ96" s="37"/>
      <c r="ALR96" s="37"/>
      <c r="ALS96" s="37"/>
      <c r="ALT96" s="37"/>
      <c r="ALU96" s="37"/>
      <c r="ALV96" s="37"/>
      <c r="ALW96" s="37"/>
      <c r="ALX96" s="37"/>
      <c r="ALY96" s="37"/>
      <c r="ALZ96" s="37"/>
      <c r="AMA96" s="37"/>
      <c r="AMB96" s="37"/>
      <c r="AMC96" s="37"/>
    </row>
    <row r="97" spans="1:1017" s="38" customFormat="1" ht="19.5" customHeight="1">
      <c r="A97" s="75"/>
      <c r="B97" s="76"/>
      <c r="C97" s="75"/>
      <c r="D97" s="75"/>
      <c r="E97" s="75"/>
      <c r="F97" s="75"/>
      <c r="G97" s="77">
        <v>45</v>
      </c>
      <c r="H97" s="77">
        <v>56</v>
      </c>
      <c r="I97" s="77">
        <v>19</v>
      </c>
      <c r="J97" s="77">
        <v>14</v>
      </c>
      <c r="K97" s="77">
        <v>101</v>
      </c>
      <c r="L97" s="77">
        <v>95</v>
      </c>
      <c r="M97" s="77">
        <v>111</v>
      </c>
      <c r="N97" s="77"/>
      <c r="O97" s="7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/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  <c r="OU97" s="37"/>
      <c r="OV97" s="37"/>
      <c r="OW97" s="37"/>
      <c r="OX97" s="37"/>
      <c r="OY97" s="37"/>
      <c r="OZ97" s="37"/>
      <c r="PA97" s="37"/>
      <c r="PB97" s="37"/>
      <c r="PC97" s="37"/>
      <c r="PD97" s="37"/>
      <c r="PE97" s="37"/>
      <c r="PF97" s="37"/>
      <c r="PG97" s="37"/>
      <c r="PH97" s="37"/>
      <c r="PI97" s="37"/>
      <c r="PJ97" s="37"/>
      <c r="PK97" s="37"/>
      <c r="PL97" s="37"/>
      <c r="PM97" s="37"/>
      <c r="PN97" s="37"/>
      <c r="PO97" s="37"/>
      <c r="PP97" s="37"/>
      <c r="PQ97" s="37"/>
      <c r="PR97" s="37"/>
      <c r="PS97" s="37"/>
      <c r="PT97" s="37"/>
      <c r="PU97" s="37"/>
      <c r="PV97" s="37"/>
      <c r="PW97" s="37"/>
      <c r="PX97" s="37"/>
      <c r="PY97" s="37"/>
      <c r="PZ97" s="37"/>
      <c r="QA97" s="37"/>
      <c r="QB97" s="37"/>
      <c r="QC97" s="37"/>
      <c r="QD97" s="37"/>
      <c r="QE97" s="37"/>
      <c r="QF97" s="37"/>
      <c r="QG97" s="37"/>
      <c r="QH97" s="37"/>
      <c r="QI97" s="37"/>
      <c r="QJ97" s="37"/>
      <c r="QK97" s="37"/>
      <c r="QL97" s="37"/>
      <c r="QM97" s="37"/>
      <c r="QN97" s="37"/>
      <c r="QO97" s="37"/>
      <c r="QP97" s="37"/>
      <c r="QQ97" s="37"/>
      <c r="QR97" s="37"/>
      <c r="QS97" s="37"/>
      <c r="QT97" s="37"/>
      <c r="QU97" s="37"/>
      <c r="QV97" s="37"/>
      <c r="QW97" s="37"/>
      <c r="QX97" s="37"/>
      <c r="QY97" s="37"/>
      <c r="QZ97" s="37"/>
      <c r="RA97" s="37"/>
      <c r="RB97" s="37"/>
      <c r="RC97" s="37"/>
      <c r="RD97" s="37"/>
      <c r="RE97" s="37"/>
      <c r="RF97" s="37"/>
      <c r="RG97" s="37"/>
      <c r="RH97" s="37"/>
      <c r="RI97" s="37"/>
      <c r="RJ97" s="37"/>
      <c r="RK97" s="37"/>
      <c r="RL97" s="37"/>
      <c r="RM97" s="37"/>
      <c r="RN97" s="37"/>
      <c r="RO97" s="37"/>
      <c r="RP97" s="37"/>
      <c r="RQ97" s="37"/>
      <c r="RR97" s="37"/>
      <c r="RS97" s="37"/>
      <c r="RT97" s="37"/>
      <c r="RU97" s="37"/>
      <c r="RV97" s="37"/>
      <c r="RW97" s="37"/>
      <c r="RX97" s="37"/>
      <c r="RY97" s="37"/>
      <c r="RZ97" s="37"/>
      <c r="SA97" s="37"/>
      <c r="SB97" s="37"/>
      <c r="SC97" s="37"/>
      <c r="SD97" s="37"/>
      <c r="SE97" s="37"/>
      <c r="SF97" s="37"/>
      <c r="SG97" s="37"/>
      <c r="SH97" s="37"/>
      <c r="SI97" s="37"/>
      <c r="SJ97" s="37"/>
      <c r="SK97" s="37"/>
      <c r="SL97" s="37"/>
      <c r="SM97" s="37"/>
      <c r="SN97" s="37"/>
      <c r="SO97" s="37"/>
      <c r="SP97" s="37"/>
      <c r="SQ97" s="37"/>
      <c r="SR97" s="37"/>
      <c r="SS97" s="37"/>
      <c r="ST97" s="37"/>
      <c r="SU97" s="37"/>
      <c r="SV97" s="37"/>
      <c r="SW97" s="37"/>
      <c r="SX97" s="37"/>
      <c r="SY97" s="37"/>
      <c r="SZ97" s="37"/>
      <c r="TA97" s="37"/>
      <c r="TB97" s="37"/>
      <c r="TC97" s="37"/>
      <c r="TD97" s="37"/>
      <c r="TE97" s="37"/>
      <c r="TF97" s="37"/>
      <c r="TG97" s="37"/>
      <c r="TH97" s="37"/>
      <c r="TI97" s="37"/>
      <c r="TJ97" s="37"/>
      <c r="TK97" s="37"/>
      <c r="TL97" s="37"/>
      <c r="TM97" s="37"/>
      <c r="TN97" s="37"/>
      <c r="TO97" s="37"/>
      <c r="TP97" s="37"/>
      <c r="TQ97" s="37"/>
      <c r="TR97" s="37"/>
      <c r="TS97" s="37"/>
      <c r="TT97" s="37"/>
      <c r="TU97" s="37"/>
      <c r="TV97" s="37"/>
      <c r="TW97" s="37"/>
      <c r="TX97" s="37"/>
      <c r="TY97" s="37"/>
      <c r="TZ97" s="37"/>
      <c r="UA97" s="37"/>
      <c r="UB97" s="37"/>
      <c r="UC97" s="37"/>
      <c r="UD97" s="37"/>
      <c r="UE97" s="37"/>
      <c r="UF97" s="37"/>
      <c r="UG97" s="37"/>
      <c r="UH97" s="37"/>
      <c r="UI97" s="37"/>
      <c r="UJ97" s="37"/>
      <c r="UK97" s="37"/>
      <c r="UL97" s="37"/>
      <c r="UM97" s="37"/>
      <c r="UN97" s="37"/>
      <c r="UO97" s="37"/>
      <c r="UP97" s="37"/>
      <c r="UQ97" s="37"/>
      <c r="UR97" s="37"/>
      <c r="US97" s="37"/>
      <c r="UT97" s="37"/>
      <c r="UU97" s="37"/>
      <c r="UV97" s="37"/>
      <c r="UW97" s="37"/>
      <c r="UX97" s="37"/>
      <c r="UY97" s="37"/>
      <c r="UZ97" s="37"/>
      <c r="VA97" s="37"/>
      <c r="VB97" s="37"/>
      <c r="VC97" s="37"/>
      <c r="VD97" s="37"/>
      <c r="VE97" s="37"/>
      <c r="VF97" s="37"/>
      <c r="VG97" s="37"/>
      <c r="VH97" s="37"/>
      <c r="VI97" s="37"/>
      <c r="VJ97" s="37"/>
      <c r="VK97" s="37"/>
      <c r="VL97" s="37"/>
      <c r="VM97" s="37"/>
      <c r="VN97" s="37"/>
      <c r="VO97" s="37"/>
      <c r="VP97" s="37"/>
      <c r="VQ97" s="37"/>
      <c r="VR97" s="37"/>
      <c r="VS97" s="37"/>
      <c r="VT97" s="37"/>
      <c r="VU97" s="37"/>
      <c r="VV97" s="37"/>
      <c r="VW97" s="37"/>
      <c r="VX97" s="37"/>
      <c r="VY97" s="37"/>
      <c r="VZ97" s="37"/>
      <c r="WA97" s="37"/>
      <c r="WB97" s="37"/>
      <c r="WC97" s="37"/>
      <c r="WD97" s="37"/>
      <c r="WE97" s="37"/>
      <c r="WF97" s="37"/>
      <c r="WG97" s="37"/>
      <c r="WH97" s="37"/>
      <c r="WI97" s="37"/>
      <c r="WJ97" s="37"/>
      <c r="WK97" s="37"/>
      <c r="WL97" s="37"/>
      <c r="WM97" s="37"/>
      <c r="WN97" s="37"/>
      <c r="WO97" s="37"/>
      <c r="WP97" s="37"/>
      <c r="WQ97" s="37"/>
      <c r="WR97" s="37"/>
      <c r="WS97" s="37"/>
      <c r="WT97" s="37"/>
      <c r="WU97" s="37"/>
      <c r="WV97" s="37"/>
      <c r="WW97" s="37"/>
      <c r="WX97" s="37"/>
      <c r="WY97" s="37"/>
      <c r="WZ97" s="37"/>
      <c r="XA97" s="37"/>
      <c r="XB97" s="37"/>
      <c r="XC97" s="37"/>
      <c r="XD97" s="37"/>
      <c r="XE97" s="37"/>
      <c r="XF97" s="37"/>
      <c r="XG97" s="37"/>
      <c r="XH97" s="37"/>
      <c r="XI97" s="37"/>
      <c r="XJ97" s="37"/>
      <c r="XK97" s="37"/>
      <c r="XL97" s="37"/>
      <c r="XM97" s="37"/>
      <c r="XN97" s="37"/>
      <c r="XO97" s="37"/>
      <c r="XP97" s="37"/>
      <c r="XQ97" s="37"/>
      <c r="XR97" s="37"/>
      <c r="XS97" s="37"/>
      <c r="XT97" s="37"/>
      <c r="XU97" s="37"/>
      <c r="XV97" s="37"/>
      <c r="XW97" s="37"/>
      <c r="XX97" s="37"/>
      <c r="XY97" s="37"/>
      <c r="XZ97" s="37"/>
      <c r="YA97" s="37"/>
      <c r="YB97" s="37"/>
      <c r="YC97" s="37"/>
      <c r="YD97" s="37"/>
      <c r="YE97" s="37"/>
      <c r="YF97" s="37"/>
      <c r="YG97" s="37"/>
      <c r="YH97" s="37"/>
      <c r="YI97" s="37"/>
      <c r="YJ97" s="37"/>
      <c r="YK97" s="37"/>
      <c r="YL97" s="37"/>
      <c r="YM97" s="37"/>
      <c r="YN97" s="37"/>
      <c r="YO97" s="37"/>
      <c r="YP97" s="37"/>
      <c r="YQ97" s="37"/>
      <c r="YR97" s="37"/>
      <c r="YS97" s="37"/>
      <c r="YT97" s="37"/>
      <c r="YU97" s="37"/>
      <c r="YV97" s="37"/>
      <c r="YW97" s="37"/>
      <c r="YX97" s="37"/>
      <c r="YY97" s="37"/>
      <c r="YZ97" s="37"/>
      <c r="ZA97" s="37"/>
      <c r="ZB97" s="37"/>
      <c r="ZC97" s="37"/>
      <c r="ZD97" s="37"/>
      <c r="ZE97" s="37"/>
      <c r="ZF97" s="37"/>
      <c r="ZG97" s="37"/>
      <c r="ZH97" s="37"/>
      <c r="ZI97" s="37"/>
      <c r="ZJ97" s="37"/>
      <c r="ZK97" s="37"/>
      <c r="ZL97" s="37"/>
      <c r="ZM97" s="37"/>
      <c r="ZN97" s="37"/>
      <c r="ZO97" s="37"/>
      <c r="ZP97" s="37"/>
      <c r="ZQ97" s="37"/>
      <c r="ZR97" s="37"/>
      <c r="ZS97" s="37"/>
      <c r="ZT97" s="37"/>
      <c r="ZU97" s="37"/>
      <c r="ZV97" s="37"/>
      <c r="ZW97" s="37"/>
      <c r="ZX97" s="37"/>
      <c r="ZY97" s="37"/>
      <c r="ZZ97" s="37"/>
      <c r="AAA97" s="37"/>
      <c r="AAB97" s="37"/>
      <c r="AAC97" s="37"/>
      <c r="AAD97" s="37"/>
      <c r="AAE97" s="37"/>
      <c r="AAF97" s="37"/>
      <c r="AAG97" s="37"/>
      <c r="AAH97" s="37"/>
      <c r="AAI97" s="37"/>
      <c r="AAJ97" s="37"/>
      <c r="AAK97" s="37"/>
      <c r="AAL97" s="37"/>
      <c r="AAM97" s="37"/>
      <c r="AAN97" s="37"/>
      <c r="AAO97" s="37"/>
      <c r="AAP97" s="37"/>
      <c r="AAQ97" s="37"/>
      <c r="AAR97" s="37"/>
      <c r="AAS97" s="37"/>
      <c r="AAT97" s="37"/>
      <c r="AAU97" s="37"/>
      <c r="AAV97" s="37"/>
      <c r="AAW97" s="37"/>
      <c r="AAX97" s="37"/>
      <c r="AAY97" s="37"/>
      <c r="AAZ97" s="37"/>
      <c r="ABA97" s="37"/>
      <c r="ABB97" s="37"/>
      <c r="ABC97" s="37"/>
      <c r="ABD97" s="37"/>
      <c r="ABE97" s="37"/>
      <c r="ABF97" s="37"/>
      <c r="ABG97" s="37"/>
      <c r="ABH97" s="37"/>
      <c r="ABI97" s="37"/>
      <c r="ABJ97" s="37"/>
      <c r="ABK97" s="37"/>
      <c r="ABL97" s="37"/>
      <c r="ABM97" s="37"/>
      <c r="ABN97" s="37"/>
      <c r="ABO97" s="37"/>
      <c r="ABP97" s="37"/>
      <c r="ABQ97" s="37"/>
      <c r="ABR97" s="37"/>
      <c r="ABS97" s="37"/>
      <c r="ABT97" s="37"/>
      <c r="ABU97" s="37"/>
      <c r="ABV97" s="37"/>
      <c r="ABW97" s="37"/>
      <c r="ABX97" s="37"/>
      <c r="ABY97" s="37"/>
      <c r="ABZ97" s="37"/>
      <c r="ACA97" s="37"/>
      <c r="ACB97" s="37"/>
      <c r="ACC97" s="37"/>
      <c r="ACD97" s="37"/>
      <c r="ACE97" s="37"/>
      <c r="ACF97" s="37"/>
      <c r="ACG97" s="37"/>
      <c r="ACH97" s="37"/>
      <c r="ACI97" s="37"/>
      <c r="ACJ97" s="37"/>
      <c r="ACK97" s="37"/>
      <c r="ACL97" s="37"/>
      <c r="ACM97" s="37"/>
      <c r="ACN97" s="37"/>
      <c r="ACO97" s="37"/>
      <c r="ACP97" s="37"/>
      <c r="ACQ97" s="37"/>
      <c r="ACR97" s="37"/>
      <c r="ACS97" s="37"/>
      <c r="ACT97" s="37"/>
      <c r="ACU97" s="37"/>
      <c r="ACV97" s="37"/>
      <c r="ACW97" s="37"/>
      <c r="ACX97" s="37"/>
      <c r="ACY97" s="37"/>
      <c r="ACZ97" s="37"/>
      <c r="ADA97" s="37"/>
      <c r="ADB97" s="37"/>
      <c r="ADC97" s="37"/>
      <c r="ADD97" s="37"/>
      <c r="ADE97" s="37"/>
      <c r="ADF97" s="37"/>
      <c r="ADG97" s="37"/>
      <c r="ADH97" s="37"/>
      <c r="ADI97" s="37"/>
      <c r="ADJ97" s="37"/>
      <c r="ADK97" s="37"/>
      <c r="ADL97" s="37"/>
      <c r="ADM97" s="37"/>
      <c r="ADN97" s="37"/>
      <c r="ADO97" s="37"/>
      <c r="ADP97" s="37"/>
      <c r="ADQ97" s="37"/>
      <c r="ADR97" s="37"/>
      <c r="ADS97" s="37"/>
      <c r="ADT97" s="37"/>
      <c r="ADU97" s="37"/>
      <c r="ADV97" s="37"/>
      <c r="ADW97" s="37"/>
      <c r="ADX97" s="37"/>
      <c r="ADY97" s="37"/>
      <c r="ADZ97" s="37"/>
      <c r="AEA97" s="37"/>
      <c r="AEB97" s="37"/>
      <c r="AEC97" s="37"/>
      <c r="AED97" s="37"/>
      <c r="AEE97" s="37"/>
      <c r="AEF97" s="37"/>
      <c r="AEG97" s="37"/>
      <c r="AEH97" s="37"/>
      <c r="AEI97" s="37"/>
      <c r="AEJ97" s="37"/>
      <c r="AEK97" s="37"/>
      <c r="AEL97" s="37"/>
      <c r="AEM97" s="37"/>
      <c r="AEN97" s="37"/>
      <c r="AEO97" s="37"/>
      <c r="AEP97" s="37"/>
      <c r="AEQ97" s="37"/>
      <c r="AER97" s="37"/>
      <c r="AES97" s="37"/>
      <c r="AET97" s="37"/>
      <c r="AEU97" s="37"/>
      <c r="AEV97" s="37"/>
      <c r="AEW97" s="37"/>
      <c r="AEX97" s="37"/>
      <c r="AEY97" s="37"/>
      <c r="AEZ97" s="37"/>
      <c r="AFA97" s="37"/>
      <c r="AFB97" s="37"/>
      <c r="AFC97" s="37"/>
      <c r="AFD97" s="37"/>
      <c r="AFE97" s="37"/>
      <c r="AFF97" s="37"/>
      <c r="AFG97" s="37"/>
      <c r="AFH97" s="37"/>
      <c r="AFI97" s="37"/>
      <c r="AFJ97" s="37"/>
      <c r="AFK97" s="37"/>
      <c r="AFL97" s="37"/>
      <c r="AFM97" s="37"/>
      <c r="AFN97" s="37"/>
      <c r="AFO97" s="37"/>
      <c r="AFP97" s="37"/>
      <c r="AFQ97" s="37"/>
      <c r="AFR97" s="37"/>
      <c r="AFS97" s="37"/>
      <c r="AFT97" s="37"/>
      <c r="AFU97" s="37"/>
      <c r="AFV97" s="37"/>
      <c r="AFW97" s="37"/>
      <c r="AFX97" s="37"/>
      <c r="AFY97" s="37"/>
      <c r="AFZ97" s="37"/>
      <c r="AGA97" s="37"/>
      <c r="AGB97" s="37"/>
      <c r="AGC97" s="37"/>
      <c r="AGD97" s="37"/>
      <c r="AGE97" s="37"/>
      <c r="AGF97" s="37"/>
      <c r="AGG97" s="37"/>
      <c r="AGH97" s="37"/>
      <c r="AGI97" s="37"/>
      <c r="AGJ97" s="37"/>
      <c r="AGK97" s="37"/>
      <c r="AGL97" s="37"/>
      <c r="AGM97" s="37"/>
      <c r="AGN97" s="37"/>
      <c r="AGO97" s="37"/>
      <c r="AGP97" s="37"/>
      <c r="AGQ97" s="37"/>
      <c r="AGR97" s="37"/>
      <c r="AGS97" s="37"/>
      <c r="AGT97" s="37"/>
      <c r="AGU97" s="37"/>
      <c r="AGV97" s="37"/>
      <c r="AGW97" s="37"/>
      <c r="AGX97" s="37"/>
      <c r="AGY97" s="37"/>
      <c r="AGZ97" s="37"/>
      <c r="AHA97" s="37"/>
      <c r="AHB97" s="37"/>
      <c r="AHC97" s="37"/>
      <c r="AHD97" s="37"/>
      <c r="AHE97" s="37"/>
      <c r="AHF97" s="37"/>
      <c r="AHG97" s="37"/>
      <c r="AHH97" s="37"/>
      <c r="AHI97" s="37"/>
      <c r="AHJ97" s="37"/>
      <c r="AHK97" s="37"/>
      <c r="AHL97" s="37"/>
      <c r="AHM97" s="37"/>
      <c r="AHN97" s="37"/>
      <c r="AHO97" s="37"/>
      <c r="AHP97" s="37"/>
      <c r="AHQ97" s="37"/>
      <c r="AHR97" s="37"/>
      <c r="AHS97" s="37"/>
      <c r="AHT97" s="37"/>
      <c r="AHU97" s="37"/>
      <c r="AHV97" s="37"/>
      <c r="AHW97" s="37"/>
      <c r="AHX97" s="37"/>
      <c r="AHY97" s="37"/>
      <c r="AHZ97" s="37"/>
      <c r="AIA97" s="37"/>
      <c r="AIB97" s="37"/>
      <c r="AIC97" s="37"/>
      <c r="AID97" s="37"/>
      <c r="AIE97" s="37"/>
      <c r="AIF97" s="37"/>
      <c r="AIG97" s="37"/>
      <c r="AIH97" s="37"/>
      <c r="AII97" s="37"/>
      <c r="AIJ97" s="37"/>
      <c r="AIK97" s="37"/>
      <c r="AIL97" s="37"/>
      <c r="AIM97" s="37"/>
      <c r="AIN97" s="37"/>
      <c r="AIO97" s="37"/>
      <c r="AIP97" s="37"/>
      <c r="AIQ97" s="37"/>
      <c r="AIR97" s="37"/>
      <c r="AIS97" s="37"/>
      <c r="AIT97" s="37"/>
      <c r="AIU97" s="37"/>
      <c r="AIV97" s="37"/>
      <c r="AIW97" s="37"/>
      <c r="AIX97" s="37"/>
      <c r="AIY97" s="37"/>
      <c r="AIZ97" s="37"/>
      <c r="AJA97" s="37"/>
      <c r="AJB97" s="37"/>
      <c r="AJC97" s="37"/>
      <c r="AJD97" s="37"/>
      <c r="AJE97" s="37"/>
      <c r="AJF97" s="37"/>
      <c r="AJG97" s="37"/>
      <c r="AJH97" s="37"/>
      <c r="AJI97" s="37"/>
      <c r="AJJ97" s="37"/>
      <c r="AJK97" s="37"/>
      <c r="AJL97" s="37"/>
      <c r="AJM97" s="37"/>
      <c r="AJN97" s="37"/>
      <c r="AJO97" s="37"/>
      <c r="AJP97" s="37"/>
      <c r="AJQ97" s="37"/>
      <c r="AJR97" s="37"/>
      <c r="AJS97" s="37"/>
      <c r="AJT97" s="37"/>
      <c r="AJU97" s="37"/>
      <c r="AJV97" s="37"/>
      <c r="AJW97" s="37"/>
      <c r="AJX97" s="37"/>
      <c r="AJY97" s="37"/>
      <c r="AJZ97" s="37"/>
      <c r="AKA97" s="37"/>
      <c r="AKB97" s="37"/>
      <c r="AKC97" s="37"/>
      <c r="AKD97" s="37"/>
      <c r="AKE97" s="37"/>
      <c r="AKF97" s="37"/>
      <c r="AKG97" s="37"/>
      <c r="AKH97" s="37"/>
      <c r="AKI97" s="37"/>
      <c r="AKJ97" s="37"/>
      <c r="AKK97" s="37"/>
      <c r="AKL97" s="37"/>
      <c r="AKM97" s="37"/>
      <c r="AKN97" s="37"/>
      <c r="AKO97" s="37"/>
      <c r="AKP97" s="37"/>
      <c r="AKQ97" s="37"/>
      <c r="AKR97" s="37"/>
      <c r="AKS97" s="37"/>
      <c r="AKT97" s="37"/>
      <c r="AKU97" s="37"/>
      <c r="AKV97" s="37"/>
      <c r="AKW97" s="37"/>
      <c r="AKX97" s="37"/>
      <c r="AKY97" s="37"/>
      <c r="AKZ97" s="37"/>
      <c r="ALA97" s="37"/>
      <c r="ALB97" s="37"/>
      <c r="ALC97" s="37"/>
      <c r="ALD97" s="37"/>
      <c r="ALE97" s="37"/>
      <c r="ALF97" s="37"/>
      <c r="ALG97" s="37"/>
      <c r="ALH97" s="37"/>
      <c r="ALI97" s="37"/>
      <c r="ALJ97" s="37"/>
      <c r="ALK97" s="37"/>
      <c r="ALL97" s="37"/>
      <c r="ALM97" s="37"/>
      <c r="ALN97" s="37"/>
      <c r="ALO97" s="37"/>
      <c r="ALP97" s="37"/>
      <c r="ALQ97" s="37"/>
      <c r="ALR97" s="37"/>
      <c r="ALS97" s="37"/>
      <c r="ALT97" s="37"/>
      <c r="ALU97" s="37"/>
      <c r="ALV97" s="37"/>
      <c r="ALW97" s="37"/>
      <c r="ALX97" s="37"/>
      <c r="ALY97" s="37"/>
      <c r="ALZ97" s="37"/>
      <c r="AMA97" s="37"/>
      <c r="AMB97" s="37"/>
      <c r="AMC97" s="37"/>
    </row>
    <row r="98" spans="1:1017" s="38" customFormat="1" ht="19.5" customHeight="1">
      <c r="A98" s="26" t="s">
        <v>183</v>
      </c>
      <c r="B98" s="25" t="s">
        <v>180</v>
      </c>
      <c r="C98" s="26" t="s">
        <v>46</v>
      </c>
      <c r="D98" s="26" t="s">
        <v>32</v>
      </c>
      <c r="E98" s="26" t="s">
        <v>261</v>
      </c>
      <c r="F98" s="26">
        <v>44</v>
      </c>
      <c r="G98" s="26" t="s">
        <v>33</v>
      </c>
      <c r="H98" s="26">
        <v>59</v>
      </c>
      <c r="I98" s="36">
        <v>46</v>
      </c>
      <c r="J98" s="36">
        <v>27</v>
      </c>
      <c r="K98" s="36">
        <v>21</v>
      </c>
      <c r="L98" s="36">
        <v>32</v>
      </c>
      <c r="M98" s="36">
        <v>30</v>
      </c>
      <c r="N98" s="36">
        <v>32</v>
      </c>
      <c r="O98" s="36">
        <v>73</v>
      </c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/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  <c r="OU98" s="37"/>
      <c r="OV98" s="37"/>
      <c r="OW98" s="37"/>
      <c r="OX98" s="37"/>
      <c r="OY98" s="37"/>
      <c r="OZ98" s="37"/>
      <c r="PA98" s="37"/>
      <c r="PB98" s="37"/>
      <c r="PC98" s="37"/>
      <c r="PD98" s="37"/>
      <c r="PE98" s="37"/>
      <c r="PF98" s="37"/>
      <c r="PG98" s="37"/>
      <c r="PH98" s="37"/>
      <c r="PI98" s="37"/>
      <c r="PJ98" s="37"/>
      <c r="PK98" s="37"/>
      <c r="PL98" s="37"/>
      <c r="PM98" s="37"/>
      <c r="PN98" s="37"/>
      <c r="PO98" s="37"/>
      <c r="PP98" s="37"/>
      <c r="PQ98" s="37"/>
      <c r="PR98" s="37"/>
      <c r="PS98" s="37"/>
      <c r="PT98" s="37"/>
      <c r="PU98" s="37"/>
      <c r="PV98" s="37"/>
      <c r="PW98" s="37"/>
      <c r="PX98" s="37"/>
      <c r="PY98" s="37"/>
      <c r="PZ98" s="37"/>
      <c r="QA98" s="37"/>
      <c r="QB98" s="37"/>
      <c r="QC98" s="37"/>
      <c r="QD98" s="37"/>
      <c r="QE98" s="37"/>
      <c r="QF98" s="37"/>
      <c r="QG98" s="37"/>
      <c r="QH98" s="37"/>
      <c r="QI98" s="37"/>
      <c r="QJ98" s="37"/>
      <c r="QK98" s="37"/>
      <c r="QL98" s="37"/>
      <c r="QM98" s="37"/>
      <c r="QN98" s="37"/>
      <c r="QO98" s="37"/>
      <c r="QP98" s="37"/>
      <c r="QQ98" s="37"/>
      <c r="QR98" s="37"/>
      <c r="QS98" s="37"/>
      <c r="QT98" s="37"/>
      <c r="QU98" s="37"/>
      <c r="QV98" s="37"/>
      <c r="QW98" s="37"/>
      <c r="QX98" s="37"/>
      <c r="QY98" s="37"/>
      <c r="QZ98" s="37"/>
      <c r="RA98" s="37"/>
      <c r="RB98" s="37"/>
      <c r="RC98" s="37"/>
      <c r="RD98" s="37"/>
      <c r="RE98" s="37"/>
      <c r="RF98" s="37"/>
      <c r="RG98" s="37"/>
      <c r="RH98" s="37"/>
      <c r="RI98" s="37"/>
      <c r="RJ98" s="37"/>
      <c r="RK98" s="37"/>
      <c r="RL98" s="37"/>
      <c r="RM98" s="37"/>
      <c r="RN98" s="37"/>
      <c r="RO98" s="37"/>
      <c r="RP98" s="37"/>
      <c r="RQ98" s="37"/>
      <c r="RR98" s="37"/>
      <c r="RS98" s="37"/>
      <c r="RT98" s="37"/>
      <c r="RU98" s="37"/>
      <c r="RV98" s="37"/>
      <c r="RW98" s="37"/>
      <c r="RX98" s="37"/>
      <c r="RY98" s="37"/>
      <c r="RZ98" s="37"/>
      <c r="SA98" s="37"/>
      <c r="SB98" s="37"/>
      <c r="SC98" s="37"/>
      <c r="SD98" s="37"/>
      <c r="SE98" s="37"/>
      <c r="SF98" s="37"/>
      <c r="SG98" s="37"/>
      <c r="SH98" s="37"/>
      <c r="SI98" s="37"/>
      <c r="SJ98" s="37"/>
      <c r="SK98" s="37"/>
      <c r="SL98" s="37"/>
      <c r="SM98" s="37"/>
      <c r="SN98" s="37"/>
      <c r="SO98" s="37"/>
      <c r="SP98" s="37"/>
      <c r="SQ98" s="37"/>
      <c r="SR98" s="37"/>
      <c r="SS98" s="37"/>
      <c r="ST98" s="37"/>
      <c r="SU98" s="37"/>
      <c r="SV98" s="37"/>
      <c r="SW98" s="37"/>
      <c r="SX98" s="37"/>
      <c r="SY98" s="37"/>
      <c r="SZ98" s="37"/>
      <c r="TA98" s="37"/>
      <c r="TB98" s="37"/>
      <c r="TC98" s="37"/>
      <c r="TD98" s="37"/>
      <c r="TE98" s="37"/>
      <c r="TF98" s="37"/>
      <c r="TG98" s="37"/>
      <c r="TH98" s="37"/>
      <c r="TI98" s="37"/>
      <c r="TJ98" s="37"/>
      <c r="TK98" s="37"/>
      <c r="TL98" s="37"/>
      <c r="TM98" s="37"/>
      <c r="TN98" s="37"/>
      <c r="TO98" s="37"/>
      <c r="TP98" s="37"/>
      <c r="TQ98" s="37"/>
      <c r="TR98" s="37"/>
      <c r="TS98" s="37"/>
      <c r="TT98" s="37"/>
      <c r="TU98" s="37"/>
      <c r="TV98" s="37"/>
      <c r="TW98" s="37"/>
      <c r="TX98" s="37"/>
      <c r="TY98" s="37"/>
      <c r="TZ98" s="37"/>
      <c r="UA98" s="37"/>
      <c r="UB98" s="37"/>
      <c r="UC98" s="37"/>
      <c r="UD98" s="37"/>
      <c r="UE98" s="37"/>
      <c r="UF98" s="37"/>
      <c r="UG98" s="37"/>
      <c r="UH98" s="37"/>
      <c r="UI98" s="37"/>
      <c r="UJ98" s="37"/>
      <c r="UK98" s="37"/>
      <c r="UL98" s="37"/>
      <c r="UM98" s="37"/>
      <c r="UN98" s="37"/>
      <c r="UO98" s="37"/>
      <c r="UP98" s="37"/>
      <c r="UQ98" s="37"/>
      <c r="UR98" s="37"/>
      <c r="US98" s="37"/>
      <c r="UT98" s="37"/>
      <c r="UU98" s="37"/>
      <c r="UV98" s="37"/>
      <c r="UW98" s="37"/>
      <c r="UX98" s="37"/>
      <c r="UY98" s="37"/>
      <c r="UZ98" s="37"/>
      <c r="VA98" s="37"/>
      <c r="VB98" s="37"/>
      <c r="VC98" s="37"/>
      <c r="VD98" s="37"/>
      <c r="VE98" s="37"/>
      <c r="VF98" s="37"/>
      <c r="VG98" s="37"/>
      <c r="VH98" s="37"/>
      <c r="VI98" s="37"/>
      <c r="VJ98" s="37"/>
      <c r="VK98" s="37"/>
      <c r="VL98" s="37"/>
      <c r="VM98" s="37"/>
      <c r="VN98" s="37"/>
      <c r="VO98" s="37"/>
      <c r="VP98" s="37"/>
      <c r="VQ98" s="37"/>
      <c r="VR98" s="37"/>
      <c r="VS98" s="37"/>
      <c r="VT98" s="37"/>
      <c r="VU98" s="37"/>
      <c r="VV98" s="37"/>
      <c r="VW98" s="37"/>
      <c r="VX98" s="37"/>
      <c r="VY98" s="37"/>
      <c r="VZ98" s="37"/>
      <c r="WA98" s="37"/>
      <c r="WB98" s="37"/>
      <c r="WC98" s="37"/>
      <c r="WD98" s="37"/>
      <c r="WE98" s="37"/>
      <c r="WF98" s="37"/>
      <c r="WG98" s="37"/>
      <c r="WH98" s="37"/>
      <c r="WI98" s="37"/>
      <c r="WJ98" s="37"/>
      <c r="WK98" s="37"/>
      <c r="WL98" s="37"/>
      <c r="WM98" s="37"/>
      <c r="WN98" s="37"/>
      <c r="WO98" s="37"/>
      <c r="WP98" s="37"/>
      <c r="WQ98" s="37"/>
      <c r="WR98" s="37"/>
      <c r="WS98" s="37"/>
      <c r="WT98" s="37"/>
      <c r="WU98" s="37"/>
      <c r="WV98" s="37"/>
      <c r="WW98" s="37"/>
      <c r="WX98" s="37"/>
      <c r="WY98" s="37"/>
      <c r="WZ98" s="37"/>
      <c r="XA98" s="37"/>
      <c r="XB98" s="37"/>
      <c r="XC98" s="37"/>
      <c r="XD98" s="37"/>
      <c r="XE98" s="37"/>
      <c r="XF98" s="37"/>
      <c r="XG98" s="37"/>
      <c r="XH98" s="37"/>
      <c r="XI98" s="37"/>
      <c r="XJ98" s="37"/>
      <c r="XK98" s="37"/>
      <c r="XL98" s="37"/>
      <c r="XM98" s="37"/>
      <c r="XN98" s="37"/>
      <c r="XO98" s="37"/>
      <c r="XP98" s="37"/>
      <c r="XQ98" s="37"/>
      <c r="XR98" s="37"/>
      <c r="XS98" s="37"/>
      <c r="XT98" s="37"/>
      <c r="XU98" s="37"/>
      <c r="XV98" s="37"/>
      <c r="XW98" s="37"/>
      <c r="XX98" s="37"/>
      <c r="XY98" s="37"/>
      <c r="XZ98" s="37"/>
      <c r="YA98" s="37"/>
      <c r="YB98" s="37"/>
      <c r="YC98" s="37"/>
      <c r="YD98" s="37"/>
      <c r="YE98" s="37"/>
      <c r="YF98" s="37"/>
      <c r="YG98" s="37"/>
      <c r="YH98" s="37"/>
      <c r="YI98" s="37"/>
      <c r="YJ98" s="37"/>
      <c r="YK98" s="37"/>
      <c r="YL98" s="37"/>
      <c r="YM98" s="37"/>
      <c r="YN98" s="37"/>
      <c r="YO98" s="37"/>
      <c r="YP98" s="37"/>
      <c r="YQ98" s="37"/>
      <c r="YR98" s="37"/>
      <c r="YS98" s="37"/>
      <c r="YT98" s="37"/>
      <c r="YU98" s="37"/>
      <c r="YV98" s="37"/>
      <c r="YW98" s="37"/>
      <c r="YX98" s="37"/>
      <c r="YY98" s="37"/>
      <c r="YZ98" s="37"/>
      <c r="ZA98" s="37"/>
      <c r="ZB98" s="37"/>
      <c r="ZC98" s="37"/>
      <c r="ZD98" s="37"/>
      <c r="ZE98" s="37"/>
      <c r="ZF98" s="37"/>
      <c r="ZG98" s="37"/>
      <c r="ZH98" s="37"/>
      <c r="ZI98" s="37"/>
      <c r="ZJ98" s="37"/>
      <c r="ZK98" s="37"/>
      <c r="ZL98" s="37"/>
      <c r="ZM98" s="37"/>
      <c r="ZN98" s="37"/>
      <c r="ZO98" s="37"/>
      <c r="ZP98" s="37"/>
      <c r="ZQ98" s="37"/>
      <c r="ZR98" s="37"/>
      <c r="ZS98" s="37"/>
      <c r="ZT98" s="37"/>
      <c r="ZU98" s="37"/>
      <c r="ZV98" s="37"/>
      <c r="ZW98" s="37"/>
      <c r="ZX98" s="37"/>
      <c r="ZY98" s="37"/>
      <c r="ZZ98" s="37"/>
      <c r="AAA98" s="37"/>
      <c r="AAB98" s="37"/>
      <c r="AAC98" s="37"/>
      <c r="AAD98" s="37"/>
      <c r="AAE98" s="37"/>
      <c r="AAF98" s="37"/>
      <c r="AAG98" s="37"/>
      <c r="AAH98" s="37"/>
      <c r="AAI98" s="37"/>
      <c r="AAJ98" s="37"/>
      <c r="AAK98" s="37"/>
      <c r="AAL98" s="37"/>
      <c r="AAM98" s="37"/>
      <c r="AAN98" s="37"/>
      <c r="AAO98" s="37"/>
      <c r="AAP98" s="37"/>
      <c r="AAQ98" s="37"/>
      <c r="AAR98" s="37"/>
      <c r="AAS98" s="37"/>
      <c r="AAT98" s="37"/>
      <c r="AAU98" s="37"/>
      <c r="AAV98" s="37"/>
      <c r="AAW98" s="37"/>
      <c r="AAX98" s="37"/>
      <c r="AAY98" s="37"/>
      <c r="AAZ98" s="37"/>
      <c r="ABA98" s="37"/>
      <c r="ABB98" s="37"/>
      <c r="ABC98" s="37"/>
      <c r="ABD98" s="37"/>
      <c r="ABE98" s="37"/>
      <c r="ABF98" s="37"/>
      <c r="ABG98" s="37"/>
      <c r="ABH98" s="37"/>
      <c r="ABI98" s="37"/>
      <c r="ABJ98" s="37"/>
      <c r="ABK98" s="37"/>
      <c r="ABL98" s="37"/>
      <c r="ABM98" s="37"/>
      <c r="ABN98" s="37"/>
      <c r="ABO98" s="37"/>
      <c r="ABP98" s="37"/>
      <c r="ABQ98" s="37"/>
      <c r="ABR98" s="37"/>
      <c r="ABS98" s="37"/>
      <c r="ABT98" s="37"/>
      <c r="ABU98" s="37"/>
      <c r="ABV98" s="37"/>
      <c r="ABW98" s="37"/>
      <c r="ABX98" s="37"/>
      <c r="ABY98" s="37"/>
      <c r="ABZ98" s="37"/>
      <c r="ACA98" s="37"/>
      <c r="ACB98" s="37"/>
      <c r="ACC98" s="37"/>
      <c r="ACD98" s="37"/>
      <c r="ACE98" s="37"/>
      <c r="ACF98" s="37"/>
      <c r="ACG98" s="37"/>
      <c r="ACH98" s="37"/>
      <c r="ACI98" s="37"/>
      <c r="ACJ98" s="37"/>
      <c r="ACK98" s="37"/>
      <c r="ACL98" s="37"/>
      <c r="ACM98" s="37"/>
      <c r="ACN98" s="37"/>
      <c r="ACO98" s="37"/>
      <c r="ACP98" s="37"/>
      <c r="ACQ98" s="37"/>
      <c r="ACR98" s="37"/>
      <c r="ACS98" s="37"/>
      <c r="ACT98" s="37"/>
      <c r="ACU98" s="37"/>
      <c r="ACV98" s="37"/>
      <c r="ACW98" s="37"/>
      <c r="ACX98" s="37"/>
      <c r="ACY98" s="37"/>
      <c r="ACZ98" s="37"/>
      <c r="ADA98" s="37"/>
      <c r="ADB98" s="37"/>
      <c r="ADC98" s="37"/>
      <c r="ADD98" s="37"/>
      <c r="ADE98" s="37"/>
      <c r="ADF98" s="37"/>
      <c r="ADG98" s="37"/>
      <c r="ADH98" s="37"/>
      <c r="ADI98" s="37"/>
      <c r="ADJ98" s="37"/>
      <c r="ADK98" s="37"/>
      <c r="ADL98" s="37"/>
      <c r="ADM98" s="37"/>
      <c r="ADN98" s="37"/>
      <c r="ADO98" s="37"/>
      <c r="ADP98" s="37"/>
      <c r="ADQ98" s="37"/>
      <c r="ADR98" s="37"/>
      <c r="ADS98" s="37"/>
      <c r="ADT98" s="37"/>
      <c r="ADU98" s="37"/>
      <c r="ADV98" s="37"/>
      <c r="ADW98" s="37"/>
      <c r="ADX98" s="37"/>
      <c r="ADY98" s="37"/>
      <c r="ADZ98" s="37"/>
      <c r="AEA98" s="37"/>
      <c r="AEB98" s="37"/>
      <c r="AEC98" s="37"/>
      <c r="AED98" s="37"/>
      <c r="AEE98" s="37"/>
      <c r="AEF98" s="37"/>
      <c r="AEG98" s="37"/>
      <c r="AEH98" s="37"/>
      <c r="AEI98" s="37"/>
      <c r="AEJ98" s="37"/>
      <c r="AEK98" s="37"/>
      <c r="AEL98" s="37"/>
      <c r="AEM98" s="37"/>
      <c r="AEN98" s="37"/>
      <c r="AEO98" s="37"/>
      <c r="AEP98" s="37"/>
      <c r="AEQ98" s="37"/>
      <c r="AER98" s="37"/>
      <c r="AES98" s="37"/>
      <c r="AET98" s="37"/>
      <c r="AEU98" s="37"/>
      <c r="AEV98" s="37"/>
      <c r="AEW98" s="37"/>
      <c r="AEX98" s="37"/>
      <c r="AEY98" s="37"/>
      <c r="AEZ98" s="37"/>
      <c r="AFA98" s="37"/>
      <c r="AFB98" s="37"/>
      <c r="AFC98" s="37"/>
      <c r="AFD98" s="37"/>
      <c r="AFE98" s="37"/>
      <c r="AFF98" s="37"/>
      <c r="AFG98" s="37"/>
      <c r="AFH98" s="37"/>
      <c r="AFI98" s="37"/>
      <c r="AFJ98" s="37"/>
      <c r="AFK98" s="37"/>
      <c r="AFL98" s="37"/>
      <c r="AFM98" s="37"/>
      <c r="AFN98" s="37"/>
      <c r="AFO98" s="37"/>
      <c r="AFP98" s="37"/>
      <c r="AFQ98" s="37"/>
      <c r="AFR98" s="37"/>
      <c r="AFS98" s="37"/>
      <c r="AFT98" s="37"/>
      <c r="AFU98" s="37"/>
      <c r="AFV98" s="37"/>
      <c r="AFW98" s="37"/>
      <c r="AFX98" s="37"/>
      <c r="AFY98" s="37"/>
      <c r="AFZ98" s="37"/>
      <c r="AGA98" s="37"/>
      <c r="AGB98" s="37"/>
      <c r="AGC98" s="37"/>
      <c r="AGD98" s="37"/>
      <c r="AGE98" s="37"/>
      <c r="AGF98" s="37"/>
      <c r="AGG98" s="37"/>
      <c r="AGH98" s="37"/>
      <c r="AGI98" s="37"/>
      <c r="AGJ98" s="37"/>
      <c r="AGK98" s="37"/>
      <c r="AGL98" s="37"/>
      <c r="AGM98" s="37"/>
      <c r="AGN98" s="37"/>
      <c r="AGO98" s="37"/>
      <c r="AGP98" s="37"/>
      <c r="AGQ98" s="37"/>
      <c r="AGR98" s="37"/>
      <c r="AGS98" s="37"/>
      <c r="AGT98" s="37"/>
      <c r="AGU98" s="37"/>
      <c r="AGV98" s="37"/>
      <c r="AGW98" s="37"/>
      <c r="AGX98" s="37"/>
      <c r="AGY98" s="37"/>
      <c r="AGZ98" s="37"/>
      <c r="AHA98" s="37"/>
      <c r="AHB98" s="37"/>
      <c r="AHC98" s="37"/>
      <c r="AHD98" s="37"/>
      <c r="AHE98" s="37"/>
      <c r="AHF98" s="37"/>
      <c r="AHG98" s="37"/>
      <c r="AHH98" s="37"/>
      <c r="AHI98" s="37"/>
      <c r="AHJ98" s="37"/>
      <c r="AHK98" s="37"/>
      <c r="AHL98" s="37"/>
      <c r="AHM98" s="37"/>
      <c r="AHN98" s="37"/>
      <c r="AHO98" s="37"/>
      <c r="AHP98" s="37"/>
      <c r="AHQ98" s="37"/>
      <c r="AHR98" s="37"/>
      <c r="AHS98" s="37"/>
      <c r="AHT98" s="37"/>
      <c r="AHU98" s="37"/>
      <c r="AHV98" s="37"/>
      <c r="AHW98" s="37"/>
      <c r="AHX98" s="37"/>
      <c r="AHY98" s="37"/>
      <c r="AHZ98" s="37"/>
      <c r="AIA98" s="37"/>
      <c r="AIB98" s="37"/>
      <c r="AIC98" s="37"/>
      <c r="AID98" s="37"/>
      <c r="AIE98" s="37"/>
      <c r="AIF98" s="37"/>
      <c r="AIG98" s="37"/>
      <c r="AIH98" s="37"/>
      <c r="AII98" s="37"/>
      <c r="AIJ98" s="37"/>
      <c r="AIK98" s="37"/>
      <c r="AIL98" s="37"/>
      <c r="AIM98" s="37"/>
      <c r="AIN98" s="37"/>
      <c r="AIO98" s="37"/>
      <c r="AIP98" s="37"/>
      <c r="AIQ98" s="37"/>
      <c r="AIR98" s="37"/>
      <c r="AIS98" s="37"/>
      <c r="AIT98" s="37"/>
      <c r="AIU98" s="37"/>
      <c r="AIV98" s="37"/>
      <c r="AIW98" s="37"/>
      <c r="AIX98" s="37"/>
      <c r="AIY98" s="37"/>
      <c r="AIZ98" s="37"/>
      <c r="AJA98" s="37"/>
      <c r="AJB98" s="37"/>
      <c r="AJC98" s="37"/>
      <c r="AJD98" s="37"/>
      <c r="AJE98" s="37"/>
      <c r="AJF98" s="37"/>
      <c r="AJG98" s="37"/>
      <c r="AJH98" s="37"/>
      <c r="AJI98" s="37"/>
      <c r="AJJ98" s="37"/>
      <c r="AJK98" s="37"/>
      <c r="AJL98" s="37"/>
      <c r="AJM98" s="37"/>
      <c r="AJN98" s="37"/>
      <c r="AJO98" s="37"/>
      <c r="AJP98" s="37"/>
      <c r="AJQ98" s="37"/>
      <c r="AJR98" s="37"/>
      <c r="AJS98" s="37"/>
      <c r="AJT98" s="37"/>
      <c r="AJU98" s="37"/>
      <c r="AJV98" s="37"/>
      <c r="AJW98" s="37"/>
      <c r="AJX98" s="37"/>
      <c r="AJY98" s="37"/>
      <c r="AJZ98" s="37"/>
      <c r="AKA98" s="37"/>
      <c r="AKB98" s="37"/>
      <c r="AKC98" s="37"/>
      <c r="AKD98" s="37"/>
      <c r="AKE98" s="37"/>
      <c r="AKF98" s="37"/>
      <c r="AKG98" s="37"/>
      <c r="AKH98" s="37"/>
      <c r="AKI98" s="37"/>
      <c r="AKJ98" s="37"/>
      <c r="AKK98" s="37"/>
      <c r="AKL98" s="37"/>
      <c r="AKM98" s="37"/>
      <c r="AKN98" s="37"/>
      <c r="AKO98" s="37"/>
      <c r="AKP98" s="37"/>
      <c r="AKQ98" s="37"/>
      <c r="AKR98" s="37"/>
      <c r="AKS98" s="37"/>
      <c r="AKT98" s="37"/>
      <c r="AKU98" s="37"/>
      <c r="AKV98" s="37"/>
      <c r="AKW98" s="37"/>
      <c r="AKX98" s="37"/>
      <c r="AKY98" s="37"/>
      <c r="AKZ98" s="37"/>
      <c r="ALA98" s="37"/>
      <c r="ALB98" s="37"/>
      <c r="ALC98" s="37"/>
      <c r="ALD98" s="37"/>
      <c r="ALE98" s="37"/>
      <c r="ALF98" s="37"/>
      <c r="ALG98" s="37"/>
      <c r="ALH98" s="37"/>
      <c r="ALI98" s="37"/>
      <c r="ALJ98" s="37"/>
      <c r="ALK98" s="37"/>
      <c r="ALL98" s="37"/>
      <c r="ALM98" s="37"/>
      <c r="ALN98" s="37"/>
      <c r="ALO98" s="37"/>
      <c r="ALP98" s="37"/>
      <c r="ALQ98" s="37"/>
      <c r="ALR98" s="37"/>
      <c r="ALS98" s="37"/>
      <c r="ALT98" s="37"/>
      <c r="ALU98" s="37"/>
      <c r="ALV98" s="37"/>
      <c r="ALW98" s="37"/>
      <c r="ALX98" s="37"/>
      <c r="ALY98" s="37"/>
      <c r="ALZ98" s="37"/>
      <c r="AMA98" s="37"/>
      <c r="AMB98" s="37"/>
      <c r="AMC98" s="37"/>
    </row>
    <row r="99" spans="1:1017" s="38" customFormat="1" ht="19.5" customHeight="1">
      <c r="A99" s="72"/>
      <c r="B99" s="73"/>
      <c r="C99" s="72"/>
      <c r="D99" s="72"/>
      <c r="E99" s="72"/>
      <c r="F99" s="72"/>
      <c r="G99" s="35">
        <v>44</v>
      </c>
      <c r="H99" s="35">
        <v>106</v>
      </c>
      <c r="I99" s="35">
        <v>122</v>
      </c>
      <c r="J99" s="35">
        <v>74</v>
      </c>
      <c r="K99" s="35">
        <v>39</v>
      </c>
      <c r="L99" s="35">
        <v>30</v>
      </c>
      <c r="M99" s="35">
        <v>22</v>
      </c>
      <c r="N99" s="35">
        <v>97</v>
      </c>
      <c r="O99" s="74">
        <v>5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  <c r="OU99" s="37"/>
      <c r="OV99" s="37"/>
      <c r="OW99" s="37"/>
      <c r="OX99" s="37"/>
      <c r="OY99" s="37"/>
      <c r="OZ99" s="37"/>
      <c r="PA99" s="37"/>
      <c r="PB99" s="37"/>
      <c r="PC99" s="37"/>
      <c r="PD99" s="37"/>
      <c r="PE99" s="37"/>
      <c r="PF99" s="37"/>
      <c r="PG99" s="37"/>
      <c r="PH99" s="37"/>
      <c r="PI99" s="37"/>
      <c r="PJ99" s="37"/>
      <c r="PK99" s="37"/>
      <c r="PL99" s="37"/>
      <c r="PM99" s="37"/>
      <c r="PN99" s="37"/>
      <c r="PO99" s="37"/>
      <c r="PP99" s="37"/>
      <c r="PQ99" s="37"/>
      <c r="PR99" s="37"/>
      <c r="PS99" s="37"/>
      <c r="PT99" s="37"/>
      <c r="PU99" s="37"/>
      <c r="PV99" s="37"/>
      <c r="PW99" s="37"/>
      <c r="PX99" s="37"/>
      <c r="PY99" s="37"/>
      <c r="PZ99" s="37"/>
      <c r="QA99" s="37"/>
      <c r="QB99" s="37"/>
      <c r="QC99" s="37"/>
      <c r="QD99" s="37"/>
      <c r="QE99" s="37"/>
      <c r="QF99" s="37"/>
      <c r="QG99" s="37"/>
      <c r="QH99" s="37"/>
      <c r="QI99" s="37"/>
      <c r="QJ99" s="37"/>
      <c r="QK99" s="37"/>
      <c r="QL99" s="37"/>
      <c r="QM99" s="37"/>
      <c r="QN99" s="37"/>
      <c r="QO99" s="37"/>
      <c r="QP99" s="37"/>
      <c r="QQ99" s="37"/>
      <c r="QR99" s="37"/>
      <c r="QS99" s="37"/>
      <c r="QT99" s="37"/>
      <c r="QU99" s="37"/>
      <c r="QV99" s="37"/>
      <c r="QW99" s="37"/>
      <c r="QX99" s="37"/>
      <c r="QY99" s="37"/>
      <c r="QZ99" s="37"/>
      <c r="RA99" s="37"/>
      <c r="RB99" s="37"/>
      <c r="RC99" s="37"/>
      <c r="RD99" s="37"/>
      <c r="RE99" s="37"/>
      <c r="RF99" s="37"/>
      <c r="RG99" s="37"/>
      <c r="RH99" s="37"/>
      <c r="RI99" s="37"/>
      <c r="RJ99" s="37"/>
      <c r="RK99" s="37"/>
      <c r="RL99" s="37"/>
      <c r="RM99" s="37"/>
      <c r="RN99" s="37"/>
      <c r="RO99" s="37"/>
      <c r="RP99" s="37"/>
      <c r="RQ99" s="37"/>
      <c r="RR99" s="37"/>
      <c r="RS99" s="37"/>
      <c r="RT99" s="37"/>
      <c r="RU99" s="37"/>
      <c r="RV99" s="37"/>
      <c r="RW99" s="37"/>
      <c r="RX99" s="37"/>
      <c r="RY99" s="37"/>
      <c r="RZ99" s="37"/>
      <c r="SA99" s="37"/>
      <c r="SB99" s="37"/>
      <c r="SC99" s="37"/>
      <c r="SD99" s="37"/>
      <c r="SE99" s="37"/>
      <c r="SF99" s="37"/>
      <c r="SG99" s="37"/>
      <c r="SH99" s="37"/>
      <c r="SI99" s="37"/>
      <c r="SJ99" s="37"/>
      <c r="SK99" s="37"/>
      <c r="SL99" s="37"/>
      <c r="SM99" s="37"/>
      <c r="SN99" s="37"/>
      <c r="SO99" s="37"/>
      <c r="SP99" s="37"/>
      <c r="SQ99" s="37"/>
      <c r="SR99" s="37"/>
      <c r="SS99" s="37"/>
      <c r="ST99" s="37"/>
      <c r="SU99" s="37"/>
      <c r="SV99" s="37"/>
      <c r="SW99" s="37"/>
      <c r="SX99" s="37"/>
      <c r="SY99" s="37"/>
      <c r="SZ99" s="37"/>
      <c r="TA99" s="37"/>
      <c r="TB99" s="37"/>
      <c r="TC99" s="37"/>
      <c r="TD99" s="37"/>
      <c r="TE99" s="37"/>
      <c r="TF99" s="37"/>
      <c r="TG99" s="37"/>
      <c r="TH99" s="37"/>
      <c r="TI99" s="37"/>
      <c r="TJ99" s="37"/>
      <c r="TK99" s="37"/>
      <c r="TL99" s="37"/>
      <c r="TM99" s="37"/>
      <c r="TN99" s="37"/>
      <c r="TO99" s="37"/>
      <c r="TP99" s="37"/>
      <c r="TQ99" s="37"/>
      <c r="TR99" s="37"/>
      <c r="TS99" s="37"/>
      <c r="TT99" s="37"/>
      <c r="TU99" s="37"/>
      <c r="TV99" s="37"/>
      <c r="TW99" s="37"/>
      <c r="TX99" s="37"/>
      <c r="TY99" s="37"/>
      <c r="TZ99" s="37"/>
      <c r="UA99" s="37"/>
      <c r="UB99" s="37"/>
      <c r="UC99" s="37"/>
      <c r="UD99" s="37"/>
      <c r="UE99" s="37"/>
      <c r="UF99" s="37"/>
      <c r="UG99" s="37"/>
      <c r="UH99" s="37"/>
      <c r="UI99" s="37"/>
      <c r="UJ99" s="37"/>
      <c r="UK99" s="37"/>
      <c r="UL99" s="37"/>
      <c r="UM99" s="37"/>
      <c r="UN99" s="37"/>
      <c r="UO99" s="37"/>
      <c r="UP99" s="37"/>
      <c r="UQ99" s="37"/>
      <c r="UR99" s="37"/>
      <c r="US99" s="37"/>
      <c r="UT99" s="37"/>
      <c r="UU99" s="37"/>
      <c r="UV99" s="37"/>
      <c r="UW99" s="37"/>
      <c r="UX99" s="37"/>
      <c r="UY99" s="37"/>
      <c r="UZ99" s="37"/>
      <c r="VA99" s="37"/>
      <c r="VB99" s="37"/>
      <c r="VC99" s="37"/>
      <c r="VD99" s="37"/>
      <c r="VE99" s="37"/>
      <c r="VF99" s="37"/>
      <c r="VG99" s="37"/>
      <c r="VH99" s="37"/>
      <c r="VI99" s="37"/>
      <c r="VJ99" s="37"/>
      <c r="VK99" s="37"/>
      <c r="VL99" s="37"/>
      <c r="VM99" s="37"/>
      <c r="VN99" s="37"/>
      <c r="VO99" s="37"/>
      <c r="VP99" s="37"/>
      <c r="VQ99" s="37"/>
      <c r="VR99" s="37"/>
      <c r="VS99" s="37"/>
      <c r="VT99" s="37"/>
      <c r="VU99" s="37"/>
      <c r="VV99" s="37"/>
      <c r="VW99" s="37"/>
      <c r="VX99" s="37"/>
      <c r="VY99" s="37"/>
      <c r="VZ99" s="37"/>
      <c r="WA99" s="37"/>
      <c r="WB99" s="37"/>
      <c r="WC99" s="37"/>
      <c r="WD99" s="37"/>
      <c r="WE99" s="37"/>
      <c r="WF99" s="37"/>
      <c r="WG99" s="37"/>
      <c r="WH99" s="37"/>
      <c r="WI99" s="37"/>
      <c r="WJ99" s="37"/>
      <c r="WK99" s="37"/>
      <c r="WL99" s="37"/>
      <c r="WM99" s="37"/>
      <c r="WN99" s="37"/>
      <c r="WO99" s="37"/>
      <c r="WP99" s="37"/>
      <c r="WQ99" s="37"/>
      <c r="WR99" s="37"/>
      <c r="WS99" s="37"/>
      <c r="WT99" s="37"/>
      <c r="WU99" s="37"/>
      <c r="WV99" s="37"/>
      <c r="WW99" s="37"/>
      <c r="WX99" s="37"/>
      <c r="WY99" s="37"/>
      <c r="WZ99" s="37"/>
      <c r="XA99" s="37"/>
      <c r="XB99" s="37"/>
      <c r="XC99" s="37"/>
      <c r="XD99" s="37"/>
      <c r="XE99" s="37"/>
      <c r="XF99" s="37"/>
      <c r="XG99" s="37"/>
      <c r="XH99" s="37"/>
      <c r="XI99" s="37"/>
      <c r="XJ99" s="37"/>
      <c r="XK99" s="37"/>
      <c r="XL99" s="37"/>
      <c r="XM99" s="37"/>
      <c r="XN99" s="37"/>
      <c r="XO99" s="37"/>
      <c r="XP99" s="37"/>
      <c r="XQ99" s="37"/>
      <c r="XR99" s="37"/>
      <c r="XS99" s="37"/>
      <c r="XT99" s="37"/>
      <c r="XU99" s="37"/>
      <c r="XV99" s="37"/>
      <c r="XW99" s="37"/>
      <c r="XX99" s="37"/>
      <c r="XY99" s="37"/>
      <c r="XZ99" s="37"/>
      <c r="YA99" s="37"/>
      <c r="YB99" s="37"/>
      <c r="YC99" s="37"/>
      <c r="YD99" s="37"/>
      <c r="YE99" s="37"/>
      <c r="YF99" s="37"/>
      <c r="YG99" s="37"/>
      <c r="YH99" s="37"/>
      <c r="YI99" s="37"/>
      <c r="YJ99" s="37"/>
      <c r="YK99" s="37"/>
      <c r="YL99" s="37"/>
      <c r="YM99" s="37"/>
      <c r="YN99" s="37"/>
      <c r="YO99" s="37"/>
      <c r="YP99" s="37"/>
      <c r="YQ99" s="37"/>
      <c r="YR99" s="37"/>
      <c r="YS99" s="37"/>
      <c r="YT99" s="37"/>
      <c r="YU99" s="37"/>
      <c r="YV99" s="37"/>
      <c r="YW99" s="37"/>
      <c r="YX99" s="37"/>
      <c r="YY99" s="37"/>
      <c r="YZ99" s="37"/>
      <c r="ZA99" s="37"/>
      <c r="ZB99" s="37"/>
      <c r="ZC99" s="37"/>
      <c r="ZD99" s="37"/>
      <c r="ZE99" s="37"/>
      <c r="ZF99" s="37"/>
      <c r="ZG99" s="37"/>
      <c r="ZH99" s="37"/>
      <c r="ZI99" s="37"/>
      <c r="ZJ99" s="37"/>
      <c r="ZK99" s="37"/>
      <c r="ZL99" s="37"/>
      <c r="ZM99" s="37"/>
      <c r="ZN99" s="37"/>
      <c r="ZO99" s="37"/>
      <c r="ZP99" s="37"/>
      <c r="ZQ99" s="37"/>
      <c r="ZR99" s="37"/>
      <c r="ZS99" s="37"/>
      <c r="ZT99" s="37"/>
      <c r="ZU99" s="37"/>
      <c r="ZV99" s="37"/>
      <c r="ZW99" s="37"/>
      <c r="ZX99" s="37"/>
      <c r="ZY99" s="37"/>
      <c r="ZZ99" s="37"/>
      <c r="AAA99" s="37"/>
      <c r="AAB99" s="37"/>
      <c r="AAC99" s="37"/>
      <c r="AAD99" s="37"/>
      <c r="AAE99" s="37"/>
      <c r="AAF99" s="37"/>
      <c r="AAG99" s="37"/>
      <c r="AAH99" s="37"/>
      <c r="AAI99" s="37"/>
      <c r="AAJ99" s="37"/>
      <c r="AAK99" s="37"/>
      <c r="AAL99" s="37"/>
      <c r="AAM99" s="37"/>
      <c r="AAN99" s="37"/>
      <c r="AAO99" s="37"/>
      <c r="AAP99" s="37"/>
      <c r="AAQ99" s="37"/>
      <c r="AAR99" s="37"/>
      <c r="AAS99" s="37"/>
      <c r="AAT99" s="37"/>
      <c r="AAU99" s="37"/>
      <c r="AAV99" s="37"/>
      <c r="AAW99" s="37"/>
      <c r="AAX99" s="37"/>
      <c r="AAY99" s="37"/>
      <c r="AAZ99" s="37"/>
      <c r="ABA99" s="37"/>
      <c r="ABB99" s="37"/>
      <c r="ABC99" s="37"/>
      <c r="ABD99" s="37"/>
      <c r="ABE99" s="37"/>
      <c r="ABF99" s="37"/>
      <c r="ABG99" s="37"/>
      <c r="ABH99" s="37"/>
      <c r="ABI99" s="37"/>
      <c r="ABJ99" s="37"/>
      <c r="ABK99" s="37"/>
      <c r="ABL99" s="37"/>
      <c r="ABM99" s="37"/>
      <c r="ABN99" s="37"/>
      <c r="ABO99" s="37"/>
      <c r="ABP99" s="37"/>
      <c r="ABQ99" s="37"/>
      <c r="ABR99" s="37"/>
      <c r="ABS99" s="37"/>
      <c r="ABT99" s="37"/>
      <c r="ABU99" s="37"/>
      <c r="ABV99" s="37"/>
      <c r="ABW99" s="37"/>
      <c r="ABX99" s="37"/>
      <c r="ABY99" s="37"/>
      <c r="ABZ99" s="37"/>
      <c r="ACA99" s="37"/>
      <c r="ACB99" s="37"/>
      <c r="ACC99" s="37"/>
      <c r="ACD99" s="37"/>
      <c r="ACE99" s="37"/>
      <c r="ACF99" s="37"/>
      <c r="ACG99" s="37"/>
      <c r="ACH99" s="37"/>
      <c r="ACI99" s="37"/>
      <c r="ACJ99" s="37"/>
      <c r="ACK99" s="37"/>
      <c r="ACL99" s="37"/>
      <c r="ACM99" s="37"/>
      <c r="ACN99" s="37"/>
      <c r="ACO99" s="37"/>
      <c r="ACP99" s="37"/>
      <c r="ACQ99" s="37"/>
      <c r="ACR99" s="37"/>
      <c r="ACS99" s="37"/>
      <c r="ACT99" s="37"/>
      <c r="ACU99" s="37"/>
      <c r="ACV99" s="37"/>
      <c r="ACW99" s="37"/>
      <c r="ACX99" s="37"/>
      <c r="ACY99" s="37"/>
      <c r="ACZ99" s="37"/>
      <c r="ADA99" s="37"/>
      <c r="ADB99" s="37"/>
      <c r="ADC99" s="37"/>
      <c r="ADD99" s="37"/>
      <c r="ADE99" s="37"/>
      <c r="ADF99" s="37"/>
      <c r="ADG99" s="37"/>
      <c r="ADH99" s="37"/>
      <c r="ADI99" s="37"/>
      <c r="ADJ99" s="37"/>
      <c r="ADK99" s="37"/>
      <c r="ADL99" s="37"/>
      <c r="ADM99" s="37"/>
      <c r="ADN99" s="37"/>
      <c r="ADO99" s="37"/>
      <c r="ADP99" s="37"/>
      <c r="ADQ99" s="37"/>
      <c r="ADR99" s="37"/>
      <c r="ADS99" s="37"/>
      <c r="ADT99" s="37"/>
      <c r="ADU99" s="37"/>
      <c r="ADV99" s="37"/>
      <c r="ADW99" s="37"/>
      <c r="ADX99" s="37"/>
      <c r="ADY99" s="37"/>
      <c r="ADZ99" s="37"/>
      <c r="AEA99" s="37"/>
      <c r="AEB99" s="37"/>
      <c r="AEC99" s="37"/>
      <c r="AED99" s="37"/>
      <c r="AEE99" s="37"/>
      <c r="AEF99" s="37"/>
      <c r="AEG99" s="37"/>
      <c r="AEH99" s="37"/>
      <c r="AEI99" s="37"/>
      <c r="AEJ99" s="37"/>
      <c r="AEK99" s="37"/>
      <c r="AEL99" s="37"/>
      <c r="AEM99" s="37"/>
      <c r="AEN99" s="37"/>
      <c r="AEO99" s="37"/>
      <c r="AEP99" s="37"/>
      <c r="AEQ99" s="37"/>
      <c r="AER99" s="37"/>
      <c r="AES99" s="37"/>
      <c r="AET99" s="37"/>
      <c r="AEU99" s="37"/>
      <c r="AEV99" s="37"/>
      <c r="AEW99" s="37"/>
      <c r="AEX99" s="37"/>
      <c r="AEY99" s="37"/>
      <c r="AEZ99" s="37"/>
      <c r="AFA99" s="37"/>
      <c r="AFB99" s="37"/>
      <c r="AFC99" s="37"/>
      <c r="AFD99" s="37"/>
      <c r="AFE99" s="37"/>
      <c r="AFF99" s="37"/>
      <c r="AFG99" s="37"/>
      <c r="AFH99" s="37"/>
      <c r="AFI99" s="37"/>
      <c r="AFJ99" s="37"/>
      <c r="AFK99" s="37"/>
      <c r="AFL99" s="37"/>
      <c r="AFM99" s="37"/>
      <c r="AFN99" s="37"/>
      <c r="AFO99" s="37"/>
      <c r="AFP99" s="37"/>
      <c r="AFQ99" s="37"/>
      <c r="AFR99" s="37"/>
      <c r="AFS99" s="37"/>
      <c r="AFT99" s="37"/>
      <c r="AFU99" s="37"/>
      <c r="AFV99" s="37"/>
      <c r="AFW99" s="37"/>
      <c r="AFX99" s="37"/>
      <c r="AFY99" s="37"/>
      <c r="AFZ99" s="37"/>
      <c r="AGA99" s="37"/>
      <c r="AGB99" s="37"/>
      <c r="AGC99" s="37"/>
      <c r="AGD99" s="37"/>
      <c r="AGE99" s="37"/>
      <c r="AGF99" s="37"/>
      <c r="AGG99" s="37"/>
      <c r="AGH99" s="37"/>
      <c r="AGI99" s="37"/>
      <c r="AGJ99" s="37"/>
      <c r="AGK99" s="37"/>
      <c r="AGL99" s="37"/>
      <c r="AGM99" s="37"/>
      <c r="AGN99" s="37"/>
      <c r="AGO99" s="37"/>
      <c r="AGP99" s="37"/>
      <c r="AGQ99" s="37"/>
      <c r="AGR99" s="37"/>
      <c r="AGS99" s="37"/>
      <c r="AGT99" s="37"/>
      <c r="AGU99" s="37"/>
      <c r="AGV99" s="37"/>
      <c r="AGW99" s="37"/>
      <c r="AGX99" s="37"/>
      <c r="AGY99" s="37"/>
      <c r="AGZ99" s="37"/>
      <c r="AHA99" s="37"/>
      <c r="AHB99" s="37"/>
      <c r="AHC99" s="37"/>
      <c r="AHD99" s="37"/>
      <c r="AHE99" s="37"/>
      <c r="AHF99" s="37"/>
      <c r="AHG99" s="37"/>
      <c r="AHH99" s="37"/>
      <c r="AHI99" s="37"/>
      <c r="AHJ99" s="37"/>
      <c r="AHK99" s="37"/>
      <c r="AHL99" s="37"/>
      <c r="AHM99" s="37"/>
      <c r="AHN99" s="37"/>
      <c r="AHO99" s="37"/>
      <c r="AHP99" s="37"/>
      <c r="AHQ99" s="37"/>
      <c r="AHR99" s="37"/>
      <c r="AHS99" s="37"/>
      <c r="AHT99" s="37"/>
      <c r="AHU99" s="37"/>
      <c r="AHV99" s="37"/>
      <c r="AHW99" s="37"/>
      <c r="AHX99" s="37"/>
      <c r="AHY99" s="37"/>
      <c r="AHZ99" s="37"/>
      <c r="AIA99" s="37"/>
      <c r="AIB99" s="37"/>
      <c r="AIC99" s="37"/>
      <c r="AID99" s="37"/>
      <c r="AIE99" s="37"/>
      <c r="AIF99" s="37"/>
      <c r="AIG99" s="37"/>
      <c r="AIH99" s="37"/>
      <c r="AII99" s="37"/>
      <c r="AIJ99" s="37"/>
      <c r="AIK99" s="37"/>
      <c r="AIL99" s="37"/>
      <c r="AIM99" s="37"/>
      <c r="AIN99" s="37"/>
      <c r="AIO99" s="37"/>
      <c r="AIP99" s="37"/>
      <c r="AIQ99" s="37"/>
      <c r="AIR99" s="37"/>
      <c r="AIS99" s="37"/>
      <c r="AIT99" s="37"/>
      <c r="AIU99" s="37"/>
      <c r="AIV99" s="37"/>
      <c r="AIW99" s="37"/>
      <c r="AIX99" s="37"/>
      <c r="AIY99" s="37"/>
      <c r="AIZ99" s="37"/>
      <c r="AJA99" s="37"/>
      <c r="AJB99" s="37"/>
      <c r="AJC99" s="37"/>
      <c r="AJD99" s="37"/>
      <c r="AJE99" s="37"/>
      <c r="AJF99" s="37"/>
      <c r="AJG99" s="37"/>
      <c r="AJH99" s="37"/>
      <c r="AJI99" s="37"/>
      <c r="AJJ99" s="37"/>
      <c r="AJK99" s="37"/>
      <c r="AJL99" s="37"/>
      <c r="AJM99" s="37"/>
      <c r="AJN99" s="37"/>
      <c r="AJO99" s="37"/>
      <c r="AJP99" s="37"/>
      <c r="AJQ99" s="37"/>
      <c r="AJR99" s="37"/>
      <c r="AJS99" s="37"/>
      <c r="AJT99" s="37"/>
      <c r="AJU99" s="37"/>
      <c r="AJV99" s="37"/>
      <c r="AJW99" s="37"/>
      <c r="AJX99" s="37"/>
      <c r="AJY99" s="37"/>
      <c r="AJZ99" s="37"/>
      <c r="AKA99" s="37"/>
      <c r="AKB99" s="37"/>
      <c r="AKC99" s="37"/>
      <c r="AKD99" s="37"/>
      <c r="AKE99" s="37"/>
      <c r="AKF99" s="37"/>
      <c r="AKG99" s="37"/>
      <c r="AKH99" s="37"/>
      <c r="AKI99" s="37"/>
      <c r="AKJ99" s="37"/>
      <c r="AKK99" s="37"/>
      <c r="AKL99" s="37"/>
      <c r="AKM99" s="37"/>
      <c r="AKN99" s="37"/>
      <c r="AKO99" s="37"/>
      <c r="AKP99" s="37"/>
      <c r="AKQ99" s="37"/>
      <c r="AKR99" s="37"/>
      <c r="AKS99" s="37"/>
      <c r="AKT99" s="37"/>
      <c r="AKU99" s="37"/>
      <c r="AKV99" s="37"/>
      <c r="AKW99" s="37"/>
      <c r="AKX99" s="37"/>
      <c r="AKY99" s="37"/>
      <c r="AKZ99" s="37"/>
      <c r="ALA99" s="37"/>
      <c r="ALB99" s="37"/>
      <c r="ALC99" s="37"/>
      <c r="ALD99" s="37"/>
      <c r="ALE99" s="37"/>
      <c r="ALF99" s="37"/>
      <c r="ALG99" s="37"/>
      <c r="ALH99" s="37"/>
      <c r="ALI99" s="37"/>
      <c r="ALJ99" s="37"/>
      <c r="ALK99" s="37"/>
      <c r="ALL99" s="37"/>
      <c r="ALM99" s="37"/>
      <c r="ALN99" s="37"/>
      <c r="ALO99" s="37"/>
      <c r="ALP99" s="37"/>
      <c r="ALQ99" s="37"/>
      <c r="ALR99" s="37"/>
      <c r="ALS99" s="37"/>
      <c r="ALT99" s="37"/>
      <c r="ALU99" s="37"/>
      <c r="ALV99" s="37"/>
      <c r="ALW99" s="37"/>
      <c r="ALX99" s="37"/>
      <c r="ALY99" s="37"/>
      <c r="ALZ99" s="37"/>
      <c r="AMA99" s="37"/>
      <c r="AMB99" s="37"/>
      <c r="AMC99" s="37"/>
    </row>
    <row r="100" spans="1:1017" s="38" customFormat="1" ht="19.5" customHeight="1">
      <c r="A100" s="75"/>
      <c r="B100" s="76"/>
      <c r="C100" s="75"/>
      <c r="D100" s="75"/>
      <c r="E100" s="75"/>
      <c r="F100" s="75"/>
      <c r="G100" s="77">
        <v>48</v>
      </c>
      <c r="H100" s="77">
        <v>63</v>
      </c>
      <c r="I100" s="77">
        <v>22</v>
      </c>
      <c r="J100" s="77">
        <v>16</v>
      </c>
      <c r="K100" s="77">
        <v>114</v>
      </c>
      <c r="L100" s="77">
        <v>114</v>
      </c>
      <c r="M100" s="77">
        <v>125</v>
      </c>
      <c r="N100" s="77"/>
      <c r="O100" s="7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/>
      <c r="OM100" s="37"/>
      <c r="ON100" s="37"/>
      <c r="OO100" s="37"/>
      <c r="OP100" s="37"/>
      <c r="OQ100" s="37"/>
      <c r="OR100" s="37"/>
      <c r="OS100" s="37"/>
      <c r="OT100" s="37"/>
      <c r="OU100" s="37"/>
      <c r="OV100" s="37"/>
      <c r="OW100" s="37"/>
      <c r="OX100" s="37"/>
      <c r="OY100" s="37"/>
      <c r="OZ100" s="37"/>
      <c r="PA100" s="37"/>
      <c r="PB100" s="37"/>
      <c r="PC100" s="37"/>
      <c r="PD100" s="37"/>
      <c r="PE100" s="37"/>
      <c r="PF100" s="37"/>
      <c r="PG100" s="37"/>
      <c r="PH100" s="37"/>
      <c r="PI100" s="37"/>
      <c r="PJ100" s="37"/>
      <c r="PK100" s="37"/>
      <c r="PL100" s="37"/>
      <c r="PM100" s="37"/>
      <c r="PN100" s="37"/>
      <c r="PO100" s="37"/>
      <c r="PP100" s="37"/>
      <c r="PQ100" s="37"/>
      <c r="PR100" s="37"/>
      <c r="PS100" s="37"/>
      <c r="PT100" s="37"/>
      <c r="PU100" s="37"/>
      <c r="PV100" s="37"/>
      <c r="PW100" s="37"/>
      <c r="PX100" s="37"/>
      <c r="PY100" s="37"/>
      <c r="PZ100" s="37"/>
      <c r="QA100" s="37"/>
      <c r="QB100" s="37"/>
      <c r="QC100" s="37"/>
      <c r="QD100" s="37"/>
      <c r="QE100" s="37"/>
      <c r="QF100" s="37"/>
      <c r="QG100" s="37"/>
      <c r="QH100" s="37"/>
      <c r="QI100" s="37"/>
      <c r="QJ100" s="37"/>
      <c r="QK100" s="37"/>
      <c r="QL100" s="37"/>
      <c r="QM100" s="37"/>
      <c r="QN100" s="37"/>
      <c r="QO100" s="37"/>
      <c r="QP100" s="37"/>
      <c r="QQ100" s="37"/>
      <c r="QR100" s="37"/>
      <c r="QS100" s="37"/>
      <c r="QT100" s="37"/>
      <c r="QU100" s="37"/>
      <c r="QV100" s="37"/>
      <c r="QW100" s="37"/>
      <c r="QX100" s="37"/>
      <c r="QY100" s="37"/>
      <c r="QZ100" s="37"/>
      <c r="RA100" s="37"/>
      <c r="RB100" s="37"/>
      <c r="RC100" s="37"/>
      <c r="RD100" s="37"/>
      <c r="RE100" s="37"/>
      <c r="RF100" s="37"/>
      <c r="RG100" s="37"/>
      <c r="RH100" s="37"/>
      <c r="RI100" s="37"/>
      <c r="RJ100" s="37"/>
      <c r="RK100" s="37"/>
      <c r="RL100" s="37"/>
      <c r="RM100" s="37"/>
      <c r="RN100" s="37"/>
      <c r="RO100" s="37"/>
      <c r="RP100" s="37"/>
      <c r="RQ100" s="37"/>
      <c r="RR100" s="37"/>
      <c r="RS100" s="37"/>
      <c r="RT100" s="37"/>
      <c r="RU100" s="37"/>
      <c r="RV100" s="37"/>
      <c r="RW100" s="37"/>
      <c r="RX100" s="37"/>
      <c r="RY100" s="37"/>
      <c r="RZ100" s="37"/>
      <c r="SA100" s="37"/>
      <c r="SB100" s="37"/>
      <c r="SC100" s="37"/>
      <c r="SD100" s="37"/>
      <c r="SE100" s="37"/>
      <c r="SF100" s="37"/>
      <c r="SG100" s="37"/>
      <c r="SH100" s="37"/>
      <c r="SI100" s="37"/>
      <c r="SJ100" s="37"/>
      <c r="SK100" s="37"/>
      <c r="SL100" s="37"/>
      <c r="SM100" s="37"/>
      <c r="SN100" s="37"/>
      <c r="SO100" s="37"/>
      <c r="SP100" s="37"/>
      <c r="SQ100" s="37"/>
      <c r="SR100" s="37"/>
      <c r="SS100" s="37"/>
      <c r="ST100" s="37"/>
      <c r="SU100" s="37"/>
      <c r="SV100" s="37"/>
      <c r="SW100" s="37"/>
      <c r="SX100" s="37"/>
      <c r="SY100" s="37"/>
      <c r="SZ100" s="37"/>
      <c r="TA100" s="37"/>
      <c r="TB100" s="37"/>
      <c r="TC100" s="37"/>
      <c r="TD100" s="37"/>
      <c r="TE100" s="37"/>
      <c r="TF100" s="37"/>
      <c r="TG100" s="37"/>
      <c r="TH100" s="37"/>
      <c r="TI100" s="37"/>
      <c r="TJ100" s="37"/>
      <c r="TK100" s="37"/>
      <c r="TL100" s="37"/>
      <c r="TM100" s="37"/>
      <c r="TN100" s="37"/>
      <c r="TO100" s="37"/>
      <c r="TP100" s="37"/>
      <c r="TQ100" s="37"/>
      <c r="TR100" s="37"/>
      <c r="TS100" s="37"/>
      <c r="TT100" s="37"/>
      <c r="TU100" s="37"/>
      <c r="TV100" s="37"/>
      <c r="TW100" s="37"/>
      <c r="TX100" s="37"/>
      <c r="TY100" s="37"/>
      <c r="TZ100" s="37"/>
      <c r="UA100" s="37"/>
      <c r="UB100" s="37"/>
      <c r="UC100" s="37"/>
      <c r="UD100" s="37"/>
      <c r="UE100" s="37"/>
      <c r="UF100" s="37"/>
      <c r="UG100" s="37"/>
      <c r="UH100" s="37"/>
      <c r="UI100" s="37"/>
      <c r="UJ100" s="37"/>
      <c r="UK100" s="37"/>
      <c r="UL100" s="37"/>
      <c r="UM100" s="37"/>
      <c r="UN100" s="37"/>
      <c r="UO100" s="37"/>
      <c r="UP100" s="37"/>
      <c r="UQ100" s="37"/>
      <c r="UR100" s="37"/>
      <c r="US100" s="37"/>
      <c r="UT100" s="37"/>
      <c r="UU100" s="37"/>
      <c r="UV100" s="37"/>
      <c r="UW100" s="37"/>
      <c r="UX100" s="37"/>
      <c r="UY100" s="37"/>
      <c r="UZ100" s="37"/>
      <c r="VA100" s="37"/>
      <c r="VB100" s="37"/>
      <c r="VC100" s="37"/>
      <c r="VD100" s="37"/>
      <c r="VE100" s="37"/>
      <c r="VF100" s="37"/>
      <c r="VG100" s="37"/>
      <c r="VH100" s="37"/>
      <c r="VI100" s="37"/>
      <c r="VJ100" s="37"/>
      <c r="VK100" s="37"/>
      <c r="VL100" s="37"/>
      <c r="VM100" s="37"/>
      <c r="VN100" s="37"/>
      <c r="VO100" s="37"/>
      <c r="VP100" s="37"/>
      <c r="VQ100" s="37"/>
      <c r="VR100" s="37"/>
      <c r="VS100" s="37"/>
      <c r="VT100" s="37"/>
      <c r="VU100" s="37"/>
      <c r="VV100" s="37"/>
      <c r="VW100" s="37"/>
      <c r="VX100" s="37"/>
      <c r="VY100" s="37"/>
      <c r="VZ100" s="37"/>
      <c r="WA100" s="37"/>
      <c r="WB100" s="37"/>
      <c r="WC100" s="37"/>
      <c r="WD100" s="37"/>
      <c r="WE100" s="37"/>
      <c r="WF100" s="37"/>
      <c r="WG100" s="37"/>
      <c r="WH100" s="37"/>
      <c r="WI100" s="37"/>
      <c r="WJ100" s="37"/>
      <c r="WK100" s="37"/>
      <c r="WL100" s="37"/>
      <c r="WM100" s="37"/>
      <c r="WN100" s="37"/>
      <c r="WO100" s="37"/>
      <c r="WP100" s="37"/>
      <c r="WQ100" s="37"/>
      <c r="WR100" s="37"/>
      <c r="WS100" s="37"/>
      <c r="WT100" s="37"/>
      <c r="WU100" s="37"/>
      <c r="WV100" s="37"/>
      <c r="WW100" s="37"/>
      <c r="WX100" s="37"/>
      <c r="WY100" s="37"/>
      <c r="WZ100" s="37"/>
      <c r="XA100" s="37"/>
      <c r="XB100" s="37"/>
      <c r="XC100" s="37"/>
      <c r="XD100" s="37"/>
      <c r="XE100" s="37"/>
      <c r="XF100" s="37"/>
      <c r="XG100" s="37"/>
      <c r="XH100" s="37"/>
      <c r="XI100" s="37"/>
      <c r="XJ100" s="37"/>
      <c r="XK100" s="37"/>
      <c r="XL100" s="37"/>
      <c r="XM100" s="37"/>
      <c r="XN100" s="37"/>
      <c r="XO100" s="37"/>
      <c r="XP100" s="37"/>
      <c r="XQ100" s="37"/>
      <c r="XR100" s="37"/>
      <c r="XS100" s="37"/>
      <c r="XT100" s="37"/>
      <c r="XU100" s="37"/>
      <c r="XV100" s="37"/>
      <c r="XW100" s="37"/>
      <c r="XX100" s="37"/>
      <c r="XY100" s="37"/>
      <c r="XZ100" s="37"/>
      <c r="YA100" s="37"/>
      <c r="YB100" s="37"/>
      <c r="YC100" s="37"/>
      <c r="YD100" s="37"/>
      <c r="YE100" s="37"/>
      <c r="YF100" s="37"/>
      <c r="YG100" s="37"/>
      <c r="YH100" s="37"/>
      <c r="YI100" s="37"/>
      <c r="YJ100" s="37"/>
      <c r="YK100" s="37"/>
      <c r="YL100" s="37"/>
      <c r="YM100" s="37"/>
      <c r="YN100" s="37"/>
      <c r="YO100" s="37"/>
      <c r="YP100" s="37"/>
      <c r="YQ100" s="37"/>
      <c r="YR100" s="37"/>
      <c r="YS100" s="37"/>
      <c r="YT100" s="37"/>
      <c r="YU100" s="37"/>
      <c r="YV100" s="37"/>
      <c r="YW100" s="37"/>
      <c r="YX100" s="37"/>
      <c r="YY100" s="37"/>
      <c r="YZ100" s="37"/>
      <c r="ZA100" s="37"/>
      <c r="ZB100" s="37"/>
      <c r="ZC100" s="37"/>
      <c r="ZD100" s="37"/>
      <c r="ZE100" s="37"/>
      <c r="ZF100" s="37"/>
      <c r="ZG100" s="37"/>
      <c r="ZH100" s="37"/>
      <c r="ZI100" s="37"/>
      <c r="ZJ100" s="37"/>
      <c r="ZK100" s="37"/>
      <c r="ZL100" s="37"/>
      <c r="ZM100" s="37"/>
      <c r="ZN100" s="37"/>
      <c r="ZO100" s="37"/>
      <c r="ZP100" s="37"/>
      <c r="ZQ100" s="37"/>
      <c r="ZR100" s="37"/>
      <c r="ZS100" s="37"/>
      <c r="ZT100" s="37"/>
      <c r="ZU100" s="37"/>
      <c r="ZV100" s="37"/>
      <c r="ZW100" s="37"/>
      <c r="ZX100" s="37"/>
      <c r="ZY100" s="37"/>
      <c r="ZZ100" s="37"/>
      <c r="AAA100" s="37"/>
      <c r="AAB100" s="37"/>
      <c r="AAC100" s="37"/>
      <c r="AAD100" s="37"/>
      <c r="AAE100" s="37"/>
      <c r="AAF100" s="37"/>
      <c r="AAG100" s="37"/>
      <c r="AAH100" s="37"/>
      <c r="AAI100" s="37"/>
      <c r="AAJ100" s="37"/>
      <c r="AAK100" s="37"/>
      <c r="AAL100" s="37"/>
      <c r="AAM100" s="37"/>
      <c r="AAN100" s="37"/>
      <c r="AAO100" s="37"/>
      <c r="AAP100" s="37"/>
      <c r="AAQ100" s="37"/>
      <c r="AAR100" s="37"/>
      <c r="AAS100" s="37"/>
      <c r="AAT100" s="37"/>
      <c r="AAU100" s="37"/>
      <c r="AAV100" s="37"/>
      <c r="AAW100" s="37"/>
      <c r="AAX100" s="37"/>
      <c r="AAY100" s="37"/>
      <c r="AAZ100" s="37"/>
      <c r="ABA100" s="37"/>
      <c r="ABB100" s="37"/>
      <c r="ABC100" s="37"/>
      <c r="ABD100" s="37"/>
      <c r="ABE100" s="37"/>
      <c r="ABF100" s="37"/>
      <c r="ABG100" s="37"/>
      <c r="ABH100" s="37"/>
      <c r="ABI100" s="37"/>
      <c r="ABJ100" s="37"/>
      <c r="ABK100" s="37"/>
      <c r="ABL100" s="37"/>
      <c r="ABM100" s="37"/>
      <c r="ABN100" s="37"/>
      <c r="ABO100" s="37"/>
      <c r="ABP100" s="37"/>
      <c r="ABQ100" s="37"/>
      <c r="ABR100" s="37"/>
      <c r="ABS100" s="37"/>
      <c r="ABT100" s="37"/>
      <c r="ABU100" s="37"/>
      <c r="ABV100" s="37"/>
      <c r="ABW100" s="37"/>
      <c r="ABX100" s="37"/>
      <c r="ABY100" s="37"/>
      <c r="ABZ100" s="37"/>
      <c r="ACA100" s="37"/>
      <c r="ACB100" s="37"/>
      <c r="ACC100" s="37"/>
      <c r="ACD100" s="37"/>
      <c r="ACE100" s="37"/>
      <c r="ACF100" s="37"/>
      <c r="ACG100" s="37"/>
      <c r="ACH100" s="37"/>
      <c r="ACI100" s="37"/>
      <c r="ACJ100" s="37"/>
      <c r="ACK100" s="37"/>
      <c r="ACL100" s="37"/>
      <c r="ACM100" s="37"/>
      <c r="ACN100" s="37"/>
      <c r="ACO100" s="37"/>
      <c r="ACP100" s="37"/>
      <c r="ACQ100" s="37"/>
      <c r="ACR100" s="37"/>
      <c r="ACS100" s="37"/>
      <c r="ACT100" s="37"/>
      <c r="ACU100" s="37"/>
      <c r="ACV100" s="37"/>
      <c r="ACW100" s="37"/>
      <c r="ACX100" s="37"/>
      <c r="ACY100" s="37"/>
      <c r="ACZ100" s="37"/>
      <c r="ADA100" s="37"/>
      <c r="ADB100" s="37"/>
      <c r="ADC100" s="37"/>
      <c r="ADD100" s="37"/>
      <c r="ADE100" s="37"/>
      <c r="ADF100" s="37"/>
      <c r="ADG100" s="37"/>
      <c r="ADH100" s="37"/>
      <c r="ADI100" s="37"/>
      <c r="ADJ100" s="37"/>
      <c r="ADK100" s="37"/>
      <c r="ADL100" s="37"/>
      <c r="ADM100" s="37"/>
      <c r="ADN100" s="37"/>
      <c r="ADO100" s="37"/>
      <c r="ADP100" s="37"/>
      <c r="ADQ100" s="37"/>
      <c r="ADR100" s="37"/>
      <c r="ADS100" s="37"/>
      <c r="ADT100" s="37"/>
      <c r="ADU100" s="37"/>
      <c r="ADV100" s="37"/>
      <c r="ADW100" s="37"/>
      <c r="ADX100" s="37"/>
      <c r="ADY100" s="37"/>
      <c r="ADZ100" s="37"/>
      <c r="AEA100" s="37"/>
      <c r="AEB100" s="37"/>
      <c r="AEC100" s="37"/>
      <c r="AED100" s="37"/>
      <c r="AEE100" s="37"/>
      <c r="AEF100" s="37"/>
      <c r="AEG100" s="37"/>
      <c r="AEH100" s="37"/>
      <c r="AEI100" s="37"/>
      <c r="AEJ100" s="37"/>
      <c r="AEK100" s="37"/>
      <c r="AEL100" s="37"/>
      <c r="AEM100" s="37"/>
      <c r="AEN100" s="37"/>
      <c r="AEO100" s="37"/>
      <c r="AEP100" s="37"/>
      <c r="AEQ100" s="37"/>
      <c r="AER100" s="37"/>
      <c r="AES100" s="37"/>
      <c r="AET100" s="37"/>
      <c r="AEU100" s="37"/>
      <c r="AEV100" s="37"/>
      <c r="AEW100" s="37"/>
      <c r="AEX100" s="37"/>
      <c r="AEY100" s="37"/>
      <c r="AEZ100" s="37"/>
      <c r="AFA100" s="37"/>
      <c r="AFB100" s="37"/>
      <c r="AFC100" s="37"/>
      <c r="AFD100" s="37"/>
      <c r="AFE100" s="37"/>
      <c r="AFF100" s="37"/>
      <c r="AFG100" s="37"/>
      <c r="AFH100" s="37"/>
      <c r="AFI100" s="37"/>
      <c r="AFJ100" s="37"/>
      <c r="AFK100" s="37"/>
      <c r="AFL100" s="37"/>
      <c r="AFM100" s="37"/>
      <c r="AFN100" s="37"/>
      <c r="AFO100" s="37"/>
      <c r="AFP100" s="37"/>
      <c r="AFQ100" s="37"/>
      <c r="AFR100" s="37"/>
      <c r="AFS100" s="37"/>
      <c r="AFT100" s="37"/>
      <c r="AFU100" s="37"/>
      <c r="AFV100" s="37"/>
      <c r="AFW100" s="37"/>
      <c r="AFX100" s="37"/>
      <c r="AFY100" s="37"/>
      <c r="AFZ100" s="37"/>
      <c r="AGA100" s="37"/>
      <c r="AGB100" s="37"/>
      <c r="AGC100" s="37"/>
      <c r="AGD100" s="37"/>
      <c r="AGE100" s="37"/>
      <c r="AGF100" s="37"/>
      <c r="AGG100" s="37"/>
      <c r="AGH100" s="37"/>
      <c r="AGI100" s="37"/>
      <c r="AGJ100" s="37"/>
      <c r="AGK100" s="37"/>
      <c r="AGL100" s="37"/>
      <c r="AGM100" s="37"/>
      <c r="AGN100" s="37"/>
      <c r="AGO100" s="37"/>
      <c r="AGP100" s="37"/>
      <c r="AGQ100" s="37"/>
      <c r="AGR100" s="37"/>
      <c r="AGS100" s="37"/>
      <c r="AGT100" s="37"/>
      <c r="AGU100" s="37"/>
      <c r="AGV100" s="37"/>
      <c r="AGW100" s="37"/>
      <c r="AGX100" s="37"/>
      <c r="AGY100" s="37"/>
      <c r="AGZ100" s="37"/>
      <c r="AHA100" s="37"/>
      <c r="AHB100" s="37"/>
      <c r="AHC100" s="37"/>
      <c r="AHD100" s="37"/>
      <c r="AHE100" s="37"/>
      <c r="AHF100" s="37"/>
      <c r="AHG100" s="37"/>
      <c r="AHH100" s="37"/>
      <c r="AHI100" s="37"/>
      <c r="AHJ100" s="37"/>
      <c r="AHK100" s="37"/>
      <c r="AHL100" s="37"/>
      <c r="AHM100" s="37"/>
      <c r="AHN100" s="37"/>
      <c r="AHO100" s="37"/>
      <c r="AHP100" s="37"/>
      <c r="AHQ100" s="37"/>
      <c r="AHR100" s="37"/>
      <c r="AHS100" s="37"/>
      <c r="AHT100" s="37"/>
      <c r="AHU100" s="37"/>
      <c r="AHV100" s="37"/>
      <c r="AHW100" s="37"/>
      <c r="AHX100" s="37"/>
      <c r="AHY100" s="37"/>
      <c r="AHZ100" s="37"/>
      <c r="AIA100" s="37"/>
      <c r="AIB100" s="37"/>
      <c r="AIC100" s="37"/>
      <c r="AID100" s="37"/>
      <c r="AIE100" s="37"/>
      <c r="AIF100" s="37"/>
      <c r="AIG100" s="37"/>
      <c r="AIH100" s="37"/>
      <c r="AII100" s="37"/>
      <c r="AIJ100" s="37"/>
      <c r="AIK100" s="37"/>
      <c r="AIL100" s="37"/>
      <c r="AIM100" s="37"/>
      <c r="AIN100" s="37"/>
      <c r="AIO100" s="37"/>
      <c r="AIP100" s="37"/>
      <c r="AIQ100" s="37"/>
      <c r="AIR100" s="37"/>
      <c r="AIS100" s="37"/>
      <c r="AIT100" s="37"/>
      <c r="AIU100" s="37"/>
      <c r="AIV100" s="37"/>
      <c r="AIW100" s="37"/>
      <c r="AIX100" s="37"/>
      <c r="AIY100" s="37"/>
      <c r="AIZ100" s="37"/>
      <c r="AJA100" s="37"/>
      <c r="AJB100" s="37"/>
      <c r="AJC100" s="37"/>
      <c r="AJD100" s="37"/>
      <c r="AJE100" s="37"/>
      <c r="AJF100" s="37"/>
      <c r="AJG100" s="37"/>
      <c r="AJH100" s="37"/>
      <c r="AJI100" s="37"/>
      <c r="AJJ100" s="37"/>
      <c r="AJK100" s="37"/>
      <c r="AJL100" s="37"/>
      <c r="AJM100" s="37"/>
      <c r="AJN100" s="37"/>
      <c r="AJO100" s="37"/>
      <c r="AJP100" s="37"/>
      <c r="AJQ100" s="37"/>
      <c r="AJR100" s="37"/>
      <c r="AJS100" s="37"/>
      <c r="AJT100" s="37"/>
      <c r="AJU100" s="37"/>
      <c r="AJV100" s="37"/>
      <c r="AJW100" s="37"/>
      <c r="AJX100" s="37"/>
      <c r="AJY100" s="37"/>
      <c r="AJZ100" s="37"/>
      <c r="AKA100" s="37"/>
      <c r="AKB100" s="37"/>
      <c r="AKC100" s="37"/>
      <c r="AKD100" s="37"/>
      <c r="AKE100" s="37"/>
      <c r="AKF100" s="37"/>
      <c r="AKG100" s="37"/>
      <c r="AKH100" s="37"/>
      <c r="AKI100" s="37"/>
      <c r="AKJ100" s="37"/>
      <c r="AKK100" s="37"/>
      <c r="AKL100" s="37"/>
      <c r="AKM100" s="37"/>
      <c r="AKN100" s="37"/>
      <c r="AKO100" s="37"/>
      <c r="AKP100" s="37"/>
      <c r="AKQ100" s="37"/>
      <c r="AKR100" s="37"/>
      <c r="AKS100" s="37"/>
      <c r="AKT100" s="37"/>
      <c r="AKU100" s="37"/>
      <c r="AKV100" s="37"/>
      <c r="AKW100" s="37"/>
      <c r="AKX100" s="37"/>
      <c r="AKY100" s="37"/>
      <c r="AKZ100" s="37"/>
      <c r="ALA100" s="37"/>
      <c r="ALB100" s="37"/>
      <c r="ALC100" s="37"/>
      <c r="ALD100" s="37"/>
      <c r="ALE100" s="37"/>
      <c r="ALF100" s="37"/>
      <c r="ALG100" s="37"/>
      <c r="ALH100" s="37"/>
      <c r="ALI100" s="37"/>
      <c r="ALJ100" s="37"/>
      <c r="ALK100" s="37"/>
      <c r="ALL100" s="37"/>
      <c r="ALM100" s="37"/>
      <c r="ALN100" s="37"/>
      <c r="ALO100" s="37"/>
      <c r="ALP100" s="37"/>
      <c r="ALQ100" s="37"/>
      <c r="ALR100" s="37"/>
      <c r="ALS100" s="37"/>
      <c r="ALT100" s="37"/>
      <c r="ALU100" s="37"/>
      <c r="ALV100" s="37"/>
      <c r="ALW100" s="37"/>
      <c r="ALX100" s="37"/>
      <c r="ALY100" s="37"/>
      <c r="ALZ100" s="37"/>
      <c r="AMA100" s="37"/>
      <c r="AMB100" s="37"/>
      <c r="AMC100" s="37"/>
    </row>
    <row r="101" spans="1:1017" s="38" customFormat="1" ht="19.5" customHeight="1">
      <c r="A101" s="26" t="s">
        <v>184</v>
      </c>
      <c r="B101" s="25" t="s">
        <v>181</v>
      </c>
      <c r="C101" s="26" t="s">
        <v>46</v>
      </c>
      <c r="D101" s="26" t="s">
        <v>32</v>
      </c>
      <c r="E101" s="26" t="s">
        <v>261</v>
      </c>
      <c r="F101" s="26">
        <v>41</v>
      </c>
      <c r="G101" s="26" t="s">
        <v>35</v>
      </c>
      <c r="H101" s="26">
        <v>56</v>
      </c>
      <c r="I101" s="36">
        <v>46</v>
      </c>
      <c r="J101" s="36">
        <v>25</v>
      </c>
      <c r="K101" s="36">
        <v>20</v>
      </c>
      <c r="L101" s="36">
        <v>31</v>
      </c>
      <c r="M101" s="36">
        <v>29</v>
      </c>
      <c r="N101" s="36">
        <v>31</v>
      </c>
      <c r="O101" s="36">
        <v>72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  <c r="OU101" s="37"/>
      <c r="OV101" s="37"/>
      <c r="OW101" s="37"/>
      <c r="OX101" s="37"/>
      <c r="OY101" s="37"/>
      <c r="OZ101" s="37"/>
      <c r="PA101" s="37"/>
      <c r="PB101" s="37"/>
      <c r="PC101" s="37"/>
      <c r="PD101" s="37"/>
      <c r="PE101" s="37"/>
      <c r="PF101" s="37"/>
      <c r="PG101" s="37"/>
      <c r="PH101" s="37"/>
      <c r="PI101" s="37"/>
      <c r="PJ101" s="37"/>
      <c r="PK101" s="37"/>
      <c r="PL101" s="37"/>
      <c r="PM101" s="37"/>
      <c r="PN101" s="37"/>
      <c r="PO101" s="37"/>
      <c r="PP101" s="37"/>
      <c r="PQ101" s="37"/>
      <c r="PR101" s="37"/>
      <c r="PS101" s="37"/>
      <c r="PT101" s="37"/>
      <c r="PU101" s="37"/>
      <c r="PV101" s="37"/>
      <c r="PW101" s="37"/>
      <c r="PX101" s="37"/>
      <c r="PY101" s="37"/>
      <c r="PZ101" s="37"/>
      <c r="QA101" s="37"/>
      <c r="QB101" s="37"/>
      <c r="QC101" s="37"/>
      <c r="QD101" s="37"/>
      <c r="QE101" s="37"/>
      <c r="QF101" s="37"/>
      <c r="QG101" s="37"/>
      <c r="QH101" s="37"/>
      <c r="QI101" s="37"/>
      <c r="QJ101" s="37"/>
      <c r="QK101" s="37"/>
      <c r="QL101" s="37"/>
      <c r="QM101" s="37"/>
      <c r="QN101" s="37"/>
      <c r="QO101" s="37"/>
      <c r="QP101" s="37"/>
      <c r="QQ101" s="37"/>
      <c r="QR101" s="37"/>
      <c r="QS101" s="37"/>
      <c r="QT101" s="37"/>
      <c r="QU101" s="37"/>
      <c r="QV101" s="37"/>
      <c r="QW101" s="37"/>
      <c r="QX101" s="37"/>
      <c r="QY101" s="37"/>
      <c r="QZ101" s="37"/>
      <c r="RA101" s="37"/>
      <c r="RB101" s="37"/>
      <c r="RC101" s="37"/>
      <c r="RD101" s="37"/>
      <c r="RE101" s="37"/>
      <c r="RF101" s="37"/>
      <c r="RG101" s="37"/>
      <c r="RH101" s="37"/>
      <c r="RI101" s="37"/>
      <c r="RJ101" s="37"/>
      <c r="RK101" s="37"/>
      <c r="RL101" s="37"/>
      <c r="RM101" s="37"/>
      <c r="RN101" s="37"/>
      <c r="RO101" s="37"/>
      <c r="RP101" s="37"/>
      <c r="RQ101" s="37"/>
      <c r="RR101" s="37"/>
      <c r="RS101" s="37"/>
      <c r="RT101" s="37"/>
      <c r="RU101" s="37"/>
      <c r="RV101" s="37"/>
      <c r="RW101" s="37"/>
      <c r="RX101" s="37"/>
      <c r="RY101" s="37"/>
      <c r="RZ101" s="37"/>
      <c r="SA101" s="37"/>
      <c r="SB101" s="37"/>
      <c r="SC101" s="37"/>
      <c r="SD101" s="37"/>
      <c r="SE101" s="37"/>
      <c r="SF101" s="37"/>
      <c r="SG101" s="37"/>
      <c r="SH101" s="37"/>
      <c r="SI101" s="37"/>
      <c r="SJ101" s="37"/>
      <c r="SK101" s="37"/>
      <c r="SL101" s="37"/>
      <c r="SM101" s="37"/>
      <c r="SN101" s="37"/>
      <c r="SO101" s="37"/>
      <c r="SP101" s="37"/>
      <c r="SQ101" s="37"/>
      <c r="SR101" s="37"/>
      <c r="SS101" s="37"/>
      <c r="ST101" s="37"/>
      <c r="SU101" s="37"/>
      <c r="SV101" s="37"/>
      <c r="SW101" s="37"/>
      <c r="SX101" s="37"/>
      <c r="SY101" s="37"/>
      <c r="SZ101" s="37"/>
      <c r="TA101" s="37"/>
      <c r="TB101" s="37"/>
      <c r="TC101" s="37"/>
      <c r="TD101" s="37"/>
      <c r="TE101" s="37"/>
      <c r="TF101" s="37"/>
      <c r="TG101" s="37"/>
      <c r="TH101" s="37"/>
      <c r="TI101" s="37"/>
      <c r="TJ101" s="37"/>
      <c r="TK101" s="37"/>
      <c r="TL101" s="37"/>
      <c r="TM101" s="37"/>
      <c r="TN101" s="37"/>
      <c r="TO101" s="37"/>
      <c r="TP101" s="37"/>
      <c r="TQ101" s="37"/>
      <c r="TR101" s="37"/>
      <c r="TS101" s="37"/>
      <c r="TT101" s="37"/>
      <c r="TU101" s="37"/>
      <c r="TV101" s="37"/>
      <c r="TW101" s="37"/>
      <c r="TX101" s="37"/>
      <c r="TY101" s="37"/>
      <c r="TZ101" s="37"/>
      <c r="UA101" s="37"/>
      <c r="UB101" s="37"/>
      <c r="UC101" s="37"/>
      <c r="UD101" s="37"/>
      <c r="UE101" s="37"/>
      <c r="UF101" s="37"/>
      <c r="UG101" s="37"/>
      <c r="UH101" s="37"/>
      <c r="UI101" s="37"/>
      <c r="UJ101" s="37"/>
      <c r="UK101" s="37"/>
      <c r="UL101" s="37"/>
      <c r="UM101" s="37"/>
      <c r="UN101" s="37"/>
      <c r="UO101" s="37"/>
      <c r="UP101" s="37"/>
      <c r="UQ101" s="37"/>
      <c r="UR101" s="37"/>
      <c r="US101" s="37"/>
      <c r="UT101" s="37"/>
      <c r="UU101" s="37"/>
      <c r="UV101" s="37"/>
      <c r="UW101" s="37"/>
      <c r="UX101" s="37"/>
      <c r="UY101" s="37"/>
      <c r="UZ101" s="37"/>
      <c r="VA101" s="37"/>
      <c r="VB101" s="37"/>
      <c r="VC101" s="37"/>
      <c r="VD101" s="37"/>
      <c r="VE101" s="37"/>
      <c r="VF101" s="37"/>
      <c r="VG101" s="37"/>
      <c r="VH101" s="37"/>
      <c r="VI101" s="37"/>
      <c r="VJ101" s="37"/>
      <c r="VK101" s="37"/>
      <c r="VL101" s="37"/>
      <c r="VM101" s="37"/>
      <c r="VN101" s="37"/>
      <c r="VO101" s="37"/>
      <c r="VP101" s="37"/>
      <c r="VQ101" s="37"/>
      <c r="VR101" s="37"/>
      <c r="VS101" s="37"/>
      <c r="VT101" s="37"/>
      <c r="VU101" s="37"/>
      <c r="VV101" s="37"/>
      <c r="VW101" s="37"/>
      <c r="VX101" s="37"/>
      <c r="VY101" s="37"/>
      <c r="VZ101" s="37"/>
      <c r="WA101" s="37"/>
      <c r="WB101" s="37"/>
      <c r="WC101" s="37"/>
      <c r="WD101" s="37"/>
      <c r="WE101" s="37"/>
      <c r="WF101" s="37"/>
      <c r="WG101" s="37"/>
      <c r="WH101" s="37"/>
      <c r="WI101" s="37"/>
      <c r="WJ101" s="37"/>
      <c r="WK101" s="37"/>
      <c r="WL101" s="37"/>
      <c r="WM101" s="37"/>
      <c r="WN101" s="37"/>
      <c r="WO101" s="37"/>
      <c r="WP101" s="37"/>
      <c r="WQ101" s="37"/>
      <c r="WR101" s="37"/>
      <c r="WS101" s="37"/>
      <c r="WT101" s="37"/>
      <c r="WU101" s="37"/>
      <c r="WV101" s="37"/>
      <c r="WW101" s="37"/>
      <c r="WX101" s="37"/>
      <c r="WY101" s="37"/>
      <c r="WZ101" s="37"/>
      <c r="XA101" s="37"/>
      <c r="XB101" s="37"/>
      <c r="XC101" s="37"/>
      <c r="XD101" s="37"/>
      <c r="XE101" s="37"/>
      <c r="XF101" s="37"/>
      <c r="XG101" s="37"/>
      <c r="XH101" s="37"/>
      <c r="XI101" s="37"/>
      <c r="XJ101" s="37"/>
      <c r="XK101" s="37"/>
      <c r="XL101" s="37"/>
      <c r="XM101" s="37"/>
      <c r="XN101" s="37"/>
      <c r="XO101" s="37"/>
      <c r="XP101" s="37"/>
      <c r="XQ101" s="37"/>
      <c r="XR101" s="37"/>
      <c r="XS101" s="37"/>
      <c r="XT101" s="37"/>
      <c r="XU101" s="37"/>
      <c r="XV101" s="37"/>
      <c r="XW101" s="37"/>
      <c r="XX101" s="37"/>
      <c r="XY101" s="37"/>
      <c r="XZ101" s="37"/>
      <c r="YA101" s="37"/>
      <c r="YB101" s="37"/>
      <c r="YC101" s="37"/>
      <c r="YD101" s="37"/>
      <c r="YE101" s="37"/>
      <c r="YF101" s="37"/>
      <c r="YG101" s="37"/>
      <c r="YH101" s="37"/>
      <c r="YI101" s="37"/>
      <c r="YJ101" s="37"/>
      <c r="YK101" s="37"/>
      <c r="YL101" s="37"/>
      <c r="YM101" s="37"/>
      <c r="YN101" s="37"/>
      <c r="YO101" s="37"/>
      <c r="YP101" s="37"/>
      <c r="YQ101" s="37"/>
      <c r="YR101" s="37"/>
      <c r="YS101" s="37"/>
      <c r="YT101" s="37"/>
      <c r="YU101" s="37"/>
      <c r="YV101" s="37"/>
      <c r="YW101" s="37"/>
      <c r="YX101" s="37"/>
      <c r="YY101" s="37"/>
      <c r="YZ101" s="37"/>
      <c r="ZA101" s="37"/>
      <c r="ZB101" s="37"/>
      <c r="ZC101" s="37"/>
      <c r="ZD101" s="37"/>
      <c r="ZE101" s="37"/>
      <c r="ZF101" s="37"/>
      <c r="ZG101" s="37"/>
      <c r="ZH101" s="37"/>
      <c r="ZI101" s="37"/>
      <c r="ZJ101" s="37"/>
      <c r="ZK101" s="37"/>
      <c r="ZL101" s="37"/>
      <c r="ZM101" s="37"/>
      <c r="ZN101" s="37"/>
      <c r="ZO101" s="37"/>
      <c r="ZP101" s="37"/>
      <c r="ZQ101" s="37"/>
      <c r="ZR101" s="37"/>
      <c r="ZS101" s="37"/>
      <c r="ZT101" s="37"/>
      <c r="ZU101" s="37"/>
      <c r="ZV101" s="37"/>
      <c r="ZW101" s="37"/>
      <c r="ZX101" s="37"/>
      <c r="ZY101" s="37"/>
      <c r="ZZ101" s="37"/>
      <c r="AAA101" s="37"/>
      <c r="AAB101" s="37"/>
      <c r="AAC101" s="37"/>
      <c r="AAD101" s="37"/>
      <c r="AAE101" s="37"/>
      <c r="AAF101" s="37"/>
      <c r="AAG101" s="37"/>
      <c r="AAH101" s="37"/>
      <c r="AAI101" s="37"/>
      <c r="AAJ101" s="37"/>
      <c r="AAK101" s="37"/>
      <c r="AAL101" s="37"/>
      <c r="AAM101" s="37"/>
      <c r="AAN101" s="37"/>
      <c r="AAO101" s="37"/>
      <c r="AAP101" s="37"/>
      <c r="AAQ101" s="37"/>
      <c r="AAR101" s="37"/>
      <c r="AAS101" s="37"/>
      <c r="AAT101" s="37"/>
      <c r="AAU101" s="37"/>
      <c r="AAV101" s="37"/>
      <c r="AAW101" s="37"/>
      <c r="AAX101" s="37"/>
      <c r="AAY101" s="37"/>
      <c r="AAZ101" s="37"/>
      <c r="ABA101" s="37"/>
      <c r="ABB101" s="37"/>
      <c r="ABC101" s="37"/>
      <c r="ABD101" s="37"/>
      <c r="ABE101" s="37"/>
      <c r="ABF101" s="37"/>
      <c r="ABG101" s="37"/>
      <c r="ABH101" s="37"/>
      <c r="ABI101" s="37"/>
      <c r="ABJ101" s="37"/>
      <c r="ABK101" s="37"/>
      <c r="ABL101" s="37"/>
      <c r="ABM101" s="37"/>
      <c r="ABN101" s="37"/>
      <c r="ABO101" s="37"/>
      <c r="ABP101" s="37"/>
      <c r="ABQ101" s="37"/>
      <c r="ABR101" s="37"/>
      <c r="ABS101" s="37"/>
      <c r="ABT101" s="37"/>
      <c r="ABU101" s="37"/>
      <c r="ABV101" s="37"/>
      <c r="ABW101" s="37"/>
      <c r="ABX101" s="37"/>
      <c r="ABY101" s="37"/>
      <c r="ABZ101" s="37"/>
      <c r="ACA101" s="37"/>
      <c r="ACB101" s="37"/>
      <c r="ACC101" s="37"/>
      <c r="ACD101" s="37"/>
      <c r="ACE101" s="37"/>
      <c r="ACF101" s="37"/>
      <c r="ACG101" s="37"/>
      <c r="ACH101" s="37"/>
      <c r="ACI101" s="37"/>
      <c r="ACJ101" s="37"/>
      <c r="ACK101" s="37"/>
      <c r="ACL101" s="37"/>
      <c r="ACM101" s="37"/>
      <c r="ACN101" s="37"/>
      <c r="ACO101" s="37"/>
      <c r="ACP101" s="37"/>
      <c r="ACQ101" s="37"/>
      <c r="ACR101" s="37"/>
      <c r="ACS101" s="37"/>
      <c r="ACT101" s="37"/>
      <c r="ACU101" s="37"/>
      <c r="ACV101" s="37"/>
      <c r="ACW101" s="37"/>
      <c r="ACX101" s="37"/>
      <c r="ACY101" s="37"/>
      <c r="ACZ101" s="37"/>
      <c r="ADA101" s="37"/>
      <c r="ADB101" s="37"/>
      <c r="ADC101" s="37"/>
      <c r="ADD101" s="37"/>
      <c r="ADE101" s="37"/>
      <c r="ADF101" s="37"/>
      <c r="ADG101" s="37"/>
      <c r="ADH101" s="37"/>
      <c r="ADI101" s="37"/>
      <c r="ADJ101" s="37"/>
      <c r="ADK101" s="37"/>
      <c r="ADL101" s="37"/>
      <c r="ADM101" s="37"/>
      <c r="ADN101" s="37"/>
      <c r="ADO101" s="37"/>
      <c r="ADP101" s="37"/>
      <c r="ADQ101" s="37"/>
      <c r="ADR101" s="37"/>
      <c r="ADS101" s="37"/>
      <c r="ADT101" s="37"/>
      <c r="ADU101" s="37"/>
      <c r="ADV101" s="37"/>
      <c r="ADW101" s="37"/>
      <c r="ADX101" s="37"/>
      <c r="ADY101" s="37"/>
      <c r="ADZ101" s="37"/>
      <c r="AEA101" s="37"/>
      <c r="AEB101" s="37"/>
      <c r="AEC101" s="37"/>
      <c r="AED101" s="37"/>
      <c r="AEE101" s="37"/>
      <c r="AEF101" s="37"/>
      <c r="AEG101" s="37"/>
      <c r="AEH101" s="37"/>
      <c r="AEI101" s="37"/>
      <c r="AEJ101" s="37"/>
      <c r="AEK101" s="37"/>
      <c r="AEL101" s="37"/>
      <c r="AEM101" s="37"/>
      <c r="AEN101" s="37"/>
      <c r="AEO101" s="37"/>
      <c r="AEP101" s="37"/>
      <c r="AEQ101" s="37"/>
      <c r="AER101" s="37"/>
      <c r="AES101" s="37"/>
      <c r="AET101" s="37"/>
      <c r="AEU101" s="37"/>
      <c r="AEV101" s="37"/>
      <c r="AEW101" s="37"/>
      <c r="AEX101" s="37"/>
      <c r="AEY101" s="37"/>
      <c r="AEZ101" s="37"/>
      <c r="AFA101" s="37"/>
      <c r="AFB101" s="37"/>
      <c r="AFC101" s="37"/>
      <c r="AFD101" s="37"/>
      <c r="AFE101" s="37"/>
      <c r="AFF101" s="37"/>
      <c r="AFG101" s="37"/>
      <c r="AFH101" s="37"/>
      <c r="AFI101" s="37"/>
      <c r="AFJ101" s="37"/>
      <c r="AFK101" s="37"/>
      <c r="AFL101" s="37"/>
      <c r="AFM101" s="37"/>
      <c r="AFN101" s="37"/>
      <c r="AFO101" s="37"/>
      <c r="AFP101" s="37"/>
      <c r="AFQ101" s="37"/>
      <c r="AFR101" s="37"/>
      <c r="AFS101" s="37"/>
      <c r="AFT101" s="37"/>
      <c r="AFU101" s="37"/>
      <c r="AFV101" s="37"/>
      <c r="AFW101" s="37"/>
      <c r="AFX101" s="37"/>
      <c r="AFY101" s="37"/>
      <c r="AFZ101" s="37"/>
      <c r="AGA101" s="37"/>
      <c r="AGB101" s="37"/>
      <c r="AGC101" s="37"/>
      <c r="AGD101" s="37"/>
      <c r="AGE101" s="37"/>
      <c r="AGF101" s="37"/>
      <c r="AGG101" s="37"/>
      <c r="AGH101" s="37"/>
      <c r="AGI101" s="37"/>
      <c r="AGJ101" s="37"/>
      <c r="AGK101" s="37"/>
      <c r="AGL101" s="37"/>
      <c r="AGM101" s="37"/>
      <c r="AGN101" s="37"/>
      <c r="AGO101" s="37"/>
      <c r="AGP101" s="37"/>
      <c r="AGQ101" s="37"/>
      <c r="AGR101" s="37"/>
      <c r="AGS101" s="37"/>
      <c r="AGT101" s="37"/>
      <c r="AGU101" s="37"/>
      <c r="AGV101" s="37"/>
      <c r="AGW101" s="37"/>
      <c r="AGX101" s="37"/>
      <c r="AGY101" s="37"/>
      <c r="AGZ101" s="37"/>
      <c r="AHA101" s="37"/>
      <c r="AHB101" s="37"/>
      <c r="AHC101" s="37"/>
      <c r="AHD101" s="37"/>
      <c r="AHE101" s="37"/>
      <c r="AHF101" s="37"/>
      <c r="AHG101" s="37"/>
      <c r="AHH101" s="37"/>
      <c r="AHI101" s="37"/>
      <c r="AHJ101" s="37"/>
      <c r="AHK101" s="37"/>
      <c r="AHL101" s="37"/>
      <c r="AHM101" s="37"/>
      <c r="AHN101" s="37"/>
      <c r="AHO101" s="37"/>
      <c r="AHP101" s="37"/>
      <c r="AHQ101" s="37"/>
      <c r="AHR101" s="37"/>
      <c r="AHS101" s="37"/>
      <c r="AHT101" s="37"/>
      <c r="AHU101" s="37"/>
      <c r="AHV101" s="37"/>
      <c r="AHW101" s="37"/>
      <c r="AHX101" s="37"/>
      <c r="AHY101" s="37"/>
      <c r="AHZ101" s="37"/>
      <c r="AIA101" s="37"/>
      <c r="AIB101" s="37"/>
      <c r="AIC101" s="37"/>
      <c r="AID101" s="37"/>
      <c r="AIE101" s="37"/>
      <c r="AIF101" s="37"/>
      <c r="AIG101" s="37"/>
      <c r="AIH101" s="37"/>
      <c r="AII101" s="37"/>
      <c r="AIJ101" s="37"/>
      <c r="AIK101" s="37"/>
      <c r="AIL101" s="37"/>
      <c r="AIM101" s="37"/>
      <c r="AIN101" s="37"/>
      <c r="AIO101" s="37"/>
      <c r="AIP101" s="37"/>
      <c r="AIQ101" s="37"/>
      <c r="AIR101" s="37"/>
      <c r="AIS101" s="37"/>
      <c r="AIT101" s="37"/>
      <c r="AIU101" s="37"/>
      <c r="AIV101" s="37"/>
      <c r="AIW101" s="37"/>
      <c r="AIX101" s="37"/>
      <c r="AIY101" s="37"/>
      <c r="AIZ101" s="37"/>
      <c r="AJA101" s="37"/>
      <c r="AJB101" s="37"/>
      <c r="AJC101" s="37"/>
      <c r="AJD101" s="37"/>
      <c r="AJE101" s="37"/>
      <c r="AJF101" s="37"/>
      <c r="AJG101" s="37"/>
      <c r="AJH101" s="37"/>
      <c r="AJI101" s="37"/>
      <c r="AJJ101" s="37"/>
      <c r="AJK101" s="37"/>
      <c r="AJL101" s="37"/>
      <c r="AJM101" s="37"/>
      <c r="AJN101" s="37"/>
      <c r="AJO101" s="37"/>
      <c r="AJP101" s="37"/>
      <c r="AJQ101" s="37"/>
      <c r="AJR101" s="37"/>
      <c r="AJS101" s="37"/>
      <c r="AJT101" s="37"/>
      <c r="AJU101" s="37"/>
      <c r="AJV101" s="37"/>
      <c r="AJW101" s="37"/>
      <c r="AJX101" s="37"/>
      <c r="AJY101" s="37"/>
      <c r="AJZ101" s="37"/>
      <c r="AKA101" s="37"/>
      <c r="AKB101" s="37"/>
      <c r="AKC101" s="37"/>
      <c r="AKD101" s="37"/>
      <c r="AKE101" s="37"/>
      <c r="AKF101" s="37"/>
      <c r="AKG101" s="37"/>
      <c r="AKH101" s="37"/>
      <c r="AKI101" s="37"/>
      <c r="AKJ101" s="37"/>
      <c r="AKK101" s="37"/>
      <c r="AKL101" s="37"/>
      <c r="AKM101" s="37"/>
      <c r="AKN101" s="37"/>
      <c r="AKO101" s="37"/>
      <c r="AKP101" s="37"/>
      <c r="AKQ101" s="37"/>
      <c r="AKR101" s="37"/>
      <c r="AKS101" s="37"/>
      <c r="AKT101" s="37"/>
      <c r="AKU101" s="37"/>
      <c r="AKV101" s="37"/>
      <c r="AKW101" s="37"/>
      <c r="AKX101" s="37"/>
      <c r="AKY101" s="37"/>
      <c r="AKZ101" s="37"/>
      <c r="ALA101" s="37"/>
      <c r="ALB101" s="37"/>
      <c r="ALC101" s="37"/>
      <c r="ALD101" s="37"/>
      <c r="ALE101" s="37"/>
      <c r="ALF101" s="37"/>
      <c r="ALG101" s="37"/>
      <c r="ALH101" s="37"/>
      <c r="ALI101" s="37"/>
      <c r="ALJ101" s="37"/>
      <c r="ALK101" s="37"/>
      <c r="ALL101" s="37"/>
      <c r="ALM101" s="37"/>
      <c r="ALN101" s="37"/>
      <c r="ALO101" s="37"/>
      <c r="ALP101" s="37"/>
      <c r="ALQ101" s="37"/>
      <c r="ALR101" s="37"/>
      <c r="ALS101" s="37"/>
      <c r="ALT101" s="37"/>
      <c r="ALU101" s="37"/>
      <c r="ALV101" s="37"/>
      <c r="ALW101" s="37"/>
      <c r="ALX101" s="37"/>
      <c r="ALY101" s="37"/>
      <c r="ALZ101" s="37"/>
      <c r="AMA101" s="37"/>
      <c r="AMB101" s="37"/>
      <c r="AMC101" s="37"/>
    </row>
    <row r="102" spans="1:1017" s="38" customFormat="1" ht="19.5" customHeight="1">
      <c r="A102" s="72"/>
      <c r="B102" s="73"/>
      <c r="C102" s="72"/>
      <c r="D102" s="72"/>
      <c r="E102" s="72"/>
      <c r="F102" s="72"/>
      <c r="G102" s="35">
        <v>41</v>
      </c>
      <c r="H102" s="35">
        <v>102</v>
      </c>
      <c r="I102" s="35">
        <v>116</v>
      </c>
      <c r="J102" s="35">
        <v>71</v>
      </c>
      <c r="K102" s="35">
        <v>37</v>
      </c>
      <c r="L102" s="35">
        <v>27</v>
      </c>
      <c r="M102" s="35">
        <v>22</v>
      </c>
      <c r="N102" s="35">
        <v>101</v>
      </c>
      <c r="O102" s="74">
        <v>5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  <c r="OU102" s="37"/>
      <c r="OV102" s="37"/>
      <c r="OW102" s="37"/>
      <c r="OX102" s="37"/>
      <c r="OY102" s="37"/>
      <c r="OZ102" s="37"/>
      <c r="PA102" s="37"/>
      <c r="PB102" s="37"/>
      <c r="PC102" s="37"/>
      <c r="PD102" s="37"/>
      <c r="PE102" s="37"/>
      <c r="PF102" s="37"/>
      <c r="PG102" s="37"/>
      <c r="PH102" s="37"/>
      <c r="PI102" s="37"/>
      <c r="PJ102" s="37"/>
      <c r="PK102" s="37"/>
      <c r="PL102" s="37"/>
      <c r="PM102" s="37"/>
      <c r="PN102" s="37"/>
      <c r="PO102" s="37"/>
      <c r="PP102" s="37"/>
      <c r="PQ102" s="37"/>
      <c r="PR102" s="37"/>
      <c r="PS102" s="37"/>
      <c r="PT102" s="37"/>
      <c r="PU102" s="37"/>
      <c r="PV102" s="37"/>
      <c r="PW102" s="37"/>
      <c r="PX102" s="37"/>
      <c r="PY102" s="37"/>
      <c r="PZ102" s="37"/>
      <c r="QA102" s="37"/>
      <c r="QB102" s="37"/>
      <c r="QC102" s="37"/>
      <c r="QD102" s="37"/>
      <c r="QE102" s="37"/>
      <c r="QF102" s="37"/>
      <c r="QG102" s="37"/>
      <c r="QH102" s="37"/>
      <c r="QI102" s="37"/>
      <c r="QJ102" s="37"/>
      <c r="QK102" s="37"/>
      <c r="QL102" s="37"/>
      <c r="QM102" s="37"/>
      <c r="QN102" s="37"/>
      <c r="QO102" s="37"/>
      <c r="QP102" s="37"/>
      <c r="QQ102" s="37"/>
      <c r="QR102" s="37"/>
      <c r="QS102" s="37"/>
      <c r="QT102" s="37"/>
      <c r="QU102" s="37"/>
      <c r="QV102" s="37"/>
      <c r="QW102" s="37"/>
      <c r="QX102" s="37"/>
      <c r="QY102" s="37"/>
      <c r="QZ102" s="37"/>
      <c r="RA102" s="37"/>
      <c r="RB102" s="37"/>
      <c r="RC102" s="37"/>
      <c r="RD102" s="37"/>
      <c r="RE102" s="37"/>
      <c r="RF102" s="37"/>
      <c r="RG102" s="37"/>
      <c r="RH102" s="37"/>
      <c r="RI102" s="37"/>
      <c r="RJ102" s="37"/>
      <c r="RK102" s="37"/>
      <c r="RL102" s="37"/>
      <c r="RM102" s="37"/>
      <c r="RN102" s="37"/>
      <c r="RO102" s="37"/>
      <c r="RP102" s="37"/>
      <c r="RQ102" s="37"/>
      <c r="RR102" s="37"/>
      <c r="RS102" s="37"/>
      <c r="RT102" s="37"/>
      <c r="RU102" s="37"/>
      <c r="RV102" s="37"/>
      <c r="RW102" s="37"/>
      <c r="RX102" s="37"/>
      <c r="RY102" s="37"/>
      <c r="RZ102" s="37"/>
      <c r="SA102" s="37"/>
      <c r="SB102" s="37"/>
      <c r="SC102" s="37"/>
      <c r="SD102" s="37"/>
      <c r="SE102" s="37"/>
      <c r="SF102" s="37"/>
      <c r="SG102" s="37"/>
      <c r="SH102" s="37"/>
      <c r="SI102" s="37"/>
      <c r="SJ102" s="37"/>
      <c r="SK102" s="37"/>
      <c r="SL102" s="37"/>
      <c r="SM102" s="37"/>
      <c r="SN102" s="37"/>
      <c r="SO102" s="37"/>
      <c r="SP102" s="37"/>
      <c r="SQ102" s="37"/>
      <c r="SR102" s="37"/>
      <c r="SS102" s="37"/>
      <c r="ST102" s="37"/>
      <c r="SU102" s="37"/>
      <c r="SV102" s="37"/>
      <c r="SW102" s="37"/>
      <c r="SX102" s="37"/>
      <c r="SY102" s="37"/>
      <c r="SZ102" s="37"/>
      <c r="TA102" s="37"/>
      <c r="TB102" s="37"/>
      <c r="TC102" s="37"/>
      <c r="TD102" s="37"/>
      <c r="TE102" s="37"/>
      <c r="TF102" s="37"/>
      <c r="TG102" s="37"/>
      <c r="TH102" s="37"/>
      <c r="TI102" s="37"/>
      <c r="TJ102" s="37"/>
      <c r="TK102" s="37"/>
      <c r="TL102" s="37"/>
      <c r="TM102" s="37"/>
      <c r="TN102" s="37"/>
      <c r="TO102" s="37"/>
      <c r="TP102" s="37"/>
      <c r="TQ102" s="37"/>
      <c r="TR102" s="37"/>
      <c r="TS102" s="37"/>
      <c r="TT102" s="37"/>
      <c r="TU102" s="37"/>
      <c r="TV102" s="37"/>
      <c r="TW102" s="37"/>
      <c r="TX102" s="37"/>
      <c r="TY102" s="37"/>
      <c r="TZ102" s="37"/>
      <c r="UA102" s="37"/>
      <c r="UB102" s="37"/>
      <c r="UC102" s="37"/>
      <c r="UD102" s="37"/>
      <c r="UE102" s="37"/>
      <c r="UF102" s="37"/>
      <c r="UG102" s="37"/>
      <c r="UH102" s="37"/>
      <c r="UI102" s="37"/>
      <c r="UJ102" s="37"/>
      <c r="UK102" s="37"/>
      <c r="UL102" s="37"/>
      <c r="UM102" s="37"/>
      <c r="UN102" s="37"/>
      <c r="UO102" s="37"/>
      <c r="UP102" s="37"/>
      <c r="UQ102" s="37"/>
      <c r="UR102" s="37"/>
      <c r="US102" s="37"/>
      <c r="UT102" s="37"/>
      <c r="UU102" s="37"/>
      <c r="UV102" s="37"/>
      <c r="UW102" s="37"/>
      <c r="UX102" s="37"/>
      <c r="UY102" s="37"/>
      <c r="UZ102" s="37"/>
      <c r="VA102" s="37"/>
      <c r="VB102" s="37"/>
      <c r="VC102" s="37"/>
      <c r="VD102" s="37"/>
      <c r="VE102" s="37"/>
      <c r="VF102" s="37"/>
      <c r="VG102" s="37"/>
      <c r="VH102" s="37"/>
      <c r="VI102" s="37"/>
      <c r="VJ102" s="37"/>
      <c r="VK102" s="37"/>
      <c r="VL102" s="37"/>
      <c r="VM102" s="37"/>
      <c r="VN102" s="37"/>
      <c r="VO102" s="37"/>
      <c r="VP102" s="37"/>
      <c r="VQ102" s="37"/>
      <c r="VR102" s="37"/>
      <c r="VS102" s="37"/>
      <c r="VT102" s="37"/>
      <c r="VU102" s="37"/>
      <c r="VV102" s="37"/>
      <c r="VW102" s="37"/>
      <c r="VX102" s="37"/>
      <c r="VY102" s="37"/>
      <c r="VZ102" s="37"/>
      <c r="WA102" s="37"/>
      <c r="WB102" s="37"/>
      <c r="WC102" s="37"/>
      <c r="WD102" s="37"/>
      <c r="WE102" s="37"/>
      <c r="WF102" s="37"/>
      <c r="WG102" s="37"/>
      <c r="WH102" s="37"/>
      <c r="WI102" s="37"/>
      <c r="WJ102" s="37"/>
      <c r="WK102" s="37"/>
      <c r="WL102" s="37"/>
      <c r="WM102" s="37"/>
      <c r="WN102" s="37"/>
      <c r="WO102" s="37"/>
      <c r="WP102" s="37"/>
      <c r="WQ102" s="37"/>
      <c r="WR102" s="37"/>
      <c r="WS102" s="37"/>
      <c r="WT102" s="37"/>
      <c r="WU102" s="37"/>
      <c r="WV102" s="37"/>
      <c r="WW102" s="37"/>
      <c r="WX102" s="37"/>
      <c r="WY102" s="37"/>
      <c r="WZ102" s="37"/>
      <c r="XA102" s="37"/>
      <c r="XB102" s="37"/>
      <c r="XC102" s="37"/>
      <c r="XD102" s="37"/>
      <c r="XE102" s="37"/>
      <c r="XF102" s="37"/>
      <c r="XG102" s="37"/>
      <c r="XH102" s="37"/>
      <c r="XI102" s="37"/>
      <c r="XJ102" s="37"/>
      <c r="XK102" s="37"/>
      <c r="XL102" s="37"/>
      <c r="XM102" s="37"/>
      <c r="XN102" s="37"/>
      <c r="XO102" s="37"/>
      <c r="XP102" s="37"/>
      <c r="XQ102" s="37"/>
      <c r="XR102" s="37"/>
      <c r="XS102" s="37"/>
      <c r="XT102" s="37"/>
      <c r="XU102" s="37"/>
      <c r="XV102" s="37"/>
      <c r="XW102" s="37"/>
      <c r="XX102" s="37"/>
      <c r="XY102" s="37"/>
      <c r="XZ102" s="37"/>
      <c r="YA102" s="37"/>
      <c r="YB102" s="37"/>
      <c r="YC102" s="37"/>
      <c r="YD102" s="37"/>
      <c r="YE102" s="37"/>
      <c r="YF102" s="37"/>
      <c r="YG102" s="37"/>
      <c r="YH102" s="37"/>
      <c r="YI102" s="37"/>
      <c r="YJ102" s="37"/>
      <c r="YK102" s="37"/>
      <c r="YL102" s="37"/>
      <c r="YM102" s="37"/>
      <c r="YN102" s="37"/>
      <c r="YO102" s="37"/>
      <c r="YP102" s="37"/>
      <c r="YQ102" s="37"/>
      <c r="YR102" s="37"/>
      <c r="YS102" s="37"/>
      <c r="YT102" s="37"/>
      <c r="YU102" s="37"/>
      <c r="YV102" s="37"/>
      <c r="YW102" s="37"/>
      <c r="YX102" s="37"/>
      <c r="YY102" s="37"/>
      <c r="YZ102" s="37"/>
      <c r="ZA102" s="37"/>
      <c r="ZB102" s="37"/>
      <c r="ZC102" s="37"/>
      <c r="ZD102" s="37"/>
      <c r="ZE102" s="37"/>
      <c r="ZF102" s="37"/>
      <c r="ZG102" s="37"/>
      <c r="ZH102" s="37"/>
      <c r="ZI102" s="37"/>
      <c r="ZJ102" s="37"/>
      <c r="ZK102" s="37"/>
      <c r="ZL102" s="37"/>
      <c r="ZM102" s="37"/>
      <c r="ZN102" s="37"/>
      <c r="ZO102" s="37"/>
      <c r="ZP102" s="37"/>
      <c r="ZQ102" s="37"/>
      <c r="ZR102" s="37"/>
      <c r="ZS102" s="37"/>
      <c r="ZT102" s="37"/>
      <c r="ZU102" s="37"/>
      <c r="ZV102" s="37"/>
      <c r="ZW102" s="37"/>
      <c r="ZX102" s="37"/>
      <c r="ZY102" s="37"/>
      <c r="ZZ102" s="37"/>
      <c r="AAA102" s="37"/>
      <c r="AAB102" s="37"/>
      <c r="AAC102" s="37"/>
      <c r="AAD102" s="37"/>
      <c r="AAE102" s="37"/>
      <c r="AAF102" s="37"/>
      <c r="AAG102" s="37"/>
      <c r="AAH102" s="37"/>
      <c r="AAI102" s="37"/>
      <c r="AAJ102" s="37"/>
      <c r="AAK102" s="37"/>
      <c r="AAL102" s="37"/>
      <c r="AAM102" s="37"/>
      <c r="AAN102" s="37"/>
      <c r="AAO102" s="37"/>
      <c r="AAP102" s="37"/>
      <c r="AAQ102" s="37"/>
      <c r="AAR102" s="37"/>
      <c r="AAS102" s="37"/>
      <c r="AAT102" s="37"/>
      <c r="AAU102" s="37"/>
      <c r="AAV102" s="37"/>
      <c r="AAW102" s="37"/>
      <c r="AAX102" s="37"/>
      <c r="AAY102" s="37"/>
      <c r="AAZ102" s="37"/>
      <c r="ABA102" s="37"/>
      <c r="ABB102" s="37"/>
      <c r="ABC102" s="37"/>
      <c r="ABD102" s="37"/>
      <c r="ABE102" s="37"/>
      <c r="ABF102" s="37"/>
      <c r="ABG102" s="37"/>
      <c r="ABH102" s="37"/>
      <c r="ABI102" s="37"/>
      <c r="ABJ102" s="37"/>
      <c r="ABK102" s="37"/>
      <c r="ABL102" s="37"/>
      <c r="ABM102" s="37"/>
      <c r="ABN102" s="37"/>
      <c r="ABO102" s="37"/>
      <c r="ABP102" s="37"/>
      <c r="ABQ102" s="37"/>
      <c r="ABR102" s="37"/>
      <c r="ABS102" s="37"/>
      <c r="ABT102" s="37"/>
      <c r="ABU102" s="37"/>
      <c r="ABV102" s="37"/>
      <c r="ABW102" s="37"/>
      <c r="ABX102" s="37"/>
      <c r="ABY102" s="37"/>
      <c r="ABZ102" s="37"/>
      <c r="ACA102" s="37"/>
      <c r="ACB102" s="37"/>
      <c r="ACC102" s="37"/>
      <c r="ACD102" s="37"/>
      <c r="ACE102" s="37"/>
      <c r="ACF102" s="37"/>
      <c r="ACG102" s="37"/>
      <c r="ACH102" s="37"/>
      <c r="ACI102" s="37"/>
      <c r="ACJ102" s="37"/>
      <c r="ACK102" s="37"/>
      <c r="ACL102" s="37"/>
      <c r="ACM102" s="37"/>
      <c r="ACN102" s="37"/>
      <c r="ACO102" s="37"/>
      <c r="ACP102" s="37"/>
      <c r="ACQ102" s="37"/>
      <c r="ACR102" s="37"/>
      <c r="ACS102" s="37"/>
      <c r="ACT102" s="37"/>
      <c r="ACU102" s="37"/>
      <c r="ACV102" s="37"/>
      <c r="ACW102" s="37"/>
      <c r="ACX102" s="37"/>
      <c r="ACY102" s="37"/>
      <c r="ACZ102" s="37"/>
      <c r="ADA102" s="37"/>
      <c r="ADB102" s="37"/>
      <c r="ADC102" s="37"/>
      <c r="ADD102" s="37"/>
      <c r="ADE102" s="37"/>
      <c r="ADF102" s="37"/>
      <c r="ADG102" s="37"/>
      <c r="ADH102" s="37"/>
      <c r="ADI102" s="37"/>
      <c r="ADJ102" s="37"/>
      <c r="ADK102" s="37"/>
      <c r="ADL102" s="37"/>
      <c r="ADM102" s="37"/>
      <c r="ADN102" s="37"/>
      <c r="ADO102" s="37"/>
      <c r="ADP102" s="37"/>
      <c r="ADQ102" s="37"/>
      <c r="ADR102" s="37"/>
      <c r="ADS102" s="37"/>
      <c r="ADT102" s="37"/>
      <c r="ADU102" s="37"/>
      <c r="ADV102" s="37"/>
      <c r="ADW102" s="37"/>
      <c r="ADX102" s="37"/>
      <c r="ADY102" s="37"/>
      <c r="ADZ102" s="37"/>
      <c r="AEA102" s="37"/>
      <c r="AEB102" s="37"/>
      <c r="AEC102" s="37"/>
      <c r="AED102" s="37"/>
      <c r="AEE102" s="37"/>
      <c r="AEF102" s="37"/>
      <c r="AEG102" s="37"/>
      <c r="AEH102" s="37"/>
      <c r="AEI102" s="37"/>
      <c r="AEJ102" s="37"/>
      <c r="AEK102" s="37"/>
      <c r="AEL102" s="37"/>
      <c r="AEM102" s="37"/>
      <c r="AEN102" s="37"/>
      <c r="AEO102" s="37"/>
      <c r="AEP102" s="37"/>
      <c r="AEQ102" s="37"/>
      <c r="AER102" s="37"/>
      <c r="AES102" s="37"/>
      <c r="AET102" s="37"/>
      <c r="AEU102" s="37"/>
      <c r="AEV102" s="37"/>
      <c r="AEW102" s="37"/>
      <c r="AEX102" s="37"/>
      <c r="AEY102" s="37"/>
      <c r="AEZ102" s="37"/>
      <c r="AFA102" s="37"/>
      <c r="AFB102" s="37"/>
      <c r="AFC102" s="37"/>
      <c r="AFD102" s="37"/>
      <c r="AFE102" s="37"/>
      <c r="AFF102" s="37"/>
      <c r="AFG102" s="37"/>
      <c r="AFH102" s="37"/>
      <c r="AFI102" s="37"/>
      <c r="AFJ102" s="37"/>
      <c r="AFK102" s="37"/>
      <c r="AFL102" s="37"/>
      <c r="AFM102" s="37"/>
      <c r="AFN102" s="37"/>
      <c r="AFO102" s="37"/>
      <c r="AFP102" s="37"/>
      <c r="AFQ102" s="37"/>
      <c r="AFR102" s="37"/>
      <c r="AFS102" s="37"/>
      <c r="AFT102" s="37"/>
      <c r="AFU102" s="37"/>
      <c r="AFV102" s="37"/>
      <c r="AFW102" s="37"/>
      <c r="AFX102" s="37"/>
      <c r="AFY102" s="37"/>
      <c r="AFZ102" s="37"/>
      <c r="AGA102" s="37"/>
      <c r="AGB102" s="37"/>
      <c r="AGC102" s="37"/>
      <c r="AGD102" s="37"/>
      <c r="AGE102" s="37"/>
      <c r="AGF102" s="37"/>
      <c r="AGG102" s="37"/>
      <c r="AGH102" s="37"/>
      <c r="AGI102" s="37"/>
      <c r="AGJ102" s="37"/>
      <c r="AGK102" s="37"/>
      <c r="AGL102" s="37"/>
      <c r="AGM102" s="37"/>
      <c r="AGN102" s="37"/>
      <c r="AGO102" s="37"/>
      <c r="AGP102" s="37"/>
      <c r="AGQ102" s="37"/>
      <c r="AGR102" s="37"/>
      <c r="AGS102" s="37"/>
      <c r="AGT102" s="37"/>
      <c r="AGU102" s="37"/>
      <c r="AGV102" s="37"/>
      <c r="AGW102" s="37"/>
      <c r="AGX102" s="37"/>
      <c r="AGY102" s="37"/>
      <c r="AGZ102" s="37"/>
      <c r="AHA102" s="37"/>
      <c r="AHB102" s="37"/>
      <c r="AHC102" s="37"/>
      <c r="AHD102" s="37"/>
      <c r="AHE102" s="37"/>
      <c r="AHF102" s="37"/>
      <c r="AHG102" s="37"/>
      <c r="AHH102" s="37"/>
      <c r="AHI102" s="37"/>
      <c r="AHJ102" s="37"/>
      <c r="AHK102" s="37"/>
      <c r="AHL102" s="37"/>
      <c r="AHM102" s="37"/>
      <c r="AHN102" s="37"/>
      <c r="AHO102" s="37"/>
      <c r="AHP102" s="37"/>
      <c r="AHQ102" s="37"/>
      <c r="AHR102" s="37"/>
      <c r="AHS102" s="37"/>
      <c r="AHT102" s="37"/>
      <c r="AHU102" s="37"/>
      <c r="AHV102" s="37"/>
      <c r="AHW102" s="37"/>
      <c r="AHX102" s="37"/>
      <c r="AHY102" s="37"/>
      <c r="AHZ102" s="37"/>
      <c r="AIA102" s="37"/>
      <c r="AIB102" s="37"/>
      <c r="AIC102" s="37"/>
      <c r="AID102" s="37"/>
      <c r="AIE102" s="37"/>
      <c r="AIF102" s="37"/>
      <c r="AIG102" s="37"/>
      <c r="AIH102" s="37"/>
      <c r="AII102" s="37"/>
      <c r="AIJ102" s="37"/>
      <c r="AIK102" s="37"/>
      <c r="AIL102" s="37"/>
      <c r="AIM102" s="37"/>
      <c r="AIN102" s="37"/>
      <c r="AIO102" s="37"/>
      <c r="AIP102" s="37"/>
      <c r="AIQ102" s="37"/>
      <c r="AIR102" s="37"/>
      <c r="AIS102" s="37"/>
      <c r="AIT102" s="37"/>
      <c r="AIU102" s="37"/>
      <c r="AIV102" s="37"/>
      <c r="AIW102" s="37"/>
      <c r="AIX102" s="37"/>
      <c r="AIY102" s="37"/>
      <c r="AIZ102" s="37"/>
      <c r="AJA102" s="37"/>
      <c r="AJB102" s="37"/>
      <c r="AJC102" s="37"/>
      <c r="AJD102" s="37"/>
      <c r="AJE102" s="37"/>
      <c r="AJF102" s="37"/>
      <c r="AJG102" s="37"/>
      <c r="AJH102" s="37"/>
      <c r="AJI102" s="37"/>
      <c r="AJJ102" s="37"/>
      <c r="AJK102" s="37"/>
      <c r="AJL102" s="37"/>
      <c r="AJM102" s="37"/>
      <c r="AJN102" s="37"/>
      <c r="AJO102" s="37"/>
      <c r="AJP102" s="37"/>
      <c r="AJQ102" s="37"/>
      <c r="AJR102" s="37"/>
      <c r="AJS102" s="37"/>
      <c r="AJT102" s="37"/>
      <c r="AJU102" s="37"/>
      <c r="AJV102" s="37"/>
      <c r="AJW102" s="37"/>
      <c r="AJX102" s="37"/>
      <c r="AJY102" s="37"/>
      <c r="AJZ102" s="37"/>
      <c r="AKA102" s="37"/>
      <c r="AKB102" s="37"/>
      <c r="AKC102" s="37"/>
      <c r="AKD102" s="37"/>
      <c r="AKE102" s="37"/>
      <c r="AKF102" s="37"/>
      <c r="AKG102" s="37"/>
      <c r="AKH102" s="37"/>
      <c r="AKI102" s="37"/>
      <c r="AKJ102" s="37"/>
      <c r="AKK102" s="37"/>
      <c r="AKL102" s="37"/>
      <c r="AKM102" s="37"/>
      <c r="AKN102" s="37"/>
      <c r="AKO102" s="37"/>
      <c r="AKP102" s="37"/>
      <c r="AKQ102" s="37"/>
      <c r="AKR102" s="37"/>
      <c r="AKS102" s="37"/>
      <c r="AKT102" s="37"/>
      <c r="AKU102" s="37"/>
      <c r="AKV102" s="37"/>
      <c r="AKW102" s="37"/>
      <c r="AKX102" s="37"/>
      <c r="AKY102" s="37"/>
      <c r="AKZ102" s="37"/>
      <c r="ALA102" s="37"/>
      <c r="ALB102" s="37"/>
      <c r="ALC102" s="37"/>
      <c r="ALD102" s="37"/>
      <c r="ALE102" s="37"/>
      <c r="ALF102" s="37"/>
      <c r="ALG102" s="37"/>
      <c r="ALH102" s="37"/>
      <c r="ALI102" s="37"/>
      <c r="ALJ102" s="37"/>
      <c r="ALK102" s="37"/>
      <c r="ALL102" s="37"/>
      <c r="ALM102" s="37"/>
      <c r="ALN102" s="37"/>
      <c r="ALO102" s="37"/>
      <c r="ALP102" s="37"/>
      <c r="ALQ102" s="37"/>
      <c r="ALR102" s="37"/>
      <c r="ALS102" s="37"/>
      <c r="ALT102" s="37"/>
      <c r="ALU102" s="37"/>
      <c r="ALV102" s="37"/>
      <c r="ALW102" s="37"/>
      <c r="ALX102" s="37"/>
      <c r="ALY102" s="37"/>
      <c r="ALZ102" s="37"/>
      <c r="AMA102" s="37"/>
      <c r="AMB102" s="37"/>
      <c r="AMC102" s="37"/>
    </row>
    <row r="103" spans="1:1017" s="38" customFormat="1" ht="19.5" customHeight="1">
      <c r="A103" s="75"/>
      <c r="B103" s="76"/>
      <c r="C103" s="75"/>
      <c r="D103" s="75"/>
      <c r="E103" s="75"/>
      <c r="F103" s="75"/>
      <c r="G103" s="77">
        <v>48</v>
      </c>
      <c r="H103" s="77">
        <v>61</v>
      </c>
      <c r="I103" s="77">
        <v>21</v>
      </c>
      <c r="J103" s="77">
        <v>16</v>
      </c>
      <c r="K103" s="77">
        <v>115</v>
      </c>
      <c r="L103" s="77">
        <v>110</v>
      </c>
      <c r="M103" s="77">
        <v>119</v>
      </c>
      <c r="N103" s="77"/>
      <c r="O103" s="7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  <c r="OU103" s="37"/>
      <c r="OV103" s="37"/>
      <c r="OW103" s="37"/>
      <c r="OX103" s="37"/>
      <c r="OY103" s="37"/>
      <c r="OZ103" s="37"/>
      <c r="PA103" s="37"/>
      <c r="PB103" s="37"/>
      <c r="PC103" s="37"/>
      <c r="PD103" s="37"/>
      <c r="PE103" s="37"/>
      <c r="PF103" s="37"/>
      <c r="PG103" s="37"/>
      <c r="PH103" s="37"/>
      <c r="PI103" s="37"/>
      <c r="PJ103" s="37"/>
      <c r="PK103" s="37"/>
      <c r="PL103" s="37"/>
      <c r="PM103" s="37"/>
      <c r="PN103" s="37"/>
      <c r="PO103" s="37"/>
      <c r="PP103" s="37"/>
      <c r="PQ103" s="37"/>
      <c r="PR103" s="37"/>
      <c r="PS103" s="37"/>
      <c r="PT103" s="37"/>
      <c r="PU103" s="37"/>
      <c r="PV103" s="37"/>
      <c r="PW103" s="37"/>
      <c r="PX103" s="37"/>
      <c r="PY103" s="37"/>
      <c r="PZ103" s="37"/>
      <c r="QA103" s="37"/>
      <c r="QB103" s="37"/>
      <c r="QC103" s="37"/>
      <c r="QD103" s="37"/>
      <c r="QE103" s="37"/>
      <c r="QF103" s="37"/>
      <c r="QG103" s="37"/>
      <c r="QH103" s="37"/>
      <c r="QI103" s="37"/>
      <c r="QJ103" s="37"/>
      <c r="QK103" s="37"/>
      <c r="QL103" s="37"/>
      <c r="QM103" s="37"/>
      <c r="QN103" s="37"/>
      <c r="QO103" s="37"/>
      <c r="QP103" s="37"/>
      <c r="QQ103" s="37"/>
      <c r="QR103" s="37"/>
      <c r="QS103" s="37"/>
      <c r="QT103" s="37"/>
      <c r="QU103" s="37"/>
      <c r="QV103" s="37"/>
      <c r="QW103" s="37"/>
      <c r="QX103" s="37"/>
      <c r="QY103" s="37"/>
      <c r="QZ103" s="37"/>
      <c r="RA103" s="37"/>
      <c r="RB103" s="37"/>
      <c r="RC103" s="37"/>
      <c r="RD103" s="37"/>
      <c r="RE103" s="37"/>
      <c r="RF103" s="37"/>
      <c r="RG103" s="37"/>
      <c r="RH103" s="37"/>
      <c r="RI103" s="37"/>
      <c r="RJ103" s="37"/>
      <c r="RK103" s="37"/>
      <c r="RL103" s="37"/>
      <c r="RM103" s="37"/>
      <c r="RN103" s="37"/>
      <c r="RO103" s="37"/>
      <c r="RP103" s="37"/>
      <c r="RQ103" s="37"/>
      <c r="RR103" s="37"/>
      <c r="RS103" s="37"/>
      <c r="RT103" s="37"/>
      <c r="RU103" s="37"/>
      <c r="RV103" s="37"/>
      <c r="RW103" s="37"/>
      <c r="RX103" s="37"/>
      <c r="RY103" s="37"/>
      <c r="RZ103" s="37"/>
      <c r="SA103" s="37"/>
      <c r="SB103" s="37"/>
      <c r="SC103" s="37"/>
      <c r="SD103" s="37"/>
      <c r="SE103" s="37"/>
      <c r="SF103" s="37"/>
      <c r="SG103" s="37"/>
      <c r="SH103" s="37"/>
      <c r="SI103" s="37"/>
      <c r="SJ103" s="37"/>
      <c r="SK103" s="37"/>
      <c r="SL103" s="37"/>
      <c r="SM103" s="37"/>
      <c r="SN103" s="37"/>
      <c r="SO103" s="37"/>
      <c r="SP103" s="37"/>
      <c r="SQ103" s="37"/>
      <c r="SR103" s="37"/>
      <c r="SS103" s="37"/>
      <c r="ST103" s="37"/>
      <c r="SU103" s="37"/>
      <c r="SV103" s="37"/>
      <c r="SW103" s="37"/>
      <c r="SX103" s="37"/>
      <c r="SY103" s="37"/>
      <c r="SZ103" s="37"/>
      <c r="TA103" s="37"/>
      <c r="TB103" s="37"/>
      <c r="TC103" s="37"/>
      <c r="TD103" s="37"/>
      <c r="TE103" s="37"/>
      <c r="TF103" s="37"/>
      <c r="TG103" s="37"/>
      <c r="TH103" s="37"/>
      <c r="TI103" s="37"/>
      <c r="TJ103" s="37"/>
      <c r="TK103" s="37"/>
      <c r="TL103" s="37"/>
      <c r="TM103" s="37"/>
      <c r="TN103" s="37"/>
      <c r="TO103" s="37"/>
      <c r="TP103" s="37"/>
      <c r="TQ103" s="37"/>
      <c r="TR103" s="37"/>
      <c r="TS103" s="37"/>
      <c r="TT103" s="37"/>
      <c r="TU103" s="37"/>
      <c r="TV103" s="37"/>
      <c r="TW103" s="37"/>
      <c r="TX103" s="37"/>
      <c r="TY103" s="37"/>
      <c r="TZ103" s="37"/>
      <c r="UA103" s="37"/>
      <c r="UB103" s="37"/>
      <c r="UC103" s="37"/>
      <c r="UD103" s="37"/>
      <c r="UE103" s="37"/>
      <c r="UF103" s="37"/>
      <c r="UG103" s="37"/>
      <c r="UH103" s="37"/>
      <c r="UI103" s="37"/>
      <c r="UJ103" s="37"/>
      <c r="UK103" s="37"/>
      <c r="UL103" s="37"/>
      <c r="UM103" s="37"/>
      <c r="UN103" s="37"/>
      <c r="UO103" s="37"/>
      <c r="UP103" s="37"/>
      <c r="UQ103" s="37"/>
      <c r="UR103" s="37"/>
      <c r="US103" s="37"/>
      <c r="UT103" s="37"/>
      <c r="UU103" s="37"/>
      <c r="UV103" s="37"/>
      <c r="UW103" s="37"/>
      <c r="UX103" s="37"/>
      <c r="UY103" s="37"/>
      <c r="UZ103" s="37"/>
      <c r="VA103" s="37"/>
      <c r="VB103" s="37"/>
      <c r="VC103" s="37"/>
      <c r="VD103" s="37"/>
      <c r="VE103" s="37"/>
      <c r="VF103" s="37"/>
      <c r="VG103" s="37"/>
      <c r="VH103" s="37"/>
      <c r="VI103" s="37"/>
      <c r="VJ103" s="37"/>
      <c r="VK103" s="37"/>
      <c r="VL103" s="37"/>
      <c r="VM103" s="37"/>
      <c r="VN103" s="37"/>
      <c r="VO103" s="37"/>
      <c r="VP103" s="37"/>
      <c r="VQ103" s="37"/>
      <c r="VR103" s="37"/>
      <c r="VS103" s="37"/>
      <c r="VT103" s="37"/>
      <c r="VU103" s="37"/>
      <c r="VV103" s="37"/>
      <c r="VW103" s="37"/>
      <c r="VX103" s="37"/>
      <c r="VY103" s="37"/>
      <c r="VZ103" s="37"/>
      <c r="WA103" s="37"/>
      <c r="WB103" s="37"/>
      <c r="WC103" s="37"/>
      <c r="WD103" s="37"/>
      <c r="WE103" s="37"/>
      <c r="WF103" s="37"/>
      <c r="WG103" s="37"/>
      <c r="WH103" s="37"/>
      <c r="WI103" s="37"/>
      <c r="WJ103" s="37"/>
      <c r="WK103" s="37"/>
      <c r="WL103" s="37"/>
      <c r="WM103" s="37"/>
      <c r="WN103" s="37"/>
      <c r="WO103" s="37"/>
      <c r="WP103" s="37"/>
      <c r="WQ103" s="37"/>
      <c r="WR103" s="37"/>
      <c r="WS103" s="37"/>
      <c r="WT103" s="37"/>
      <c r="WU103" s="37"/>
      <c r="WV103" s="37"/>
      <c r="WW103" s="37"/>
      <c r="WX103" s="37"/>
      <c r="WY103" s="37"/>
      <c r="WZ103" s="37"/>
      <c r="XA103" s="37"/>
      <c r="XB103" s="37"/>
      <c r="XC103" s="37"/>
      <c r="XD103" s="37"/>
      <c r="XE103" s="37"/>
      <c r="XF103" s="37"/>
      <c r="XG103" s="37"/>
      <c r="XH103" s="37"/>
      <c r="XI103" s="37"/>
      <c r="XJ103" s="37"/>
      <c r="XK103" s="37"/>
      <c r="XL103" s="37"/>
      <c r="XM103" s="37"/>
      <c r="XN103" s="37"/>
      <c r="XO103" s="37"/>
      <c r="XP103" s="37"/>
      <c r="XQ103" s="37"/>
      <c r="XR103" s="37"/>
      <c r="XS103" s="37"/>
      <c r="XT103" s="37"/>
      <c r="XU103" s="37"/>
      <c r="XV103" s="37"/>
      <c r="XW103" s="37"/>
      <c r="XX103" s="37"/>
      <c r="XY103" s="37"/>
      <c r="XZ103" s="37"/>
      <c r="YA103" s="37"/>
      <c r="YB103" s="37"/>
      <c r="YC103" s="37"/>
      <c r="YD103" s="37"/>
      <c r="YE103" s="37"/>
      <c r="YF103" s="37"/>
      <c r="YG103" s="37"/>
      <c r="YH103" s="37"/>
      <c r="YI103" s="37"/>
      <c r="YJ103" s="37"/>
      <c r="YK103" s="37"/>
      <c r="YL103" s="37"/>
      <c r="YM103" s="37"/>
      <c r="YN103" s="37"/>
      <c r="YO103" s="37"/>
      <c r="YP103" s="37"/>
      <c r="YQ103" s="37"/>
      <c r="YR103" s="37"/>
      <c r="YS103" s="37"/>
      <c r="YT103" s="37"/>
      <c r="YU103" s="37"/>
      <c r="YV103" s="37"/>
      <c r="YW103" s="37"/>
      <c r="YX103" s="37"/>
      <c r="YY103" s="37"/>
      <c r="YZ103" s="37"/>
      <c r="ZA103" s="37"/>
      <c r="ZB103" s="37"/>
      <c r="ZC103" s="37"/>
      <c r="ZD103" s="37"/>
      <c r="ZE103" s="37"/>
      <c r="ZF103" s="37"/>
      <c r="ZG103" s="37"/>
      <c r="ZH103" s="37"/>
      <c r="ZI103" s="37"/>
      <c r="ZJ103" s="37"/>
      <c r="ZK103" s="37"/>
      <c r="ZL103" s="37"/>
      <c r="ZM103" s="37"/>
      <c r="ZN103" s="37"/>
      <c r="ZO103" s="37"/>
      <c r="ZP103" s="37"/>
      <c r="ZQ103" s="37"/>
      <c r="ZR103" s="37"/>
      <c r="ZS103" s="37"/>
      <c r="ZT103" s="37"/>
      <c r="ZU103" s="37"/>
      <c r="ZV103" s="37"/>
      <c r="ZW103" s="37"/>
      <c r="ZX103" s="37"/>
      <c r="ZY103" s="37"/>
      <c r="ZZ103" s="37"/>
      <c r="AAA103" s="37"/>
      <c r="AAB103" s="37"/>
      <c r="AAC103" s="37"/>
      <c r="AAD103" s="37"/>
      <c r="AAE103" s="37"/>
      <c r="AAF103" s="37"/>
      <c r="AAG103" s="37"/>
      <c r="AAH103" s="37"/>
      <c r="AAI103" s="37"/>
      <c r="AAJ103" s="37"/>
      <c r="AAK103" s="37"/>
      <c r="AAL103" s="37"/>
      <c r="AAM103" s="37"/>
      <c r="AAN103" s="37"/>
      <c r="AAO103" s="37"/>
      <c r="AAP103" s="37"/>
      <c r="AAQ103" s="37"/>
      <c r="AAR103" s="37"/>
      <c r="AAS103" s="37"/>
      <c r="AAT103" s="37"/>
      <c r="AAU103" s="37"/>
      <c r="AAV103" s="37"/>
      <c r="AAW103" s="37"/>
      <c r="AAX103" s="37"/>
      <c r="AAY103" s="37"/>
      <c r="AAZ103" s="37"/>
      <c r="ABA103" s="37"/>
      <c r="ABB103" s="37"/>
      <c r="ABC103" s="37"/>
      <c r="ABD103" s="37"/>
      <c r="ABE103" s="37"/>
      <c r="ABF103" s="37"/>
      <c r="ABG103" s="37"/>
      <c r="ABH103" s="37"/>
      <c r="ABI103" s="37"/>
      <c r="ABJ103" s="37"/>
      <c r="ABK103" s="37"/>
      <c r="ABL103" s="37"/>
      <c r="ABM103" s="37"/>
      <c r="ABN103" s="37"/>
      <c r="ABO103" s="37"/>
      <c r="ABP103" s="37"/>
      <c r="ABQ103" s="37"/>
      <c r="ABR103" s="37"/>
      <c r="ABS103" s="37"/>
      <c r="ABT103" s="37"/>
      <c r="ABU103" s="37"/>
      <c r="ABV103" s="37"/>
      <c r="ABW103" s="37"/>
      <c r="ABX103" s="37"/>
      <c r="ABY103" s="37"/>
      <c r="ABZ103" s="37"/>
      <c r="ACA103" s="37"/>
      <c r="ACB103" s="37"/>
      <c r="ACC103" s="37"/>
      <c r="ACD103" s="37"/>
      <c r="ACE103" s="37"/>
      <c r="ACF103" s="37"/>
      <c r="ACG103" s="37"/>
      <c r="ACH103" s="37"/>
      <c r="ACI103" s="37"/>
      <c r="ACJ103" s="37"/>
      <c r="ACK103" s="37"/>
      <c r="ACL103" s="37"/>
      <c r="ACM103" s="37"/>
      <c r="ACN103" s="37"/>
      <c r="ACO103" s="37"/>
      <c r="ACP103" s="37"/>
      <c r="ACQ103" s="37"/>
      <c r="ACR103" s="37"/>
      <c r="ACS103" s="37"/>
      <c r="ACT103" s="37"/>
      <c r="ACU103" s="37"/>
      <c r="ACV103" s="37"/>
      <c r="ACW103" s="37"/>
      <c r="ACX103" s="37"/>
      <c r="ACY103" s="37"/>
      <c r="ACZ103" s="37"/>
      <c r="ADA103" s="37"/>
      <c r="ADB103" s="37"/>
      <c r="ADC103" s="37"/>
      <c r="ADD103" s="37"/>
      <c r="ADE103" s="37"/>
      <c r="ADF103" s="37"/>
      <c r="ADG103" s="37"/>
      <c r="ADH103" s="37"/>
      <c r="ADI103" s="37"/>
      <c r="ADJ103" s="37"/>
      <c r="ADK103" s="37"/>
      <c r="ADL103" s="37"/>
      <c r="ADM103" s="37"/>
      <c r="ADN103" s="37"/>
      <c r="ADO103" s="37"/>
      <c r="ADP103" s="37"/>
      <c r="ADQ103" s="37"/>
      <c r="ADR103" s="37"/>
      <c r="ADS103" s="37"/>
      <c r="ADT103" s="37"/>
      <c r="ADU103" s="37"/>
      <c r="ADV103" s="37"/>
      <c r="ADW103" s="37"/>
      <c r="ADX103" s="37"/>
      <c r="ADY103" s="37"/>
      <c r="ADZ103" s="37"/>
      <c r="AEA103" s="37"/>
      <c r="AEB103" s="37"/>
      <c r="AEC103" s="37"/>
      <c r="AED103" s="37"/>
      <c r="AEE103" s="37"/>
      <c r="AEF103" s="37"/>
      <c r="AEG103" s="37"/>
      <c r="AEH103" s="37"/>
      <c r="AEI103" s="37"/>
      <c r="AEJ103" s="37"/>
      <c r="AEK103" s="37"/>
      <c r="AEL103" s="37"/>
      <c r="AEM103" s="37"/>
      <c r="AEN103" s="37"/>
      <c r="AEO103" s="37"/>
      <c r="AEP103" s="37"/>
      <c r="AEQ103" s="37"/>
      <c r="AER103" s="37"/>
      <c r="AES103" s="37"/>
      <c r="AET103" s="37"/>
      <c r="AEU103" s="37"/>
      <c r="AEV103" s="37"/>
      <c r="AEW103" s="37"/>
      <c r="AEX103" s="37"/>
      <c r="AEY103" s="37"/>
      <c r="AEZ103" s="37"/>
      <c r="AFA103" s="37"/>
      <c r="AFB103" s="37"/>
      <c r="AFC103" s="37"/>
      <c r="AFD103" s="37"/>
      <c r="AFE103" s="37"/>
      <c r="AFF103" s="37"/>
      <c r="AFG103" s="37"/>
      <c r="AFH103" s="37"/>
      <c r="AFI103" s="37"/>
      <c r="AFJ103" s="37"/>
      <c r="AFK103" s="37"/>
      <c r="AFL103" s="37"/>
      <c r="AFM103" s="37"/>
      <c r="AFN103" s="37"/>
      <c r="AFO103" s="37"/>
      <c r="AFP103" s="37"/>
      <c r="AFQ103" s="37"/>
      <c r="AFR103" s="37"/>
      <c r="AFS103" s="37"/>
      <c r="AFT103" s="37"/>
      <c r="AFU103" s="37"/>
      <c r="AFV103" s="37"/>
      <c r="AFW103" s="37"/>
      <c r="AFX103" s="37"/>
      <c r="AFY103" s="37"/>
      <c r="AFZ103" s="37"/>
      <c r="AGA103" s="37"/>
      <c r="AGB103" s="37"/>
      <c r="AGC103" s="37"/>
      <c r="AGD103" s="37"/>
      <c r="AGE103" s="37"/>
      <c r="AGF103" s="37"/>
      <c r="AGG103" s="37"/>
      <c r="AGH103" s="37"/>
      <c r="AGI103" s="37"/>
      <c r="AGJ103" s="37"/>
      <c r="AGK103" s="37"/>
      <c r="AGL103" s="37"/>
      <c r="AGM103" s="37"/>
      <c r="AGN103" s="37"/>
      <c r="AGO103" s="37"/>
      <c r="AGP103" s="37"/>
      <c r="AGQ103" s="37"/>
      <c r="AGR103" s="37"/>
      <c r="AGS103" s="37"/>
      <c r="AGT103" s="37"/>
      <c r="AGU103" s="37"/>
      <c r="AGV103" s="37"/>
      <c r="AGW103" s="37"/>
      <c r="AGX103" s="37"/>
      <c r="AGY103" s="37"/>
      <c r="AGZ103" s="37"/>
      <c r="AHA103" s="37"/>
      <c r="AHB103" s="37"/>
      <c r="AHC103" s="37"/>
      <c r="AHD103" s="37"/>
      <c r="AHE103" s="37"/>
      <c r="AHF103" s="37"/>
      <c r="AHG103" s="37"/>
      <c r="AHH103" s="37"/>
      <c r="AHI103" s="37"/>
      <c r="AHJ103" s="37"/>
      <c r="AHK103" s="37"/>
      <c r="AHL103" s="37"/>
      <c r="AHM103" s="37"/>
      <c r="AHN103" s="37"/>
      <c r="AHO103" s="37"/>
      <c r="AHP103" s="37"/>
      <c r="AHQ103" s="37"/>
      <c r="AHR103" s="37"/>
      <c r="AHS103" s="37"/>
      <c r="AHT103" s="37"/>
      <c r="AHU103" s="37"/>
      <c r="AHV103" s="37"/>
      <c r="AHW103" s="37"/>
      <c r="AHX103" s="37"/>
      <c r="AHY103" s="37"/>
      <c r="AHZ103" s="37"/>
      <c r="AIA103" s="37"/>
      <c r="AIB103" s="37"/>
      <c r="AIC103" s="37"/>
      <c r="AID103" s="37"/>
      <c r="AIE103" s="37"/>
      <c r="AIF103" s="37"/>
      <c r="AIG103" s="37"/>
      <c r="AIH103" s="37"/>
      <c r="AII103" s="37"/>
      <c r="AIJ103" s="37"/>
      <c r="AIK103" s="37"/>
      <c r="AIL103" s="37"/>
      <c r="AIM103" s="37"/>
      <c r="AIN103" s="37"/>
      <c r="AIO103" s="37"/>
      <c r="AIP103" s="37"/>
      <c r="AIQ103" s="37"/>
      <c r="AIR103" s="37"/>
      <c r="AIS103" s="37"/>
      <c r="AIT103" s="37"/>
      <c r="AIU103" s="37"/>
      <c r="AIV103" s="37"/>
      <c r="AIW103" s="37"/>
      <c r="AIX103" s="37"/>
      <c r="AIY103" s="37"/>
      <c r="AIZ103" s="37"/>
      <c r="AJA103" s="37"/>
      <c r="AJB103" s="37"/>
      <c r="AJC103" s="37"/>
      <c r="AJD103" s="37"/>
      <c r="AJE103" s="37"/>
      <c r="AJF103" s="37"/>
      <c r="AJG103" s="37"/>
      <c r="AJH103" s="37"/>
      <c r="AJI103" s="37"/>
      <c r="AJJ103" s="37"/>
      <c r="AJK103" s="37"/>
      <c r="AJL103" s="37"/>
      <c r="AJM103" s="37"/>
      <c r="AJN103" s="37"/>
      <c r="AJO103" s="37"/>
      <c r="AJP103" s="37"/>
      <c r="AJQ103" s="37"/>
      <c r="AJR103" s="37"/>
      <c r="AJS103" s="37"/>
      <c r="AJT103" s="37"/>
      <c r="AJU103" s="37"/>
      <c r="AJV103" s="37"/>
      <c r="AJW103" s="37"/>
      <c r="AJX103" s="37"/>
      <c r="AJY103" s="37"/>
      <c r="AJZ103" s="37"/>
      <c r="AKA103" s="37"/>
      <c r="AKB103" s="37"/>
      <c r="AKC103" s="37"/>
      <c r="AKD103" s="37"/>
      <c r="AKE103" s="37"/>
      <c r="AKF103" s="37"/>
      <c r="AKG103" s="37"/>
      <c r="AKH103" s="37"/>
      <c r="AKI103" s="37"/>
      <c r="AKJ103" s="37"/>
      <c r="AKK103" s="37"/>
      <c r="AKL103" s="37"/>
      <c r="AKM103" s="37"/>
      <c r="AKN103" s="37"/>
      <c r="AKO103" s="37"/>
      <c r="AKP103" s="37"/>
      <c r="AKQ103" s="37"/>
      <c r="AKR103" s="37"/>
      <c r="AKS103" s="37"/>
      <c r="AKT103" s="37"/>
      <c r="AKU103" s="37"/>
      <c r="AKV103" s="37"/>
      <c r="AKW103" s="37"/>
      <c r="AKX103" s="37"/>
      <c r="AKY103" s="37"/>
      <c r="AKZ103" s="37"/>
      <c r="ALA103" s="37"/>
      <c r="ALB103" s="37"/>
      <c r="ALC103" s="37"/>
      <c r="ALD103" s="37"/>
      <c r="ALE103" s="37"/>
      <c r="ALF103" s="37"/>
      <c r="ALG103" s="37"/>
      <c r="ALH103" s="37"/>
      <c r="ALI103" s="37"/>
      <c r="ALJ103" s="37"/>
      <c r="ALK103" s="37"/>
      <c r="ALL103" s="37"/>
      <c r="ALM103" s="37"/>
      <c r="ALN103" s="37"/>
      <c r="ALO103" s="37"/>
      <c r="ALP103" s="37"/>
      <c r="ALQ103" s="37"/>
      <c r="ALR103" s="37"/>
      <c r="ALS103" s="37"/>
      <c r="ALT103" s="37"/>
      <c r="ALU103" s="37"/>
      <c r="ALV103" s="37"/>
      <c r="ALW103" s="37"/>
      <c r="ALX103" s="37"/>
      <c r="ALY103" s="37"/>
      <c r="ALZ103" s="37"/>
      <c r="AMA103" s="37"/>
      <c r="AMB103" s="37"/>
      <c r="AMC103" s="37"/>
    </row>
    <row r="104" spans="1:1017" s="38" customFormat="1" ht="19.5" customHeight="1">
      <c r="A104" s="26" t="s">
        <v>185</v>
      </c>
      <c r="B104" s="25" t="s">
        <v>182</v>
      </c>
      <c r="C104" s="26" t="s">
        <v>46</v>
      </c>
      <c r="D104" s="26" t="s">
        <v>32</v>
      </c>
      <c r="E104" s="26" t="s">
        <v>261</v>
      </c>
      <c r="F104" s="26">
        <v>43</v>
      </c>
      <c r="G104" s="26" t="s">
        <v>35</v>
      </c>
      <c r="H104" s="26">
        <v>57</v>
      </c>
      <c r="I104" s="36">
        <v>46</v>
      </c>
      <c r="J104" s="36">
        <v>26</v>
      </c>
      <c r="K104" s="36">
        <v>19</v>
      </c>
      <c r="L104" s="36">
        <v>31</v>
      </c>
      <c r="M104" s="36">
        <v>30</v>
      </c>
      <c r="N104" s="36">
        <v>31</v>
      </c>
      <c r="O104" s="36">
        <v>73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/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  <c r="OU104" s="37"/>
      <c r="OV104" s="37"/>
      <c r="OW104" s="37"/>
      <c r="OX104" s="37"/>
      <c r="OY104" s="37"/>
      <c r="OZ104" s="37"/>
      <c r="PA104" s="37"/>
      <c r="PB104" s="37"/>
      <c r="PC104" s="37"/>
      <c r="PD104" s="37"/>
      <c r="PE104" s="37"/>
      <c r="PF104" s="37"/>
      <c r="PG104" s="37"/>
      <c r="PH104" s="37"/>
      <c r="PI104" s="37"/>
      <c r="PJ104" s="37"/>
      <c r="PK104" s="37"/>
      <c r="PL104" s="37"/>
      <c r="PM104" s="37"/>
      <c r="PN104" s="37"/>
      <c r="PO104" s="37"/>
      <c r="PP104" s="37"/>
      <c r="PQ104" s="37"/>
      <c r="PR104" s="37"/>
      <c r="PS104" s="37"/>
      <c r="PT104" s="37"/>
      <c r="PU104" s="37"/>
      <c r="PV104" s="37"/>
      <c r="PW104" s="37"/>
      <c r="PX104" s="37"/>
      <c r="PY104" s="37"/>
      <c r="PZ104" s="37"/>
      <c r="QA104" s="37"/>
      <c r="QB104" s="37"/>
      <c r="QC104" s="37"/>
      <c r="QD104" s="37"/>
      <c r="QE104" s="37"/>
      <c r="QF104" s="37"/>
      <c r="QG104" s="37"/>
      <c r="QH104" s="37"/>
      <c r="QI104" s="37"/>
      <c r="QJ104" s="37"/>
      <c r="QK104" s="37"/>
      <c r="QL104" s="37"/>
      <c r="QM104" s="37"/>
      <c r="QN104" s="37"/>
      <c r="QO104" s="37"/>
      <c r="QP104" s="37"/>
      <c r="QQ104" s="37"/>
      <c r="QR104" s="37"/>
      <c r="QS104" s="37"/>
      <c r="QT104" s="37"/>
      <c r="QU104" s="37"/>
      <c r="QV104" s="37"/>
      <c r="QW104" s="37"/>
      <c r="QX104" s="37"/>
      <c r="QY104" s="37"/>
      <c r="QZ104" s="37"/>
      <c r="RA104" s="37"/>
      <c r="RB104" s="37"/>
      <c r="RC104" s="37"/>
      <c r="RD104" s="37"/>
      <c r="RE104" s="37"/>
      <c r="RF104" s="37"/>
      <c r="RG104" s="37"/>
      <c r="RH104" s="37"/>
      <c r="RI104" s="37"/>
      <c r="RJ104" s="37"/>
      <c r="RK104" s="37"/>
      <c r="RL104" s="37"/>
      <c r="RM104" s="37"/>
      <c r="RN104" s="37"/>
      <c r="RO104" s="37"/>
      <c r="RP104" s="37"/>
      <c r="RQ104" s="37"/>
      <c r="RR104" s="37"/>
      <c r="RS104" s="37"/>
      <c r="RT104" s="37"/>
      <c r="RU104" s="37"/>
      <c r="RV104" s="37"/>
      <c r="RW104" s="37"/>
      <c r="RX104" s="37"/>
      <c r="RY104" s="37"/>
      <c r="RZ104" s="37"/>
      <c r="SA104" s="37"/>
      <c r="SB104" s="37"/>
      <c r="SC104" s="37"/>
      <c r="SD104" s="37"/>
      <c r="SE104" s="37"/>
      <c r="SF104" s="37"/>
      <c r="SG104" s="37"/>
      <c r="SH104" s="37"/>
      <c r="SI104" s="37"/>
      <c r="SJ104" s="37"/>
      <c r="SK104" s="37"/>
      <c r="SL104" s="37"/>
      <c r="SM104" s="37"/>
      <c r="SN104" s="37"/>
      <c r="SO104" s="37"/>
      <c r="SP104" s="37"/>
      <c r="SQ104" s="37"/>
      <c r="SR104" s="37"/>
      <c r="SS104" s="37"/>
      <c r="ST104" s="37"/>
      <c r="SU104" s="37"/>
      <c r="SV104" s="37"/>
      <c r="SW104" s="37"/>
      <c r="SX104" s="37"/>
      <c r="SY104" s="37"/>
      <c r="SZ104" s="37"/>
      <c r="TA104" s="37"/>
      <c r="TB104" s="37"/>
      <c r="TC104" s="37"/>
      <c r="TD104" s="37"/>
      <c r="TE104" s="37"/>
      <c r="TF104" s="37"/>
      <c r="TG104" s="37"/>
      <c r="TH104" s="37"/>
      <c r="TI104" s="37"/>
      <c r="TJ104" s="37"/>
      <c r="TK104" s="37"/>
      <c r="TL104" s="37"/>
      <c r="TM104" s="37"/>
      <c r="TN104" s="37"/>
      <c r="TO104" s="37"/>
      <c r="TP104" s="37"/>
      <c r="TQ104" s="37"/>
      <c r="TR104" s="37"/>
      <c r="TS104" s="37"/>
      <c r="TT104" s="37"/>
      <c r="TU104" s="37"/>
      <c r="TV104" s="37"/>
      <c r="TW104" s="37"/>
      <c r="TX104" s="37"/>
      <c r="TY104" s="37"/>
      <c r="TZ104" s="37"/>
      <c r="UA104" s="37"/>
      <c r="UB104" s="37"/>
      <c r="UC104" s="37"/>
      <c r="UD104" s="37"/>
      <c r="UE104" s="37"/>
      <c r="UF104" s="37"/>
      <c r="UG104" s="37"/>
      <c r="UH104" s="37"/>
      <c r="UI104" s="37"/>
      <c r="UJ104" s="37"/>
      <c r="UK104" s="37"/>
      <c r="UL104" s="37"/>
      <c r="UM104" s="37"/>
      <c r="UN104" s="37"/>
      <c r="UO104" s="37"/>
      <c r="UP104" s="37"/>
      <c r="UQ104" s="37"/>
      <c r="UR104" s="37"/>
      <c r="US104" s="37"/>
      <c r="UT104" s="37"/>
      <c r="UU104" s="37"/>
      <c r="UV104" s="37"/>
      <c r="UW104" s="37"/>
      <c r="UX104" s="37"/>
      <c r="UY104" s="37"/>
      <c r="UZ104" s="37"/>
      <c r="VA104" s="37"/>
      <c r="VB104" s="37"/>
      <c r="VC104" s="37"/>
      <c r="VD104" s="37"/>
      <c r="VE104" s="37"/>
      <c r="VF104" s="37"/>
      <c r="VG104" s="37"/>
      <c r="VH104" s="37"/>
      <c r="VI104" s="37"/>
      <c r="VJ104" s="37"/>
      <c r="VK104" s="37"/>
      <c r="VL104" s="37"/>
      <c r="VM104" s="37"/>
      <c r="VN104" s="37"/>
      <c r="VO104" s="37"/>
      <c r="VP104" s="37"/>
      <c r="VQ104" s="37"/>
      <c r="VR104" s="37"/>
      <c r="VS104" s="37"/>
      <c r="VT104" s="37"/>
      <c r="VU104" s="37"/>
      <c r="VV104" s="37"/>
      <c r="VW104" s="37"/>
      <c r="VX104" s="37"/>
      <c r="VY104" s="37"/>
      <c r="VZ104" s="37"/>
      <c r="WA104" s="37"/>
      <c r="WB104" s="37"/>
      <c r="WC104" s="37"/>
      <c r="WD104" s="37"/>
      <c r="WE104" s="37"/>
      <c r="WF104" s="37"/>
      <c r="WG104" s="37"/>
      <c r="WH104" s="37"/>
      <c r="WI104" s="37"/>
      <c r="WJ104" s="37"/>
      <c r="WK104" s="37"/>
      <c r="WL104" s="37"/>
      <c r="WM104" s="37"/>
      <c r="WN104" s="37"/>
      <c r="WO104" s="37"/>
      <c r="WP104" s="37"/>
      <c r="WQ104" s="37"/>
      <c r="WR104" s="37"/>
      <c r="WS104" s="37"/>
      <c r="WT104" s="37"/>
      <c r="WU104" s="37"/>
      <c r="WV104" s="37"/>
      <c r="WW104" s="37"/>
      <c r="WX104" s="37"/>
      <c r="WY104" s="37"/>
      <c r="WZ104" s="37"/>
      <c r="XA104" s="37"/>
      <c r="XB104" s="37"/>
      <c r="XC104" s="37"/>
      <c r="XD104" s="37"/>
      <c r="XE104" s="37"/>
      <c r="XF104" s="37"/>
      <c r="XG104" s="37"/>
      <c r="XH104" s="37"/>
      <c r="XI104" s="37"/>
      <c r="XJ104" s="37"/>
      <c r="XK104" s="37"/>
      <c r="XL104" s="37"/>
      <c r="XM104" s="37"/>
      <c r="XN104" s="37"/>
      <c r="XO104" s="37"/>
      <c r="XP104" s="37"/>
      <c r="XQ104" s="37"/>
      <c r="XR104" s="37"/>
      <c r="XS104" s="37"/>
      <c r="XT104" s="37"/>
      <c r="XU104" s="37"/>
      <c r="XV104" s="37"/>
      <c r="XW104" s="37"/>
      <c r="XX104" s="37"/>
      <c r="XY104" s="37"/>
      <c r="XZ104" s="37"/>
      <c r="YA104" s="37"/>
      <c r="YB104" s="37"/>
      <c r="YC104" s="37"/>
      <c r="YD104" s="37"/>
      <c r="YE104" s="37"/>
      <c r="YF104" s="37"/>
      <c r="YG104" s="37"/>
      <c r="YH104" s="37"/>
      <c r="YI104" s="37"/>
      <c r="YJ104" s="37"/>
      <c r="YK104" s="37"/>
      <c r="YL104" s="37"/>
      <c r="YM104" s="37"/>
      <c r="YN104" s="37"/>
      <c r="YO104" s="37"/>
      <c r="YP104" s="37"/>
      <c r="YQ104" s="37"/>
      <c r="YR104" s="37"/>
      <c r="YS104" s="37"/>
      <c r="YT104" s="37"/>
      <c r="YU104" s="37"/>
      <c r="YV104" s="37"/>
      <c r="YW104" s="37"/>
      <c r="YX104" s="37"/>
      <c r="YY104" s="37"/>
      <c r="YZ104" s="37"/>
      <c r="ZA104" s="37"/>
      <c r="ZB104" s="37"/>
      <c r="ZC104" s="37"/>
      <c r="ZD104" s="37"/>
      <c r="ZE104" s="37"/>
      <c r="ZF104" s="37"/>
      <c r="ZG104" s="37"/>
      <c r="ZH104" s="37"/>
      <c r="ZI104" s="37"/>
      <c r="ZJ104" s="37"/>
      <c r="ZK104" s="37"/>
      <c r="ZL104" s="37"/>
      <c r="ZM104" s="37"/>
      <c r="ZN104" s="37"/>
      <c r="ZO104" s="37"/>
      <c r="ZP104" s="37"/>
      <c r="ZQ104" s="37"/>
      <c r="ZR104" s="37"/>
      <c r="ZS104" s="37"/>
      <c r="ZT104" s="37"/>
      <c r="ZU104" s="37"/>
      <c r="ZV104" s="37"/>
      <c r="ZW104" s="37"/>
      <c r="ZX104" s="37"/>
      <c r="ZY104" s="37"/>
      <c r="ZZ104" s="37"/>
      <c r="AAA104" s="37"/>
      <c r="AAB104" s="37"/>
      <c r="AAC104" s="37"/>
      <c r="AAD104" s="37"/>
      <c r="AAE104" s="37"/>
      <c r="AAF104" s="37"/>
      <c r="AAG104" s="37"/>
      <c r="AAH104" s="37"/>
      <c r="AAI104" s="37"/>
      <c r="AAJ104" s="37"/>
      <c r="AAK104" s="37"/>
      <c r="AAL104" s="37"/>
      <c r="AAM104" s="37"/>
      <c r="AAN104" s="37"/>
      <c r="AAO104" s="37"/>
      <c r="AAP104" s="37"/>
      <c r="AAQ104" s="37"/>
      <c r="AAR104" s="37"/>
      <c r="AAS104" s="37"/>
      <c r="AAT104" s="37"/>
      <c r="AAU104" s="37"/>
      <c r="AAV104" s="37"/>
      <c r="AAW104" s="37"/>
      <c r="AAX104" s="37"/>
      <c r="AAY104" s="37"/>
      <c r="AAZ104" s="37"/>
      <c r="ABA104" s="37"/>
      <c r="ABB104" s="37"/>
      <c r="ABC104" s="37"/>
      <c r="ABD104" s="37"/>
      <c r="ABE104" s="37"/>
      <c r="ABF104" s="37"/>
      <c r="ABG104" s="37"/>
      <c r="ABH104" s="37"/>
      <c r="ABI104" s="37"/>
      <c r="ABJ104" s="37"/>
      <c r="ABK104" s="37"/>
      <c r="ABL104" s="37"/>
      <c r="ABM104" s="37"/>
      <c r="ABN104" s="37"/>
      <c r="ABO104" s="37"/>
      <c r="ABP104" s="37"/>
      <c r="ABQ104" s="37"/>
      <c r="ABR104" s="37"/>
      <c r="ABS104" s="37"/>
      <c r="ABT104" s="37"/>
      <c r="ABU104" s="37"/>
      <c r="ABV104" s="37"/>
      <c r="ABW104" s="37"/>
      <c r="ABX104" s="37"/>
      <c r="ABY104" s="37"/>
      <c r="ABZ104" s="37"/>
      <c r="ACA104" s="37"/>
      <c r="ACB104" s="37"/>
      <c r="ACC104" s="37"/>
      <c r="ACD104" s="37"/>
      <c r="ACE104" s="37"/>
      <c r="ACF104" s="37"/>
      <c r="ACG104" s="37"/>
      <c r="ACH104" s="37"/>
      <c r="ACI104" s="37"/>
      <c r="ACJ104" s="37"/>
      <c r="ACK104" s="37"/>
      <c r="ACL104" s="37"/>
      <c r="ACM104" s="37"/>
      <c r="ACN104" s="37"/>
      <c r="ACO104" s="37"/>
      <c r="ACP104" s="37"/>
      <c r="ACQ104" s="37"/>
      <c r="ACR104" s="37"/>
      <c r="ACS104" s="37"/>
      <c r="ACT104" s="37"/>
      <c r="ACU104" s="37"/>
      <c r="ACV104" s="37"/>
      <c r="ACW104" s="37"/>
      <c r="ACX104" s="37"/>
      <c r="ACY104" s="37"/>
      <c r="ACZ104" s="37"/>
      <c r="ADA104" s="37"/>
      <c r="ADB104" s="37"/>
      <c r="ADC104" s="37"/>
      <c r="ADD104" s="37"/>
      <c r="ADE104" s="37"/>
      <c r="ADF104" s="37"/>
      <c r="ADG104" s="37"/>
      <c r="ADH104" s="37"/>
      <c r="ADI104" s="37"/>
      <c r="ADJ104" s="37"/>
      <c r="ADK104" s="37"/>
      <c r="ADL104" s="37"/>
      <c r="ADM104" s="37"/>
      <c r="ADN104" s="37"/>
      <c r="ADO104" s="37"/>
      <c r="ADP104" s="37"/>
      <c r="ADQ104" s="37"/>
      <c r="ADR104" s="37"/>
      <c r="ADS104" s="37"/>
      <c r="ADT104" s="37"/>
      <c r="ADU104" s="37"/>
      <c r="ADV104" s="37"/>
      <c r="ADW104" s="37"/>
      <c r="ADX104" s="37"/>
      <c r="ADY104" s="37"/>
      <c r="ADZ104" s="37"/>
      <c r="AEA104" s="37"/>
      <c r="AEB104" s="37"/>
      <c r="AEC104" s="37"/>
      <c r="AED104" s="37"/>
      <c r="AEE104" s="37"/>
      <c r="AEF104" s="37"/>
      <c r="AEG104" s="37"/>
      <c r="AEH104" s="37"/>
      <c r="AEI104" s="37"/>
      <c r="AEJ104" s="37"/>
      <c r="AEK104" s="37"/>
      <c r="AEL104" s="37"/>
      <c r="AEM104" s="37"/>
      <c r="AEN104" s="37"/>
      <c r="AEO104" s="37"/>
      <c r="AEP104" s="37"/>
      <c r="AEQ104" s="37"/>
      <c r="AER104" s="37"/>
      <c r="AES104" s="37"/>
      <c r="AET104" s="37"/>
      <c r="AEU104" s="37"/>
      <c r="AEV104" s="37"/>
      <c r="AEW104" s="37"/>
      <c r="AEX104" s="37"/>
      <c r="AEY104" s="37"/>
      <c r="AEZ104" s="37"/>
      <c r="AFA104" s="37"/>
      <c r="AFB104" s="37"/>
      <c r="AFC104" s="37"/>
      <c r="AFD104" s="37"/>
      <c r="AFE104" s="37"/>
      <c r="AFF104" s="37"/>
      <c r="AFG104" s="37"/>
      <c r="AFH104" s="37"/>
      <c r="AFI104" s="37"/>
      <c r="AFJ104" s="37"/>
      <c r="AFK104" s="37"/>
      <c r="AFL104" s="37"/>
      <c r="AFM104" s="37"/>
      <c r="AFN104" s="37"/>
      <c r="AFO104" s="37"/>
      <c r="AFP104" s="37"/>
      <c r="AFQ104" s="37"/>
      <c r="AFR104" s="37"/>
      <c r="AFS104" s="37"/>
      <c r="AFT104" s="37"/>
      <c r="AFU104" s="37"/>
      <c r="AFV104" s="37"/>
      <c r="AFW104" s="37"/>
      <c r="AFX104" s="37"/>
      <c r="AFY104" s="37"/>
      <c r="AFZ104" s="37"/>
      <c r="AGA104" s="37"/>
      <c r="AGB104" s="37"/>
      <c r="AGC104" s="37"/>
      <c r="AGD104" s="37"/>
      <c r="AGE104" s="37"/>
      <c r="AGF104" s="37"/>
      <c r="AGG104" s="37"/>
      <c r="AGH104" s="37"/>
      <c r="AGI104" s="37"/>
      <c r="AGJ104" s="37"/>
      <c r="AGK104" s="37"/>
      <c r="AGL104" s="37"/>
      <c r="AGM104" s="37"/>
      <c r="AGN104" s="37"/>
      <c r="AGO104" s="37"/>
      <c r="AGP104" s="37"/>
      <c r="AGQ104" s="37"/>
      <c r="AGR104" s="37"/>
      <c r="AGS104" s="37"/>
      <c r="AGT104" s="37"/>
      <c r="AGU104" s="37"/>
      <c r="AGV104" s="37"/>
      <c r="AGW104" s="37"/>
      <c r="AGX104" s="37"/>
      <c r="AGY104" s="37"/>
      <c r="AGZ104" s="37"/>
      <c r="AHA104" s="37"/>
      <c r="AHB104" s="37"/>
      <c r="AHC104" s="37"/>
      <c r="AHD104" s="37"/>
      <c r="AHE104" s="37"/>
      <c r="AHF104" s="37"/>
      <c r="AHG104" s="37"/>
      <c r="AHH104" s="37"/>
      <c r="AHI104" s="37"/>
      <c r="AHJ104" s="37"/>
      <c r="AHK104" s="37"/>
      <c r="AHL104" s="37"/>
      <c r="AHM104" s="37"/>
      <c r="AHN104" s="37"/>
      <c r="AHO104" s="37"/>
      <c r="AHP104" s="37"/>
      <c r="AHQ104" s="37"/>
      <c r="AHR104" s="37"/>
      <c r="AHS104" s="37"/>
      <c r="AHT104" s="37"/>
      <c r="AHU104" s="37"/>
      <c r="AHV104" s="37"/>
      <c r="AHW104" s="37"/>
      <c r="AHX104" s="37"/>
      <c r="AHY104" s="37"/>
      <c r="AHZ104" s="37"/>
      <c r="AIA104" s="37"/>
      <c r="AIB104" s="37"/>
      <c r="AIC104" s="37"/>
      <c r="AID104" s="37"/>
      <c r="AIE104" s="37"/>
      <c r="AIF104" s="37"/>
      <c r="AIG104" s="37"/>
      <c r="AIH104" s="37"/>
      <c r="AII104" s="37"/>
      <c r="AIJ104" s="37"/>
      <c r="AIK104" s="37"/>
      <c r="AIL104" s="37"/>
      <c r="AIM104" s="37"/>
      <c r="AIN104" s="37"/>
      <c r="AIO104" s="37"/>
      <c r="AIP104" s="37"/>
      <c r="AIQ104" s="37"/>
      <c r="AIR104" s="37"/>
      <c r="AIS104" s="37"/>
      <c r="AIT104" s="37"/>
      <c r="AIU104" s="37"/>
      <c r="AIV104" s="37"/>
      <c r="AIW104" s="37"/>
      <c r="AIX104" s="37"/>
      <c r="AIY104" s="37"/>
      <c r="AIZ104" s="37"/>
      <c r="AJA104" s="37"/>
      <c r="AJB104" s="37"/>
      <c r="AJC104" s="37"/>
      <c r="AJD104" s="37"/>
      <c r="AJE104" s="37"/>
      <c r="AJF104" s="37"/>
      <c r="AJG104" s="37"/>
      <c r="AJH104" s="37"/>
      <c r="AJI104" s="37"/>
      <c r="AJJ104" s="37"/>
      <c r="AJK104" s="37"/>
      <c r="AJL104" s="37"/>
      <c r="AJM104" s="37"/>
      <c r="AJN104" s="37"/>
      <c r="AJO104" s="37"/>
      <c r="AJP104" s="37"/>
      <c r="AJQ104" s="37"/>
      <c r="AJR104" s="37"/>
      <c r="AJS104" s="37"/>
      <c r="AJT104" s="37"/>
      <c r="AJU104" s="37"/>
      <c r="AJV104" s="37"/>
      <c r="AJW104" s="37"/>
      <c r="AJX104" s="37"/>
      <c r="AJY104" s="37"/>
      <c r="AJZ104" s="37"/>
      <c r="AKA104" s="37"/>
      <c r="AKB104" s="37"/>
      <c r="AKC104" s="37"/>
      <c r="AKD104" s="37"/>
      <c r="AKE104" s="37"/>
      <c r="AKF104" s="37"/>
      <c r="AKG104" s="37"/>
      <c r="AKH104" s="37"/>
      <c r="AKI104" s="37"/>
      <c r="AKJ104" s="37"/>
      <c r="AKK104" s="37"/>
      <c r="AKL104" s="37"/>
      <c r="AKM104" s="37"/>
      <c r="AKN104" s="37"/>
      <c r="AKO104" s="37"/>
      <c r="AKP104" s="37"/>
      <c r="AKQ104" s="37"/>
      <c r="AKR104" s="37"/>
      <c r="AKS104" s="37"/>
      <c r="AKT104" s="37"/>
      <c r="AKU104" s="37"/>
      <c r="AKV104" s="37"/>
      <c r="AKW104" s="37"/>
      <c r="AKX104" s="37"/>
      <c r="AKY104" s="37"/>
      <c r="AKZ104" s="37"/>
      <c r="ALA104" s="37"/>
      <c r="ALB104" s="37"/>
      <c r="ALC104" s="37"/>
      <c r="ALD104" s="37"/>
      <c r="ALE104" s="37"/>
      <c r="ALF104" s="37"/>
      <c r="ALG104" s="37"/>
      <c r="ALH104" s="37"/>
      <c r="ALI104" s="37"/>
      <c r="ALJ104" s="37"/>
      <c r="ALK104" s="37"/>
      <c r="ALL104" s="37"/>
      <c r="ALM104" s="37"/>
      <c r="ALN104" s="37"/>
      <c r="ALO104" s="37"/>
      <c r="ALP104" s="37"/>
      <c r="ALQ104" s="37"/>
      <c r="ALR104" s="37"/>
      <c r="ALS104" s="37"/>
      <c r="ALT104" s="37"/>
      <c r="ALU104" s="37"/>
      <c r="ALV104" s="37"/>
      <c r="ALW104" s="37"/>
      <c r="ALX104" s="37"/>
      <c r="ALY104" s="37"/>
      <c r="ALZ104" s="37"/>
      <c r="AMA104" s="37"/>
      <c r="AMB104" s="37"/>
      <c r="AMC104" s="37"/>
    </row>
    <row r="105" spans="1:1017" s="38" customFormat="1" ht="19.5" customHeight="1">
      <c r="A105" s="72"/>
      <c r="B105" s="73"/>
      <c r="C105" s="72"/>
      <c r="D105" s="72"/>
      <c r="E105" s="72"/>
      <c r="F105" s="72"/>
      <c r="G105" s="35">
        <v>43</v>
      </c>
      <c r="H105" s="35">
        <v>103</v>
      </c>
      <c r="I105" s="35">
        <v>115</v>
      </c>
      <c r="J105" s="35">
        <v>74</v>
      </c>
      <c r="K105" s="35">
        <v>36</v>
      </c>
      <c r="L105" s="35">
        <v>27</v>
      </c>
      <c r="M105" s="35">
        <v>22</v>
      </c>
      <c r="N105" s="35">
        <v>102</v>
      </c>
      <c r="O105" s="74">
        <v>5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  <c r="OU105" s="37"/>
      <c r="OV105" s="37"/>
      <c r="OW105" s="37"/>
      <c r="OX105" s="37"/>
      <c r="OY105" s="37"/>
      <c r="OZ105" s="37"/>
      <c r="PA105" s="37"/>
      <c r="PB105" s="37"/>
      <c r="PC105" s="37"/>
      <c r="PD105" s="37"/>
      <c r="PE105" s="37"/>
      <c r="PF105" s="37"/>
      <c r="PG105" s="37"/>
      <c r="PH105" s="37"/>
      <c r="PI105" s="37"/>
      <c r="PJ105" s="37"/>
      <c r="PK105" s="37"/>
      <c r="PL105" s="37"/>
      <c r="PM105" s="37"/>
      <c r="PN105" s="37"/>
      <c r="PO105" s="37"/>
      <c r="PP105" s="37"/>
      <c r="PQ105" s="37"/>
      <c r="PR105" s="37"/>
      <c r="PS105" s="37"/>
      <c r="PT105" s="37"/>
      <c r="PU105" s="37"/>
      <c r="PV105" s="37"/>
      <c r="PW105" s="37"/>
      <c r="PX105" s="37"/>
      <c r="PY105" s="37"/>
      <c r="PZ105" s="37"/>
      <c r="QA105" s="37"/>
      <c r="QB105" s="37"/>
      <c r="QC105" s="37"/>
      <c r="QD105" s="37"/>
      <c r="QE105" s="37"/>
      <c r="QF105" s="37"/>
      <c r="QG105" s="37"/>
      <c r="QH105" s="37"/>
      <c r="QI105" s="37"/>
      <c r="QJ105" s="37"/>
      <c r="QK105" s="37"/>
      <c r="QL105" s="37"/>
      <c r="QM105" s="37"/>
      <c r="QN105" s="37"/>
      <c r="QO105" s="37"/>
      <c r="QP105" s="37"/>
      <c r="QQ105" s="37"/>
      <c r="QR105" s="37"/>
      <c r="QS105" s="37"/>
      <c r="QT105" s="37"/>
      <c r="QU105" s="37"/>
      <c r="QV105" s="37"/>
      <c r="QW105" s="37"/>
      <c r="QX105" s="37"/>
      <c r="QY105" s="37"/>
      <c r="QZ105" s="37"/>
      <c r="RA105" s="37"/>
      <c r="RB105" s="37"/>
      <c r="RC105" s="37"/>
      <c r="RD105" s="37"/>
      <c r="RE105" s="37"/>
      <c r="RF105" s="37"/>
      <c r="RG105" s="37"/>
      <c r="RH105" s="37"/>
      <c r="RI105" s="37"/>
      <c r="RJ105" s="37"/>
      <c r="RK105" s="37"/>
      <c r="RL105" s="37"/>
      <c r="RM105" s="37"/>
      <c r="RN105" s="37"/>
      <c r="RO105" s="37"/>
      <c r="RP105" s="37"/>
      <c r="RQ105" s="37"/>
      <c r="RR105" s="37"/>
      <c r="RS105" s="37"/>
      <c r="RT105" s="37"/>
      <c r="RU105" s="37"/>
      <c r="RV105" s="37"/>
      <c r="RW105" s="37"/>
      <c r="RX105" s="37"/>
      <c r="RY105" s="37"/>
      <c r="RZ105" s="37"/>
      <c r="SA105" s="37"/>
      <c r="SB105" s="37"/>
      <c r="SC105" s="37"/>
      <c r="SD105" s="37"/>
      <c r="SE105" s="37"/>
      <c r="SF105" s="37"/>
      <c r="SG105" s="37"/>
      <c r="SH105" s="37"/>
      <c r="SI105" s="37"/>
      <c r="SJ105" s="37"/>
      <c r="SK105" s="37"/>
      <c r="SL105" s="37"/>
      <c r="SM105" s="37"/>
      <c r="SN105" s="37"/>
      <c r="SO105" s="37"/>
      <c r="SP105" s="37"/>
      <c r="SQ105" s="37"/>
      <c r="SR105" s="37"/>
      <c r="SS105" s="37"/>
      <c r="ST105" s="37"/>
      <c r="SU105" s="37"/>
      <c r="SV105" s="37"/>
      <c r="SW105" s="37"/>
      <c r="SX105" s="37"/>
      <c r="SY105" s="37"/>
      <c r="SZ105" s="37"/>
      <c r="TA105" s="37"/>
      <c r="TB105" s="37"/>
      <c r="TC105" s="37"/>
      <c r="TD105" s="37"/>
      <c r="TE105" s="37"/>
      <c r="TF105" s="37"/>
      <c r="TG105" s="37"/>
      <c r="TH105" s="37"/>
      <c r="TI105" s="37"/>
      <c r="TJ105" s="37"/>
      <c r="TK105" s="37"/>
      <c r="TL105" s="37"/>
      <c r="TM105" s="37"/>
      <c r="TN105" s="37"/>
      <c r="TO105" s="37"/>
      <c r="TP105" s="37"/>
      <c r="TQ105" s="37"/>
      <c r="TR105" s="37"/>
      <c r="TS105" s="37"/>
      <c r="TT105" s="37"/>
      <c r="TU105" s="37"/>
      <c r="TV105" s="37"/>
      <c r="TW105" s="37"/>
      <c r="TX105" s="37"/>
      <c r="TY105" s="37"/>
      <c r="TZ105" s="37"/>
      <c r="UA105" s="37"/>
      <c r="UB105" s="37"/>
      <c r="UC105" s="37"/>
      <c r="UD105" s="37"/>
      <c r="UE105" s="37"/>
      <c r="UF105" s="37"/>
      <c r="UG105" s="37"/>
      <c r="UH105" s="37"/>
      <c r="UI105" s="37"/>
      <c r="UJ105" s="37"/>
      <c r="UK105" s="37"/>
      <c r="UL105" s="37"/>
      <c r="UM105" s="37"/>
      <c r="UN105" s="37"/>
      <c r="UO105" s="37"/>
      <c r="UP105" s="37"/>
      <c r="UQ105" s="37"/>
      <c r="UR105" s="37"/>
      <c r="US105" s="37"/>
      <c r="UT105" s="37"/>
      <c r="UU105" s="37"/>
      <c r="UV105" s="37"/>
      <c r="UW105" s="37"/>
      <c r="UX105" s="37"/>
      <c r="UY105" s="37"/>
      <c r="UZ105" s="37"/>
      <c r="VA105" s="37"/>
      <c r="VB105" s="37"/>
      <c r="VC105" s="37"/>
      <c r="VD105" s="37"/>
      <c r="VE105" s="37"/>
      <c r="VF105" s="37"/>
      <c r="VG105" s="37"/>
      <c r="VH105" s="37"/>
      <c r="VI105" s="37"/>
      <c r="VJ105" s="37"/>
      <c r="VK105" s="37"/>
      <c r="VL105" s="37"/>
      <c r="VM105" s="37"/>
      <c r="VN105" s="37"/>
      <c r="VO105" s="37"/>
      <c r="VP105" s="37"/>
      <c r="VQ105" s="37"/>
      <c r="VR105" s="37"/>
      <c r="VS105" s="37"/>
      <c r="VT105" s="37"/>
      <c r="VU105" s="37"/>
      <c r="VV105" s="37"/>
      <c r="VW105" s="37"/>
      <c r="VX105" s="37"/>
      <c r="VY105" s="37"/>
      <c r="VZ105" s="37"/>
      <c r="WA105" s="37"/>
      <c r="WB105" s="37"/>
      <c r="WC105" s="37"/>
      <c r="WD105" s="37"/>
      <c r="WE105" s="37"/>
      <c r="WF105" s="37"/>
      <c r="WG105" s="37"/>
      <c r="WH105" s="37"/>
      <c r="WI105" s="37"/>
      <c r="WJ105" s="37"/>
      <c r="WK105" s="37"/>
      <c r="WL105" s="37"/>
      <c r="WM105" s="37"/>
      <c r="WN105" s="37"/>
      <c r="WO105" s="37"/>
      <c r="WP105" s="37"/>
      <c r="WQ105" s="37"/>
      <c r="WR105" s="37"/>
      <c r="WS105" s="37"/>
      <c r="WT105" s="37"/>
      <c r="WU105" s="37"/>
      <c r="WV105" s="37"/>
      <c r="WW105" s="37"/>
      <c r="WX105" s="37"/>
      <c r="WY105" s="37"/>
      <c r="WZ105" s="37"/>
      <c r="XA105" s="37"/>
      <c r="XB105" s="37"/>
      <c r="XC105" s="37"/>
      <c r="XD105" s="37"/>
      <c r="XE105" s="37"/>
      <c r="XF105" s="37"/>
      <c r="XG105" s="37"/>
      <c r="XH105" s="37"/>
      <c r="XI105" s="37"/>
      <c r="XJ105" s="37"/>
      <c r="XK105" s="37"/>
      <c r="XL105" s="37"/>
      <c r="XM105" s="37"/>
      <c r="XN105" s="37"/>
      <c r="XO105" s="37"/>
      <c r="XP105" s="37"/>
      <c r="XQ105" s="37"/>
      <c r="XR105" s="37"/>
      <c r="XS105" s="37"/>
      <c r="XT105" s="37"/>
      <c r="XU105" s="37"/>
      <c r="XV105" s="37"/>
      <c r="XW105" s="37"/>
      <c r="XX105" s="37"/>
      <c r="XY105" s="37"/>
      <c r="XZ105" s="37"/>
      <c r="YA105" s="37"/>
      <c r="YB105" s="37"/>
      <c r="YC105" s="37"/>
      <c r="YD105" s="37"/>
      <c r="YE105" s="37"/>
      <c r="YF105" s="37"/>
      <c r="YG105" s="37"/>
      <c r="YH105" s="37"/>
      <c r="YI105" s="37"/>
      <c r="YJ105" s="37"/>
      <c r="YK105" s="37"/>
      <c r="YL105" s="37"/>
      <c r="YM105" s="37"/>
      <c r="YN105" s="37"/>
      <c r="YO105" s="37"/>
      <c r="YP105" s="37"/>
      <c r="YQ105" s="37"/>
      <c r="YR105" s="37"/>
      <c r="YS105" s="37"/>
      <c r="YT105" s="37"/>
      <c r="YU105" s="37"/>
      <c r="YV105" s="37"/>
      <c r="YW105" s="37"/>
      <c r="YX105" s="37"/>
      <c r="YY105" s="37"/>
      <c r="YZ105" s="37"/>
      <c r="ZA105" s="37"/>
      <c r="ZB105" s="37"/>
      <c r="ZC105" s="37"/>
      <c r="ZD105" s="37"/>
      <c r="ZE105" s="37"/>
      <c r="ZF105" s="37"/>
      <c r="ZG105" s="37"/>
      <c r="ZH105" s="37"/>
      <c r="ZI105" s="37"/>
      <c r="ZJ105" s="37"/>
      <c r="ZK105" s="37"/>
      <c r="ZL105" s="37"/>
      <c r="ZM105" s="37"/>
      <c r="ZN105" s="37"/>
      <c r="ZO105" s="37"/>
      <c r="ZP105" s="37"/>
      <c r="ZQ105" s="37"/>
      <c r="ZR105" s="37"/>
      <c r="ZS105" s="37"/>
      <c r="ZT105" s="37"/>
      <c r="ZU105" s="37"/>
      <c r="ZV105" s="37"/>
      <c r="ZW105" s="37"/>
      <c r="ZX105" s="37"/>
      <c r="ZY105" s="37"/>
      <c r="ZZ105" s="37"/>
      <c r="AAA105" s="37"/>
      <c r="AAB105" s="37"/>
      <c r="AAC105" s="37"/>
      <c r="AAD105" s="37"/>
      <c r="AAE105" s="37"/>
      <c r="AAF105" s="37"/>
      <c r="AAG105" s="37"/>
      <c r="AAH105" s="37"/>
      <c r="AAI105" s="37"/>
      <c r="AAJ105" s="37"/>
      <c r="AAK105" s="37"/>
      <c r="AAL105" s="37"/>
      <c r="AAM105" s="37"/>
      <c r="AAN105" s="37"/>
      <c r="AAO105" s="37"/>
      <c r="AAP105" s="37"/>
      <c r="AAQ105" s="37"/>
      <c r="AAR105" s="37"/>
      <c r="AAS105" s="37"/>
      <c r="AAT105" s="37"/>
      <c r="AAU105" s="37"/>
      <c r="AAV105" s="37"/>
      <c r="AAW105" s="37"/>
      <c r="AAX105" s="37"/>
      <c r="AAY105" s="37"/>
      <c r="AAZ105" s="37"/>
      <c r="ABA105" s="37"/>
      <c r="ABB105" s="37"/>
      <c r="ABC105" s="37"/>
      <c r="ABD105" s="37"/>
      <c r="ABE105" s="37"/>
      <c r="ABF105" s="37"/>
      <c r="ABG105" s="37"/>
      <c r="ABH105" s="37"/>
      <c r="ABI105" s="37"/>
      <c r="ABJ105" s="37"/>
      <c r="ABK105" s="37"/>
      <c r="ABL105" s="37"/>
      <c r="ABM105" s="37"/>
      <c r="ABN105" s="37"/>
      <c r="ABO105" s="37"/>
      <c r="ABP105" s="37"/>
      <c r="ABQ105" s="37"/>
      <c r="ABR105" s="37"/>
      <c r="ABS105" s="37"/>
      <c r="ABT105" s="37"/>
      <c r="ABU105" s="37"/>
      <c r="ABV105" s="37"/>
      <c r="ABW105" s="37"/>
      <c r="ABX105" s="37"/>
      <c r="ABY105" s="37"/>
      <c r="ABZ105" s="37"/>
      <c r="ACA105" s="37"/>
      <c r="ACB105" s="37"/>
      <c r="ACC105" s="37"/>
      <c r="ACD105" s="37"/>
      <c r="ACE105" s="37"/>
      <c r="ACF105" s="37"/>
      <c r="ACG105" s="37"/>
      <c r="ACH105" s="37"/>
      <c r="ACI105" s="37"/>
      <c r="ACJ105" s="37"/>
      <c r="ACK105" s="37"/>
      <c r="ACL105" s="37"/>
      <c r="ACM105" s="37"/>
      <c r="ACN105" s="37"/>
      <c r="ACO105" s="37"/>
      <c r="ACP105" s="37"/>
      <c r="ACQ105" s="37"/>
      <c r="ACR105" s="37"/>
      <c r="ACS105" s="37"/>
      <c r="ACT105" s="37"/>
      <c r="ACU105" s="37"/>
      <c r="ACV105" s="37"/>
      <c r="ACW105" s="37"/>
      <c r="ACX105" s="37"/>
      <c r="ACY105" s="37"/>
      <c r="ACZ105" s="37"/>
      <c r="ADA105" s="37"/>
      <c r="ADB105" s="37"/>
      <c r="ADC105" s="37"/>
      <c r="ADD105" s="37"/>
      <c r="ADE105" s="37"/>
      <c r="ADF105" s="37"/>
      <c r="ADG105" s="37"/>
      <c r="ADH105" s="37"/>
      <c r="ADI105" s="37"/>
      <c r="ADJ105" s="37"/>
      <c r="ADK105" s="37"/>
      <c r="ADL105" s="37"/>
      <c r="ADM105" s="37"/>
      <c r="ADN105" s="37"/>
      <c r="ADO105" s="37"/>
      <c r="ADP105" s="37"/>
      <c r="ADQ105" s="37"/>
      <c r="ADR105" s="37"/>
      <c r="ADS105" s="37"/>
      <c r="ADT105" s="37"/>
      <c r="ADU105" s="37"/>
      <c r="ADV105" s="37"/>
      <c r="ADW105" s="37"/>
      <c r="ADX105" s="37"/>
      <c r="ADY105" s="37"/>
      <c r="ADZ105" s="37"/>
      <c r="AEA105" s="37"/>
      <c r="AEB105" s="37"/>
      <c r="AEC105" s="37"/>
      <c r="AED105" s="37"/>
      <c r="AEE105" s="37"/>
      <c r="AEF105" s="37"/>
      <c r="AEG105" s="37"/>
      <c r="AEH105" s="37"/>
      <c r="AEI105" s="37"/>
      <c r="AEJ105" s="37"/>
      <c r="AEK105" s="37"/>
      <c r="AEL105" s="37"/>
      <c r="AEM105" s="37"/>
      <c r="AEN105" s="37"/>
      <c r="AEO105" s="37"/>
      <c r="AEP105" s="37"/>
      <c r="AEQ105" s="37"/>
      <c r="AER105" s="37"/>
      <c r="AES105" s="37"/>
      <c r="AET105" s="37"/>
      <c r="AEU105" s="37"/>
      <c r="AEV105" s="37"/>
      <c r="AEW105" s="37"/>
      <c r="AEX105" s="37"/>
      <c r="AEY105" s="37"/>
      <c r="AEZ105" s="37"/>
      <c r="AFA105" s="37"/>
      <c r="AFB105" s="37"/>
      <c r="AFC105" s="37"/>
      <c r="AFD105" s="37"/>
      <c r="AFE105" s="37"/>
      <c r="AFF105" s="37"/>
      <c r="AFG105" s="37"/>
      <c r="AFH105" s="37"/>
      <c r="AFI105" s="37"/>
      <c r="AFJ105" s="37"/>
      <c r="AFK105" s="37"/>
      <c r="AFL105" s="37"/>
      <c r="AFM105" s="37"/>
      <c r="AFN105" s="37"/>
      <c r="AFO105" s="37"/>
      <c r="AFP105" s="37"/>
      <c r="AFQ105" s="37"/>
      <c r="AFR105" s="37"/>
      <c r="AFS105" s="37"/>
      <c r="AFT105" s="37"/>
      <c r="AFU105" s="37"/>
      <c r="AFV105" s="37"/>
      <c r="AFW105" s="37"/>
      <c r="AFX105" s="37"/>
      <c r="AFY105" s="37"/>
      <c r="AFZ105" s="37"/>
      <c r="AGA105" s="37"/>
      <c r="AGB105" s="37"/>
      <c r="AGC105" s="37"/>
      <c r="AGD105" s="37"/>
      <c r="AGE105" s="37"/>
      <c r="AGF105" s="37"/>
      <c r="AGG105" s="37"/>
      <c r="AGH105" s="37"/>
      <c r="AGI105" s="37"/>
      <c r="AGJ105" s="37"/>
      <c r="AGK105" s="37"/>
      <c r="AGL105" s="37"/>
      <c r="AGM105" s="37"/>
      <c r="AGN105" s="37"/>
      <c r="AGO105" s="37"/>
      <c r="AGP105" s="37"/>
      <c r="AGQ105" s="37"/>
      <c r="AGR105" s="37"/>
      <c r="AGS105" s="37"/>
      <c r="AGT105" s="37"/>
      <c r="AGU105" s="37"/>
      <c r="AGV105" s="37"/>
      <c r="AGW105" s="37"/>
      <c r="AGX105" s="37"/>
      <c r="AGY105" s="37"/>
      <c r="AGZ105" s="37"/>
      <c r="AHA105" s="37"/>
      <c r="AHB105" s="37"/>
      <c r="AHC105" s="37"/>
      <c r="AHD105" s="37"/>
      <c r="AHE105" s="37"/>
      <c r="AHF105" s="37"/>
      <c r="AHG105" s="37"/>
      <c r="AHH105" s="37"/>
      <c r="AHI105" s="37"/>
      <c r="AHJ105" s="37"/>
      <c r="AHK105" s="37"/>
      <c r="AHL105" s="37"/>
      <c r="AHM105" s="37"/>
      <c r="AHN105" s="37"/>
      <c r="AHO105" s="37"/>
      <c r="AHP105" s="37"/>
      <c r="AHQ105" s="37"/>
      <c r="AHR105" s="37"/>
      <c r="AHS105" s="37"/>
      <c r="AHT105" s="37"/>
      <c r="AHU105" s="37"/>
      <c r="AHV105" s="37"/>
      <c r="AHW105" s="37"/>
      <c r="AHX105" s="37"/>
      <c r="AHY105" s="37"/>
      <c r="AHZ105" s="37"/>
      <c r="AIA105" s="37"/>
      <c r="AIB105" s="37"/>
      <c r="AIC105" s="37"/>
      <c r="AID105" s="37"/>
      <c r="AIE105" s="37"/>
      <c r="AIF105" s="37"/>
      <c r="AIG105" s="37"/>
      <c r="AIH105" s="37"/>
      <c r="AII105" s="37"/>
      <c r="AIJ105" s="37"/>
      <c r="AIK105" s="37"/>
      <c r="AIL105" s="37"/>
      <c r="AIM105" s="37"/>
      <c r="AIN105" s="37"/>
      <c r="AIO105" s="37"/>
      <c r="AIP105" s="37"/>
      <c r="AIQ105" s="37"/>
      <c r="AIR105" s="37"/>
      <c r="AIS105" s="37"/>
      <c r="AIT105" s="37"/>
      <c r="AIU105" s="37"/>
      <c r="AIV105" s="37"/>
      <c r="AIW105" s="37"/>
      <c r="AIX105" s="37"/>
      <c r="AIY105" s="37"/>
      <c r="AIZ105" s="37"/>
      <c r="AJA105" s="37"/>
      <c r="AJB105" s="37"/>
      <c r="AJC105" s="37"/>
      <c r="AJD105" s="37"/>
      <c r="AJE105" s="37"/>
      <c r="AJF105" s="37"/>
      <c r="AJG105" s="37"/>
      <c r="AJH105" s="37"/>
      <c r="AJI105" s="37"/>
      <c r="AJJ105" s="37"/>
      <c r="AJK105" s="37"/>
      <c r="AJL105" s="37"/>
      <c r="AJM105" s="37"/>
      <c r="AJN105" s="37"/>
      <c r="AJO105" s="37"/>
      <c r="AJP105" s="37"/>
      <c r="AJQ105" s="37"/>
      <c r="AJR105" s="37"/>
      <c r="AJS105" s="37"/>
      <c r="AJT105" s="37"/>
      <c r="AJU105" s="37"/>
      <c r="AJV105" s="37"/>
      <c r="AJW105" s="37"/>
      <c r="AJX105" s="37"/>
      <c r="AJY105" s="37"/>
      <c r="AJZ105" s="37"/>
      <c r="AKA105" s="37"/>
      <c r="AKB105" s="37"/>
      <c r="AKC105" s="37"/>
      <c r="AKD105" s="37"/>
      <c r="AKE105" s="37"/>
      <c r="AKF105" s="37"/>
      <c r="AKG105" s="37"/>
      <c r="AKH105" s="37"/>
      <c r="AKI105" s="37"/>
      <c r="AKJ105" s="37"/>
      <c r="AKK105" s="37"/>
      <c r="AKL105" s="37"/>
      <c r="AKM105" s="37"/>
      <c r="AKN105" s="37"/>
      <c r="AKO105" s="37"/>
      <c r="AKP105" s="37"/>
      <c r="AKQ105" s="37"/>
      <c r="AKR105" s="37"/>
      <c r="AKS105" s="37"/>
      <c r="AKT105" s="37"/>
      <c r="AKU105" s="37"/>
      <c r="AKV105" s="37"/>
      <c r="AKW105" s="37"/>
      <c r="AKX105" s="37"/>
      <c r="AKY105" s="37"/>
      <c r="AKZ105" s="37"/>
      <c r="ALA105" s="37"/>
      <c r="ALB105" s="37"/>
      <c r="ALC105" s="37"/>
      <c r="ALD105" s="37"/>
      <c r="ALE105" s="37"/>
      <c r="ALF105" s="37"/>
      <c r="ALG105" s="37"/>
      <c r="ALH105" s="37"/>
      <c r="ALI105" s="37"/>
      <c r="ALJ105" s="37"/>
      <c r="ALK105" s="37"/>
      <c r="ALL105" s="37"/>
      <c r="ALM105" s="37"/>
      <c r="ALN105" s="37"/>
      <c r="ALO105" s="37"/>
      <c r="ALP105" s="37"/>
      <c r="ALQ105" s="37"/>
      <c r="ALR105" s="37"/>
      <c r="ALS105" s="37"/>
      <c r="ALT105" s="37"/>
      <c r="ALU105" s="37"/>
      <c r="ALV105" s="37"/>
      <c r="ALW105" s="37"/>
      <c r="ALX105" s="37"/>
      <c r="ALY105" s="37"/>
      <c r="ALZ105" s="37"/>
      <c r="AMA105" s="37"/>
      <c r="AMB105" s="37"/>
      <c r="AMC105" s="37"/>
    </row>
    <row r="106" spans="1:1017" s="38" customFormat="1" ht="19.5" customHeight="1">
      <c r="A106" s="75"/>
      <c r="B106" s="76"/>
      <c r="C106" s="75"/>
      <c r="D106" s="75"/>
      <c r="E106" s="75"/>
      <c r="F106" s="75"/>
      <c r="G106" s="77">
        <v>48</v>
      </c>
      <c r="H106" s="77">
        <v>62</v>
      </c>
      <c r="I106" s="77">
        <v>21</v>
      </c>
      <c r="J106" s="77">
        <v>16</v>
      </c>
      <c r="K106" s="77">
        <v>110</v>
      </c>
      <c r="L106" s="77">
        <v>108</v>
      </c>
      <c r="M106" s="77">
        <v>118</v>
      </c>
      <c r="N106" s="77"/>
      <c r="O106" s="7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/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37"/>
      <c r="QL106" s="37"/>
      <c r="QM106" s="37"/>
      <c r="QN106" s="37"/>
      <c r="QO106" s="37"/>
      <c r="QP106" s="37"/>
      <c r="QQ106" s="37"/>
      <c r="QR106" s="37"/>
      <c r="QS106" s="37"/>
      <c r="QT106" s="37"/>
      <c r="QU106" s="37"/>
      <c r="QV106" s="37"/>
      <c r="QW106" s="37"/>
      <c r="QX106" s="37"/>
      <c r="QY106" s="37"/>
      <c r="QZ106" s="37"/>
      <c r="RA106" s="37"/>
      <c r="RB106" s="37"/>
      <c r="RC106" s="37"/>
      <c r="RD106" s="37"/>
      <c r="RE106" s="37"/>
      <c r="RF106" s="37"/>
      <c r="RG106" s="37"/>
      <c r="RH106" s="37"/>
      <c r="RI106" s="37"/>
      <c r="RJ106" s="37"/>
      <c r="RK106" s="37"/>
      <c r="RL106" s="37"/>
      <c r="RM106" s="37"/>
      <c r="RN106" s="37"/>
      <c r="RO106" s="37"/>
      <c r="RP106" s="37"/>
      <c r="RQ106" s="37"/>
      <c r="RR106" s="37"/>
      <c r="RS106" s="37"/>
      <c r="RT106" s="37"/>
      <c r="RU106" s="37"/>
      <c r="RV106" s="37"/>
      <c r="RW106" s="37"/>
      <c r="RX106" s="37"/>
      <c r="RY106" s="37"/>
      <c r="RZ106" s="37"/>
      <c r="SA106" s="37"/>
      <c r="SB106" s="37"/>
      <c r="SC106" s="37"/>
      <c r="SD106" s="37"/>
      <c r="SE106" s="37"/>
      <c r="SF106" s="37"/>
      <c r="SG106" s="37"/>
      <c r="SH106" s="37"/>
      <c r="SI106" s="37"/>
      <c r="SJ106" s="37"/>
      <c r="SK106" s="37"/>
      <c r="SL106" s="37"/>
      <c r="SM106" s="37"/>
      <c r="SN106" s="37"/>
      <c r="SO106" s="37"/>
      <c r="SP106" s="37"/>
      <c r="SQ106" s="37"/>
      <c r="SR106" s="37"/>
      <c r="SS106" s="37"/>
      <c r="ST106" s="37"/>
      <c r="SU106" s="37"/>
      <c r="SV106" s="37"/>
      <c r="SW106" s="37"/>
      <c r="SX106" s="37"/>
      <c r="SY106" s="37"/>
      <c r="SZ106" s="37"/>
      <c r="TA106" s="37"/>
      <c r="TB106" s="37"/>
      <c r="TC106" s="37"/>
      <c r="TD106" s="37"/>
      <c r="TE106" s="37"/>
      <c r="TF106" s="37"/>
      <c r="TG106" s="37"/>
      <c r="TH106" s="37"/>
      <c r="TI106" s="37"/>
      <c r="TJ106" s="37"/>
      <c r="TK106" s="37"/>
      <c r="TL106" s="37"/>
      <c r="TM106" s="37"/>
      <c r="TN106" s="37"/>
      <c r="TO106" s="37"/>
      <c r="TP106" s="37"/>
      <c r="TQ106" s="37"/>
      <c r="TR106" s="37"/>
      <c r="TS106" s="37"/>
      <c r="TT106" s="37"/>
      <c r="TU106" s="37"/>
      <c r="TV106" s="37"/>
      <c r="TW106" s="37"/>
      <c r="TX106" s="37"/>
      <c r="TY106" s="37"/>
      <c r="TZ106" s="37"/>
      <c r="UA106" s="37"/>
      <c r="UB106" s="37"/>
      <c r="UC106" s="37"/>
      <c r="UD106" s="37"/>
      <c r="UE106" s="37"/>
      <c r="UF106" s="37"/>
      <c r="UG106" s="37"/>
      <c r="UH106" s="37"/>
      <c r="UI106" s="37"/>
      <c r="UJ106" s="37"/>
      <c r="UK106" s="37"/>
      <c r="UL106" s="37"/>
      <c r="UM106" s="37"/>
      <c r="UN106" s="37"/>
      <c r="UO106" s="37"/>
      <c r="UP106" s="37"/>
      <c r="UQ106" s="37"/>
      <c r="UR106" s="37"/>
      <c r="US106" s="37"/>
      <c r="UT106" s="37"/>
      <c r="UU106" s="37"/>
      <c r="UV106" s="37"/>
      <c r="UW106" s="37"/>
      <c r="UX106" s="37"/>
      <c r="UY106" s="37"/>
      <c r="UZ106" s="37"/>
      <c r="VA106" s="37"/>
      <c r="VB106" s="37"/>
      <c r="VC106" s="37"/>
      <c r="VD106" s="37"/>
      <c r="VE106" s="37"/>
      <c r="VF106" s="37"/>
      <c r="VG106" s="37"/>
      <c r="VH106" s="37"/>
      <c r="VI106" s="37"/>
      <c r="VJ106" s="37"/>
      <c r="VK106" s="37"/>
      <c r="VL106" s="37"/>
      <c r="VM106" s="37"/>
      <c r="VN106" s="37"/>
      <c r="VO106" s="37"/>
      <c r="VP106" s="37"/>
      <c r="VQ106" s="37"/>
      <c r="VR106" s="37"/>
      <c r="VS106" s="37"/>
      <c r="VT106" s="37"/>
      <c r="VU106" s="37"/>
      <c r="VV106" s="37"/>
      <c r="VW106" s="37"/>
      <c r="VX106" s="37"/>
      <c r="VY106" s="37"/>
      <c r="VZ106" s="37"/>
      <c r="WA106" s="37"/>
      <c r="WB106" s="37"/>
      <c r="WC106" s="37"/>
      <c r="WD106" s="37"/>
      <c r="WE106" s="37"/>
      <c r="WF106" s="37"/>
      <c r="WG106" s="37"/>
      <c r="WH106" s="37"/>
      <c r="WI106" s="37"/>
      <c r="WJ106" s="37"/>
      <c r="WK106" s="37"/>
      <c r="WL106" s="37"/>
      <c r="WM106" s="37"/>
      <c r="WN106" s="37"/>
      <c r="WO106" s="37"/>
      <c r="WP106" s="37"/>
      <c r="WQ106" s="37"/>
      <c r="WR106" s="37"/>
      <c r="WS106" s="37"/>
      <c r="WT106" s="37"/>
      <c r="WU106" s="37"/>
      <c r="WV106" s="37"/>
      <c r="WW106" s="37"/>
      <c r="WX106" s="37"/>
      <c r="WY106" s="37"/>
      <c r="WZ106" s="37"/>
      <c r="XA106" s="37"/>
      <c r="XB106" s="37"/>
      <c r="XC106" s="37"/>
      <c r="XD106" s="37"/>
      <c r="XE106" s="37"/>
      <c r="XF106" s="37"/>
      <c r="XG106" s="37"/>
      <c r="XH106" s="37"/>
      <c r="XI106" s="37"/>
      <c r="XJ106" s="37"/>
      <c r="XK106" s="37"/>
      <c r="XL106" s="37"/>
      <c r="XM106" s="37"/>
      <c r="XN106" s="37"/>
      <c r="XO106" s="37"/>
      <c r="XP106" s="37"/>
      <c r="XQ106" s="37"/>
      <c r="XR106" s="37"/>
      <c r="XS106" s="37"/>
      <c r="XT106" s="37"/>
      <c r="XU106" s="37"/>
      <c r="XV106" s="37"/>
      <c r="XW106" s="37"/>
      <c r="XX106" s="37"/>
      <c r="XY106" s="37"/>
      <c r="XZ106" s="37"/>
      <c r="YA106" s="37"/>
      <c r="YB106" s="37"/>
      <c r="YC106" s="37"/>
      <c r="YD106" s="37"/>
      <c r="YE106" s="37"/>
      <c r="YF106" s="37"/>
      <c r="YG106" s="37"/>
      <c r="YH106" s="37"/>
      <c r="YI106" s="37"/>
      <c r="YJ106" s="37"/>
      <c r="YK106" s="37"/>
      <c r="YL106" s="37"/>
      <c r="YM106" s="37"/>
      <c r="YN106" s="37"/>
      <c r="YO106" s="37"/>
      <c r="YP106" s="37"/>
      <c r="YQ106" s="37"/>
      <c r="YR106" s="37"/>
      <c r="YS106" s="37"/>
      <c r="YT106" s="37"/>
      <c r="YU106" s="37"/>
      <c r="YV106" s="37"/>
      <c r="YW106" s="37"/>
      <c r="YX106" s="37"/>
      <c r="YY106" s="37"/>
      <c r="YZ106" s="37"/>
      <c r="ZA106" s="37"/>
      <c r="ZB106" s="37"/>
      <c r="ZC106" s="37"/>
      <c r="ZD106" s="37"/>
      <c r="ZE106" s="37"/>
      <c r="ZF106" s="37"/>
      <c r="ZG106" s="37"/>
      <c r="ZH106" s="37"/>
      <c r="ZI106" s="37"/>
      <c r="ZJ106" s="37"/>
      <c r="ZK106" s="37"/>
      <c r="ZL106" s="37"/>
      <c r="ZM106" s="37"/>
      <c r="ZN106" s="37"/>
      <c r="ZO106" s="37"/>
      <c r="ZP106" s="37"/>
      <c r="ZQ106" s="37"/>
      <c r="ZR106" s="37"/>
      <c r="ZS106" s="37"/>
      <c r="ZT106" s="37"/>
      <c r="ZU106" s="37"/>
      <c r="ZV106" s="37"/>
      <c r="ZW106" s="37"/>
      <c r="ZX106" s="37"/>
      <c r="ZY106" s="37"/>
      <c r="ZZ106" s="37"/>
      <c r="AAA106" s="37"/>
      <c r="AAB106" s="37"/>
      <c r="AAC106" s="37"/>
      <c r="AAD106" s="37"/>
      <c r="AAE106" s="37"/>
      <c r="AAF106" s="37"/>
      <c r="AAG106" s="37"/>
      <c r="AAH106" s="37"/>
      <c r="AAI106" s="37"/>
      <c r="AAJ106" s="37"/>
      <c r="AAK106" s="37"/>
      <c r="AAL106" s="37"/>
      <c r="AAM106" s="37"/>
      <c r="AAN106" s="37"/>
      <c r="AAO106" s="37"/>
      <c r="AAP106" s="37"/>
      <c r="AAQ106" s="37"/>
      <c r="AAR106" s="37"/>
      <c r="AAS106" s="37"/>
      <c r="AAT106" s="37"/>
      <c r="AAU106" s="37"/>
      <c r="AAV106" s="37"/>
      <c r="AAW106" s="37"/>
      <c r="AAX106" s="37"/>
      <c r="AAY106" s="37"/>
      <c r="AAZ106" s="37"/>
      <c r="ABA106" s="37"/>
      <c r="ABB106" s="37"/>
      <c r="ABC106" s="37"/>
      <c r="ABD106" s="37"/>
      <c r="ABE106" s="37"/>
      <c r="ABF106" s="37"/>
      <c r="ABG106" s="37"/>
      <c r="ABH106" s="37"/>
      <c r="ABI106" s="37"/>
      <c r="ABJ106" s="37"/>
      <c r="ABK106" s="37"/>
      <c r="ABL106" s="37"/>
      <c r="ABM106" s="37"/>
      <c r="ABN106" s="37"/>
      <c r="ABO106" s="37"/>
      <c r="ABP106" s="37"/>
      <c r="ABQ106" s="37"/>
      <c r="ABR106" s="37"/>
      <c r="ABS106" s="37"/>
      <c r="ABT106" s="37"/>
      <c r="ABU106" s="37"/>
      <c r="ABV106" s="37"/>
      <c r="ABW106" s="37"/>
      <c r="ABX106" s="37"/>
      <c r="ABY106" s="37"/>
      <c r="ABZ106" s="37"/>
      <c r="ACA106" s="37"/>
      <c r="ACB106" s="37"/>
      <c r="ACC106" s="37"/>
      <c r="ACD106" s="37"/>
      <c r="ACE106" s="37"/>
      <c r="ACF106" s="37"/>
      <c r="ACG106" s="37"/>
      <c r="ACH106" s="37"/>
      <c r="ACI106" s="37"/>
      <c r="ACJ106" s="37"/>
      <c r="ACK106" s="37"/>
      <c r="ACL106" s="37"/>
      <c r="ACM106" s="37"/>
      <c r="ACN106" s="37"/>
      <c r="ACO106" s="37"/>
      <c r="ACP106" s="37"/>
      <c r="ACQ106" s="37"/>
      <c r="ACR106" s="37"/>
      <c r="ACS106" s="37"/>
      <c r="ACT106" s="37"/>
      <c r="ACU106" s="37"/>
      <c r="ACV106" s="37"/>
      <c r="ACW106" s="37"/>
      <c r="ACX106" s="37"/>
      <c r="ACY106" s="37"/>
      <c r="ACZ106" s="37"/>
      <c r="ADA106" s="37"/>
      <c r="ADB106" s="37"/>
      <c r="ADC106" s="37"/>
      <c r="ADD106" s="37"/>
      <c r="ADE106" s="37"/>
      <c r="ADF106" s="37"/>
      <c r="ADG106" s="37"/>
      <c r="ADH106" s="37"/>
      <c r="ADI106" s="37"/>
      <c r="ADJ106" s="37"/>
      <c r="ADK106" s="37"/>
      <c r="ADL106" s="37"/>
      <c r="ADM106" s="37"/>
      <c r="ADN106" s="37"/>
      <c r="ADO106" s="37"/>
      <c r="ADP106" s="37"/>
      <c r="ADQ106" s="37"/>
      <c r="ADR106" s="37"/>
      <c r="ADS106" s="37"/>
      <c r="ADT106" s="37"/>
      <c r="ADU106" s="37"/>
      <c r="ADV106" s="37"/>
      <c r="ADW106" s="37"/>
      <c r="ADX106" s="37"/>
      <c r="ADY106" s="37"/>
      <c r="ADZ106" s="37"/>
      <c r="AEA106" s="37"/>
      <c r="AEB106" s="37"/>
      <c r="AEC106" s="37"/>
      <c r="AED106" s="37"/>
      <c r="AEE106" s="37"/>
      <c r="AEF106" s="37"/>
      <c r="AEG106" s="37"/>
      <c r="AEH106" s="37"/>
      <c r="AEI106" s="37"/>
      <c r="AEJ106" s="37"/>
      <c r="AEK106" s="37"/>
      <c r="AEL106" s="37"/>
      <c r="AEM106" s="37"/>
      <c r="AEN106" s="37"/>
      <c r="AEO106" s="37"/>
      <c r="AEP106" s="37"/>
      <c r="AEQ106" s="37"/>
      <c r="AER106" s="37"/>
      <c r="AES106" s="37"/>
      <c r="AET106" s="37"/>
      <c r="AEU106" s="37"/>
      <c r="AEV106" s="37"/>
      <c r="AEW106" s="37"/>
      <c r="AEX106" s="37"/>
      <c r="AEY106" s="37"/>
      <c r="AEZ106" s="37"/>
      <c r="AFA106" s="37"/>
      <c r="AFB106" s="37"/>
      <c r="AFC106" s="37"/>
      <c r="AFD106" s="37"/>
      <c r="AFE106" s="37"/>
      <c r="AFF106" s="37"/>
      <c r="AFG106" s="37"/>
      <c r="AFH106" s="37"/>
      <c r="AFI106" s="37"/>
      <c r="AFJ106" s="37"/>
      <c r="AFK106" s="37"/>
      <c r="AFL106" s="37"/>
      <c r="AFM106" s="37"/>
      <c r="AFN106" s="37"/>
      <c r="AFO106" s="37"/>
      <c r="AFP106" s="37"/>
      <c r="AFQ106" s="37"/>
      <c r="AFR106" s="37"/>
      <c r="AFS106" s="37"/>
      <c r="AFT106" s="37"/>
      <c r="AFU106" s="37"/>
      <c r="AFV106" s="37"/>
      <c r="AFW106" s="37"/>
      <c r="AFX106" s="37"/>
      <c r="AFY106" s="37"/>
      <c r="AFZ106" s="37"/>
      <c r="AGA106" s="37"/>
      <c r="AGB106" s="37"/>
      <c r="AGC106" s="37"/>
      <c r="AGD106" s="37"/>
      <c r="AGE106" s="37"/>
      <c r="AGF106" s="37"/>
      <c r="AGG106" s="37"/>
      <c r="AGH106" s="37"/>
      <c r="AGI106" s="37"/>
      <c r="AGJ106" s="37"/>
      <c r="AGK106" s="37"/>
      <c r="AGL106" s="37"/>
      <c r="AGM106" s="37"/>
      <c r="AGN106" s="37"/>
      <c r="AGO106" s="37"/>
      <c r="AGP106" s="37"/>
      <c r="AGQ106" s="37"/>
      <c r="AGR106" s="37"/>
      <c r="AGS106" s="37"/>
      <c r="AGT106" s="37"/>
      <c r="AGU106" s="37"/>
      <c r="AGV106" s="37"/>
      <c r="AGW106" s="37"/>
      <c r="AGX106" s="37"/>
      <c r="AGY106" s="37"/>
      <c r="AGZ106" s="37"/>
      <c r="AHA106" s="37"/>
      <c r="AHB106" s="37"/>
      <c r="AHC106" s="37"/>
      <c r="AHD106" s="37"/>
      <c r="AHE106" s="37"/>
      <c r="AHF106" s="37"/>
      <c r="AHG106" s="37"/>
      <c r="AHH106" s="37"/>
      <c r="AHI106" s="37"/>
      <c r="AHJ106" s="37"/>
      <c r="AHK106" s="37"/>
      <c r="AHL106" s="37"/>
      <c r="AHM106" s="37"/>
      <c r="AHN106" s="37"/>
      <c r="AHO106" s="37"/>
      <c r="AHP106" s="37"/>
      <c r="AHQ106" s="37"/>
      <c r="AHR106" s="37"/>
      <c r="AHS106" s="37"/>
      <c r="AHT106" s="37"/>
      <c r="AHU106" s="37"/>
      <c r="AHV106" s="37"/>
      <c r="AHW106" s="37"/>
      <c r="AHX106" s="37"/>
      <c r="AHY106" s="37"/>
      <c r="AHZ106" s="37"/>
      <c r="AIA106" s="37"/>
      <c r="AIB106" s="37"/>
      <c r="AIC106" s="37"/>
      <c r="AID106" s="37"/>
      <c r="AIE106" s="37"/>
      <c r="AIF106" s="37"/>
      <c r="AIG106" s="37"/>
      <c r="AIH106" s="37"/>
      <c r="AII106" s="37"/>
      <c r="AIJ106" s="37"/>
      <c r="AIK106" s="37"/>
      <c r="AIL106" s="37"/>
      <c r="AIM106" s="37"/>
      <c r="AIN106" s="37"/>
      <c r="AIO106" s="37"/>
      <c r="AIP106" s="37"/>
      <c r="AIQ106" s="37"/>
      <c r="AIR106" s="37"/>
      <c r="AIS106" s="37"/>
      <c r="AIT106" s="37"/>
      <c r="AIU106" s="37"/>
      <c r="AIV106" s="37"/>
      <c r="AIW106" s="37"/>
      <c r="AIX106" s="37"/>
      <c r="AIY106" s="37"/>
      <c r="AIZ106" s="37"/>
      <c r="AJA106" s="37"/>
      <c r="AJB106" s="37"/>
      <c r="AJC106" s="37"/>
      <c r="AJD106" s="37"/>
      <c r="AJE106" s="37"/>
      <c r="AJF106" s="37"/>
      <c r="AJG106" s="37"/>
      <c r="AJH106" s="37"/>
      <c r="AJI106" s="37"/>
      <c r="AJJ106" s="37"/>
      <c r="AJK106" s="37"/>
      <c r="AJL106" s="37"/>
      <c r="AJM106" s="37"/>
      <c r="AJN106" s="37"/>
      <c r="AJO106" s="37"/>
      <c r="AJP106" s="37"/>
      <c r="AJQ106" s="37"/>
      <c r="AJR106" s="37"/>
      <c r="AJS106" s="37"/>
      <c r="AJT106" s="37"/>
      <c r="AJU106" s="37"/>
      <c r="AJV106" s="37"/>
      <c r="AJW106" s="37"/>
      <c r="AJX106" s="37"/>
      <c r="AJY106" s="37"/>
      <c r="AJZ106" s="37"/>
      <c r="AKA106" s="37"/>
      <c r="AKB106" s="37"/>
      <c r="AKC106" s="37"/>
      <c r="AKD106" s="37"/>
      <c r="AKE106" s="37"/>
      <c r="AKF106" s="37"/>
      <c r="AKG106" s="37"/>
      <c r="AKH106" s="37"/>
      <c r="AKI106" s="37"/>
      <c r="AKJ106" s="37"/>
      <c r="AKK106" s="37"/>
      <c r="AKL106" s="37"/>
      <c r="AKM106" s="37"/>
      <c r="AKN106" s="37"/>
      <c r="AKO106" s="37"/>
      <c r="AKP106" s="37"/>
      <c r="AKQ106" s="37"/>
      <c r="AKR106" s="37"/>
      <c r="AKS106" s="37"/>
      <c r="AKT106" s="37"/>
      <c r="AKU106" s="37"/>
      <c r="AKV106" s="37"/>
      <c r="AKW106" s="37"/>
      <c r="AKX106" s="37"/>
      <c r="AKY106" s="37"/>
      <c r="AKZ106" s="37"/>
      <c r="ALA106" s="37"/>
      <c r="ALB106" s="37"/>
      <c r="ALC106" s="37"/>
      <c r="ALD106" s="37"/>
      <c r="ALE106" s="37"/>
      <c r="ALF106" s="37"/>
      <c r="ALG106" s="37"/>
      <c r="ALH106" s="37"/>
      <c r="ALI106" s="37"/>
      <c r="ALJ106" s="37"/>
      <c r="ALK106" s="37"/>
      <c r="ALL106" s="37"/>
      <c r="ALM106" s="37"/>
      <c r="ALN106" s="37"/>
      <c r="ALO106" s="37"/>
      <c r="ALP106" s="37"/>
      <c r="ALQ106" s="37"/>
      <c r="ALR106" s="37"/>
      <c r="ALS106" s="37"/>
      <c r="ALT106" s="37"/>
      <c r="ALU106" s="37"/>
      <c r="ALV106" s="37"/>
      <c r="ALW106" s="37"/>
      <c r="ALX106" s="37"/>
      <c r="ALY106" s="37"/>
      <c r="ALZ106" s="37"/>
      <c r="AMA106" s="37"/>
      <c r="AMB106" s="37"/>
      <c r="AMC106" s="37"/>
    </row>
    <row r="107" spans="1:1017" s="38" customFormat="1" ht="19.5" customHeight="1">
      <c r="A107" s="26" t="s">
        <v>200</v>
      </c>
      <c r="B107" s="25" t="s">
        <v>203</v>
      </c>
      <c r="C107" s="26" t="s">
        <v>46</v>
      </c>
      <c r="D107" s="26" t="s">
        <v>32</v>
      </c>
      <c r="E107" s="26" t="s">
        <v>261</v>
      </c>
      <c r="F107" s="26">
        <v>42</v>
      </c>
      <c r="G107" s="26" t="s">
        <v>34</v>
      </c>
      <c r="H107" s="26">
        <v>56</v>
      </c>
      <c r="I107" s="36">
        <v>46</v>
      </c>
      <c r="J107" s="36">
        <v>26</v>
      </c>
      <c r="K107" s="36">
        <v>18</v>
      </c>
      <c r="L107" s="36">
        <v>27</v>
      </c>
      <c r="M107" s="36">
        <v>27</v>
      </c>
      <c r="N107" s="36">
        <v>27</v>
      </c>
      <c r="O107" s="36">
        <v>72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  <c r="OU107" s="37"/>
      <c r="OV107" s="37"/>
      <c r="OW107" s="37"/>
      <c r="OX107" s="37"/>
      <c r="OY107" s="37"/>
      <c r="OZ107" s="37"/>
      <c r="PA107" s="37"/>
      <c r="PB107" s="37"/>
      <c r="PC107" s="37"/>
      <c r="PD107" s="37"/>
      <c r="PE107" s="37"/>
      <c r="PF107" s="37"/>
      <c r="PG107" s="37"/>
      <c r="PH107" s="37"/>
      <c r="PI107" s="37"/>
      <c r="PJ107" s="37"/>
      <c r="PK107" s="37"/>
      <c r="PL107" s="37"/>
      <c r="PM107" s="37"/>
      <c r="PN107" s="37"/>
      <c r="PO107" s="37"/>
      <c r="PP107" s="37"/>
      <c r="PQ107" s="37"/>
      <c r="PR107" s="37"/>
      <c r="PS107" s="37"/>
      <c r="PT107" s="37"/>
      <c r="PU107" s="37"/>
      <c r="PV107" s="37"/>
      <c r="PW107" s="37"/>
      <c r="PX107" s="37"/>
      <c r="PY107" s="37"/>
      <c r="PZ107" s="37"/>
      <c r="QA107" s="37"/>
      <c r="QB107" s="37"/>
      <c r="QC107" s="37"/>
      <c r="QD107" s="37"/>
      <c r="QE107" s="37"/>
      <c r="QF107" s="37"/>
      <c r="QG107" s="37"/>
      <c r="QH107" s="37"/>
      <c r="QI107" s="37"/>
      <c r="QJ107" s="37"/>
      <c r="QK107" s="37"/>
      <c r="QL107" s="37"/>
      <c r="QM107" s="37"/>
      <c r="QN107" s="37"/>
      <c r="QO107" s="37"/>
      <c r="QP107" s="37"/>
      <c r="QQ107" s="37"/>
      <c r="QR107" s="37"/>
      <c r="QS107" s="37"/>
      <c r="QT107" s="37"/>
      <c r="QU107" s="37"/>
      <c r="QV107" s="37"/>
      <c r="QW107" s="37"/>
      <c r="QX107" s="37"/>
      <c r="QY107" s="37"/>
      <c r="QZ107" s="37"/>
      <c r="RA107" s="37"/>
      <c r="RB107" s="37"/>
      <c r="RC107" s="37"/>
      <c r="RD107" s="37"/>
      <c r="RE107" s="37"/>
      <c r="RF107" s="37"/>
      <c r="RG107" s="37"/>
      <c r="RH107" s="37"/>
      <c r="RI107" s="37"/>
      <c r="RJ107" s="37"/>
      <c r="RK107" s="37"/>
      <c r="RL107" s="37"/>
      <c r="RM107" s="37"/>
      <c r="RN107" s="37"/>
      <c r="RO107" s="37"/>
      <c r="RP107" s="37"/>
      <c r="RQ107" s="37"/>
      <c r="RR107" s="37"/>
      <c r="RS107" s="37"/>
      <c r="RT107" s="37"/>
      <c r="RU107" s="37"/>
      <c r="RV107" s="37"/>
      <c r="RW107" s="37"/>
      <c r="RX107" s="37"/>
      <c r="RY107" s="37"/>
      <c r="RZ107" s="37"/>
      <c r="SA107" s="37"/>
      <c r="SB107" s="37"/>
      <c r="SC107" s="37"/>
      <c r="SD107" s="37"/>
      <c r="SE107" s="37"/>
      <c r="SF107" s="37"/>
      <c r="SG107" s="37"/>
      <c r="SH107" s="37"/>
      <c r="SI107" s="37"/>
      <c r="SJ107" s="37"/>
      <c r="SK107" s="37"/>
      <c r="SL107" s="37"/>
      <c r="SM107" s="37"/>
      <c r="SN107" s="37"/>
      <c r="SO107" s="37"/>
      <c r="SP107" s="37"/>
      <c r="SQ107" s="37"/>
      <c r="SR107" s="37"/>
      <c r="SS107" s="37"/>
      <c r="ST107" s="37"/>
      <c r="SU107" s="37"/>
      <c r="SV107" s="37"/>
      <c r="SW107" s="37"/>
      <c r="SX107" s="37"/>
      <c r="SY107" s="37"/>
      <c r="SZ107" s="37"/>
      <c r="TA107" s="37"/>
      <c r="TB107" s="37"/>
      <c r="TC107" s="37"/>
      <c r="TD107" s="37"/>
      <c r="TE107" s="37"/>
      <c r="TF107" s="37"/>
      <c r="TG107" s="37"/>
      <c r="TH107" s="37"/>
      <c r="TI107" s="37"/>
      <c r="TJ107" s="37"/>
      <c r="TK107" s="37"/>
      <c r="TL107" s="37"/>
      <c r="TM107" s="37"/>
      <c r="TN107" s="37"/>
      <c r="TO107" s="37"/>
      <c r="TP107" s="37"/>
      <c r="TQ107" s="37"/>
      <c r="TR107" s="37"/>
      <c r="TS107" s="37"/>
      <c r="TT107" s="37"/>
      <c r="TU107" s="37"/>
      <c r="TV107" s="37"/>
      <c r="TW107" s="37"/>
      <c r="TX107" s="37"/>
      <c r="TY107" s="37"/>
      <c r="TZ107" s="37"/>
      <c r="UA107" s="37"/>
      <c r="UB107" s="37"/>
      <c r="UC107" s="37"/>
      <c r="UD107" s="37"/>
      <c r="UE107" s="37"/>
      <c r="UF107" s="37"/>
      <c r="UG107" s="37"/>
      <c r="UH107" s="37"/>
      <c r="UI107" s="37"/>
      <c r="UJ107" s="37"/>
      <c r="UK107" s="37"/>
      <c r="UL107" s="37"/>
      <c r="UM107" s="37"/>
      <c r="UN107" s="37"/>
      <c r="UO107" s="37"/>
      <c r="UP107" s="37"/>
      <c r="UQ107" s="37"/>
      <c r="UR107" s="37"/>
      <c r="US107" s="37"/>
      <c r="UT107" s="37"/>
      <c r="UU107" s="37"/>
      <c r="UV107" s="37"/>
      <c r="UW107" s="37"/>
      <c r="UX107" s="37"/>
      <c r="UY107" s="37"/>
      <c r="UZ107" s="37"/>
      <c r="VA107" s="37"/>
      <c r="VB107" s="37"/>
      <c r="VC107" s="37"/>
      <c r="VD107" s="37"/>
      <c r="VE107" s="37"/>
      <c r="VF107" s="37"/>
      <c r="VG107" s="37"/>
      <c r="VH107" s="37"/>
      <c r="VI107" s="37"/>
      <c r="VJ107" s="37"/>
      <c r="VK107" s="37"/>
      <c r="VL107" s="37"/>
      <c r="VM107" s="37"/>
      <c r="VN107" s="37"/>
      <c r="VO107" s="37"/>
      <c r="VP107" s="37"/>
      <c r="VQ107" s="37"/>
      <c r="VR107" s="37"/>
      <c r="VS107" s="37"/>
      <c r="VT107" s="37"/>
      <c r="VU107" s="37"/>
      <c r="VV107" s="37"/>
      <c r="VW107" s="37"/>
      <c r="VX107" s="37"/>
      <c r="VY107" s="37"/>
      <c r="VZ107" s="37"/>
      <c r="WA107" s="37"/>
      <c r="WB107" s="37"/>
      <c r="WC107" s="37"/>
      <c r="WD107" s="37"/>
      <c r="WE107" s="37"/>
      <c r="WF107" s="37"/>
      <c r="WG107" s="37"/>
      <c r="WH107" s="37"/>
      <c r="WI107" s="37"/>
      <c r="WJ107" s="37"/>
      <c r="WK107" s="37"/>
      <c r="WL107" s="37"/>
      <c r="WM107" s="37"/>
      <c r="WN107" s="37"/>
      <c r="WO107" s="37"/>
      <c r="WP107" s="37"/>
      <c r="WQ107" s="37"/>
      <c r="WR107" s="37"/>
      <c r="WS107" s="37"/>
      <c r="WT107" s="37"/>
      <c r="WU107" s="37"/>
      <c r="WV107" s="37"/>
      <c r="WW107" s="37"/>
      <c r="WX107" s="37"/>
      <c r="WY107" s="37"/>
      <c r="WZ107" s="37"/>
      <c r="XA107" s="37"/>
      <c r="XB107" s="37"/>
      <c r="XC107" s="37"/>
      <c r="XD107" s="37"/>
      <c r="XE107" s="37"/>
      <c r="XF107" s="37"/>
      <c r="XG107" s="37"/>
      <c r="XH107" s="37"/>
      <c r="XI107" s="37"/>
      <c r="XJ107" s="37"/>
      <c r="XK107" s="37"/>
      <c r="XL107" s="37"/>
      <c r="XM107" s="37"/>
      <c r="XN107" s="37"/>
      <c r="XO107" s="37"/>
      <c r="XP107" s="37"/>
      <c r="XQ107" s="37"/>
      <c r="XR107" s="37"/>
      <c r="XS107" s="37"/>
      <c r="XT107" s="37"/>
      <c r="XU107" s="37"/>
      <c r="XV107" s="37"/>
      <c r="XW107" s="37"/>
      <c r="XX107" s="37"/>
      <c r="XY107" s="37"/>
      <c r="XZ107" s="37"/>
      <c r="YA107" s="37"/>
      <c r="YB107" s="37"/>
      <c r="YC107" s="37"/>
      <c r="YD107" s="37"/>
      <c r="YE107" s="37"/>
      <c r="YF107" s="37"/>
      <c r="YG107" s="37"/>
      <c r="YH107" s="37"/>
      <c r="YI107" s="37"/>
      <c r="YJ107" s="37"/>
      <c r="YK107" s="37"/>
      <c r="YL107" s="37"/>
      <c r="YM107" s="37"/>
      <c r="YN107" s="37"/>
      <c r="YO107" s="37"/>
      <c r="YP107" s="37"/>
      <c r="YQ107" s="37"/>
      <c r="YR107" s="37"/>
      <c r="YS107" s="37"/>
      <c r="YT107" s="37"/>
      <c r="YU107" s="37"/>
      <c r="YV107" s="37"/>
      <c r="YW107" s="37"/>
      <c r="YX107" s="37"/>
      <c r="YY107" s="37"/>
      <c r="YZ107" s="37"/>
      <c r="ZA107" s="37"/>
      <c r="ZB107" s="37"/>
      <c r="ZC107" s="37"/>
      <c r="ZD107" s="37"/>
      <c r="ZE107" s="37"/>
      <c r="ZF107" s="37"/>
      <c r="ZG107" s="37"/>
      <c r="ZH107" s="37"/>
      <c r="ZI107" s="37"/>
      <c r="ZJ107" s="37"/>
      <c r="ZK107" s="37"/>
      <c r="ZL107" s="37"/>
      <c r="ZM107" s="37"/>
      <c r="ZN107" s="37"/>
      <c r="ZO107" s="37"/>
      <c r="ZP107" s="37"/>
      <c r="ZQ107" s="37"/>
      <c r="ZR107" s="37"/>
      <c r="ZS107" s="37"/>
      <c r="ZT107" s="37"/>
      <c r="ZU107" s="37"/>
      <c r="ZV107" s="37"/>
      <c r="ZW107" s="37"/>
      <c r="ZX107" s="37"/>
      <c r="ZY107" s="37"/>
      <c r="ZZ107" s="37"/>
      <c r="AAA107" s="37"/>
      <c r="AAB107" s="37"/>
      <c r="AAC107" s="37"/>
      <c r="AAD107" s="37"/>
      <c r="AAE107" s="37"/>
      <c r="AAF107" s="37"/>
      <c r="AAG107" s="37"/>
      <c r="AAH107" s="37"/>
      <c r="AAI107" s="37"/>
      <c r="AAJ107" s="37"/>
      <c r="AAK107" s="37"/>
      <c r="AAL107" s="37"/>
      <c r="AAM107" s="37"/>
      <c r="AAN107" s="37"/>
      <c r="AAO107" s="37"/>
      <c r="AAP107" s="37"/>
      <c r="AAQ107" s="37"/>
      <c r="AAR107" s="37"/>
      <c r="AAS107" s="37"/>
      <c r="AAT107" s="37"/>
      <c r="AAU107" s="37"/>
      <c r="AAV107" s="37"/>
      <c r="AAW107" s="37"/>
      <c r="AAX107" s="37"/>
      <c r="AAY107" s="37"/>
      <c r="AAZ107" s="37"/>
      <c r="ABA107" s="37"/>
      <c r="ABB107" s="37"/>
      <c r="ABC107" s="37"/>
      <c r="ABD107" s="37"/>
      <c r="ABE107" s="37"/>
      <c r="ABF107" s="37"/>
      <c r="ABG107" s="37"/>
      <c r="ABH107" s="37"/>
      <c r="ABI107" s="37"/>
      <c r="ABJ107" s="37"/>
      <c r="ABK107" s="37"/>
      <c r="ABL107" s="37"/>
      <c r="ABM107" s="37"/>
      <c r="ABN107" s="37"/>
      <c r="ABO107" s="37"/>
      <c r="ABP107" s="37"/>
      <c r="ABQ107" s="37"/>
      <c r="ABR107" s="37"/>
      <c r="ABS107" s="37"/>
      <c r="ABT107" s="37"/>
      <c r="ABU107" s="37"/>
      <c r="ABV107" s="37"/>
      <c r="ABW107" s="37"/>
      <c r="ABX107" s="37"/>
      <c r="ABY107" s="37"/>
      <c r="ABZ107" s="37"/>
      <c r="ACA107" s="37"/>
      <c r="ACB107" s="37"/>
      <c r="ACC107" s="37"/>
      <c r="ACD107" s="37"/>
      <c r="ACE107" s="37"/>
      <c r="ACF107" s="37"/>
      <c r="ACG107" s="37"/>
      <c r="ACH107" s="37"/>
      <c r="ACI107" s="37"/>
      <c r="ACJ107" s="37"/>
      <c r="ACK107" s="37"/>
      <c r="ACL107" s="37"/>
      <c r="ACM107" s="37"/>
      <c r="ACN107" s="37"/>
      <c r="ACO107" s="37"/>
      <c r="ACP107" s="37"/>
      <c r="ACQ107" s="37"/>
      <c r="ACR107" s="37"/>
      <c r="ACS107" s="37"/>
      <c r="ACT107" s="37"/>
      <c r="ACU107" s="37"/>
      <c r="ACV107" s="37"/>
      <c r="ACW107" s="37"/>
      <c r="ACX107" s="37"/>
      <c r="ACY107" s="37"/>
      <c r="ACZ107" s="37"/>
      <c r="ADA107" s="37"/>
      <c r="ADB107" s="37"/>
      <c r="ADC107" s="37"/>
      <c r="ADD107" s="37"/>
      <c r="ADE107" s="37"/>
      <c r="ADF107" s="37"/>
      <c r="ADG107" s="37"/>
      <c r="ADH107" s="37"/>
      <c r="ADI107" s="37"/>
      <c r="ADJ107" s="37"/>
      <c r="ADK107" s="37"/>
      <c r="ADL107" s="37"/>
      <c r="ADM107" s="37"/>
      <c r="ADN107" s="37"/>
      <c r="ADO107" s="37"/>
      <c r="ADP107" s="37"/>
      <c r="ADQ107" s="37"/>
      <c r="ADR107" s="37"/>
      <c r="ADS107" s="37"/>
      <c r="ADT107" s="37"/>
      <c r="ADU107" s="37"/>
      <c r="ADV107" s="37"/>
      <c r="ADW107" s="37"/>
      <c r="ADX107" s="37"/>
      <c r="ADY107" s="37"/>
      <c r="ADZ107" s="37"/>
      <c r="AEA107" s="37"/>
      <c r="AEB107" s="37"/>
      <c r="AEC107" s="37"/>
      <c r="AED107" s="37"/>
      <c r="AEE107" s="37"/>
      <c r="AEF107" s="37"/>
      <c r="AEG107" s="37"/>
      <c r="AEH107" s="37"/>
      <c r="AEI107" s="37"/>
      <c r="AEJ107" s="37"/>
      <c r="AEK107" s="37"/>
      <c r="AEL107" s="37"/>
      <c r="AEM107" s="37"/>
      <c r="AEN107" s="37"/>
      <c r="AEO107" s="37"/>
      <c r="AEP107" s="37"/>
      <c r="AEQ107" s="37"/>
      <c r="AER107" s="37"/>
      <c r="AES107" s="37"/>
      <c r="AET107" s="37"/>
      <c r="AEU107" s="37"/>
      <c r="AEV107" s="37"/>
      <c r="AEW107" s="37"/>
      <c r="AEX107" s="37"/>
      <c r="AEY107" s="37"/>
      <c r="AEZ107" s="37"/>
      <c r="AFA107" s="37"/>
      <c r="AFB107" s="37"/>
      <c r="AFC107" s="37"/>
      <c r="AFD107" s="37"/>
      <c r="AFE107" s="37"/>
      <c r="AFF107" s="37"/>
      <c r="AFG107" s="37"/>
      <c r="AFH107" s="37"/>
      <c r="AFI107" s="37"/>
      <c r="AFJ107" s="37"/>
      <c r="AFK107" s="37"/>
      <c r="AFL107" s="37"/>
      <c r="AFM107" s="37"/>
      <c r="AFN107" s="37"/>
      <c r="AFO107" s="37"/>
      <c r="AFP107" s="37"/>
      <c r="AFQ107" s="37"/>
      <c r="AFR107" s="37"/>
      <c r="AFS107" s="37"/>
      <c r="AFT107" s="37"/>
      <c r="AFU107" s="37"/>
      <c r="AFV107" s="37"/>
      <c r="AFW107" s="37"/>
      <c r="AFX107" s="37"/>
      <c r="AFY107" s="37"/>
      <c r="AFZ107" s="37"/>
      <c r="AGA107" s="37"/>
      <c r="AGB107" s="37"/>
      <c r="AGC107" s="37"/>
      <c r="AGD107" s="37"/>
      <c r="AGE107" s="37"/>
      <c r="AGF107" s="37"/>
      <c r="AGG107" s="37"/>
      <c r="AGH107" s="37"/>
      <c r="AGI107" s="37"/>
      <c r="AGJ107" s="37"/>
      <c r="AGK107" s="37"/>
      <c r="AGL107" s="37"/>
      <c r="AGM107" s="37"/>
      <c r="AGN107" s="37"/>
      <c r="AGO107" s="37"/>
      <c r="AGP107" s="37"/>
      <c r="AGQ107" s="37"/>
      <c r="AGR107" s="37"/>
      <c r="AGS107" s="37"/>
      <c r="AGT107" s="37"/>
      <c r="AGU107" s="37"/>
      <c r="AGV107" s="37"/>
      <c r="AGW107" s="37"/>
      <c r="AGX107" s="37"/>
      <c r="AGY107" s="37"/>
      <c r="AGZ107" s="37"/>
      <c r="AHA107" s="37"/>
      <c r="AHB107" s="37"/>
      <c r="AHC107" s="37"/>
      <c r="AHD107" s="37"/>
      <c r="AHE107" s="37"/>
      <c r="AHF107" s="37"/>
      <c r="AHG107" s="37"/>
      <c r="AHH107" s="37"/>
      <c r="AHI107" s="37"/>
      <c r="AHJ107" s="37"/>
      <c r="AHK107" s="37"/>
      <c r="AHL107" s="37"/>
      <c r="AHM107" s="37"/>
      <c r="AHN107" s="37"/>
      <c r="AHO107" s="37"/>
      <c r="AHP107" s="37"/>
      <c r="AHQ107" s="37"/>
      <c r="AHR107" s="37"/>
      <c r="AHS107" s="37"/>
      <c r="AHT107" s="37"/>
      <c r="AHU107" s="37"/>
      <c r="AHV107" s="37"/>
      <c r="AHW107" s="37"/>
      <c r="AHX107" s="37"/>
      <c r="AHY107" s="37"/>
      <c r="AHZ107" s="37"/>
      <c r="AIA107" s="37"/>
      <c r="AIB107" s="37"/>
      <c r="AIC107" s="37"/>
      <c r="AID107" s="37"/>
      <c r="AIE107" s="37"/>
      <c r="AIF107" s="37"/>
      <c r="AIG107" s="37"/>
      <c r="AIH107" s="37"/>
      <c r="AII107" s="37"/>
      <c r="AIJ107" s="37"/>
      <c r="AIK107" s="37"/>
      <c r="AIL107" s="37"/>
      <c r="AIM107" s="37"/>
      <c r="AIN107" s="37"/>
      <c r="AIO107" s="37"/>
      <c r="AIP107" s="37"/>
      <c r="AIQ107" s="37"/>
      <c r="AIR107" s="37"/>
      <c r="AIS107" s="37"/>
      <c r="AIT107" s="37"/>
      <c r="AIU107" s="37"/>
      <c r="AIV107" s="37"/>
      <c r="AIW107" s="37"/>
      <c r="AIX107" s="37"/>
      <c r="AIY107" s="37"/>
      <c r="AIZ107" s="37"/>
      <c r="AJA107" s="37"/>
      <c r="AJB107" s="37"/>
      <c r="AJC107" s="37"/>
      <c r="AJD107" s="37"/>
      <c r="AJE107" s="37"/>
      <c r="AJF107" s="37"/>
      <c r="AJG107" s="37"/>
      <c r="AJH107" s="37"/>
      <c r="AJI107" s="37"/>
      <c r="AJJ107" s="37"/>
      <c r="AJK107" s="37"/>
      <c r="AJL107" s="37"/>
      <c r="AJM107" s="37"/>
      <c r="AJN107" s="37"/>
      <c r="AJO107" s="37"/>
      <c r="AJP107" s="37"/>
      <c r="AJQ107" s="37"/>
      <c r="AJR107" s="37"/>
      <c r="AJS107" s="37"/>
      <c r="AJT107" s="37"/>
      <c r="AJU107" s="37"/>
      <c r="AJV107" s="37"/>
      <c r="AJW107" s="37"/>
      <c r="AJX107" s="37"/>
      <c r="AJY107" s="37"/>
      <c r="AJZ107" s="37"/>
      <c r="AKA107" s="37"/>
      <c r="AKB107" s="37"/>
      <c r="AKC107" s="37"/>
      <c r="AKD107" s="37"/>
      <c r="AKE107" s="37"/>
      <c r="AKF107" s="37"/>
      <c r="AKG107" s="37"/>
      <c r="AKH107" s="37"/>
      <c r="AKI107" s="37"/>
      <c r="AKJ107" s="37"/>
      <c r="AKK107" s="37"/>
      <c r="AKL107" s="37"/>
      <c r="AKM107" s="37"/>
      <c r="AKN107" s="37"/>
      <c r="AKO107" s="37"/>
      <c r="AKP107" s="37"/>
      <c r="AKQ107" s="37"/>
      <c r="AKR107" s="37"/>
      <c r="AKS107" s="37"/>
      <c r="AKT107" s="37"/>
      <c r="AKU107" s="37"/>
      <c r="AKV107" s="37"/>
      <c r="AKW107" s="37"/>
      <c r="AKX107" s="37"/>
      <c r="AKY107" s="37"/>
      <c r="AKZ107" s="37"/>
      <c r="ALA107" s="37"/>
      <c r="ALB107" s="37"/>
      <c r="ALC107" s="37"/>
      <c r="ALD107" s="37"/>
      <c r="ALE107" s="37"/>
      <c r="ALF107" s="37"/>
      <c r="ALG107" s="37"/>
      <c r="ALH107" s="37"/>
      <c r="ALI107" s="37"/>
      <c r="ALJ107" s="37"/>
      <c r="ALK107" s="37"/>
      <c r="ALL107" s="37"/>
      <c r="ALM107" s="37"/>
      <c r="ALN107" s="37"/>
      <c r="ALO107" s="37"/>
      <c r="ALP107" s="37"/>
      <c r="ALQ107" s="37"/>
      <c r="ALR107" s="37"/>
      <c r="ALS107" s="37"/>
      <c r="ALT107" s="37"/>
      <c r="ALU107" s="37"/>
      <c r="ALV107" s="37"/>
      <c r="ALW107" s="37"/>
      <c r="ALX107" s="37"/>
      <c r="ALY107" s="37"/>
      <c r="ALZ107" s="37"/>
      <c r="AMA107" s="37"/>
      <c r="AMB107" s="37"/>
      <c r="AMC107" s="37"/>
    </row>
    <row r="108" spans="1:1017" s="38" customFormat="1" ht="19.5" customHeight="1">
      <c r="A108" s="72"/>
      <c r="B108" s="73"/>
      <c r="C108" s="72"/>
      <c r="D108" s="72"/>
      <c r="E108" s="72"/>
      <c r="F108" s="72"/>
      <c r="G108" s="35">
        <v>38</v>
      </c>
      <c r="H108" s="35">
        <v>81</v>
      </c>
      <c r="I108" s="35">
        <v>102</v>
      </c>
      <c r="J108" s="35">
        <v>65</v>
      </c>
      <c r="K108" s="35">
        <v>31</v>
      </c>
      <c r="L108" s="35">
        <v>25</v>
      </c>
      <c r="M108" s="35">
        <v>20</v>
      </c>
      <c r="N108" s="35">
        <v>102</v>
      </c>
      <c r="O108" s="74">
        <v>6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/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/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  <c r="OU108" s="37"/>
      <c r="OV108" s="37"/>
      <c r="OW108" s="37"/>
      <c r="OX108" s="37"/>
      <c r="OY108" s="37"/>
      <c r="OZ108" s="37"/>
      <c r="PA108" s="37"/>
      <c r="PB108" s="37"/>
      <c r="PC108" s="37"/>
      <c r="PD108" s="37"/>
      <c r="PE108" s="37"/>
      <c r="PF108" s="37"/>
      <c r="PG108" s="37"/>
      <c r="PH108" s="37"/>
      <c r="PI108" s="37"/>
      <c r="PJ108" s="37"/>
      <c r="PK108" s="37"/>
      <c r="PL108" s="37"/>
      <c r="PM108" s="37"/>
      <c r="PN108" s="37"/>
      <c r="PO108" s="37"/>
      <c r="PP108" s="37"/>
      <c r="PQ108" s="37"/>
      <c r="PR108" s="37"/>
      <c r="PS108" s="37"/>
      <c r="PT108" s="37"/>
      <c r="PU108" s="37"/>
      <c r="PV108" s="37"/>
      <c r="PW108" s="37"/>
      <c r="PX108" s="37"/>
      <c r="PY108" s="37"/>
      <c r="PZ108" s="37"/>
      <c r="QA108" s="37"/>
      <c r="QB108" s="37"/>
      <c r="QC108" s="37"/>
      <c r="QD108" s="37"/>
      <c r="QE108" s="37"/>
      <c r="QF108" s="37"/>
      <c r="QG108" s="37"/>
      <c r="QH108" s="37"/>
      <c r="QI108" s="37"/>
      <c r="QJ108" s="37"/>
      <c r="QK108" s="37"/>
      <c r="QL108" s="37"/>
      <c r="QM108" s="37"/>
      <c r="QN108" s="37"/>
      <c r="QO108" s="37"/>
      <c r="QP108" s="37"/>
      <c r="QQ108" s="37"/>
      <c r="QR108" s="37"/>
      <c r="QS108" s="37"/>
      <c r="QT108" s="37"/>
      <c r="QU108" s="37"/>
      <c r="QV108" s="37"/>
      <c r="QW108" s="37"/>
      <c r="QX108" s="37"/>
      <c r="QY108" s="37"/>
      <c r="QZ108" s="37"/>
      <c r="RA108" s="37"/>
      <c r="RB108" s="37"/>
      <c r="RC108" s="37"/>
      <c r="RD108" s="37"/>
      <c r="RE108" s="37"/>
      <c r="RF108" s="37"/>
      <c r="RG108" s="37"/>
      <c r="RH108" s="37"/>
      <c r="RI108" s="37"/>
      <c r="RJ108" s="37"/>
      <c r="RK108" s="37"/>
      <c r="RL108" s="37"/>
      <c r="RM108" s="37"/>
      <c r="RN108" s="37"/>
      <c r="RO108" s="37"/>
      <c r="RP108" s="37"/>
      <c r="RQ108" s="37"/>
      <c r="RR108" s="37"/>
      <c r="RS108" s="37"/>
      <c r="RT108" s="37"/>
      <c r="RU108" s="37"/>
      <c r="RV108" s="37"/>
      <c r="RW108" s="37"/>
      <c r="RX108" s="37"/>
      <c r="RY108" s="37"/>
      <c r="RZ108" s="37"/>
      <c r="SA108" s="37"/>
      <c r="SB108" s="37"/>
      <c r="SC108" s="37"/>
      <c r="SD108" s="37"/>
      <c r="SE108" s="37"/>
      <c r="SF108" s="37"/>
      <c r="SG108" s="37"/>
      <c r="SH108" s="37"/>
      <c r="SI108" s="37"/>
      <c r="SJ108" s="37"/>
      <c r="SK108" s="37"/>
      <c r="SL108" s="37"/>
      <c r="SM108" s="37"/>
      <c r="SN108" s="37"/>
      <c r="SO108" s="37"/>
      <c r="SP108" s="37"/>
      <c r="SQ108" s="37"/>
      <c r="SR108" s="37"/>
      <c r="SS108" s="37"/>
      <c r="ST108" s="37"/>
      <c r="SU108" s="37"/>
      <c r="SV108" s="37"/>
      <c r="SW108" s="37"/>
      <c r="SX108" s="37"/>
      <c r="SY108" s="37"/>
      <c r="SZ108" s="37"/>
      <c r="TA108" s="37"/>
      <c r="TB108" s="37"/>
      <c r="TC108" s="37"/>
      <c r="TD108" s="37"/>
      <c r="TE108" s="37"/>
      <c r="TF108" s="37"/>
      <c r="TG108" s="37"/>
      <c r="TH108" s="37"/>
      <c r="TI108" s="37"/>
      <c r="TJ108" s="37"/>
      <c r="TK108" s="37"/>
      <c r="TL108" s="37"/>
      <c r="TM108" s="37"/>
      <c r="TN108" s="37"/>
      <c r="TO108" s="37"/>
      <c r="TP108" s="37"/>
      <c r="TQ108" s="37"/>
      <c r="TR108" s="37"/>
      <c r="TS108" s="37"/>
      <c r="TT108" s="37"/>
      <c r="TU108" s="37"/>
      <c r="TV108" s="37"/>
      <c r="TW108" s="37"/>
      <c r="TX108" s="37"/>
      <c r="TY108" s="37"/>
      <c r="TZ108" s="37"/>
      <c r="UA108" s="37"/>
      <c r="UB108" s="37"/>
      <c r="UC108" s="37"/>
      <c r="UD108" s="37"/>
      <c r="UE108" s="37"/>
      <c r="UF108" s="37"/>
      <c r="UG108" s="37"/>
      <c r="UH108" s="37"/>
      <c r="UI108" s="37"/>
      <c r="UJ108" s="37"/>
      <c r="UK108" s="37"/>
      <c r="UL108" s="37"/>
      <c r="UM108" s="37"/>
      <c r="UN108" s="37"/>
      <c r="UO108" s="37"/>
      <c r="UP108" s="37"/>
      <c r="UQ108" s="37"/>
      <c r="UR108" s="37"/>
      <c r="US108" s="37"/>
      <c r="UT108" s="37"/>
      <c r="UU108" s="37"/>
      <c r="UV108" s="37"/>
      <c r="UW108" s="37"/>
      <c r="UX108" s="37"/>
      <c r="UY108" s="37"/>
      <c r="UZ108" s="37"/>
      <c r="VA108" s="37"/>
      <c r="VB108" s="37"/>
      <c r="VC108" s="37"/>
      <c r="VD108" s="37"/>
      <c r="VE108" s="37"/>
      <c r="VF108" s="37"/>
      <c r="VG108" s="37"/>
      <c r="VH108" s="37"/>
      <c r="VI108" s="37"/>
      <c r="VJ108" s="37"/>
      <c r="VK108" s="37"/>
      <c r="VL108" s="37"/>
      <c r="VM108" s="37"/>
      <c r="VN108" s="37"/>
      <c r="VO108" s="37"/>
      <c r="VP108" s="37"/>
      <c r="VQ108" s="37"/>
      <c r="VR108" s="37"/>
      <c r="VS108" s="37"/>
      <c r="VT108" s="37"/>
      <c r="VU108" s="37"/>
      <c r="VV108" s="37"/>
      <c r="VW108" s="37"/>
      <c r="VX108" s="37"/>
      <c r="VY108" s="37"/>
      <c r="VZ108" s="37"/>
      <c r="WA108" s="37"/>
      <c r="WB108" s="37"/>
      <c r="WC108" s="37"/>
      <c r="WD108" s="37"/>
      <c r="WE108" s="37"/>
      <c r="WF108" s="37"/>
      <c r="WG108" s="37"/>
      <c r="WH108" s="37"/>
      <c r="WI108" s="37"/>
      <c r="WJ108" s="37"/>
      <c r="WK108" s="37"/>
      <c r="WL108" s="37"/>
      <c r="WM108" s="37"/>
      <c r="WN108" s="37"/>
      <c r="WO108" s="37"/>
      <c r="WP108" s="37"/>
      <c r="WQ108" s="37"/>
      <c r="WR108" s="37"/>
      <c r="WS108" s="37"/>
      <c r="WT108" s="37"/>
      <c r="WU108" s="37"/>
      <c r="WV108" s="37"/>
      <c r="WW108" s="37"/>
      <c r="WX108" s="37"/>
      <c r="WY108" s="37"/>
      <c r="WZ108" s="37"/>
      <c r="XA108" s="37"/>
      <c r="XB108" s="37"/>
      <c r="XC108" s="37"/>
      <c r="XD108" s="37"/>
      <c r="XE108" s="37"/>
      <c r="XF108" s="37"/>
      <c r="XG108" s="37"/>
      <c r="XH108" s="37"/>
      <c r="XI108" s="37"/>
      <c r="XJ108" s="37"/>
      <c r="XK108" s="37"/>
      <c r="XL108" s="37"/>
      <c r="XM108" s="37"/>
      <c r="XN108" s="37"/>
      <c r="XO108" s="37"/>
      <c r="XP108" s="37"/>
      <c r="XQ108" s="37"/>
      <c r="XR108" s="37"/>
      <c r="XS108" s="37"/>
      <c r="XT108" s="37"/>
      <c r="XU108" s="37"/>
      <c r="XV108" s="37"/>
      <c r="XW108" s="37"/>
      <c r="XX108" s="37"/>
      <c r="XY108" s="37"/>
      <c r="XZ108" s="37"/>
      <c r="YA108" s="37"/>
      <c r="YB108" s="37"/>
      <c r="YC108" s="37"/>
      <c r="YD108" s="37"/>
      <c r="YE108" s="37"/>
      <c r="YF108" s="37"/>
      <c r="YG108" s="37"/>
      <c r="YH108" s="37"/>
      <c r="YI108" s="37"/>
      <c r="YJ108" s="37"/>
      <c r="YK108" s="37"/>
      <c r="YL108" s="37"/>
      <c r="YM108" s="37"/>
      <c r="YN108" s="37"/>
      <c r="YO108" s="37"/>
      <c r="YP108" s="37"/>
      <c r="YQ108" s="37"/>
      <c r="YR108" s="37"/>
      <c r="YS108" s="37"/>
      <c r="YT108" s="37"/>
      <c r="YU108" s="37"/>
      <c r="YV108" s="37"/>
      <c r="YW108" s="37"/>
      <c r="YX108" s="37"/>
      <c r="YY108" s="37"/>
      <c r="YZ108" s="37"/>
      <c r="ZA108" s="37"/>
      <c r="ZB108" s="37"/>
      <c r="ZC108" s="37"/>
      <c r="ZD108" s="37"/>
      <c r="ZE108" s="37"/>
      <c r="ZF108" s="37"/>
      <c r="ZG108" s="37"/>
      <c r="ZH108" s="37"/>
      <c r="ZI108" s="37"/>
      <c r="ZJ108" s="37"/>
      <c r="ZK108" s="37"/>
      <c r="ZL108" s="37"/>
      <c r="ZM108" s="37"/>
      <c r="ZN108" s="37"/>
      <c r="ZO108" s="37"/>
      <c r="ZP108" s="37"/>
      <c r="ZQ108" s="37"/>
      <c r="ZR108" s="37"/>
      <c r="ZS108" s="37"/>
      <c r="ZT108" s="37"/>
      <c r="ZU108" s="37"/>
      <c r="ZV108" s="37"/>
      <c r="ZW108" s="37"/>
      <c r="ZX108" s="37"/>
      <c r="ZY108" s="37"/>
      <c r="ZZ108" s="37"/>
      <c r="AAA108" s="37"/>
      <c r="AAB108" s="37"/>
      <c r="AAC108" s="37"/>
      <c r="AAD108" s="37"/>
      <c r="AAE108" s="37"/>
      <c r="AAF108" s="37"/>
      <c r="AAG108" s="37"/>
      <c r="AAH108" s="37"/>
      <c r="AAI108" s="37"/>
      <c r="AAJ108" s="37"/>
      <c r="AAK108" s="37"/>
      <c r="AAL108" s="37"/>
      <c r="AAM108" s="37"/>
      <c r="AAN108" s="37"/>
      <c r="AAO108" s="37"/>
      <c r="AAP108" s="37"/>
      <c r="AAQ108" s="37"/>
      <c r="AAR108" s="37"/>
      <c r="AAS108" s="37"/>
      <c r="AAT108" s="37"/>
      <c r="AAU108" s="37"/>
      <c r="AAV108" s="37"/>
      <c r="AAW108" s="37"/>
      <c r="AAX108" s="37"/>
      <c r="AAY108" s="37"/>
      <c r="AAZ108" s="37"/>
      <c r="ABA108" s="37"/>
      <c r="ABB108" s="37"/>
      <c r="ABC108" s="37"/>
      <c r="ABD108" s="37"/>
      <c r="ABE108" s="37"/>
      <c r="ABF108" s="37"/>
      <c r="ABG108" s="37"/>
      <c r="ABH108" s="37"/>
      <c r="ABI108" s="37"/>
      <c r="ABJ108" s="37"/>
      <c r="ABK108" s="37"/>
      <c r="ABL108" s="37"/>
      <c r="ABM108" s="37"/>
      <c r="ABN108" s="37"/>
      <c r="ABO108" s="37"/>
      <c r="ABP108" s="37"/>
      <c r="ABQ108" s="37"/>
      <c r="ABR108" s="37"/>
      <c r="ABS108" s="37"/>
      <c r="ABT108" s="37"/>
      <c r="ABU108" s="37"/>
      <c r="ABV108" s="37"/>
      <c r="ABW108" s="37"/>
      <c r="ABX108" s="37"/>
      <c r="ABY108" s="37"/>
      <c r="ABZ108" s="37"/>
      <c r="ACA108" s="37"/>
      <c r="ACB108" s="37"/>
      <c r="ACC108" s="37"/>
      <c r="ACD108" s="37"/>
      <c r="ACE108" s="37"/>
      <c r="ACF108" s="37"/>
      <c r="ACG108" s="37"/>
      <c r="ACH108" s="37"/>
      <c r="ACI108" s="37"/>
      <c r="ACJ108" s="37"/>
      <c r="ACK108" s="37"/>
      <c r="ACL108" s="37"/>
      <c r="ACM108" s="37"/>
      <c r="ACN108" s="37"/>
      <c r="ACO108" s="37"/>
      <c r="ACP108" s="37"/>
      <c r="ACQ108" s="37"/>
      <c r="ACR108" s="37"/>
      <c r="ACS108" s="37"/>
      <c r="ACT108" s="37"/>
      <c r="ACU108" s="37"/>
      <c r="ACV108" s="37"/>
      <c r="ACW108" s="37"/>
      <c r="ACX108" s="37"/>
      <c r="ACY108" s="37"/>
      <c r="ACZ108" s="37"/>
      <c r="ADA108" s="37"/>
      <c r="ADB108" s="37"/>
      <c r="ADC108" s="37"/>
      <c r="ADD108" s="37"/>
      <c r="ADE108" s="37"/>
      <c r="ADF108" s="37"/>
      <c r="ADG108" s="37"/>
      <c r="ADH108" s="37"/>
      <c r="ADI108" s="37"/>
      <c r="ADJ108" s="37"/>
      <c r="ADK108" s="37"/>
      <c r="ADL108" s="37"/>
      <c r="ADM108" s="37"/>
      <c r="ADN108" s="37"/>
      <c r="ADO108" s="37"/>
      <c r="ADP108" s="37"/>
      <c r="ADQ108" s="37"/>
      <c r="ADR108" s="37"/>
      <c r="ADS108" s="37"/>
      <c r="ADT108" s="37"/>
      <c r="ADU108" s="37"/>
      <c r="ADV108" s="37"/>
      <c r="ADW108" s="37"/>
      <c r="ADX108" s="37"/>
      <c r="ADY108" s="37"/>
      <c r="ADZ108" s="37"/>
      <c r="AEA108" s="37"/>
      <c r="AEB108" s="37"/>
      <c r="AEC108" s="37"/>
      <c r="AED108" s="37"/>
      <c r="AEE108" s="37"/>
      <c r="AEF108" s="37"/>
      <c r="AEG108" s="37"/>
      <c r="AEH108" s="37"/>
      <c r="AEI108" s="37"/>
      <c r="AEJ108" s="37"/>
      <c r="AEK108" s="37"/>
      <c r="AEL108" s="37"/>
      <c r="AEM108" s="37"/>
      <c r="AEN108" s="37"/>
      <c r="AEO108" s="37"/>
      <c r="AEP108" s="37"/>
      <c r="AEQ108" s="37"/>
      <c r="AER108" s="37"/>
      <c r="AES108" s="37"/>
      <c r="AET108" s="37"/>
      <c r="AEU108" s="37"/>
      <c r="AEV108" s="37"/>
      <c r="AEW108" s="37"/>
      <c r="AEX108" s="37"/>
      <c r="AEY108" s="37"/>
      <c r="AEZ108" s="37"/>
      <c r="AFA108" s="37"/>
      <c r="AFB108" s="37"/>
      <c r="AFC108" s="37"/>
      <c r="AFD108" s="37"/>
      <c r="AFE108" s="37"/>
      <c r="AFF108" s="37"/>
      <c r="AFG108" s="37"/>
      <c r="AFH108" s="37"/>
      <c r="AFI108" s="37"/>
      <c r="AFJ108" s="37"/>
      <c r="AFK108" s="37"/>
      <c r="AFL108" s="37"/>
      <c r="AFM108" s="37"/>
      <c r="AFN108" s="37"/>
      <c r="AFO108" s="37"/>
      <c r="AFP108" s="37"/>
      <c r="AFQ108" s="37"/>
      <c r="AFR108" s="37"/>
      <c r="AFS108" s="37"/>
      <c r="AFT108" s="37"/>
      <c r="AFU108" s="37"/>
      <c r="AFV108" s="37"/>
      <c r="AFW108" s="37"/>
      <c r="AFX108" s="37"/>
      <c r="AFY108" s="37"/>
      <c r="AFZ108" s="37"/>
      <c r="AGA108" s="37"/>
      <c r="AGB108" s="37"/>
      <c r="AGC108" s="37"/>
      <c r="AGD108" s="37"/>
      <c r="AGE108" s="37"/>
      <c r="AGF108" s="37"/>
      <c r="AGG108" s="37"/>
      <c r="AGH108" s="37"/>
      <c r="AGI108" s="37"/>
      <c r="AGJ108" s="37"/>
      <c r="AGK108" s="37"/>
      <c r="AGL108" s="37"/>
      <c r="AGM108" s="37"/>
      <c r="AGN108" s="37"/>
      <c r="AGO108" s="37"/>
      <c r="AGP108" s="37"/>
      <c r="AGQ108" s="37"/>
      <c r="AGR108" s="37"/>
      <c r="AGS108" s="37"/>
      <c r="AGT108" s="37"/>
      <c r="AGU108" s="37"/>
      <c r="AGV108" s="37"/>
      <c r="AGW108" s="37"/>
      <c r="AGX108" s="37"/>
      <c r="AGY108" s="37"/>
      <c r="AGZ108" s="37"/>
      <c r="AHA108" s="37"/>
      <c r="AHB108" s="37"/>
      <c r="AHC108" s="37"/>
      <c r="AHD108" s="37"/>
      <c r="AHE108" s="37"/>
      <c r="AHF108" s="37"/>
      <c r="AHG108" s="37"/>
      <c r="AHH108" s="37"/>
      <c r="AHI108" s="37"/>
      <c r="AHJ108" s="37"/>
      <c r="AHK108" s="37"/>
      <c r="AHL108" s="37"/>
      <c r="AHM108" s="37"/>
      <c r="AHN108" s="37"/>
      <c r="AHO108" s="37"/>
      <c r="AHP108" s="37"/>
      <c r="AHQ108" s="37"/>
      <c r="AHR108" s="37"/>
      <c r="AHS108" s="37"/>
      <c r="AHT108" s="37"/>
      <c r="AHU108" s="37"/>
      <c r="AHV108" s="37"/>
      <c r="AHW108" s="37"/>
      <c r="AHX108" s="37"/>
      <c r="AHY108" s="37"/>
      <c r="AHZ108" s="37"/>
      <c r="AIA108" s="37"/>
      <c r="AIB108" s="37"/>
      <c r="AIC108" s="37"/>
      <c r="AID108" s="37"/>
      <c r="AIE108" s="37"/>
      <c r="AIF108" s="37"/>
      <c r="AIG108" s="37"/>
      <c r="AIH108" s="37"/>
      <c r="AII108" s="37"/>
      <c r="AIJ108" s="37"/>
      <c r="AIK108" s="37"/>
      <c r="AIL108" s="37"/>
      <c r="AIM108" s="37"/>
      <c r="AIN108" s="37"/>
      <c r="AIO108" s="37"/>
      <c r="AIP108" s="37"/>
      <c r="AIQ108" s="37"/>
      <c r="AIR108" s="37"/>
      <c r="AIS108" s="37"/>
      <c r="AIT108" s="37"/>
      <c r="AIU108" s="37"/>
      <c r="AIV108" s="37"/>
      <c r="AIW108" s="37"/>
      <c r="AIX108" s="37"/>
      <c r="AIY108" s="37"/>
      <c r="AIZ108" s="37"/>
      <c r="AJA108" s="37"/>
      <c r="AJB108" s="37"/>
      <c r="AJC108" s="37"/>
      <c r="AJD108" s="37"/>
      <c r="AJE108" s="37"/>
      <c r="AJF108" s="37"/>
      <c r="AJG108" s="37"/>
      <c r="AJH108" s="37"/>
      <c r="AJI108" s="37"/>
      <c r="AJJ108" s="37"/>
      <c r="AJK108" s="37"/>
      <c r="AJL108" s="37"/>
      <c r="AJM108" s="37"/>
      <c r="AJN108" s="37"/>
      <c r="AJO108" s="37"/>
      <c r="AJP108" s="37"/>
      <c r="AJQ108" s="37"/>
      <c r="AJR108" s="37"/>
      <c r="AJS108" s="37"/>
      <c r="AJT108" s="37"/>
      <c r="AJU108" s="37"/>
      <c r="AJV108" s="37"/>
      <c r="AJW108" s="37"/>
      <c r="AJX108" s="37"/>
      <c r="AJY108" s="37"/>
      <c r="AJZ108" s="37"/>
      <c r="AKA108" s="37"/>
      <c r="AKB108" s="37"/>
      <c r="AKC108" s="37"/>
      <c r="AKD108" s="37"/>
      <c r="AKE108" s="37"/>
      <c r="AKF108" s="37"/>
      <c r="AKG108" s="37"/>
      <c r="AKH108" s="37"/>
      <c r="AKI108" s="37"/>
      <c r="AKJ108" s="37"/>
      <c r="AKK108" s="37"/>
      <c r="AKL108" s="37"/>
      <c r="AKM108" s="37"/>
      <c r="AKN108" s="37"/>
      <c r="AKO108" s="37"/>
      <c r="AKP108" s="37"/>
      <c r="AKQ108" s="37"/>
      <c r="AKR108" s="37"/>
      <c r="AKS108" s="37"/>
      <c r="AKT108" s="37"/>
      <c r="AKU108" s="37"/>
      <c r="AKV108" s="37"/>
      <c r="AKW108" s="37"/>
      <c r="AKX108" s="37"/>
      <c r="AKY108" s="37"/>
      <c r="AKZ108" s="37"/>
      <c r="ALA108" s="37"/>
      <c r="ALB108" s="37"/>
      <c r="ALC108" s="37"/>
      <c r="ALD108" s="37"/>
      <c r="ALE108" s="37"/>
      <c r="ALF108" s="37"/>
      <c r="ALG108" s="37"/>
      <c r="ALH108" s="37"/>
      <c r="ALI108" s="37"/>
      <c r="ALJ108" s="37"/>
      <c r="ALK108" s="37"/>
      <c r="ALL108" s="37"/>
      <c r="ALM108" s="37"/>
      <c r="ALN108" s="37"/>
      <c r="ALO108" s="37"/>
      <c r="ALP108" s="37"/>
      <c r="ALQ108" s="37"/>
      <c r="ALR108" s="37"/>
      <c r="ALS108" s="37"/>
      <c r="ALT108" s="37"/>
      <c r="ALU108" s="37"/>
      <c r="ALV108" s="37"/>
      <c r="ALW108" s="37"/>
      <c r="ALX108" s="37"/>
      <c r="ALY108" s="37"/>
      <c r="ALZ108" s="37"/>
      <c r="AMA108" s="37"/>
      <c r="AMB108" s="37"/>
      <c r="AMC108" s="37"/>
    </row>
    <row r="109" spans="1:1017" s="38" customFormat="1" ht="19.5" customHeight="1">
      <c r="A109" s="75"/>
      <c r="B109" s="76"/>
      <c r="C109" s="75"/>
      <c r="D109" s="75"/>
      <c r="E109" s="75"/>
      <c r="F109" s="75"/>
      <c r="G109" s="77">
        <v>46</v>
      </c>
      <c r="H109" s="77">
        <v>61</v>
      </c>
      <c r="I109" s="77">
        <v>21</v>
      </c>
      <c r="J109" s="77">
        <v>15</v>
      </c>
      <c r="K109" s="77">
        <v>94</v>
      </c>
      <c r="L109" s="77">
        <v>83</v>
      </c>
      <c r="M109" s="77">
        <v>106</v>
      </c>
      <c r="N109" s="77"/>
      <c r="O109" s="7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  <c r="OU109" s="37"/>
      <c r="OV109" s="37"/>
      <c r="OW109" s="37"/>
      <c r="OX109" s="37"/>
      <c r="OY109" s="37"/>
      <c r="OZ109" s="37"/>
      <c r="PA109" s="37"/>
      <c r="PB109" s="37"/>
      <c r="PC109" s="37"/>
      <c r="PD109" s="37"/>
      <c r="PE109" s="37"/>
      <c r="PF109" s="37"/>
      <c r="PG109" s="37"/>
      <c r="PH109" s="37"/>
      <c r="PI109" s="37"/>
      <c r="PJ109" s="37"/>
      <c r="PK109" s="37"/>
      <c r="PL109" s="37"/>
      <c r="PM109" s="37"/>
      <c r="PN109" s="37"/>
      <c r="PO109" s="37"/>
      <c r="PP109" s="37"/>
      <c r="PQ109" s="37"/>
      <c r="PR109" s="37"/>
      <c r="PS109" s="37"/>
      <c r="PT109" s="37"/>
      <c r="PU109" s="37"/>
      <c r="PV109" s="37"/>
      <c r="PW109" s="37"/>
      <c r="PX109" s="37"/>
      <c r="PY109" s="37"/>
      <c r="PZ109" s="37"/>
      <c r="QA109" s="37"/>
      <c r="QB109" s="37"/>
      <c r="QC109" s="37"/>
      <c r="QD109" s="37"/>
      <c r="QE109" s="37"/>
      <c r="QF109" s="37"/>
      <c r="QG109" s="37"/>
      <c r="QH109" s="37"/>
      <c r="QI109" s="37"/>
      <c r="QJ109" s="37"/>
      <c r="QK109" s="37"/>
      <c r="QL109" s="37"/>
      <c r="QM109" s="37"/>
      <c r="QN109" s="37"/>
      <c r="QO109" s="37"/>
      <c r="QP109" s="37"/>
      <c r="QQ109" s="37"/>
      <c r="QR109" s="37"/>
      <c r="QS109" s="37"/>
      <c r="QT109" s="37"/>
      <c r="QU109" s="37"/>
      <c r="QV109" s="37"/>
      <c r="QW109" s="37"/>
      <c r="QX109" s="37"/>
      <c r="QY109" s="37"/>
      <c r="QZ109" s="37"/>
      <c r="RA109" s="37"/>
      <c r="RB109" s="37"/>
      <c r="RC109" s="37"/>
      <c r="RD109" s="37"/>
      <c r="RE109" s="37"/>
      <c r="RF109" s="37"/>
      <c r="RG109" s="37"/>
      <c r="RH109" s="37"/>
      <c r="RI109" s="37"/>
      <c r="RJ109" s="37"/>
      <c r="RK109" s="37"/>
      <c r="RL109" s="37"/>
      <c r="RM109" s="37"/>
      <c r="RN109" s="37"/>
      <c r="RO109" s="37"/>
      <c r="RP109" s="37"/>
      <c r="RQ109" s="37"/>
      <c r="RR109" s="37"/>
      <c r="RS109" s="37"/>
      <c r="RT109" s="37"/>
      <c r="RU109" s="37"/>
      <c r="RV109" s="37"/>
      <c r="RW109" s="37"/>
      <c r="RX109" s="37"/>
      <c r="RY109" s="37"/>
      <c r="RZ109" s="37"/>
      <c r="SA109" s="37"/>
      <c r="SB109" s="37"/>
      <c r="SC109" s="37"/>
      <c r="SD109" s="37"/>
      <c r="SE109" s="37"/>
      <c r="SF109" s="37"/>
      <c r="SG109" s="37"/>
      <c r="SH109" s="37"/>
      <c r="SI109" s="37"/>
      <c r="SJ109" s="37"/>
      <c r="SK109" s="37"/>
      <c r="SL109" s="37"/>
      <c r="SM109" s="37"/>
      <c r="SN109" s="37"/>
      <c r="SO109" s="37"/>
      <c r="SP109" s="37"/>
      <c r="SQ109" s="37"/>
      <c r="SR109" s="37"/>
      <c r="SS109" s="37"/>
      <c r="ST109" s="37"/>
      <c r="SU109" s="37"/>
      <c r="SV109" s="37"/>
      <c r="SW109" s="37"/>
      <c r="SX109" s="37"/>
      <c r="SY109" s="37"/>
      <c r="SZ109" s="37"/>
      <c r="TA109" s="37"/>
      <c r="TB109" s="37"/>
      <c r="TC109" s="37"/>
      <c r="TD109" s="37"/>
      <c r="TE109" s="37"/>
      <c r="TF109" s="37"/>
      <c r="TG109" s="37"/>
      <c r="TH109" s="37"/>
      <c r="TI109" s="37"/>
      <c r="TJ109" s="37"/>
      <c r="TK109" s="37"/>
      <c r="TL109" s="37"/>
      <c r="TM109" s="37"/>
      <c r="TN109" s="37"/>
      <c r="TO109" s="37"/>
      <c r="TP109" s="37"/>
      <c r="TQ109" s="37"/>
      <c r="TR109" s="37"/>
      <c r="TS109" s="37"/>
      <c r="TT109" s="37"/>
      <c r="TU109" s="37"/>
      <c r="TV109" s="37"/>
      <c r="TW109" s="37"/>
      <c r="TX109" s="37"/>
      <c r="TY109" s="37"/>
      <c r="TZ109" s="37"/>
      <c r="UA109" s="37"/>
      <c r="UB109" s="37"/>
      <c r="UC109" s="37"/>
      <c r="UD109" s="37"/>
      <c r="UE109" s="37"/>
      <c r="UF109" s="37"/>
      <c r="UG109" s="37"/>
      <c r="UH109" s="37"/>
      <c r="UI109" s="37"/>
      <c r="UJ109" s="37"/>
      <c r="UK109" s="37"/>
      <c r="UL109" s="37"/>
      <c r="UM109" s="37"/>
      <c r="UN109" s="37"/>
      <c r="UO109" s="37"/>
      <c r="UP109" s="37"/>
      <c r="UQ109" s="37"/>
      <c r="UR109" s="37"/>
      <c r="US109" s="37"/>
      <c r="UT109" s="37"/>
      <c r="UU109" s="37"/>
      <c r="UV109" s="37"/>
      <c r="UW109" s="37"/>
      <c r="UX109" s="37"/>
      <c r="UY109" s="37"/>
      <c r="UZ109" s="37"/>
      <c r="VA109" s="37"/>
      <c r="VB109" s="37"/>
      <c r="VC109" s="37"/>
      <c r="VD109" s="37"/>
      <c r="VE109" s="37"/>
      <c r="VF109" s="37"/>
      <c r="VG109" s="37"/>
      <c r="VH109" s="37"/>
      <c r="VI109" s="37"/>
      <c r="VJ109" s="37"/>
      <c r="VK109" s="37"/>
      <c r="VL109" s="37"/>
      <c r="VM109" s="37"/>
      <c r="VN109" s="37"/>
      <c r="VO109" s="37"/>
      <c r="VP109" s="37"/>
      <c r="VQ109" s="37"/>
      <c r="VR109" s="37"/>
      <c r="VS109" s="37"/>
      <c r="VT109" s="37"/>
      <c r="VU109" s="37"/>
      <c r="VV109" s="37"/>
      <c r="VW109" s="37"/>
      <c r="VX109" s="37"/>
      <c r="VY109" s="37"/>
      <c r="VZ109" s="37"/>
      <c r="WA109" s="37"/>
      <c r="WB109" s="37"/>
      <c r="WC109" s="37"/>
      <c r="WD109" s="37"/>
      <c r="WE109" s="37"/>
      <c r="WF109" s="37"/>
      <c r="WG109" s="37"/>
      <c r="WH109" s="37"/>
      <c r="WI109" s="37"/>
      <c r="WJ109" s="37"/>
      <c r="WK109" s="37"/>
      <c r="WL109" s="37"/>
      <c r="WM109" s="37"/>
      <c r="WN109" s="37"/>
      <c r="WO109" s="37"/>
      <c r="WP109" s="37"/>
      <c r="WQ109" s="37"/>
      <c r="WR109" s="37"/>
      <c r="WS109" s="37"/>
      <c r="WT109" s="37"/>
      <c r="WU109" s="37"/>
      <c r="WV109" s="37"/>
      <c r="WW109" s="37"/>
      <c r="WX109" s="37"/>
      <c r="WY109" s="37"/>
      <c r="WZ109" s="37"/>
      <c r="XA109" s="37"/>
      <c r="XB109" s="37"/>
      <c r="XC109" s="37"/>
      <c r="XD109" s="37"/>
      <c r="XE109" s="37"/>
      <c r="XF109" s="37"/>
      <c r="XG109" s="37"/>
      <c r="XH109" s="37"/>
      <c r="XI109" s="37"/>
      <c r="XJ109" s="37"/>
      <c r="XK109" s="37"/>
      <c r="XL109" s="37"/>
      <c r="XM109" s="37"/>
      <c r="XN109" s="37"/>
      <c r="XO109" s="37"/>
      <c r="XP109" s="37"/>
      <c r="XQ109" s="37"/>
      <c r="XR109" s="37"/>
      <c r="XS109" s="37"/>
      <c r="XT109" s="37"/>
      <c r="XU109" s="37"/>
      <c r="XV109" s="37"/>
      <c r="XW109" s="37"/>
      <c r="XX109" s="37"/>
      <c r="XY109" s="37"/>
      <c r="XZ109" s="37"/>
      <c r="YA109" s="37"/>
      <c r="YB109" s="37"/>
      <c r="YC109" s="37"/>
      <c r="YD109" s="37"/>
      <c r="YE109" s="37"/>
      <c r="YF109" s="37"/>
      <c r="YG109" s="37"/>
      <c r="YH109" s="37"/>
      <c r="YI109" s="37"/>
      <c r="YJ109" s="37"/>
      <c r="YK109" s="37"/>
      <c r="YL109" s="37"/>
      <c r="YM109" s="37"/>
      <c r="YN109" s="37"/>
      <c r="YO109" s="37"/>
      <c r="YP109" s="37"/>
      <c r="YQ109" s="37"/>
      <c r="YR109" s="37"/>
      <c r="YS109" s="37"/>
      <c r="YT109" s="37"/>
      <c r="YU109" s="37"/>
      <c r="YV109" s="37"/>
      <c r="YW109" s="37"/>
      <c r="YX109" s="37"/>
      <c r="YY109" s="37"/>
      <c r="YZ109" s="37"/>
      <c r="ZA109" s="37"/>
      <c r="ZB109" s="37"/>
      <c r="ZC109" s="37"/>
      <c r="ZD109" s="37"/>
      <c r="ZE109" s="37"/>
      <c r="ZF109" s="37"/>
      <c r="ZG109" s="37"/>
      <c r="ZH109" s="37"/>
      <c r="ZI109" s="37"/>
      <c r="ZJ109" s="37"/>
      <c r="ZK109" s="37"/>
      <c r="ZL109" s="37"/>
      <c r="ZM109" s="37"/>
      <c r="ZN109" s="37"/>
      <c r="ZO109" s="37"/>
      <c r="ZP109" s="37"/>
      <c r="ZQ109" s="37"/>
      <c r="ZR109" s="37"/>
      <c r="ZS109" s="37"/>
      <c r="ZT109" s="37"/>
      <c r="ZU109" s="37"/>
      <c r="ZV109" s="37"/>
      <c r="ZW109" s="37"/>
      <c r="ZX109" s="37"/>
      <c r="ZY109" s="37"/>
      <c r="ZZ109" s="37"/>
      <c r="AAA109" s="37"/>
      <c r="AAB109" s="37"/>
      <c r="AAC109" s="37"/>
      <c r="AAD109" s="37"/>
      <c r="AAE109" s="37"/>
      <c r="AAF109" s="37"/>
      <c r="AAG109" s="37"/>
      <c r="AAH109" s="37"/>
      <c r="AAI109" s="37"/>
      <c r="AAJ109" s="37"/>
      <c r="AAK109" s="37"/>
      <c r="AAL109" s="37"/>
      <c r="AAM109" s="37"/>
      <c r="AAN109" s="37"/>
      <c r="AAO109" s="37"/>
      <c r="AAP109" s="37"/>
      <c r="AAQ109" s="37"/>
      <c r="AAR109" s="37"/>
      <c r="AAS109" s="37"/>
      <c r="AAT109" s="37"/>
      <c r="AAU109" s="37"/>
      <c r="AAV109" s="37"/>
      <c r="AAW109" s="37"/>
      <c r="AAX109" s="37"/>
      <c r="AAY109" s="37"/>
      <c r="AAZ109" s="37"/>
      <c r="ABA109" s="37"/>
      <c r="ABB109" s="37"/>
      <c r="ABC109" s="37"/>
      <c r="ABD109" s="37"/>
      <c r="ABE109" s="37"/>
      <c r="ABF109" s="37"/>
      <c r="ABG109" s="37"/>
      <c r="ABH109" s="37"/>
      <c r="ABI109" s="37"/>
      <c r="ABJ109" s="37"/>
      <c r="ABK109" s="37"/>
      <c r="ABL109" s="37"/>
      <c r="ABM109" s="37"/>
      <c r="ABN109" s="37"/>
      <c r="ABO109" s="37"/>
      <c r="ABP109" s="37"/>
      <c r="ABQ109" s="37"/>
      <c r="ABR109" s="37"/>
      <c r="ABS109" s="37"/>
      <c r="ABT109" s="37"/>
      <c r="ABU109" s="37"/>
      <c r="ABV109" s="37"/>
      <c r="ABW109" s="37"/>
      <c r="ABX109" s="37"/>
      <c r="ABY109" s="37"/>
      <c r="ABZ109" s="37"/>
      <c r="ACA109" s="37"/>
      <c r="ACB109" s="37"/>
      <c r="ACC109" s="37"/>
      <c r="ACD109" s="37"/>
      <c r="ACE109" s="37"/>
      <c r="ACF109" s="37"/>
      <c r="ACG109" s="37"/>
      <c r="ACH109" s="37"/>
      <c r="ACI109" s="37"/>
      <c r="ACJ109" s="37"/>
      <c r="ACK109" s="37"/>
      <c r="ACL109" s="37"/>
      <c r="ACM109" s="37"/>
      <c r="ACN109" s="37"/>
      <c r="ACO109" s="37"/>
      <c r="ACP109" s="37"/>
      <c r="ACQ109" s="37"/>
      <c r="ACR109" s="37"/>
      <c r="ACS109" s="37"/>
      <c r="ACT109" s="37"/>
      <c r="ACU109" s="37"/>
      <c r="ACV109" s="37"/>
      <c r="ACW109" s="37"/>
      <c r="ACX109" s="37"/>
      <c r="ACY109" s="37"/>
      <c r="ACZ109" s="37"/>
      <c r="ADA109" s="37"/>
      <c r="ADB109" s="37"/>
      <c r="ADC109" s="37"/>
      <c r="ADD109" s="37"/>
      <c r="ADE109" s="37"/>
      <c r="ADF109" s="37"/>
      <c r="ADG109" s="37"/>
      <c r="ADH109" s="37"/>
      <c r="ADI109" s="37"/>
      <c r="ADJ109" s="37"/>
      <c r="ADK109" s="37"/>
      <c r="ADL109" s="37"/>
      <c r="ADM109" s="37"/>
      <c r="ADN109" s="37"/>
      <c r="ADO109" s="37"/>
      <c r="ADP109" s="37"/>
      <c r="ADQ109" s="37"/>
      <c r="ADR109" s="37"/>
      <c r="ADS109" s="37"/>
      <c r="ADT109" s="37"/>
      <c r="ADU109" s="37"/>
      <c r="ADV109" s="37"/>
      <c r="ADW109" s="37"/>
      <c r="ADX109" s="37"/>
      <c r="ADY109" s="37"/>
      <c r="ADZ109" s="37"/>
      <c r="AEA109" s="37"/>
      <c r="AEB109" s="37"/>
      <c r="AEC109" s="37"/>
      <c r="AED109" s="37"/>
      <c r="AEE109" s="37"/>
      <c r="AEF109" s="37"/>
      <c r="AEG109" s="37"/>
      <c r="AEH109" s="37"/>
      <c r="AEI109" s="37"/>
      <c r="AEJ109" s="37"/>
      <c r="AEK109" s="37"/>
      <c r="AEL109" s="37"/>
      <c r="AEM109" s="37"/>
      <c r="AEN109" s="37"/>
      <c r="AEO109" s="37"/>
      <c r="AEP109" s="37"/>
      <c r="AEQ109" s="37"/>
      <c r="AER109" s="37"/>
      <c r="AES109" s="37"/>
      <c r="AET109" s="37"/>
      <c r="AEU109" s="37"/>
      <c r="AEV109" s="37"/>
      <c r="AEW109" s="37"/>
      <c r="AEX109" s="37"/>
      <c r="AEY109" s="37"/>
      <c r="AEZ109" s="37"/>
      <c r="AFA109" s="37"/>
      <c r="AFB109" s="37"/>
      <c r="AFC109" s="37"/>
      <c r="AFD109" s="37"/>
      <c r="AFE109" s="37"/>
      <c r="AFF109" s="37"/>
      <c r="AFG109" s="37"/>
      <c r="AFH109" s="37"/>
      <c r="AFI109" s="37"/>
      <c r="AFJ109" s="37"/>
      <c r="AFK109" s="37"/>
      <c r="AFL109" s="37"/>
      <c r="AFM109" s="37"/>
      <c r="AFN109" s="37"/>
      <c r="AFO109" s="37"/>
      <c r="AFP109" s="37"/>
      <c r="AFQ109" s="37"/>
      <c r="AFR109" s="37"/>
      <c r="AFS109" s="37"/>
      <c r="AFT109" s="37"/>
      <c r="AFU109" s="37"/>
      <c r="AFV109" s="37"/>
      <c r="AFW109" s="37"/>
      <c r="AFX109" s="37"/>
      <c r="AFY109" s="37"/>
      <c r="AFZ109" s="37"/>
      <c r="AGA109" s="37"/>
      <c r="AGB109" s="37"/>
      <c r="AGC109" s="37"/>
      <c r="AGD109" s="37"/>
      <c r="AGE109" s="37"/>
      <c r="AGF109" s="37"/>
      <c r="AGG109" s="37"/>
      <c r="AGH109" s="37"/>
      <c r="AGI109" s="37"/>
      <c r="AGJ109" s="37"/>
      <c r="AGK109" s="37"/>
      <c r="AGL109" s="37"/>
      <c r="AGM109" s="37"/>
      <c r="AGN109" s="37"/>
      <c r="AGO109" s="37"/>
      <c r="AGP109" s="37"/>
      <c r="AGQ109" s="37"/>
      <c r="AGR109" s="37"/>
      <c r="AGS109" s="37"/>
      <c r="AGT109" s="37"/>
      <c r="AGU109" s="37"/>
      <c r="AGV109" s="37"/>
      <c r="AGW109" s="37"/>
      <c r="AGX109" s="37"/>
      <c r="AGY109" s="37"/>
      <c r="AGZ109" s="37"/>
      <c r="AHA109" s="37"/>
      <c r="AHB109" s="37"/>
      <c r="AHC109" s="37"/>
      <c r="AHD109" s="37"/>
      <c r="AHE109" s="37"/>
      <c r="AHF109" s="37"/>
      <c r="AHG109" s="37"/>
      <c r="AHH109" s="37"/>
      <c r="AHI109" s="37"/>
      <c r="AHJ109" s="37"/>
      <c r="AHK109" s="37"/>
      <c r="AHL109" s="37"/>
      <c r="AHM109" s="37"/>
      <c r="AHN109" s="37"/>
      <c r="AHO109" s="37"/>
      <c r="AHP109" s="37"/>
      <c r="AHQ109" s="37"/>
      <c r="AHR109" s="37"/>
      <c r="AHS109" s="37"/>
      <c r="AHT109" s="37"/>
      <c r="AHU109" s="37"/>
      <c r="AHV109" s="37"/>
      <c r="AHW109" s="37"/>
      <c r="AHX109" s="37"/>
      <c r="AHY109" s="37"/>
      <c r="AHZ109" s="37"/>
      <c r="AIA109" s="37"/>
      <c r="AIB109" s="37"/>
      <c r="AIC109" s="37"/>
      <c r="AID109" s="37"/>
      <c r="AIE109" s="37"/>
      <c r="AIF109" s="37"/>
      <c r="AIG109" s="37"/>
      <c r="AIH109" s="37"/>
      <c r="AII109" s="37"/>
      <c r="AIJ109" s="37"/>
      <c r="AIK109" s="37"/>
      <c r="AIL109" s="37"/>
      <c r="AIM109" s="37"/>
      <c r="AIN109" s="37"/>
      <c r="AIO109" s="37"/>
      <c r="AIP109" s="37"/>
      <c r="AIQ109" s="37"/>
      <c r="AIR109" s="37"/>
      <c r="AIS109" s="37"/>
      <c r="AIT109" s="37"/>
      <c r="AIU109" s="37"/>
      <c r="AIV109" s="37"/>
      <c r="AIW109" s="37"/>
      <c r="AIX109" s="37"/>
      <c r="AIY109" s="37"/>
      <c r="AIZ109" s="37"/>
      <c r="AJA109" s="37"/>
      <c r="AJB109" s="37"/>
      <c r="AJC109" s="37"/>
      <c r="AJD109" s="37"/>
      <c r="AJE109" s="37"/>
      <c r="AJF109" s="37"/>
      <c r="AJG109" s="37"/>
      <c r="AJH109" s="37"/>
      <c r="AJI109" s="37"/>
      <c r="AJJ109" s="37"/>
      <c r="AJK109" s="37"/>
      <c r="AJL109" s="37"/>
      <c r="AJM109" s="37"/>
      <c r="AJN109" s="37"/>
      <c r="AJO109" s="37"/>
      <c r="AJP109" s="37"/>
      <c r="AJQ109" s="37"/>
      <c r="AJR109" s="37"/>
      <c r="AJS109" s="37"/>
      <c r="AJT109" s="37"/>
      <c r="AJU109" s="37"/>
      <c r="AJV109" s="37"/>
      <c r="AJW109" s="37"/>
      <c r="AJX109" s="37"/>
      <c r="AJY109" s="37"/>
      <c r="AJZ109" s="37"/>
      <c r="AKA109" s="37"/>
      <c r="AKB109" s="37"/>
      <c r="AKC109" s="37"/>
      <c r="AKD109" s="37"/>
      <c r="AKE109" s="37"/>
      <c r="AKF109" s="37"/>
      <c r="AKG109" s="37"/>
      <c r="AKH109" s="37"/>
      <c r="AKI109" s="37"/>
      <c r="AKJ109" s="37"/>
      <c r="AKK109" s="37"/>
      <c r="AKL109" s="37"/>
      <c r="AKM109" s="37"/>
      <c r="AKN109" s="37"/>
      <c r="AKO109" s="37"/>
      <c r="AKP109" s="37"/>
      <c r="AKQ109" s="37"/>
      <c r="AKR109" s="37"/>
      <c r="AKS109" s="37"/>
      <c r="AKT109" s="37"/>
      <c r="AKU109" s="37"/>
      <c r="AKV109" s="37"/>
      <c r="AKW109" s="37"/>
      <c r="AKX109" s="37"/>
      <c r="AKY109" s="37"/>
      <c r="AKZ109" s="37"/>
      <c r="ALA109" s="37"/>
      <c r="ALB109" s="37"/>
      <c r="ALC109" s="37"/>
      <c r="ALD109" s="37"/>
      <c r="ALE109" s="37"/>
      <c r="ALF109" s="37"/>
      <c r="ALG109" s="37"/>
      <c r="ALH109" s="37"/>
      <c r="ALI109" s="37"/>
      <c r="ALJ109" s="37"/>
      <c r="ALK109" s="37"/>
      <c r="ALL109" s="37"/>
      <c r="ALM109" s="37"/>
      <c r="ALN109" s="37"/>
      <c r="ALO109" s="37"/>
      <c r="ALP109" s="37"/>
      <c r="ALQ109" s="37"/>
      <c r="ALR109" s="37"/>
      <c r="ALS109" s="37"/>
      <c r="ALT109" s="37"/>
      <c r="ALU109" s="37"/>
      <c r="ALV109" s="37"/>
      <c r="ALW109" s="37"/>
      <c r="ALX109" s="37"/>
      <c r="ALY109" s="37"/>
      <c r="ALZ109" s="37"/>
      <c r="AMA109" s="37"/>
      <c r="AMB109" s="37"/>
      <c r="AMC109" s="37"/>
    </row>
    <row r="110" spans="1:1017" s="38" customFormat="1" ht="19.5" customHeight="1">
      <c r="A110" s="26" t="s">
        <v>201</v>
      </c>
      <c r="B110" s="25" t="s">
        <v>205</v>
      </c>
      <c r="C110" s="26" t="s">
        <v>46</v>
      </c>
      <c r="D110" s="26" t="s">
        <v>32</v>
      </c>
      <c r="E110" s="26" t="s">
        <v>261</v>
      </c>
      <c r="F110" s="26">
        <v>40</v>
      </c>
      <c r="G110" s="26" t="s">
        <v>34</v>
      </c>
      <c r="H110" s="26">
        <v>60</v>
      </c>
      <c r="I110" s="36">
        <v>43</v>
      </c>
      <c r="J110" s="36">
        <v>24</v>
      </c>
      <c r="K110" s="36">
        <v>18</v>
      </c>
      <c r="L110" s="36">
        <v>29</v>
      </c>
      <c r="M110" s="36">
        <v>27</v>
      </c>
      <c r="N110" s="36">
        <v>29</v>
      </c>
      <c r="O110" s="36">
        <v>68</v>
      </c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  <c r="OU110" s="37"/>
      <c r="OV110" s="37"/>
      <c r="OW110" s="37"/>
      <c r="OX110" s="37"/>
      <c r="OY110" s="37"/>
      <c r="OZ110" s="37"/>
      <c r="PA110" s="37"/>
      <c r="PB110" s="37"/>
      <c r="PC110" s="37"/>
      <c r="PD110" s="37"/>
      <c r="PE110" s="37"/>
      <c r="PF110" s="37"/>
      <c r="PG110" s="37"/>
      <c r="PH110" s="37"/>
      <c r="PI110" s="37"/>
      <c r="PJ110" s="37"/>
      <c r="PK110" s="37"/>
      <c r="PL110" s="37"/>
      <c r="PM110" s="37"/>
      <c r="PN110" s="37"/>
      <c r="PO110" s="37"/>
      <c r="PP110" s="37"/>
      <c r="PQ110" s="37"/>
      <c r="PR110" s="37"/>
      <c r="PS110" s="37"/>
      <c r="PT110" s="37"/>
      <c r="PU110" s="37"/>
      <c r="PV110" s="37"/>
      <c r="PW110" s="37"/>
      <c r="PX110" s="37"/>
      <c r="PY110" s="37"/>
      <c r="PZ110" s="37"/>
      <c r="QA110" s="37"/>
      <c r="QB110" s="37"/>
      <c r="QC110" s="37"/>
      <c r="QD110" s="37"/>
      <c r="QE110" s="37"/>
      <c r="QF110" s="37"/>
      <c r="QG110" s="37"/>
      <c r="QH110" s="37"/>
      <c r="QI110" s="37"/>
      <c r="QJ110" s="37"/>
      <c r="QK110" s="37"/>
      <c r="QL110" s="37"/>
      <c r="QM110" s="37"/>
      <c r="QN110" s="37"/>
      <c r="QO110" s="37"/>
      <c r="QP110" s="37"/>
      <c r="QQ110" s="37"/>
      <c r="QR110" s="37"/>
      <c r="QS110" s="37"/>
      <c r="QT110" s="37"/>
      <c r="QU110" s="37"/>
      <c r="QV110" s="37"/>
      <c r="QW110" s="37"/>
      <c r="QX110" s="37"/>
      <c r="QY110" s="37"/>
      <c r="QZ110" s="37"/>
      <c r="RA110" s="37"/>
      <c r="RB110" s="37"/>
      <c r="RC110" s="37"/>
      <c r="RD110" s="37"/>
      <c r="RE110" s="37"/>
      <c r="RF110" s="37"/>
      <c r="RG110" s="37"/>
      <c r="RH110" s="37"/>
      <c r="RI110" s="37"/>
      <c r="RJ110" s="37"/>
      <c r="RK110" s="37"/>
      <c r="RL110" s="37"/>
      <c r="RM110" s="37"/>
      <c r="RN110" s="37"/>
      <c r="RO110" s="37"/>
      <c r="RP110" s="37"/>
      <c r="RQ110" s="37"/>
      <c r="RR110" s="37"/>
      <c r="RS110" s="37"/>
      <c r="RT110" s="37"/>
      <c r="RU110" s="37"/>
      <c r="RV110" s="37"/>
      <c r="RW110" s="37"/>
      <c r="RX110" s="37"/>
      <c r="RY110" s="37"/>
      <c r="RZ110" s="37"/>
      <c r="SA110" s="37"/>
      <c r="SB110" s="37"/>
      <c r="SC110" s="37"/>
      <c r="SD110" s="37"/>
      <c r="SE110" s="37"/>
      <c r="SF110" s="37"/>
      <c r="SG110" s="37"/>
      <c r="SH110" s="37"/>
      <c r="SI110" s="37"/>
      <c r="SJ110" s="37"/>
      <c r="SK110" s="37"/>
      <c r="SL110" s="37"/>
      <c r="SM110" s="37"/>
      <c r="SN110" s="37"/>
      <c r="SO110" s="37"/>
      <c r="SP110" s="37"/>
      <c r="SQ110" s="37"/>
      <c r="SR110" s="37"/>
      <c r="SS110" s="37"/>
      <c r="ST110" s="37"/>
      <c r="SU110" s="37"/>
      <c r="SV110" s="37"/>
      <c r="SW110" s="37"/>
      <c r="SX110" s="37"/>
      <c r="SY110" s="37"/>
      <c r="SZ110" s="37"/>
      <c r="TA110" s="37"/>
      <c r="TB110" s="37"/>
      <c r="TC110" s="37"/>
      <c r="TD110" s="37"/>
      <c r="TE110" s="37"/>
      <c r="TF110" s="37"/>
      <c r="TG110" s="37"/>
      <c r="TH110" s="37"/>
      <c r="TI110" s="37"/>
      <c r="TJ110" s="37"/>
      <c r="TK110" s="37"/>
      <c r="TL110" s="37"/>
      <c r="TM110" s="37"/>
      <c r="TN110" s="37"/>
      <c r="TO110" s="37"/>
      <c r="TP110" s="37"/>
      <c r="TQ110" s="37"/>
      <c r="TR110" s="37"/>
      <c r="TS110" s="37"/>
      <c r="TT110" s="37"/>
      <c r="TU110" s="37"/>
      <c r="TV110" s="37"/>
      <c r="TW110" s="37"/>
      <c r="TX110" s="37"/>
      <c r="TY110" s="37"/>
      <c r="TZ110" s="37"/>
      <c r="UA110" s="37"/>
      <c r="UB110" s="37"/>
      <c r="UC110" s="37"/>
      <c r="UD110" s="37"/>
      <c r="UE110" s="37"/>
      <c r="UF110" s="37"/>
      <c r="UG110" s="37"/>
      <c r="UH110" s="37"/>
      <c r="UI110" s="37"/>
      <c r="UJ110" s="37"/>
      <c r="UK110" s="37"/>
      <c r="UL110" s="37"/>
      <c r="UM110" s="37"/>
      <c r="UN110" s="37"/>
      <c r="UO110" s="37"/>
      <c r="UP110" s="37"/>
      <c r="UQ110" s="37"/>
      <c r="UR110" s="37"/>
      <c r="US110" s="37"/>
      <c r="UT110" s="37"/>
      <c r="UU110" s="37"/>
      <c r="UV110" s="37"/>
      <c r="UW110" s="37"/>
      <c r="UX110" s="37"/>
      <c r="UY110" s="37"/>
      <c r="UZ110" s="37"/>
      <c r="VA110" s="37"/>
      <c r="VB110" s="37"/>
      <c r="VC110" s="37"/>
      <c r="VD110" s="37"/>
      <c r="VE110" s="37"/>
      <c r="VF110" s="37"/>
      <c r="VG110" s="37"/>
      <c r="VH110" s="37"/>
      <c r="VI110" s="37"/>
      <c r="VJ110" s="37"/>
      <c r="VK110" s="37"/>
      <c r="VL110" s="37"/>
      <c r="VM110" s="37"/>
      <c r="VN110" s="37"/>
      <c r="VO110" s="37"/>
      <c r="VP110" s="37"/>
      <c r="VQ110" s="37"/>
      <c r="VR110" s="37"/>
      <c r="VS110" s="37"/>
      <c r="VT110" s="37"/>
      <c r="VU110" s="37"/>
      <c r="VV110" s="37"/>
      <c r="VW110" s="37"/>
      <c r="VX110" s="37"/>
      <c r="VY110" s="37"/>
      <c r="VZ110" s="37"/>
      <c r="WA110" s="37"/>
      <c r="WB110" s="37"/>
      <c r="WC110" s="37"/>
      <c r="WD110" s="37"/>
      <c r="WE110" s="37"/>
      <c r="WF110" s="37"/>
      <c r="WG110" s="37"/>
      <c r="WH110" s="37"/>
      <c r="WI110" s="37"/>
      <c r="WJ110" s="37"/>
      <c r="WK110" s="37"/>
      <c r="WL110" s="37"/>
      <c r="WM110" s="37"/>
      <c r="WN110" s="37"/>
      <c r="WO110" s="37"/>
      <c r="WP110" s="37"/>
      <c r="WQ110" s="37"/>
      <c r="WR110" s="37"/>
      <c r="WS110" s="37"/>
      <c r="WT110" s="37"/>
      <c r="WU110" s="37"/>
      <c r="WV110" s="37"/>
      <c r="WW110" s="37"/>
      <c r="WX110" s="37"/>
      <c r="WY110" s="37"/>
      <c r="WZ110" s="37"/>
      <c r="XA110" s="37"/>
      <c r="XB110" s="37"/>
      <c r="XC110" s="37"/>
      <c r="XD110" s="37"/>
      <c r="XE110" s="37"/>
      <c r="XF110" s="37"/>
      <c r="XG110" s="37"/>
      <c r="XH110" s="37"/>
      <c r="XI110" s="37"/>
      <c r="XJ110" s="37"/>
      <c r="XK110" s="37"/>
      <c r="XL110" s="37"/>
      <c r="XM110" s="37"/>
      <c r="XN110" s="37"/>
      <c r="XO110" s="37"/>
      <c r="XP110" s="37"/>
      <c r="XQ110" s="37"/>
      <c r="XR110" s="37"/>
      <c r="XS110" s="37"/>
      <c r="XT110" s="37"/>
      <c r="XU110" s="37"/>
      <c r="XV110" s="37"/>
      <c r="XW110" s="37"/>
      <c r="XX110" s="37"/>
      <c r="XY110" s="37"/>
      <c r="XZ110" s="37"/>
      <c r="YA110" s="37"/>
      <c r="YB110" s="37"/>
      <c r="YC110" s="37"/>
      <c r="YD110" s="37"/>
      <c r="YE110" s="37"/>
      <c r="YF110" s="37"/>
      <c r="YG110" s="37"/>
      <c r="YH110" s="37"/>
      <c r="YI110" s="37"/>
      <c r="YJ110" s="37"/>
      <c r="YK110" s="37"/>
      <c r="YL110" s="37"/>
      <c r="YM110" s="37"/>
      <c r="YN110" s="37"/>
      <c r="YO110" s="37"/>
      <c r="YP110" s="37"/>
      <c r="YQ110" s="37"/>
      <c r="YR110" s="37"/>
      <c r="YS110" s="37"/>
      <c r="YT110" s="37"/>
      <c r="YU110" s="37"/>
      <c r="YV110" s="37"/>
      <c r="YW110" s="37"/>
      <c r="YX110" s="37"/>
      <c r="YY110" s="37"/>
      <c r="YZ110" s="37"/>
      <c r="ZA110" s="37"/>
      <c r="ZB110" s="37"/>
      <c r="ZC110" s="37"/>
      <c r="ZD110" s="37"/>
      <c r="ZE110" s="37"/>
      <c r="ZF110" s="37"/>
      <c r="ZG110" s="37"/>
      <c r="ZH110" s="37"/>
      <c r="ZI110" s="37"/>
      <c r="ZJ110" s="37"/>
      <c r="ZK110" s="37"/>
      <c r="ZL110" s="37"/>
      <c r="ZM110" s="37"/>
      <c r="ZN110" s="37"/>
      <c r="ZO110" s="37"/>
      <c r="ZP110" s="37"/>
      <c r="ZQ110" s="37"/>
      <c r="ZR110" s="37"/>
      <c r="ZS110" s="37"/>
      <c r="ZT110" s="37"/>
      <c r="ZU110" s="37"/>
      <c r="ZV110" s="37"/>
      <c r="ZW110" s="37"/>
      <c r="ZX110" s="37"/>
      <c r="ZY110" s="37"/>
      <c r="ZZ110" s="37"/>
      <c r="AAA110" s="37"/>
      <c r="AAB110" s="37"/>
      <c r="AAC110" s="37"/>
      <c r="AAD110" s="37"/>
      <c r="AAE110" s="37"/>
      <c r="AAF110" s="37"/>
      <c r="AAG110" s="37"/>
      <c r="AAH110" s="37"/>
      <c r="AAI110" s="37"/>
      <c r="AAJ110" s="37"/>
      <c r="AAK110" s="37"/>
      <c r="AAL110" s="37"/>
      <c r="AAM110" s="37"/>
      <c r="AAN110" s="37"/>
      <c r="AAO110" s="37"/>
      <c r="AAP110" s="37"/>
      <c r="AAQ110" s="37"/>
      <c r="AAR110" s="37"/>
      <c r="AAS110" s="37"/>
      <c r="AAT110" s="37"/>
      <c r="AAU110" s="37"/>
      <c r="AAV110" s="37"/>
      <c r="AAW110" s="37"/>
      <c r="AAX110" s="37"/>
      <c r="AAY110" s="37"/>
      <c r="AAZ110" s="37"/>
      <c r="ABA110" s="37"/>
      <c r="ABB110" s="37"/>
      <c r="ABC110" s="37"/>
      <c r="ABD110" s="37"/>
      <c r="ABE110" s="37"/>
      <c r="ABF110" s="37"/>
      <c r="ABG110" s="37"/>
      <c r="ABH110" s="37"/>
      <c r="ABI110" s="37"/>
      <c r="ABJ110" s="37"/>
      <c r="ABK110" s="37"/>
      <c r="ABL110" s="37"/>
      <c r="ABM110" s="37"/>
      <c r="ABN110" s="37"/>
      <c r="ABO110" s="37"/>
      <c r="ABP110" s="37"/>
      <c r="ABQ110" s="37"/>
      <c r="ABR110" s="37"/>
      <c r="ABS110" s="37"/>
      <c r="ABT110" s="37"/>
      <c r="ABU110" s="37"/>
      <c r="ABV110" s="37"/>
      <c r="ABW110" s="37"/>
      <c r="ABX110" s="37"/>
      <c r="ABY110" s="37"/>
      <c r="ABZ110" s="37"/>
      <c r="ACA110" s="37"/>
      <c r="ACB110" s="37"/>
      <c r="ACC110" s="37"/>
      <c r="ACD110" s="37"/>
      <c r="ACE110" s="37"/>
      <c r="ACF110" s="37"/>
      <c r="ACG110" s="37"/>
      <c r="ACH110" s="37"/>
      <c r="ACI110" s="37"/>
      <c r="ACJ110" s="37"/>
      <c r="ACK110" s="37"/>
      <c r="ACL110" s="37"/>
      <c r="ACM110" s="37"/>
      <c r="ACN110" s="37"/>
      <c r="ACO110" s="37"/>
      <c r="ACP110" s="37"/>
      <c r="ACQ110" s="37"/>
      <c r="ACR110" s="37"/>
      <c r="ACS110" s="37"/>
      <c r="ACT110" s="37"/>
      <c r="ACU110" s="37"/>
      <c r="ACV110" s="37"/>
      <c r="ACW110" s="37"/>
      <c r="ACX110" s="37"/>
      <c r="ACY110" s="37"/>
      <c r="ACZ110" s="37"/>
      <c r="ADA110" s="37"/>
      <c r="ADB110" s="37"/>
      <c r="ADC110" s="37"/>
      <c r="ADD110" s="37"/>
      <c r="ADE110" s="37"/>
      <c r="ADF110" s="37"/>
      <c r="ADG110" s="37"/>
      <c r="ADH110" s="37"/>
      <c r="ADI110" s="37"/>
      <c r="ADJ110" s="37"/>
      <c r="ADK110" s="37"/>
      <c r="ADL110" s="37"/>
      <c r="ADM110" s="37"/>
      <c r="ADN110" s="37"/>
      <c r="ADO110" s="37"/>
      <c r="ADP110" s="37"/>
      <c r="ADQ110" s="37"/>
      <c r="ADR110" s="37"/>
      <c r="ADS110" s="37"/>
      <c r="ADT110" s="37"/>
      <c r="ADU110" s="37"/>
      <c r="ADV110" s="37"/>
      <c r="ADW110" s="37"/>
      <c r="ADX110" s="37"/>
      <c r="ADY110" s="37"/>
      <c r="ADZ110" s="37"/>
      <c r="AEA110" s="37"/>
      <c r="AEB110" s="37"/>
      <c r="AEC110" s="37"/>
      <c r="AED110" s="37"/>
      <c r="AEE110" s="37"/>
      <c r="AEF110" s="37"/>
      <c r="AEG110" s="37"/>
      <c r="AEH110" s="37"/>
      <c r="AEI110" s="37"/>
      <c r="AEJ110" s="37"/>
      <c r="AEK110" s="37"/>
      <c r="AEL110" s="37"/>
      <c r="AEM110" s="37"/>
      <c r="AEN110" s="37"/>
      <c r="AEO110" s="37"/>
      <c r="AEP110" s="37"/>
      <c r="AEQ110" s="37"/>
      <c r="AER110" s="37"/>
      <c r="AES110" s="37"/>
      <c r="AET110" s="37"/>
      <c r="AEU110" s="37"/>
      <c r="AEV110" s="37"/>
      <c r="AEW110" s="37"/>
      <c r="AEX110" s="37"/>
      <c r="AEY110" s="37"/>
      <c r="AEZ110" s="37"/>
      <c r="AFA110" s="37"/>
      <c r="AFB110" s="37"/>
      <c r="AFC110" s="37"/>
      <c r="AFD110" s="37"/>
      <c r="AFE110" s="37"/>
      <c r="AFF110" s="37"/>
      <c r="AFG110" s="37"/>
      <c r="AFH110" s="37"/>
      <c r="AFI110" s="37"/>
      <c r="AFJ110" s="37"/>
      <c r="AFK110" s="37"/>
      <c r="AFL110" s="37"/>
      <c r="AFM110" s="37"/>
      <c r="AFN110" s="37"/>
      <c r="AFO110" s="37"/>
      <c r="AFP110" s="37"/>
      <c r="AFQ110" s="37"/>
      <c r="AFR110" s="37"/>
      <c r="AFS110" s="37"/>
      <c r="AFT110" s="37"/>
      <c r="AFU110" s="37"/>
      <c r="AFV110" s="37"/>
      <c r="AFW110" s="37"/>
      <c r="AFX110" s="37"/>
      <c r="AFY110" s="37"/>
      <c r="AFZ110" s="37"/>
      <c r="AGA110" s="37"/>
      <c r="AGB110" s="37"/>
      <c r="AGC110" s="37"/>
      <c r="AGD110" s="37"/>
      <c r="AGE110" s="37"/>
      <c r="AGF110" s="37"/>
      <c r="AGG110" s="37"/>
      <c r="AGH110" s="37"/>
      <c r="AGI110" s="37"/>
      <c r="AGJ110" s="37"/>
      <c r="AGK110" s="37"/>
      <c r="AGL110" s="37"/>
      <c r="AGM110" s="37"/>
      <c r="AGN110" s="37"/>
      <c r="AGO110" s="37"/>
      <c r="AGP110" s="37"/>
      <c r="AGQ110" s="37"/>
      <c r="AGR110" s="37"/>
      <c r="AGS110" s="37"/>
      <c r="AGT110" s="37"/>
      <c r="AGU110" s="37"/>
      <c r="AGV110" s="37"/>
      <c r="AGW110" s="37"/>
      <c r="AGX110" s="37"/>
      <c r="AGY110" s="37"/>
      <c r="AGZ110" s="37"/>
      <c r="AHA110" s="37"/>
      <c r="AHB110" s="37"/>
      <c r="AHC110" s="37"/>
      <c r="AHD110" s="37"/>
      <c r="AHE110" s="37"/>
      <c r="AHF110" s="37"/>
      <c r="AHG110" s="37"/>
      <c r="AHH110" s="37"/>
      <c r="AHI110" s="37"/>
      <c r="AHJ110" s="37"/>
      <c r="AHK110" s="37"/>
      <c r="AHL110" s="37"/>
      <c r="AHM110" s="37"/>
      <c r="AHN110" s="37"/>
      <c r="AHO110" s="37"/>
      <c r="AHP110" s="37"/>
      <c r="AHQ110" s="37"/>
      <c r="AHR110" s="37"/>
      <c r="AHS110" s="37"/>
      <c r="AHT110" s="37"/>
      <c r="AHU110" s="37"/>
      <c r="AHV110" s="37"/>
      <c r="AHW110" s="37"/>
      <c r="AHX110" s="37"/>
      <c r="AHY110" s="37"/>
      <c r="AHZ110" s="37"/>
      <c r="AIA110" s="37"/>
      <c r="AIB110" s="37"/>
      <c r="AIC110" s="37"/>
      <c r="AID110" s="37"/>
      <c r="AIE110" s="37"/>
      <c r="AIF110" s="37"/>
      <c r="AIG110" s="37"/>
      <c r="AIH110" s="37"/>
      <c r="AII110" s="37"/>
      <c r="AIJ110" s="37"/>
      <c r="AIK110" s="37"/>
      <c r="AIL110" s="37"/>
      <c r="AIM110" s="37"/>
      <c r="AIN110" s="37"/>
      <c r="AIO110" s="37"/>
      <c r="AIP110" s="37"/>
      <c r="AIQ110" s="37"/>
      <c r="AIR110" s="37"/>
      <c r="AIS110" s="37"/>
      <c r="AIT110" s="37"/>
      <c r="AIU110" s="37"/>
      <c r="AIV110" s="37"/>
      <c r="AIW110" s="37"/>
      <c r="AIX110" s="37"/>
      <c r="AIY110" s="37"/>
      <c r="AIZ110" s="37"/>
      <c r="AJA110" s="37"/>
      <c r="AJB110" s="37"/>
      <c r="AJC110" s="37"/>
      <c r="AJD110" s="37"/>
      <c r="AJE110" s="37"/>
      <c r="AJF110" s="37"/>
      <c r="AJG110" s="37"/>
      <c r="AJH110" s="37"/>
      <c r="AJI110" s="37"/>
      <c r="AJJ110" s="37"/>
      <c r="AJK110" s="37"/>
      <c r="AJL110" s="37"/>
      <c r="AJM110" s="37"/>
      <c r="AJN110" s="37"/>
      <c r="AJO110" s="37"/>
      <c r="AJP110" s="37"/>
      <c r="AJQ110" s="37"/>
      <c r="AJR110" s="37"/>
      <c r="AJS110" s="37"/>
      <c r="AJT110" s="37"/>
      <c r="AJU110" s="37"/>
      <c r="AJV110" s="37"/>
      <c r="AJW110" s="37"/>
      <c r="AJX110" s="37"/>
      <c r="AJY110" s="37"/>
      <c r="AJZ110" s="37"/>
      <c r="AKA110" s="37"/>
      <c r="AKB110" s="37"/>
      <c r="AKC110" s="37"/>
      <c r="AKD110" s="37"/>
      <c r="AKE110" s="37"/>
      <c r="AKF110" s="37"/>
      <c r="AKG110" s="37"/>
      <c r="AKH110" s="37"/>
      <c r="AKI110" s="37"/>
      <c r="AKJ110" s="37"/>
      <c r="AKK110" s="37"/>
      <c r="AKL110" s="37"/>
      <c r="AKM110" s="37"/>
      <c r="AKN110" s="37"/>
      <c r="AKO110" s="37"/>
      <c r="AKP110" s="37"/>
      <c r="AKQ110" s="37"/>
      <c r="AKR110" s="37"/>
      <c r="AKS110" s="37"/>
      <c r="AKT110" s="37"/>
      <c r="AKU110" s="37"/>
      <c r="AKV110" s="37"/>
      <c r="AKW110" s="37"/>
      <c r="AKX110" s="37"/>
      <c r="AKY110" s="37"/>
      <c r="AKZ110" s="37"/>
      <c r="ALA110" s="37"/>
      <c r="ALB110" s="37"/>
      <c r="ALC110" s="37"/>
      <c r="ALD110" s="37"/>
      <c r="ALE110" s="37"/>
      <c r="ALF110" s="37"/>
      <c r="ALG110" s="37"/>
      <c r="ALH110" s="37"/>
      <c r="ALI110" s="37"/>
      <c r="ALJ110" s="37"/>
      <c r="ALK110" s="37"/>
      <c r="ALL110" s="37"/>
      <c r="ALM110" s="37"/>
      <c r="ALN110" s="37"/>
      <c r="ALO110" s="37"/>
      <c r="ALP110" s="37"/>
      <c r="ALQ110" s="37"/>
      <c r="ALR110" s="37"/>
      <c r="ALS110" s="37"/>
      <c r="ALT110" s="37"/>
      <c r="ALU110" s="37"/>
      <c r="ALV110" s="37"/>
      <c r="ALW110" s="37"/>
      <c r="ALX110" s="37"/>
      <c r="ALY110" s="37"/>
      <c r="ALZ110" s="37"/>
      <c r="AMA110" s="37"/>
      <c r="AMB110" s="37"/>
      <c r="AMC110" s="37"/>
    </row>
    <row r="111" spans="1:1017" s="38" customFormat="1" ht="19.5" customHeight="1">
      <c r="A111" s="72"/>
      <c r="B111" s="73"/>
      <c r="C111" s="72"/>
      <c r="D111" s="72"/>
      <c r="E111" s="72"/>
      <c r="F111" s="72"/>
      <c r="G111" s="35">
        <v>40</v>
      </c>
      <c r="H111" s="35">
        <v>92</v>
      </c>
      <c r="I111" s="35">
        <v>108</v>
      </c>
      <c r="J111" s="35">
        <v>66</v>
      </c>
      <c r="K111" s="35">
        <v>34</v>
      </c>
      <c r="L111" s="35">
        <v>25</v>
      </c>
      <c r="M111" s="35">
        <v>19</v>
      </c>
      <c r="N111" s="35">
        <v>94</v>
      </c>
      <c r="O111" s="74">
        <v>7</v>
      </c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  <c r="OU111" s="37"/>
      <c r="OV111" s="37"/>
      <c r="OW111" s="37"/>
      <c r="OX111" s="37"/>
      <c r="OY111" s="37"/>
      <c r="OZ111" s="37"/>
      <c r="PA111" s="37"/>
      <c r="PB111" s="37"/>
      <c r="PC111" s="37"/>
      <c r="PD111" s="37"/>
      <c r="PE111" s="37"/>
      <c r="PF111" s="37"/>
      <c r="PG111" s="37"/>
      <c r="PH111" s="37"/>
      <c r="PI111" s="37"/>
      <c r="PJ111" s="37"/>
      <c r="PK111" s="37"/>
      <c r="PL111" s="37"/>
      <c r="PM111" s="37"/>
      <c r="PN111" s="37"/>
      <c r="PO111" s="37"/>
      <c r="PP111" s="37"/>
      <c r="PQ111" s="37"/>
      <c r="PR111" s="37"/>
      <c r="PS111" s="37"/>
      <c r="PT111" s="37"/>
      <c r="PU111" s="37"/>
      <c r="PV111" s="37"/>
      <c r="PW111" s="37"/>
      <c r="PX111" s="37"/>
      <c r="PY111" s="37"/>
      <c r="PZ111" s="37"/>
      <c r="QA111" s="37"/>
      <c r="QB111" s="37"/>
      <c r="QC111" s="37"/>
      <c r="QD111" s="37"/>
      <c r="QE111" s="37"/>
      <c r="QF111" s="37"/>
      <c r="QG111" s="37"/>
      <c r="QH111" s="37"/>
      <c r="QI111" s="37"/>
      <c r="QJ111" s="37"/>
      <c r="QK111" s="37"/>
      <c r="QL111" s="37"/>
      <c r="QM111" s="37"/>
      <c r="QN111" s="37"/>
      <c r="QO111" s="37"/>
      <c r="QP111" s="37"/>
      <c r="QQ111" s="37"/>
      <c r="QR111" s="37"/>
      <c r="QS111" s="37"/>
      <c r="QT111" s="37"/>
      <c r="QU111" s="37"/>
      <c r="QV111" s="37"/>
      <c r="QW111" s="37"/>
      <c r="QX111" s="37"/>
      <c r="QY111" s="37"/>
      <c r="QZ111" s="37"/>
      <c r="RA111" s="37"/>
      <c r="RB111" s="37"/>
      <c r="RC111" s="37"/>
      <c r="RD111" s="37"/>
      <c r="RE111" s="37"/>
      <c r="RF111" s="37"/>
      <c r="RG111" s="37"/>
      <c r="RH111" s="37"/>
      <c r="RI111" s="37"/>
      <c r="RJ111" s="37"/>
      <c r="RK111" s="37"/>
      <c r="RL111" s="37"/>
      <c r="RM111" s="37"/>
      <c r="RN111" s="37"/>
      <c r="RO111" s="37"/>
      <c r="RP111" s="37"/>
      <c r="RQ111" s="37"/>
      <c r="RR111" s="37"/>
      <c r="RS111" s="37"/>
      <c r="RT111" s="37"/>
      <c r="RU111" s="37"/>
      <c r="RV111" s="37"/>
      <c r="RW111" s="37"/>
      <c r="RX111" s="37"/>
      <c r="RY111" s="37"/>
      <c r="RZ111" s="37"/>
      <c r="SA111" s="37"/>
      <c r="SB111" s="37"/>
      <c r="SC111" s="37"/>
      <c r="SD111" s="37"/>
      <c r="SE111" s="37"/>
      <c r="SF111" s="37"/>
      <c r="SG111" s="37"/>
      <c r="SH111" s="37"/>
      <c r="SI111" s="37"/>
      <c r="SJ111" s="37"/>
      <c r="SK111" s="37"/>
      <c r="SL111" s="37"/>
      <c r="SM111" s="37"/>
      <c r="SN111" s="37"/>
      <c r="SO111" s="37"/>
      <c r="SP111" s="37"/>
      <c r="SQ111" s="37"/>
      <c r="SR111" s="37"/>
      <c r="SS111" s="37"/>
      <c r="ST111" s="37"/>
      <c r="SU111" s="37"/>
      <c r="SV111" s="37"/>
      <c r="SW111" s="37"/>
      <c r="SX111" s="37"/>
      <c r="SY111" s="37"/>
      <c r="SZ111" s="37"/>
      <c r="TA111" s="37"/>
      <c r="TB111" s="37"/>
      <c r="TC111" s="37"/>
      <c r="TD111" s="37"/>
      <c r="TE111" s="37"/>
      <c r="TF111" s="37"/>
      <c r="TG111" s="37"/>
      <c r="TH111" s="37"/>
      <c r="TI111" s="37"/>
      <c r="TJ111" s="37"/>
      <c r="TK111" s="37"/>
      <c r="TL111" s="37"/>
      <c r="TM111" s="37"/>
      <c r="TN111" s="37"/>
      <c r="TO111" s="37"/>
      <c r="TP111" s="37"/>
      <c r="TQ111" s="37"/>
      <c r="TR111" s="37"/>
      <c r="TS111" s="37"/>
      <c r="TT111" s="37"/>
      <c r="TU111" s="37"/>
      <c r="TV111" s="37"/>
      <c r="TW111" s="37"/>
      <c r="TX111" s="37"/>
      <c r="TY111" s="37"/>
      <c r="TZ111" s="37"/>
      <c r="UA111" s="37"/>
      <c r="UB111" s="37"/>
      <c r="UC111" s="37"/>
      <c r="UD111" s="37"/>
      <c r="UE111" s="37"/>
      <c r="UF111" s="37"/>
      <c r="UG111" s="37"/>
      <c r="UH111" s="37"/>
      <c r="UI111" s="37"/>
      <c r="UJ111" s="37"/>
      <c r="UK111" s="37"/>
      <c r="UL111" s="37"/>
      <c r="UM111" s="37"/>
      <c r="UN111" s="37"/>
      <c r="UO111" s="37"/>
      <c r="UP111" s="37"/>
      <c r="UQ111" s="37"/>
      <c r="UR111" s="37"/>
      <c r="US111" s="37"/>
      <c r="UT111" s="37"/>
      <c r="UU111" s="37"/>
      <c r="UV111" s="37"/>
      <c r="UW111" s="37"/>
      <c r="UX111" s="37"/>
      <c r="UY111" s="37"/>
      <c r="UZ111" s="37"/>
      <c r="VA111" s="37"/>
      <c r="VB111" s="37"/>
      <c r="VC111" s="37"/>
      <c r="VD111" s="37"/>
      <c r="VE111" s="37"/>
      <c r="VF111" s="37"/>
      <c r="VG111" s="37"/>
      <c r="VH111" s="37"/>
      <c r="VI111" s="37"/>
      <c r="VJ111" s="37"/>
      <c r="VK111" s="37"/>
      <c r="VL111" s="37"/>
      <c r="VM111" s="37"/>
      <c r="VN111" s="37"/>
      <c r="VO111" s="37"/>
      <c r="VP111" s="37"/>
      <c r="VQ111" s="37"/>
      <c r="VR111" s="37"/>
      <c r="VS111" s="37"/>
      <c r="VT111" s="37"/>
      <c r="VU111" s="37"/>
      <c r="VV111" s="37"/>
      <c r="VW111" s="37"/>
      <c r="VX111" s="37"/>
      <c r="VY111" s="37"/>
      <c r="VZ111" s="37"/>
      <c r="WA111" s="37"/>
      <c r="WB111" s="37"/>
      <c r="WC111" s="37"/>
      <c r="WD111" s="37"/>
      <c r="WE111" s="37"/>
      <c r="WF111" s="37"/>
      <c r="WG111" s="37"/>
      <c r="WH111" s="37"/>
      <c r="WI111" s="37"/>
      <c r="WJ111" s="37"/>
      <c r="WK111" s="37"/>
      <c r="WL111" s="37"/>
      <c r="WM111" s="37"/>
      <c r="WN111" s="37"/>
      <c r="WO111" s="37"/>
      <c r="WP111" s="37"/>
      <c r="WQ111" s="37"/>
      <c r="WR111" s="37"/>
      <c r="WS111" s="37"/>
      <c r="WT111" s="37"/>
      <c r="WU111" s="37"/>
      <c r="WV111" s="37"/>
      <c r="WW111" s="37"/>
      <c r="WX111" s="37"/>
      <c r="WY111" s="37"/>
      <c r="WZ111" s="37"/>
      <c r="XA111" s="37"/>
      <c r="XB111" s="37"/>
      <c r="XC111" s="37"/>
      <c r="XD111" s="37"/>
      <c r="XE111" s="37"/>
      <c r="XF111" s="37"/>
      <c r="XG111" s="37"/>
      <c r="XH111" s="37"/>
      <c r="XI111" s="37"/>
      <c r="XJ111" s="37"/>
      <c r="XK111" s="37"/>
      <c r="XL111" s="37"/>
      <c r="XM111" s="37"/>
      <c r="XN111" s="37"/>
      <c r="XO111" s="37"/>
      <c r="XP111" s="37"/>
      <c r="XQ111" s="37"/>
      <c r="XR111" s="37"/>
      <c r="XS111" s="37"/>
      <c r="XT111" s="37"/>
      <c r="XU111" s="37"/>
      <c r="XV111" s="37"/>
      <c r="XW111" s="37"/>
      <c r="XX111" s="37"/>
      <c r="XY111" s="37"/>
      <c r="XZ111" s="37"/>
      <c r="YA111" s="37"/>
      <c r="YB111" s="37"/>
      <c r="YC111" s="37"/>
      <c r="YD111" s="37"/>
      <c r="YE111" s="37"/>
      <c r="YF111" s="37"/>
      <c r="YG111" s="37"/>
      <c r="YH111" s="37"/>
      <c r="YI111" s="37"/>
      <c r="YJ111" s="37"/>
      <c r="YK111" s="37"/>
      <c r="YL111" s="37"/>
      <c r="YM111" s="37"/>
      <c r="YN111" s="37"/>
      <c r="YO111" s="37"/>
      <c r="YP111" s="37"/>
      <c r="YQ111" s="37"/>
      <c r="YR111" s="37"/>
      <c r="YS111" s="37"/>
      <c r="YT111" s="37"/>
      <c r="YU111" s="37"/>
      <c r="YV111" s="37"/>
      <c r="YW111" s="37"/>
      <c r="YX111" s="37"/>
      <c r="YY111" s="37"/>
      <c r="YZ111" s="37"/>
      <c r="ZA111" s="37"/>
      <c r="ZB111" s="37"/>
      <c r="ZC111" s="37"/>
      <c r="ZD111" s="37"/>
      <c r="ZE111" s="37"/>
      <c r="ZF111" s="37"/>
      <c r="ZG111" s="37"/>
      <c r="ZH111" s="37"/>
      <c r="ZI111" s="37"/>
      <c r="ZJ111" s="37"/>
      <c r="ZK111" s="37"/>
      <c r="ZL111" s="37"/>
      <c r="ZM111" s="37"/>
      <c r="ZN111" s="37"/>
      <c r="ZO111" s="37"/>
      <c r="ZP111" s="37"/>
      <c r="ZQ111" s="37"/>
      <c r="ZR111" s="37"/>
      <c r="ZS111" s="37"/>
      <c r="ZT111" s="37"/>
      <c r="ZU111" s="37"/>
      <c r="ZV111" s="37"/>
      <c r="ZW111" s="37"/>
      <c r="ZX111" s="37"/>
      <c r="ZY111" s="37"/>
      <c r="ZZ111" s="37"/>
      <c r="AAA111" s="37"/>
      <c r="AAB111" s="37"/>
      <c r="AAC111" s="37"/>
      <c r="AAD111" s="37"/>
      <c r="AAE111" s="37"/>
      <c r="AAF111" s="37"/>
      <c r="AAG111" s="37"/>
      <c r="AAH111" s="37"/>
      <c r="AAI111" s="37"/>
      <c r="AAJ111" s="37"/>
      <c r="AAK111" s="37"/>
      <c r="AAL111" s="37"/>
      <c r="AAM111" s="37"/>
      <c r="AAN111" s="37"/>
      <c r="AAO111" s="37"/>
      <c r="AAP111" s="37"/>
      <c r="AAQ111" s="37"/>
      <c r="AAR111" s="37"/>
      <c r="AAS111" s="37"/>
      <c r="AAT111" s="37"/>
      <c r="AAU111" s="37"/>
      <c r="AAV111" s="37"/>
      <c r="AAW111" s="37"/>
      <c r="AAX111" s="37"/>
      <c r="AAY111" s="37"/>
      <c r="AAZ111" s="37"/>
      <c r="ABA111" s="37"/>
      <c r="ABB111" s="37"/>
      <c r="ABC111" s="37"/>
      <c r="ABD111" s="37"/>
      <c r="ABE111" s="37"/>
      <c r="ABF111" s="37"/>
      <c r="ABG111" s="37"/>
      <c r="ABH111" s="37"/>
      <c r="ABI111" s="37"/>
      <c r="ABJ111" s="37"/>
      <c r="ABK111" s="37"/>
      <c r="ABL111" s="37"/>
      <c r="ABM111" s="37"/>
      <c r="ABN111" s="37"/>
      <c r="ABO111" s="37"/>
      <c r="ABP111" s="37"/>
      <c r="ABQ111" s="37"/>
      <c r="ABR111" s="37"/>
      <c r="ABS111" s="37"/>
      <c r="ABT111" s="37"/>
      <c r="ABU111" s="37"/>
      <c r="ABV111" s="37"/>
      <c r="ABW111" s="37"/>
      <c r="ABX111" s="37"/>
      <c r="ABY111" s="37"/>
      <c r="ABZ111" s="37"/>
      <c r="ACA111" s="37"/>
      <c r="ACB111" s="37"/>
      <c r="ACC111" s="37"/>
      <c r="ACD111" s="37"/>
      <c r="ACE111" s="37"/>
      <c r="ACF111" s="37"/>
      <c r="ACG111" s="37"/>
      <c r="ACH111" s="37"/>
      <c r="ACI111" s="37"/>
      <c r="ACJ111" s="37"/>
      <c r="ACK111" s="37"/>
      <c r="ACL111" s="37"/>
      <c r="ACM111" s="37"/>
      <c r="ACN111" s="37"/>
      <c r="ACO111" s="37"/>
      <c r="ACP111" s="37"/>
      <c r="ACQ111" s="37"/>
      <c r="ACR111" s="37"/>
      <c r="ACS111" s="37"/>
      <c r="ACT111" s="37"/>
      <c r="ACU111" s="37"/>
      <c r="ACV111" s="37"/>
      <c r="ACW111" s="37"/>
      <c r="ACX111" s="37"/>
      <c r="ACY111" s="37"/>
      <c r="ACZ111" s="37"/>
      <c r="ADA111" s="37"/>
      <c r="ADB111" s="37"/>
      <c r="ADC111" s="37"/>
      <c r="ADD111" s="37"/>
      <c r="ADE111" s="37"/>
      <c r="ADF111" s="37"/>
      <c r="ADG111" s="37"/>
      <c r="ADH111" s="37"/>
      <c r="ADI111" s="37"/>
      <c r="ADJ111" s="37"/>
      <c r="ADK111" s="37"/>
      <c r="ADL111" s="37"/>
      <c r="ADM111" s="37"/>
      <c r="ADN111" s="37"/>
      <c r="ADO111" s="37"/>
      <c r="ADP111" s="37"/>
      <c r="ADQ111" s="37"/>
      <c r="ADR111" s="37"/>
      <c r="ADS111" s="37"/>
      <c r="ADT111" s="37"/>
      <c r="ADU111" s="37"/>
      <c r="ADV111" s="37"/>
      <c r="ADW111" s="37"/>
      <c r="ADX111" s="37"/>
      <c r="ADY111" s="37"/>
      <c r="ADZ111" s="37"/>
      <c r="AEA111" s="37"/>
      <c r="AEB111" s="37"/>
      <c r="AEC111" s="37"/>
      <c r="AED111" s="37"/>
      <c r="AEE111" s="37"/>
      <c r="AEF111" s="37"/>
      <c r="AEG111" s="37"/>
      <c r="AEH111" s="37"/>
      <c r="AEI111" s="37"/>
      <c r="AEJ111" s="37"/>
      <c r="AEK111" s="37"/>
      <c r="AEL111" s="37"/>
      <c r="AEM111" s="37"/>
      <c r="AEN111" s="37"/>
      <c r="AEO111" s="37"/>
      <c r="AEP111" s="37"/>
      <c r="AEQ111" s="37"/>
      <c r="AER111" s="37"/>
      <c r="AES111" s="37"/>
      <c r="AET111" s="37"/>
      <c r="AEU111" s="37"/>
      <c r="AEV111" s="37"/>
      <c r="AEW111" s="37"/>
      <c r="AEX111" s="37"/>
      <c r="AEY111" s="37"/>
      <c r="AEZ111" s="37"/>
      <c r="AFA111" s="37"/>
      <c r="AFB111" s="37"/>
      <c r="AFC111" s="37"/>
      <c r="AFD111" s="37"/>
      <c r="AFE111" s="37"/>
      <c r="AFF111" s="37"/>
      <c r="AFG111" s="37"/>
      <c r="AFH111" s="37"/>
      <c r="AFI111" s="37"/>
      <c r="AFJ111" s="37"/>
      <c r="AFK111" s="37"/>
      <c r="AFL111" s="37"/>
      <c r="AFM111" s="37"/>
      <c r="AFN111" s="37"/>
      <c r="AFO111" s="37"/>
      <c r="AFP111" s="37"/>
      <c r="AFQ111" s="37"/>
      <c r="AFR111" s="37"/>
      <c r="AFS111" s="37"/>
      <c r="AFT111" s="37"/>
      <c r="AFU111" s="37"/>
      <c r="AFV111" s="37"/>
      <c r="AFW111" s="37"/>
      <c r="AFX111" s="37"/>
      <c r="AFY111" s="37"/>
      <c r="AFZ111" s="37"/>
      <c r="AGA111" s="37"/>
      <c r="AGB111" s="37"/>
      <c r="AGC111" s="37"/>
      <c r="AGD111" s="37"/>
      <c r="AGE111" s="37"/>
      <c r="AGF111" s="37"/>
      <c r="AGG111" s="37"/>
      <c r="AGH111" s="37"/>
      <c r="AGI111" s="37"/>
      <c r="AGJ111" s="37"/>
      <c r="AGK111" s="37"/>
      <c r="AGL111" s="37"/>
      <c r="AGM111" s="37"/>
      <c r="AGN111" s="37"/>
      <c r="AGO111" s="37"/>
      <c r="AGP111" s="37"/>
      <c r="AGQ111" s="37"/>
      <c r="AGR111" s="37"/>
      <c r="AGS111" s="37"/>
      <c r="AGT111" s="37"/>
      <c r="AGU111" s="37"/>
      <c r="AGV111" s="37"/>
      <c r="AGW111" s="37"/>
      <c r="AGX111" s="37"/>
      <c r="AGY111" s="37"/>
      <c r="AGZ111" s="37"/>
      <c r="AHA111" s="37"/>
      <c r="AHB111" s="37"/>
      <c r="AHC111" s="37"/>
      <c r="AHD111" s="37"/>
      <c r="AHE111" s="37"/>
      <c r="AHF111" s="37"/>
      <c r="AHG111" s="37"/>
      <c r="AHH111" s="37"/>
      <c r="AHI111" s="37"/>
      <c r="AHJ111" s="37"/>
      <c r="AHK111" s="37"/>
      <c r="AHL111" s="37"/>
      <c r="AHM111" s="37"/>
      <c r="AHN111" s="37"/>
      <c r="AHO111" s="37"/>
      <c r="AHP111" s="37"/>
      <c r="AHQ111" s="37"/>
      <c r="AHR111" s="37"/>
      <c r="AHS111" s="37"/>
      <c r="AHT111" s="37"/>
      <c r="AHU111" s="37"/>
      <c r="AHV111" s="37"/>
      <c r="AHW111" s="37"/>
      <c r="AHX111" s="37"/>
      <c r="AHY111" s="37"/>
      <c r="AHZ111" s="37"/>
      <c r="AIA111" s="37"/>
      <c r="AIB111" s="37"/>
      <c r="AIC111" s="37"/>
      <c r="AID111" s="37"/>
      <c r="AIE111" s="37"/>
      <c r="AIF111" s="37"/>
      <c r="AIG111" s="37"/>
      <c r="AIH111" s="37"/>
      <c r="AII111" s="37"/>
      <c r="AIJ111" s="37"/>
      <c r="AIK111" s="37"/>
      <c r="AIL111" s="37"/>
      <c r="AIM111" s="37"/>
      <c r="AIN111" s="37"/>
      <c r="AIO111" s="37"/>
      <c r="AIP111" s="37"/>
      <c r="AIQ111" s="37"/>
      <c r="AIR111" s="37"/>
      <c r="AIS111" s="37"/>
      <c r="AIT111" s="37"/>
      <c r="AIU111" s="37"/>
      <c r="AIV111" s="37"/>
      <c r="AIW111" s="37"/>
      <c r="AIX111" s="37"/>
      <c r="AIY111" s="37"/>
      <c r="AIZ111" s="37"/>
      <c r="AJA111" s="37"/>
      <c r="AJB111" s="37"/>
      <c r="AJC111" s="37"/>
      <c r="AJD111" s="37"/>
      <c r="AJE111" s="37"/>
      <c r="AJF111" s="37"/>
      <c r="AJG111" s="37"/>
      <c r="AJH111" s="37"/>
      <c r="AJI111" s="37"/>
      <c r="AJJ111" s="37"/>
      <c r="AJK111" s="37"/>
      <c r="AJL111" s="37"/>
      <c r="AJM111" s="37"/>
      <c r="AJN111" s="37"/>
      <c r="AJO111" s="37"/>
      <c r="AJP111" s="37"/>
      <c r="AJQ111" s="37"/>
      <c r="AJR111" s="37"/>
      <c r="AJS111" s="37"/>
      <c r="AJT111" s="37"/>
      <c r="AJU111" s="37"/>
      <c r="AJV111" s="37"/>
      <c r="AJW111" s="37"/>
      <c r="AJX111" s="37"/>
      <c r="AJY111" s="37"/>
      <c r="AJZ111" s="37"/>
      <c r="AKA111" s="37"/>
      <c r="AKB111" s="37"/>
      <c r="AKC111" s="37"/>
      <c r="AKD111" s="37"/>
      <c r="AKE111" s="37"/>
      <c r="AKF111" s="37"/>
      <c r="AKG111" s="37"/>
      <c r="AKH111" s="37"/>
      <c r="AKI111" s="37"/>
      <c r="AKJ111" s="37"/>
      <c r="AKK111" s="37"/>
      <c r="AKL111" s="37"/>
      <c r="AKM111" s="37"/>
      <c r="AKN111" s="37"/>
      <c r="AKO111" s="37"/>
      <c r="AKP111" s="37"/>
      <c r="AKQ111" s="37"/>
      <c r="AKR111" s="37"/>
      <c r="AKS111" s="37"/>
      <c r="AKT111" s="37"/>
      <c r="AKU111" s="37"/>
      <c r="AKV111" s="37"/>
      <c r="AKW111" s="37"/>
      <c r="AKX111" s="37"/>
      <c r="AKY111" s="37"/>
      <c r="AKZ111" s="37"/>
      <c r="ALA111" s="37"/>
      <c r="ALB111" s="37"/>
      <c r="ALC111" s="37"/>
      <c r="ALD111" s="37"/>
      <c r="ALE111" s="37"/>
      <c r="ALF111" s="37"/>
      <c r="ALG111" s="37"/>
      <c r="ALH111" s="37"/>
      <c r="ALI111" s="37"/>
      <c r="ALJ111" s="37"/>
      <c r="ALK111" s="37"/>
      <c r="ALL111" s="37"/>
      <c r="ALM111" s="37"/>
      <c r="ALN111" s="37"/>
      <c r="ALO111" s="37"/>
      <c r="ALP111" s="37"/>
      <c r="ALQ111" s="37"/>
      <c r="ALR111" s="37"/>
      <c r="ALS111" s="37"/>
      <c r="ALT111" s="37"/>
      <c r="ALU111" s="37"/>
      <c r="ALV111" s="37"/>
      <c r="ALW111" s="37"/>
      <c r="ALX111" s="37"/>
      <c r="ALY111" s="37"/>
      <c r="ALZ111" s="37"/>
      <c r="AMA111" s="37"/>
      <c r="AMB111" s="37"/>
      <c r="AMC111" s="37"/>
    </row>
    <row r="112" spans="1:1017" s="38" customFormat="1" ht="19.5" customHeight="1">
      <c r="A112" s="75"/>
      <c r="B112" s="76"/>
      <c r="C112" s="75"/>
      <c r="D112" s="75"/>
      <c r="E112" s="75"/>
      <c r="F112" s="75"/>
      <c r="G112" s="77">
        <v>46</v>
      </c>
      <c r="H112" s="77">
        <v>56</v>
      </c>
      <c r="I112" s="77">
        <v>20</v>
      </c>
      <c r="J112" s="77">
        <v>15</v>
      </c>
      <c r="K112" s="77">
        <v>100</v>
      </c>
      <c r="L112" s="77">
        <v>97</v>
      </c>
      <c r="M112" s="77">
        <v>110</v>
      </c>
      <c r="N112" s="77"/>
      <c r="O112" s="7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/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37"/>
      <c r="QL112" s="37"/>
      <c r="QM112" s="37"/>
      <c r="QN112" s="37"/>
      <c r="QO112" s="37"/>
      <c r="QP112" s="37"/>
      <c r="QQ112" s="37"/>
      <c r="QR112" s="37"/>
      <c r="QS112" s="37"/>
      <c r="QT112" s="37"/>
      <c r="QU112" s="37"/>
      <c r="QV112" s="37"/>
      <c r="QW112" s="37"/>
      <c r="QX112" s="37"/>
      <c r="QY112" s="37"/>
      <c r="QZ112" s="37"/>
      <c r="RA112" s="37"/>
      <c r="RB112" s="37"/>
      <c r="RC112" s="37"/>
      <c r="RD112" s="37"/>
      <c r="RE112" s="37"/>
      <c r="RF112" s="37"/>
      <c r="RG112" s="37"/>
      <c r="RH112" s="37"/>
      <c r="RI112" s="37"/>
      <c r="RJ112" s="37"/>
      <c r="RK112" s="37"/>
      <c r="RL112" s="37"/>
      <c r="RM112" s="37"/>
      <c r="RN112" s="37"/>
      <c r="RO112" s="37"/>
      <c r="RP112" s="37"/>
      <c r="RQ112" s="37"/>
      <c r="RR112" s="37"/>
      <c r="RS112" s="37"/>
      <c r="RT112" s="37"/>
      <c r="RU112" s="37"/>
      <c r="RV112" s="37"/>
      <c r="RW112" s="37"/>
      <c r="RX112" s="37"/>
      <c r="RY112" s="37"/>
      <c r="RZ112" s="37"/>
      <c r="SA112" s="37"/>
      <c r="SB112" s="37"/>
      <c r="SC112" s="37"/>
      <c r="SD112" s="37"/>
      <c r="SE112" s="37"/>
      <c r="SF112" s="37"/>
      <c r="SG112" s="37"/>
      <c r="SH112" s="37"/>
      <c r="SI112" s="37"/>
      <c r="SJ112" s="37"/>
      <c r="SK112" s="37"/>
      <c r="SL112" s="37"/>
      <c r="SM112" s="37"/>
      <c r="SN112" s="37"/>
      <c r="SO112" s="37"/>
      <c r="SP112" s="37"/>
      <c r="SQ112" s="37"/>
      <c r="SR112" s="37"/>
      <c r="SS112" s="37"/>
      <c r="ST112" s="37"/>
      <c r="SU112" s="37"/>
      <c r="SV112" s="37"/>
      <c r="SW112" s="37"/>
      <c r="SX112" s="37"/>
      <c r="SY112" s="37"/>
      <c r="SZ112" s="37"/>
      <c r="TA112" s="37"/>
      <c r="TB112" s="37"/>
      <c r="TC112" s="37"/>
      <c r="TD112" s="37"/>
      <c r="TE112" s="37"/>
      <c r="TF112" s="37"/>
      <c r="TG112" s="37"/>
      <c r="TH112" s="37"/>
      <c r="TI112" s="37"/>
      <c r="TJ112" s="37"/>
      <c r="TK112" s="37"/>
      <c r="TL112" s="37"/>
      <c r="TM112" s="37"/>
      <c r="TN112" s="37"/>
      <c r="TO112" s="37"/>
      <c r="TP112" s="37"/>
      <c r="TQ112" s="37"/>
      <c r="TR112" s="37"/>
      <c r="TS112" s="37"/>
      <c r="TT112" s="37"/>
      <c r="TU112" s="37"/>
      <c r="TV112" s="37"/>
      <c r="TW112" s="37"/>
      <c r="TX112" s="37"/>
      <c r="TY112" s="37"/>
      <c r="TZ112" s="37"/>
      <c r="UA112" s="37"/>
      <c r="UB112" s="37"/>
      <c r="UC112" s="37"/>
      <c r="UD112" s="37"/>
      <c r="UE112" s="37"/>
      <c r="UF112" s="37"/>
      <c r="UG112" s="37"/>
      <c r="UH112" s="37"/>
      <c r="UI112" s="37"/>
      <c r="UJ112" s="37"/>
      <c r="UK112" s="37"/>
      <c r="UL112" s="37"/>
      <c r="UM112" s="37"/>
      <c r="UN112" s="37"/>
      <c r="UO112" s="37"/>
      <c r="UP112" s="37"/>
      <c r="UQ112" s="37"/>
      <c r="UR112" s="37"/>
      <c r="US112" s="37"/>
      <c r="UT112" s="37"/>
      <c r="UU112" s="37"/>
      <c r="UV112" s="37"/>
      <c r="UW112" s="37"/>
      <c r="UX112" s="37"/>
      <c r="UY112" s="37"/>
      <c r="UZ112" s="37"/>
      <c r="VA112" s="37"/>
      <c r="VB112" s="37"/>
      <c r="VC112" s="37"/>
      <c r="VD112" s="37"/>
      <c r="VE112" s="37"/>
      <c r="VF112" s="37"/>
      <c r="VG112" s="37"/>
      <c r="VH112" s="37"/>
      <c r="VI112" s="37"/>
      <c r="VJ112" s="37"/>
      <c r="VK112" s="37"/>
      <c r="VL112" s="37"/>
      <c r="VM112" s="37"/>
      <c r="VN112" s="37"/>
      <c r="VO112" s="37"/>
      <c r="VP112" s="37"/>
      <c r="VQ112" s="37"/>
      <c r="VR112" s="37"/>
      <c r="VS112" s="37"/>
      <c r="VT112" s="37"/>
      <c r="VU112" s="37"/>
      <c r="VV112" s="37"/>
      <c r="VW112" s="37"/>
      <c r="VX112" s="37"/>
      <c r="VY112" s="37"/>
      <c r="VZ112" s="37"/>
      <c r="WA112" s="37"/>
      <c r="WB112" s="37"/>
      <c r="WC112" s="37"/>
      <c r="WD112" s="37"/>
      <c r="WE112" s="37"/>
      <c r="WF112" s="37"/>
      <c r="WG112" s="37"/>
      <c r="WH112" s="37"/>
      <c r="WI112" s="37"/>
      <c r="WJ112" s="37"/>
      <c r="WK112" s="37"/>
      <c r="WL112" s="37"/>
      <c r="WM112" s="37"/>
      <c r="WN112" s="37"/>
      <c r="WO112" s="37"/>
      <c r="WP112" s="37"/>
      <c r="WQ112" s="37"/>
      <c r="WR112" s="37"/>
      <c r="WS112" s="37"/>
      <c r="WT112" s="37"/>
      <c r="WU112" s="37"/>
      <c r="WV112" s="37"/>
      <c r="WW112" s="37"/>
      <c r="WX112" s="37"/>
      <c r="WY112" s="37"/>
      <c r="WZ112" s="37"/>
      <c r="XA112" s="37"/>
      <c r="XB112" s="37"/>
      <c r="XC112" s="37"/>
      <c r="XD112" s="37"/>
      <c r="XE112" s="37"/>
      <c r="XF112" s="37"/>
      <c r="XG112" s="37"/>
      <c r="XH112" s="37"/>
      <c r="XI112" s="37"/>
      <c r="XJ112" s="37"/>
      <c r="XK112" s="37"/>
      <c r="XL112" s="37"/>
      <c r="XM112" s="37"/>
      <c r="XN112" s="37"/>
      <c r="XO112" s="37"/>
      <c r="XP112" s="37"/>
      <c r="XQ112" s="37"/>
      <c r="XR112" s="37"/>
      <c r="XS112" s="37"/>
      <c r="XT112" s="37"/>
      <c r="XU112" s="37"/>
      <c r="XV112" s="37"/>
      <c r="XW112" s="37"/>
      <c r="XX112" s="37"/>
      <c r="XY112" s="37"/>
      <c r="XZ112" s="37"/>
      <c r="YA112" s="37"/>
      <c r="YB112" s="37"/>
      <c r="YC112" s="37"/>
      <c r="YD112" s="37"/>
      <c r="YE112" s="37"/>
      <c r="YF112" s="37"/>
      <c r="YG112" s="37"/>
      <c r="YH112" s="37"/>
      <c r="YI112" s="37"/>
      <c r="YJ112" s="37"/>
      <c r="YK112" s="37"/>
      <c r="YL112" s="37"/>
      <c r="YM112" s="37"/>
      <c r="YN112" s="37"/>
      <c r="YO112" s="37"/>
      <c r="YP112" s="37"/>
      <c r="YQ112" s="37"/>
      <c r="YR112" s="37"/>
      <c r="YS112" s="37"/>
      <c r="YT112" s="37"/>
      <c r="YU112" s="37"/>
      <c r="YV112" s="37"/>
      <c r="YW112" s="37"/>
      <c r="YX112" s="37"/>
      <c r="YY112" s="37"/>
      <c r="YZ112" s="37"/>
      <c r="ZA112" s="37"/>
      <c r="ZB112" s="37"/>
      <c r="ZC112" s="37"/>
      <c r="ZD112" s="37"/>
      <c r="ZE112" s="37"/>
      <c r="ZF112" s="37"/>
      <c r="ZG112" s="37"/>
      <c r="ZH112" s="37"/>
      <c r="ZI112" s="37"/>
      <c r="ZJ112" s="37"/>
      <c r="ZK112" s="37"/>
      <c r="ZL112" s="37"/>
      <c r="ZM112" s="37"/>
      <c r="ZN112" s="37"/>
      <c r="ZO112" s="37"/>
      <c r="ZP112" s="37"/>
      <c r="ZQ112" s="37"/>
      <c r="ZR112" s="37"/>
      <c r="ZS112" s="37"/>
      <c r="ZT112" s="37"/>
      <c r="ZU112" s="37"/>
      <c r="ZV112" s="37"/>
      <c r="ZW112" s="37"/>
      <c r="ZX112" s="37"/>
      <c r="ZY112" s="37"/>
      <c r="ZZ112" s="37"/>
      <c r="AAA112" s="37"/>
      <c r="AAB112" s="37"/>
      <c r="AAC112" s="37"/>
      <c r="AAD112" s="37"/>
      <c r="AAE112" s="37"/>
      <c r="AAF112" s="37"/>
      <c r="AAG112" s="37"/>
      <c r="AAH112" s="37"/>
      <c r="AAI112" s="37"/>
      <c r="AAJ112" s="37"/>
      <c r="AAK112" s="37"/>
      <c r="AAL112" s="37"/>
      <c r="AAM112" s="37"/>
      <c r="AAN112" s="37"/>
      <c r="AAO112" s="37"/>
      <c r="AAP112" s="37"/>
      <c r="AAQ112" s="37"/>
      <c r="AAR112" s="37"/>
      <c r="AAS112" s="37"/>
      <c r="AAT112" s="37"/>
      <c r="AAU112" s="37"/>
      <c r="AAV112" s="37"/>
      <c r="AAW112" s="37"/>
      <c r="AAX112" s="37"/>
      <c r="AAY112" s="37"/>
      <c r="AAZ112" s="37"/>
      <c r="ABA112" s="37"/>
      <c r="ABB112" s="37"/>
      <c r="ABC112" s="37"/>
      <c r="ABD112" s="37"/>
      <c r="ABE112" s="37"/>
      <c r="ABF112" s="37"/>
      <c r="ABG112" s="37"/>
      <c r="ABH112" s="37"/>
      <c r="ABI112" s="37"/>
      <c r="ABJ112" s="37"/>
      <c r="ABK112" s="37"/>
      <c r="ABL112" s="37"/>
      <c r="ABM112" s="37"/>
      <c r="ABN112" s="37"/>
      <c r="ABO112" s="37"/>
      <c r="ABP112" s="37"/>
      <c r="ABQ112" s="37"/>
      <c r="ABR112" s="37"/>
      <c r="ABS112" s="37"/>
      <c r="ABT112" s="37"/>
      <c r="ABU112" s="37"/>
      <c r="ABV112" s="37"/>
      <c r="ABW112" s="37"/>
      <c r="ABX112" s="37"/>
      <c r="ABY112" s="37"/>
      <c r="ABZ112" s="37"/>
      <c r="ACA112" s="37"/>
      <c r="ACB112" s="37"/>
      <c r="ACC112" s="37"/>
      <c r="ACD112" s="37"/>
      <c r="ACE112" s="37"/>
      <c r="ACF112" s="37"/>
      <c r="ACG112" s="37"/>
      <c r="ACH112" s="37"/>
      <c r="ACI112" s="37"/>
      <c r="ACJ112" s="37"/>
      <c r="ACK112" s="37"/>
      <c r="ACL112" s="37"/>
      <c r="ACM112" s="37"/>
      <c r="ACN112" s="37"/>
      <c r="ACO112" s="37"/>
      <c r="ACP112" s="37"/>
      <c r="ACQ112" s="37"/>
      <c r="ACR112" s="37"/>
      <c r="ACS112" s="37"/>
      <c r="ACT112" s="37"/>
      <c r="ACU112" s="37"/>
      <c r="ACV112" s="37"/>
      <c r="ACW112" s="37"/>
      <c r="ACX112" s="37"/>
      <c r="ACY112" s="37"/>
      <c r="ACZ112" s="37"/>
      <c r="ADA112" s="37"/>
      <c r="ADB112" s="37"/>
      <c r="ADC112" s="37"/>
      <c r="ADD112" s="37"/>
      <c r="ADE112" s="37"/>
      <c r="ADF112" s="37"/>
      <c r="ADG112" s="37"/>
      <c r="ADH112" s="37"/>
      <c r="ADI112" s="37"/>
      <c r="ADJ112" s="37"/>
      <c r="ADK112" s="37"/>
      <c r="ADL112" s="37"/>
      <c r="ADM112" s="37"/>
      <c r="ADN112" s="37"/>
      <c r="ADO112" s="37"/>
      <c r="ADP112" s="37"/>
      <c r="ADQ112" s="37"/>
      <c r="ADR112" s="37"/>
      <c r="ADS112" s="37"/>
      <c r="ADT112" s="37"/>
      <c r="ADU112" s="37"/>
      <c r="ADV112" s="37"/>
      <c r="ADW112" s="37"/>
      <c r="ADX112" s="37"/>
      <c r="ADY112" s="37"/>
      <c r="ADZ112" s="37"/>
      <c r="AEA112" s="37"/>
      <c r="AEB112" s="37"/>
      <c r="AEC112" s="37"/>
      <c r="AED112" s="37"/>
      <c r="AEE112" s="37"/>
      <c r="AEF112" s="37"/>
      <c r="AEG112" s="37"/>
      <c r="AEH112" s="37"/>
      <c r="AEI112" s="37"/>
      <c r="AEJ112" s="37"/>
      <c r="AEK112" s="37"/>
      <c r="AEL112" s="37"/>
      <c r="AEM112" s="37"/>
      <c r="AEN112" s="37"/>
      <c r="AEO112" s="37"/>
      <c r="AEP112" s="37"/>
      <c r="AEQ112" s="37"/>
      <c r="AER112" s="37"/>
      <c r="AES112" s="37"/>
      <c r="AET112" s="37"/>
      <c r="AEU112" s="37"/>
      <c r="AEV112" s="37"/>
      <c r="AEW112" s="37"/>
      <c r="AEX112" s="37"/>
      <c r="AEY112" s="37"/>
      <c r="AEZ112" s="37"/>
      <c r="AFA112" s="37"/>
      <c r="AFB112" s="37"/>
      <c r="AFC112" s="37"/>
      <c r="AFD112" s="37"/>
      <c r="AFE112" s="37"/>
      <c r="AFF112" s="37"/>
      <c r="AFG112" s="37"/>
      <c r="AFH112" s="37"/>
      <c r="AFI112" s="37"/>
      <c r="AFJ112" s="37"/>
      <c r="AFK112" s="37"/>
      <c r="AFL112" s="37"/>
      <c r="AFM112" s="37"/>
      <c r="AFN112" s="37"/>
      <c r="AFO112" s="37"/>
      <c r="AFP112" s="37"/>
      <c r="AFQ112" s="37"/>
      <c r="AFR112" s="37"/>
      <c r="AFS112" s="37"/>
      <c r="AFT112" s="37"/>
      <c r="AFU112" s="37"/>
      <c r="AFV112" s="37"/>
      <c r="AFW112" s="37"/>
      <c r="AFX112" s="37"/>
      <c r="AFY112" s="37"/>
      <c r="AFZ112" s="37"/>
      <c r="AGA112" s="37"/>
      <c r="AGB112" s="37"/>
      <c r="AGC112" s="37"/>
      <c r="AGD112" s="37"/>
      <c r="AGE112" s="37"/>
      <c r="AGF112" s="37"/>
      <c r="AGG112" s="37"/>
      <c r="AGH112" s="37"/>
      <c r="AGI112" s="37"/>
      <c r="AGJ112" s="37"/>
      <c r="AGK112" s="37"/>
      <c r="AGL112" s="37"/>
      <c r="AGM112" s="37"/>
      <c r="AGN112" s="37"/>
      <c r="AGO112" s="37"/>
      <c r="AGP112" s="37"/>
      <c r="AGQ112" s="37"/>
      <c r="AGR112" s="37"/>
      <c r="AGS112" s="37"/>
      <c r="AGT112" s="37"/>
      <c r="AGU112" s="37"/>
      <c r="AGV112" s="37"/>
      <c r="AGW112" s="37"/>
      <c r="AGX112" s="37"/>
      <c r="AGY112" s="37"/>
      <c r="AGZ112" s="37"/>
      <c r="AHA112" s="37"/>
      <c r="AHB112" s="37"/>
      <c r="AHC112" s="37"/>
      <c r="AHD112" s="37"/>
      <c r="AHE112" s="37"/>
      <c r="AHF112" s="37"/>
      <c r="AHG112" s="37"/>
      <c r="AHH112" s="37"/>
      <c r="AHI112" s="37"/>
      <c r="AHJ112" s="37"/>
      <c r="AHK112" s="37"/>
      <c r="AHL112" s="37"/>
      <c r="AHM112" s="37"/>
      <c r="AHN112" s="37"/>
      <c r="AHO112" s="37"/>
      <c r="AHP112" s="37"/>
      <c r="AHQ112" s="37"/>
      <c r="AHR112" s="37"/>
      <c r="AHS112" s="37"/>
      <c r="AHT112" s="37"/>
      <c r="AHU112" s="37"/>
      <c r="AHV112" s="37"/>
      <c r="AHW112" s="37"/>
      <c r="AHX112" s="37"/>
      <c r="AHY112" s="37"/>
      <c r="AHZ112" s="37"/>
      <c r="AIA112" s="37"/>
      <c r="AIB112" s="37"/>
      <c r="AIC112" s="37"/>
      <c r="AID112" s="37"/>
      <c r="AIE112" s="37"/>
      <c r="AIF112" s="37"/>
      <c r="AIG112" s="37"/>
      <c r="AIH112" s="37"/>
      <c r="AII112" s="37"/>
      <c r="AIJ112" s="37"/>
      <c r="AIK112" s="37"/>
      <c r="AIL112" s="37"/>
      <c r="AIM112" s="37"/>
      <c r="AIN112" s="37"/>
      <c r="AIO112" s="37"/>
      <c r="AIP112" s="37"/>
      <c r="AIQ112" s="37"/>
      <c r="AIR112" s="37"/>
      <c r="AIS112" s="37"/>
      <c r="AIT112" s="37"/>
      <c r="AIU112" s="37"/>
      <c r="AIV112" s="37"/>
      <c r="AIW112" s="37"/>
      <c r="AIX112" s="37"/>
      <c r="AIY112" s="37"/>
      <c r="AIZ112" s="37"/>
      <c r="AJA112" s="37"/>
      <c r="AJB112" s="37"/>
      <c r="AJC112" s="37"/>
      <c r="AJD112" s="37"/>
      <c r="AJE112" s="37"/>
      <c r="AJF112" s="37"/>
      <c r="AJG112" s="37"/>
      <c r="AJH112" s="37"/>
      <c r="AJI112" s="37"/>
      <c r="AJJ112" s="37"/>
      <c r="AJK112" s="37"/>
      <c r="AJL112" s="37"/>
      <c r="AJM112" s="37"/>
      <c r="AJN112" s="37"/>
      <c r="AJO112" s="37"/>
      <c r="AJP112" s="37"/>
      <c r="AJQ112" s="37"/>
      <c r="AJR112" s="37"/>
      <c r="AJS112" s="37"/>
      <c r="AJT112" s="37"/>
      <c r="AJU112" s="37"/>
      <c r="AJV112" s="37"/>
      <c r="AJW112" s="37"/>
      <c r="AJX112" s="37"/>
      <c r="AJY112" s="37"/>
      <c r="AJZ112" s="37"/>
      <c r="AKA112" s="37"/>
      <c r="AKB112" s="37"/>
      <c r="AKC112" s="37"/>
      <c r="AKD112" s="37"/>
      <c r="AKE112" s="37"/>
      <c r="AKF112" s="37"/>
      <c r="AKG112" s="37"/>
      <c r="AKH112" s="37"/>
      <c r="AKI112" s="37"/>
      <c r="AKJ112" s="37"/>
      <c r="AKK112" s="37"/>
      <c r="AKL112" s="37"/>
      <c r="AKM112" s="37"/>
      <c r="AKN112" s="37"/>
      <c r="AKO112" s="37"/>
      <c r="AKP112" s="37"/>
      <c r="AKQ112" s="37"/>
      <c r="AKR112" s="37"/>
      <c r="AKS112" s="37"/>
      <c r="AKT112" s="37"/>
      <c r="AKU112" s="37"/>
      <c r="AKV112" s="37"/>
      <c r="AKW112" s="37"/>
      <c r="AKX112" s="37"/>
      <c r="AKY112" s="37"/>
      <c r="AKZ112" s="37"/>
      <c r="ALA112" s="37"/>
      <c r="ALB112" s="37"/>
      <c r="ALC112" s="37"/>
      <c r="ALD112" s="37"/>
      <c r="ALE112" s="37"/>
      <c r="ALF112" s="37"/>
      <c r="ALG112" s="37"/>
      <c r="ALH112" s="37"/>
      <c r="ALI112" s="37"/>
      <c r="ALJ112" s="37"/>
      <c r="ALK112" s="37"/>
      <c r="ALL112" s="37"/>
      <c r="ALM112" s="37"/>
      <c r="ALN112" s="37"/>
      <c r="ALO112" s="37"/>
      <c r="ALP112" s="37"/>
      <c r="ALQ112" s="37"/>
      <c r="ALR112" s="37"/>
      <c r="ALS112" s="37"/>
      <c r="ALT112" s="37"/>
      <c r="ALU112" s="37"/>
      <c r="ALV112" s="37"/>
      <c r="ALW112" s="37"/>
      <c r="ALX112" s="37"/>
      <c r="ALY112" s="37"/>
      <c r="ALZ112" s="37"/>
      <c r="AMA112" s="37"/>
      <c r="AMB112" s="37"/>
      <c r="AMC112" s="37"/>
    </row>
    <row r="113" spans="1:1017" s="38" customFormat="1" ht="19.5" customHeight="1">
      <c r="A113" s="26" t="s">
        <v>202</v>
      </c>
      <c r="B113" s="25" t="s">
        <v>206</v>
      </c>
      <c r="C113" s="26" t="s">
        <v>46</v>
      </c>
      <c r="D113" s="26" t="s">
        <v>32</v>
      </c>
      <c r="E113" s="26" t="s">
        <v>261</v>
      </c>
      <c r="F113" s="26">
        <v>41</v>
      </c>
      <c r="G113" s="26" t="s">
        <v>34</v>
      </c>
      <c r="H113" s="26">
        <v>57</v>
      </c>
      <c r="I113" s="36">
        <v>43</v>
      </c>
      <c r="J113" s="36">
        <v>25</v>
      </c>
      <c r="K113" s="36">
        <v>18</v>
      </c>
      <c r="L113" s="36">
        <v>29</v>
      </c>
      <c r="M113" s="36">
        <v>27</v>
      </c>
      <c r="N113" s="36">
        <v>29</v>
      </c>
      <c r="O113" s="36">
        <v>70</v>
      </c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  <c r="OU113" s="37"/>
      <c r="OV113" s="37"/>
      <c r="OW113" s="37"/>
      <c r="OX113" s="37"/>
      <c r="OY113" s="37"/>
      <c r="OZ113" s="37"/>
      <c r="PA113" s="37"/>
      <c r="PB113" s="37"/>
      <c r="PC113" s="37"/>
      <c r="PD113" s="37"/>
      <c r="PE113" s="37"/>
      <c r="PF113" s="37"/>
      <c r="PG113" s="37"/>
      <c r="PH113" s="37"/>
      <c r="PI113" s="37"/>
      <c r="PJ113" s="37"/>
      <c r="PK113" s="37"/>
      <c r="PL113" s="37"/>
      <c r="PM113" s="37"/>
      <c r="PN113" s="37"/>
      <c r="PO113" s="37"/>
      <c r="PP113" s="37"/>
      <c r="PQ113" s="37"/>
      <c r="PR113" s="37"/>
      <c r="PS113" s="37"/>
      <c r="PT113" s="37"/>
      <c r="PU113" s="37"/>
      <c r="PV113" s="37"/>
      <c r="PW113" s="37"/>
      <c r="PX113" s="37"/>
      <c r="PY113" s="37"/>
      <c r="PZ113" s="37"/>
      <c r="QA113" s="37"/>
      <c r="QB113" s="37"/>
      <c r="QC113" s="37"/>
      <c r="QD113" s="37"/>
      <c r="QE113" s="37"/>
      <c r="QF113" s="37"/>
      <c r="QG113" s="37"/>
      <c r="QH113" s="37"/>
      <c r="QI113" s="37"/>
      <c r="QJ113" s="37"/>
      <c r="QK113" s="37"/>
      <c r="QL113" s="37"/>
      <c r="QM113" s="37"/>
      <c r="QN113" s="37"/>
      <c r="QO113" s="37"/>
      <c r="QP113" s="37"/>
      <c r="QQ113" s="37"/>
      <c r="QR113" s="37"/>
      <c r="QS113" s="37"/>
      <c r="QT113" s="37"/>
      <c r="QU113" s="37"/>
      <c r="QV113" s="37"/>
      <c r="QW113" s="37"/>
      <c r="QX113" s="37"/>
      <c r="QY113" s="37"/>
      <c r="QZ113" s="37"/>
      <c r="RA113" s="37"/>
      <c r="RB113" s="37"/>
      <c r="RC113" s="37"/>
      <c r="RD113" s="37"/>
      <c r="RE113" s="37"/>
      <c r="RF113" s="37"/>
      <c r="RG113" s="37"/>
      <c r="RH113" s="37"/>
      <c r="RI113" s="37"/>
      <c r="RJ113" s="37"/>
      <c r="RK113" s="37"/>
      <c r="RL113" s="37"/>
      <c r="RM113" s="37"/>
      <c r="RN113" s="37"/>
      <c r="RO113" s="37"/>
      <c r="RP113" s="37"/>
      <c r="RQ113" s="37"/>
      <c r="RR113" s="37"/>
      <c r="RS113" s="37"/>
      <c r="RT113" s="37"/>
      <c r="RU113" s="37"/>
      <c r="RV113" s="37"/>
      <c r="RW113" s="37"/>
      <c r="RX113" s="37"/>
      <c r="RY113" s="37"/>
      <c r="RZ113" s="37"/>
      <c r="SA113" s="37"/>
      <c r="SB113" s="37"/>
      <c r="SC113" s="37"/>
      <c r="SD113" s="37"/>
      <c r="SE113" s="37"/>
      <c r="SF113" s="37"/>
      <c r="SG113" s="37"/>
      <c r="SH113" s="37"/>
      <c r="SI113" s="37"/>
      <c r="SJ113" s="37"/>
      <c r="SK113" s="37"/>
      <c r="SL113" s="37"/>
      <c r="SM113" s="37"/>
      <c r="SN113" s="37"/>
      <c r="SO113" s="37"/>
      <c r="SP113" s="37"/>
      <c r="SQ113" s="37"/>
      <c r="SR113" s="37"/>
      <c r="SS113" s="37"/>
      <c r="ST113" s="37"/>
      <c r="SU113" s="37"/>
      <c r="SV113" s="37"/>
      <c r="SW113" s="37"/>
      <c r="SX113" s="37"/>
      <c r="SY113" s="37"/>
      <c r="SZ113" s="37"/>
      <c r="TA113" s="37"/>
      <c r="TB113" s="37"/>
      <c r="TC113" s="37"/>
      <c r="TD113" s="37"/>
      <c r="TE113" s="37"/>
      <c r="TF113" s="37"/>
      <c r="TG113" s="37"/>
      <c r="TH113" s="37"/>
      <c r="TI113" s="37"/>
      <c r="TJ113" s="37"/>
      <c r="TK113" s="37"/>
      <c r="TL113" s="37"/>
      <c r="TM113" s="37"/>
      <c r="TN113" s="37"/>
      <c r="TO113" s="37"/>
      <c r="TP113" s="37"/>
      <c r="TQ113" s="37"/>
      <c r="TR113" s="37"/>
      <c r="TS113" s="37"/>
      <c r="TT113" s="37"/>
      <c r="TU113" s="37"/>
      <c r="TV113" s="37"/>
      <c r="TW113" s="37"/>
      <c r="TX113" s="37"/>
      <c r="TY113" s="37"/>
      <c r="TZ113" s="37"/>
      <c r="UA113" s="37"/>
      <c r="UB113" s="37"/>
      <c r="UC113" s="37"/>
      <c r="UD113" s="37"/>
      <c r="UE113" s="37"/>
      <c r="UF113" s="37"/>
      <c r="UG113" s="37"/>
      <c r="UH113" s="37"/>
      <c r="UI113" s="37"/>
      <c r="UJ113" s="37"/>
      <c r="UK113" s="37"/>
      <c r="UL113" s="37"/>
      <c r="UM113" s="37"/>
      <c r="UN113" s="37"/>
      <c r="UO113" s="37"/>
      <c r="UP113" s="37"/>
      <c r="UQ113" s="37"/>
      <c r="UR113" s="37"/>
      <c r="US113" s="37"/>
      <c r="UT113" s="37"/>
      <c r="UU113" s="37"/>
      <c r="UV113" s="37"/>
      <c r="UW113" s="37"/>
      <c r="UX113" s="37"/>
      <c r="UY113" s="37"/>
      <c r="UZ113" s="37"/>
      <c r="VA113" s="37"/>
      <c r="VB113" s="37"/>
      <c r="VC113" s="37"/>
      <c r="VD113" s="37"/>
      <c r="VE113" s="37"/>
      <c r="VF113" s="37"/>
      <c r="VG113" s="37"/>
      <c r="VH113" s="37"/>
      <c r="VI113" s="37"/>
      <c r="VJ113" s="37"/>
      <c r="VK113" s="37"/>
      <c r="VL113" s="37"/>
      <c r="VM113" s="37"/>
      <c r="VN113" s="37"/>
      <c r="VO113" s="37"/>
      <c r="VP113" s="37"/>
      <c r="VQ113" s="37"/>
      <c r="VR113" s="37"/>
      <c r="VS113" s="37"/>
      <c r="VT113" s="37"/>
      <c r="VU113" s="37"/>
      <c r="VV113" s="37"/>
      <c r="VW113" s="37"/>
      <c r="VX113" s="37"/>
      <c r="VY113" s="37"/>
      <c r="VZ113" s="37"/>
      <c r="WA113" s="37"/>
      <c r="WB113" s="37"/>
      <c r="WC113" s="37"/>
      <c r="WD113" s="37"/>
      <c r="WE113" s="37"/>
      <c r="WF113" s="37"/>
      <c r="WG113" s="37"/>
      <c r="WH113" s="37"/>
      <c r="WI113" s="37"/>
      <c r="WJ113" s="37"/>
      <c r="WK113" s="37"/>
      <c r="WL113" s="37"/>
      <c r="WM113" s="37"/>
      <c r="WN113" s="37"/>
      <c r="WO113" s="37"/>
      <c r="WP113" s="37"/>
      <c r="WQ113" s="37"/>
      <c r="WR113" s="37"/>
      <c r="WS113" s="37"/>
      <c r="WT113" s="37"/>
      <c r="WU113" s="37"/>
      <c r="WV113" s="37"/>
      <c r="WW113" s="37"/>
      <c r="WX113" s="37"/>
      <c r="WY113" s="37"/>
      <c r="WZ113" s="37"/>
      <c r="XA113" s="37"/>
      <c r="XB113" s="37"/>
      <c r="XC113" s="37"/>
      <c r="XD113" s="37"/>
      <c r="XE113" s="37"/>
      <c r="XF113" s="37"/>
      <c r="XG113" s="37"/>
      <c r="XH113" s="37"/>
      <c r="XI113" s="37"/>
      <c r="XJ113" s="37"/>
      <c r="XK113" s="37"/>
      <c r="XL113" s="37"/>
      <c r="XM113" s="37"/>
      <c r="XN113" s="37"/>
      <c r="XO113" s="37"/>
      <c r="XP113" s="37"/>
      <c r="XQ113" s="37"/>
      <c r="XR113" s="37"/>
      <c r="XS113" s="37"/>
      <c r="XT113" s="37"/>
      <c r="XU113" s="37"/>
      <c r="XV113" s="37"/>
      <c r="XW113" s="37"/>
      <c r="XX113" s="37"/>
      <c r="XY113" s="37"/>
      <c r="XZ113" s="37"/>
      <c r="YA113" s="37"/>
      <c r="YB113" s="37"/>
      <c r="YC113" s="37"/>
      <c r="YD113" s="37"/>
      <c r="YE113" s="37"/>
      <c r="YF113" s="37"/>
      <c r="YG113" s="37"/>
      <c r="YH113" s="37"/>
      <c r="YI113" s="37"/>
      <c r="YJ113" s="37"/>
      <c r="YK113" s="37"/>
      <c r="YL113" s="37"/>
      <c r="YM113" s="37"/>
      <c r="YN113" s="37"/>
      <c r="YO113" s="37"/>
      <c r="YP113" s="37"/>
      <c r="YQ113" s="37"/>
      <c r="YR113" s="37"/>
      <c r="YS113" s="37"/>
      <c r="YT113" s="37"/>
      <c r="YU113" s="37"/>
      <c r="YV113" s="37"/>
      <c r="YW113" s="37"/>
      <c r="YX113" s="37"/>
      <c r="YY113" s="37"/>
      <c r="YZ113" s="37"/>
      <c r="ZA113" s="37"/>
      <c r="ZB113" s="37"/>
      <c r="ZC113" s="37"/>
      <c r="ZD113" s="37"/>
      <c r="ZE113" s="37"/>
      <c r="ZF113" s="37"/>
      <c r="ZG113" s="37"/>
      <c r="ZH113" s="37"/>
      <c r="ZI113" s="37"/>
      <c r="ZJ113" s="37"/>
      <c r="ZK113" s="37"/>
      <c r="ZL113" s="37"/>
      <c r="ZM113" s="37"/>
      <c r="ZN113" s="37"/>
      <c r="ZO113" s="37"/>
      <c r="ZP113" s="37"/>
      <c r="ZQ113" s="37"/>
      <c r="ZR113" s="37"/>
      <c r="ZS113" s="37"/>
      <c r="ZT113" s="37"/>
      <c r="ZU113" s="37"/>
      <c r="ZV113" s="37"/>
      <c r="ZW113" s="37"/>
      <c r="ZX113" s="37"/>
      <c r="ZY113" s="37"/>
      <c r="ZZ113" s="37"/>
      <c r="AAA113" s="37"/>
      <c r="AAB113" s="37"/>
      <c r="AAC113" s="37"/>
      <c r="AAD113" s="37"/>
      <c r="AAE113" s="37"/>
      <c r="AAF113" s="37"/>
      <c r="AAG113" s="37"/>
      <c r="AAH113" s="37"/>
      <c r="AAI113" s="37"/>
      <c r="AAJ113" s="37"/>
      <c r="AAK113" s="37"/>
      <c r="AAL113" s="37"/>
      <c r="AAM113" s="37"/>
      <c r="AAN113" s="37"/>
      <c r="AAO113" s="37"/>
      <c r="AAP113" s="37"/>
      <c r="AAQ113" s="37"/>
      <c r="AAR113" s="37"/>
      <c r="AAS113" s="37"/>
      <c r="AAT113" s="37"/>
      <c r="AAU113" s="37"/>
      <c r="AAV113" s="37"/>
      <c r="AAW113" s="37"/>
      <c r="AAX113" s="37"/>
      <c r="AAY113" s="37"/>
      <c r="AAZ113" s="37"/>
      <c r="ABA113" s="37"/>
      <c r="ABB113" s="37"/>
      <c r="ABC113" s="37"/>
      <c r="ABD113" s="37"/>
      <c r="ABE113" s="37"/>
      <c r="ABF113" s="37"/>
      <c r="ABG113" s="37"/>
      <c r="ABH113" s="37"/>
      <c r="ABI113" s="37"/>
      <c r="ABJ113" s="37"/>
      <c r="ABK113" s="37"/>
      <c r="ABL113" s="37"/>
      <c r="ABM113" s="37"/>
      <c r="ABN113" s="37"/>
      <c r="ABO113" s="37"/>
      <c r="ABP113" s="37"/>
      <c r="ABQ113" s="37"/>
      <c r="ABR113" s="37"/>
      <c r="ABS113" s="37"/>
      <c r="ABT113" s="37"/>
      <c r="ABU113" s="37"/>
      <c r="ABV113" s="37"/>
      <c r="ABW113" s="37"/>
      <c r="ABX113" s="37"/>
      <c r="ABY113" s="37"/>
      <c r="ABZ113" s="37"/>
      <c r="ACA113" s="37"/>
      <c r="ACB113" s="37"/>
      <c r="ACC113" s="37"/>
      <c r="ACD113" s="37"/>
      <c r="ACE113" s="37"/>
      <c r="ACF113" s="37"/>
      <c r="ACG113" s="37"/>
      <c r="ACH113" s="37"/>
      <c r="ACI113" s="37"/>
      <c r="ACJ113" s="37"/>
      <c r="ACK113" s="37"/>
      <c r="ACL113" s="37"/>
      <c r="ACM113" s="37"/>
      <c r="ACN113" s="37"/>
      <c r="ACO113" s="37"/>
      <c r="ACP113" s="37"/>
      <c r="ACQ113" s="37"/>
      <c r="ACR113" s="37"/>
      <c r="ACS113" s="37"/>
      <c r="ACT113" s="37"/>
      <c r="ACU113" s="37"/>
      <c r="ACV113" s="37"/>
      <c r="ACW113" s="37"/>
      <c r="ACX113" s="37"/>
      <c r="ACY113" s="37"/>
      <c r="ACZ113" s="37"/>
      <c r="ADA113" s="37"/>
      <c r="ADB113" s="37"/>
      <c r="ADC113" s="37"/>
      <c r="ADD113" s="37"/>
      <c r="ADE113" s="37"/>
      <c r="ADF113" s="37"/>
      <c r="ADG113" s="37"/>
      <c r="ADH113" s="37"/>
      <c r="ADI113" s="37"/>
      <c r="ADJ113" s="37"/>
      <c r="ADK113" s="37"/>
      <c r="ADL113" s="37"/>
      <c r="ADM113" s="37"/>
      <c r="ADN113" s="37"/>
      <c r="ADO113" s="37"/>
      <c r="ADP113" s="37"/>
      <c r="ADQ113" s="37"/>
      <c r="ADR113" s="37"/>
      <c r="ADS113" s="37"/>
      <c r="ADT113" s="37"/>
      <c r="ADU113" s="37"/>
      <c r="ADV113" s="37"/>
      <c r="ADW113" s="37"/>
      <c r="ADX113" s="37"/>
      <c r="ADY113" s="37"/>
      <c r="ADZ113" s="37"/>
      <c r="AEA113" s="37"/>
      <c r="AEB113" s="37"/>
      <c r="AEC113" s="37"/>
      <c r="AED113" s="37"/>
      <c r="AEE113" s="37"/>
      <c r="AEF113" s="37"/>
      <c r="AEG113" s="37"/>
      <c r="AEH113" s="37"/>
      <c r="AEI113" s="37"/>
      <c r="AEJ113" s="37"/>
      <c r="AEK113" s="37"/>
      <c r="AEL113" s="37"/>
      <c r="AEM113" s="37"/>
      <c r="AEN113" s="37"/>
      <c r="AEO113" s="37"/>
      <c r="AEP113" s="37"/>
      <c r="AEQ113" s="37"/>
      <c r="AER113" s="37"/>
      <c r="AES113" s="37"/>
      <c r="AET113" s="37"/>
      <c r="AEU113" s="37"/>
      <c r="AEV113" s="37"/>
      <c r="AEW113" s="37"/>
      <c r="AEX113" s="37"/>
      <c r="AEY113" s="37"/>
      <c r="AEZ113" s="37"/>
      <c r="AFA113" s="37"/>
      <c r="AFB113" s="37"/>
      <c r="AFC113" s="37"/>
      <c r="AFD113" s="37"/>
      <c r="AFE113" s="37"/>
      <c r="AFF113" s="37"/>
      <c r="AFG113" s="37"/>
      <c r="AFH113" s="37"/>
      <c r="AFI113" s="37"/>
      <c r="AFJ113" s="37"/>
      <c r="AFK113" s="37"/>
      <c r="AFL113" s="37"/>
      <c r="AFM113" s="37"/>
      <c r="AFN113" s="37"/>
      <c r="AFO113" s="37"/>
      <c r="AFP113" s="37"/>
      <c r="AFQ113" s="37"/>
      <c r="AFR113" s="37"/>
      <c r="AFS113" s="37"/>
      <c r="AFT113" s="37"/>
      <c r="AFU113" s="37"/>
      <c r="AFV113" s="37"/>
      <c r="AFW113" s="37"/>
      <c r="AFX113" s="37"/>
      <c r="AFY113" s="37"/>
      <c r="AFZ113" s="37"/>
      <c r="AGA113" s="37"/>
      <c r="AGB113" s="37"/>
      <c r="AGC113" s="37"/>
      <c r="AGD113" s="37"/>
      <c r="AGE113" s="37"/>
      <c r="AGF113" s="37"/>
      <c r="AGG113" s="37"/>
      <c r="AGH113" s="37"/>
      <c r="AGI113" s="37"/>
      <c r="AGJ113" s="37"/>
      <c r="AGK113" s="37"/>
      <c r="AGL113" s="37"/>
      <c r="AGM113" s="37"/>
      <c r="AGN113" s="37"/>
      <c r="AGO113" s="37"/>
      <c r="AGP113" s="37"/>
      <c r="AGQ113" s="37"/>
      <c r="AGR113" s="37"/>
      <c r="AGS113" s="37"/>
      <c r="AGT113" s="37"/>
      <c r="AGU113" s="37"/>
      <c r="AGV113" s="37"/>
      <c r="AGW113" s="37"/>
      <c r="AGX113" s="37"/>
      <c r="AGY113" s="37"/>
      <c r="AGZ113" s="37"/>
      <c r="AHA113" s="37"/>
      <c r="AHB113" s="37"/>
      <c r="AHC113" s="37"/>
      <c r="AHD113" s="37"/>
      <c r="AHE113" s="37"/>
      <c r="AHF113" s="37"/>
      <c r="AHG113" s="37"/>
      <c r="AHH113" s="37"/>
      <c r="AHI113" s="37"/>
      <c r="AHJ113" s="37"/>
      <c r="AHK113" s="37"/>
      <c r="AHL113" s="37"/>
      <c r="AHM113" s="37"/>
      <c r="AHN113" s="37"/>
      <c r="AHO113" s="37"/>
      <c r="AHP113" s="37"/>
      <c r="AHQ113" s="37"/>
      <c r="AHR113" s="37"/>
      <c r="AHS113" s="37"/>
      <c r="AHT113" s="37"/>
      <c r="AHU113" s="37"/>
      <c r="AHV113" s="37"/>
      <c r="AHW113" s="37"/>
      <c r="AHX113" s="37"/>
      <c r="AHY113" s="37"/>
      <c r="AHZ113" s="37"/>
      <c r="AIA113" s="37"/>
      <c r="AIB113" s="37"/>
      <c r="AIC113" s="37"/>
      <c r="AID113" s="37"/>
      <c r="AIE113" s="37"/>
      <c r="AIF113" s="37"/>
      <c r="AIG113" s="37"/>
      <c r="AIH113" s="37"/>
      <c r="AII113" s="37"/>
      <c r="AIJ113" s="37"/>
      <c r="AIK113" s="37"/>
      <c r="AIL113" s="37"/>
      <c r="AIM113" s="37"/>
      <c r="AIN113" s="37"/>
      <c r="AIO113" s="37"/>
      <c r="AIP113" s="37"/>
      <c r="AIQ113" s="37"/>
      <c r="AIR113" s="37"/>
      <c r="AIS113" s="37"/>
      <c r="AIT113" s="37"/>
      <c r="AIU113" s="37"/>
      <c r="AIV113" s="37"/>
      <c r="AIW113" s="37"/>
      <c r="AIX113" s="37"/>
      <c r="AIY113" s="37"/>
      <c r="AIZ113" s="37"/>
      <c r="AJA113" s="37"/>
      <c r="AJB113" s="37"/>
      <c r="AJC113" s="37"/>
      <c r="AJD113" s="37"/>
      <c r="AJE113" s="37"/>
      <c r="AJF113" s="37"/>
      <c r="AJG113" s="37"/>
      <c r="AJH113" s="37"/>
      <c r="AJI113" s="37"/>
      <c r="AJJ113" s="37"/>
      <c r="AJK113" s="37"/>
      <c r="AJL113" s="37"/>
      <c r="AJM113" s="37"/>
      <c r="AJN113" s="37"/>
      <c r="AJO113" s="37"/>
      <c r="AJP113" s="37"/>
      <c r="AJQ113" s="37"/>
      <c r="AJR113" s="37"/>
      <c r="AJS113" s="37"/>
      <c r="AJT113" s="37"/>
      <c r="AJU113" s="37"/>
      <c r="AJV113" s="37"/>
      <c r="AJW113" s="37"/>
      <c r="AJX113" s="37"/>
      <c r="AJY113" s="37"/>
      <c r="AJZ113" s="37"/>
      <c r="AKA113" s="37"/>
      <c r="AKB113" s="37"/>
      <c r="AKC113" s="37"/>
      <c r="AKD113" s="37"/>
      <c r="AKE113" s="37"/>
      <c r="AKF113" s="37"/>
      <c r="AKG113" s="37"/>
      <c r="AKH113" s="37"/>
      <c r="AKI113" s="37"/>
      <c r="AKJ113" s="37"/>
      <c r="AKK113" s="37"/>
      <c r="AKL113" s="37"/>
      <c r="AKM113" s="37"/>
      <c r="AKN113" s="37"/>
      <c r="AKO113" s="37"/>
      <c r="AKP113" s="37"/>
      <c r="AKQ113" s="37"/>
      <c r="AKR113" s="37"/>
      <c r="AKS113" s="37"/>
      <c r="AKT113" s="37"/>
      <c r="AKU113" s="37"/>
      <c r="AKV113" s="37"/>
      <c r="AKW113" s="37"/>
      <c r="AKX113" s="37"/>
      <c r="AKY113" s="37"/>
      <c r="AKZ113" s="37"/>
      <c r="ALA113" s="37"/>
      <c r="ALB113" s="37"/>
      <c r="ALC113" s="37"/>
      <c r="ALD113" s="37"/>
      <c r="ALE113" s="37"/>
      <c r="ALF113" s="37"/>
      <c r="ALG113" s="37"/>
      <c r="ALH113" s="37"/>
      <c r="ALI113" s="37"/>
      <c r="ALJ113" s="37"/>
      <c r="ALK113" s="37"/>
      <c r="ALL113" s="37"/>
      <c r="ALM113" s="37"/>
      <c r="ALN113" s="37"/>
      <c r="ALO113" s="37"/>
      <c r="ALP113" s="37"/>
      <c r="ALQ113" s="37"/>
      <c r="ALR113" s="37"/>
      <c r="ALS113" s="37"/>
      <c r="ALT113" s="37"/>
      <c r="ALU113" s="37"/>
      <c r="ALV113" s="37"/>
      <c r="ALW113" s="37"/>
      <c r="ALX113" s="37"/>
      <c r="ALY113" s="37"/>
      <c r="ALZ113" s="37"/>
      <c r="AMA113" s="37"/>
      <c r="AMB113" s="37"/>
      <c r="AMC113" s="37"/>
    </row>
    <row r="114" spans="1:1017" s="38" customFormat="1" ht="19.5" customHeight="1">
      <c r="A114" s="72"/>
      <c r="B114" s="73"/>
      <c r="C114" s="72"/>
      <c r="D114" s="72"/>
      <c r="E114" s="72"/>
      <c r="F114" s="72"/>
      <c r="G114" s="35">
        <v>40</v>
      </c>
      <c r="H114" s="35">
        <v>90</v>
      </c>
      <c r="I114" s="35">
        <v>106</v>
      </c>
      <c r="J114" s="35">
        <v>66</v>
      </c>
      <c r="K114" s="35">
        <v>33</v>
      </c>
      <c r="L114" s="35">
        <v>24</v>
      </c>
      <c r="M114" s="35">
        <v>19</v>
      </c>
      <c r="N114" s="35">
        <v>95</v>
      </c>
      <c r="O114" s="74">
        <v>7</v>
      </c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37"/>
      <c r="QL114" s="37"/>
      <c r="QM114" s="37"/>
      <c r="QN114" s="37"/>
      <c r="QO114" s="37"/>
      <c r="QP114" s="37"/>
      <c r="QQ114" s="37"/>
      <c r="QR114" s="37"/>
      <c r="QS114" s="37"/>
      <c r="QT114" s="37"/>
      <c r="QU114" s="37"/>
      <c r="QV114" s="37"/>
      <c r="QW114" s="37"/>
      <c r="QX114" s="37"/>
      <c r="QY114" s="37"/>
      <c r="QZ114" s="37"/>
      <c r="RA114" s="37"/>
      <c r="RB114" s="37"/>
      <c r="RC114" s="37"/>
      <c r="RD114" s="37"/>
      <c r="RE114" s="37"/>
      <c r="RF114" s="37"/>
      <c r="RG114" s="37"/>
      <c r="RH114" s="37"/>
      <c r="RI114" s="37"/>
      <c r="RJ114" s="37"/>
      <c r="RK114" s="37"/>
      <c r="RL114" s="37"/>
      <c r="RM114" s="37"/>
      <c r="RN114" s="37"/>
      <c r="RO114" s="37"/>
      <c r="RP114" s="37"/>
      <c r="RQ114" s="37"/>
      <c r="RR114" s="37"/>
      <c r="RS114" s="37"/>
      <c r="RT114" s="37"/>
      <c r="RU114" s="37"/>
      <c r="RV114" s="37"/>
      <c r="RW114" s="37"/>
      <c r="RX114" s="37"/>
      <c r="RY114" s="37"/>
      <c r="RZ114" s="37"/>
      <c r="SA114" s="37"/>
      <c r="SB114" s="37"/>
      <c r="SC114" s="37"/>
      <c r="SD114" s="37"/>
      <c r="SE114" s="37"/>
      <c r="SF114" s="37"/>
      <c r="SG114" s="37"/>
      <c r="SH114" s="37"/>
      <c r="SI114" s="37"/>
      <c r="SJ114" s="37"/>
      <c r="SK114" s="37"/>
      <c r="SL114" s="37"/>
      <c r="SM114" s="37"/>
      <c r="SN114" s="37"/>
      <c r="SO114" s="37"/>
      <c r="SP114" s="37"/>
      <c r="SQ114" s="37"/>
      <c r="SR114" s="37"/>
      <c r="SS114" s="37"/>
      <c r="ST114" s="37"/>
      <c r="SU114" s="37"/>
      <c r="SV114" s="37"/>
      <c r="SW114" s="37"/>
      <c r="SX114" s="37"/>
      <c r="SY114" s="37"/>
      <c r="SZ114" s="37"/>
      <c r="TA114" s="37"/>
      <c r="TB114" s="37"/>
      <c r="TC114" s="37"/>
      <c r="TD114" s="37"/>
      <c r="TE114" s="37"/>
      <c r="TF114" s="37"/>
      <c r="TG114" s="37"/>
      <c r="TH114" s="37"/>
      <c r="TI114" s="37"/>
      <c r="TJ114" s="37"/>
      <c r="TK114" s="37"/>
      <c r="TL114" s="37"/>
      <c r="TM114" s="37"/>
      <c r="TN114" s="37"/>
      <c r="TO114" s="37"/>
      <c r="TP114" s="37"/>
      <c r="TQ114" s="37"/>
      <c r="TR114" s="37"/>
      <c r="TS114" s="37"/>
      <c r="TT114" s="37"/>
      <c r="TU114" s="37"/>
      <c r="TV114" s="37"/>
      <c r="TW114" s="37"/>
      <c r="TX114" s="37"/>
      <c r="TY114" s="37"/>
      <c r="TZ114" s="37"/>
      <c r="UA114" s="37"/>
      <c r="UB114" s="37"/>
      <c r="UC114" s="37"/>
      <c r="UD114" s="37"/>
      <c r="UE114" s="37"/>
      <c r="UF114" s="37"/>
      <c r="UG114" s="37"/>
      <c r="UH114" s="37"/>
      <c r="UI114" s="37"/>
      <c r="UJ114" s="37"/>
      <c r="UK114" s="37"/>
      <c r="UL114" s="37"/>
      <c r="UM114" s="37"/>
      <c r="UN114" s="37"/>
      <c r="UO114" s="37"/>
      <c r="UP114" s="37"/>
      <c r="UQ114" s="37"/>
      <c r="UR114" s="37"/>
      <c r="US114" s="37"/>
      <c r="UT114" s="37"/>
      <c r="UU114" s="37"/>
      <c r="UV114" s="37"/>
      <c r="UW114" s="37"/>
      <c r="UX114" s="37"/>
      <c r="UY114" s="37"/>
      <c r="UZ114" s="37"/>
      <c r="VA114" s="37"/>
      <c r="VB114" s="37"/>
      <c r="VC114" s="37"/>
      <c r="VD114" s="37"/>
      <c r="VE114" s="37"/>
      <c r="VF114" s="37"/>
      <c r="VG114" s="37"/>
      <c r="VH114" s="37"/>
      <c r="VI114" s="37"/>
      <c r="VJ114" s="37"/>
      <c r="VK114" s="37"/>
      <c r="VL114" s="37"/>
      <c r="VM114" s="37"/>
      <c r="VN114" s="37"/>
      <c r="VO114" s="37"/>
      <c r="VP114" s="37"/>
      <c r="VQ114" s="37"/>
      <c r="VR114" s="37"/>
      <c r="VS114" s="37"/>
      <c r="VT114" s="37"/>
      <c r="VU114" s="37"/>
      <c r="VV114" s="37"/>
      <c r="VW114" s="37"/>
      <c r="VX114" s="37"/>
      <c r="VY114" s="37"/>
      <c r="VZ114" s="37"/>
      <c r="WA114" s="37"/>
      <c r="WB114" s="37"/>
      <c r="WC114" s="37"/>
      <c r="WD114" s="37"/>
      <c r="WE114" s="37"/>
      <c r="WF114" s="37"/>
      <c r="WG114" s="37"/>
      <c r="WH114" s="37"/>
      <c r="WI114" s="37"/>
      <c r="WJ114" s="37"/>
      <c r="WK114" s="37"/>
      <c r="WL114" s="37"/>
      <c r="WM114" s="37"/>
      <c r="WN114" s="37"/>
      <c r="WO114" s="37"/>
      <c r="WP114" s="37"/>
      <c r="WQ114" s="37"/>
      <c r="WR114" s="37"/>
      <c r="WS114" s="37"/>
      <c r="WT114" s="37"/>
      <c r="WU114" s="37"/>
      <c r="WV114" s="37"/>
      <c r="WW114" s="37"/>
      <c r="WX114" s="37"/>
      <c r="WY114" s="37"/>
      <c r="WZ114" s="37"/>
      <c r="XA114" s="37"/>
      <c r="XB114" s="37"/>
      <c r="XC114" s="37"/>
      <c r="XD114" s="37"/>
      <c r="XE114" s="37"/>
      <c r="XF114" s="37"/>
      <c r="XG114" s="37"/>
      <c r="XH114" s="37"/>
      <c r="XI114" s="37"/>
      <c r="XJ114" s="37"/>
      <c r="XK114" s="37"/>
      <c r="XL114" s="37"/>
      <c r="XM114" s="37"/>
      <c r="XN114" s="37"/>
      <c r="XO114" s="37"/>
      <c r="XP114" s="37"/>
      <c r="XQ114" s="37"/>
      <c r="XR114" s="37"/>
      <c r="XS114" s="37"/>
      <c r="XT114" s="37"/>
      <c r="XU114" s="37"/>
      <c r="XV114" s="37"/>
      <c r="XW114" s="37"/>
      <c r="XX114" s="37"/>
      <c r="XY114" s="37"/>
      <c r="XZ114" s="37"/>
      <c r="YA114" s="37"/>
      <c r="YB114" s="37"/>
      <c r="YC114" s="37"/>
      <c r="YD114" s="37"/>
      <c r="YE114" s="37"/>
      <c r="YF114" s="37"/>
      <c r="YG114" s="37"/>
      <c r="YH114" s="37"/>
      <c r="YI114" s="37"/>
      <c r="YJ114" s="37"/>
      <c r="YK114" s="37"/>
      <c r="YL114" s="37"/>
      <c r="YM114" s="37"/>
      <c r="YN114" s="37"/>
      <c r="YO114" s="37"/>
      <c r="YP114" s="37"/>
      <c r="YQ114" s="37"/>
      <c r="YR114" s="37"/>
      <c r="YS114" s="37"/>
      <c r="YT114" s="37"/>
      <c r="YU114" s="37"/>
      <c r="YV114" s="37"/>
      <c r="YW114" s="37"/>
      <c r="YX114" s="37"/>
      <c r="YY114" s="37"/>
      <c r="YZ114" s="37"/>
      <c r="ZA114" s="37"/>
      <c r="ZB114" s="37"/>
      <c r="ZC114" s="37"/>
      <c r="ZD114" s="37"/>
      <c r="ZE114" s="37"/>
      <c r="ZF114" s="37"/>
      <c r="ZG114" s="37"/>
      <c r="ZH114" s="37"/>
      <c r="ZI114" s="37"/>
      <c r="ZJ114" s="37"/>
      <c r="ZK114" s="37"/>
      <c r="ZL114" s="37"/>
      <c r="ZM114" s="37"/>
      <c r="ZN114" s="37"/>
      <c r="ZO114" s="37"/>
      <c r="ZP114" s="37"/>
      <c r="ZQ114" s="37"/>
      <c r="ZR114" s="37"/>
      <c r="ZS114" s="37"/>
      <c r="ZT114" s="37"/>
      <c r="ZU114" s="37"/>
      <c r="ZV114" s="37"/>
      <c r="ZW114" s="37"/>
      <c r="ZX114" s="37"/>
      <c r="ZY114" s="37"/>
      <c r="ZZ114" s="37"/>
      <c r="AAA114" s="37"/>
      <c r="AAB114" s="37"/>
      <c r="AAC114" s="37"/>
      <c r="AAD114" s="37"/>
      <c r="AAE114" s="37"/>
      <c r="AAF114" s="37"/>
      <c r="AAG114" s="37"/>
      <c r="AAH114" s="37"/>
      <c r="AAI114" s="37"/>
      <c r="AAJ114" s="37"/>
      <c r="AAK114" s="37"/>
      <c r="AAL114" s="37"/>
      <c r="AAM114" s="37"/>
      <c r="AAN114" s="37"/>
      <c r="AAO114" s="37"/>
      <c r="AAP114" s="37"/>
      <c r="AAQ114" s="37"/>
      <c r="AAR114" s="37"/>
      <c r="AAS114" s="37"/>
      <c r="AAT114" s="37"/>
      <c r="AAU114" s="37"/>
      <c r="AAV114" s="37"/>
      <c r="AAW114" s="37"/>
      <c r="AAX114" s="37"/>
      <c r="AAY114" s="37"/>
      <c r="AAZ114" s="37"/>
      <c r="ABA114" s="37"/>
      <c r="ABB114" s="37"/>
      <c r="ABC114" s="37"/>
      <c r="ABD114" s="37"/>
      <c r="ABE114" s="37"/>
      <c r="ABF114" s="37"/>
      <c r="ABG114" s="37"/>
      <c r="ABH114" s="37"/>
      <c r="ABI114" s="37"/>
      <c r="ABJ114" s="37"/>
      <c r="ABK114" s="37"/>
      <c r="ABL114" s="37"/>
      <c r="ABM114" s="37"/>
      <c r="ABN114" s="37"/>
      <c r="ABO114" s="37"/>
      <c r="ABP114" s="37"/>
      <c r="ABQ114" s="37"/>
      <c r="ABR114" s="37"/>
      <c r="ABS114" s="37"/>
      <c r="ABT114" s="37"/>
      <c r="ABU114" s="37"/>
      <c r="ABV114" s="37"/>
      <c r="ABW114" s="37"/>
      <c r="ABX114" s="37"/>
      <c r="ABY114" s="37"/>
      <c r="ABZ114" s="37"/>
      <c r="ACA114" s="37"/>
      <c r="ACB114" s="37"/>
      <c r="ACC114" s="37"/>
      <c r="ACD114" s="37"/>
      <c r="ACE114" s="37"/>
      <c r="ACF114" s="37"/>
      <c r="ACG114" s="37"/>
      <c r="ACH114" s="37"/>
      <c r="ACI114" s="37"/>
      <c r="ACJ114" s="37"/>
      <c r="ACK114" s="37"/>
      <c r="ACL114" s="37"/>
      <c r="ACM114" s="37"/>
      <c r="ACN114" s="37"/>
      <c r="ACO114" s="37"/>
      <c r="ACP114" s="37"/>
      <c r="ACQ114" s="37"/>
      <c r="ACR114" s="37"/>
      <c r="ACS114" s="37"/>
      <c r="ACT114" s="37"/>
      <c r="ACU114" s="37"/>
      <c r="ACV114" s="37"/>
      <c r="ACW114" s="37"/>
      <c r="ACX114" s="37"/>
      <c r="ACY114" s="37"/>
      <c r="ACZ114" s="37"/>
      <c r="ADA114" s="37"/>
      <c r="ADB114" s="37"/>
      <c r="ADC114" s="37"/>
      <c r="ADD114" s="37"/>
      <c r="ADE114" s="37"/>
      <c r="ADF114" s="37"/>
      <c r="ADG114" s="37"/>
      <c r="ADH114" s="37"/>
      <c r="ADI114" s="37"/>
      <c r="ADJ114" s="37"/>
      <c r="ADK114" s="37"/>
      <c r="ADL114" s="37"/>
      <c r="ADM114" s="37"/>
      <c r="ADN114" s="37"/>
      <c r="ADO114" s="37"/>
      <c r="ADP114" s="37"/>
      <c r="ADQ114" s="37"/>
      <c r="ADR114" s="37"/>
      <c r="ADS114" s="37"/>
      <c r="ADT114" s="37"/>
      <c r="ADU114" s="37"/>
      <c r="ADV114" s="37"/>
      <c r="ADW114" s="37"/>
      <c r="ADX114" s="37"/>
      <c r="ADY114" s="37"/>
      <c r="ADZ114" s="37"/>
      <c r="AEA114" s="37"/>
      <c r="AEB114" s="37"/>
      <c r="AEC114" s="37"/>
      <c r="AED114" s="37"/>
      <c r="AEE114" s="37"/>
      <c r="AEF114" s="37"/>
      <c r="AEG114" s="37"/>
      <c r="AEH114" s="37"/>
      <c r="AEI114" s="37"/>
      <c r="AEJ114" s="37"/>
      <c r="AEK114" s="37"/>
      <c r="AEL114" s="37"/>
      <c r="AEM114" s="37"/>
      <c r="AEN114" s="37"/>
      <c r="AEO114" s="37"/>
      <c r="AEP114" s="37"/>
      <c r="AEQ114" s="37"/>
      <c r="AER114" s="37"/>
      <c r="AES114" s="37"/>
      <c r="AET114" s="37"/>
      <c r="AEU114" s="37"/>
      <c r="AEV114" s="37"/>
      <c r="AEW114" s="37"/>
      <c r="AEX114" s="37"/>
      <c r="AEY114" s="37"/>
      <c r="AEZ114" s="37"/>
      <c r="AFA114" s="37"/>
      <c r="AFB114" s="37"/>
      <c r="AFC114" s="37"/>
      <c r="AFD114" s="37"/>
      <c r="AFE114" s="37"/>
      <c r="AFF114" s="37"/>
      <c r="AFG114" s="37"/>
      <c r="AFH114" s="37"/>
      <c r="AFI114" s="37"/>
      <c r="AFJ114" s="37"/>
      <c r="AFK114" s="37"/>
      <c r="AFL114" s="37"/>
      <c r="AFM114" s="37"/>
      <c r="AFN114" s="37"/>
      <c r="AFO114" s="37"/>
      <c r="AFP114" s="37"/>
      <c r="AFQ114" s="37"/>
      <c r="AFR114" s="37"/>
      <c r="AFS114" s="37"/>
      <c r="AFT114" s="37"/>
      <c r="AFU114" s="37"/>
      <c r="AFV114" s="37"/>
      <c r="AFW114" s="37"/>
      <c r="AFX114" s="37"/>
      <c r="AFY114" s="37"/>
      <c r="AFZ114" s="37"/>
      <c r="AGA114" s="37"/>
      <c r="AGB114" s="37"/>
      <c r="AGC114" s="37"/>
      <c r="AGD114" s="37"/>
      <c r="AGE114" s="37"/>
      <c r="AGF114" s="37"/>
      <c r="AGG114" s="37"/>
      <c r="AGH114" s="37"/>
      <c r="AGI114" s="37"/>
      <c r="AGJ114" s="37"/>
      <c r="AGK114" s="37"/>
      <c r="AGL114" s="37"/>
      <c r="AGM114" s="37"/>
      <c r="AGN114" s="37"/>
      <c r="AGO114" s="37"/>
      <c r="AGP114" s="37"/>
      <c r="AGQ114" s="37"/>
      <c r="AGR114" s="37"/>
      <c r="AGS114" s="37"/>
      <c r="AGT114" s="37"/>
      <c r="AGU114" s="37"/>
      <c r="AGV114" s="37"/>
      <c r="AGW114" s="37"/>
      <c r="AGX114" s="37"/>
      <c r="AGY114" s="37"/>
      <c r="AGZ114" s="37"/>
      <c r="AHA114" s="37"/>
      <c r="AHB114" s="37"/>
      <c r="AHC114" s="37"/>
      <c r="AHD114" s="37"/>
      <c r="AHE114" s="37"/>
      <c r="AHF114" s="37"/>
      <c r="AHG114" s="37"/>
      <c r="AHH114" s="37"/>
      <c r="AHI114" s="37"/>
      <c r="AHJ114" s="37"/>
      <c r="AHK114" s="37"/>
      <c r="AHL114" s="37"/>
      <c r="AHM114" s="37"/>
      <c r="AHN114" s="37"/>
      <c r="AHO114" s="37"/>
      <c r="AHP114" s="37"/>
      <c r="AHQ114" s="37"/>
      <c r="AHR114" s="37"/>
      <c r="AHS114" s="37"/>
      <c r="AHT114" s="37"/>
      <c r="AHU114" s="37"/>
      <c r="AHV114" s="37"/>
      <c r="AHW114" s="37"/>
      <c r="AHX114" s="37"/>
      <c r="AHY114" s="37"/>
      <c r="AHZ114" s="37"/>
      <c r="AIA114" s="37"/>
      <c r="AIB114" s="37"/>
      <c r="AIC114" s="37"/>
      <c r="AID114" s="37"/>
      <c r="AIE114" s="37"/>
      <c r="AIF114" s="37"/>
      <c r="AIG114" s="37"/>
      <c r="AIH114" s="37"/>
      <c r="AII114" s="37"/>
      <c r="AIJ114" s="37"/>
      <c r="AIK114" s="37"/>
      <c r="AIL114" s="37"/>
      <c r="AIM114" s="37"/>
      <c r="AIN114" s="37"/>
      <c r="AIO114" s="37"/>
      <c r="AIP114" s="37"/>
      <c r="AIQ114" s="37"/>
      <c r="AIR114" s="37"/>
      <c r="AIS114" s="37"/>
      <c r="AIT114" s="37"/>
      <c r="AIU114" s="37"/>
      <c r="AIV114" s="37"/>
      <c r="AIW114" s="37"/>
      <c r="AIX114" s="37"/>
      <c r="AIY114" s="37"/>
      <c r="AIZ114" s="37"/>
      <c r="AJA114" s="37"/>
      <c r="AJB114" s="37"/>
      <c r="AJC114" s="37"/>
      <c r="AJD114" s="37"/>
      <c r="AJE114" s="37"/>
      <c r="AJF114" s="37"/>
      <c r="AJG114" s="37"/>
      <c r="AJH114" s="37"/>
      <c r="AJI114" s="37"/>
      <c r="AJJ114" s="37"/>
      <c r="AJK114" s="37"/>
      <c r="AJL114" s="37"/>
      <c r="AJM114" s="37"/>
      <c r="AJN114" s="37"/>
      <c r="AJO114" s="37"/>
      <c r="AJP114" s="37"/>
      <c r="AJQ114" s="37"/>
      <c r="AJR114" s="37"/>
      <c r="AJS114" s="37"/>
      <c r="AJT114" s="37"/>
      <c r="AJU114" s="37"/>
      <c r="AJV114" s="37"/>
      <c r="AJW114" s="37"/>
      <c r="AJX114" s="37"/>
      <c r="AJY114" s="37"/>
      <c r="AJZ114" s="37"/>
      <c r="AKA114" s="37"/>
      <c r="AKB114" s="37"/>
      <c r="AKC114" s="37"/>
      <c r="AKD114" s="37"/>
      <c r="AKE114" s="37"/>
      <c r="AKF114" s="37"/>
      <c r="AKG114" s="37"/>
      <c r="AKH114" s="37"/>
      <c r="AKI114" s="37"/>
      <c r="AKJ114" s="37"/>
      <c r="AKK114" s="37"/>
      <c r="AKL114" s="37"/>
      <c r="AKM114" s="37"/>
      <c r="AKN114" s="37"/>
      <c r="AKO114" s="37"/>
      <c r="AKP114" s="37"/>
      <c r="AKQ114" s="37"/>
      <c r="AKR114" s="37"/>
      <c r="AKS114" s="37"/>
      <c r="AKT114" s="37"/>
      <c r="AKU114" s="37"/>
      <c r="AKV114" s="37"/>
      <c r="AKW114" s="37"/>
      <c r="AKX114" s="37"/>
      <c r="AKY114" s="37"/>
      <c r="AKZ114" s="37"/>
      <c r="ALA114" s="37"/>
      <c r="ALB114" s="37"/>
      <c r="ALC114" s="37"/>
      <c r="ALD114" s="37"/>
      <c r="ALE114" s="37"/>
      <c r="ALF114" s="37"/>
      <c r="ALG114" s="37"/>
      <c r="ALH114" s="37"/>
      <c r="ALI114" s="37"/>
      <c r="ALJ114" s="37"/>
      <c r="ALK114" s="37"/>
      <c r="ALL114" s="37"/>
      <c r="ALM114" s="37"/>
      <c r="ALN114" s="37"/>
      <c r="ALO114" s="37"/>
      <c r="ALP114" s="37"/>
      <c r="ALQ114" s="37"/>
      <c r="ALR114" s="37"/>
      <c r="ALS114" s="37"/>
      <c r="ALT114" s="37"/>
      <c r="ALU114" s="37"/>
      <c r="ALV114" s="37"/>
      <c r="ALW114" s="37"/>
      <c r="ALX114" s="37"/>
      <c r="ALY114" s="37"/>
      <c r="ALZ114" s="37"/>
      <c r="AMA114" s="37"/>
      <c r="AMB114" s="37"/>
      <c r="AMC114" s="37"/>
    </row>
    <row r="115" spans="1:1017" s="38" customFormat="1" ht="19.5" customHeight="1">
      <c r="A115" s="75"/>
      <c r="B115" s="76"/>
      <c r="C115" s="75"/>
      <c r="D115" s="75"/>
      <c r="E115" s="75"/>
      <c r="F115" s="75"/>
      <c r="G115" s="77">
        <v>47</v>
      </c>
      <c r="H115" s="77">
        <v>56</v>
      </c>
      <c r="I115" s="77">
        <v>19</v>
      </c>
      <c r="J115" s="77">
        <v>14</v>
      </c>
      <c r="K115" s="77">
        <v>102</v>
      </c>
      <c r="L115" s="77">
        <v>96</v>
      </c>
      <c r="M115" s="77">
        <v>108</v>
      </c>
      <c r="N115" s="77"/>
      <c r="O115" s="7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  <c r="OU115" s="37"/>
      <c r="OV115" s="37"/>
      <c r="OW115" s="37"/>
      <c r="OX115" s="37"/>
      <c r="OY115" s="37"/>
      <c r="OZ115" s="37"/>
      <c r="PA115" s="37"/>
      <c r="PB115" s="37"/>
      <c r="PC115" s="37"/>
      <c r="PD115" s="37"/>
      <c r="PE115" s="37"/>
      <c r="PF115" s="37"/>
      <c r="PG115" s="37"/>
      <c r="PH115" s="37"/>
      <c r="PI115" s="37"/>
      <c r="PJ115" s="37"/>
      <c r="PK115" s="37"/>
      <c r="PL115" s="37"/>
      <c r="PM115" s="37"/>
      <c r="PN115" s="37"/>
      <c r="PO115" s="37"/>
      <c r="PP115" s="37"/>
      <c r="PQ115" s="37"/>
      <c r="PR115" s="37"/>
      <c r="PS115" s="37"/>
      <c r="PT115" s="37"/>
      <c r="PU115" s="37"/>
      <c r="PV115" s="37"/>
      <c r="PW115" s="37"/>
      <c r="PX115" s="37"/>
      <c r="PY115" s="37"/>
      <c r="PZ115" s="37"/>
      <c r="QA115" s="37"/>
      <c r="QB115" s="37"/>
      <c r="QC115" s="37"/>
      <c r="QD115" s="37"/>
      <c r="QE115" s="37"/>
      <c r="QF115" s="37"/>
      <c r="QG115" s="37"/>
      <c r="QH115" s="37"/>
      <c r="QI115" s="37"/>
      <c r="QJ115" s="37"/>
      <c r="QK115" s="37"/>
      <c r="QL115" s="37"/>
      <c r="QM115" s="37"/>
      <c r="QN115" s="37"/>
      <c r="QO115" s="37"/>
      <c r="QP115" s="37"/>
      <c r="QQ115" s="37"/>
      <c r="QR115" s="37"/>
      <c r="QS115" s="37"/>
      <c r="QT115" s="37"/>
      <c r="QU115" s="37"/>
      <c r="QV115" s="37"/>
      <c r="QW115" s="37"/>
      <c r="QX115" s="37"/>
      <c r="QY115" s="37"/>
      <c r="QZ115" s="37"/>
      <c r="RA115" s="37"/>
      <c r="RB115" s="37"/>
      <c r="RC115" s="37"/>
      <c r="RD115" s="37"/>
      <c r="RE115" s="37"/>
      <c r="RF115" s="37"/>
      <c r="RG115" s="37"/>
      <c r="RH115" s="37"/>
      <c r="RI115" s="37"/>
      <c r="RJ115" s="37"/>
      <c r="RK115" s="37"/>
      <c r="RL115" s="37"/>
      <c r="RM115" s="37"/>
      <c r="RN115" s="37"/>
      <c r="RO115" s="37"/>
      <c r="RP115" s="37"/>
      <c r="RQ115" s="37"/>
      <c r="RR115" s="37"/>
      <c r="RS115" s="37"/>
      <c r="RT115" s="37"/>
      <c r="RU115" s="37"/>
      <c r="RV115" s="37"/>
      <c r="RW115" s="37"/>
      <c r="RX115" s="37"/>
      <c r="RY115" s="37"/>
      <c r="RZ115" s="37"/>
      <c r="SA115" s="37"/>
      <c r="SB115" s="37"/>
      <c r="SC115" s="37"/>
      <c r="SD115" s="37"/>
      <c r="SE115" s="37"/>
      <c r="SF115" s="37"/>
      <c r="SG115" s="37"/>
      <c r="SH115" s="37"/>
      <c r="SI115" s="37"/>
      <c r="SJ115" s="37"/>
      <c r="SK115" s="37"/>
      <c r="SL115" s="37"/>
      <c r="SM115" s="37"/>
      <c r="SN115" s="37"/>
      <c r="SO115" s="37"/>
      <c r="SP115" s="37"/>
      <c r="SQ115" s="37"/>
      <c r="SR115" s="37"/>
      <c r="SS115" s="37"/>
      <c r="ST115" s="37"/>
      <c r="SU115" s="37"/>
      <c r="SV115" s="37"/>
      <c r="SW115" s="37"/>
      <c r="SX115" s="37"/>
      <c r="SY115" s="37"/>
      <c r="SZ115" s="37"/>
      <c r="TA115" s="37"/>
      <c r="TB115" s="37"/>
      <c r="TC115" s="37"/>
      <c r="TD115" s="37"/>
      <c r="TE115" s="37"/>
      <c r="TF115" s="37"/>
      <c r="TG115" s="37"/>
      <c r="TH115" s="37"/>
      <c r="TI115" s="37"/>
      <c r="TJ115" s="37"/>
      <c r="TK115" s="37"/>
      <c r="TL115" s="37"/>
      <c r="TM115" s="37"/>
      <c r="TN115" s="37"/>
      <c r="TO115" s="37"/>
      <c r="TP115" s="37"/>
      <c r="TQ115" s="37"/>
      <c r="TR115" s="37"/>
      <c r="TS115" s="37"/>
      <c r="TT115" s="37"/>
      <c r="TU115" s="37"/>
      <c r="TV115" s="37"/>
      <c r="TW115" s="37"/>
      <c r="TX115" s="37"/>
      <c r="TY115" s="37"/>
      <c r="TZ115" s="37"/>
      <c r="UA115" s="37"/>
      <c r="UB115" s="37"/>
      <c r="UC115" s="37"/>
      <c r="UD115" s="37"/>
      <c r="UE115" s="37"/>
      <c r="UF115" s="37"/>
      <c r="UG115" s="37"/>
      <c r="UH115" s="37"/>
      <c r="UI115" s="37"/>
      <c r="UJ115" s="37"/>
      <c r="UK115" s="37"/>
      <c r="UL115" s="37"/>
      <c r="UM115" s="37"/>
      <c r="UN115" s="37"/>
      <c r="UO115" s="37"/>
      <c r="UP115" s="37"/>
      <c r="UQ115" s="37"/>
      <c r="UR115" s="37"/>
      <c r="US115" s="37"/>
      <c r="UT115" s="37"/>
      <c r="UU115" s="37"/>
      <c r="UV115" s="37"/>
      <c r="UW115" s="37"/>
      <c r="UX115" s="37"/>
      <c r="UY115" s="37"/>
      <c r="UZ115" s="37"/>
      <c r="VA115" s="37"/>
      <c r="VB115" s="37"/>
      <c r="VC115" s="37"/>
      <c r="VD115" s="37"/>
      <c r="VE115" s="37"/>
      <c r="VF115" s="37"/>
      <c r="VG115" s="37"/>
      <c r="VH115" s="37"/>
      <c r="VI115" s="37"/>
      <c r="VJ115" s="37"/>
      <c r="VK115" s="37"/>
      <c r="VL115" s="37"/>
      <c r="VM115" s="37"/>
      <c r="VN115" s="37"/>
      <c r="VO115" s="37"/>
      <c r="VP115" s="37"/>
      <c r="VQ115" s="37"/>
      <c r="VR115" s="37"/>
      <c r="VS115" s="37"/>
      <c r="VT115" s="37"/>
      <c r="VU115" s="37"/>
      <c r="VV115" s="37"/>
      <c r="VW115" s="37"/>
      <c r="VX115" s="37"/>
      <c r="VY115" s="37"/>
      <c r="VZ115" s="37"/>
      <c r="WA115" s="37"/>
      <c r="WB115" s="37"/>
      <c r="WC115" s="37"/>
      <c r="WD115" s="37"/>
      <c r="WE115" s="37"/>
      <c r="WF115" s="37"/>
      <c r="WG115" s="37"/>
      <c r="WH115" s="37"/>
      <c r="WI115" s="37"/>
      <c r="WJ115" s="37"/>
      <c r="WK115" s="37"/>
      <c r="WL115" s="37"/>
      <c r="WM115" s="37"/>
      <c r="WN115" s="37"/>
      <c r="WO115" s="37"/>
      <c r="WP115" s="37"/>
      <c r="WQ115" s="37"/>
      <c r="WR115" s="37"/>
      <c r="WS115" s="37"/>
      <c r="WT115" s="37"/>
      <c r="WU115" s="37"/>
      <c r="WV115" s="37"/>
      <c r="WW115" s="37"/>
      <c r="WX115" s="37"/>
      <c r="WY115" s="37"/>
      <c r="WZ115" s="37"/>
      <c r="XA115" s="37"/>
      <c r="XB115" s="37"/>
      <c r="XC115" s="37"/>
      <c r="XD115" s="37"/>
      <c r="XE115" s="37"/>
      <c r="XF115" s="37"/>
      <c r="XG115" s="37"/>
      <c r="XH115" s="37"/>
      <c r="XI115" s="37"/>
      <c r="XJ115" s="37"/>
      <c r="XK115" s="37"/>
      <c r="XL115" s="37"/>
      <c r="XM115" s="37"/>
      <c r="XN115" s="37"/>
      <c r="XO115" s="37"/>
      <c r="XP115" s="37"/>
      <c r="XQ115" s="37"/>
      <c r="XR115" s="37"/>
      <c r="XS115" s="37"/>
      <c r="XT115" s="37"/>
      <c r="XU115" s="37"/>
      <c r="XV115" s="37"/>
      <c r="XW115" s="37"/>
      <c r="XX115" s="37"/>
      <c r="XY115" s="37"/>
      <c r="XZ115" s="37"/>
      <c r="YA115" s="37"/>
      <c r="YB115" s="37"/>
      <c r="YC115" s="37"/>
      <c r="YD115" s="37"/>
      <c r="YE115" s="37"/>
      <c r="YF115" s="37"/>
      <c r="YG115" s="37"/>
      <c r="YH115" s="37"/>
      <c r="YI115" s="37"/>
      <c r="YJ115" s="37"/>
      <c r="YK115" s="37"/>
      <c r="YL115" s="37"/>
      <c r="YM115" s="37"/>
      <c r="YN115" s="37"/>
      <c r="YO115" s="37"/>
      <c r="YP115" s="37"/>
      <c r="YQ115" s="37"/>
      <c r="YR115" s="37"/>
      <c r="YS115" s="37"/>
      <c r="YT115" s="37"/>
      <c r="YU115" s="37"/>
      <c r="YV115" s="37"/>
      <c r="YW115" s="37"/>
      <c r="YX115" s="37"/>
      <c r="YY115" s="37"/>
      <c r="YZ115" s="37"/>
      <c r="ZA115" s="37"/>
      <c r="ZB115" s="37"/>
      <c r="ZC115" s="37"/>
      <c r="ZD115" s="37"/>
      <c r="ZE115" s="37"/>
      <c r="ZF115" s="37"/>
      <c r="ZG115" s="37"/>
      <c r="ZH115" s="37"/>
      <c r="ZI115" s="37"/>
      <c r="ZJ115" s="37"/>
      <c r="ZK115" s="37"/>
      <c r="ZL115" s="37"/>
      <c r="ZM115" s="37"/>
      <c r="ZN115" s="37"/>
      <c r="ZO115" s="37"/>
      <c r="ZP115" s="37"/>
      <c r="ZQ115" s="37"/>
      <c r="ZR115" s="37"/>
      <c r="ZS115" s="37"/>
      <c r="ZT115" s="37"/>
      <c r="ZU115" s="37"/>
      <c r="ZV115" s="37"/>
      <c r="ZW115" s="37"/>
      <c r="ZX115" s="37"/>
      <c r="ZY115" s="37"/>
      <c r="ZZ115" s="37"/>
      <c r="AAA115" s="37"/>
      <c r="AAB115" s="37"/>
      <c r="AAC115" s="37"/>
      <c r="AAD115" s="37"/>
      <c r="AAE115" s="37"/>
      <c r="AAF115" s="37"/>
      <c r="AAG115" s="37"/>
      <c r="AAH115" s="37"/>
      <c r="AAI115" s="37"/>
      <c r="AAJ115" s="37"/>
      <c r="AAK115" s="37"/>
      <c r="AAL115" s="37"/>
      <c r="AAM115" s="37"/>
      <c r="AAN115" s="37"/>
      <c r="AAO115" s="37"/>
      <c r="AAP115" s="37"/>
      <c r="AAQ115" s="37"/>
      <c r="AAR115" s="37"/>
      <c r="AAS115" s="37"/>
      <c r="AAT115" s="37"/>
      <c r="AAU115" s="37"/>
      <c r="AAV115" s="37"/>
      <c r="AAW115" s="37"/>
      <c r="AAX115" s="37"/>
      <c r="AAY115" s="37"/>
      <c r="AAZ115" s="37"/>
      <c r="ABA115" s="37"/>
      <c r="ABB115" s="37"/>
      <c r="ABC115" s="37"/>
      <c r="ABD115" s="37"/>
      <c r="ABE115" s="37"/>
      <c r="ABF115" s="37"/>
      <c r="ABG115" s="37"/>
      <c r="ABH115" s="37"/>
      <c r="ABI115" s="37"/>
      <c r="ABJ115" s="37"/>
      <c r="ABK115" s="37"/>
      <c r="ABL115" s="37"/>
      <c r="ABM115" s="37"/>
      <c r="ABN115" s="37"/>
      <c r="ABO115" s="37"/>
      <c r="ABP115" s="37"/>
      <c r="ABQ115" s="37"/>
      <c r="ABR115" s="37"/>
      <c r="ABS115" s="37"/>
      <c r="ABT115" s="37"/>
      <c r="ABU115" s="37"/>
      <c r="ABV115" s="37"/>
      <c r="ABW115" s="37"/>
      <c r="ABX115" s="37"/>
      <c r="ABY115" s="37"/>
      <c r="ABZ115" s="37"/>
      <c r="ACA115" s="37"/>
      <c r="ACB115" s="37"/>
      <c r="ACC115" s="37"/>
      <c r="ACD115" s="37"/>
      <c r="ACE115" s="37"/>
      <c r="ACF115" s="37"/>
      <c r="ACG115" s="37"/>
      <c r="ACH115" s="37"/>
      <c r="ACI115" s="37"/>
      <c r="ACJ115" s="37"/>
      <c r="ACK115" s="37"/>
      <c r="ACL115" s="37"/>
      <c r="ACM115" s="37"/>
      <c r="ACN115" s="37"/>
      <c r="ACO115" s="37"/>
      <c r="ACP115" s="37"/>
      <c r="ACQ115" s="37"/>
      <c r="ACR115" s="37"/>
      <c r="ACS115" s="37"/>
      <c r="ACT115" s="37"/>
      <c r="ACU115" s="37"/>
      <c r="ACV115" s="37"/>
      <c r="ACW115" s="37"/>
      <c r="ACX115" s="37"/>
      <c r="ACY115" s="37"/>
      <c r="ACZ115" s="37"/>
      <c r="ADA115" s="37"/>
      <c r="ADB115" s="37"/>
      <c r="ADC115" s="37"/>
      <c r="ADD115" s="37"/>
      <c r="ADE115" s="37"/>
      <c r="ADF115" s="37"/>
      <c r="ADG115" s="37"/>
      <c r="ADH115" s="37"/>
      <c r="ADI115" s="37"/>
      <c r="ADJ115" s="37"/>
      <c r="ADK115" s="37"/>
      <c r="ADL115" s="37"/>
      <c r="ADM115" s="37"/>
      <c r="ADN115" s="37"/>
      <c r="ADO115" s="37"/>
      <c r="ADP115" s="37"/>
      <c r="ADQ115" s="37"/>
      <c r="ADR115" s="37"/>
      <c r="ADS115" s="37"/>
      <c r="ADT115" s="37"/>
      <c r="ADU115" s="37"/>
      <c r="ADV115" s="37"/>
      <c r="ADW115" s="37"/>
      <c r="ADX115" s="37"/>
      <c r="ADY115" s="37"/>
      <c r="ADZ115" s="37"/>
      <c r="AEA115" s="37"/>
      <c r="AEB115" s="37"/>
      <c r="AEC115" s="37"/>
      <c r="AED115" s="37"/>
      <c r="AEE115" s="37"/>
      <c r="AEF115" s="37"/>
      <c r="AEG115" s="37"/>
      <c r="AEH115" s="37"/>
      <c r="AEI115" s="37"/>
      <c r="AEJ115" s="37"/>
      <c r="AEK115" s="37"/>
      <c r="AEL115" s="37"/>
      <c r="AEM115" s="37"/>
      <c r="AEN115" s="37"/>
      <c r="AEO115" s="37"/>
      <c r="AEP115" s="37"/>
      <c r="AEQ115" s="37"/>
      <c r="AER115" s="37"/>
      <c r="AES115" s="37"/>
      <c r="AET115" s="37"/>
      <c r="AEU115" s="37"/>
      <c r="AEV115" s="37"/>
      <c r="AEW115" s="37"/>
      <c r="AEX115" s="37"/>
      <c r="AEY115" s="37"/>
      <c r="AEZ115" s="37"/>
      <c r="AFA115" s="37"/>
      <c r="AFB115" s="37"/>
      <c r="AFC115" s="37"/>
      <c r="AFD115" s="37"/>
      <c r="AFE115" s="37"/>
      <c r="AFF115" s="37"/>
      <c r="AFG115" s="37"/>
      <c r="AFH115" s="37"/>
      <c r="AFI115" s="37"/>
      <c r="AFJ115" s="37"/>
      <c r="AFK115" s="37"/>
      <c r="AFL115" s="37"/>
      <c r="AFM115" s="37"/>
      <c r="AFN115" s="37"/>
      <c r="AFO115" s="37"/>
      <c r="AFP115" s="37"/>
      <c r="AFQ115" s="37"/>
      <c r="AFR115" s="37"/>
      <c r="AFS115" s="37"/>
      <c r="AFT115" s="37"/>
      <c r="AFU115" s="37"/>
      <c r="AFV115" s="37"/>
      <c r="AFW115" s="37"/>
      <c r="AFX115" s="37"/>
      <c r="AFY115" s="37"/>
      <c r="AFZ115" s="37"/>
      <c r="AGA115" s="37"/>
      <c r="AGB115" s="37"/>
      <c r="AGC115" s="37"/>
      <c r="AGD115" s="37"/>
      <c r="AGE115" s="37"/>
      <c r="AGF115" s="37"/>
      <c r="AGG115" s="37"/>
      <c r="AGH115" s="37"/>
      <c r="AGI115" s="37"/>
      <c r="AGJ115" s="37"/>
      <c r="AGK115" s="37"/>
      <c r="AGL115" s="37"/>
      <c r="AGM115" s="37"/>
      <c r="AGN115" s="37"/>
      <c r="AGO115" s="37"/>
      <c r="AGP115" s="37"/>
      <c r="AGQ115" s="37"/>
      <c r="AGR115" s="37"/>
      <c r="AGS115" s="37"/>
      <c r="AGT115" s="37"/>
      <c r="AGU115" s="37"/>
      <c r="AGV115" s="37"/>
      <c r="AGW115" s="37"/>
      <c r="AGX115" s="37"/>
      <c r="AGY115" s="37"/>
      <c r="AGZ115" s="37"/>
      <c r="AHA115" s="37"/>
      <c r="AHB115" s="37"/>
      <c r="AHC115" s="37"/>
      <c r="AHD115" s="37"/>
      <c r="AHE115" s="37"/>
      <c r="AHF115" s="37"/>
      <c r="AHG115" s="37"/>
      <c r="AHH115" s="37"/>
      <c r="AHI115" s="37"/>
      <c r="AHJ115" s="37"/>
      <c r="AHK115" s="37"/>
      <c r="AHL115" s="37"/>
      <c r="AHM115" s="37"/>
      <c r="AHN115" s="37"/>
      <c r="AHO115" s="37"/>
      <c r="AHP115" s="37"/>
      <c r="AHQ115" s="37"/>
      <c r="AHR115" s="37"/>
      <c r="AHS115" s="37"/>
      <c r="AHT115" s="37"/>
      <c r="AHU115" s="37"/>
      <c r="AHV115" s="37"/>
      <c r="AHW115" s="37"/>
      <c r="AHX115" s="37"/>
      <c r="AHY115" s="37"/>
      <c r="AHZ115" s="37"/>
      <c r="AIA115" s="37"/>
      <c r="AIB115" s="37"/>
      <c r="AIC115" s="37"/>
      <c r="AID115" s="37"/>
      <c r="AIE115" s="37"/>
      <c r="AIF115" s="37"/>
      <c r="AIG115" s="37"/>
      <c r="AIH115" s="37"/>
      <c r="AII115" s="37"/>
      <c r="AIJ115" s="37"/>
      <c r="AIK115" s="37"/>
      <c r="AIL115" s="37"/>
      <c r="AIM115" s="37"/>
      <c r="AIN115" s="37"/>
      <c r="AIO115" s="37"/>
      <c r="AIP115" s="37"/>
      <c r="AIQ115" s="37"/>
      <c r="AIR115" s="37"/>
      <c r="AIS115" s="37"/>
      <c r="AIT115" s="37"/>
      <c r="AIU115" s="37"/>
      <c r="AIV115" s="37"/>
      <c r="AIW115" s="37"/>
      <c r="AIX115" s="37"/>
      <c r="AIY115" s="37"/>
      <c r="AIZ115" s="37"/>
      <c r="AJA115" s="37"/>
      <c r="AJB115" s="37"/>
      <c r="AJC115" s="37"/>
      <c r="AJD115" s="37"/>
      <c r="AJE115" s="37"/>
      <c r="AJF115" s="37"/>
      <c r="AJG115" s="37"/>
      <c r="AJH115" s="37"/>
      <c r="AJI115" s="37"/>
      <c r="AJJ115" s="37"/>
      <c r="AJK115" s="37"/>
      <c r="AJL115" s="37"/>
      <c r="AJM115" s="37"/>
      <c r="AJN115" s="37"/>
      <c r="AJO115" s="37"/>
      <c r="AJP115" s="37"/>
      <c r="AJQ115" s="37"/>
      <c r="AJR115" s="37"/>
      <c r="AJS115" s="37"/>
      <c r="AJT115" s="37"/>
      <c r="AJU115" s="37"/>
      <c r="AJV115" s="37"/>
      <c r="AJW115" s="37"/>
      <c r="AJX115" s="37"/>
      <c r="AJY115" s="37"/>
      <c r="AJZ115" s="37"/>
      <c r="AKA115" s="37"/>
      <c r="AKB115" s="37"/>
      <c r="AKC115" s="37"/>
      <c r="AKD115" s="37"/>
      <c r="AKE115" s="37"/>
      <c r="AKF115" s="37"/>
      <c r="AKG115" s="37"/>
      <c r="AKH115" s="37"/>
      <c r="AKI115" s="37"/>
      <c r="AKJ115" s="37"/>
      <c r="AKK115" s="37"/>
      <c r="AKL115" s="37"/>
      <c r="AKM115" s="37"/>
      <c r="AKN115" s="37"/>
      <c r="AKO115" s="37"/>
      <c r="AKP115" s="37"/>
      <c r="AKQ115" s="37"/>
      <c r="AKR115" s="37"/>
      <c r="AKS115" s="37"/>
      <c r="AKT115" s="37"/>
      <c r="AKU115" s="37"/>
      <c r="AKV115" s="37"/>
      <c r="AKW115" s="37"/>
      <c r="AKX115" s="37"/>
      <c r="AKY115" s="37"/>
      <c r="AKZ115" s="37"/>
      <c r="ALA115" s="37"/>
      <c r="ALB115" s="37"/>
      <c r="ALC115" s="37"/>
      <c r="ALD115" s="37"/>
      <c r="ALE115" s="37"/>
      <c r="ALF115" s="37"/>
      <c r="ALG115" s="37"/>
      <c r="ALH115" s="37"/>
      <c r="ALI115" s="37"/>
      <c r="ALJ115" s="37"/>
      <c r="ALK115" s="37"/>
      <c r="ALL115" s="37"/>
      <c r="ALM115" s="37"/>
      <c r="ALN115" s="37"/>
      <c r="ALO115" s="37"/>
      <c r="ALP115" s="37"/>
      <c r="ALQ115" s="37"/>
      <c r="ALR115" s="37"/>
      <c r="ALS115" s="37"/>
      <c r="ALT115" s="37"/>
      <c r="ALU115" s="37"/>
      <c r="ALV115" s="37"/>
      <c r="ALW115" s="37"/>
      <c r="ALX115" s="37"/>
      <c r="ALY115" s="37"/>
      <c r="ALZ115" s="37"/>
      <c r="AMA115" s="37"/>
      <c r="AMB115" s="37"/>
      <c r="AMC115" s="37"/>
    </row>
    <row r="116" spans="1:1017" s="38" customFormat="1" ht="19.5" customHeight="1">
      <c r="A116" s="26" t="s">
        <v>204</v>
      </c>
      <c r="B116" s="25" t="s">
        <v>207</v>
      </c>
      <c r="C116" s="26" t="s">
        <v>46</v>
      </c>
      <c r="D116" s="26" t="s">
        <v>32</v>
      </c>
      <c r="E116" s="26" t="s">
        <v>261</v>
      </c>
      <c r="F116" s="26">
        <v>40</v>
      </c>
      <c r="G116" s="26" t="s">
        <v>33</v>
      </c>
      <c r="H116" s="26"/>
      <c r="I116" s="36">
        <v>44</v>
      </c>
      <c r="J116" s="36">
        <v>24</v>
      </c>
      <c r="K116" s="36">
        <v>19</v>
      </c>
      <c r="L116" s="36">
        <v>29</v>
      </c>
      <c r="M116" s="36">
        <v>28</v>
      </c>
      <c r="N116" s="36">
        <v>29</v>
      </c>
      <c r="O116" s="36">
        <v>71</v>
      </c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/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37"/>
      <c r="QL116" s="37"/>
      <c r="QM116" s="37"/>
      <c r="QN116" s="37"/>
      <c r="QO116" s="37"/>
      <c r="QP116" s="37"/>
      <c r="QQ116" s="37"/>
      <c r="QR116" s="37"/>
      <c r="QS116" s="37"/>
      <c r="QT116" s="37"/>
      <c r="QU116" s="37"/>
      <c r="QV116" s="37"/>
      <c r="QW116" s="37"/>
      <c r="QX116" s="37"/>
      <c r="QY116" s="37"/>
      <c r="QZ116" s="37"/>
      <c r="RA116" s="37"/>
      <c r="RB116" s="37"/>
      <c r="RC116" s="37"/>
      <c r="RD116" s="37"/>
      <c r="RE116" s="37"/>
      <c r="RF116" s="37"/>
      <c r="RG116" s="37"/>
      <c r="RH116" s="37"/>
      <c r="RI116" s="37"/>
      <c r="RJ116" s="37"/>
      <c r="RK116" s="37"/>
      <c r="RL116" s="37"/>
      <c r="RM116" s="37"/>
      <c r="RN116" s="37"/>
      <c r="RO116" s="37"/>
      <c r="RP116" s="37"/>
      <c r="RQ116" s="37"/>
      <c r="RR116" s="37"/>
      <c r="RS116" s="37"/>
      <c r="RT116" s="37"/>
      <c r="RU116" s="37"/>
      <c r="RV116" s="37"/>
      <c r="RW116" s="37"/>
      <c r="RX116" s="37"/>
      <c r="RY116" s="37"/>
      <c r="RZ116" s="37"/>
      <c r="SA116" s="37"/>
      <c r="SB116" s="37"/>
      <c r="SC116" s="37"/>
      <c r="SD116" s="37"/>
      <c r="SE116" s="37"/>
      <c r="SF116" s="37"/>
      <c r="SG116" s="37"/>
      <c r="SH116" s="37"/>
      <c r="SI116" s="37"/>
      <c r="SJ116" s="37"/>
      <c r="SK116" s="37"/>
      <c r="SL116" s="37"/>
      <c r="SM116" s="37"/>
      <c r="SN116" s="37"/>
      <c r="SO116" s="37"/>
      <c r="SP116" s="37"/>
      <c r="SQ116" s="37"/>
      <c r="SR116" s="37"/>
      <c r="SS116" s="37"/>
      <c r="ST116" s="37"/>
      <c r="SU116" s="37"/>
      <c r="SV116" s="37"/>
      <c r="SW116" s="37"/>
      <c r="SX116" s="37"/>
      <c r="SY116" s="37"/>
      <c r="SZ116" s="37"/>
      <c r="TA116" s="37"/>
      <c r="TB116" s="37"/>
      <c r="TC116" s="37"/>
      <c r="TD116" s="37"/>
      <c r="TE116" s="37"/>
      <c r="TF116" s="37"/>
      <c r="TG116" s="37"/>
      <c r="TH116" s="37"/>
      <c r="TI116" s="37"/>
      <c r="TJ116" s="37"/>
      <c r="TK116" s="37"/>
      <c r="TL116" s="37"/>
      <c r="TM116" s="37"/>
      <c r="TN116" s="37"/>
      <c r="TO116" s="37"/>
      <c r="TP116" s="37"/>
      <c r="TQ116" s="37"/>
      <c r="TR116" s="37"/>
      <c r="TS116" s="37"/>
      <c r="TT116" s="37"/>
      <c r="TU116" s="37"/>
      <c r="TV116" s="37"/>
      <c r="TW116" s="37"/>
      <c r="TX116" s="37"/>
      <c r="TY116" s="37"/>
      <c r="TZ116" s="37"/>
      <c r="UA116" s="37"/>
      <c r="UB116" s="37"/>
      <c r="UC116" s="37"/>
      <c r="UD116" s="37"/>
      <c r="UE116" s="37"/>
      <c r="UF116" s="37"/>
      <c r="UG116" s="37"/>
      <c r="UH116" s="37"/>
      <c r="UI116" s="37"/>
      <c r="UJ116" s="37"/>
      <c r="UK116" s="37"/>
      <c r="UL116" s="37"/>
      <c r="UM116" s="37"/>
      <c r="UN116" s="37"/>
      <c r="UO116" s="37"/>
      <c r="UP116" s="37"/>
      <c r="UQ116" s="37"/>
      <c r="UR116" s="37"/>
      <c r="US116" s="37"/>
      <c r="UT116" s="37"/>
      <c r="UU116" s="37"/>
      <c r="UV116" s="37"/>
      <c r="UW116" s="37"/>
      <c r="UX116" s="37"/>
      <c r="UY116" s="37"/>
      <c r="UZ116" s="37"/>
      <c r="VA116" s="37"/>
      <c r="VB116" s="37"/>
      <c r="VC116" s="37"/>
      <c r="VD116" s="37"/>
      <c r="VE116" s="37"/>
      <c r="VF116" s="37"/>
      <c r="VG116" s="37"/>
      <c r="VH116" s="37"/>
      <c r="VI116" s="37"/>
      <c r="VJ116" s="37"/>
      <c r="VK116" s="37"/>
      <c r="VL116" s="37"/>
      <c r="VM116" s="37"/>
      <c r="VN116" s="37"/>
      <c r="VO116" s="37"/>
      <c r="VP116" s="37"/>
      <c r="VQ116" s="37"/>
      <c r="VR116" s="37"/>
      <c r="VS116" s="37"/>
      <c r="VT116" s="37"/>
      <c r="VU116" s="37"/>
      <c r="VV116" s="37"/>
      <c r="VW116" s="37"/>
      <c r="VX116" s="37"/>
      <c r="VY116" s="37"/>
      <c r="VZ116" s="37"/>
      <c r="WA116" s="37"/>
      <c r="WB116" s="37"/>
      <c r="WC116" s="37"/>
      <c r="WD116" s="37"/>
      <c r="WE116" s="37"/>
      <c r="WF116" s="37"/>
      <c r="WG116" s="37"/>
      <c r="WH116" s="37"/>
      <c r="WI116" s="37"/>
      <c r="WJ116" s="37"/>
      <c r="WK116" s="37"/>
      <c r="WL116" s="37"/>
      <c r="WM116" s="37"/>
      <c r="WN116" s="37"/>
      <c r="WO116" s="37"/>
      <c r="WP116" s="37"/>
      <c r="WQ116" s="37"/>
      <c r="WR116" s="37"/>
      <c r="WS116" s="37"/>
      <c r="WT116" s="37"/>
      <c r="WU116" s="37"/>
      <c r="WV116" s="37"/>
      <c r="WW116" s="37"/>
      <c r="WX116" s="37"/>
      <c r="WY116" s="37"/>
      <c r="WZ116" s="37"/>
      <c r="XA116" s="37"/>
      <c r="XB116" s="37"/>
      <c r="XC116" s="37"/>
      <c r="XD116" s="37"/>
      <c r="XE116" s="37"/>
      <c r="XF116" s="37"/>
      <c r="XG116" s="37"/>
      <c r="XH116" s="37"/>
      <c r="XI116" s="37"/>
      <c r="XJ116" s="37"/>
      <c r="XK116" s="37"/>
      <c r="XL116" s="37"/>
      <c r="XM116" s="37"/>
      <c r="XN116" s="37"/>
      <c r="XO116" s="37"/>
      <c r="XP116" s="37"/>
      <c r="XQ116" s="37"/>
      <c r="XR116" s="37"/>
      <c r="XS116" s="37"/>
      <c r="XT116" s="37"/>
      <c r="XU116" s="37"/>
      <c r="XV116" s="37"/>
      <c r="XW116" s="37"/>
      <c r="XX116" s="37"/>
      <c r="XY116" s="37"/>
      <c r="XZ116" s="37"/>
      <c r="YA116" s="37"/>
      <c r="YB116" s="37"/>
      <c r="YC116" s="37"/>
      <c r="YD116" s="37"/>
      <c r="YE116" s="37"/>
      <c r="YF116" s="37"/>
      <c r="YG116" s="37"/>
      <c r="YH116" s="37"/>
      <c r="YI116" s="37"/>
      <c r="YJ116" s="37"/>
      <c r="YK116" s="37"/>
      <c r="YL116" s="37"/>
      <c r="YM116" s="37"/>
      <c r="YN116" s="37"/>
      <c r="YO116" s="37"/>
      <c r="YP116" s="37"/>
      <c r="YQ116" s="37"/>
      <c r="YR116" s="37"/>
      <c r="YS116" s="37"/>
      <c r="YT116" s="37"/>
      <c r="YU116" s="37"/>
      <c r="YV116" s="37"/>
      <c r="YW116" s="37"/>
      <c r="YX116" s="37"/>
      <c r="YY116" s="37"/>
      <c r="YZ116" s="37"/>
      <c r="ZA116" s="37"/>
      <c r="ZB116" s="37"/>
      <c r="ZC116" s="37"/>
      <c r="ZD116" s="37"/>
      <c r="ZE116" s="37"/>
      <c r="ZF116" s="37"/>
      <c r="ZG116" s="37"/>
      <c r="ZH116" s="37"/>
      <c r="ZI116" s="37"/>
      <c r="ZJ116" s="37"/>
      <c r="ZK116" s="37"/>
      <c r="ZL116" s="37"/>
      <c r="ZM116" s="37"/>
      <c r="ZN116" s="37"/>
      <c r="ZO116" s="37"/>
      <c r="ZP116" s="37"/>
      <c r="ZQ116" s="37"/>
      <c r="ZR116" s="37"/>
      <c r="ZS116" s="37"/>
      <c r="ZT116" s="37"/>
      <c r="ZU116" s="37"/>
      <c r="ZV116" s="37"/>
      <c r="ZW116" s="37"/>
      <c r="ZX116" s="37"/>
      <c r="ZY116" s="37"/>
      <c r="ZZ116" s="37"/>
      <c r="AAA116" s="37"/>
      <c r="AAB116" s="37"/>
      <c r="AAC116" s="37"/>
      <c r="AAD116" s="37"/>
      <c r="AAE116" s="37"/>
      <c r="AAF116" s="37"/>
      <c r="AAG116" s="37"/>
      <c r="AAH116" s="37"/>
      <c r="AAI116" s="37"/>
      <c r="AAJ116" s="37"/>
      <c r="AAK116" s="37"/>
      <c r="AAL116" s="37"/>
      <c r="AAM116" s="37"/>
      <c r="AAN116" s="37"/>
      <c r="AAO116" s="37"/>
      <c r="AAP116" s="37"/>
      <c r="AAQ116" s="37"/>
      <c r="AAR116" s="37"/>
      <c r="AAS116" s="37"/>
      <c r="AAT116" s="37"/>
      <c r="AAU116" s="37"/>
      <c r="AAV116" s="37"/>
      <c r="AAW116" s="37"/>
      <c r="AAX116" s="37"/>
      <c r="AAY116" s="37"/>
      <c r="AAZ116" s="37"/>
      <c r="ABA116" s="37"/>
      <c r="ABB116" s="37"/>
      <c r="ABC116" s="37"/>
      <c r="ABD116" s="37"/>
      <c r="ABE116" s="37"/>
      <c r="ABF116" s="37"/>
      <c r="ABG116" s="37"/>
      <c r="ABH116" s="37"/>
      <c r="ABI116" s="37"/>
      <c r="ABJ116" s="37"/>
      <c r="ABK116" s="37"/>
      <c r="ABL116" s="37"/>
      <c r="ABM116" s="37"/>
      <c r="ABN116" s="37"/>
      <c r="ABO116" s="37"/>
      <c r="ABP116" s="37"/>
      <c r="ABQ116" s="37"/>
      <c r="ABR116" s="37"/>
      <c r="ABS116" s="37"/>
      <c r="ABT116" s="37"/>
      <c r="ABU116" s="37"/>
      <c r="ABV116" s="37"/>
      <c r="ABW116" s="37"/>
      <c r="ABX116" s="37"/>
      <c r="ABY116" s="37"/>
      <c r="ABZ116" s="37"/>
      <c r="ACA116" s="37"/>
      <c r="ACB116" s="37"/>
      <c r="ACC116" s="37"/>
      <c r="ACD116" s="37"/>
      <c r="ACE116" s="37"/>
      <c r="ACF116" s="37"/>
      <c r="ACG116" s="37"/>
      <c r="ACH116" s="37"/>
      <c r="ACI116" s="37"/>
      <c r="ACJ116" s="37"/>
      <c r="ACK116" s="37"/>
      <c r="ACL116" s="37"/>
      <c r="ACM116" s="37"/>
      <c r="ACN116" s="37"/>
      <c r="ACO116" s="37"/>
      <c r="ACP116" s="37"/>
      <c r="ACQ116" s="37"/>
      <c r="ACR116" s="37"/>
      <c r="ACS116" s="37"/>
      <c r="ACT116" s="37"/>
      <c r="ACU116" s="37"/>
      <c r="ACV116" s="37"/>
      <c r="ACW116" s="37"/>
      <c r="ACX116" s="37"/>
      <c r="ACY116" s="37"/>
      <c r="ACZ116" s="37"/>
      <c r="ADA116" s="37"/>
      <c r="ADB116" s="37"/>
      <c r="ADC116" s="37"/>
      <c r="ADD116" s="37"/>
      <c r="ADE116" s="37"/>
      <c r="ADF116" s="37"/>
      <c r="ADG116" s="37"/>
      <c r="ADH116" s="37"/>
      <c r="ADI116" s="37"/>
      <c r="ADJ116" s="37"/>
      <c r="ADK116" s="37"/>
      <c r="ADL116" s="37"/>
      <c r="ADM116" s="37"/>
      <c r="ADN116" s="37"/>
      <c r="ADO116" s="37"/>
      <c r="ADP116" s="37"/>
      <c r="ADQ116" s="37"/>
      <c r="ADR116" s="37"/>
      <c r="ADS116" s="37"/>
      <c r="ADT116" s="37"/>
      <c r="ADU116" s="37"/>
      <c r="ADV116" s="37"/>
      <c r="ADW116" s="37"/>
      <c r="ADX116" s="37"/>
      <c r="ADY116" s="37"/>
      <c r="ADZ116" s="37"/>
      <c r="AEA116" s="37"/>
      <c r="AEB116" s="37"/>
      <c r="AEC116" s="37"/>
      <c r="AED116" s="37"/>
      <c r="AEE116" s="37"/>
      <c r="AEF116" s="37"/>
      <c r="AEG116" s="37"/>
      <c r="AEH116" s="37"/>
      <c r="AEI116" s="37"/>
      <c r="AEJ116" s="37"/>
      <c r="AEK116" s="37"/>
      <c r="AEL116" s="37"/>
      <c r="AEM116" s="37"/>
      <c r="AEN116" s="37"/>
      <c r="AEO116" s="37"/>
      <c r="AEP116" s="37"/>
      <c r="AEQ116" s="37"/>
      <c r="AER116" s="37"/>
      <c r="AES116" s="37"/>
      <c r="AET116" s="37"/>
      <c r="AEU116" s="37"/>
      <c r="AEV116" s="37"/>
      <c r="AEW116" s="37"/>
      <c r="AEX116" s="37"/>
      <c r="AEY116" s="37"/>
      <c r="AEZ116" s="37"/>
      <c r="AFA116" s="37"/>
      <c r="AFB116" s="37"/>
      <c r="AFC116" s="37"/>
      <c r="AFD116" s="37"/>
      <c r="AFE116" s="37"/>
      <c r="AFF116" s="37"/>
      <c r="AFG116" s="37"/>
      <c r="AFH116" s="37"/>
      <c r="AFI116" s="37"/>
      <c r="AFJ116" s="37"/>
      <c r="AFK116" s="37"/>
      <c r="AFL116" s="37"/>
      <c r="AFM116" s="37"/>
      <c r="AFN116" s="37"/>
      <c r="AFO116" s="37"/>
      <c r="AFP116" s="37"/>
      <c r="AFQ116" s="37"/>
      <c r="AFR116" s="37"/>
      <c r="AFS116" s="37"/>
      <c r="AFT116" s="37"/>
      <c r="AFU116" s="37"/>
      <c r="AFV116" s="37"/>
      <c r="AFW116" s="37"/>
      <c r="AFX116" s="37"/>
      <c r="AFY116" s="37"/>
      <c r="AFZ116" s="37"/>
      <c r="AGA116" s="37"/>
      <c r="AGB116" s="37"/>
      <c r="AGC116" s="37"/>
      <c r="AGD116" s="37"/>
      <c r="AGE116" s="37"/>
      <c r="AGF116" s="37"/>
      <c r="AGG116" s="37"/>
      <c r="AGH116" s="37"/>
      <c r="AGI116" s="37"/>
      <c r="AGJ116" s="37"/>
      <c r="AGK116" s="37"/>
      <c r="AGL116" s="37"/>
      <c r="AGM116" s="37"/>
      <c r="AGN116" s="37"/>
      <c r="AGO116" s="37"/>
      <c r="AGP116" s="37"/>
      <c r="AGQ116" s="37"/>
      <c r="AGR116" s="37"/>
      <c r="AGS116" s="37"/>
      <c r="AGT116" s="37"/>
      <c r="AGU116" s="37"/>
      <c r="AGV116" s="37"/>
      <c r="AGW116" s="37"/>
      <c r="AGX116" s="37"/>
      <c r="AGY116" s="37"/>
      <c r="AGZ116" s="37"/>
      <c r="AHA116" s="37"/>
      <c r="AHB116" s="37"/>
      <c r="AHC116" s="37"/>
      <c r="AHD116" s="37"/>
      <c r="AHE116" s="37"/>
      <c r="AHF116" s="37"/>
      <c r="AHG116" s="37"/>
      <c r="AHH116" s="37"/>
      <c r="AHI116" s="37"/>
      <c r="AHJ116" s="37"/>
      <c r="AHK116" s="37"/>
      <c r="AHL116" s="37"/>
      <c r="AHM116" s="37"/>
      <c r="AHN116" s="37"/>
      <c r="AHO116" s="37"/>
      <c r="AHP116" s="37"/>
      <c r="AHQ116" s="37"/>
      <c r="AHR116" s="37"/>
      <c r="AHS116" s="37"/>
      <c r="AHT116" s="37"/>
      <c r="AHU116" s="37"/>
      <c r="AHV116" s="37"/>
      <c r="AHW116" s="37"/>
      <c r="AHX116" s="37"/>
      <c r="AHY116" s="37"/>
      <c r="AHZ116" s="37"/>
      <c r="AIA116" s="37"/>
      <c r="AIB116" s="37"/>
      <c r="AIC116" s="37"/>
      <c r="AID116" s="37"/>
      <c r="AIE116" s="37"/>
      <c r="AIF116" s="37"/>
      <c r="AIG116" s="37"/>
      <c r="AIH116" s="37"/>
      <c r="AII116" s="37"/>
      <c r="AIJ116" s="37"/>
      <c r="AIK116" s="37"/>
      <c r="AIL116" s="37"/>
      <c r="AIM116" s="37"/>
      <c r="AIN116" s="37"/>
      <c r="AIO116" s="37"/>
      <c r="AIP116" s="37"/>
      <c r="AIQ116" s="37"/>
      <c r="AIR116" s="37"/>
      <c r="AIS116" s="37"/>
      <c r="AIT116" s="37"/>
      <c r="AIU116" s="37"/>
      <c r="AIV116" s="37"/>
      <c r="AIW116" s="37"/>
      <c r="AIX116" s="37"/>
      <c r="AIY116" s="37"/>
      <c r="AIZ116" s="37"/>
      <c r="AJA116" s="37"/>
      <c r="AJB116" s="37"/>
      <c r="AJC116" s="37"/>
      <c r="AJD116" s="37"/>
      <c r="AJE116" s="37"/>
      <c r="AJF116" s="37"/>
      <c r="AJG116" s="37"/>
      <c r="AJH116" s="37"/>
      <c r="AJI116" s="37"/>
      <c r="AJJ116" s="37"/>
      <c r="AJK116" s="37"/>
      <c r="AJL116" s="37"/>
      <c r="AJM116" s="37"/>
      <c r="AJN116" s="37"/>
      <c r="AJO116" s="37"/>
      <c r="AJP116" s="37"/>
      <c r="AJQ116" s="37"/>
      <c r="AJR116" s="37"/>
      <c r="AJS116" s="37"/>
      <c r="AJT116" s="37"/>
      <c r="AJU116" s="37"/>
      <c r="AJV116" s="37"/>
      <c r="AJW116" s="37"/>
      <c r="AJX116" s="37"/>
      <c r="AJY116" s="37"/>
      <c r="AJZ116" s="37"/>
      <c r="AKA116" s="37"/>
      <c r="AKB116" s="37"/>
      <c r="AKC116" s="37"/>
      <c r="AKD116" s="37"/>
      <c r="AKE116" s="37"/>
      <c r="AKF116" s="37"/>
      <c r="AKG116" s="37"/>
      <c r="AKH116" s="37"/>
      <c r="AKI116" s="37"/>
      <c r="AKJ116" s="37"/>
      <c r="AKK116" s="37"/>
      <c r="AKL116" s="37"/>
      <c r="AKM116" s="37"/>
      <c r="AKN116" s="37"/>
      <c r="AKO116" s="37"/>
      <c r="AKP116" s="37"/>
      <c r="AKQ116" s="37"/>
      <c r="AKR116" s="37"/>
      <c r="AKS116" s="37"/>
      <c r="AKT116" s="37"/>
      <c r="AKU116" s="37"/>
      <c r="AKV116" s="37"/>
      <c r="AKW116" s="37"/>
      <c r="AKX116" s="37"/>
      <c r="AKY116" s="37"/>
      <c r="AKZ116" s="37"/>
      <c r="ALA116" s="37"/>
      <c r="ALB116" s="37"/>
      <c r="ALC116" s="37"/>
      <c r="ALD116" s="37"/>
      <c r="ALE116" s="37"/>
      <c r="ALF116" s="37"/>
      <c r="ALG116" s="37"/>
      <c r="ALH116" s="37"/>
      <c r="ALI116" s="37"/>
      <c r="ALJ116" s="37"/>
      <c r="ALK116" s="37"/>
      <c r="ALL116" s="37"/>
      <c r="ALM116" s="37"/>
      <c r="ALN116" s="37"/>
      <c r="ALO116" s="37"/>
      <c r="ALP116" s="37"/>
      <c r="ALQ116" s="37"/>
      <c r="ALR116" s="37"/>
      <c r="ALS116" s="37"/>
      <c r="ALT116" s="37"/>
      <c r="ALU116" s="37"/>
      <c r="ALV116" s="37"/>
      <c r="ALW116" s="37"/>
      <c r="ALX116" s="37"/>
      <c r="ALY116" s="37"/>
      <c r="ALZ116" s="37"/>
      <c r="AMA116" s="37"/>
      <c r="AMB116" s="37"/>
      <c r="AMC116" s="37"/>
    </row>
    <row r="117" spans="1:1017" s="38" customFormat="1" ht="19.5" customHeight="1">
      <c r="A117" s="72"/>
      <c r="B117" s="73"/>
      <c r="C117" s="72"/>
      <c r="D117" s="72"/>
      <c r="E117" s="72"/>
      <c r="F117" s="72"/>
      <c r="G117" s="35">
        <v>40</v>
      </c>
      <c r="H117" s="35">
        <v>93</v>
      </c>
      <c r="I117" s="35">
        <v>116</v>
      </c>
      <c r="J117" s="35">
        <v>70</v>
      </c>
      <c r="K117" s="35">
        <v>36</v>
      </c>
      <c r="L117" s="35">
        <v>28</v>
      </c>
      <c r="M117" s="35">
        <v>22</v>
      </c>
      <c r="N117" s="35">
        <v>98</v>
      </c>
      <c r="O117" s="74">
        <v>7</v>
      </c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  <c r="OU117" s="37"/>
      <c r="OV117" s="37"/>
      <c r="OW117" s="37"/>
      <c r="OX117" s="37"/>
      <c r="OY117" s="37"/>
      <c r="OZ117" s="37"/>
      <c r="PA117" s="37"/>
      <c r="PB117" s="37"/>
      <c r="PC117" s="37"/>
      <c r="PD117" s="37"/>
      <c r="PE117" s="37"/>
      <c r="PF117" s="37"/>
      <c r="PG117" s="37"/>
      <c r="PH117" s="37"/>
      <c r="PI117" s="37"/>
      <c r="PJ117" s="37"/>
      <c r="PK117" s="37"/>
      <c r="PL117" s="37"/>
      <c r="PM117" s="37"/>
      <c r="PN117" s="37"/>
      <c r="PO117" s="37"/>
      <c r="PP117" s="37"/>
      <c r="PQ117" s="37"/>
      <c r="PR117" s="37"/>
      <c r="PS117" s="37"/>
      <c r="PT117" s="37"/>
      <c r="PU117" s="37"/>
      <c r="PV117" s="37"/>
      <c r="PW117" s="37"/>
      <c r="PX117" s="37"/>
      <c r="PY117" s="37"/>
      <c r="PZ117" s="37"/>
      <c r="QA117" s="37"/>
      <c r="QB117" s="37"/>
      <c r="QC117" s="37"/>
      <c r="QD117" s="37"/>
      <c r="QE117" s="37"/>
      <c r="QF117" s="37"/>
      <c r="QG117" s="37"/>
      <c r="QH117" s="37"/>
      <c r="QI117" s="37"/>
      <c r="QJ117" s="37"/>
      <c r="QK117" s="37"/>
      <c r="QL117" s="37"/>
      <c r="QM117" s="37"/>
      <c r="QN117" s="37"/>
      <c r="QO117" s="37"/>
      <c r="QP117" s="37"/>
      <c r="QQ117" s="37"/>
      <c r="QR117" s="37"/>
      <c r="QS117" s="37"/>
      <c r="QT117" s="37"/>
      <c r="QU117" s="37"/>
      <c r="QV117" s="37"/>
      <c r="QW117" s="37"/>
      <c r="QX117" s="37"/>
      <c r="QY117" s="37"/>
      <c r="QZ117" s="37"/>
      <c r="RA117" s="37"/>
      <c r="RB117" s="37"/>
      <c r="RC117" s="37"/>
      <c r="RD117" s="37"/>
      <c r="RE117" s="37"/>
      <c r="RF117" s="37"/>
      <c r="RG117" s="37"/>
      <c r="RH117" s="37"/>
      <c r="RI117" s="37"/>
      <c r="RJ117" s="37"/>
      <c r="RK117" s="37"/>
      <c r="RL117" s="37"/>
      <c r="RM117" s="37"/>
      <c r="RN117" s="37"/>
      <c r="RO117" s="37"/>
      <c r="RP117" s="37"/>
      <c r="RQ117" s="37"/>
      <c r="RR117" s="37"/>
      <c r="RS117" s="37"/>
      <c r="RT117" s="37"/>
      <c r="RU117" s="37"/>
      <c r="RV117" s="37"/>
      <c r="RW117" s="37"/>
      <c r="RX117" s="37"/>
      <c r="RY117" s="37"/>
      <c r="RZ117" s="37"/>
      <c r="SA117" s="37"/>
      <c r="SB117" s="37"/>
      <c r="SC117" s="37"/>
      <c r="SD117" s="37"/>
      <c r="SE117" s="37"/>
      <c r="SF117" s="37"/>
      <c r="SG117" s="37"/>
      <c r="SH117" s="37"/>
      <c r="SI117" s="37"/>
      <c r="SJ117" s="37"/>
      <c r="SK117" s="37"/>
      <c r="SL117" s="37"/>
      <c r="SM117" s="37"/>
      <c r="SN117" s="37"/>
      <c r="SO117" s="37"/>
      <c r="SP117" s="37"/>
      <c r="SQ117" s="37"/>
      <c r="SR117" s="37"/>
      <c r="SS117" s="37"/>
      <c r="ST117" s="37"/>
      <c r="SU117" s="37"/>
      <c r="SV117" s="37"/>
      <c r="SW117" s="37"/>
      <c r="SX117" s="37"/>
      <c r="SY117" s="37"/>
      <c r="SZ117" s="37"/>
      <c r="TA117" s="37"/>
      <c r="TB117" s="37"/>
      <c r="TC117" s="37"/>
      <c r="TD117" s="37"/>
      <c r="TE117" s="37"/>
      <c r="TF117" s="37"/>
      <c r="TG117" s="37"/>
      <c r="TH117" s="37"/>
      <c r="TI117" s="37"/>
      <c r="TJ117" s="37"/>
      <c r="TK117" s="37"/>
      <c r="TL117" s="37"/>
      <c r="TM117" s="37"/>
      <c r="TN117" s="37"/>
      <c r="TO117" s="37"/>
      <c r="TP117" s="37"/>
      <c r="TQ117" s="37"/>
      <c r="TR117" s="37"/>
      <c r="TS117" s="37"/>
      <c r="TT117" s="37"/>
      <c r="TU117" s="37"/>
      <c r="TV117" s="37"/>
      <c r="TW117" s="37"/>
      <c r="TX117" s="37"/>
      <c r="TY117" s="37"/>
      <c r="TZ117" s="37"/>
      <c r="UA117" s="37"/>
      <c r="UB117" s="37"/>
      <c r="UC117" s="37"/>
      <c r="UD117" s="37"/>
      <c r="UE117" s="37"/>
      <c r="UF117" s="37"/>
      <c r="UG117" s="37"/>
      <c r="UH117" s="37"/>
      <c r="UI117" s="37"/>
      <c r="UJ117" s="37"/>
      <c r="UK117" s="37"/>
      <c r="UL117" s="37"/>
      <c r="UM117" s="37"/>
      <c r="UN117" s="37"/>
      <c r="UO117" s="37"/>
      <c r="UP117" s="37"/>
      <c r="UQ117" s="37"/>
      <c r="UR117" s="37"/>
      <c r="US117" s="37"/>
      <c r="UT117" s="37"/>
      <c r="UU117" s="37"/>
      <c r="UV117" s="37"/>
      <c r="UW117" s="37"/>
      <c r="UX117" s="37"/>
      <c r="UY117" s="37"/>
      <c r="UZ117" s="37"/>
      <c r="VA117" s="37"/>
      <c r="VB117" s="37"/>
      <c r="VC117" s="37"/>
      <c r="VD117" s="37"/>
      <c r="VE117" s="37"/>
      <c r="VF117" s="37"/>
      <c r="VG117" s="37"/>
      <c r="VH117" s="37"/>
      <c r="VI117" s="37"/>
      <c r="VJ117" s="37"/>
      <c r="VK117" s="37"/>
      <c r="VL117" s="37"/>
      <c r="VM117" s="37"/>
      <c r="VN117" s="37"/>
      <c r="VO117" s="37"/>
      <c r="VP117" s="37"/>
      <c r="VQ117" s="37"/>
      <c r="VR117" s="37"/>
      <c r="VS117" s="37"/>
      <c r="VT117" s="37"/>
      <c r="VU117" s="37"/>
      <c r="VV117" s="37"/>
      <c r="VW117" s="37"/>
      <c r="VX117" s="37"/>
      <c r="VY117" s="37"/>
      <c r="VZ117" s="37"/>
      <c r="WA117" s="37"/>
      <c r="WB117" s="37"/>
      <c r="WC117" s="37"/>
      <c r="WD117" s="37"/>
      <c r="WE117" s="37"/>
      <c r="WF117" s="37"/>
      <c r="WG117" s="37"/>
      <c r="WH117" s="37"/>
      <c r="WI117" s="37"/>
      <c r="WJ117" s="37"/>
      <c r="WK117" s="37"/>
      <c r="WL117" s="37"/>
      <c r="WM117" s="37"/>
      <c r="WN117" s="37"/>
      <c r="WO117" s="37"/>
      <c r="WP117" s="37"/>
      <c r="WQ117" s="37"/>
      <c r="WR117" s="37"/>
      <c r="WS117" s="37"/>
      <c r="WT117" s="37"/>
      <c r="WU117" s="37"/>
      <c r="WV117" s="37"/>
      <c r="WW117" s="37"/>
      <c r="WX117" s="37"/>
      <c r="WY117" s="37"/>
      <c r="WZ117" s="37"/>
      <c r="XA117" s="37"/>
      <c r="XB117" s="37"/>
      <c r="XC117" s="37"/>
      <c r="XD117" s="37"/>
      <c r="XE117" s="37"/>
      <c r="XF117" s="37"/>
      <c r="XG117" s="37"/>
      <c r="XH117" s="37"/>
      <c r="XI117" s="37"/>
      <c r="XJ117" s="37"/>
      <c r="XK117" s="37"/>
      <c r="XL117" s="37"/>
      <c r="XM117" s="37"/>
      <c r="XN117" s="37"/>
      <c r="XO117" s="37"/>
      <c r="XP117" s="37"/>
      <c r="XQ117" s="37"/>
      <c r="XR117" s="37"/>
      <c r="XS117" s="37"/>
      <c r="XT117" s="37"/>
      <c r="XU117" s="37"/>
      <c r="XV117" s="37"/>
      <c r="XW117" s="37"/>
      <c r="XX117" s="37"/>
      <c r="XY117" s="37"/>
      <c r="XZ117" s="37"/>
      <c r="YA117" s="37"/>
      <c r="YB117" s="37"/>
      <c r="YC117" s="37"/>
      <c r="YD117" s="37"/>
      <c r="YE117" s="37"/>
      <c r="YF117" s="37"/>
      <c r="YG117" s="37"/>
      <c r="YH117" s="37"/>
      <c r="YI117" s="37"/>
      <c r="YJ117" s="37"/>
      <c r="YK117" s="37"/>
      <c r="YL117" s="37"/>
      <c r="YM117" s="37"/>
      <c r="YN117" s="37"/>
      <c r="YO117" s="37"/>
      <c r="YP117" s="37"/>
      <c r="YQ117" s="37"/>
      <c r="YR117" s="37"/>
      <c r="YS117" s="37"/>
      <c r="YT117" s="37"/>
      <c r="YU117" s="37"/>
      <c r="YV117" s="37"/>
      <c r="YW117" s="37"/>
      <c r="YX117" s="37"/>
      <c r="YY117" s="37"/>
      <c r="YZ117" s="37"/>
      <c r="ZA117" s="37"/>
      <c r="ZB117" s="37"/>
      <c r="ZC117" s="37"/>
      <c r="ZD117" s="37"/>
      <c r="ZE117" s="37"/>
      <c r="ZF117" s="37"/>
      <c r="ZG117" s="37"/>
      <c r="ZH117" s="37"/>
      <c r="ZI117" s="37"/>
      <c r="ZJ117" s="37"/>
      <c r="ZK117" s="37"/>
      <c r="ZL117" s="37"/>
      <c r="ZM117" s="37"/>
      <c r="ZN117" s="37"/>
      <c r="ZO117" s="37"/>
      <c r="ZP117" s="37"/>
      <c r="ZQ117" s="37"/>
      <c r="ZR117" s="37"/>
      <c r="ZS117" s="37"/>
      <c r="ZT117" s="37"/>
      <c r="ZU117" s="37"/>
      <c r="ZV117" s="37"/>
      <c r="ZW117" s="37"/>
      <c r="ZX117" s="37"/>
      <c r="ZY117" s="37"/>
      <c r="ZZ117" s="37"/>
      <c r="AAA117" s="37"/>
      <c r="AAB117" s="37"/>
      <c r="AAC117" s="37"/>
      <c r="AAD117" s="37"/>
      <c r="AAE117" s="37"/>
      <c r="AAF117" s="37"/>
      <c r="AAG117" s="37"/>
      <c r="AAH117" s="37"/>
      <c r="AAI117" s="37"/>
      <c r="AAJ117" s="37"/>
      <c r="AAK117" s="37"/>
      <c r="AAL117" s="37"/>
      <c r="AAM117" s="37"/>
      <c r="AAN117" s="37"/>
      <c r="AAO117" s="37"/>
      <c r="AAP117" s="37"/>
      <c r="AAQ117" s="37"/>
      <c r="AAR117" s="37"/>
      <c r="AAS117" s="37"/>
      <c r="AAT117" s="37"/>
      <c r="AAU117" s="37"/>
      <c r="AAV117" s="37"/>
      <c r="AAW117" s="37"/>
      <c r="AAX117" s="37"/>
      <c r="AAY117" s="37"/>
      <c r="AAZ117" s="37"/>
      <c r="ABA117" s="37"/>
      <c r="ABB117" s="37"/>
      <c r="ABC117" s="37"/>
      <c r="ABD117" s="37"/>
      <c r="ABE117" s="37"/>
      <c r="ABF117" s="37"/>
      <c r="ABG117" s="37"/>
      <c r="ABH117" s="37"/>
      <c r="ABI117" s="37"/>
      <c r="ABJ117" s="37"/>
      <c r="ABK117" s="37"/>
      <c r="ABL117" s="37"/>
      <c r="ABM117" s="37"/>
      <c r="ABN117" s="37"/>
      <c r="ABO117" s="37"/>
      <c r="ABP117" s="37"/>
      <c r="ABQ117" s="37"/>
      <c r="ABR117" s="37"/>
      <c r="ABS117" s="37"/>
      <c r="ABT117" s="37"/>
      <c r="ABU117" s="37"/>
      <c r="ABV117" s="37"/>
      <c r="ABW117" s="37"/>
      <c r="ABX117" s="37"/>
      <c r="ABY117" s="37"/>
      <c r="ABZ117" s="37"/>
      <c r="ACA117" s="37"/>
      <c r="ACB117" s="37"/>
      <c r="ACC117" s="37"/>
      <c r="ACD117" s="37"/>
      <c r="ACE117" s="37"/>
      <c r="ACF117" s="37"/>
      <c r="ACG117" s="37"/>
      <c r="ACH117" s="37"/>
      <c r="ACI117" s="37"/>
      <c r="ACJ117" s="37"/>
      <c r="ACK117" s="37"/>
      <c r="ACL117" s="37"/>
      <c r="ACM117" s="37"/>
      <c r="ACN117" s="37"/>
      <c r="ACO117" s="37"/>
      <c r="ACP117" s="37"/>
      <c r="ACQ117" s="37"/>
      <c r="ACR117" s="37"/>
      <c r="ACS117" s="37"/>
      <c r="ACT117" s="37"/>
      <c r="ACU117" s="37"/>
      <c r="ACV117" s="37"/>
      <c r="ACW117" s="37"/>
      <c r="ACX117" s="37"/>
      <c r="ACY117" s="37"/>
      <c r="ACZ117" s="37"/>
      <c r="ADA117" s="37"/>
      <c r="ADB117" s="37"/>
      <c r="ADC117" s="37"/>
      <c r="ADD117" s="37"/>
      <c r="ADE117" s="37"/>
      <c r="ADF117" s="37"/>
      <c r="ADG117" s="37"/>
      <c r="ADH117" s="37"/>
      <c r="ADI117" s="37"/>
      <c r="ADJ117" s="37"/>
      <c r="ADK117" s="37"/>
      <c r="ADL117" s="37"/>
      <c r="ADM117" s="37"/>
      <c r="ADN117" s="37"/>
      <c r="ADO117" s="37"/>
      <c r="ADP117" s="37"/>
      <c r="ADQ117" s="37"/>
      <c r="ADR117" s="37"/>
      <c r="ADS117" s="37"/>
      <c r="ADT117" s="37"/>
      <c r="ADU117" s="37"/>
      <c r="ADV117" s="37"/>
      <c r="ADW117" s="37"/>
      <c r="ADX117" s="37"/>
      <c r="ADY117" s="37"/>
      <c r="ADZ117" s="37"/>
      <c r="AEA117" s="37"/>
      <c r="AEB117" s="37"/>
      <c r="AEC117" s="37"/>
      <c r="AED117" s="37"/>
      <c r="AEE117" s="37"/>
      <c r="AEF117" s="37"/>
      <c r="AEG117" s="37"/>
      <c r="AEH117" s="37"/>
      <c r="AEI117" s="37"/>
      <c r="AEJ117" s="37"/>
      <c r="AEK117" s="37"/>
      <c r="AEL117" s="37"/>
      <c r="AEM117" s="37"/>
      <c r="AEN117" s="37"/>
      <c r="AEO117" s="37"/>
      <c r="AEP117" s="37"/>
      <c r="AEQ117" s="37"/>
      <c r="AER117" s="37"/>
      <c r="AES117" s="37"/>
      <c r="AET117" s="37"/>
      <c r="AEU117" s="37"/>
      <c r="AEV117" s="37"/>
      <c r="AEW117" s="37"/>
      <c r="AEX117" s="37"/>
      <c r="AEY117" s="37"/>
      <c r="AEZ117" s="37"/>
      <c r="AFA117" s="37"/>
      <c r="AFB117" s="37"/>
      <c r="AFC117" s="37"/>
      <c r="AFD117" s="37"/>
      <c r="AFE117" s="37"/>
      <c r="AFF117" s="37"/>
      <c r="AFG117" s="37"/>
      <c r="AFH117" s="37"/>
      <c r="AFI117" s="37"/>
      <c r="AFJ117" s="37"/>
      <c r="AFK117" s="37"/>
      <c r="AFL117" s="37"/>
      <c r="AFM117" s="37"/>
      <c r="AFN117" s="37"/>
      <c r="AFO117" s="37"/>
      <c r="AFP117" s="37"/>
      <c r="AFQ117" s="37"/>
      <c r="AFR117" s="37"/>
      <c r="AFS117" s="37"/>
      <c r="AFT117" s="37"/>
      <c r="AFU117" s="37"/>
      <c r="AFV117" s="37"/>
      <c r="AFW117" s="37"/>
      <c r="AFX117" s="37"/>
      <c r="AFY117" s="37"/>
      <c r="AFZ117" s="37"/>
      <c r="AGA117" s="37"/>
      <c r="AGB117" s="37"/>
      <c r="AGC117" s="37"/>
      <c r="AGD117" s="37"/>
      <c r="AGE117" s="37"/>
      <c r="AGF117" s="37"/>
      <c r="AGG117" s="37"/>
      <c r="AGH117" s="37"/>
      <c r="AGI117" s="37"/>
      <c r="AGJ117" s="37"/>
      <c r="AGK117" s="37"/>
      <c r="AGL117" s="37"/>
      <c r="AGM117" s="37"/>
      <c r="AGN117" s="37"/>
      <c r="AGO117" s="37"/>
      <c r="AGP117" s="37"/>
      <c r="AGQ117" s="37"/>
      <c r="AGR117" s="37"/>
      <c r="AGS117" s="37"/>
      <c r="AGT117" s="37"/>
      <c r="AGU117" s="37"/>
      <c r="AGV117" s="37"/>
      <c r="AGW117" s="37"/>
      <c r="AGX117" s="37"/>
      <c r="AGY117" s="37"/>
      <c r="AGZ117" s="37"/>
      <c r="AHA117" s="37"/>
      <c r="AHB117" s="37"/>
      <c r="AHC117" s="37"/>
      <c r="AHD117" s="37"/>
      <c r="AHE117" s="37"/>
      <c r="AHF117" s="37"/>
      <c r="AHG117" s="37"/>
      <c r="AHH117" s="37"/>
      <c r="AHI117" s="37"/>
      <c r="AHJ117" s="37"/>
      <c r="AHK117" s="37"/>
      <c r="AHL117" s="37"/>
      <c r="AHM117" s="37"/>
      <c r="AHN117" s="37"/>
      <c r="AHO117" s="37"/>
      <c r="AHP117" s="37"/>
      <c r="AHQ117" s="37"/>
      <c r="AHR117" s="37"/>
      <c r="AHS117" s="37"/>
      <c r="AHT117" s="37"/>
      <c r="AHU117" s="37"/>
      <c r="AHV117" s="37"/>
      <c r="AHW117" s="37"/>
      <c r="AHX117" s="37"/>
      <c r="AHY117" s="37"/>
      <c r="AHZ117" s="37"/>
      <c r="AIA117" s="37"/>
      <c r="AIB117" s="37"/>
      <c r="AIC117" s="37"/>
      <c r="AID117" s="37"/>
      <c r="AIE117" s="37"/>
      <c r="AIF117" s="37"/>
      <c r="AIG117" s="37"/>
      <c r="AIH117" s="37"/>
      <c r="AII117" s="37"/>
      <c r="AIJ117" s="37"/>
      <c r="AIK117" s="37"/>
      <c r="AIL117" s="37"/>
      <c r="AIM117" s="37"/>
      <c r="AIN117" s="37"/>
      <c r="AIO117" s="37"/>
      <c r="AIP117" s="37"/>
      <c r="AIQ117" s="37"/>
      <c r="AIR117" s="37"/>
      <c r="AIS117" s="37"/>
      <c r="AIT117" s="37"/>
      <c r="AIU117" s="37"/>
      <c r="AIV117" s="37"/>
      <c r="AIW117" s="37"/>
      <c r="AIX117" s="37"/>
      <c r="AIY117" s="37"/>
      <c r="AIZ117" s="37"/>
      <c r="AJA117" s="37"/>
      <c r="AJB117" s="37"/>
      <c r="AJC117" s="37"/>
      <c r="AJD117" s="37"/>
      <c r="AJE117" s="37"/>
      <c r="AJF117" s="37"/>
      <c r="AJG117" s="37"/>
      <c r="AJH117" s="37"/>
      <c r="AJI117" s="37"/>
      <c r="AJJ117" s="37"/>
      <c r="AJK117" s="37"/>
      <c r="AJL117" s="37"/>
      <c r="AJM117" s="37"/>
      <c r="AJN117" s="37"/>
      <c r="AJO117" s="37"/>
      <c r="AJP117" s="37"/>
      <c r="AJQ117" s="37"/>
      <c r="AJR117" s="37"/>
      <c r="AJS117" s="37"/>
      <c r="AJT117" s="37"/>
      <c r="AJU117" s="37"/>
      <c r="AJV117" s="37"/>
      <c r="AJW117" s="37"/>
      <c r="AJX117" s="37"/>
      <c r="AJY117" s="37"/>
      <c r="AJZ117" s="37"/>
      <c r="AKA117" s="37"/>
      <c r="AKB117" s="37"/>
      <c r="AKC117" s="37"/>
      <c r="AKD117" s="37"/>
      <c r="AKE117" s="37"/>
      <c r="AKF117" s="37"/>
      <c r="AKG117" s="37"/>
      <c r="AKH117" s="37"/>
      <c r="AKI117" s="37"/>
      <c r="AKJ117" s="37"/>
      <c r="AKK117" s="37"/>
      <c r="AKL117" s="37"/>
      <c r="AKM117" s="37"/>
      <c r="AKN117" s="37"/>
      <c r="AKO117" s="37"/>
      <c r="AKP117" s="37"/>
      <c r="AKQ117" s="37"/>
      <c r="AKR117" s="37"/>
      <c r="AKS117" s="37"/>
      <c r="AKT117" s="37"/>
      <c r="AKU117" s="37"/>
      <c r="AKV117" s="37"/>
      <c r="AKW117" s="37"/>
      <c r="AKX117" s="37"/>
      <c r="AKY117" s="37"/>
      <c r="AKZ117" s="37"/>
      <c r="ALA117" s="37"/>
      <c r="ALB117" s="37"/>
      <c r="ALC117" s="37"/>
      <c r="ALD117" s="37"/>
      <c r="ALE117" s="37"/>
      <c r="ALF117" s="37"/>
      <c r="ALG117" s="37"/>
      <c r="ALH117" s="37"/>
      <c r="ALI117" s="37"/>
      <c r="ALJ117" s="37"/>
      <c r="ALK117" s="37"/>
      <c r="ALL117" s="37"/>
      <c r="ALM117" s="37"/>
      <c r="ALN117" s="37"/>
      <c r="ALO117" s="37"/>
      <c r="ALP117" s="37"/>
      <c r="ALQ117" s="37"/>
      <c r="ALR117" s="37"/>
      <c r="ALS117" s="37"/>
      <c r="ALT117" s="37"/>
      <c r="ALU117" s="37"/>
      <c r="ALV117" s="37"/>
      <c r="ALW117" s="37"/>
      <c r="ALX117" s="37"/>
      <c r="ALY117" s="37"/>
      <c r="ALZ117" s="37"/>
      <c r="AMA117" s="37"/>
      <c r="AMB117" s="37"/>
      <c r="AMC117" s="37"/>
    </row>
    <row r="118" spans="1:1017" s="38" customFormat="1" ht="19.5" customHeight="1">
      <c r="A118" s="75"/>
      <c r="B118" s="76"/>
      <c r="C118" s="75"/>
      <c r="D118" s="75"/>
      <c r="E118" s="75"/>
      <c r="F118" s="75"/>
      <c r="G118" s="77"/>
      <c r="H118" s="77"/>
      <c r="I118" s="77"/>
      <c r="J118" s="77"/>
      <c r="K118" s="77"/>
      <c r="L118" s="77"/>
      <c r="M118" s="77"/>
      <c r="N118" s="77"/>
      <c r="O118" s="7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/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  <c r="OU118" s="37"/>
      <c r="OV118" s="37"/>
      <c r="OW118" s="37"/>
      <c r="OX118" s="37"/>
      <c r="OY118" s="37"/>
      <c r="OZ118" s="37"/>
      <c r="PA118" s="37"/>
      <c r="PB118" s="37"/>
      <c r="PC118" s="37"/>
      <c r="PD118" s="37"/>
      <c r="PE118" s="37"/>
      <c r="PF118" s="37"/>
      <c r="PG118" s="37"/>
      <c r="PH118" s="37"/>
      <c r="PI118" s="37"/>
      <c r="PJ118" s="37"/>
      <c r="PK118" s="37"/>
      <c r="PL118" s="37"/>
      <c r="PM118" s="37"/>
      <c r="PN118" s="37"/>
      <c r="PO118" s="37"/>
      <c r="PP118" s="37"/>
      <c r="PQ118" s="37"/>
      <c r="PR118" s="37"/>
      <c r="PS118" s="37"/>
      <c r="PT118" s="37"/>
      <c r="PU118" s="37"/>
      <c r="PV118" s="37"/>
      <c r="PW118" s="37"/>
      <c r="PX118" s="37"/>
      <c r="PY118" s="37"/>
      <c r="PZ118" s="37"/>
      <c r="QA118" s="37"/>
      <c r="QB118" s="37"/>
      <c r="QC118" s="37"/>
      <c r="QD118" s="37"/>
      <c r="QE118" s="37"/>
      <c r="QF118" s="37"/>
      <c r="QG118" s="37"/>
      <c r="QH118" s="37"/>
      <c r="QI118" s="37"/>
      <c r="QJ118" s="37"/>
      <c r="QK118" s="37"/>
      <c r="QL118" s="37"/>
      <c r="QM118" s="37"/>
      <c r="QN118" s="37"/>
      <c r="QO118" s="37"/>
      <c r="QP118" s="37"/>
      <c r="QQ118" s="37"/>
      <c r="QR118" s="37"/>
      <c r="QS118" s="37"/>
      <c r="QT118" s="37"/>
      <c r="QU118" s="37"/>
      <c r="QV118" s="37"/>
      <c r="QW118" s="37"/>
      <c r="QX118" s="37"/>
      <c r="QY118" s="37"/>
      <c r="QZ118" s="37"/>
      <c r="RA118" s="37"/>
      <c r="RB118" s="37"/>
      <c r="RC118" s="37"/>
      <c r="RD118" s="37"/>
      <c r="RE118" s="37"/>
      <c r="RF118" s="37"/>
      <c r="RG118" s="37"/>
      <c r="RH118" s="37"/>
      <c r="RI118" s="37"/>
      <c r="RJ118" s="37"/>
      <c r="RK118" s="37"/>
      <c r="RL118" s="37"/>
      <c r="RM118" s="37"/>
      <c r="RN118" s="37"/>
      <c r="RO118" s="37"/>
      <c r="RP118" s="37"/>
      <c r="RQ118" s="37"/>
      <c r="RR118" s="37"/>
      <c r="RS118" s="37"/>
      <c r="RT118" s="37"/>
      <c r="RU118" s="37"/>
      <c r="RV118" s="37"/>
      <c r="RW118" s="37"/>
      <c r="RX118" s="37"/>
      <c r="RY118" s="37"/>
      <c r="RZ118" s="37"/>
      <c r="SA118" s="37"/>
      <c r="SB118" s="37"/>
      <c r="SC118" s="37"/>
      <c r="SD118" s="37"/>
      <c r="SE118" s="37"/>
      <c r="SF118" s="37"/>
      <c r="SG118" s="37"/>
      <c r="SH118" s="37"/>
      <c r="SI118" s="37"/>
      <c r="SJ118" s="37"/>
      <c r="SK118" s="37"/>
      <c r="SL118" s="37"/>
      <c r="SM118" s="37"/>
      <c r="SN118" s="37"/>
      <c r="SO118" s="37"/>
      <c r="SP118" s="37"/>
      <c r="SQ118" s="37"/>
      <c r="SR118" s="37"/>
      <c r="SS118" s="37"/>
      <c r="ST118" s="37"/>
      <c r="SU118" s="37"/>
      <c r="SV118" s="37"/>
      <c r="SW118" s="37"/>
      <c r="SX118" s="37"/>
      <c r="SY118" s="37"/>
      <c r="SZ118" s="37"/>
      <c r="TA118" s="37"/>
      <c r="TB118" s="37"/>
      <c r="TC118" s="37"/>
      <c r="TD118" s="37"/>
      <c r="TE118" s="37"/>
      <c r="TF118" s="37"/>
      <c r="TG118" s="37"/>
      <c r="TH118" s="37"/>
      <c r="TI118" s="37"/>
      <c r="TJ118" s="37"/>
      <c r="TK118" s="37"/>
      <c r="TL118" s="37"/>
      <c r="TM118" s="37"/>
      <c r="TN118" s="37"/>
      <c r="TO118" s="37"/>
      <c r="TP118" s="37"/>
      <c r="TQ118" s="37"/>
      <c r="TR118" s="37"/>
      <c r="TS118" s="37"/>
      <c r="TT118" s="37"/>
      <c r="TU118" s="37"/>
      <c r="TV118" s="37"/>
      <c r="TW118" s="37"/>
      <c r="TX118" s="37"/>
      <c r="TY118" s="37"/>
      <c r="TZ118" s="37"/>
      <c r="UA118" s="37"/>
      <c r="UB118" s="37"/>
      <c r="UC118" s="37"/>
      <c r="UD118" s="37"/>
      <c r="UE118" s="37"/>
      <c r="UF118" s="37"/>
      <c r="UG118" s="37"/>
      <c r="UH118" s="37"/>
      <c r="UI118" s="37"/>
      <c r="UJ118" s="37"/>
      <c r="UK118" s="37"/>
      <c r="UL118" s="37"/>
      <c r="UM118" s="37"/>
      <c r="UN118" s="37"/>
      <c r="UO118" s="37"/>
      <c r="UP118" s="37"/>
      <c r="UQ118" s="37"/>
      <c r="UR118" s="37"/>
      <c r="US118" s="37"/>
      <c r="UT118" s="37"/>
      <c r="UU118" s="37"/>
      <c r="UV118" s="37"/>
      <c r="UW118" s="37"/>
      <c r="UX118" s="37"/>
      <c r="UY118" s="37"/>
      <c r="UZ118" s="37"/>
      <c r="VA118" s="37"/>
      <c r="VB118" s="37"/>
      <c r="VC118" s="37"/>
      <c r="VD118" s="37"/>
      <c r="VE118" s="37"/>
      <c r="VF118" s="37"/>
      <c r="VG118" s="37"/>
      <c r="VH118" s="37"/>
      <c r="VI118" s="37"/>
      <c r="VJ118" s="37"/>
      <c r="VK118" s="37"/>
      <c r="VL118" s="37"/>
      <c r="VM118" s="37"/>
      <c r="VN118" s="37"/>
      <c r="VO118" s="37"/>
      <c r="VP118" s="37"/>
      <c r="VQ118" s="37"/>
      <c r="VR118" s="37"/>
      <c r="VS118" s="37"/>
      <c r="VT118" s="37"/>
      <c r="VU118" s="37"/>
      <c r="VV118" s="37"/>
      <c r="VW118" s="37"/>
      <c r="VX118" s="37"/>
      <c r="VY118" s="37"/>
      <c r="VZ118" s="37"/>
      <c r="WA118" s="37"/>
      <c r="WB118" s="37"/>
      <c r="WC118" s="37"/>
      <c r="WD118" s="37"/>
      <c r="WE118" s="37"/>
      <c r="WF118" s="37"/>
      <c r="WG118" s="37"/>
      <c r="WH118" s="37"/>
      <c r="WI118" s="37"/>
      <c r="WJ118" s="37"/>
      <c r="WK118" s="37"/>
      <c r="WL118" s="37"/>
      <c r="WM118" s="37"/>
      <c r="WN118" s="37"/>
      <c r="WO118" s="37"/>
      <c r="WP118" s="37"/>
      <c r="WQ118" s="37"/>
      <c r="WR118" s="37"/>
      <c r="WS118" s="37"/>
      <c r="WT118" s="37"/>
      <c r="WU118" s="37"/>
      <c r="WV118" s="37"/>
      <c r="WW118" s="37"/>
      <c r="WX118" s="37"/>
      <c r="WY118" s="37"/>
      <c r="WZ118" s="37"/>
      <c r="XA118" s="37"/>
      <c r="XB118" s="37"/>
      <c r="XC118" s="37"/>
      <c r="XD118" s="37"/>
      <c r="XE118" s="37"/>
      <c r="XF118" s="37"/>
      <c r="XG118" s="37"/>
      <c r="XH118" s="37"/>
      <c r="XI118" s="37"/>
      <c r="XJ118" s="37"/>
      <c r="XK118" s="37"/>
      <c r="XL118" s="37"/>
      <c r="XM118" s="37"/>
      <c r="XN118" s="37"/>
      <c r="XO118" s="37"/>
      <c r="XP118" s="37"/>
      <c r="XQ118" s="37"/>
      <c r="XR118" s="37"/>
      <c r="XS118" s="37"/>
      <c r="XT118" s="37"/>
      <c r="XU118" s="37"/>
      <c r="XV118" s="37"/>
      <c r="XW118" s="37"/>
      <c r="XX118" s="37"/>
      <c r="XY118" s="37"/>
      <c r="XZ118" s="37"/>
      <c r="YA118" s="37"/>
      <c r="YB118" s="37"/>
      <c r="YC118" s="37"/>
      <c r="YD118" s="37"/>
      <c r="YE118" s="37"/>
      <c r="YF118" s="37"/>
      <c r="YG118" s="37"/>
      <c r="YH118" s="37"/>
      <c r="YI118" s="37"/>
      <c r="YJ118" s="37"/>
      <c r="YK118" s="37"/>
      <c r="YL118" s="37"/>
      <c r="YM118" s="37"/>
      <c r="YN118" s="37"/>
      <c r="YO118" s="37"/>
      <c r="YP118" s="37"/>
      <c r="YQ118" s="37"/>
      <c r="YR118" s="37"/>
      <c r="YS118" s="37"/>
      <c r="YT118" s="37"/>
      <c r="YU118" s="37"/>
      <c r="YV118" s="37"/>
      <c r="YW118" s="37"/>
      <c r="YX118" s="37"/>
      <c r="YY118" s="37"/>
      <c r="YZ118" s="37"/>
      <c r="ZA118" s="37"/>
      <c r="ZB118" s="37"/>
      <c r="ZC118" s="37"/>
      <c r="ZD118" s="37"/>
      <c r="ZE118" s="37"/>
      <c r="ZF118" s="37"/>
      <c r="ZG118" s="37"/>
      <c r="ZH118" s="37"/>
      <c r="ZI118" s="37"/>
      <c r="ZJ118" s="37"/>
      <c r="ZK118" s="37"/>
      <c r="ZL118" s="37"/>
      <c r="ZM118" s="37"/>
      <c r="ZN118" s="37"/>
      <c r="ZO118" s="37"/>
      <c r="ZP118" s="37"/>
      <c r="ZQ118" s="37"/>
      <c r="ZR118" s="37"/>
      <c r="ZS118" s="37"/>
      <c r="ZT118" s="37"/>
      <c r="ZU118" s="37"/>
      <c r="ZV118" s="37"/>
      <c r="ZW118" s="37"/>
      <c r="ZX118" s="37"/>
      <c r="ZY118" s="37"/>
      <c r="ZZ118" s="37"/>
      <c r="AAA118" s="37"/>
      <c r="AAB118" s="37"/>
      <c r="AAC118" s="37"/>
      <c r="AAD118" s="37"/>
      <c r="AAE118" s="37"/>
      <c r="AAF118" s="37"/>
      <c r="AAG118" s="37"/>
      <c r="AAH118" s="37"/>
      <c r="AAI118" s="37"/>
      <c r="AAJ118" s="37"/>
      <c r="AAK118" s="37"/>
      <c r="AAL118" s="37"/>
      <c r="AAM118" s="37"/>
      <c r="AAN118" s="37"/>
      <c r="AAO118" s="37"/>
      <c r="AAP118" s="37"/>
      <c r="AAQ118" s="37"/>
      <c r="AAR118" s="37"/>
      <c r="AAS118" s="37"/>
      <c r="AAT118" s="37"/>
      <c r="AAU118" s="37"/>
      <c r="AAV118" s="37"/>
      <c r="AAW118" s="37"/>
      <c r="AAX118" s="37"/>
      <c r="AAY118" s="37"/>
      <c r="AAZ118" s="37"/>
      <c r="ABA118" s="37"/>
      <c r="ABB118" s="37"/>
      <c r="ABC118" s="37"/>
      <c r="ABD118" s="37"/>
      <c r="ABE118" s="37"/>
      <c r="ABF118" s="37"/>
      <c r="ABG118" s="37"/>
      <c r="ABH118" s="37"/>
      <c r="ABI118" s="37"/>
      <c r="ABJ118" s="37"/>
      <c r="ABK118" s="37"/>
      <c r="ABL118" s="37"/>
      <c r="ABM118" s="37"/>
      <c r="ABN118" s="37"/>
      <c r="ABO118" s="37"/>
      <c r="ABP118" s="37"/>
      <c r="ABQ118" s="37"/>
      <c r="ABR118" s="37"/>
      <c r="ABS118" s="37"/>
      <c r="ABT118" s="37"/>
      <c r="ABU118" s="37"/>
      <c r="ABV118" s="37"/>
      <c r="ABW118" s="37"/>
      <c r="ABX118" s="37"/>
      <c r="ABY118" s="37"/>
      <c r="ABZ118" s="37"/>
      <c r="ACA118" s="37"/>
      <c r="ACB118" s="37"/>
      <c r="ACC118" s="37"/>
      <c r="ACD118" s="37"/>
      <c r="ACE118" s="37"/>
      <c r="ACF118" s="37"/>
      <c r="ACG118" s="37"/>
      <c r="ACH118" s="37"/>
      <c r="ACI118" s="37"/>
      <c r="ACJ118" s="37"/>
      <c r="ACK118" s="37"/>
      <c r="ACL118" s="37"/>
      <c r="ACM118" s="37"/>
      <c r="ACN118" s="37"/>
      <c r="ACO118" s="37"/>
      <c r="ACP118" s="37"/>
      <c r="ACQ118" s="37"/>
      <c r="ACR118" s="37"/>
      <c r="ACS118" s="37"/>
      <c r="ACT118" s="37"/>
      <c r="ACU118" s="37"/>
      <c r="ACV118" s="37"/>
      <c r="ACW118" s="37"/>
      <c r="ACX118" s="37"/>
      <c r="ACY118" s="37"/>
      <c r="ACZ118" s="37"/>
      <c r="ADA118" s="37"/>
      <c r="ADB118" s="37"/>
      <c r="ADC118" s="37"/>
      <c r="ADD118" s="37"/>
      <c r="ADE118" s="37"/>
      <c r="ADF118" s="37"/>
      <c r="ADG118" s="37"/>
      <c r="ADH118" s="37"/>
      <c r="ADI118" s="37"/>
      <c r="ADJ118" s="37"/>
      <c r="ADK118" s="37"/>
      <c r="ADL118" s="37"/>
      <c r="ADM118" s="37"/>
      <c r="ADN118" s="37"/>
      <c r="ADO118" s="37"/>
      <c r="ADP118" s="37"/>
      <c r="ADQ118" s="37"/>
      <c r="ADR118" s="37"/>
      <c r="ADS118" s="37"/>
      <c r="ADT118" s="37"/>
      <c r="ADU118" s="37"/>
      <c r="ADV118" s="37"/>
      <c r="ADW118" s="37"/>
      <c r="ADX118" s="37"/>
      <c r="ADY118" s="37"/>
      <c r="ADZ118" s="37"/>
      <c r="AEA118" s="37"/>
      <c r="AEB118" s="37"/>
      <c r="AEC118" s="37"/>
      <c r="AED118" s="37"/>
      <c r="AEE118" s="37"/>
      <c r="AEF118" s="37"/>
      <c r="AEG118" s="37"/>
      <c r="AEH118" s="37"/>
      <c r="AEI118" s="37"/>
      <c r="AEJ118" s="37"/>
      <c r="AEK118" s="37"/>
      <c r="AEL118" s="37"/>
      <c r="AEM118" s="37"/>
      <c r="AEN118" s="37"/>
      <c r="AEO118" s="37"/>
      <c r="AEP118" s="37"/>
      <c r="AEQ118" s="37"/>
      <c r="AER118" s="37"/>
      <c r="AES118" s="37"/>
      <c r="AET118" s="37"/>
      <c r="AEU118" s="37"/>
      <c r="AEV118" s="37"/>
      <c r="AEW118" s="37"/>
      <c r="AEX118" s="37"/>
      <c r="AEY118" s="37"/>
      <c r="AEZ118" s="37"/>
      <c r="AFA118" s="37"/>
      <c r="AFB118" s="37"/>
      <c r="AFC118" s="37"/>
      <c r="AFD118" s="37"/>
      <c r="AFE118" s="37"/>
      <c r="AFF118" s="37"/>
      <c r="AFG118" s="37"/>
      <c r="AFH118" s="37"/>
      <c r="AFI118" s="37"/>
      <c r="AFJ118" s="37"/>
      <c r="AFK118" s="37"/>
      <c r="AFL118" s="37"/>
      <c r="AFM118" s="37"/>
      <c r="AFN118" s="37"/>
      <c r="AFO118" s="37"/>
      <c r="AFP118" s="37"/>
      <c r="AFQ118" s="37"/>
      <c r="AFR118" s="37"/>
      <c r="AFS118" s="37"/>
      <c r="AFT118" s="37"/>
      <c r="AFU118" s="37"/>
      <c r="AFV118" s="37"/>
      <c r="AFW118" s="37"/>
      <c r="AFX118" s="37"/>
      <c r="AFY118" s="37"/>
      <c r="AFZ118" s="37"/>
      <c r="AGA118" s="37"/>
      <c r="AGB118" s="37"/>
      <c r="AGC118" s="37"/>
      <c r="AGD118" s="37"/>
      <c r="AGE118" s="37"/>
      <c r="AGF118" s="37"/>
      <c r="AGG118" s="37"/>
      <c r="AGH118" s="37"/>
      <c r="AGI118" s="37"/>
      <c r="AGJ118" s="37"/>
      <c r="AGK118" s="37"/>
      <c r="AGL118" s="37"/>
      <c r="AGM118" s="37"/>
      <c r="AGN118" s="37"/>
      <c r="AGO118" s="37"/>
      <c r="AGP118" s="37"/>
      <c r="AGQ118" s="37"/>
      <c r="AGR118" s="37"/>
      <c r="AGS118" s="37"/>
      <c r="AGT118" s="37"/>
      <c r="AGU118" s="37"/>
      <c r="AGV118" s="37"/>
      <c r="AGW118" s="37"/>
      <c r="AGX118" s="37"/>
      <c r="AGY118" s="37"/>
      <c r="AGZ118" s="37"/>
      <c r="AHA118" s="37"/>
      <c r="AHB118" s="37"/>
      <c r="AHC118" s="37"/>
      <c r="AHD118" s="37"/>
      <c r="AHE118" s="37"/>
      <c r="AHF118" s="37"/>
      <c r="AHG118" s="37"/>
      <c r="AHH118" s="37"/>
      <c r="AHI118" s="37"/>
      <c r="AHJ118" s="37"/>
      <c r="AHK118" s="37"/>
      <c r="AHL118" s="37"/>
      <c r="AHM118" s="37"/>
      <c r="AHN118" s="37"/>
      <c r="AHO118" s="37"/>
      <c r="AHP118" s="37"/>
      <c r="AHQ118" s="37"/>
      <c r="AHR118" s="37"/>
      <c r="AHS118" s="37"/>
      <c r="AHT118" s="37"/>
      <c r="AHU118" s="37"/>
      <c r="AHV118" s="37"/>
      <c r="AHW118" s="37"/>
      <c r="AHX118" s="37"/>
      <c r="AHY118" s="37"/>
      <c r="AHZ118" s="37"/>
      <c r="AIA118" s="37"/>
      <c r="AIB118" s="37"/>
      <c r="AIC118" s="37"/>
      <c r="AID118" s="37"/>
      <c r="AIE118" s="37"/>
      <c r="AIF118" s="37"/>
      <c r="AIG118" s="37"/>
      <c r="AIH118" s="37"/>
      <c r="AII118" s="37"/>
      <c r="AIJ118" s="37"/>
      <c r="AIK118" s="37"/>
      <c r="AIL118" s="37"/>
      <c r="AIM118" s="37"/>
      <c r="AIN118" s="37"/>
      <c r="AIO118" s="37"/>
      <c r="AIP118" s="37"/>
      <c r="AIQ118" s="37"/>
      <c r="AIR118" s="37"/>
      <c r="AIS118" s="37"/>
      <c r="AIT118" s="37"/>
      <c r="AIU118" s="37"/>
      <c r="AIV118" s="37"/>
      <c r="AIW118" s="37"/>
      <c r="AIX118" s="37"/>
      <c r="AIY118" s="37"/>
      <c r="AIZ118" s="37"/>
      <c r="AJA118" s="37"/>
      <c r="AJB118" s="37"/>
      <c r="AJC118" s="37"/>
      <c r="AJD118" s="37"/>
      <c r="AJE118" s="37"/>
      <c r="AJF118" s="37"/>
      <c r="AJG118" s="37"/>
      <c r="AJH118" s="37"/>
      <c r="AJI118" s="37"/>
      <c r="AJJ118" s="37"/>
      <c r="AJK118" s="37"/>
      <c r="AJL118" s="37"/>
      <c r="AJM118" s="37"/>
      <c r="AJN118" s="37"/>
      <c r="AJO118" s="37"/>
      <c r="AJP118" s="37"/>
      <c r="AJQ118" s="37"/>
      <c r="AJR118" s="37"/>
      <c r="AJS118" s="37"/>
      <c r="AJT118" s="37"/>
      <c r="AJU118" s="37"/>
      <c r="AJV118" s="37"/>
      <c r="AJW118" s="37"/>
      <c r="AJX118" s="37"/>
      <c r="AJY118" s="37"/>
      <c r="AJZ118" s="37"/>
      <c r="AKA118" s="37"/>
      <c r="AKB118" s="37"/>
      <c r="AKC118" s="37"/>
      <c r="AKD118" s="37"/>
      <c r="AKE118" s="37"/>
      <c r="AKF118" s="37"/>
      <c r="AKG118" s="37"/>
      <c r="AKH118" s="37"/>
      <c r="AKI118" s="37"/>
      <c r="AKJ118" s="37"/>
      <c r="AKK118" s="37"/>
      <c r="AKL118" s="37"/>
      <c r="AKM118" s="37"/>
      <c r="AKN118" s="37"/>
      <c r="AKO118" s="37"/>
      <c r="AKP118" s="37"/>
      <c r="AKQ118" s="37"/>
      <c r="AKR118" s="37"/>
      <c r="AKS118" s="37"/>
      <c r="AKT118" s="37"/>
      <c r="AKU118" s="37"/>
      <c r="AKV118" s="37"/>
      <c r="AKW118" s="37"/>
      <c r="AKX118" s="37"/>
      <c r="AKY118" s="37"/>
      <c r="AKZ118" s="37"/>
      <c r="ALA118" s="37"/>
      <c r="ALB118" s="37"/>
      <c r="ALC118" s="37"/>
      <c r="ALD118" s="37"/>
      <c r="ALE118" s="37"/>
      <c r="ALF118" s="37"/>
      <c r="ALG118" s="37"/>
      <c r="ALH118" s="37"/>
      <c r="ALI118" s="37"/>
      <c r="ALJ118" s="37"/>
      <c r="ALK118" s="37"/>
      <c r="ALL118" s="37"/>
      <c r="ALM118" s="37"/>
      <c r="ALN118" s="37"/>
      <c r="ALO118" s="37"/>
      <c r="ALP118" s="37"/>
      <c r="ALQ118" s="37"/>
      <c r="ALR118" s="37"/>
      <c r="ALS118" s="37"/>
      <c r="ALT118" s="37"/>
      <c r="ALU118" s="37"/>
      <c r="ALV118" s="37"/>
      <c r="ALW118" s="37"/>
      <c r="ALX118" s="37"/>
      <c r="ALY118" s="37"/>
      <c r="ALZ118" s="37"/>
      <c r="AMA118" s="37"/>
      <c r="AMB118" s="37"/>
      <c r="AMC118" s="37"/>
    </row>
    <row r="119" spans="1:1017" s="38" customFormat="1" ht="19.5" customHeight="1">
      <c r="A119" s="26" t="s">
        <v>71</v>
      </c>
      <c r="B119" s="25" t="s">
        <v>54</v>
      </c>
      <c r="C119" s="26" t="s">
        <v>55</v>
      </c>
      <c r="D119" s="26" t="s">
        <v>32</v>
      </c>
      <c r="E119" s="26" t="s">
        <v>261</v>
      </c>
      <c r="F119" s="26">
        <v>41</v>
      </c>
      <c r="G119" s="26" t="s">
        <v>33</v>
      </c>
      <c r="H119" s="26">
        <v>57</v>
      </c>
      <c r="I119" s="36">
        <v>46</v>
      </c>
      <c r="J119" s="36">
        <v>26</v>
      </c>
      <c r="K119" s="36">
        <v>20</v>
      </c>
      <c r="L119" s="36">
        <v>32</v>
      </c>
      <c r="M119" s="36">
        <v>31</v>
      </c>
      <c r="N119" s="36">
        <v>33</v>
      </c>
      <c r="O119" s="36">
        <v>74</v>
      </c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  <c r="OU119" s="37"/>
      <c r="OV119" s="37"/>
      <c r="OW119" s="37"/>
      <c r="OX119" s="37"/>
      <c r="OY119" s="37"/>
      <c r="OZ119" s="37"/>
      <c r="PA119" s="37"/>
      <c r="PB119" s="37"/>
      <c r="PC119" s="37"/>
      <c r="PD119" s="37"/>
      <c r="PE119" s="37"/>
      <c r="PF119" s="37"/>
      <c r="PG119" s="37"/>
      <c r="PH119" s="37"/>
      <c r="PI119" s="37"/>
      <c r="PJ119" s="37"/>
      <c r="PK119" s="37"/>
      <c r="PL119" s="37"/>
      <c r="PM119" s="37"/>
      <c r="PN119" s="37"/>
      <c r="PO119" s="37"/>
      <c r="PP119" s="37"/>
      <c r="PQ119" s="37"/>
      <c r="PR119" s="37"/>
      <c r="PS119" s="37"/>
      <c r="PT119" s="37"/>
      <c r="PU119" s="37"/>
      <c r="PV119" s="37"/>
      <c r="PW119" s="37"/>
      <c r="PX119" s="37"/>
      <c r="PY119" s="37"/>
      <c r="PZ119" s="37"/>
      <c r="QA119" s="37"/>
      <c r="QB119" s="37"/>
      <c r="QC119" s="37"/>
      <c r="QD119" s="37"/>
      <c r="QE119" s="37"/>
      <c r="QF119" s="37"/>
      <c r="QG119" s="37"/>
      <c r="QH119" s="37"/>
      <c r="QI119" s="37"/>
      <c r="QJ119" s="37"/>
      <c r="QK119" s="37"/>
      <c r="QL119" s="37"/>
      <c r="QM119" s="37"/>
      <c r="QN119" s="37"/>
      <c r="QO119" s="37"/>
      <c r="QP119" s="37"/>
      <c r="QQ119" s="37"/>
      <c r="QR119" s="37"/>
      <c r="QS119" s="37"/>
      <c r="QT119" s="37"/>
      <c r="QU119" s="37"/>
      <c r="QV119" s="37"/>
      <c r="QW119" s="37"/>
      <c r="QX119" s="37"/>
      <c r="QY119" s="37"/>
      <c r="QZ119" s="37"/>
      <c r="RA119" s="37"/>
      <c r="RB119" s="37"/>
      <c r="RC119" s="37"/>
      <c r="RD119" s="37"/>
      <c r="RE119" s="37"/>
      <c r="RF119" s="37"/>
      <c r="RG119" s="37"/>
      <c r="RH119" s="37"/>
      <c r="RI119" s="37"/>
      <c r="RJ119" s="37"/>
      <c r="RK119" s="37"/>
      <c r="RL119" s="37"/>
      <c r="RM119" s="37"/>
      <c r="RN119" s="37"/>
      <c r="RO119" s="37"/>
      <c r="RP119" s="37"/>
      <c r="RQ119" s="37"/>
      <c r="RR119" s="37"/>
      <c r="RS119" s="37"/>
      <c r="RT119" s="37"/>
      <c r="RU119" s="37"/>
      <c r="RV119" s="37"/>
      <c r="RW119" s="37"/>
      <c r="RX119" s="37"/>
      <c r="RY119" s="37"/>
      <c r="RZ119" s="37"/>
      <c r="SA119" s="37"/>
      <c r="SB119" s="37"/>
      <c r="SC119" s="37"/>
      <c r="SD119" s="37"/>
      <c r="SE119" s="37"/>
      <c r="SF119" s="37"/>
      <c r="SG119" s="37"/>
      <c r="SH119" s="37"/>
      <c r="SI119" s="37"/>
      <c r="SJ119" s="37"/>
      <c r="SK119" s="37"/>
      <c r="SL119" s="37"/>
      <c r="SM119" s="37"/>
      <c r="SN119" s="37"/>
      <c r="SO119" s="37"/>
      <c r="SP119" s="37"/>
      <c r="SQ119" s="37"/>
      <c r="SR119" s="37"/>
      <c r="SS119" s="37"/>
      <c r="ST119" s="37"/>
      <c r="SU119" s="37"/>
      <c r="SV119" s="37"/>
      <c r="SW119" s="37"/>
      <c r="SX119" s="37"/>
      <c r="SY119" s="37"/>
      <c r="SZ119" s="37"/>
      <c r="TA119" s="37"/>
      <c r="TB119" s="37"/>
      <c r="TC119" s="37"/>
      <c r="TD119" s="37"/>
      <c r="TE119" s="37"/>
      <c r="TF119" s="37"/>
      <c r="TG119" s="37"/>
      <c r="TH119" s="37"/>
      <c r="TI119" s="37"/>
      <c r="TJ119" s="37"/>
      <c r="TK119" s="37"/>
      <c r="TL119" s="37"/>
      <c r="TM119" s="37"/>
      <c r="TN119" s="37"/>
      <c r="TO119" s="37"/>
      <c r="TP119" s="37"/>
      <c r="TQ119" s="37"/>
      <c r="TR119" s="37"/>
      <c r="TS119" s="37"/>
      <c r="TT119" s="37"/>
      <c r="TU119" s="37"/>
      <c r="TV119" s="37"/>
      <c r="TW119" s="37"/>
      <c r="TX119" s="37"/>
      <c r="TY119" s="37"/>
      <c r="TZ119" s="37"/>
      <c r="UA119" s="37"/>
      <c r="UB119" s="37"/>
      <c r="UC119" s="37"/>
      <c r="UD119" s="37"/>
      <c r="UE119" s="37"/>
      <c r="UF119" s="37"/>
      <c r="UG119" s="37"/>
      <c r="UH119" s="37"/>
      <c r="UI119" s="37"/>
      <c r="UJ119" s="37"/>
      <c r="UK119" s="37"/>
      <c r="UL119" s="37"/>
      <c r="UM119" s="37"/>
      <c r="UN119" s="37"/>
      <c r="UO119" s="37"/>
      <c r="UP119" s="37"/>
      <c r="UQ119" s="37"/>
      <c r="UR119" s="37"/>
      <c r="US119" s="37"/>
      <c r="UT119" s="37"/>
      <c r="UU119" s="37"/>
      <c r="UV119" s="37"/>
      <c r="UW119" s="37"/>
      <c r="UX119" s="37"/>
      <c r="UY119" s="37"/>
      <c r="UZ119" s="37"/>
      <c r="VA119" s="37"/>
      <c r="VB119" s="37"/>
      <c r="VC119" s="37"/>
      <c r="VD119" s="37"/>
      <c r="VE119" s="37"/>
      <c r="VF119" s="37"/>
      <c r="VG119" s="37"/>
      <c r="VH119" s="37"/>
      <c r="VI119" s="37"/>
      <c r="VJ119" s="37"/>
      <c r="VK119" s="37"/>
      <c r="VL119" s="37"/>
      <c r="VM119" s="37"/>
      <c r="VN119" s="37"/>
      <c r="VO119" s="37"/>
      <c r="VP119" s="37"/>
      <c r="VQ119" s="37"/>
      <c r="VR119" s="37"/>
      <c r="VS119" s="37"/>
      <c r="VT119" s="37"/>
      <c r="VU119" s="37"/>
      <c r="VV119" s="37"/>
      <c r="VW119" s="37"/>
      <c r="VX119" s="37"/>
      <c r="VY119" s="37"/>
      <c r="VZ119" s="37"/>
      <c r="WA119" s="37"/>
      <c r="WB119" s="37"/>
      <c r="WC119" s="37"/>
      <c r="WD119" s="37"/>
      <c r="WE119" s="37"/>
      <c r="WF119" s="37"/>
      <c r="WG119" s="37"/>
      <c r="WH119" s="37"/>
      <c r="WI119" s="37"/>
      <c r="WJ119" s="37"/>
      <c r="WK119" s="37"/>
      <c r="WL119" s="37"/>
      <c r="WM119" s="37"/>
      <c r="WN119" s="37"/>
      <c r="WO119" s="37"/>
      <c r="WP119" s="37"/>
      <c r="WQ119" s="37"/>
      <c r="WR119" s="37"/>
      <c r="WS119" s="37"/>
      <c r="WT119" s="37"/>
      <c r="WU119" s="37"/>
      <c r="WV119" s="37"/>
      <c r="WW119" s="37"/>
      <c r="WX119" s="37"/>
      <c r="WY119" s="37"/>
      <c r="WZ119" s="37"/>
      <c r="XA119" s="37"/>
      <c r="XB119" s="37"/>
      <c r="XC119" s="37"/>
      <c r="XD119" s="37"/>
      <c r="XE119" s="37"/>
      <c r="XF119" s="37"/>
      <c r="XG119" s="37"/>
      <c r="XH119" s="37"/>
      <c r="XI119" s="37"/>
      <c r="XJ119" s="37"/>
      <c r="XK119" s="37"/>
      <c r="XL119" s="37"/>
      <c r="XM119" s="37"/>
      <c r="XN119" s="37"/>
      <c r="XO119" s="37"/>
      <c r="XP119" s="37"/>
      <c r="XQ119" s="37"/>
      <c r="XR119" s="37"/>
      <c r="XS119" s="37"/>
      <c r="XT119" s="37"/>
      <c r="XU119" s="37"/>
      <c r="XV119" s="37"/>
      <c r="XW119" s="37"/>
      <c r="XX119" s="37"/>
      <c r="XY119" s="37"/>
      <c r="XZ119" s="37"/>
      <c r="YA119" s="37"/>
      <c r="YB119" s="37"/>
      <c r="YC119" s="37"/>
      <c r="YD119" s="37"/>
      <c r="YE119" s="37"/>
      <c r="YF119" s="37"/>
      <c r="YG119" s="37"/>
      <c r="YH119" s="37"/>
      <c r="YI119" s="37"/>
      <c r="YJ119" s="37"/>
      <c r="YK119" s="37"/>
      <c r="YL119" s="37"/>
      <c r="YM119" s="37"/>
      <c r="YN119" s="37"/>
      <c r="YO119" s="37"/>
      <c r="YP119" s="37"/>
      <c r="YQ119" s="37"/>
      <c r="YR119" s="37"/>
      <c r="YS119" s="37"/>
      <c r="YT119" s="37"/>
      <c r="YU119" s="37"/>
      <c r="YV119" s="37"/>
      <c r="YW119" s="37"/>
      <c r="YX119" s="37"/>
      <c r="YY119" s="37"/>
      <c r="YZ119" s="37"/>
      <c r="ZA119" s="37"/>
      <c r="ZB119" s="37"/>
      <c r="ZC119" s="37"/>
      <c r="ZD119" s="37"/>
      <c r="ZE119" s="37"/>
      <c r="ZF119" s="37"/>
      <c r="ZG119" s="37"/>
      <c r="ZH119" s="37"/>
      <c r="ZI119" s="37"/>
      <c r="ZJ119" s="37"/>
      <c r="ZK119" s="37"/>
      <c r="ZL119" s="37"/>
      <c r="ZM119" s="37"/>
      <c r="ZN119" s="37"/>
      <c r="ZO119" s="37"/>
      <c r="ZP119" s="37"/>
      <c r="ZQ119" s="37"/>
      <c r="ZR119" s="37"/>
      <c r="ZS119" s="37"/>
      <c r="ZT119" s="37"/>
      <c r="ZU119" s="37"/>
      <c r="ZV119" s="37"/>
      <c r="ZW119" s="37"/>
      <c r="ZX119" s="37"/>
      <c r="ZY119" s="37"/>
      <c r="ZZ119" s="37"/>
      <c r="AAA119" s="37"/>
      <c r="AAB119" s="37"/>
      <c r="AAC119" s="37"/>
      <c r="AAD119" s="37"/>
      <c r="AAE119" s="37"/>
      <c r="AAF119" s="37"/>
      <c r="AAG119" s="37"/>
      <c r="AAH119" s="37"/>
      <c r="AAI119" s="37"/>
      <c r="AAJ119" s="37"/>
      <c r="AAK119" s="37"/>
      <c r="AAL119" s="37"/>
      <c r="AAM119" s="37"/>
      <c r="AAN119" s="37"/>
      <c r="AAO119" s="37"/>
      <c r="AAP119" s="37"/>
      <c r="AAQ119" s="37"/>
      <c r="AAR119" s="37"/>
      <c r="AAS119" s="37"/>
      <c r="AAT119" s="37"/>
      <c r="AAU119" s="37"/>
      <c r="AAV119" s="37"/>
      <c r="AAW119" s="37"/>
      <c r="AAX119" s="37"/>
      <c r="AAY119" s="37"/>
      <c r="AAZ119" s="37"/>
      <c r="ABA119" s="37"/>
      <c r="ABB119" s="37"/>
      <c r="ABC119" s="37"/>
      <c r="ABD119" s="37"/>
      <c r="ABE119" s="37"/>
      <c r="ABF119" s="37"/>
      <c r="ABG119" s="37"/>
      <c r="ABH119" s="37"/>
      <c r="ABI119" s="37"/>
      <c r="ABJ119" s="37"/>
      <c r="ABK119" s="37"/>
      <c r="ABL119" s="37"/>
      <c r="ABM119" s="37"/>
      <c r="ABN119" s="37"/>
      <c r="ABO119" s="37"/>
      <c r="ABP119" s="37"/>
      <c r="ABQ119" s="37"/>
      <c r="ABR119" s="37"/>
      <c r="ABS119" s="37"/>
      <c r="ABT119" s="37"/>
      <c r="ABU119" s="37"/>
      <c r="ABV119" s="37"/>
      <c r="ABW119" s="37"/>
      <c r="ABX119" s="37"/>
      <c r="ABY119" s="37"/>
      <c r="ABZ119" s="37"/>
      <c r="ACA119" s="37"/>
      <c r="ACB119" s="37"/>
      <c r="ACC119" s="37"/>
      <c r="ACD119" s="37"/>
      <c r="ACE119" s="37"/>
      <c r="ACF119" s="37"/>
      <c r="ACG119" s="37"/>
      <c r="ACH119" s="37"/>
      <c r="ACI119" s="37"/>
      <c r="ACJ119" s="37"/>
      <c r="ACK119" s="37"/>
      <c r="ACL119" s="37"/>
      <c r="ACM119" s="37"/>
      <c r="ACN119" s="37"/>
      <c r="ACO119" s="37"/>
      <c r="ACP119" s="37"/>
      <c r="ACQ119" s="37"/>
      <c r="ACR119" s="37"/>
      <c r="ACS119" s="37"/>
      <c r="ACT119" s="37"/>
      <c r="ACU119" s="37"/>
      <c r="ACV119" s="37"/>
      <c r="ACW119" s="37"/>
      <c r="ACX119" s="37"/>
      <c r="ACY119" s="37"/>
      <c r="ACZ119" s="37"/>
      <c r="ADA119" s="37"/>
      <c r="ADB119" s="37"/>
      <c r="ADC119" s="37"/>
      <c r="ADD119" s="37"/>
      <c r="ADE119" s="37"/>
      <c r="ADF119" s="37"/>
      <c r="ADG119" s="37"/>
      <c r="ADH119" s="37"/>
      <c r="ADI119" s="37"/>
      <c r="ADJ119" s="37"/>
      <c r="ADK119" s="37"/>
      <c r="ADL119" s="37"/>
      <c r="ADM119" s="37"/>
      <c r="ADN119" s="37"/>
      <c r="ADO119" s="37"/>
      <c r="ADP119" s="37"/>
      <c r="ADQ119" s="37"/>
      <c r="ADR119" s="37"/>
      <c r="ADS119" s="37"/>
      <c r="ADT119" s="37"/>
      <c r="ADU119" s="37"/>
      <c r="ADV119" s="37"/>
      <c r="ADW119" s="37"/>
      <c r="ADX119" s="37"/>
      <c r="ADY119" s="37"/>
      <c r="ADZ119" s="37"/>
      <c r="AEA119" s="37"/>
      <c r="AEB119" s="37"/>
      <c r="AEC119" s="37"/>
      <c r="AED119" s="37"/>
      <c r="AEE119" s="37"/>
      <c r="AEF119" s="37"/>
      <c r="AEG119" s="37"/>
      <c r="AEH119" s="37"/>
      <c r="AEI119" s="37"/>
      <c r="AEJ119" s="37"/>
      <c r="AEK119" s="37"/>
      <c r="AEL119" s="37"/>
      <c r="AEM119" s="37"/>
      <c r="AEN119" s="37"/>
      <c r="AEO119" s="37"/>
      <c r="AEP119" s="37"/>
      <c r="AEQ119" s="37"/>
      <c r="AER119" s="37"/>
      <c r="AES119" s="37"/>
      <c r="AET119" s="37"/>
      <c r="AEU119" s="37"/>
      <c r="AEV119" s="37"/>
      <c r="AEW119" s="37"/>
      <c r="AEX119" s="37"/>
      <c r="AEY119" s="37"/>
      <c r="AEZ119" s="37"/>
      <c r="AFA119" s="37"/>
      <c r="AFB119" s="37"/>
      <c r="AFC119" s="37"/>
      <c r="AFD119" s="37"/>
      <c r="AFE119" s="37"/>
      <c r="AFF119" s="37"/>
      <c r="AFG119" s="37"/>
      <c r="AFH119" s="37"/>
      <c r="AFI119" s="37"/>
      <c r="AFJ119" s="37"/>
      <c r="AFK119" s="37"/>
      <c r="AFL119" s="37"/>
      <c r="AFM119" s="37"/>
      <c r="AFN119" s="37"/>
      <c r="AFO119" s="37"/>
      <c r="AFP119" s="37"/>
      <c r="AFQ119" s="37"/>
      <c r="AFR119" s="37"/>
      <c r="AFS119" s="37"/>
      <c r="AFT119" s="37"/>
      <c r="AFU119" s="37"/>
      <c r="AFV119" s="37"/>
      <c r="AFW119" s="37"/>
      <c r="AFX119" s="37"/>
      <c r="AFY119" s="37"/>
      <c r="AFZ119" s="37"/>
      <c r="AGA119" s="37"/>
      <c r="AGB119" s="37"/>
      <c r="AGC119" s="37"/>
      <c r="AGD119" s="37"/>
      <c r="AGE119" s="37"/>
      <c r="AGF119" s="37"/>
      <c r="AGG119" s="37"/>
      <c r="AGH119" s="37"/>
      <c r="AGI119" s="37"/>
      <c r="AGJ119" s="37"/>
      <c r="AGK119" s="37"/>
      <c r="AGL119" s="37"/>
      <c r="AGM119" s="37"/>
      <c r="AGN119" s="37"/>
      <c r="AGO119" s="37"/>
      <c r="AGP119" s="37"/>
      <c r="AGQ119" s="37"/>
      <c r="AGR119" s="37"/>
      <c r="AGS119" s="37"/>
      <c r="AGT119" s="37"/>
      <c r="AGU119" s="37"/>
      <c r="AGV119" s="37"/>
      <c r="AGW119" s="37"/>
      <c r="AGX119" s="37"/>
      <c r="AGY119" s="37"/>
      <c r="AGZ119" s="37"/>
      <c r="AHA119" s="37"/>
      <c r="AHB119" s="37"/>
      <c r="AHC119" s="37"/>
      <c r="AHD119" s="37"/>
      <c r="AHE119" s="37"/>
      <c r="AHF119" s="37"/>
      <c r="AHG119" s="37"/>
      <c r="AHH119" s="37"/>
      <c r="AHI119" s="37"/>
      <c r="AHJ119" s="37"/>
      <c r="AHK119" s="37"/>
      <c r="AHL119" s="37"/>
      <c r="AHM119" s="37"/>
      <c r="AHN119" s="37"/>
      <c r="AHO119" s="37"/>
      <c r="AHP119" s="37"/>
      <c r="AHQ119" s="37"/>
      <c r="AHR119" s="37"/>
      <c r="AHS119" s="37"/>
      <c r="AHT119" s="37"/>
      <c r="AHU119" s="37"/>
      <c r="AHV119" s="37"/>
      <c r="AHW119" s="37"/>
      <c r="AHX119" s="37"/>
      <c r="AHY119" s="37"/>
      <c r="AHZ119" s="37"/>
      <c r="AIA119" s="37"/>
      <c r="AIB119" s="37"/>
      <c r="AIC119" s="37"/>
      <c r="AID119" s="37"/>
      <c r="AIE119" s="37"/>
      <c r="AIF119" s="37"/>
      <c r="AIG119" s="37"/>
      <c r="AIH119" s="37"/>
      <c r="AII119" s="37"/>
      <c r="AIJ119" s="37"/>
      <c r="AIK119" s="37"/>
      <c r="AIL119" s="37"/>
      <c r="AIM119" s="37"/>
      <c r="AIN119" s="37"/>
      <c r="AIO119" s="37"/>
      <c r="AIP119" s="37"/>
      <c r="AIQ119" s="37"/>
      <c r="AIR119" s="37"/>
      <c r="AIS119" s="37"/>
      <c r="AIT119" s="37"/>
      <c r="AIU119" s="37"/>
      <c r="AIV119" s="37"/>
      <c r="AIW119" s="37"/>
      <c r="AIX119" s="37"/>
      <c r="AIY119" s="37"/>
      <c r="AIZ119" s="37"/>
      <c r="AJA119" s="37"/>
      <c r="AJB119" s="37"/>
      <c r="AJC119" s="37"/>
      <c r="AJD119" s="37"/>
      <c r="AJE119" s="37"/>
      <c r="AJF119" s="37"/>
      <c r="AJG119" s="37"/>
      <c r="AJH119" s="37"/>
      <c r="AJI119" s="37"/>
      <c r="AJJ119" s="37"/>
      <c r="AJK119" s="37"/>
      <c r="AJL119" s="37"/>
      <c r="AJM119" s="37"/>
      <c r="AJN119" s="37"/>
      <c r="AJO119" s="37"/>
      <c r="AJP119" s="37"/>
      <c r="AJQ119" s="37"/>
      <c r="AJR119" s="37"/>
      <c r="AJS119" s="37"/>
      <c r="AJT119" s="37"/>
      <c r="AJU119" s="37"/>
      <c r="AJV119" s="37"/>
      <c r="AJW119" s="37"/>
      <c r="AJX119" s="37"/>
      <c r="AJY119" s="37"/>
      <c r="AJZ119" s="37"/>
      <c r="AKA119" s="37"/>
      <c r="AKB119" s="37"/>
      <c r="AKC119" s="37"/>
      <c r="AKD119" s="37"/>
      <c r="AKE119" s="37"/>
      <c r="AKF119" s="37"/>
      <c r="AKG119" s="37"/>
      <c r="AKH119" s="37"/>
      <c r="AKI119" s="37"/>
      <c r="AKJ119" s="37"/>
      <c r="AKK119" s="37"/>
      <c r="AKL119" s="37"/>
      <c r="AKM119" s="37"/>
      <c r="AKN119" s="37"/>
      <c r="AKO119" s="37"/>
      <c r="AKP119" s="37"/>
      <c r="AKQ119" s="37"/>
      <c r="AKR119" s="37"/>
      <c r="AKS119" s="37"/>
      <c r="AKT119" s="37"/>
      <c r="AKU119" s="37"/>
      <c r="AKV119" s="37"/>
      <c r="AKW119" s="37"/>
      <c r="AKX119" s="37"/>
      <c r="AKY119" s="37"/>
      <c r="AKZ119" s="37"/>
      <c r="ALA119" s="37"/>
      <c r="ALB119" s="37"/>
      <c r="ALC119" s="37"/>
      <c r="ALD119" s="37"/>
      <c r="ALE119" s="37"/>
      <c r="ALF119" s="37"/>
      <c r="ALG119" s="37"/>
      <c r="ALH119" s="37"/>
      <c r="ALI119" s="37"/>
      <c r="ALJ119" s="37"/>
      <c r="ALK119" s="37"/>
      <c r="ALL119" s="37"/>
      <c r="ALM119" s="37"/>
      <c r="ALN119" s="37"/>
      <c r="ALO119" s="37"/>
      <c r="ALP119" s="37"/>
      <c r="ALQ119" s="37"/>
      <c r="ALR119" s="37"/>
      <c r="ALS119" s="37"/>
      <c r="ALT119" s="37"/>
      <c r="ALU119" s="37"/>
      <c r="ALV119" s="37"/>
      <c r="ALW119" s="37"/>
      <c r="ALX119" s="37"/>
      <c r="ALY119" s="37"/>
      <c r="ALZ119" s="37"/>
      <c r="AMA119" s="37"/>
      <c r="AMB119" s="37"/>
      <c r="AMC119" s="37"/>
    </row>
    <row r="120" spans="1:1017" ht="19.5" customHeight="1">
      <c r="A120" s="72"/>
      <c r="B120" s="73"/>
      <c r="C120" s="72"/>
      <c r="D120" s="72"/>
      <c r="E120" s="72"/>
      <c r="F120" s="72"/>
      <c r="G120" s="35">
        <v>42</v>
      </c>
      <c r="H120" s="35">
        <v>105</v>
      </c>
      <c r="I120" s="35">
        <v>121</v>
      </c>
      <c r="J120" s="35">
        <v>72</v>
      </c>
      <c r="K120" s="35">
        <v>39</v>
      </c>
      <c r="L120" s="35">
        <v>28</v>
      </c>
      <c r="M120" s="35">
        <v>22</v>
      </c>
      <c r="N120" s="35">
        <v>97</v>
      </c>
      <c r="O120" s="74"/>
    </row>
    <row r="121" spans="1:1017" ht="19.5" customHeight="1">
      <c r="A121" s="75"/>
      <c r="B121" s="76"/>
      <c r="C121" s="75"/>
      <c r="D121" s="75"/>
      <c r="E121" s="75"/>
      <c r="F121" s="75"/>
      <c r="G121" s="77">
        <v>50</v>
      </c>
      <c r="H121" s="77">
        <v>59</v>
      </c>
      <c r="I121" s="77">
        <v>21</v>
      </c>
      <c r="J121" s="77">
        <v>16</v>
      </c>
      <c r="K121" s="77">
        <v>120</v>
      </c>
      <c r="L121" s="77">
        <v>115</v>
      </c>
      <c r="M121" s="77">
        <v>125</v>
      </c>
      <c r="N121" s="77"/>
      <c r="O121" s="77"/>
    </row>
    <row r="122" spans="1:1017" ht="19.5" customHeight="1">
      <c r="A122" s="26" t="s">
        <v>72</v>
      </c>
      <c r="B122" s="25" t="s">
        <v>56</v>
      </c>
      <c r="C122" s="26" t="s">
        <v>55</v>
      </c>
      <c r="D122" s="26" t="s">
        <v>32</v>
      </c>
      <c r="E122" s="26" t="s">
        <v>261</v>
      </c>
      <c r="F122" s="26">
        <v>41</v>
      </c>
      <c r="G122" s="26" t="s">
        <v>34</v>
      </c>
      <c r="H122" s="26">
        <v>56</v>
      </c>
      <c r="I122" s="36">
        <v>43</v>
      </c>
      <c r="J122" s="36">
        <v>24</v>
      </c>
      <c r="K122" s="36">
        <v>17</v>
      </c>
      <c r="L122" s="36">
        <v>29</v>
      </c>
      <c r="M122" s="36">
        <v>27</v>
      </c>
      <c r="N122" s="36">
        <v>28</v>
      </c>
      <c r="O122" s="36">
        <v>71</v>
      </c>
    </row>
    <row r="123" spans="1:1017" ht="19.5" customHeight="1">
      <c r="A123" s="72"/>
      <c r="B123" s="73"/>
      <c r="C123" s="72"/>
      <c r="D123" s="72"/>
      <c r="E123" s="72"/>
      <c r="F123" s="72"/>
      <c r="G123" s="35">
        <v>38</v>
      </c>
      <c r="H123" s="35">
        <v>88</v>
      </c>
      <c r="I123" s="35">
        <v>108</v>
      </c>
      <c r="J123" s="35">
        <v>68</v>
      </c>
      <c r="K123" s="35">
        <v>34</v>
      </c>
      <c r="L123" s="35">
        <v>26</v>
      </c>
      <c r="M123" s="35">
        <v>20</v>
      </c>
      <c r="N123" s="35">
        <v>97</v>
      </c>
      <c r="O123" s="74"/>
    </row>
    <row r="124" spans="1:1017" ht="19.5" customHeight="1">
      <c r="A124" s="75"/>
      <c r="B124" s="76"/>
      <c r="C124" s="75"/>
      <c r="D124" s="75"/>
      <c r="E124" s="75"/>
      <c r="F124" s="75"/>
      <c r="G124" s="77">
        <v>46</v>
      </c>
      <c r="H124" s="77">
        <v>60</v>
      </c>
      <c r="I124" s="77">
        <v>19</v>
      </c>
      <c r="J124" s="77">
        <v>14</v>
      </c>
      <c r="K124" s="77">
        <v>103</v>
      </c>
      <c r="L124" s="77">
        <v>98</v>
      </c>
      <c r="M124" s="77">
        <v>112</v>
      </c>
      <c r="N124" s="77"/>
      <c r="O124" s="77"/>
    </row>
    <row r="125" spans="1:1017" ht="19.5" customHeight="1">
      <c r="A125" s="26" t="s">
        <v>73</v>
      </c>
      <c r="B125" s="25" t="s">
        <v>57</v>
      </c>
      <c r="C125" s="26" t="s">
        <v>55</v>
      </c>
      <c r="D125" s="26" t="s">
        <v>32</v>
      </c>
      <c r="E125" s="26" t="s">
        <v>261</v>
      </c>
      <c r="F125" s="26">
        <v>41</v>
      </c>
      <c r="G125" s="26" t="s">
        <v>34</v>
      </c>
      <c r="H125" s="26">
        <v>56</v>
      </c>
      <c r="I125" s="36">
        <v>40</v>
      </c>
      <c r="J125" s="36">
        <v>22</v>
      </c>
      <c r="K125" s="36">
        <v>18</v>
      </c>
      <c r="L125" s="36">
        <v>27</v>
      </c>
      <c r="M125" s="36">
        <v>26</v>
      </c>
      <c r="N125" s="36">
        <v>27</v>
      </c>
      <c r="O125" s="36">
        <v>69</v>
      </c>
    </row>
    <row r="126" spans="1:1017" ht="19.5" customHeight="1">
      <c r="A126" s="72"/>
      <c r="B126" s="73"/>
      <c r="C126" s="72"/>
      <c r="D126" s="72"/>
      <c r="E126" s="72"/>
      <c r="F126" s="72"/>
      <c r="G126" s="35">
        <v>39</v>
      </c>
      <c r="H126" s="35">
        <v>82</v>
      </c>
      <c r="I126" s="35">
        <v>102</v>
      </c>
      <c r="J126" s="35">
        <v>67</v>
      </c>
      <c r="K126" s="35">
        <v>33</v>
      </c>
      <c r="L126" s="35">
        <v>26</v>
      </c>
      <c r="M126" s="35">
        <v>20</v>
      </c>
      <c r="N126" s="35">
        <v>97</v>
      </c>
      <c r="O126" s="74"/>
    </row>
    <row r="127" spans="1:1017" ht="19.5" customHeight="1">
      <c r="A127" s="75"/>
      <c r="B127" s="76"/>
      <c r="C127" s="75"/>
      <c r="D127" s="75"/>
      <c r="E127" s="75"/>
      <c r="F127" s="75"/>
      <c r="G127" s="77"/>
      <c r="H127" s="77"/>
      <c r="I127" s="77"/>
      <c r="J127" s="77"/>
      <c r="K127" s="77"/>
      <c r="L127" s="77"/>
      <c r="M127" s="77"/>
      <c r="N127" s="77"/>
      <c r="O127" s="77"/>
    </row>
    <row r="128" spans="1:1017" ht="19.5" customHeight="1">
      <c r="A128" s="26" t="s">
        <v>74</v>
      </c>
      <c r="B128" s="25" t="s">
        <v>58</v>
      </c>
      <c r="C128" s="26" t="s">
        <v>55</v>
      </c>
      <c r="D128" s="26" t="s">
        <v>32</v>
      </c>
      <c r="E128" s="26" t="s">
        <v>261</v>
      </c>
      <c r="F128" s="26">
        <v>41</v>
      </c>
      <c r="G128" s="26" t="s">
        <v>36</v>
      </c>
      <c r="H128" s="26">
        <v>55</v>
      </c>
      <c r="I128" s="36">
        <v>41</v>
      </c>
      <c r="J128" s="36">
        <v>24</v>
      </c>
      <c r="K128" s="36">
        <v>17</v>
      </c>
      <c r="L128" s="36">
        <v>26</v>
      </c>
      <c r="M128" s="36">
        <v>23</v>
      </c>
      <c r="N128" s="36">
        <v>26</v>
      </c>
      <c r="O128" s="36">
        <v>66</v>
      </c>
    </row>
    <row r="129" spans="1:15" ht="19.5" customHeight="1">
      <c r="A129" s="72"/>
      <c r="B129" s="73"/>
      <c r="C129" s="72"/>
      <c r="D129" s="72"/>
      <c r="E129" s="72"/>
      <c r="F129" s="72"/>
      <c r="G129" s="35">
        <v>37</v>
      </c>
      <c r="H129" s="35">
        <v>79</v>
      </c>
      <c r="I129" s="35">
        <v>99</v>
      </c>
      <c r="J129" s="35">
        <v>65</v>
      </c>
      <c r="K129" s="35">
        <v>33</v>
      </c>
      <c r="L129" s="35">
        <v>25</v>
      </c>
      <c r="M129" s="35">
        <v>19</v>
      </c>
      <c r="N129" s="35">
        <v>96</v>
      </c>
      <c r="O129" s="74"/>
    </row>
    <row r="130" spans="1:15" ht="19.5" customHeight="1">
      <c r="A130" s="75"/>
      <c r="B130" s="76"/>
      <c r="C130" s="75"/>
      <c r="D130" s="75"/>
      <c r="E130" s="75"/>
      <c r="F130" s="75"/>
      <c r="G130" s="77">
        <v>44</v>
      </c>
      <c r="H130" s="77">
        <v>56</v>
      </c>
      <c r="I130" s="77">
        <v>18</v>
      </c>
      <c r="J130" s="77">
        <v>14</v>
      </c>
      <c r="K130" s="77">
        <v>99</v>
      </c>
      <c r="L130" s="77">
        <v>89</v>
      </c>
      <c r="M130" s="77">
        <v>107</v>
      </c>
      <c r="N130" s="77"/>
      <c r="O130" s="77"/>
    </row>
    <row r="131" spans="1:15" ht="19.5" customHeight="1">
      <c r="A131" s="26" t="s">
        <v>75</v>
      </c>
      <c r="B131" s="25" t="s">
        <v>59</v>
      </c>
      <c r="C131" s="26" t="s">
        <v>55</v>
      </c>
      <c r="D131" s="26" t="s">
        <v>32</v>
      </c>
      <c r="E131" s="26" t="s">
        <v>261</v>
      </c>
      <c r="F131" s="26">
        <v>40</v>
      </c>
      <c r="G131" s="26" t="s">
        <v>36</v>
      </c>
      <c r="H131" s="26">
        <v>55</v>
      </c>
      <c r="I131" s="36">
        <v>39</v>
      </c>
      <c r="J131" s="36">
        <v>24</v>
      </c>
      <c r="K131" s="36">
        <v>17</v>
      </c>
      <c r="L131" s="36">
        <v>26</v>
      </c>
      <c r="M131" s="36">
        <v>23</v>
      </c>
      <c r="N131" s="36">
        <v>26</v>
      </c>
      <c r="O131" s="36">
        <v>67</v>
      </c>
    </row>
    <row r="132" spans="1:15" ht="19.5" customHeight="1">
      <c r="A132" s="72"/>
      <c r="B132" s="73"/>
      <c r="C132" s="72"/>
      <c r="D132" s="72"/>
      <c r="E132" s="72"/>
      <c r="F132" s="72"/>
      <c r="G132" s="35">
        <v>38</v>
      </c>
      <c r="H132" s="35">
        <v>79</v>
      </c>
      <c r="I132" s="35">
        <v>99</v>
      </c>
      <c r="J132" s="35">
        <v>63</v>
      </c>
      <c r="K132" s="35">
        <v>32</v>
      </c>
      <c r="L132" s="35">
        <v>25</v>
      </c>
      <c r="M132" s="35">
        <v>19</v>
      </c>
      <c r="N132" s="35">
        <v>97</v>
      </c>
      <c r="O132" s="74"/>
    </row>
    <row r="133" spans="1:15" ht="19.5" customHeight="1">
      <c r="A133" s="75"/>
      <c r="B133" s="76"/>
      <c r="C133" s="75"/>
      <c r="D133" s="75"/>
      <c r="E133" s="75"/>
      <c r="F133" s="75"/>
      <c r="G133" s="77"/>
      <c r="H133" s="77"/>
      <c r="I133" s="77"/>
      <c r="J133" s="77"/>
      <c r="K133" s="77"/>
      <c r="L133" s="77"/>
      <c r="M133" s="77"/>
      <c r="N133" s="77"/>
      <c r="O133" s="77"/>
    </row>
    <row r="134" spans="1:15" ht="19.5" customHeight="1">
      <c r="A134" s="26" t="s">
        <v>76</v>
      </c>
      <c r="B134" s="25" t="s">
        <v>60</v>
      </c>
      <c r="C134" s="26" t="s">
        <v>55</v>
      </c>
      <c r="D134" s="26" t="s">
        <v>32</v>
      </c>
      <c r="E134" s="26" t="s">
        <v>261</v>
      </c>
      <c r="F134" s="26">
        <v>42</v>
      </c>
      <c r="G134" s="26" t="s">
        <v>33</v>
      </c>
      <c r="H134" s="26">
        <v>57</v>
      </c>
      <c r="I134" s="36">
        <v>43</v>
      </c>
      <c r="J134" s="36">
        <v>25</v>
      </c>
      <c r="K134" s="36">
        <v>19</v>
      </c>
      <c r="L134" s="36">
        <v>29</v>
      </c>
      <c r="M134" s="36">
        <v>27</v>
      </c>
      <c r="N134" s="36">
        <v>29</v>
      </c>
      <c r="O134" s="36">
        <v>72</v>
      </c>
    </row>
    <row r="135" spans="1:15" ht="19.5" customHeight="1">
      <c r="A135" s="72"/>
      <c r="B135" s="73"/>
      <c r="C135" s="72"/>
      <c r="D135" s="72"/>
      <c r="E135" s="72"/>
      <c r="F135" s="72"/>
      <c r="G135" s="35">
        <v>42</v>
      </c>
      <c r="H135" s="35">
        <v>91</v>
      </c>
      <c r="I135" s="35">
        <v>111</v>
      </c>
      <c r="J135" s="35">
        <v>66</v>
      </c>
      <c r="K135" s="35">
        <v>34</v>
      </c>
      <c r="L135" s="35">
        <v>26</v>
      </c>
      <c r="M135" s="35">
        <v>20</v>
      </c>
      <c r="N135" s="35">
        <v>98</v>
      </c>
      <c r="O135" s="74"/>
    </row>
    <row r="136" spans="1:15" ht="19.5" customHeight="1">
      <c r="A136" s="75"/>
      <c r="B136" s="76"/>
      <c r="C136" s="75"/>
      <c r="D136" s="75"/>
      <c r="E136" s="75"/>
      <c r="F136" s="75"/>
      <c r="G136" s="77">
        <v>46</v>
      </c>
      <c r="H136" s="77">
        <v>62.5</v>
      </c>
      <c r="I136" s="77">
        <v>20</v>
      </c>
      <c r="J136" s="77">
        <v>15</v>
      </c>
      <c r="K136" s="77">
        <v>106</v>
      </c>
      <c r="L136" s="77">
        <v>101</v>
      </c>
      <c r="M136" s="77">
        <v>115</v>
      </c>
      <c r="N136" s="77"/>
      <c r="O136" s="77"/>
    </row>
    <row r="137" spans="1:15" ht="19.5" customHeight="1">
      <c r="A137" s="26" t="s">
        <v>77</v>
      </c>
      <c r="B137" s="25" t="s">
        <v>61</v>
      </c>
      <c r="C137" s="26" t="s">
        <v>55</v>
      </c>
      <c r="D137" s="26" t="s">
        <v>32</v>
      </c>
      <c r="E137" s="26" t="s">
        <v>261</v>
      </c>
      <c r="F137" s="26">
        <v>42</v>
      </c>
      <c r="G137" s="26" t="s">
        <v>33</v>
      </c>
      <c r="H137" s="26">
        <v>57</v>
      </c>
      <c r="I137" s="36">
        <v>45</v>
      </c>
      <c r="J137" s="36">
        <v>26</v>
      </c>
      <c r="K137" s="36">
        <v>20</v>
      </c>
      <c r="L137" s="36">
        <v>31</v>
      </c>
      <c r="M137" s="36">
        <v>30</v>
      </c>
      <c r="N137" s="36">
        <v>31</v>
      </c>
      <c r="O137" s="36">
        <v>72</v>
      </c>
    </row>
    <row r="138" spans="1:15" ht="19.5" customHeight="1">
      <c r="A138" s="72"/>
      <c r="B138" s="73"/>
      <c r="C138" s="72"/>
      <c r="D138" s="72"/>
      <c r="E138" s="72"/>
      <c r="F138" s="72"/>
      <c r="G138" s="35">
        <v>43</v>
      </c>
      <c r="H138" s="35">
        <v>100</v>
      </c>
      <c r="I138" s="35">
        <v>119</v>
      </c>
      <c r="J138" s="35">
        <v>72</v>
      </c>
      <c r="K138" s="35">
        <v>38</v>
      </c>
      <c r="L138" s="35">
        <v>27</v>
      </c>
      <c r="M138" s="35">
        <v>22</v>
      </c>
      <c r="N138" s="35">
        <v>95</v>
      </c>
      <c r="O138" s="74"/>
    </row>
    <row r="139" spans="1:15" ht="19.5" customHeight="1">
      <c r="A139" s="75"/>
      <c r="B139" s="76"/>
      <c r="C139" s="75"/>
      <c r="D139" s="75"/>
      <c r="E139" s="75"/>
      <c r="F139" s="75"/>
      <c r="G139" s="77">
        <v>48</v>
      </c>
      <c r="H139" s="77">
        <v>56</v>
      </c>
      <c r="I139" s="77">
        <v>20</v>
      </c>
      <c r="J139" s="77">
        <v>15</v>
      </c>
      <c r="K139" s="77">
        <v>115</v>
      </c>
      <c r="L139" s="77">
        <v>110</v>
      </c>
      <c r="M139" s="77">
        <v>124</v>
      </c>
      <c r="N139" s="77"/>
      <c r="O139" s="77"/>
    </row>
    <row r="140" spans="1:15" ht="19.5" customHeight="1">
      <c r="A140" s="26" t="s">
        <v>78</v>
      </c>
      <c r="B140" s="25" t="s">
        <v>62</v>
      </c>
      <c r="C140" s="26" t="s">
        <v>55</v>
      </c>
      <c r="D140" s="26" t="s">
        <v>32</v>
      </c>
      <c r="E140" s="26" t="s">
        <v>261</v>
      </c>
      <c r="F140" s="26">
        <v>39</v>
      </c>
      <c r="G140" s="26" t="s">
        <v>34</v>
      </c>
      <c r="H140" s="26">
        <v>55</v>
      </c>
      <c r="I140" s="36">
        <v>41</v>
      </c>
      <c r="J140" s="36">
        <v>24</v>
      </c>
      <c r="K140" s="36">
        <v>17</v>
      </c>
      <c r="L140" s="36">
        <v>27</v>
      </c>
      <c r="M140" s="36">
        <v>25</v>
      </c>
      <c r="N140" s="36">
        <v>27</v>
      </c>
      <c r="O140" s="36">
        <v>68</v>
      </c>
    </row>
    <row r="141" spans="1:15" ht="19.5" customHeight="1">
      <c r="A141" s="72"/>
      <c r="B141" s="73"/>
      <c r="C141" s="72"/>
      <c r="D141" s="72"/>
      <c r="E141" s="72"/>
      <c r="F141" s="72"/>
      <c r="G141" s="35">
        <v>41</v>
      </c>
      <c r="H141" s="35">
        <v>82</v>
      </c>
      <c r="I141" s="35">
        <v>98</v>
      </c>
      <c r="J141" s="35">
        <v>68</v>
      </c>
      <c r="K141" s="35">
        <v>33</v>
      </c>
      <c r="L141" s="35">
        <v>26</v>
      </c>
      <c r="M141" s="35">
        <v>20</v>
      </c>
      <c r="N141" s="35">
        <v>99</v>
      </c>
      <c r="O141" s="74"/>
    </row>
    <row r="142" spans="1:15" ht="19.5" customHeight="1">
      <c r="A142" s="75"/>
      <c r="B142" s="76"/>
      <c r="C142" s="75"/>
      <c r="D142" s="75"/>
      <c r="E142" s="75"/>
      <c r="F142" s="75"/>
      <c r="G142" s="77">
        <v>45</v>
      </c>
      <c r="H142" s="77">
        <v>59</v>
      </c>
      <c r="I142" s="77">
        <v>19</v>
      </c>
      <c r="J142" s="77">
        <v>14</v>
      </c>
      <c r="K142" s="77">
        <v>97</v>
      </c>
      <c r="L142" s="77">
        <v>92</v>
      </c>
      <c r="M142" s="77">
        <v>103</v>
      </c>
      <c r="N142" s="77"/>
      <c r="O142" s="77"/>
    </row>
    <row r="143" spans="1:15" ht="19.5" customHeight="1">
      <c r="A143" s="26" t="s">
        <v>94</v>
      </c>
      <c r="B143" s="25" t="s">
        <v>90</v>
      </c>
      <c r="C143" s="26" t="s">
        <v>55</v>
      </c>
      <c r="D143" s="26" t="s">
        <v>32</v>
      </c>
      <c r="E143" s="26" t="s">
        <v>261</v>
      </c>
      <c r="F143" s="26">
        <v>42</v>
      </c>
      <c r="G143" s="26" t="s">
        <v>35</v>
      </c>
      <c r="H143" s="26">
        <v>57</v>
      </c>
      <c r="I143" s="36">
        <v>48</v>
      </c>
      <c r="J143" s="36">
        <v>26</v>
      </c>
      <c r="K143" s="36">
        <v>20</v>
      </c>
      <c r="L143" s="36">
        <v>36</v>
      </c>
      <c r="M143" s="36">
        <v>36</v>
      </c>
      <c r="N143" s="36">
        <v>36</v>
      </c>
      <c r="O143" s="36">
        <v>71</v>
      </c>
    </row>
    <row r="144" spans="1:15" ht="19.5" customHeight="1">
      <c r="A144" s="72"/>
      <c r="B144" s="73"/>
      <c r="C144" s="72"/>
      <c r="D144" s="72"/>
      <c r="E144" s="72"/>
      <c r="F144" s="72"/>
      <c r="G144" s="35">
        <v>43</v>
      </c>
      <c r="H144" s="35">
        <v>113</v>
      </c>
      <c r="I144" s="35">
        <v>118</v>
      </c>
      <c r="J144" s="35">
        <v>72</v>
      </c>
      <c r="K144" s="35">
        <v>36</v>
      </c>
      <c r="L144" s="35">
        <v>26</v>
      </c>
      <c r="M144" s="35">
        <v>20</v>
      </c>
      <c r="N144" s="35">
        <v>89</v>
      </c>
      <c r="O144" s="74">
        <v>2</v>
      </c>
    </row>
    <row r="145" spans="1:15" ht="19.5" customHeight="1">
      <c r="A145" s="75"/>
      <c r="B145" s="76"/>
      <c r="C145" s="75"/>
      <c r="D145" s="75"/>
      <c r="E145" s="75"/>
      <c r="F145" s="75"/>
      <c r="G145" s="77">
        <v>51</v>
      </c>
      <c r="H145" s="77">
        <v>59</v>
      </c>
      <c r="I145" s="77">
        <v>21</v>
      </c>
      <c r="J145" s="77">
        <v>16</v>
      </c>
      <c r="K145" s="77">
        <v>124</v>
      </c>
      <c r="L145" s="77">
        <v>124</v>
      </c>
      <c r="M145" s="77">
        <v>124</v>
      </c>
      <c r="N145" s="77"/>
      <c r="O145" s="77"/>
    </row>
    <row r="146" spans="1:15" ht="19.5" customHeight="1">
      <c r="A146" s="26" t="s">
        <v>95</v>
      </c>
      <c r="B146" s="25" t="s">
        <v>91</v>
      </c>
      <c r="C146" s="26" t="s">
        <v>55</v>
      </c>
      <c r="D146" s="26" t="s">
        <v>32</v>
      </c>
      <c r="E146" s="26" t="s">
        <v>261</v>
      </c>
      <c r="F146" s="26">
        <v>40</v>
      </c>
      <c r="G146" s="26" t="s">
        <v>34</v>
      </c>
      <c r="H146" s="26">
        <v>57</v>
      </c>
      <c r="I146" s="36">
        <v>43</v>
      </c>
      <c r="J146" s="36">
        <v>25</v>
      </c>
      <c r="K146" s="36">
        <v>17</v>
      </c>
      <c r="L146" s="36">
        <v>27</v>
      </c>
      <c r="M146" s="36">
        <v>25</v>
      </c>
      <c r="N146" s="36">
        <v>27</v>
      </c>
      <c r="O146" s="36">
        <v>72</v>
      </c>
    </row>
    <row r="147" spans="1:15" ht="19.5" customHeight="1">
      <c r="A147" s="72"/>
      <c r="B147" s="73"/>
      <c r="C147" s="72"/>
      <c r="D147" s="72"/>
      <c r="E147" s="72"/>
      <c r="F147" s="72"/>
      <c r="G147" s="35">
        <v>41</v>
      </c>
      <c r="H147" s="35">
        <v>86</v>
      </c>
      <c r="I147" s="35">
        <v>101</v>
      </c>
      <c r="J147" s="35">
        <v>65</v>
      </c>
      <c r="K147" s="35">
        <v>32</v>
      </c>
      <c r="L147" s="35">
        <v>26</v>
      </c>
      <c r="M147" s="35">
        <v>20</v>
      </c>
      <c r="N147" s="35">
        <v>97</v>
      </c>
      <c r="O147" s="74">
        <v>2</v>
      </c>
    </row>
    <row r="148" spans="1:15" ht="19.5" customHeight="1">
      <c r="A148" s="75"/>
      <c r="B148" s="76"/>
      <c r="C148" s="75"/>
      <c r="D148" s="75"/>
      <c r="E148" s="75"/>
      <c r="F148" s="75"/>
      <c r="G148" s="77">
        <v>46</v>
      </c>
      <c r="H148" s="77">
        <v>59</v>
      </c>
      <c r="I148" s="77">
        <v>19</v>
      </c>
      <c r="J148" s="77">
        <v>14</v>
      </c>
      <c r="K148" s="77">
        <v>100</v>
      </c>
      <c r="L148" s="77">
        <v>94</v>
      </c>
      <c r="M148" s="77">
        <v>107</v>
      </c>
      <c r="N148" s="77"/>
      <c r="O148" s="77"/>
    </row>
    <row r="149" spans="1:15" ht="19.5" customHeight="1">
      <c r="A149" s="26" t="s">
        <v>96</v>
      </c>
      <c r="B149" s="25" t="s">
        <v>92</v>
      </c>
      <c r="C149" s="26" t="s">
        <v>55</v>
      </c>
      <c r="D149" s="26" t="s">
        <v>32</v>
      </c>
      <c r="E149" s="26" t="s">
        <v>261</v>
      </c>
      <c r="F149" s="26">
        <v>42</v>
      </c>
      <c r="G149" s="26" t="s">
        <v>33</v>
      </c>
      <c r="H149" s="26">
        <v>57</v>
      </c>
      <c r="I149" s="36">
        <v>45</v>
      </c>
      <c r="J149" s="36">
        <v>25</v>
      </c>
      <c r="K149" s="36">
        <v>19</v>
      </c>
      <c r="L149" s="36">
        <v>30</v>
      </c>
      <c r="M149" s="36">
        <v>28</v>
      </c>
      <c r="N149" s="36">
        <v>30</v>
      </c>
      <c r="O149" s="36">
        <v>72</v>
      </c>
    </row>
    <row r="150" spans="1:15" ht="19.5" customHeight="1">
      <c r="A150" s="72"/>
      <c r="B150" s="73"/>
      <c r="C150" s="72"/>
      <c r="D150" s="72"/>
      <c r="E150" s="72"/>
      <c r="F150" s="72"/>
      <c r="G150" s="35">
        <v>43</v>
      </c>
      <c r="H150" s="35">
        <v>93</v>
      </c>
      <c r="I150" s="35">
        <v>105</v>
      </c>
      <c r="J150" s="35">
        <v>68</v>
      </c>
      <c r="K150" s="35">
        <v>34</v>
      </c>
      <c r="L150" s="35">
        <v>26</v>
      </c>
      <c r="M150" s="35">
        <v>20</v>
      </c>
      <c r="N150" s="35">
        <v>100</v>
      </c>
      <c r="O150" s="74">
        <v>2</v>
      </c>
    </row>
    <row r="151" spans="1:15" ht="19.5" customHeight="1">
      <c r="A151" s="75"/>
      <c r="B151" s="76"/>
      <c r="C151" s="75"/>
      <c r="D151" s="75"/>
      <c r="E151" s="75"/>
      <c r="F151" s="75"/>
      <c r="G151" s="77"/>
      <c r="H151" s="77"/>
      <c r="I151" s="77"/>
      <c r="J151" s="77"/>
      <c r="K151" s="77"/>
      <c r="L151" s="77"/>
      <c r="M151" s="77"/>
      <c r="N151" s="77"/>
      <c r="O151" s="77"/>
    </row>
    <row r="152" spans="1:15" ht="19.5" customHeight="1">
      <c r="A152" s="26" t="s">
        <v>97</v>
      </c>
      <c r="B152" s="25" t="s">
        <v>93</v>
      </c>
      <c r="C152" s="26" t="s">
        <v>55</v>
      </c>
      <c r="D152" s="26" t="s">
        <v>32</v>
      </c>
      <c r="E152" s="26" t="s">
        <v>261</v>
      </c>
      <c r="F152" s="26">
        <v>41</v>
      </c>
      <c r="G152" s="26" t="s">
        <v>35</v>
      </c>
      <c r="H152" s="26">
        <v>56</v>
      </c>
      <c r="I152" s="36">
        <v>47</v>
      </c>
      <c r="J152" s="36">
        <v>26</v>
      </c>
      <c r="K152" s="36">
        <v>21</v>
      </c>
      <c r="L152" s="36">
        <v>32</v>
      </c>
      <c r="M152" s="36">
        <v>32</v>
      </c>
      <c r="N152" s="36">
        <v>32</v>
      </c>
      <c r="O152" s="36">
        <v>71</v>
      </c>
    </row>
    <row r="153" spans="1:15" ht="19.5" customHeight="1">
      <c r="A153" s="72"/>
      <c r="B153" s="73"/>
      <c r="C153" s="72"/>
      <c r="D153" s="72"/>
      <c r="E153" s="72"/>
      <c r="F153" s="72"/>
      <c r="G153" s="35">
        <v>46</v>
      </c>
      <c r="H153" s="35">
        <v>107</v>
      </c>
      <c r="I153" s="35">
        <v>120</v>
      </c>
      <c r="J153" s="35">
        <v>72</v>
      </c>
      <c r="K153" s="35">
        <v>39</v>
      </c>
      <c r="L153" s="35">
        <v>29</v>
      </c>
      <c r="M153" s="35">
        <v>23</v>
      </c>
      <c r="N153" s="35">
        <v>90</v>
      </c>
      <c r="O153" s="74">
        <v>2</v>
      </c>
    </row>
    <row r="154" spans="1:15" ht="19.5" customHeight="1">
      <c r="A154" s="75"/>
      <c r="B154" s="76"/>
      <c r="C154" s="75"/>
      <c r="D154" s="75"/>
      <c r="E154" s="75"/>
      <c r="F154" s="75"/>
      <c r="G154" s="77">
        <v>50</v>
      </c>
      <c r="H154" s="77">
        <v>57</v>
      </c>
      <c r="I154" s="77">
        <v>21</v>
      </c>
      <c r="J154" s="77">
        <v>16</v>
      </c>
      <c r="K154" s="77">
        <v>120</v>
      </c>
      <c r="L154" s="77">
        <v>116</v>
      </c>
      <c r="M154" s="77">
        <v>125</v>
      </c>
      <c r="N154" s="77"/>
      <c r="O154" s="77"/>
    </row>
    <row r="155" spans="1:15" ht="19.5" customHeight="1">
      <c r="A155" s="26" t="s">
        <v>126</v>
      </c>
      <c r="B155" s="25" t="s">
        <v>101</v>
      </c>
      <c r="C155" s="26" t="s">
        <v>55</v>
      </c>
      <c r="D155" s="26" t="s">
        <v>32</v>
      </c>
      <c r="E155" s="26" t="s">
        <v>261</v>
      </c>
      <c r="F155" s="26">
        <v>40</v>
      </c>
      <c r="G155" s="26" t="s">
        <v>36</v>
      </c>
      <c r="H155" s="26">
        <v>58</v>
      </c>
      <c r="I155" s="36">
        <v>41</v>
      </c>
      <c r="J155" s="36">
        <v>25</v>
      </c>
      <c r="K155" s="36">
        <v>17</v>
      </c>
      <c r="L155" s="36">
        <v>27</v>
      </c>
      <c r="M155" s="36">
        <v>24</v>
      </c>
      <c r="N155" s="36">
        <v>27</v>
      </c>
      <c r="O155" s="36">
        <v>70</v>
      </c>
    </row>
    <row r="156" spans="1:15" ht="19.5" customHeight="1">
      <c r="A156" s="72"/>
      <c r="B156" s="73"/>
      <c r="C156" s="72"/>
      <c r="D156" s="72"/>
      <c r="E156" s="72"/>
      <c r="F156" s="72"/>
      <c r="G156" s="35">
        <v>40</v>
      </c>
      <c r="H156" s="35">
        <v>83</v>
      </c>
      <c r="I156" s="35">
        <v>102</v>
      </c>
      <c r="J156" s="35">
        <v>66</v>
      </c>
      <c r="K156" s="35">
        <v>31</v>
      </c>
      <c r="L156" s="35">
        <v>24</v>
      </c>
      <c r="M156" s="35">
        <v>19</v>
      </c>
      <c r="N156" s="35">
        <v>96</v>
      </c>
      <c r="O156" s="74">
        <v>3</v>
      </c>
    </row>
    <row r="157" spans="1:15" ht="19.5" customHeight="1">
      <c r="A157" s="75"/>
      <c r="B157" s="76"/>
      <c r="C157" s="75"/>
      <c r="D157" s="75"/>
      <c r="E157" s="75"/>
      <c r="F157" s="75"/>
      <c r="G157" s="77">
        <v>44</v>
      </c>
      <c r="H157" s="77">
        <v>60</v>
      </c>
      <c r="I157" s="77">
        <v>19</v>
      </c>
      <c r="J157" s="77">
        <v>14</v>
      </c>
      <c r="K157" s="77">
        <v>98</v>
      </c>
      <c r="L157" s="77">
        <v>90</v>
      </c>
      <c r="M157" s="77">
        <v>105</v>
      </c>
      <c r="N157" s="77"/>
      <c r="O157" s="77"/>
    </row>
    <row r="158" spans="1:15" ht="19.5" customHeight="1">
      <c r="A158" s="26" t="s">
        <v>127</v>
      </c>
      <c r="B158" s="25" t="s">
        <v>102</v>
      </c>
      <c r="C158" s="26" t="s">
        <v>55</v>
      </c>
      <c r="D158" s="26" t="s">
        <v>32</v>
      </c>
      <c r="E158" s="26" t="s">
        <v>261</v>
      </c>
      <c r="F158" s="26">
        <v>43</v>
      </c>
      <c r="G158" s="26" t="s">
        <v>33</v>
      </c>
      <c r="H158" s="26">
        <v>58</v>
      </c>
      <c r="I158" s="36">
        <v>43</v>
      </c>
      <c r="J158" s="36">
        <v>26</v>
      </c>
      <c r="K158" s="36">
        <v>18</v>
      </c>
      <c r="L158" s="36">
        <v>30</v>
      </c>
      <c r="M158" s="36">
        <v>29</v>
      </c>
      <c r="N158" s="36">
        <v>30</v>
      </c>
      <c r="O158" s="36">
        <v>74</v>
      </c>
    </row>
    <row r="159" spans="1:15" ht="19.5" customHeight="1">
      <c r="A159" s="72"/>
      <c r="B159" s="73"/>
      <c r="C159" s="72"/>
      <c r="D159" s="72"/>
      <c r="E159" s="72"/>
      <c r="F159" s="72"/>
      <c r="G159" s="35">
        <v>42</v>
      </c>
      <c r="H159" s="35">
        <v>90</v>
      </c>
      <c r="I159" s="35">
        <v>110</v>
      </c>
      <c r="J159" s="35">
        <v>68</v>
      </c>
      <c r="K159" s="35">
        <v>34</v>
      </c>
      <c r="L159" s="35">
        <v>27</v>
      </c>
      <c r="M159" s="35">
        <v>21</v>
      </c>
      <c r="N159" s="35">
        <v>96</v>
      </c>
      <c r="O159" s="74">
        <v>3</v>
      </c>
    </row>
    <row r="160" spans="1:15" ht="19.5" customHeight="1">
      <c r="A160" s="75"/>
      <c r="B160" s="76"/>
      <c r="C160" s="75"/>
      <c r="D160" s="75"/>
      <c r="E160" s="75"/>
      <c r="F160" s="75"/>
      <c r="G160" s="77">
        <v>46</v>
      </c>
      <c r="H160" s="77">
        <v>61</v>
      </c>
      <c r="I160" s="77">
        <v>20</v>
      </c>
      <c r="J160" s="77">
        <v>15</v>
      </c>
      <c r="K160" s="77">
        <v>105</v>
      </c>
      <c r="L160" s="77">
        <v>100</v>
      </c>
      <c r="M160" s="77">
        <v>115</v>
      </c>
      <c r="N160" s="77"/>
      <c r="O160" s="77"/>
    </row>
    <row r="161" spans="1:15" ht="19.5" customHeight="1">
      <c r="A161" s="26" t="s">
        <v>128</v>
      </c>
      <c r="B161" s="25" t="s">
        <v>103</v>
      </c>
      <c r="C161" s="26" t="s">
        <v>55</v>
      </c>
      <c r="D161" s="26" t="s">
        <v>32</v>
      </c>
      <c r="E161" s="26" t="s">
        <v>261</v>
      </c>
      <c r="F161" s="26">
        <v>42</v>
      </c>
      <c r="G161" s="26" t="s">
        <v>35</v>
      </c>
      <c r="H161" s="26">
        <v>56</v>
      </c>
      <c r="I161" s="36">
        <v>48</v>
      </c>
      <c r="J161" s="36">
        <v>27</v>
      </c>
      <c r="K161" s="36">
        <v>20</v>
      </c>
      <c r="L161" s="36">
        <v>32</v>
      </c>
      <c r="M161" s="36">
        <v>30</v>
      </c>
      <c r="N161" s="36">
        <v>32</v>
      </c>
      <c r="O161" s="36">
        <v>75</v>
      </c>
    </row>
    <row r="162" spans="1:15" ht="19.5" customHeight="1">
      <c r="A162" s="72"/>
      <c r="B162" s="73"/>
      <c r="C162" s="72"/>
      <c r="D162" s="72"/>
      <c r="E162" s="72"/>
      <c r="F162" s="72"/>
      <c r="G162" s="35">
        <v>43</v>
      </c>
      <c r="H162" s="35">
        <v>102</v>
      </c>
      <c r="I162" s="35">
        <v>124</v>
      </c>
      <c r="J162" s="35">
        <v>74</v>
      </c>
      <c r="K162" s="35">
        <v>36</v>
      </c>
      <c r="L162" s="35">
        <v>29</v>
      </c>
      <c r="M162" s="35">
        <v>23</v>
      </c>
      <c r="N162" s="35">
        <v>105</v>
      </c>
      <c r="O162" s="74">
        <v>3</v>
      </c>
    </row>
    <row r="163" spans="1:15" ht="19.5" customHeight="1">
      <c r="A163" s="75"/>
      <c r="B163" s="76"/>
      <c r="C163" s="75"/>
      <c r="D163" s="75"/>
      <c r="E163" s="75"/>
      <c r="F163" s="75"/>
      <c r="G163" s="77"/>
      <c r="H163" s="77"/>
      <c r="I163" s="77"/>
      <c r="J163" s="77"/>
      <c r="K163" s="77"/>
      <c r="L163" s="77"/>
      <c r="M163" s="77"/>
      <c r="N163" s="77"/>
      <c r="O163" s="77"/>
    </row>
    <row r="164" spans="1:15" ht="19.5" customHeight="1">
      <c r="A164" s="26" t="s">
        <v>145</v>
      </c>
      <c r="B164" s="25" t="s">
        <v>139</v>
      </c>
      <c r="C164" s="26" t="s">
        <v>55</v>
      </c>
      <c r="D164" s="26" t="s">
        <v>32</v>
      </c>
      <c r="E164" s="26" t="s">
        <v>261</v>
      </c>
      <c r="F164" s="26">
        <v>41</v>
      </c>
      <c r="G164" s="26" t="s">
        <v>34</v>
      </c>
      <c r="H164" s="26">
        <v>57</v>
      </c>
      <c r="I164" s="36">
        <v>43</v>
      </c>
      <c r="J164" s="36">
        <v>24</v>
      </c>
      <c r="K164" s="36">
        <v>18</v>
      </c>
      <c r="L164" s="36">
        <v>28</v>
      </c>
      <c r="M164" s="36">
        <v>26</v>
      </c>
      <c r="N164" s="36">
        <v>28</v>
      </c>
      <c r="O164" s="36">
        <v>73</v>
      </c>
    </row>
    <row r="165" spans="1:15" ht="19.5" customHeight="1">
      <c r="A165" s="72"/>
      <c r="B165" s="73"/>
      <c r="C165" s="72"/>
      <c r="D165" s="72"/>
      <c r="E165" s="72"/>
      <c r="F165" s="72"/>
      <c r="G165" s="35">
        <v>40</v>
      </c>
      <c r="H165" s="35">
        <v>87</v>
      </c>
      <c r="I165" s="35">
        <v>102</v>
      </c>
      <c r="J165" s="35">
        <v>65</v>
      </c>
      <c r="K165" s="35">
        <v>33</v>
      </c>
      <c r="L165" s="35">
        <v>27</v>
      </c>
      <c r="M165" s="35">
        <v>20</v>
      </c>
      <c r="N165" s="35">
        <v>95</v>
      </c>
      <c r="O165" s="74">
        <v>4</v>
      </c>
    </row>
    <row r="166" spans="1:15" ht="19.5" customHeight="1">
      <c r="A166" s="75"/>
      <c r="B166" s="76"/>
      <c r="C166" s="75"/>
      <c r="D166" s="75"/>
      <c r="E166" s="75"/>
      <c r="F166" s="75"/>
      <c r="G166" s="77">
        <v>46</v>
      </c>
      <c r="H166" s="77">
        <v>58</v>
      </c>
      <c r="I166" s="77">
        <v>19</v>
      </c>
      <c r="J166" s="77">
        <v>14</v>
      </c>
      <c r="K166" s="77">
        <v>112</v>
      </c>
      <c r="L166" s="77">
        <v>118</v>
      </c>
      <c r="M166" s="77">
        <v>110</v>
      </c>
      <c r="N166" s="77"/>
      <c r="O166" s="77"/>
    </row>
    <row r="167" spans="1:15" ht="19.5" customHeight="1">
      <c r="A167" s="26" t="s">
        <v>146</v>
      </c>
      <c r="B167" s="25" t="s">
        <v>140</v>
      </c>
      <c r="C167" s="26" t="s">
        <v>55</v>
      </c>
      <c r="D167" s="26" t="s">
        <v>32</v>
      </c>
      <c r="E167" s="26" t="s">
        <v>261</v>
      </c>
      <c r="F167" s="26">
        <v>40</v>
      </c>
      <c r="G167" s="26" t="s">
        <v>34</v>
      </c>
      <c r="H167" s="26">
        <v>59</v>
      </c>
      <c r="I167" s="36">
        <v>43</v>
      </c>
      <c r="J167" s="36">
        <v>22</v>
      </c>
      <c r="K167" s="36">
        <v>17</v>
      </c>
      <c r="L167" s="36">
        <v>28</v>
      </c>
      <c r="M167" s="36">
        <v>26</v>
      </c>
      <c r="N167" s="36">
        <v>28</v>
      </c>
      <c r="O167" s="36">
        <v>767</v>
      </c>
    </row>
    <row r="168" spans="1:15" ht="19.5" customHeight="1">
      <c r="A168" s="72"/>
      <c r="B168" s="73"/>
      <c r="C168" s="72"/>
      <c r="D168" s="72"/>
      <c r="E168" s="72"/>
      <c r="F168" s="72"/>
      <c r="G168" s="35">
        <v>41</v>
      </c>
      <c r="H168" s="35">
        <v>88</v>
      </c>
      <c r="I168" s="35">
        <v>104</v>
      </c>
      <c r="J168" s="35">
        <v>70</v>
      </c>
      <c r="K168" s="35">
        <v>34</v>
      </c>
      <c r="L168" s="35">
        <v>26</v>
      </c>
      <c r="M168" s="35">
        <v>20</v>
      </c>
      <c r="N168" s="35">
        <v>90</v>
      </c>
      <c r="O168" s="74">
        <v>4</v>
      </c>
    </row>
    <row r="169" spans="1:15" ht="19.5" customHeight="1">
      <c r="A169" s="75"/>
      <c r="B169" s="76"/>
      <c r="C169" s="75"/>
      <c r="D169" s="75"/>
      <c r="E169" s="75"/>
      <c r="F169" s="75"/>
      <c r="G169" s="77">
        <v>46</v>
      </c>
      <c r="H169" s="77">
        <v>54</v>
      </c>
      <c r="I169" s="77">
        <v>19</v>
      </c>
      <c r="J169" s="77">
        <v>14</v>
      </c>
      <c r="K169" s="77">
        <v>102</v>
      </c>
      <c r="L169" s="77">
        <v>98</v>
      </c>
      <c r="M169" s="77">
        <v>109</v>
      </c>
      <c r="N169" s="77"/>
      <c r="O169" s="77"/>
    </row>
    <row r="170" spans="1:15" ht="19.5" customHeight="1">
      <c r="A170" s="26" t="s">
        <v>147</v>
      </c>
      <c r="B170" s="25" t="s">
        <v>141</v>
      </c>
      <c r="C170" s="26" t="s">
        <v>55</v>
      </c>
      <c r="D170" s="26" t="s">
        <v>32</v>
      </c>
      <c r="E170" s="26" t="s">
        <v>261</v>
      </c>
      <c r="F170" s="26">
        <v>42</v>
      </c>
      <c r="G170" s="26" t="s">
        <v>33</v>
      </c>
      <c r="H170" s="26">
        <v>57</v>
      </c>
      <c r="I170" s="36">
        <v>44</v>
      </c>
      <c r="J170" s="36">
        <v>25</v>
      </c>
      <c r="K170" s="36">
        <v>18</v>
      </c>
      <c r="L170" s="36">
        <v>30</v>
      </c>
      <c r="M170" s="36">
        <v>28</v>
      </c>
      <c r="N170" s="36">
        <v>30</v>
      </c>
      <c r="O170" s="36">
        <v>71</v>
      </c>
    </row>
    <row r="171" spans="1:15" ht="19.5" customHeight="1">
      <c r="A171" s="72"/>
      <c r="B171" s="73"/>
      <c r="C171" s="72"/>
      <c r="D171" s="72"/>
      <c r="E171" s="72"/>
      <c r="F171" s="72"/>
      <c r="G171" s="35">
        <v>40</v>
      </c>
      <c r="H171" s="35">
        <v>92</v>
      </c>
      <c r="I171" s="35">
        <v>105</v>
      </c>
      <c r="J171" s="35">
        <v>70</v>
      </c>
      <c r="K171" s="35">
        <v>34</v>
      </c>
      <c r="L171" s="35">
        <v>27</v>
      </c>
      <c r="M171" s="35">
        <v>22</v>
      </c>
      <c r="N171" s="35">
        <v>98</v>
      </c>
      <c r="O171" s="74">
        <v>4</v>
      </c>
    </row>
    <row r="172" spans="1:15" ht="19.5" customHeight="1">
      <c r="A172" s="75"/>
      <c r="B172" s="76"/>
      <c r="C172" s="75"/>
      <c r="D172" s="75"/>
      <c r="E172" s="75"/>
      <c r="F172" s="75"/>
      <c r="G172" s="77">
        <v>46</v>
      </c>
      <c r="H172" s="77">
        <v>56</v>
      </c>
      <c r="I172" s="77">
        <v>20</v>
      </c>
      <c r="J172" s="77">
        <v>15</v>
      </c>
      <c r="K172" s="77">
        <v>105</v>
      </c>
      <c r="L172" s="77">
        <v>102</v>
      </c>
      <c r="M172" s="77">
        <v>107</v>
      </c>
      <c r="N172" s="77"/>
      <c r="O172" s="77"/>
    </row>
    <row r="173" spans="1:15" ht="19.5" customHeight="1">
      <c r="A173" s="26" t="s">
        <v>148</v>
      </c>
      <c r="B173" s="25" t="s">
        <v>142</v>
      </c>
      <c r="C173" s="26" t="s">
        <v>55</v>
      </c>
      <c r="D173" s="26" t="s">
        <v>32</v>
      </c>
      <c r="E173" s="26" t="s">
        <v>261</v>
      </c>
      <c r="F173" s="26">
        <v>44</v>
      </c>
      <c r="G173" s="26" t="s">
        <v>144</v>
      </c>
      <c r="H173" s="26">
        <v>60</v>
      </c>
      <c r="I173" s="36">
        <v>50</v>
      </c>
      <c r="J173" s="36">
        <v>28</v>
      </c>
      <c r="K173" s="36">
        <v>22</v>
      </c>
      <c r="L173" s="36">
        <v>36</v>
      </c>
      <c r="M173" s="36">
        <v>36</v>
      </c>
      <c r="N173" s="36">
        <v>36</v>
      </c>
      <c r="O173" s="36">
        <v>80</v>
      </c>
    </row>
    <row r="174" spans="1:15" ht="19.5" customHeight="1">
      <c r="A174" s="72"/>
      <c r="B174" s="73"/>
      <c r="C174" s="72"/>
      <c r="D174" s="72"/>
      <c r="E174" s="72"/>
      <c r="F174" s="72"/>
      <c r="G174" s="35">
        <v>47</v>
      </c>
      <c r="H174" s="35">
        <v>132</v>
      </c>
      <c r="I174" s="35">
        <v>144</v>
      </c>
      <c r="J174" s="35">
        <v>86</v>
      </c>
      <c r="K174" s="35">
        <v>45</v>
      </c>
      <c r="L174" s="35">
        <v>32</v>
      </c>
      <c r="M174" s="35">
        <v>24</v>
      </c>
      <c r="N174" s="35">
        <v>107</v>
      </c>
      <c r="O174" s="74">
        <v>4</v>
      </c>
    </row>
    <row r="175" spans="1:15" ht="19.5" customHeight="1">
      <c r="A175" s="75"/>
      <c r="B175" s="76"/>
      <c r="C175" s="75"/>
      <c r="D175" s="75"/>
      <c r="E175" s="75"/>
      <c r="F175" s="75"/>
      <c r="G175" s="77">
        <v>52</v>
      </c>
      <c r="H175" s="77">
        <v>65</v>
      </c>
      <c r="I175" s="77">
        <v>23</v>
      </c>
      <c r="J175" s="77">
        <v>16</v>
      </c>
      <c r="K175" s="77">
        <v>149</v>
      </c>
      <c r="L175" s="77">
        <v>149</v>
      </c>
      <c r="M175" s="77">
        <v>149</v>
      </c>
      <c r="N175" s="77"/>
      <c r="O175" s="77"/>
    </row>
    <row r="176" spans="1:15" ht="19.5" customHeight="1">
      <c r="A176" s="26" t="s">
        <v>149</v>
      </c>
      <c r="B176" s="25" t="s">
        <v>143</v>
      </c>
      <c r="C176" s="26" t="s">
        <v>55</v>
      </c>
      <c r="D176" s="26" t="s">
        <v>32</v>
      </c>
      <c r="E176" s="26" t="s">
        <v>261</v>
      </c>
      <c r="F176" s="26">
        <v>42</v>
      </c>
      <c r="G176" s="26" t="s">
        <v>34</v>
      </c>
      <c r="H176" s="26">
        <v>54</v>
      </c>
      <c r="I176" s="36">
        <v>43</v>
      </c>
      <c r="J176" s="36">
        <v>24</v>
      </c>
      <c r="K176" s="36">
        <v>18</v>
      </c>
      <c r="L176" s="36">
        <v>28</v>
      </c>
      <c r="M176" s="36">
        <v>26</v>
      </c>
      <c r="N176" s="36">
        <v>28</v>
      </c>
      <c r="O176" s="36">
        <v>73</v>
      </c>
    </row>
    <row r="177" spans="1:15" ht="19.5" customHeight="1">
      <c r="A177" s="72"/>
      <c r="B177" s="73"/>
      <c r="C177" s="72"/>
      <c r="D177" s="72"/>
      <c r="E177" s="72"/>
      <c r="F177" s="72"/>
      <c r="G177" s="35">
        <v>41</v>
      </c>
      <c r="H177" s="35">
        <v>87</v>
      </c>
      <c r="I177" s="35">
        <v>100</v>
      </c>
      <c r="J177" s="35">
        <v>66</v>
      </c>
      <c r="K177" s="35">
        <v>33</v>
      </c>
      <c r="L177" s="35">
        <v>26</v>
      </c>
      <c r="M177" s="35">
        <v>20</v>
      </c>
      <c r="N177" s="35">
        <v>92</v>
      </c>
      <c r="O177" s="74">
        <v>4</v>
      </c>
    </row>
    <row r="178" spans="1:15" ht="19.5" customHeight="1">
      <c r="A178" s="75"/>
      <c r="B178" s="76"/>
      <c r="C178" s="75"/>
      <c r="D178" s="75"/>
      <c r="E178" s="75"/>
      <c r="F178" s="75"/>
      <c r="G178" s="77">
        <v>46</v>
      </c>
      <c r="H178" s="77">
        <v>58</v>
      </c>
      <c r="I178" s="77">
        <v>19</v>
      </c>
      <c r="J178" s="77">
        <v>14</v>
      </c>
      <c r="K178" s="77">
        <v>114</v>
      </c>
      <c r="L178" s="77">
        <v>108</v>
      </c>
      <c r="M178" s="77">
        <v>110</v>
      </c>
      <c r="N178" s="77"/>
      <c r="O178" s="77"/>
    </row>
    <row r="179" spans="1:15" ht="19.5" customHeight="1">
      <c r="A179" s="26" t="s">
        <v>178</v>
      </c>
      <c r="B179" s="25" t="s">
        <v>163</v>
      </c>
      <c r="C179" s="26" t="s">
        <v>55</v>
      </c>
      <c r="D179" s="26" t="s">
        <v>32</v>
      </c>
      <c r="E179" s="26" t="s">
        <v>261</v>
      </c>
      <c r="F179" s="26">
        <v>41</v>
      </c>
      <c r="G179" s="26" t="s">
        <v>34</v>
      </c>
      <c r="H179" s="26">
        <v>55</v>
      </c>
      <c r="I179" s="36">
        <v>43</v>
      </c>
      <c r="J179" s="36">
        <v>24</v>
      </c>
      <c r="K179" s="36">
        <v>19</v>
      </c>
      <c r="L179" s="36">
        <v>29</v>
      </c>
      <c r="M179" s="36">
        <v>27</v>
      </c>
      <c r="N179" s="36">
        <v>29</v>
      </c>
      <c r="O179" s="36">
        <v>68</v>
      </c>
    </row>
    <row r="180" spans="1:15" ht="19.5" customHeight="1">
      <c r="A180" s="72"/>
      <c r="B180" s="73"/>
      <c r="C180" s="72"/>
      <c r="D180" s="72"/>
      <c r="E180" s="72"/>
      <c r="F180" s="72"/>
      <c r="G180" s="35">
        <v>38</v>
      </c>
      <c r="H180" s="35">
        <v>94</v>
      </c>
      <c r="I180" s="35">
        <v>110</v>
      </c>
      <c r="J180" s="35">
        <v>70</v>
      </c>
      <c r="K180" s="35">
        <v>35</v>
      </c>
      <c r="L180" s="35">
        <v>26</v>
      </c>
      <c r="M180" s="35">
        <v>20</v>
      </c>
      <c r="N180" s="35">
        <v>94</v>
      </c>
      <c r="O180" s="74">
        <v>4</v>
      </c>
    </row>
    <row r="181" spans="1:15" ht="19.5" customHeight="1">
      <c r="A181" s="75"/>
      <c r="B181" s="76"/>
      <c r="C181" s="75"/>
      <c r="D181" s="75"/>
      <c r="E181" s="75"/>
      <c r="F181" s="75"/>
      <c r="G181" s="77">
        <v>46</v>
      </c>
      <c r="H181" s="77">
        <v>57</v>
      </c>
      <c r="I181" s="77">
        <v>20</v>
      </c>
      <c r="J181" s="77">
        <v>15</v>
      </c>
      <c r="K181" s="77">
        <v>108</v>
      </c>
      <c r="L181" s="77">
        <v>104</v>
      </c>
      <c r="M181" s="77">
        <v>113</v>
      </c>
      <c r="N181" s="77"/>
      <c r="O181" s="77"/>
    </row>
    <row r="182" spans="1:15" ht="19.5" customHeight="1">
      <c r="A182" s="26" t="s">
        <v>179</v>
      </c>
      <c r="B182" s="25" t="s">
        <v>164</v>
      </c>
      <c r="C182" s="26" t="s">
        <v>55</v>
      </c>
      <c r="D182" s="26" t="s">
        <v>32</v>
      </c>
      <c r="E182" s="26" t="s">
        <v>261</v>
      </c>
      <c r="F182" s="26">
        <v>41</v>
      </c>
      <c r="G182" s="26" t="s">
        <v>36</v>
      </c>
      <c r="H182" s="26">
        <v>56</v>
      </c>
      <c r="I182" s="36">
        <v>42</v>
      </c>
      <c r="J182" s="36">
        <v>24</v>
      </c>
      <c r="K182" s="36">
        <v>17</v>
      </c>
      <c r="L182" s="36">
        <v>27</v>
      </c>
      <c r="M182" s="36">
        <v>25</v>
      </c>
      <c r="N182" s="36">
        <v>27</v>
      </c>
      <c r="O182" s="36">
        <v>70</v>
      </c>
    </row>
    <row r="183" spans="1:15" ht="19.5" customHeight="1">
      <c r="A183" s="72"/>
      <c r="B183" s="73"/>
      <c r="C183" s="72"/>
      <c r="D183" s="72"/>
      <c r="E183" s="72"/>
      <c r="F183" s="72"/>
      <c r="G183" s="35">
        <v>39</v>
      </c>
      <c r="H183" s="35">
        <v>84</v>
      </c>
      <c r="I183" s="35">
        <v>98</v>
      </c>
      <c r="J183" s="35">
        <v>64</v>
      </c>
      <c r="K183" s="35">
        <v>32</v>
      </c>
      <c r="L183" s="35">
        <v>26</v>
      </c>
      <c r="M183" s="35">
        <v>19</v>
      </c>
      <c r="N183" s="35">
        <v>95</v>
      </c>
      <c r="O183" s="74">
        <v>4</v>
      </c>
    </row>
    <row r="184" spans="1:15" ht="19.5" customHeight="1">
      <c r="A184" s="75"/>
      <c r="B184" s="76"/>
      <c r="C184" s="75"/>
      <c r="D184" s="75"/>
      <c r="E184" s="75"/>
      <c r="F184" s="75"/>
      <c r="G184" s="77">
        <v>45</v>
      </c>
      <c r="H184" s="77">
        <v>60</v>
      </c>
      <c r="I184" s="77">
        <v>19</v>
      </c>
      <c r="J184" s="77">
        <v>14</v>
      </c>
      <c r="K184" s="77">
        <v>106</v>
      </c>
      <c r="L184" s="77">
        <v>92</v>
      </c>
      <c r="M184" s="77">
        <v>106</v>
      </c>
      <c r="N184" s="77"/>
      <c r="O184" s="77"/>
    </row>
    <row r="185" spans="1:15" ht="19.5" customHeight="1">
      <c r="A185" s="26" t="s">
        <v>209</v>
      </c>
      <c r="B185" s="25" t="s">
        <v>210</v>
      </c>
      <c r="C185" s="26" t="s">
        <v>55</v>
      </c>
      <c r="D185" s="26" t="s">
        <v>32</v>
      </c>
      <c r="E185" s="26" t="s">
        <v>261</v>
      </c>
      <c r="F185" s="26">
        <v>41</v>
      </c>
      <c r="G185" s="26"/>
      <c r="H185" s="26">
        <v>56</v>
      </c>
      <c r="I185" s="36" t="s">
        <v>173</v>
      </c>
      <c r="J185" s="36" t="s">
        <v>211</v>
      </c>
      <c r="K185" s="36" t="s">
        <v>212</v>
      </c>
      <c r="L185" s="36" t="s">
        <v>157</v>
      </c>
      <c r="M185" s="36" t="s">
        <v>211</v>
      </c>
      <c r="N185" s="36" t="s">
        <v>157</v>
      </c>
      <c r="O185" s="36" t="s">
        <v>176</v>
      </c>
    </row>
    <row r="186" spans="1:15" ht="19.5" customHeight="1">
      <c r="A186" s="72"/>
      <c r="B186" s="73"/>
      <c r="C186" s="72"/>
      <c r="D186" s="72"/>
      <c r="E186" s="72"/>
      <c r="F186" s="72"/>
      <c r="G186" s="35" t="s">
        <v>159</v>
      </c>
      <c r="H186" s="35" t="s">
        <v>213</v>
      </c>
      <c r="I186" s="35" t="s">
        <v>214</v>
      </c>
      <c r="J186" s="35" t="s">
        <v>215</v>
      </c>
      <c r="K186" s="35" t="s">
        <v>216</v>
      </c>
      <c r="L186" s="35" t="s">
        <v>154</v>
      </c>
      <c r="M186" s="35" t="s">
        <v>166</v>
      </c>
      <c r="N186" s="35" t="s">
        <v>217</v>
      </c>
      <c r="O186" s="74">
        <v>8</v>
      </c>
    </row>
    <row r="187" spans="1:15" ht="19.5" customHeight="1">
      <c r="A187" s="75"/>
      <c r="B187" s="76"/>
      <c r="C187" s="75"/>
      <c r="D187" s="75"/>
      <c r="E187" s="75"/>
      <c r="F187" s="75"/>
      <c r="G187" s="77">
        <v>41</v>
      </c>
      <c r="H187" s="77">
        <v>55</v>
      </c>
      <c r="I187" s="77">
        <v>18</v>
      </c>
      <c r="J187" s="77">
        <v>14</v>
      </c>
      <c r="K187" s="77">
        <v>93</v>
      </c>
      <c r="L187" s="77">
        <v>83</v>
      </c>
      <c r="M187" s="77">
        <v>96</v>
      </c>
      <c r="N187" s="77"/>
      <c r="O187" s="77"/>
    </row>
    <row r="188" spans="1:15" ht="19.5" customHeight="1">
      <c r="A188" s="26" t="s">
        <v>244</v>
      </c>
      <c r="B188" s="25" t="s">
        <v>218</v>
      </c>
      <c r="C188" s="26" t="s">
        <v>55</v>
      </c>
      <c r="D188" s="26" t="s">
        <v>32</v>
      </c>
      <c r="E188" s="26" t="s">
        <v>261</v>
      </c>
      <c r="F188" s="26">
        <v>40</v>
      </c>
      <c r="G188" s="26" t="s">
        <v>33</v>
      </c>
      <c r="H188" s="26">
        <v>56</v>
      </c>
      <c r="I188" s="36" t="s">
        <v>222</v>
      </c>
      <c r="J188" s="36" t="s">
        <v>160</v>
      </c>
      <c r="K188" s="36" t="s">
        <v>166</v>
      </c>
      <c r="L188" s="36" t="s">
        <v>224</v>
      </c>
      <c r="M188" s="36" t="s">
        <v>216</v>
      </c>
      <c r="N188" s="36" t="s">
        <v>224</v>
      </c>
      <c r="O188" s="36" t="s">
        <v>225</v>
      </c>
    </row>
    <row r="189" spans="1:15" ht="19.5" customHeight="1">
      <c r="A189" s="72"/>
      <c r="B189" s="73"/>
      <c r="C189" s="72"/>
      <c r="D189" s="72"/>
      <c r="E189" s="72"/>
      <c r="F189" s="72"/>
      <c r="G189" s="35" t="s">
        <v>223</v>
      </c>
      <c r="H189" s="35" t="s">
        <v>226</v>
      </c>
      <c r="I189" s="35" t="s">
        <v>227</v>
      </c>
      <c r="J189" s="35" t="s">
        <v>158</v>
      </c>
      <c r="K189" s="35" t="s">
        <v>171</v>
      </c>
      <c r="L189" s="35" t="s">
        <v>156</v>
      </c>
      <c r="M189" s="35" t="s">
        <v>228</v>
      </c>
      <c r="N189" s="35" t="s">
        <v>162</v>
      </c>
      <c r="O189" s="74">
        <v>8</v>
      </c>
    </row>
    <row r="190" spans="1:15" ht="19.5" customHeight="1">
      <c r="A190" s="75"/>
      <c r="B190" s="76"/>
      <c r="C190" s="75"/>
      <c r="D190" s="75"/>
      <c r="E190" s="75"/>
      <c r="F190" s="75"/>
      <c r="G190" s="77">
        <v>48</v>
      </c>
      <c r="H190" s="77">
        <v>59</v>
      </c>
      <c r="I190" s="77">
        <v>20</v>
      </c>
      <c r="J190" s="77">
        <v>15</v>
      </c>
      <c r="K190" s="77">
        <v>110</v>
      </c>
      <c r="L190" s="77">
        <v>108</v>
      </c>
      <c r="M190" s="77">
        <v>116</v>
      </c>
      <c r="N190" s="77"/>
      <c r="O190" s="77"/>
    </row>
    <row r="191" spans="1:15" ht="19.5" customHeight="1">
      <c r="A191" s="26" t="s">
        <v>245</v>
      </c>
      <c r="B191" s="25" t="s">
        <v>219</v>
      </c>
      <c r="C191" s="26" t="s">
        <v>55</v>
      </c>
      <c r="D191" s="26" t="s">
        <v>32</v>
      </c>
      <c r="E191" s="26" t="s">
        <v>261</v>
      </c>
      <c r="F191" s="26">
        <v>41</v>
      </c>
      <c r="G191" s="26" t="s">
        <v>36</v>
      </c>
      <c r="H191" s="26">
        <v>55</v>
      </c>
      <c r="I191" s="36" t="s">
        <v>165</v>
      </c>
      <c r="J191" s="36" t="s">
        <v>160</v>
      </c>
      <c r="K191" s="36" t="s">
        <v>229</v>
      </c>
      <c r="L191" s="36" t="s">
        <v>167</v>
      </c>
      <c r="M191" s="36" t="s">
        <v>230</v>
      </c>
      <c r="N191" s="36" t="s">
        <v>167</v>
      </c>
      <c r="O191" s="36" t="s">
        <v>168</v>
      </c>
    </row>
    <row r="192" spans="1:15" ht="19.5" customHeight="1">
      <c r="A192" s="72"/>
      <c r="B192" s="73"/>
      <c r="C192" s="72"/>
      <c r="D192" s="72"/>
      <c r="E192" s="72"/>
      <c r="F192" s="72"/>
      <c r="G192" s="35" t="s">
        <v>165</v>
      </c>
      <c r="H192" s="35" t="s">
        <v>231</v>
      </c>
      <c r="I192" s="35" t="s">
        <v>232</v>
      </c>
      <c r="J192" s="35" t="s">
        <v>176</v>
      </c>
      <c r="K192" s="35" t="s">
        <v>233</v>
      </c>
      <c r="L192" s="35" t="s">
        <v>160</v>
      </c>
      <c r="M192" s="35" t="s">
        <v>166</v>
      </c>
      <c r="N192" s="35" t="s">
        <v>169</v>
      </c>
      <c r="O192" s="74">
        <v>8</v>
      </c>
    </row>
    <row r="193" spans="1:15" ht="19.5" customHeight="1">
      <c r="A193" s="75"/>
      <c r="B193" s="76"/>
      <c r="C193" s="75"/>
      <c r="D193" s="75"/>
      <c r="E193" s="75"/>
      <c r="F193" s="75"/>
      <c r="G193" s="77">
        <v>46</v>
      </c>
      <c r="H193" s="77">
        <v>58</v>
      </c>
      <c r="I193" s="77">
        <v>19</v>
      </c>
      <c r="J193" s="77">
        <v>14</v>
      </c>
      <c r="K193" s="77">
        <v>102</v>
      </c>
      <c r="L193" s="77">
        <v>100</v>
      </c>
      <c r="M193" s="77">
        <v>107</v>
      </c>
      <c r="N193" s="77"/>
      <c r="O193" s="77"/>
    </row>
    <row r="194" spans="1:15" ht="19.5" customHeight="1">
      <c r="A194" s="26" t="s">
        <v>246</v>
      </c>
      <c r="B194" s="25" t="s">
        <v>234</v>
      </c>
      <c r="C194" s="26" t="s">
        <v>55</v>
      </c>
      <c r="D194" s="26" t="s">
        <v>32</v>
      </c>
      <c r="E194" s="26" t="s">
        <v>261</v>
      </c>
      <c r="F194" s="26">
        <v>42</v>
      </c>
      <c r="G194" s="26" t="s">
        <v>34</v>
      </c>
      <c r="H194" s="26">
        <v>55</v>
      </c>
      <c r="I194" s="36" t="s">
        <v>165</v>
      </c>
      <c r="J194" s="36" t="s">
        <v>157</v>
      </c>
      <c r="K194" s="36" t="s">
        <v>229</v>
      </c>
      <c r="L194" s="36" t="s">
        <v>230</v>
      </c>
      <c r="M194" s="36" t="s">
        <v>230</v>
      </c>
      <c r="N194" s="36" t="s">
        <v>230</v>
      </c>
      <c r="O194" s="36" t="s">
        <v>158</v>
      </c>
    </row>
    <row r="195" spans="1:15" ht="19.5" customHeight="1">
      <c r="A195" s="72"/>
      <c r="B195" s="73"/>
      <c r="C195" s="72"/>
      <c r="D195" s="72"/>
      <c r="E195" s="72"/>
      <c r="F195" s="72"/>
      <c r="G195" s="35" t="s">
        <v>172</v>
      </c>
      <c r="H195" s="35" t="s">
        <v>235</v>
      </c>
      <c r="I195" s="35" t="s">
        <v>236</v>
      </c>
      <c r="J195" s="35" t="s">
        <v>215</v>
      </c>
      <c r="K195" s="35" t="s">
        <v>237</v>
      </c>
      <c r="L195" s="35" t="s">
        <v>160</v>
      </c>
      <c r="M195" s="35" t="s">
        <v>166</v>
      </c>
      <c r="N195" s="35" t="s">
        <v>238</v>
      </c>
      <c r="O195" s="74">
        <v>8</v>
      </c>
    </row>
    <row r="196" spans="1:15" ht="19.5" customHeight="1">
      <c r="A196" s="75"/>
      <c r="B196" s="76"/>
      <c r="C196" s="75"/>
      <c r="D196" s="75"/>
      <c r="E196" s="75"/>
      <c r="F196" s="75"/>
      <c r="G196" s="77">
        <v>46</v>
      </c>
      <c r="H196" s="77">
        <v>62</v>
      </c>
      <c r="I196" s="77">
        <v>19</v>
      </c>
      <c r="J196" s="77">
        <v>14</v>
      </c>
      <c r="K196" s="77">
        <v>98</v>
      </c>
      <c r="L196" s="77">
        <v>94</v>
      </c>
      <c r="M196" s="77">
        <v>105</v>
      </c>
      <c r="N196" s="77"/>
      <c r="O196" s="77"/>
    </row>
    <row r="197" spans="1:15" ht="19.5" customHeight="1">
      <c r="A197" s="26" t="s">
        <v>247</v>
      </c>
      <c r="B197" s="25" t="s">
        <v>220</v>
      </c>
      <c r="C197" s="26" t="s">
        <v>55</v>
      </c>
      <c r="D197" s="26" t="s">
        <v>32</v>
      </c>
      <c r="E197" s="26" t="s">
        <v>261</v>
      </c>
      <c r="F197" s="26">
        <v>42</v>
      </c>
      <c r="G197" s="26" t="s">
        <v>33</v>
      </c>
      <c r="H197" s="26">
        <v>55</v>
      </c>
      <c r="I197" s="36" t="s">
        <v>239</v>
      </c>
      <c r="J197" s="36" t="s">
        <v>160</v>
      </c>
      <c r="K197" s="36" t="s">
        <v>166</v>
      </c>
      <c r="L197" s="36" t="s">
        <v>216</v>
      </c>
      <c r="M197" s="36" t="s">
        <v>216</v>
      </c>
      <c r="N197" s="36" t="s">
        <v>216</v>
      </c>
      <c r="O197" s="36" t="s">
        <v>225</v>
      </c>
    </row>
    <row r="198" spans="1:15" ht="19.5" customHeight="1">
      <c r="A198" s="72"/>
      <c r="B198" s="73"/>
      <c r="C198" s="72"/>
      <c r="D198" s="72"/>
      <c r="E198" s="72"/>
      <c r="F198" s="72"/>
      <c r="G198" s="35" t="s">
        <v>165</v>
      </c>
      <c r="H198" s="35" t="s">
        <v>175</v>
      </c>
      <c r="I198" s="35" t="s">
        <v>240</v>
      </c>
      <c r="J198" s="35" t="s">
        <v>241</v>
      </c>
      <c r="K198" s="35" t="s">
        <v>171</v>
      </c>
      <c r="L198" s="35" t="s">
        <v>157</v>
      </c>
      <c r="M198" s="35" t="s">
        <v>228</v>
      </c>
      <c r="N198" s="35" t="s">
        <v>175</v>
      </c>
      <c r="O198" s="74">
        <v>8</v>
      </c>
    </row>
    <row r="199" spans="1:15" ht="19.5" customHeight="1">
      <c r="A199" s="75"/>
      <c r="B199" s="76"/>
      <c r="C199" s="75"/>
      <c r="D199" s="75"/>
      <c r="E199" s="75"/>
      <c r="F199" s="75"/>
      <c r="G199" s="77">
        <v>50</v>
      </c>
      <c r="H199" s="77">
        <v>59</v>
      </c>
      <c r="I199" s="77">
        <v>20</v>
      </c>
      <c r="J199" s="77">
        <v>15</v>
      </c>
      <c r="K199" s="77">
        <v>112</v>
      </c>
      <c r="L199" s="77">
        <v>105</v>
      </c>
      <c r="M199" s="77">
        <v>116</v>
      </c>
      <c r="N199" s="77"/>
      <c r="O199" s="77"/>
    </row>
    <row r="200" spans="1:15" ht="19.5" customHeight="1">
      <c r="A200" s="26" t="s">
        <v>248</v>
      </c>
      <c r="B200" s="25" t="s">
        <v>221</v>
      </c>
      <c r="C200" s="26" t="s">
        <v>55</v>
      </c>
      <c r="D200" s="26" t="s">
        <v>32</v>
      </c>
      <c r="E200" s="26" t="s">
        <v>261</v>
      </c>
      <c r="F200" s="26">
        <v>42</v>
      </c>
      <c r="G200" s="26" t="s">
        <v>34</v>
      </c>
      <c r="H200" s="26">
        <v>60</v>
      </c>
      <c r="I200" s="36" t="s">
        <v>165</v>
      </c>
      <c r="J200" s="36" t="s">
        <v>160</v>
      </c>
      <c r="K200" s="36" t="s">
        <v>229</v>
      </c>
      <c r="L200" s="36" t="s">
        <v>230</v>
      </c>
      <c r="M200" s="36" t="s">
        <v>230</v>
      </c>
      <c r="N200" s="36" t="s">
        <v>230</v>
      </c>
      <c r="O200" s="36" t="s">
        <v>225</v>
      </c>
    </row>
    <row r="201" spans="1:15" ht="19.5" customHeight="1">
      <c r="A201" s="72"/>
      <c r="B201" s="73"/>
      <c r="C201" s="72"/>
      <c r="D201" s="72"/>
      <c r="E201" s="72"/>
      <c r="F201" s="72"/>
      <c r="G201" s="35" t="s">
        <v>165</v>
      </c>
      <c r="H201" s="35" t="s">
        <v>242</v>
      </c>
      <c r="I201" s="35" t="s">
        <v>232</v>
      </c>
      <c r="J201" s="35" t="s">
        <v>243</v>
      </c>
      <c r="K201" s="35" t="s">
        <v>233</v>
      </c>
      <c r="L201" s="35" t="s">
        <v>157</v>
      </c>
      <c r="M201" s="35" t="s">
        <v>161</v>
      </c>
      <c r="N201" s="35" t="s">
        <v>226</v>
      </c>
      <c r="O201" s="74">
        <v>8</v>
      </c>
    </row>
    <row r="202" spans="1:15" ht="19.5" customHeight="1">
      <c r="A202" s="75"/>
      <c r="B202" s="76"/>
      <c r="C202" s="75"/>
      <c r="D202" s="75"/>
      <c r="E202" s="75"/>
      <c r="F202" s="75"/>
      <c r="G202" s="77">
        <v>46</v>
      </c>
      <c r="H202" s="77">
        <v>59</v>
      </c>
      <c r="I202" s="77">
        <v>19</v>
      </c>
      <c r="J202" s="77">
        <v>14</v>
      </c>
      <c r="K202" s="77">
        <v>100</v>
      </c>
      <c r="L202" s="77">
        <v>95</v>
      </c>
      <c r="M202" s="77">
        <v>107</v>
      </c>
      <c r="N202" s="77"/>
      <c r="O202" s="77"/>
    </row>
    <row r="203" spans="1:15" ht="19.5" customHeight="1">
      <c r="A203" s="26"/>
      <c r="B203" s="25"/>
      <c r="C203" s="26"/>
      <c r="D203" s="26"/>
      <c r="E203" s="26"/>
      <c r="F203" s="26"/>
      <c r="G203" s="26"/>
      <c r="H203" s="26"/>
      <c r="I203" s="36"/>
      <c r="J203" s="36"/>
      <c r="K203" s="36"/>
      <c r="L203" s="36"/>
      <c r="M203" s="36"/>
      <c r="N203" s="36"/>
      <c r="O203" s="36"/>
    </row>
    <row r="204" spans="1:15" ht="19.5" customHeight="1">
      <c r="A204" s="72"/>
      <c r="B204" s="73"/>
      <c r="C204" s="72"/>
      <c r="D204" s="72"/>
      <c r="E204" s="72"/>
      <c r="F204" s="72"/>
      <c r="G204" s="35"/>
      <c r="H204" s="35"/>
      <c r="I204" s="35"/>
      <c r="J204" s="35"/>
      <c r="K204" s="35"/>
      <c r="L204" s="35"/>
      <c r="M204" s="35"/>
      <c r="N204" s="35"/>
      <c r="O204" s="74"/>
    </row>
    <row r="205" spans="1:15" ht="19.5" customHeight="1">
      <c r="A205" s="75"/>
      <c r="B205" s="76"/>
      <c r="C205" s="75"/>
      <c r="D205" s="75"/>
      <c r="E205" s="75"/>
      <c r="F205" s="75"/>
      <c r="G205" s="77"/>
      <c r="H205" s="77"/>
      <c r="I205" s="77"/>
      <c r="J205" s="77"/>
      <c r="K205" s="77"/>
      <c r="L205" s="77"/>
      <c r="M205" s="77"/>
      <c r="N205" s="77"/>
      <c r="O205" s="77"/>
    </row>
    <row r="206" spans="1:15" ht="19.5" customHeight="1">
      <c r="A206" s="26"/>
      <c r="B206" s="25"/>
      <c r="C206" s="26"/>
      <c r="D206" s="26"/>
      <c r="E206" s="26"/>
      <c r="F206" s="26"/>
      <c r="G206" s="26"/>
      <c r="H206" s="26"/>
      <c r="I206" s="36"/>
      <c r="J206" s="36"/>
      <c r="K206" s="36"/>
      <c r="L206" s="36"/>
      <c r="M206" s="36"/>
      <c r="N206" s="36"/>
      <c r="O206" s="36"/>
    </row>
    <row r="207" spans="1:15" ht="19.5" customHeight="1">
      <c r="A207" s="72"/>
      <c r="B207" s="73"/>
      <c r="C207" s="72"/>
      <c r="D207" s="72"/>
      <c r="E207" s="72"/>
      <c r="F207" s="72"/>
      <c r="G207" s="35"/>
      <c r="H207" s="35"/>
      <c r="I207" s="35"/>
      <c r="J207" s="35"/>
      <c r="K207" s="35"/>
      <c r="L207" s="35"/>
      <c r="M207" s="35"/>
      <c r="N207" s="35"/>
      <c r="O207" s="74"/>
    </row>
    <row r="208" spans="1:15" ht="19.5" customHeight="1">
      <c r="A208" s="75"/>
      <c r="B208" s="76"/>
      <c r="C208" s="75"/>
      <c r="D208" s="75"/>
      <c r="E208" s="75"/>
      <c r="F208" s="75"/>
      <c r="G208" s="77"/>
      <c r="H208" s="77"/>
      <c r="I208" s="77"/>
      <c r="J208" s="77"/>
      <c r="K208" s="77"/>
      <c r="L208" s="77"/>
      <c r="M208" s="77"/>
      <c r="N208" s="77"/>
      <c r="O208" s="77"/>
    </row>
    <row r="209" spans="1:15" ht="19.5" customHeight="1">
      <c r="A209" s="26"/>
      <c r="B209" s="25"/>
      <c r="C209" s="26"/>
      <c r="D209" s="26"/>
      <c r="E209" s="26"/>
      <c r="F209" s="26"/>
      <c r="G209" s="26"/>
      <c r="H209" s="26"/>
      <c r="I209" s="36"/>
      <c r="J209" s="36"/>
      <c r="K209" s="36"/>
      <c r="L209" s="36"/>
      <c r="M209" s="36"/>
      <c r="N209" s="36"/>
      <c r="O209" s="36"/>
    </row>
    <row r="210" spans="1:15" ht="19.5" customHeight="1">
      <c r="A210" s="72"/>
      <c r="B210" s="73"/>
      <c r="C210" s="72"/>
      <c r="D210" s="72"/>
      <c r="E210" s="72"/>
      <c r="F210" s="72"/>
      <c r="G210" s="35"/>
      <c r="H210" s="35"/>
      <c r="I210" s="35"/>
      <c r="J210" s="35"/>
      <c r="K210" s="35"/>
      <c r="L210" s="35"/>
      <c r="M210" s="35"/>
      <c r="N210" s="35"/>
      <c r="O210" s="74"/>
    </row>
    <row r="211" spans="1:15" ht="19.5" customHeight="1">
      <c r="A211" s="75"/>
      <c r="B211" s="76"/>
      <c r="C211" s="75"/>
      <c r="D211" s="75"/>
      <c r="E211" s="75"/>
      <c r="F211" s="75"/>
      <c r="G211" s="77"/>
      <c r="H211" s="77"/>
      <c r="I211" s="77"/>
      <c r="J211" s="77"/>
      <c r="K211" s="77"/>
      <c r="L211" s="77"/>
      <c r="M211" s="77"/>
      <c r="N211" s="77"/>
      <c r="O211" s="77"/>
    </row>
    <row r="212" spans="1:15" ht="19.5" customHeight="1">
      <c r="A212" s="26"/>
      <c r="B212" s="25"/>
      <c r="C212" s="26"/>
      <c r="D212" s="26"/>
      <c r="E212" s="26"/>
      <c r="F212" s="26"/>
      <c r="G212" s="26"/>
      <c r="H212" s="26"/>
      <c r="I212" s="36"/>
      <c r="J212" s="36"/>
      <c r="K212" s="36"/>
      <c r="L212" s="36"/>
      <c r="M212" s="36"/>
      <c r="N212" s="36"/>
      <c r="O212" s="36"/>
    </row>
    <row r="213" spans="1:15" ht="19.5" customHeight="1">
      <c r="A213" s="72"/>
      <c r="B213" s="73"/>
      <c r="C213" s="72"/>
      <c r="D213" s="72"/>
      <c r="E213" s="72"/>
      <c r="F213" s="72"/>
      <c r="G213" s="35"/>
      <c r="H213" s="35"/>
      <c r="I213" s="35"/>
      <c r="J213" s="35"/>
      <c r="K213" s="35"/>
      <c r="L213" s="35"/>
      <c r="M213" s="35"/>
      <c r="N213" s="35"/>
      <c r="O213" s="74"/>
    </row>
    <row r="214" spans="1:15" ht="19.5" customHeight="1">
      <c r="A214" s="75"/>
      <c r="B214" s="76"/>
      <c r="C214" s="75"/>
      <c r="D214" s="75"/>
      <c r="E214" s="75"/>
      <c r="F214" s="75"/>
      <c r="G214" s="77"/>
      <c r="H214" s="77"/>
      <c r="I214" s="77"/>
      <c r="J214" s="77"/>
      <c r="K214" s="77"/>
      <c r="L214" s="77"/>
      <c r="M214" s="77"/>
      <c r="N214" s="77"/>
      <c r="O214" s="77"/>
    </row>
    <row r="215" spans="1:15" ht="19.5" customHeight="1">
      <c r="A215" s="26"/>
      <c r="B215" s="25"/>
      <c r="C215" s="26"/>
      <c r="D215" s="26"/>
      <c r="E215" s="26"/>
      <c r="F215" s="26"/>
      <c r="G215" s="26"/>
      <c r="H215" s="26"/>
      <c r="I215" s="36"/>
      <c r="J215" s="36"/>
      <c r="K215" s="36"/>
      <c r="L215" s="36"/>
      <c r="M215" s="36"/>
      <c r="N215" s="36"/>
      <c r="O215" s="36"/>
    </row>
    <row r="216" spans="1:15" ht="19.5" customHeight="1">
      <c r="A216" s="72"/>
      <c r="B216" s="73"/>
      <c r="C216" s="72"/>
      <c r="D216" s="72"/>
      <c r="E216" s="72"/>
      <c r="F216" s="72"/>
      <c r="G216" s="35"/>
      <c r="H216" s="35"/>
      <c r="I216" s="35"/>
      <c r="J216" s="35"/>
      <c r="K216" s="35"/>
      <c r="L216" s="35"/>
      <c r="M216" s="35"/>
      <c r="N216" s="35"/>
      <c r="O216" s="74"/>
    </row>
    <row r="217" spans="1:15" ht="19.5" customHeight="1">
      <c r="A217" s="75"/>
      <c r="B217" s="76"/>
      <c r="C217" s="75"/>
      <c r="D217" s="75"/>
      <c r="E217" s="75"/>
      <c r="F217" s="75"/>
      <c r="G217" s="77"/>
      <c r="H217" s="77"/>
      <c r="I217" s="77"/>
      <c r="J217" s="77"/>
      <c r="K217" s="77"/>
      <c r="L217" s="77"/>
      <c r="M217" s="77"/>
      <c r="N217" s="77"/>
      <c r="O217" s="77"/>
    </row>
    <row r="218" spans="1:15" ht="19.5" customHeight="1">
      <c r="A218" s="26"/>
      <c r="B218" s="25"/>
      <c r="C218" s="26"/>
      <c r="D218" s="26"/>
      <c r="E218" s="26"/>
      <c r="F218" s="26"/>
      <c r="G218" s="26"/>
      <c r="H218" s="26"/>
      <c r="I218" s="36"/>
      <c r="J218" s="36"/>
      <c r="K218" s="36"/>
      <c r="L218" s="36"/>
      <c r="M218" s="36"/>
      <c r="N218" s="36"/>
      <c r="O218" s="36"/>
    </row>
    <row r="219" spans="1:15" ht="19.5" customHeight="1">
      <c r="A219" s="72"/>
      <c r="B219" s="73"/>
      <c r="C219" s="72"/>
      <c r="D219" s="72"/>
      <c r="E219" s="72"/>
      <c r="F219" s="72"/>
      <c r="G219" s="35"/>
      <c r="H219" s="35"/>
      <c r="I219" s="35"/>
      <c r="J219" s="35"/>
      <c r="K219" s="35"/>
      <c r="L219" s="35"/>
      <c r="M219" s="35"/>
      <c r="N219" s="35"/>
      <c r="O219" s="74"/>
    </row>
    <row r="220" spans="1:15" ht="19.5" customHeight="1">
      <c r="A220" s="75"/>
      <c r="B220" s="76"/>
      <c r="C220" s="75"/>
      <c r="D220" s="75"/>
      <c r="E220" s="75"/>
      <c r="F220" s="75"/>
      <c r="G220" s="77"/>
      <c r="H220" s="77"/>
      <c r="I220" s="77"/>
      <c r="J220" s="77"/>
      <c r="K220" s="77"/>
      <c r="L220" s="77"/>
      <c r="M220" s="77"/>
      <c r="N220" s="77"/>
      <c r="O220" s="77"/>
    </row>
    <row r="221" spans="1:15" ht="19.5" customHeight="1">
      <c r="A221" s="26"/>
      <c r="B221" s="25"/>
      <c r="C221" s="26"/>
      <c r="D221" s="26"/>
      <c r="E221" s="26"/>
      <c r="F221" s="26"/>
      <c r="G221" s="26"/>
      <c r="H221" s="26"/>
      <c r="I221" s="36"/>
      <c r="J221" s="36"/>
      <c r="K221" s="36"/>
      <c r="L221" s="36"/>
      <c r="M221" s="36"/>
      <c r="N221" s="36"/>
      <c r="O221" s="36"/>
    </row>
    <row r="222" spans="1:15" ht="19.5" customHeight="1">
      <c r="A222" s="72"/>
      <c r="B222" s="73"/>
      <c r="C222" s="72"/>
      <c r="D222" s="72"/>
      <c r="E222" s="72"/>
      <c r="F222" s="72"/>
      <c r="G222" s="35"/>
      <c r="H222" s="35"/>
      <c r="I222" s="35"/>
      <c r="J222" s="35"/>
      <c r="K222" s="35"/>
      <c r="L222" s="35"/>
      <c r="M222" s="35"/>
      <c r="N222" s="35"/>
      <c r="O222" s="74"/>
    </row>
    <row r="223" spans="1:15" ht="19.5" customHeight="1">
      <c r="A223" s="75"/>
      <c r="B223" s="76"/>
      <c r="C223" s="75"/>
      <c r="D223" s="75"/>
      <c r="E223" s="75"/>
      <c r="F223" s="75"/>
      <c r="G223" s="77"/>
      <c r="H223" s="77"/>
      <c r="I223" s="77"/>
      <c r="J223" s="77"/>
      <c r="K223" s="77"/>
      <c r="L223" s="77"/>
      <c r="M223" s="77"/>
      <c r="N223" s="77"/>
      <c r="O223" s="77"/>
    </row>
    <row r="224" spans="1:15" ht="19.5" customHeight="1">
      <c r="A224" s="26"/>
      <c r="B224" s="25"/>
      <c r="C224" s="26"/>
      <c r="D224" s="26"/>
      <c r="E224" s="26"/>
      <c r="F224" s="26"/>
      <c r="G224" s="26"/>
      <c r="H224" s="26"/>
      <c r="I224" s="36"/>
      <c r="J224" s="36"/>
      <c r="K224" s="36"/>
      <c r="L224" s="36"/>
      <c r="M224" s="36"/>
      <c r="N224" s="36"/>
      <c r="O224" s="36"/>
    </row>
    <row r="225" spans="1:15" ht="19.5" customHeight="1">
      <c r="A225" s="72"/>
      <c r="B225" s="73"/>
      <c r="C225" s="72"/>
      <c r="D225" s="72"/>
      <c r="E225" s="72"/>
      <c r="F225" s="72"/>
      <c r="G225" s="35"/>
      <c r="H225" s="35"/>
      <c r="I225" s="35"/>
      <c r="J225" s="35"/>
      <c r="K225" s="35"/>
      <c r="L225" s="35"/>
      <c r="M225" s="35"/>
      <c r="N225" s="35"/>
      <c r="O225" s="74"/>
    </row>
    <row r="226" spans="1:15" ht="19.5" customHeight="1">
      <c r="A226" s="75"/>
      <c r="B226" s="76"/>
      <c r="C226" s="75"/>
      <c r="D226" s="75"/>
      <c r="E226" s="75"/>
      <c r="F226" s="75"/>
      <c r="G226" s="77"/>
      <c r="H226" s="77"/>
      <c r="I226" s="77"/>
      <c r="J226" s="77"/>
      <c r="K226" s="77"/>
      <c r="L226" s="77"/>
      <c r="M226" s="77"/>
      <c r="N226" s="77"/>
      <c r="O226" s="77"/>
    </row>
    <row r="227" spans="1:15" ht="19.5" customHeight="1">
      <c r="A227" s="26"/>
      <c r="B227" s="25"/>
      <c r="C227" s="26"/>
      <c r="D227" s="26"/>
      <c r="E227" s="26"/>
      <c r="F227" s="26"/>
      <c r="G227" s="26"/>
      <c r="H227" s="26"/>
      <c r="I227" s="36"/>
      <c r="J227" s="36"/>
      <c r="K227" s="36"/>
      <c r="L227" s="36"/>
      <c r="M227" s="36"/>
      <c r="N227" s="36"/>
      <c r="O227" s="36"/>
    </row>
    <row r="228" spans="1:15" ht="19.5" customHeight="1">
      <c r="A228" s="72"/>
      <c r="B228" s="73"/>
      <c r="C228" s="72"/>
      <c r="D228" s="72"/>
      <c r="E228" s="72"/>
      <c r="F228" s="72"/>
      <c r="G228" s="35"/>
      <c r="H228" s="35"/>
      <c r="I228" s="35"/>
      <c r="J228" s="35"/>
      <c r="K228" s="35"/>
      <c r="L228" s="35"/>
      <c r="M228" s="35"/>
      <c r="N228" s="35"/>
      <c r="O228" s="74"/>
    </row>
    <row r="229" spans="1:15" ht="19.5" customHeight="1">
      <c r="A229" s="75"/>
      <c r="B229" s="76"/>
      <c r="C229" s="75"/>
      <c r="D229" s="75"/>
      <c r="E229" s="75"/>
      <c r="F229" s="75"/>
      <c r="G229" s="77"/>
      <c r="H229" s="77"/>
      <c r="I229" s="77"/>
      <c r="J229" s="77"/>
      <c r="K229" s="77"/>
      <c r="L229" s="77"/>
      <c r="M229" s="77"/>
      <c r="N229" s="77"/>
      <c r="O229" s="77"/>
    </row>
    <row r="230" spans="1:15" ht="19.5" customHeight="1">
      <c r="A230" s="26"/>
      <c r="B230" s="25"/>
      <c r="C230" s="26"/>
      <c r="D230" s="26"/>
      <c r="E230" s="26"/>
      <c r="F230" s="26"/>
      <c r="G230" s="26"/>
      <c r="H230" s="26"/>
      <c r="I230" s="36"/>
      <c r="J230" s="36"/>
      <c r="K230" s="36"/>
      <c r="L230" s="36"/>
      <c r="M230" s="36"/>
      <c r="N230" s="36"/>
      <c r="O230" s="36"/>
    </row>
    <row r="231" spans="1:15" ht="19.5" customHeight="1">
      <c r="A231" s="72"/>
      <c r="B231" s="73"/>
      <c r="C231" s="72"/>
      <c r="D231" s="72"/>
      <c r="E231" s="72"/>
      <c r="F231" s="72"/>
      <c r="G231" s="35"/>
      <c r="H231" s="35"/>
      <c r="I231" s="35"/>
      <c r="J231" s="35"/>
      <c r="K231" s="35"/>
      <c r="L231" s="35"/>
      <c r="M231" s="35"/>
      <c r="N231" s="35"/>
      <c r="O231" s="74"/>
    </row>
    <row r="232" spans="1:15" ht="19.5" customHeight="1">
      <c r="A232" s="75"/>
      <c r="B232" s="76"/>
      <c r="C232" s="75"/>
      <c r="D232" s="75"/>
      <c r="E232" s="75"/>
      <c r="F232" s="75"/>
      <c r="G232" s="77"/>
      <c r="H232" s="77"/>
      <c r="I232" s="77"/>
      <c r="J232" s="77"/>
      <c r="K232" s="77"/>
      <c r="L232" s="77"/>
      <c r="M232" s="77"/>
      <c r="N232" s="77"/>
      <c r="O232" s="77"/>
    </row>
    <row r="233" spans="1:15" ht="19.5" customHeight="1">
      <c r="A233" s="26"/>
      <c r="B233" s="25"/>
      <c r="C233" s="26"/>
      <c r="D233" s="26"/>
      <c r="E233" s="26"/>
      <c r="F233" s="26"/>
      <c r="G233" s="26"/>
      <c r="H233" s="26"/>
      <c r="I233" s="36"/>
      <c r="J233" s="36"/>
      <c r="K233" s="36"/>
      <c r="L233" s="36"/>
      <c r="M233" s="36"/>
      <c r="N233" s="36"/>
      <c r="O233" s="36"/>
    </row>
    <row r="234" spans="1:15" ht="19.5" customHeight="1">
      <c r="A234" s="72"/>
      <c r="B234" s="73"/>
      <c r="C234" s="72"/>
      <c r="D234" s="72"/>
      <c r="E234" s="72"/>
      <c r="F234" s="72"/>
      <c r="G234" s="35"/>
      <c r="H234" s="35"/>
      <c r="I234" s="35"/>
      <c r="J234" s="35"/>
      <c r="K234" s="35"/>
      <c r="L234" s="35"/>
      <c r="M234" s="35"/>
      <c r="N234" s="35"/>
      <c r="O234" s="74"/>
    </row>
    <row r="235" spans="1:15" ht="19.5" customHeight="1">
      <c r="A235" s="75"/>
      <c r="B235" s="76"/>
      <c r="C235" s="75"/>
      <c r="D235" s="75"/>
      <c r="E235" s="75"/>
      <c r="F235" s="75"/>
      <c r="G235" s="77"/>
      <c r="H235" s="77"/>
      <c r="I235" s="77"/>
      <c r="J235" s="77"/>
      <c r="K235" s="77"/>
      <c r="L235" s="77"/>
      <c r="M235" s="77"/>
      <c r="N235" s="77"/>
      <c r="O235" s="77"/>
    </row>
    <row r="236" spans="1:15" ht="19.5" customHeight="1">
      <c r="A236" s="26"/>
      <c r="B236" s="25"/>
      <c r="C236" s="26"/>
      <c r="D236" s="26"/>
      <c r="E236" s="26"/>
      <c r="F236" s="26"/>
      <c r="G236" s="26"/>
      <c r="H236" s="26"/>
      <c r="I236" s="36"/>
      <c r="J236" s="36"/>
      <c r="K236" s="36"/>
      <c r="L236" s="36"/>
      <c r="M236" s="36"/>
      <c r="N236" s="36"/>
      <c r="O236" s="36"/>
    </row>
    <row r="237" spans="1:15" ht="19.5" customHeight="1">
      <c r="A237" s="72"/>
      <c r="B237" s="73"/>
      <c r="C237" s="72"/>
      <c r="D237" s="72"/>
      <c r="E237" s="72"/>
      <c r="F237" s="72"/>
      <c r="G237" s="35"/>
      <c r="H237" s="35"/>
      <c r="I237" s="35"/>
      <c r="J237" s="35"/>
      <c r="K237" s="35"/>
      <c r="L237" s="35"/>
      <c r="M237" s="35"/>
      <c r="N237" s="35"/>
      <c r="O237" s="74"/>
    </row>
    <row r="238" spans="1:15" ht="19.5" customHeight="1">
      <c r="A238" s="75"/>
      <c r="B238" s="76"/>
      <c r="C238" s="75"/>
      <c r="D238" s="75"/>
      <c r="E238" s="75"/>
      <c r="F238" s="75"/>
      <c r="G238" s="77"/>
      <c r="H238" s="77"/>
      <c r="I238" s="77"/>
      <c r="J238" s="77"/>
      <c r="K238" s="77"/>
      <c r="L238" s="77"/>
      <c r="M238" s="77"/>
      <c r="N238" s="77"/>
      <c r="O238" s="77"/>
    </row>
    <row r="239" spans="1:15" ht="19.5" customHeight="1">
      <c r="A239" s="26"/>
      <c r="B239" s="25"/>
      <c r="C239" s="26"/>
      <c r="D239" s="26"/>
      <c r="E239" s="26"/>
      <c r="F239" s="26"/>
      <c r="G239" s="26"/>
      <c r="H239" s="26"/>
      <c r="I239" s="36"/>
      <c r="J239" s="36"/>
      <c r="K239" s="36"/>
      <c r="L239" s="36"/>
      <c r="M239" s="36"/>
      <c r="N239" s="36"/>
      <c r="O239" s="36"/>
    </row>
    <row r="240" spans="1:15" ht="19.5" customHeight="1">
      <c r="A240" s="72"/>
      <c r="B240" s="73"/>
      <c r="C240" s="72"/>
      <c r="D240" s="72"/>
      <c r="E240" s="72"/>
      <c r="F240" s="72"/>
      <c r="G240" s="35"/>
      <c r="H240" s="35"/>
      <c r="I240" s="35"/>
      <c r="J240" s="35"/>
      <c r="K240" s="35"/>
      <c r="L240" s="35"/>
      <c r="M240" s="35"/>
      <c r="N240" s="35"/>
      <c r="O240" s="74"/>
    </row>
    <row r="241" spans="1:15" ht="19.5" customHeight="1">
      <c r="A241" s="75"/>
      <c r="B241" s="76"/>
      <c r="C241" s="75"/>
      <c r="D241" s="75"/>
      <c r="E241" s="75"/>
      <c r="F241" s="75"/>
      <c r="G241" s="77"/>
      <c r="H241" s="77"/>
      <c r="I241" s="77"/>
      <c r="J241" s="77"/>
      <c r="K241" s="77"/>
      <c r="L241" s="77"/>
      <c r="M241" s="77"/>
      <c r="N241" s="77"/>
      <c r="O241" s="77"/>
    </row>
    <row r="242" spans="1:15" ht="19.5" customHeight="1">
      <c r="A242" s="26"/>
      <c r="B242" s="25"/>
      <c r="C242" s="26"/>
      <c r="D242" s="26"/>
      <c r="E242" s="26"/>
      <c r="F242" s="26"/>
      <c r="G242" s="26"/>
      <c r="H242" s="26"/>
      <c r="I242" s="36"/>
      <c r="J242" s="36"/>
      <c r="K242" s="36"/>
      <c r="L242" s="36"/>
      <c r="M242" s="36"/>
      <c r="N242" s="36"/>
      <c r="O242" s="36"/>
    </row>
    <row r="243" spans="1:15" ht="19.5" customHeight="1">
      <c r="A243" s="72"/>
      <c r="B243" s="73"/>
      <c r="C243" s="72"/>
      <c r="D243" s="72"/>
      <c r="E243" s="72"/>
      <c r="F243" s="72"/>
      <c r="G243" s="35"/>
      <c r="H243" s="35"/>
      <c r="I243" s="35"/>
      <c r="J243" s="35"/>
      <c r="K243" s="35"/>
      <c r="L243" s="35"/>
      <c r="M243" s="35"/>
      <c r="N243" s="35"/>
      <c r="O243" s="74"/>
    </row>
    <row r="244" spans="1:15" ht="19.5" customHeight="1">
      <c r="A244" s="75"/>
      <c r="B244" s="76"/>
      <c r="C244" s="75"/>
      <c r="D244" s="75"/>
      <c r="E244" s="75"/>
      <c r="F244" s="75"/>
      <c r="G244" s="77"/>
      <c r="H244" s="77"/>
      <c r="I244" s="77"/>
      <c r="J244" s="77"/>
      <c r="K244" s="77"/>
      <c r="L244" s="77"/>
      <c r="M244" s="77"/>
      <c r="N244" s="77"/>
      <c r="O244" s="77"/>
    </row>
    <row r="245" spans="1:15" ht="19.5" customHeight="1">
      <c r="A245" s="26"/>
      <c r="B245" s="25"/>
      <c r="C245" s="26"/>
      <c r="D245" s="26"/>
      <c r="E245" s="26"/>
      <c r="F245" s="26"/>
      <c r="G245" s="26"/>
      <c r="H245" s="26"/>
      <c r="I245" s="36"/>
      <c r="J245" s="36"/>
      <c r="K245" s="36"/>
      <c r="L245" s="36"/>
      <c r="M245" s="36"/>
      <c r="N245" s="36"/>
      <c r="O245" s="36"/>
    </row>
    <row r="246" spans="1:15" ht="19.5" customHeight="1">
      <c r="A246" s="72"/>
      <c r="B246" s="73"/>
      <c r="C246" s="72"/>
      <c r="D246" s="72"/>
      <c r="E246" s="72"/>
      <c r="F246" s="72"/>
      <c r="G246" s="35"/>
      <c r="H246" s="35"/>
      <c r="I246" s="35"/>
      <c r="J246" s="35"/>
      <c r="K246" s="35"/>
      <c r="L246" s="35"/>
      <c r="M246" s="35"/>
      <c r="N246" s="35"/>
      <c r="O246" s="74"/>
    </row>
    <row r="247" spans="1:15" ht="19.5" customHeight="1">
      <c r="A247" s="75"/>
      <c r="B247" s="76"/>
      <c r="C247" s="75"/>
      <c r="D247" s="75"/>
      <c r="E247" s="75"/>
      <c r="F247" s="75"/>
      <c r="G247" s="77"/>
      <c r="H247" s="77"/>
      <c r="I247" s="77"/>
      <c r="J247" s="77"/>
      <c r="K247" s="77"/>
      <c r="L247" s="77"/>
      <c r="M247" s="77"/>
      <c r="N247" s="77"/>
      <c r="O247" s="77"/>
    </row>
    <row r="248" spans="1:15" ht="19.5" customHeight="1">
      <c r="A248" s="26"/>
      <c r="B248" s="25"/>
      <c r="C248" s="26"/>
      <c r="D248" s="26"/>
      <c r="E248" s="26"/>
      <c r="F248" s="26"/>
      <c r="G248" s="26"/>
      <c r="H248" s="26"/>
      <c r="I248" s="36"/>
      <c r="J248" s="36"/>
      <c r="K248" s="36"/>
      <c r="L248" s="36"/>
      <c r="M248" s="36"/>
      <c r="N248" s="36"/>
      <c r="O248" s="36"/>
    </row>
    <row r="249" spans="1:15" ht="19.5" customHeight="1">
      <c r="A249" s="72"/>
      <c r="B249" s="73"/>
      <c r="C249" s="72"/>
      <c r="D249" s="72"/>
      <c r="E249" s="72"/>
      <c r="F249" s="72"/>
      <c r="G249" s="35"/>
      <c r="H249" s="35"/>
      <c r="I249" s="35"/>
      <c r="J249" s="35"/>
      <c r="K249" s="35"/>
      <c r="L249" s="35"/>
      <c r="M249" s="35"/>
      <c r="N249" s="35"/>
      <c r="O249" s="74"/>
    </row>
    <row r="250" spans="1:15" ht="19.5" customHeight="1">
      <c r="A250" s="75"/>
      <c r="B250" s="76"/>
      <c r="C250" s="75"/>
      <c r="D250" s="75"/>
      <c r="E250" s="75"/>
      <c r="F250" s="75"/>
      <c r="G250" s="77"/>
      <c r="H250" s="77"/>
      <c r="I250" s="77"/>
      <c r="J250" s="77"/>
      <c r="K250" s="77"/>
      <c r="L250" s="77"/>
      <c r="M250" s="77"/>
      <c r="N250" s="77"/>
      <c r="O250" s="77"/>
    </row>
    <row r="251" spans="1:15" ht="19.5" customHeight="1">
      <c r="A251" s="26"/>
      <c r="B251" s="25"/>
      <c r="C251" s="26"/>
      <c r="D251" s="26"/>
      <c r="E251" s="26"/>
      <c r="F251" s="26"/>
      <c r="G251" s="26"/>
      <c r="H251" s="26"/>
      <c r="I251" s="36"/>
      <c r="J251" s="36"/>
      <c r="K251" s="36"/>
      <c r="L251" s="36"/>
      <c r="M251" s="36"/>
      <c r="N251" s="36"/>
      <c r="O251" s="36"/>
    </row>
    <row r="252" spans="1:15" ht="19.5" customHeight="1">
      <c r="A252" s="72"/>
      <c r="B252" s="73"/>
      <c r="C252" s="72"/>
      <c r="D252" s="72"/>
      <c r="E252" s="72"/>
      <c r="F252" s="72"/>
      <c r="G252" s="35"/>
      <c r="H252" s="35"/>
      <c r="I252" s="35"/>
      <c r="J252" s="35"/>
      <c r="K252" s="35"/>
      <c r="L252" s="35"/>
      <c r="M252" s="35"/>
      <c r="N252" s="35"/>
      <c r="O252" s="74"/>
    </row>
    <row r="253" spans="1:15" ht="19.5" customHeight="1">
      <c r="A253" s="75"/>
      <c r="B253" s="76"/>
      <c r="C253" s="75"/>
      <c r="D253" s="75"/>
      <c r="E253" s="75"/>
      <c r="F253" s="75"/>
      <c r="G253" s="77"/>
      <c r="H253" s="77"/>
      <c r="I253" s="77"/>
      <c r="J253" s="77"/>
      <c r="K253" s="77"/>
      <c r="L253" s="77"/>
      <c r="M253" s="77"/>
      <c r="N253" s="77"/>
      <c r="O253" s="77"/>
    </row>
    <row r="254" spans="1:15" ht="19.5" customHeight="1">
      <c r="A254" s="26"/>
      <c r="B254" s="25"/>
      <c r="C254" s="26"/>
      <c r="D254" s="26"/>
      <c r="E254" s="26"/>
      <c r="F254" s="26"/>
      <c r="G254" s="26"/>
      <c r="H254" s="26"/>
      <c r="I254" s="36"/>
      <c r="J254" s="36"/>
      <c r="K254" s="36"/>
      <c r="L254" s="36"/>
      <c r="M254" s="36"/>
      <c r="N254" s="36"/>
      <c r="O254" s="36"/>
    </row>
    <row r="255" spans="1:15" ht="19.5" customHeight="1">
      <c r="A255" s="72"/>
      <c r="B255" s="73"/>
      <c r="C255" s="72"/>
      <c r="D255" s="72"/>
      <c r="E255" s="72"/>
      <c r="F255" s="72"/>
      <c r="G255" s="35"/>
      <c r="H255" s="35"/>
      <c r="I255" s="35"/>
      <c r="J255" s="35"/>
      <c r="K255" s="35"/>
      <c r="L255" s="35"/>
      <c r="M255" s="35"/>
      <c r="N255" s="35"/>
      <c r="O255" s="74"/>
    </row>
    <row r="256" spans="1:15" ht="19.5" customHeight="1">
      <c r="A256" s="75"/>
      <c r="B256" s="76"/>
      <c r="C256" s="75"/>
      <c r="D256" s="75"/>
      <c r="E256" s="75"/>
      <c r="F256" s="75"/>
      <c r="G256" s="77"/>
      <c r="H256" s="77"/>
      <c r="I256" s="77"/>
      <c r="J256" s="77"/>
      <c r="K256" s="77"/>
      <c r="L256" s="77"/>
      <c r="M256" s="77"/>
      <c r="N256" s="77"/>
      <c r="O256" s="77"/>
    </row>
    <row r="257" spans="1:15" ht="19.5" customHeight="1">
      <c r="A257" s="26"/>
      <c r="B257" s="25"/>
      <c r="C257" s="26"/>
      <c r="D257" s="26"/>
      <c r="E257" s="26"/>
      <c r="F257" s="26"/>
      <c r="G257" s="26"/>
      <c r="H257" s="26"/>
      <c r="I257" s="36"/>
      <c r="J257" s="36"/>
      <c r="K257" s="36"/>
      <c r="L257" s="36"/>
      <c r="M257" s="36"/>
      <c r="N257" s="36"/>
      <c r="O257" s="36"/>
    </row>
    <row r="258" spans="1:15" ht="19.5" customHeight="1">
      <c r="A258" s="72"/>
      <c r="B258" s="73"/>
      <c r="C258" s="72"/>
      <c r="D258" s="72"/>
      <c r="E258" s="72"/>
      <c r="F258" s="72"/>
      <c r="G258" s="35"/>
      <c r="H258" s="35"/>
      <c r="I258" s="35"/>
      <c r="J258" s="35"/>
      <c r="K258" s="35"/>
      <c r="L258" s="35"/>
      <c r="M258" s="35"/>
      <c r="N258" s="35"/>
      <c r="O258" s="74"/>
    </row>
    <row r="259" spans="1:15" ht="19.5" customHeight="1">
      <c r="A259" s="75"/>
      <c r="B259" s="76"/>
      <c r="C259" s="75"/>
      <c r="D259" s="75"/>
      <c r="E259" s="75"/>
      <c r="F259" s="75"/>
      <c r="G259" s="77"/>
      <c r="H259" s="77"/>
      <c r="I259" s="77"/>
      <c r="J259" s="77"/>
      <c r="K259" s="77"/>
      <c r="L259" s="77"/>
      <c r="M259" s="77"/>
      <c r="N259" s="77"/>
      <c r="O259" s="77"/>
    </row>
    <row r="260" spans="1:15" ht="19.5" customHeight="1">
      <c r="A260" s="26"/>
      <c r="B260" s="25"/>
      <c r="C260" s="26"/>
      <c r="D260" s="26"/>
      <c r="E260" s="26"/>
      <c r="F260" s="26"/>
      <c r="G260" s="26"/>
      <c r="H260" s="26"/>
      <c r="I260" s="36"/>
      <c r="J260" s="36"/>
      <c r="K260" s="36"/>
      <c r="L260" s="36"/>
      <c r="M260" s="36"/>
      <c r="N260" s="36"/>
      <c r="O260" s="36"/>
    </row>
    <row r="261" spans="1:15" ht="19.5" customHeight="1">
      <c r="A261" s="72"/>
      <c r="B261" s="73"/>
      <c r="C261" s="72"/>
      <c r="D261" s="72"/>
      <c r="E261" s="72"/>
      <c r="F261" s="72"/>
      <c r="G261" s="35"/>
      <c r="H261" s="35"/>
      <c r="I261" s="35"/>
      <c r="J261" s="35"/>
      <c r="K261" s="35"/>
      <c r="L261" s="35"/>
      <c r="M261" s="35"/>
      <c r="N261" s="35"/>
      <c r="O261" s="74"/>
    </row>
    <row r="262" spans="1:15" ht="19.5" customHeight="1">
      <c r="A262" s="75"/>
      <c r="B262" s="76"/>
      <c r="C262" s="75"/>
      <c r="D262" s="75"/>
      <c r="E262" s="75"/>
      <c r="F262" s="75"/>
      <c r="G262" s="77"/>
      <c r="H262" s="77"/>
      <c r="I262" s="77"/>
      <c r="J262" s="77"/>
      <c r="K262" s="77"/>
      <c r="L262" s="77"/>
      <c r="M262" s="77"/>
      <c r="N262" s="77"/>
      <c r="O262" s="77"/>
    </row>
    <row r="263" spans="1:15" ht="19.5" customHeight="1">
      <c r="A263" s="26"/>
      <c r="B263" s="25"/>
      <c r="C263" s="26"/>
      <c r="D263" s="26"/>
      <c r="E263" s="26"/>
      <c r="F263" s="26"/>
      <c r="G263" s="26"/>
      <c r="H263" s="26"/>
      <c r="I263" s="36"/>
      <c r="J263" s="36"/>
      <c r="K263" s="36"/>
      <c r="L263" s="36"/>
      <c r="M263" s="36"/>
      <c r="N263" s="36"/>
      <c r="O263" s="36"/>
    </row>
    <row r="264" spans="1:15" ht="19.5" customHeight="1">
      <c r="A264" s="72"/>
      <c r="B264" s="73"/>
      <c r="C264" s="72"/>
      <c r="D264" s="72"/>
      <c r="E264" s="72"/>
      <c r="F264" s="72"/>
      <c r="G264" s="35"/>
      <c r="H264" s="35"/>
      <c r="I264" s="35"/>
      <c r="J264" s="35"/>
      <c r="K264" s="35"/>
      <c r="L264" s="35"/>
      <c r="M264" s="35"/>
      <c r="N264" s="35"/>
      <c r="O264" s="74"/>
    </row>
    <row r="265" spans="1:15" ht="19.5" customHeight="1">
      <c r="A265" s="75"/>
      <c r="B265" s="76"/>
      <c r="C265" s="75"/>
      <c r="D265" s="75"/>
      <c r="E265" s="75"/>
      <c r="F265" s="75"/>
      <c r="G265" s="77"/>
      <c r="H265" s="77"/>
      <c r="I265" s="77"/>
      <c r="J265" s="77"/>
      <c r="K265" s="77"/>
      <c r="L265" s="77"/>
      <c r="M265" s="77"/>
      <c r="N265" s="77"/>
      <c r="O265" s="77"/>
    </row>
    <row r="266" spans="1:15" ht="19.5" customHeight="1">
      <c r="A266" s="26"/>
      <c r="B266" s="25"/>
      <c r="C266" s="26"/>
      <c r="D266" s="26"/>
      <c r="E266" s="26"/>
      <c r="F266" s="26"/>
      <c r="G266" s="26"/>
      <c r="H266" s="26"/>
      <c r="I266" s="36"/>
      <c r="J266" s="36"/>
      <c r="K266" s="36"/>
      <c r="L266" s="36"/>
      <c r="M266" s="36"/>
      <c r="N266" s="36"/>
      <c r="O266" s="36"/>
    </row>
    <row r="267" spans="1:15" ht="19.5" customHeight="1">
      <c r="A267" s="72"/>
      <c r="B267" s="73"/>
      <c r="C267" s="72"/>
      <c r="D267" s="72"/>
      <c r="E267" s="72"/>
      <c r="F267" s="72"/>
      <c r="G267" s="35"/>
      <c r="H267" s="35"/>
      <c r="I267" s="35"/>
      <c r="J267" s="35"/>
      <c r="K267" s="35"/>
      <c r="L267" s="35"/>
      <c r="M267" s="35"/>
      <c r="N267" s="35"/>
      <c r="O267" s="74"/>
    </row>
    <row r="268" spans="1:15" ht="19.5" customHeight="1">
      <c r="A268" s="75"/>
      <c r="B268" s="76"/>
      <c r="C268" s="75"/>
      <c r="D268" s="75"/>
      <c r="E268" s="75"/>
      <c r="F268" s="75"/>
      <c r="G268" s="77"/>
      <c r="H268" s="77"/>
      <c r="I268" s="77"/>
      <c r="J268" s="77"/>
      <c r="K268" s="77"/>
      <c r="L268" s="77"/>
      <c r="M268" s="77"/>
      <c r="N268" s="77"/>
      <c r="O268" s="77"/>
    </row>
    <row r="269" spans="1:15" ht="19.5" customHeight="1">
      <c r="A269" s="26"/>
      <c r="B269" s="25"/>
      <c r="C269" s="26"/>
      <c r="D269" s="26"/>
      <c r="E269" s="26"/>
      <c r="F269" s="26"/>
      <c r="G269" s="26"/>
      <c r="H269" s="26"/>
      <c r="I269" s="36"/>
      <c r="J269" s="36"/>
      <c r="K269" s="36"/>
      <c r="L269" s="36"/>
      <c r="M269" s="36"/>
      <c r="N269" s="36"/>
      <c r="O269" s="36"/>
    </row>
    <row r="270" spans="1:15" ht="19.5" customHeight="1">
      <c r="A270" s="72"/>
      <c r="B270" s="73"/>
      <c r="C270" s="72"/>
      <c r="D270" s="72"/>
      <c r="E270" s="72"/>
      <c r="F270" s="72"/>
      <c r="G270" s="35"/>
      <c r="H270" s="35"/>
      <c r="I270" s="35"/>
      <c r="J270" s="35"/>
      <c r="K270" s="35"/>
      <c r="L270" s="35"/>
      <c r="M270" s="35"/>
      <c r="N270" s="35"/>
      <c r="O270" s="74"/>
    </row>
    <row r="271" spans="1:15" ht="19.5" customHeight="1">
      <c r="A271" s="75"/>
      <c r="B271" s="76"/>
      <c r="C271" s="75"/>
      <c r="D271" s="75"/>
      <c r="E271" s="75"/>
      <c r="F271" s="75"/>
      <c r="G271" s="77"/>
      <c r="H271" s="77"/>
      <c r="I271" s="77"/>
      <c r="J271" s="77"/>
      <c r="K271" s="77"/>
      <c r="L271" s="77"/>
      <c r="M271" s="77"/>
      <c r="N271" s="77"/>
      <c r="O271" s="77"/>
    </row>
    <row r="272" spans="1:15" ht="19.5" customHeight="1">
      <c r="A272" s="26"/>
      <c r="B272" s="25"/>
      <c r="C272" s="26"/>
      <c r="D272" s="26"/>
      <c r="E272" s="26"/>
      <c r="F272" s="26"/>
      <c r="G272" s="26"/>
      <c r="H272" s="26"/>
      <c r="I272" s="36"/>
      <c r="J272" s="36"/>
      <c r="K272" s="36"/>
      <c r="L272" s="36"/>
      <c r="M272" s="36"/>
      <c r="N272" s="36"/>
      <c r="O272" s="36"/>
    </row>
    <row r="273" spans="1:15" ht="19.5" customHeight="1">
      <c r="A273" s="72"/>
      <c r="B273" s="73"/>
      <c r="C273" s="72"/>
      <c r="D273" s="72"/>
      <c r="E273" s="72"/>
      <c r="F273" s="72"/>
      <c r="G273" s="35"/>
      <c r="H273" s="35"/>
      <c r="I273" s="35"/>
      <c r="J273" s="35"/>
      <c r="K273" s="35"/>
      <c r="L273" s="35"/>
      <c r="M273" s="35"/>
      <c r="N273" s="35"/>
      <c r="O273" s="74"/>
    </row>
    <row r="274" spans="1:15" ht="19.5" customHeight="1">
      <c r="A274" s="75"/>
      <c r="B274" s="76"/>
      <c r="C274" s="75"/>
      <c r="D274" s="75"/>
      <c r="E274" s="75"/>
      <c r="F274" s="75"/>
      <c r="G274" s="77"/>
      <c r="H274" s="77"/>
      <c r="I274" s="77"/>
      <c r="J274" s="77"/>
      <c r="K274" s="77"/>
      <c r="L274" s="77"/>
      <c r="M274" s="77"/>
      <c r="N274" s="77"/>
      <c r="O274" s="77"/>
    </row>
    <row r="275" spans="1:15" ht="19.5" customHeight="1">
      <c r="A275" s="26"/>
      <c r="B275" s="25"/>
      <c r="C275" s="26"/>
      <c r="D275" s="26"/>
      <c r="E275" s="26"/>
      <c r="F275" s="26"/>
      <c r="G275" s="26"/>
      <c r="H275" s="26"/>
      <c r="I275" s="36"/>
      <c r="J275" s="36"/>
      <c r="K275" s="36"/>
      <c r="L275" s="36"/>
      <c r="M275" s="36"/>
      <c r="N275" s="36"/>
      <c r="O275" s="36"/>
    </row>
    <row r="276" spans="1:15" ht="19.5" customHeight="1">
      <c r="A276" s="72"/>
      <c r="B276" s="73"/>
      <c r="C276" s="72"/>
      <c r="D276" s="72"/>
      <c r="E276" s="72"/>
      <c r="F276" s="72"/>
      <c r="G276" s="35"/>
      <c r="H276" s="35"/>
      <c r="I276" s="35"/>
      <c r="J276" s="35"/>
      <c r="K276" s="35"/>
      <c r="L276" s="35"/>
      <c r="M276" s="35"/>
      <c r="N276" s="35"/>
      <c r="O276" s="74"/>
    </row>
    <row r="277" spans="1:15" ht="19.5" customHeight="1">
      <c r="A277" s="75"/>
      <c r="B277" s="76"/>
      <c r="C277" s="75"/>
      <c r="D277" s="75"/>
      <c r="E277" s="75"/>
      <c r="F277" s="75"/>
      <c r="G277" s="77"/>
      <c r="H277" s="77"/>
      <c r="I277" s="77"/>
      <c r="J277" s="77"/>
      <c r="K277" s="77"/>
      <c r="L277" s="77"/>
      <c r="M277" s="77"/>
      <c r="N277" s="77"/>
      <c r="O277" s="77"/>
    </row>
    <row r="278" spans="1:15" ht="19.5" customHeight="1">
      <c r="A278" s="26"/>
      <c r="B278" s="25"/>
      <c r="C278" s="26"/>
      <c r="D278" s="26"/>
      <c r="E278" s="26"/>
      <c r="F278" s="26"/>
      <c r="G278" s="26"/>
      <c r="H278" s="26"/>
      <c r="I278" s="36"/>
      <c r="J278" s="36"/>
      <c r="K278" s="36"/>
      <c r="L278" s="36"/>
      <c r="M278" s="36"/>
      <c r="N278" s="36"/>
      <c r="O278" s="36"/>
    </row>
    <row r="279" spans="1:15" ht="19.5" customHeight="1">
      <c r="A279" s="72"/>
      <c r="B279" s="73"/>
      <c r="C279" s="72"/>
      <c r="D279" s="72"/>
      <c r="E279" s="72"/>
      <c r="F279" s="72"/>
      <c r="G279" s="35"/>
      <c r="H279" s="35"/>
      <c r="I279" s="35"/>
      <c r="J279" s="35"/>
      <c r="K279" s="35"/>
      <c r="L279" s="35"/>
      <c r="M279" s="35"/>
      <c r="N279" s="35"/>
      <c r="O279" s="74"/>
    </row>
    <row r="280" spans="1:15" ht="19.5" customHeight="1">
      <c r="A280" s="75"/>
      <c r="B280" s="76"/>
      <c r="C280" s="75"/>
      <c r="D280" s="75"/>
      <c r="E280" s="75"/>
      <c r="F280" s="75"/>
      <c r="G280" s="77"/>
      <c r="H280" s="77"/>
      <c r="I280" s="77"/>
      <c r="J280" s="77"/>
      <c r="K280" s="77"/>
      <c r="L280" s="77"/>
      <c r="M280" s="77"/>
      <c r="N280" s="77"/>
      <c r="O280" s="77"/>
    </row>
    <row r="281" spans="1:15" ht="19.5" customHeight="1">
      <c r="A281" s="26"/>
      <c r="B281" s="25"/>
      <c r="C281" s="26"/>
      <c r="D281" s="26"/>
      <c r="E281" s="26"/>
      <c r="F281" s="26"/>
      <c r="G281" s="26"/>
      <c r="H281" s="26"/>
      <c r="I281" s="36"/>
      <c r="J281" s="36"/>
      <c r="K281" s="36"/>
      <c r="L281" s="36"/>
      <c r="M281" s="36"/>
      <c r="N281" s="36"/>
      <c r="O281" s="36"/>
    </row>
    <row r="282" spans="1:15" ht="19.5" customHeight="1">
      <c r="A282" s="72"/>
      <c r="B282" s="73"/>
      <c r="C282" s="72"/>
      <c r="D282" s="72"/>
      <c r="E282" s="72"/>
      <c r="F282" s="72"/>
      <c r="G282" s="35"/>
      <c r="H282" s="35"/>
      <c r="I282" s="35"/>
      <c r="J282" s="35"/>
      <c r="K282" s="35"/>
      <c r="L282" s="35"/>
      <c r="M282" s="35"/>
      <c r="N282" s="35"/>
      <c r="O282" s="74"/>
    </row>
    <row r="283" spans="1:15" ht="19.5" customHeight="1">
      <c r="A283" s="75"/>
      <c r="B283" s="76"/>
      <c r="C283" s="75"/>
      <c r="D283" s="75"/>
      <c r="E283" s="75"/>
      <c r="F283" s="75"/>
      <c r="G283" s="77"/>
      <c r="H283" s="77"/>
      <c r="I283" s="77"/>
      <c r="J283" s="77"/>
      <c r="K283" s="77"/>
      <c r="L283" s="77"/>
      <c r="M283" s="77"/>
      <c r="N283" s="77"/>
      <c r="O283" s="77"/>
    </row>
    <row r="284" spans="1:15" ht="19.5" customHeight="1">
      <c r="A284" s="26"/>
      <c r="B284" s="25"/>
      <c r="C284" s="26"/>
      <c r="D284" s="26"/>
      <c r="E284" s="26"/>
      <c r="F284" s="26"/>
      <c r="G284" s="26"/>
      <c r="H284" s="26"/>
      <c r="I284" s="36"/>
      <c r="J284" s="36"/>
      <c r="K284" s="36"/>
      <c r="L284" s="36"/>
      <c r="M284" s="36"/>
      <c r="N284" s="36"/>
      <c r="O284" s="36"/>
    </row>
    <row r="285" spans="1:15" ht="19.5" customHeight="1">
      <c r="A285" s="72"/>
      <c r="B285" s="73"/>
      <c r="C285" s="72"/>
      <c r="D285" s="72"/>
      <c r="E285" s="72"/>
      <c r="F285" s="72"/>
      <c r="G285" s="35"/>
      <c r="H285" s="35"/>
      <c r="I285" s="35"/>
      <c r="J285" s="35"/>
      <c r="K285" s="35"/>
      <c r="L285" s="35"/>
      <c r="M285" s="35"/>
      <c r="N285" s="35"/>
      <c r="O285" s="74"/>
    </row>
    <row r="286" spans="1:15" ht="19.5" customHeight="1">
      <c r="A286" s="75"/>
      <c r="B286" s="76"/>
      <c r="C286" s="75"/>
      <c r="D286" s="75"/>
      <c r="E286" s="75"/>
      <c r="F286" s="75"/>
      <c r="G286" s="77"/>
      <c r="H286" s="77"/>
      <c r="I286" s="77"/>
      <c r="J286" s="77"/>
      <c r="K286" s="77"/>
      <c r="L286" s="77"/>
      <c r="M286" s="77"/>
      <c r="N286" s="77"/>
      <c r="O286" s="77"/>
    </row>
    <row r="287" spans="1:15" ht="19.5" customHeight="1">
      <c r="A287" s="26"/>
      <c r="B287" s="25"/>
      <c r="C287" s="26"/>
      <c r="D287" s="26"/>
      <c r="E287" s="26"/>
      <c r="F287" s="26"/>
      <c r="G287" s="26"/>
      <c r="H287" s="26"/>
      <c r="I287" s="36"/>
      <c r="J287" s="36"/>
      <c r="K287" s="36"/>
      <c r="L287" s="36"/>
      <c r="M287" s="36"/>
      <c r="N287" s="36"/>
      <c r="O287" s="36"/>
    </row>
    <row r="288" spans="1:15" ht="19.5" customHeight="1">
      <c r="A288" s="72"/>
      <c r="B288" s="73"/>
      <c r="C288" s="72"/>
      <c r="D288" s="72"/>
      <c r="E288" s="72"/>
      <c r="F288" s="72"/>
      <c r="G288" s="35"/>
      <c r="H288" s="35"/>
      <c r="I288" s="35"/>
      <c r="J288" s="35"/>
      <c r="K288" s="35"/>
      <c r="L288" s="35"/>
      <c r="M288" s="35"/>
      <c r="N288" s="35"/>
      <c r="O288" s="74"/>
    </row>
    <row r="289" spans="1:15" ht="19.5" customHeight="1">
      <c r="A289" s="75"/>
      <c r="B289" s="76"/>
      <c r="C289" s="75"/>
      <c r="D289" s="75"/>
      <c r="E289" s="75"/>
      <c r="F289" s="75"/>
      <c r="G289" s="77"/>
      <c r="H289" s="77"/>
      <c r="I289" s="77"/>
      <c r="J289" s="77"/>
      <c r="K289" s="77"/>
      <c r="L289" s="77"/>
      <c r="M289" s="77"/>
      <c r="N289" s="77"/>
      <c r="O289" s="77"/>
    </row>
    <row r="290" spans="1:15" ht="19.5" customHeight="1">
      <c r="A290" s="26"/>
      <c r="B290" s="25"/>
      <c r="C290" s="26"/>
      <c r="D290" s="26"/>
      <c r="E290" s="26"/>
      <c r="F290" s="26"/>
      <c r="G290" s="26"/>
      <c r="H290" s="26"/>
      <c r="I290" s="36"/>
      <c r="J290" s="36"/>
      <c r="K290" s="36"/>
      <c r="L290" s="36"/>
      <c r="M290" s="36"/>
      <c r="N290" s="36"/>
      <c r="O290" s="36"/>
    </row>
    <row r="291" spans="1:15" ht="19.5" customHeight="1">
      <c r="A291" s="72"/>
      <c r="B291" s="73"/>
      <c r="C291" s="72"/>
      <c r="D291" s="72"/>
      <c r="E291" s="72"/>
      <c r="F291" s="72"/>
      <c r="G291" s="35"/>
      <c r="H291" s="35"/>
      <c r="I291" s="35"/>
      <c r="J291" s="35"/>
      <c r="K291" s="35"/>
      <c r="L291" s="35"/>
      <c r="M291" s="35"/>
      <c r="N291" s="35"/>
      <c r="O291" s="74"/>
    </row>
    <row r="292" spans="1:15" ht="19.5" customHeight="1">
      <c r="A292" s="75"/>
      <c r="B292" s="76"/>
      <c r="C292" s="75"/>
      <c r="D292" s="75"/>
      <c r="E292" s="75"/>
      <c r="F292" s="75"/>
      <c r="G292" s="77"/>
      <c r="H292" s="77"/>
      <c r="I292" s="77"/>
      <c r="J292" s="77"/>
      <c r="K292" s="77"/>
      <c r="L292" s="77"/>
      <c r="M292" s="77"/>
      <c r="N292" s="77"/>
      <c r="O292" s="77"/>
    </row>
    <row r="293" spans="1:15" ht="19.5" customHeight="1">
      <c r="A293" s="26"/>
      <c r="B293" s="25"/>
      <c r="C293" s="26"/>
      <c r="D293" s="26"/>
      <c r="E293" s="26"/>
      <c r="F293" s="26"/>
      <c r="G293" s="26"/>
      <c r="H293" s="26"/>
      <c r="I293" s="36"/>
      <c r="J293" s="36"/>
      <c r="K293" s="36"/>
      <c r="L293" s="36"/>
      <c r="M293" s="36"/>
      <c r="N293" s="36"/>
      <c r="O293" s="36"/>
    </row>
    <row r="294" spans="1:15" ht="19.5" customHeight="1">
      <c r="A294" s="72"/>
      <c r="B294" s="73"/>
      <c r="C294" s="72"/>
      <c r="D294" s="72"/>
      <c r="E294" s="72"/>
      <c r="F294" s="72"/>
      <c r="G294" s="35"/>
      <c r="H294" s="35"/>
      <c r="I294" s="35"/>
      <c r="J294" s="35"/>
      <c r="K294" s="35"/>
      <c r="L294" s="35"/>
      <c r="M294" s="35"/>
      <c r="N294" s="35"/>
      <c r="O294" s="74"/>
    </row>
    <row r="295" spans="1:15" ht="19.5" customHeight="1">
      <c r="A295" s="75"/>
      <c r="B295" s="76"/>
      <c r="C295" s="75"/>
      <c r="D295" s="75"/>
      <c r="E295" s="75"/>
      <c r="F295" s="75"/>
      <c r="G295" s="77"/>
      <c r="H295" s="77"/>
      <c r="I295" s="77"/>
      <c r="J295" s="77"/>
      <c r="K295" s="77"/>
      <c r="L295" s="77"/>
      <c r="M295" s="77"/>
      <c r="N295" s="77"/>
      <c r="O295" s="77"/>
    </row>
    <row r="296" spans="1:15" ht="19.5" customHeight="1">
      <c r="A296" s="26"/>
      <c r="B296" s="25"/>
      <c r="C296" s="26"/>
      <c r="D296" s="26"/>
      <c r="E296" s="26"/>
      <c r="F296" s="26"/>
      <c r="G296" s="26"/>
      <c r="H296" s="26"/>
      <c r="I296" s="36"/>
      <c r="J296" s="36"/>
      <c r="K296" s="36"/>
      <c r="L296" s="36"/>
      <c r="M296" s="36"/>
      <c r="N296" s="36"/>
      <c r="O296" s="36"/>
    </row>
    <row r="297" spans="1:15" ht="19.5" customHeight="1">
      <c r="A297" s="72"/>
      <c r="B297" s="73"/>
      <c r="C297" s="72"/>
      <c r="D297" s="72"/>
      <c r="E297" s="72"/>
      <c r="F297" s="72"/>
      <c r="G297" s="35"/>
      <c r="H297" s="35"/>
      <c r="I297" s="35"/>
      <c r="J297" s="35"/>
      <c r="K297" s="35"/>
      <c r="L297" s="35"/>
      <c r="M297" s="35"/>
      <c r="N297" s="35"/>
      <c r="O297" s="74"/>
    </row>
    <row r="298" spans="1:15" ht="19.5" customHeight="1">
      <c r="A298" s="75"/>
      <c r="B298" s="76"/>
      <c r="C298" s="75"/>
      <c r="D298" s="75"/>
      <c r="E298" s="75"/>
      <c r="F298" s="75"/>
      <c r="G298" s="77"/>
      <c r="H298" s="77"/>
      <c r="I298" s="77"/>
      <c r="J298" s="77"/>
      <c r="K298" s="77"/>
      <c r="L298" s="77"/>
      <c r="M298" s="77"/>
      <c r="N298" s="77"/>
      <c r="O298" s="77"/>
    </row>
    <row r="299" spans="1:15" ht="19.5" customHeight="1">
      <c r="A299" s="26"/>
      <c r="B299" s="25"/>
      <c r="C299" s="26"/>
      <c r="D299" s="26"/>
      <c r="E299" s="26"/>
      <c r="F299" s="26"/>
      <c r="G299" s="26"/>
      <c r="H299" s="26"/>
      <c r="I299" s="36"/>
      <c r="J299" s="36"/>
      <c r="K299" s="36"/>
      <c r="L299" s="36"/>
      <c r="M299" s="36"/>
      <c r="N299" s="36"/>
      <c r="O299" s="36"/>
    </row>
    <row r="300" spans="1:15" ht="19.5" customHeight="1">
      <c r="A300" s="72"/>
      <c r="B300" s="73"/>
      <c r="C300" s="72"/>
      <c r="D300" s="72"/>
      <c r="E300" s="72"/>
      <c r="F300" s="72"/>
      <c r="G300" s="35"/>
      <c r="H300" s="35"/>
      <c r="I300" s="35"/>
      <c r="J300" s="35"/>
      <c r="K300" s="35"/>
      <c r="L300" s="35"/>
      <c r="M300" s="35"/>
      <c r="N300" s="35"/>
      <c r="O300" s="74"/>
    </row>
    <row r="301" spans="1:15" ht="19.5" customHeight="1">
      <c r="A301" s="75"/>
      <c r="B301" s="76"/>
      <c r="C301" s="75"/>
      <c r="D301" s="75"/>
      <c r="E301" s="75"/>
      <c r="F301" s="75"/>
      <c r="G301" s="77"/>
      <c r="H301" s="77"/>
      <c r="I301" s="77"/>
      <c r="J301" s="77"/>
      <c r="K301" s="77"/>
      <c r="L301" s="77"/>
      <c r="M301" s="77"/>
      <c r="N301" s="77"/>
      <c r="O301" s="77"/>
    </row>
    <row r="302" spans="1:15" ht="19.5" customHeight="1">
      <c r="A302" s="26"/>
      <c r="B302" s="25"/>
      <c r="C302" s="26"/>
      <c r="D302" s="26"/>
      <c r="E302" s="26"/>
      <c r="F302" s="26"/>
      <c r="G302" s="26"/>
      <c r="H302" s="26"/>
      <c r="I302" s="36"/>
      <c r="J302" s="36"/>
      <c r="K302" s="36"/>
      <c r="L302" s="36"/>
      <c r="M302" s="36"/>
      <c r="N302" s="36"/>
      <c r="O302" s="36"/>
    </row>
    <row r="303" spans="1:15" ht="19.5" customHeight="1">
      <c r="A303" s="72"/>
      <c r="B303" s="73"/>
      <c r="C303" s="72"/>
      <c r="D303" s="72"/>
      <c r="E303" s="72"/>
      <c r="F303" s="72"/>
      <c r="G303" s="35"/>
      <c r="H303" s="35"/>
      <c r="I303" s="35"/>
      <c r="J303" s="35"/>
      <c r="K303" s="35"/>
      <c r="L303" s="35"/>
      <c r="M303" s="35"/>
      <c r="N303" s="35"/>
      <c r="O303" s="74"/>
    </row>
    <row r="304" spans="1:15" ht="19.5" customHeight="1">
      <c r="A304" s="75"/>
      <c r="B304" s="76"/>
      <c r="C304" s="75"/>
      <c r="D304" s="75"/>
      <c r="E304" s="75"/>
      <c r="F304" s="75"/>
      <c r="G304" s="77"/>
      <c r="H304" s="77"/>
      <c r="I304" s="77"/>
      <c r="J304" s="77"/>
      <c r="K304" s="77"/>
      <c r="L304" s="77"/>
      <c r="M304" s="77"/>
      <c r="N304" s="77"/>
      <c r="O304" s="77"/>
    </row>
    <row r="305" spans="1:15" ht="19.5" customHeight="1">
      <c r="A305" s="26"/>
      <c r="B305" s="25"/>
      <c r="C305" s="26"/>
      <c r="D305" s="26"/>
      <c r="E305" s="26"/>
      <c r="F305" s="26"/>
      <c r="G305" s="26"/>
      <c r="H305" s="26"/>
      <c r="I305" s="36"/>
      <c r="J305" s="36"/>
      <c r="K305" s="36"/>
      <c r="L305" s="36"/>
      <c r="M305" s="36"/>
      <c r="N305" s="36"/>
      <c r="O305" s="36"/>
    </row>
    <row r="306" spans="1:15" ht="19.5" customHeight="1">
      <c r="A306" s="72"/>
      <c r="B306" s="73"/>
      <c r="C306" s="72"/>
      <c r="D306" s="72"/>
      <c r="E306" s="72"/>
      <c r="F306" s="72"/>
      <c r="G306" s="35"/>
      <c r="H306" s="35"/>
      <c r="I306" s="35"/>
      <c r="J306" s="35"/>
      <c r="K306" s="35"/>
      <c r="L306" s="35"/>
      <c r="M306" s="35"/>
      <c r="N306" s="35"/>
      <c r="O306" s="74"/>
    </row>
    <row r="307" spans="1:15" ht="19.5" customHeight="1">
      <c r="A307" s="75"/>
      <c r="B307" s="76"/>
      <c r="C307" s="75"/>
      <c r="D307" s="75"/>
      <c r="E307" s="75"/>
      <c r="F307" s="75"/>
      <c r="G307" s="77"/>
      <c r="H307" s="77"/>
      <c r="I307" s="77"/>
      <c r="J307" s="77"/>
      <c r="K307" s="77"/>
      <c r="L307" s="77"/>
      <c r="M307" s="77"/>
      <c r="N307" s="77"/>
      <c r="O307" s="77"/>
    </row>
    <row r="308" spans="1:15" ht="19.5" customHeight="1">
      <c r="A308" s="26"/>
      <c r="B308" s="25"/>
      <c r="C308" s="26"/>
      <c r="D308" s="26"/>
      <c r="E308" s="26"/>
      <c r="F308" s="26"/>
      <c r="G308" s="26"/>
      <c r="H308" s="26"/>
      <c r="I308" s="36"/>
      <c r="J308" s="36"/>
      <c r="K308" s="36"/>
      <c r="L308" s="36"/>
      <c r="M308" s="36"/>
      <c r="N308" s="36"/>
      <c r="O308" s="36"/>
    </row>
    <row r="309" spans="1:15" ht="19.5" customHeight="1">
      <c r="A309" s="72"/>
      <c r="B309" s="73"/>
      <c r="C309" s="72"/>
      <c r="D309" s="72"/>
      <c r="E309" s="72"/>
      <c r="F309" s="72"/>
      <c r="G309" s="35"/>
      <c r="H309" s="35"/>
      <c r="I309" s="35"/>
      <c r="J309" s="35"/>
      <c r="K309" s="35"/>
      <c r="L309" s="35"/>
      <c r="M309" s="35"/>
      <c r="N309" s="35"/>
      <c r="O309" s="74"/>
    </row>
    <row r="310" spans="1:15" ht="19.5" customHeight="1">
      <c r="A310" s="75"/>
      <c r="B310" s="76"/>
      <c r="C310" s="75"/>
      <c r="D310" s="75"/>
      <c r="E310" s="75"/>
      <c r="F310" s="75"/>
      <c r="G310" s="77"/>
      <c r="H310" s="77"/>
      <c r="I310" s="77"/>
      <c r="J310" s="77"/>
      <c r="K310" s="77"/>
      <c r="L310" s="77"/>
      <c r="M310" s="77"/>
      <c r="N310" s="77"/>
      <c r="O310" s="77"/>
    </row>
    <row r="311" spans="1:15" ht="19.5" customHeight="1">
      <c r="A311" s="26"/>
      <c r="B311" s="25"/>
      <c r="C311" s="26"/>
      <c r="D311" s="26"/>
      <c r="E311" s="26"/>
      <c r="F311" s="26"/>
      <c r="G311" s="26"/>
      <c r="H311" s="26"/>
      <c r="I311" s="36"/>
      <c r="J311" s="36"/>
      <c r="K311" s="36"/>
      <c r="L311" s="36"/>
      <c r="M311" s="36"/>
      <c r="N311" s="36"/>
      <c r="O311" s="36"/>
    </row>
    <row r="312" spans="1:15" ht="19.5" customHeight="1">
      <c r="A312" s="72"/>
      <c r="B312" s="73"/>
      <c r="C312" s="72"/>
      <c r="D312" s="72"/>
      <c r="E312" s="72"/>
      <c r="F312" s="72"/>
      <c r="G312" s="35"/>
      <c r="H312" s="35"/>
      <c r="I312" s="35"/>
      <c r="J312" s="35"/>
      <c r="K312" s="35"/>
      <c r="L312" s="35"/>
      <c r="M312" s="35"/>
      <c r="N312" s="35"/>
      <c r="O312" s="74"/>
    </row>
    <row r="313" spans="1:15" ht="19.5" customHeight="1">
      <c r="A313" s="75"/>
      <c r="B313" s="76"/>
      <c r="C313" s="75"/>
      <c r="D313" s="75"/>
      <c r="E313" s="75"/>
      <c r="F313" s="75"/>
      <c r="G313" s="77"/>
      <c r="H313" s="77"/>
      <c r="I313" s="77"/>
      <c r="J313" s="77"/>
      <c r="K313" s="77"/>
      <c r="L313" s="77"/>
      <c r="M313" s="77"/>
      <c r="N313" s="77"/>
      <c r="O313" s="77"/>
    </row>
    <row r="314" spans="1:15" ht="19.5" customHeight="1">
      <c r="A314" s="26"/>
      <c r="B314" s="25"/>
      <c r="C314" s="26"/>
      <c r="D314" s="26"/>
      <c r="E314" s="26"/>
      <c r="F314" s="26"/>
      <c r="G314" s="26"/>
      <c r="H314" s="26"/>
      <c r="I314" s="36"/>
      <c r="J314" s="36"/>
      <c r="K314" s="36"/>
      <c r="L314" s="36"/>
      <c r="M314" s="36"/>
      <c r="N314" s="36"/>
      <c r="O314" s="36"/>
    </row>
    <row r="315" spans="1:15" ht="19.5" customHeight="1">
      <c r="A315" s="72"/>
      <c r="B315" s="73"/>
      <c r="C315" s="72"/>
      <c r="D315" s="72"/>
      <c r="E315" s="72"/>
      <c r="F315" s="72"/>
      <c r="G315" s="35"/>
      <c r="H315" s="35"/>
      <c r="I315" s="35"/>
      <c r="J315" s="35"/>
      <c r="K315" s="35"/>
      <c r="L315" s="35"/>
      <c r="M315" s="35"/>
      <c r="N315" s="35"/>
      <c r="O315" s="74"/>
    </row>
    <row r="316" spans="1:15" ht="19.5" customHeight="1">
      <c r="A316" s="75"/>
      <c r="B316" s="76"/>
      <c r="C316" s="75"/>
      <c r="D316" s="75"/>
      <c r="E316" s="75"/>
      <c r="F316" s="75"/>
      <c r="G316" s="77"/>
      <c r="H316" s="77"/>
      <c r="I316" s="77"/>
      <c r="J316" s="77"/>
      <c r="K316" s="77"/>
      <c r="L316" s="77"/>
      <c r="M316" s="77"/>
      <c r="N316" s="77"/>
      <c r="O316" s="77"/>
    </row>
    <row r="317" spans="1:15" ht="19.5" customHeight="1">
      <c r="A317" s="26"/>
      <c r="B317" s="25"/>
      <c r="C317" s="26"/>
      <c r="D317" s="26"/>
      <c r="E317" s="26"/>
      <c r="F317" s="26"/>
      <c r="G317" s="26"/>
      <c r="H317" s="26"/>
      <c r="I317" s="36"/>
      <c r="J317" s="36"/>
      <c r="K317" s="36"/>
      <c r="L317" s="36"/>
      <c r="M317" s="36"/>
      <c r="N317" s="36"/>
      <c r="O317" s="36"/>
    </row>
    <row r="318" spans="1:15" ht="19.5" customHeight="1">
      <c r="A318" s="72"/>
      <c r="B318" s="73"/>
      <c r="C318" s="72"/>
      <c r="D318" s="72"/>
      <c r="E318" s="72"/>
      <c r="F318" s="72"/>
      <c r="G318" s="35"/>
      <c r="H318" s="35"/>
      <c r="I318" s="35"/>
      <c r="J318" s="35"/>
      <c r="K318" s="35"/>
      <c r="L318" s="35"/>
      <c r="M318" s="35"/>
      <c r="N318" s="35"/>
      <c r="O318" s="74"/>
    </row>
    <row r="319" spans="1:15" ht="19.5" customHeight="1">
      <c r="A319" s="75"/>
      <c r="B319" s="76"/>
      <c r="C319" s="75"/>
      <c r="D319" s="75"/>
      <c r="E319" s="75"/>
      <c r="F319" s="75"/>
      <c r="G319" s="77"/>
      <c r="H319" s="77"/>
      <c r="I319" s="77"/>
      <c r="J319" s="77"/>
      <c r="K319" s="77"/>
      <c r="L319" s="77"/>
      <c r="M319" s="77"/>
      <c r="N319" s="77"/>
      <c r="O319" s="77"/>
    </row>
    <row r="320" spans="1:15" ht="19.5" customHeight="1">
      <c r="A320" s="26"/>
      <c r="B320" s="25"/>
      <c r="C320" s="26"/>
      <c r="D320" s="26"/>
      <c r="E320" s="26"/>
      <c r="F320" s="26"/>
      <c r="G320" s="26"/>
      <c r="H320" s="26"/>
      <c r="I320" s="36"/>
      <c r="J320" s="36"/>
      <c r="K320" s="36"/>
      <c r="L320" s="36"/>
      <c r="M320" s="36"/>
      <c r="N320" s="36"/>
      <c r="O320" s="36"/>
    </row>
    <row r="321" spans="1:15" ht="19.5" customHeight="1">
      <c r="A321" s="72"/>
      <c r="B321" s="73"/>
      <c r="C321" s="72"/>
      <c r="D321" s="72"/>
      <c r="E321" s="72"/>
      <c r="F321" s="72"/>
      <c r="G321" s="35"/>
      <c r="H321" s="35"/>
      <c r="I321" s="35"/>
      <c r="J321" s="35"/>
      <c r="K321" s="35"/>
      <c r="L321" s="35"/>
      <c r="M321" s="35"/>
      <c r="N321" s="35"/>
      <c r="O321" s="74"/>
    </row>
    <row r="322" spans="1:15" ht="19.5" customHeight="1">
      <c r="A322" s="75"/>
      <c r="B322" s="76"/>
      <c r="C322" s="75"/>
      <c r="D322" s="75"/>
      <c r="E322" s="75"/>
      <c r="F322" s="75"/>
      <c r="G322" s="77"/>
      <c r="H322" s="77"/>
      <c r="I322" s="77"/>
      <c r="J322" s="77"/>
      <c r="K322" s="77"/>
      <c r="L322" s="77"/>
      <c r="M322" s="77"/>
      <c r="N322" s="77"/>
      <c r="O322" s="77"/>
    </row>
    <row r="323" spans="1:15" ht="19.5" customHeight="1">
      <c r="A323" s="26"/>
      <c r="B323" s="25"/>
      <c r="C323" s="26"/>
      <c r="D323" s="26"/>
      <c r="E323" s="26"/>
      <c r="F323" s="26"/>
      <c r="G323" s="26"/>
      <c r="H323" s="26"/>
      <c r="I323" s="36"/>
      <c r="J323" s="36"/>
      <c r="K323" s="36"/>
      <c r="L323" s="36"/>
      <c r="M323" s="36"/>
      <c r="N323" s="36"/>
      <c r="O323" s="36"/>
    </row>
    <row r="324" spans="1:15" ht="19.5" customHeight="1">
      <c r="A324" s="72"/>
      <c r="B324" s="73"/>
      <c r="C324" s="72"/>
      <c r="D324" s="72"/>
      <c r="E324" s="72"/>
      <c r="F324" s="72"/>
      <c r="G324" s="35"/>
      <c r="H324" s="35"/>
      <c r="I324" s="35"/>
      <c r="J324" s="35"/>
      <c r="K324" s="35"/>
      <c r="L324" s="35"/>
      <c r="M324" s="35"/>
      <c r="N324" s="35"/>
      <c r="O324" s="74"/>
    </row>
    <row r="325" spans="1:15" ht="19.5" customHeight="1">
      <c r="A325" s="75"/>
      <c r="B325" s="76"/>
      <c r="C325" s="75"/>
      <c r="D325" s="75"/>
      <c r="E325" s="75"/>
      <c r="F325" s="75"/>
      <c r="G325" s="77"/>
      <c r="H325" s="77"/>
      <c r="I325" s="77"/>
      <c r="J325" s="77"/>
      <c r="K325" s="77"/>
      <c r="L325" s="77"/>
      <c r="M325" s="77"/>
      <c r="N325" s="77"/>
      <c r="O325" s="77"/>
    </row>
    <row r="326" spans="1:15" ht="19.5" customHeight="1">
      <c r="A326" s="26"/>
      <c r="B326" s="25"/>
      <c r="C326" s="26"/>
      <c r="D326" s="26"/>
      <c r="E326" s="26"/>
      <c r="F326" s="26"/>
      <c r="G326" s="26"/>
      <c r="H326" s="26"/>
      <c r="I326" s="36"/>
      <c r="J326" s="36"/>
      <c r="K326" s="36"/>
      <c r="L326" s="36"/>
      <c r="M326" s="36"/>
      <c r="N326" s="36"/>
      <c r="O326" s="36"/>
    </row>
    <row r="327" spans="1:15" ht="19.5" customHeight="1">
      <c r="A327" s="72"/>
      <c r="B327" s="73"/>
      <c r="C327" s="72"/>
      <c r="D327" s="72"/>
      <c r="E327" s="72"/>
      <c r="F327" s="72"/>
      <c r="G327" s="35"/>
      <c r="H327" s="35"/>
      <c r="I327" s="35"/>
      <c r="J327" s="35"/>
      <c r="K327" s="35"/>
      <c r="L327" s="35"/>
      <c r="M327" s="35"/>
      <c r="N327" s="35"/>
      <c r="O327" s="74"/>
    </row>
    <row r="328" spans="1:15" ht="19.5" customHeight="1">
      <c r="A328" s="75"/>
      <c r="B328" s="76"/>
      <c r="C328" s="75"/>
      <c r="D328" s="75"/>
      <c r="E328" s="75"/>
      <c r="F328" s="75"/>
      <c r="G328" s="77"/>
      <c r="H328" s="77"/>
      <c r="I328" s="77"/>
      <c r="J328" s="77"/>
      <c r="K328" s="77"/>
      <c r="L328" s="77"/>
      <c r="M328" s="77"/>
      <c r="N328" s="77"/>
      <c r="O328" s="77"/>
    </row>
    <row r="329" spans="1:15" ht="19.5" customHeight="1">
      <c r="A329" s="26"/>
      <c r="B329" s="25"/>
      <c r="C329" s="26"/>
      <c r="D329" s="26"/>
      <c r="E329" s="26"/>
      <c r="F329" s="26"/>
      <c r="G329" s="26"/>
      <c r="H329" s="26"/>
      <c r="I329" s="36"/>
      <c r="J329" s="36"/>
      <c r="K329" s="36"/>
      <c r="L329" s="36"/>
      <c r="M329" s="36"/>
      <c r="N329" s="36"/>
      <c r="O329" s="36"/>
    </row>
    <row r="330" spans="1:15" ht="19.5" customHeight="1">
      <c r="A330" s="72"/>
      <c r="B330" s="73"/>
      <c r="C330" s="72"/>
      <c r="D330" s="72"/>
      <c r="E330" s="72"/>
      <c r="F330" s="72"/>
      <c r="G330" s="35"/>
      <c r="H330" s="35"/>
      <c r="I330" s="35"/>
      <c r="J330" s="35"/>
      <c r="K330" s="35"/>
      <c r="L330" s="35"/>
      <c r="M330" s="35"/>
      <c r="N330" s="35"/>
      <c r="O330" s="74"/>
    </row>
    <row r="331" spans="1:15" ht="19.5" customHeight="1">
      <c r="A331" s="75"/>
      <c r="B331" s="76"/>
      <c r="C331" s="75"/>
      <c r="D331" s="75"/>
      <c r="E331" s="75"/>
      <c r="F331" s="75"/>
      <c r="G331" s="77"/>
      <c r="H331" s="77"/>
      <c r="I331" s="77"/>
      <c r="J331" s="77"/>
      <c r="K331" s="77"/>
      <c r="L331" s="77"/>
      <c r="M331" s="77"/>
      <c r="N331" s="77"/>
      <c r="O331" s="77"/>
    </row>
    <row r="332" spans="1:15" ht="19.5" customHeight="1">
      <c r="A332" s="26"/>
      <c r="B332" s="25"/>
      <c r="C332" s="26"/>
      <c r="D332" s="26"/>
      <c r="E332" s="26"/>
      <c r="F332" s="26"/>
      <c r="G332" s="26"/>
      <c r="H332" s="26"/>
      <c r="I332" s="36"/>
      <c r="J332" s="36"/>
      <c r="K332" s="36"/>
      <c r="L332" s="36"/>
      <c r="M332" s="36"/>
      <c r="N332" s="36"/>
      <c r="O332" s="36"/>
    </row>
    <row r="333" spans="1:15" ht="19.5" customHeight="1">
      <c r="A333" s="72"/>
      <c r="B333" s="73"/>
      <c r="C333" s="72"/>
      <c r="D333" s="72"/>
      <c r="E333" s="72"/>
      <c r="F333" s="72"/>
      <c r="G333" s="35"/>
      <c r="H333" s="35"/>
      <c r="I333" s="35"/>
      <c r="J333" s="35"/>
      <c r="K333" s="35"/>
      <c r="L333" s="35"/>
      <c r="M333" s="35"/>
      <c r="N333" s="35"/>
      <c r="O333" s="74"/>
    </row>
    <row r="334" spans="1:15" ht="19.5" customHeight="1">
      <c r="A334" s="75"/>
      <c r="B334" s="76"/>
      <c r="C334" s="75"/>
      <c r="D334" s="75"/>
      <c r="E334" s="75"/>
      <c r="F334" s="75"/>
      <c r="G334" s="77"/>
      <c r="H334" s="77"/>
      <c r="I334" s="77"/>
      <c r="J334" s="77"/>
      <c r="K334" s="77"/>
      <c r="L334" s="77"/>
      <c r="M334" s="77"/>
      <c r="N334" s="77"/>
      <c r="O334" s="77"/>
    </row>
    <row r="335" spans="1:15" ht="19.5" customHeight="1">
      <c r="A335" s="26"/>
      <c r="B335" s="25"/>
      <c r="C335" s="26"/>
      <c r="D335" s="26"/>
      <c r="E335" s="26"/>
      <c r="F335" s="26"/>
      <c r="G335" s="26"/>
      <c r="H335" s="26"/>
      <c r="I335" s="36"/>
      <c r="J335" s="36"/>
      <c r="K335" s="36"/>
      <c r="L335" s="36"/>
      <c r="M335" s="36"/>
      <c r="N335" s="36"/>
      <c r="O335" s="36"/>
    </row>
    <row r="336" spans="1:15" ht="19.5" customHeight="1">
      <c r="A336" s="72"/>
      <c r="B336" s="73"/>
      <c r="C336" s="72"/>
      <c r="D336" s="72"/>
      <c r="E336" s="72"/>
      <c r="F336" s="72"/>
      <c r="G336" s="35"/>
      <c r="H336" s="35"/>
      <c r="I336" s="35"/>
      <c r="J336" s="35"/>
      <c r="K336" s="35"/>
      <c r="L336" s="35"/>
      <c r="M336" s="35"/>
      <c r="N336" s="35"/>
      <c r="O336" s="74"/>
    </row>
    <row r="337" spans="1:15" ht="19.5" customHeight="1">
      <c r="A337" s="75"/>
      <c r="B337" s="76"/>
      <c r="C337" s="75"/>
      <c r="D337" s="75"/>
      <c r="E337" s="75"/>
      <c r="F337" s="75"/>
      <c r="G337" s="77"/>
      <c r="H337" s="77"/>
      <c r="I337" s="77"/>
      <c r="J337" s="77"/>
      <c r="K337" s="77"/>
      <c r="L337" s="77"/>
      <c r="M337" s="77"/>
      <c r="N337" s="77"/>
      <c r="O337" s="77"/>
    </row>
    <row r="338" spans="1:15" ht="19.5" customHeight="1">
      <c r="A338" s="26"/>
      <c r="B338" s="25"/>
      <c r="C338" s="26"/>
      <c r="D338" s="26"/>
      <c r="E338" s="26"/>
      <c r="F338" s="26"/>
      <c r="G338" s="26"/>
      <c r="H338" s="26"/>
      <c r="I338" s="36"/>
      <c r="J338" s="36"/>
      <c r="K338" s="36"/>
      <c r="L338" s="36"/>
      <c r="M338" s="36"/>
      <c r="N338" s="36"/>
      <c r="O338" s="36"/>
    </row>
    <row r="339" spans="1:15" ht="19.5" customHeight="1">
      <c r="A339" s="72"/>
      <c r="B339" s="73"/>
      <c r="C339" s="72"/>
      <c r="D339" s="72"/>
      <c r="E339" s="72"/>
      <c r="F339" s="72"/>
      <c r="G339" s="35"/>
      <c r="H339" s="35"/>
      <c r="I339" s="35"/>
      <c r="J339" s="35"/>
      <c r="K339" s="35"/>
      <c r="L339" s="35"/>
      <c r="M339" s="35"/>
      <c r="N339" s="35"/>
      <c r="O339" s="74"/>
    </row>
    <row r="340" spans="1:15" ht="19.5" customHeight="1">
      <c r="A340" s="75"/>
      <c r="B340" s="76"/>
      <c r="C340" s="75"/>
      <c r="D340" s="75"/>
      <c r="E340" s="75"/>
      <c r="F340" s="75"/>
      <c r="G340" s="77"/>
      <c r="H340" s="77"/>
      <c r="I340" s="77"/>
      <c r="J340" s="77"/>
      <c r="K340" s="77"/>
      <c r="L340" s="77"/>
      <c r="M340" s="77"/>
      <c r="N340" s="77"/>
      <c r="O340" s="77"/>
    </row>
    <row r="341" spans="1:15" ht="19.5" customHeight="1">
      <c r="A341" s="26"/>
      <c r="B341" s="25"/>
      <c r="C341" s="26"/>
      <c r="D341" s="26"/>
      <c r="E341" s="26"/>
      <c r="F341" s="26"/>
      <c r="G341" s="26"/>
      <c r="H341" s="26"/>
      <c r="I341" s="36"/>
      <c r="J341" s="36"/>
      <c r="K341" s="36"/>
      <c r="L341" s="36"/>
      <c r="M341" s="36"/>
      <c r="N341" s="36"/>
      <c r="O341" s="36"/>
    </row>
    <row r="342" spans="1:15" ht="19.5" customHeight="1">
      <c r="A342" s="72"/>
      <c r="B342" s="73"/>
      <c r="C342" s="72"/>
      <c r="D342" s="72"/>
      <c r="E342" s="72"/>
      <c r="F342" s="72"/>
      <c r="G342" s="35"/>
      <c r="H342" s="35"/>
      <c r="I342" s="35"/>
      <c r="J342" s="35"/>
      <c r="K342" s="35"/>
      <c r="L342" s="35"/>
      <c r="M342" s="35"/>
      <c r="N342" s="35"/>
      <c r="O342" s="74"/>
    </row>
    <row r="343" spans="1:15" ht="19.5" customHeight="1">
      <c r="A343" s="75"/>
      <c r="B343" s="76"/>
      <c r="C343" s="75"/>
      <c r="D343" s="75"/>
      <c r="E343" s="75"/>
      <c r="F343" s="75"/>
      <c r="G343" s="77"/>
      <c r="H343" s="77"/>
      <c r="I343" s="77"/>
      <c r="J343" s="77"/>
      <c r="K343" s="77"/>
      <c r="L343" s="77"/>
      <c r="M343" s="77"/>
      <c r="N343" s="77"/>
      <c r="O343" s="77"/>
    </row>
    <row r="344" spans="1:15" ht="19.5" customHeight="1">
      <c r="A344" s="26"/>
      <c r="B344" s="25"/>
      <c r="C344" s="26"/>
      <c r="D344" s="26"/>
      <c r="E344" s="26"/>
      <c r="F344" s="26"/>
      <c r="G344" s="26"/>
      <c r="H344" s="26"/>
      <c r="I344" s="36"/>
      <c r="J344" s="36"/>
      <c r="K344" s="36"/>
      <c r="L344" s="36"/>
      <c r="M344" s="36"/>
      <c r="N344" s="36"/>
      <c r="O344" s="36"/>
    </row>
    <row r="345" spans="1:15" ht="19.5" customHeight="1">
      <c r="A345" s="72"/>
      <c r="B345" s="73"/>
      <c r="C345" s="72"/>
      <c r="D345" s="72"/>
      <c r="E345" s="72"/>
      <c r="F345" s="72"/>
      <c r="G345" s="35"/>
      <c r="H345" s="35"/>
      <c r="I345" s="35"/>
      <c r="J345" s="35"/>
      <c r="K345" s="35"/>
      <c r="L345" s="35"/>
      <c r="M345" s="35"/>
      <c r="N345" s="35"/>
      <c r="O345" s="74"/>
    </row>
    <row r="346" spans="1:15" ht="19.5" customHeight="1">
      <c r="A346" s="75"/>
      <c r="B346" s="76"/>
      <c r="C346" s="75"/>
      <c r="D346" s="75"/>
      <c r="E346" s="75"/>
      <c r="F346" s="75"/>
      <c r="G346" s="77"/>
      <c r="H346" s="77"/>
      <c r="I346" s="77"/>
      <c r="J346" s="77"/>
      <c r="K346" s="77"/>
      <c r="L346" s="77"/>
      <c r="M346" s="77"/>
      <c r="N346" s="77"/>
      <c r="O346" s="77"/>
    </row>
    <row r="347" spans="1:15" ht="19.5" customHeight="1">
      <c r="A347" s="26"/>
      <c r="B347" s="25"/>
      <c r="C347" s="26"/>
      <c r="D347" s="26"/>
      <c r="E347" s="26"/>
      <c r="F347" s="26"/>
      <c r="G347" s="26"/>
      <c r="H347" s="26"/>
      <c r="I347" s="36"/>
      <c r="J347" s="36"/>
      <c r="K347" s="36"/>
      <c r="L347" s="36"/>
      <c r="M347" s="36"/>
      <c r="N347" s="36"/>
      <c r="O347" s="36"/>
    </row>
    <row r="348" spans="1:15" ht="19.5" customHeight="1">
      <c r="A348" s="72"/>
      <c r="B348" s="73"/>
      <c r="C348" s="72"/>
      <c r="D348" s="72"/>
      <c r="E348" s="72"/>
      <c r="F348" s="72"/>
      <c r="G348" s="35"/>
      <c r="H348" s="35"/>
      <c r="I348" s="35"/>
      <c r="J348" s="35"/>
      <c r="K348" s="35"/>
      <c r="L348" s="35"/>
      <c r="M348" s="35"/>
      <c r="N348" s="35"/>
      <c r="O348" s="74"/>
    </row>
    <row r="349" spans="1:15" ht="19.5" customHeight="1">
      <c r="A349" s="75"/>
      <c r="B349" s="76"/>
      <c r="C349" s="75"/>
      <c r="D349" s="75"/>
      <c r="E349" s="75"/>
      <c r="F349" s="75"/>
      <c r="G349" s="77"/>
      <c r="H349" s="77"/>
      <c r="I349" s="77"/>
      <c r="J349" s="77"/>
      <c r="K349" s="77"/>
      <c r="L349" s="77"/>
      <c r="M349" s="77"/>
      <c r="N349" s="77"/>
      <c r="O349" s="77"/>
    </row>
    <row r="350" spans="1:15" ht="19.5" customHeight="1">
      <c r="A350" s="26"/>
      <c r="B350" s="25"/>
      <c r="C350" s="26"/>
      <c r="D350" s="26"/>
      <c r="E350" s="26"/>
      <c r="F350" s="26"/>
      <c r="G350" s="26"/>
      <c r="H350" s="26"/>
      <c r="I350" s="36"/>
      <c r="J350" s="36"/>
      <c r="K350" s="36"/>
      <c r="L350" s="36"/>
      <c r="M350" s="36"/>
      <c r="N350" s="36"/>
      <c r="O350" s="36"/>
    </row>
    <row r="351" spans="1:15" ht="19.5" customHeight="1">
      <c r="A351" s="72"/>
      <c r="B351" s="73"/>
      <c r="C351" s="72"/>
      <c r="D351" s="72"/>
      <c r="E351" s="72"/>
      <c r="F351" s="72"/>
      <c r="G351" s="35"/>
      <c r="H351" s="35"/>
      <c r="I351" s="35"/>
      <c r="J351" s="35"/>
      <c r="K351" s="35"/>
      <c r="L351" s="35"/>
      <c r="M351" s="35"/>
      <c r="N351" s="35"/>
      <c r="O351" s="74"/>
    </row>
    <row r="352" spans="1:15" ht="19.5" customHeight="1">
      <c r="A352" s="75"/>
      <c r="B352" s="76"/>
      <c r="C352" s="75"/>
      <c r="D352" s="75"/>
      <c r="E352" s="75"/>
      <c r="F352" s="75"/>
      <c r="G352" s="77"/>
      <c r="H352" s="77"/>
      <c r="I352" s="77"/>
      <c r="J352" s="77"/>
      <c r="K352" s="77"/>
      <c r="L352" s="77"/>
      <c r="M352" s="77"/>
      <c r="N352" s="77"/>
      <c r="O352" s="77"/>
    </row>
    <row r="353" spans="1:15" ht="19.5" customHeight="1">
      <c r="A353" s="26"/>
      <c r="B353" s="25"/>
      <c r="C353" s="26"/>
      <c r="D353" s="26"/>
      <c r="E353" s="26"/>
      <c r="F353" s="26"/>
      <c r="G353" s="26"/>
      <c r="H353" s="26"/>
      <c r="I353" s="36"/>
      <c r="J353" s="36"/>
      <c r="K353" s="36"/>
      <c r="L353" s="36"/>
      <c r="M353" s="36"/>
      <c r="N353" s="36"/>
      <c r="O353" s="36"/>
    </row>
    <row r="354" spans="1:15" ht="19.5" customHeight="1">
      <c r="A354" s="72"/>
      <c r="B354" s="73"/>
      <c r="C354" s="72"/>
      <c r="D354" s="72"/>
      <c r="E354" s="72"/>
      <c r="F354" s="72"/>
      <c r="G354" s="35"/>
      <c r="H354" s="35"/>
      <c r="I354" s="35"/>
      <c r="J354" s="35"/>
      <c r="K354" s="35"/>
      <c r="L354" s="35"/>
      <c r="M354" s="35"/>
      <c r="N354" s="35"/>
      <c r="O354" s="74"/>
    </row>
    <row r="355" spans="1:15" ht="19.5" customHeight="1">
      <c r="A355" s="75"/>
      <c r="B355" s="76"/>
      <c r="C355" s="75"/>
      <c r="D355" s="75"/>
      <c r="E355" s="75"/>
      <c r="F355" s="75"/>
      <c r="G355" s="77"/>
      <c r="H355" s="77"/>
      <c r="I355" s="77"/>
      <c r="J355" s="77"/>
      <c r="K355" s="77"/>
      <c r="L355" s="77"/>
      <c r="M355" s="77"/>
      <c r="N355" s="77"/>
      <c r="O355" s="77"/>
    </row>
    <row r="356" spans="1:15" ht="19.5" customHeight="1">
      <c r="A356" s="26"/>
      <c r="B356" s="25"/>
      <c r="C356" s="26"/>
      <c r="D356" s="26"/>
      <c r="E356" s="26"/>
      <c r="F356" s="26"/>
      <c r="G356" s="26"/>
      <c r="H356" s="26"/>
      <c r="I356" s="36"/>
      <c r="J356" s="36"/>
      <c r="K356" s="36"/>
      <c r="L356" s="36"/>
      <c r="M356" s="36"/>
      <c r="N356" s="36"/>
      <c r="O356" s="36"/>
    </row>
    <row r="357" spans="1:15" ht="19.5" customHeight="1">
      <c r="A357" s="72"/>
      <c r="B357" s="73"/>
      <c r="C357" s="72"/>
      <c r="D357" s="72"/>
      <c r="E357" s="72"/>
      <c r="F357" s="72"/>
      <c r="G357" s="35"/>
      <c r="H357" s="35"/>
      <c r="I357" s="35"/>
      <c r="J357" s="35"/>
      <c r="K357" s="35"/>
      <c r="L357" s="35"/>
      <c r="M357" s="35"/>
      <c r="N357" s="35"/>
      <c r="O357" s="74"/>
    </row>
    <row r="358" spans="1:15" ht="19.5" customHeight="1">
      <c r="A358" s="75"/>
      <c r="B358" s="76"/>
      <c r="C358" s="75"/>
      <c r="D358" s="75"/>
      <c r="E358" s="75"/>
      <c r="F358" s="75"/>
      <c r="G358" s="77"/>
      <c r="H358" s="77"/>
      <c r="I358" s="77"/>
      <c r="J358" s="77"/>
      <c r="K358" s="77"/>
      <c r="L358" s="77"/>
      <c r="M358" s="77"/>
      <c r="N358" s="77"/>
      <c r="O358" s="77"/>
    </row>
    <row r="359" spans="1:15" ht="19.5" customHeight="1">
      <c r="A359" s="26"/>
      <c r="B359" s="25"/>
      <c r="C359" s="26"/>
      <c r="D359" s="26"/>
      <c r="E359" s="26"/>
      <c r="F359" s="26"/>
      <c r="G359" s="26"/>
      <c r="H359" s="26"/>
      <c r="I359" s="36"/>
      <c r="J359" s="36"/>
      <c r="K359" s="36"/>
      <c r="L359" s="36"/>
      <c r="M359" s="36"/>
      <c r="N359" s="36"/>
      <c r="O359" s="36"/>
    </row>
    <row r="360" spans="1:15" ht="19.5" customHeight="1">
      <c r="A360" s="72"/>
      <c r="B360" s="73"/>
      <c r="C360" s="72"/>
      <c r="D360" s="72"/>
      <c r="E360" s="72"/>
      <c r="F360" s="72"/>
      <c r="G360" s="35"/>
      <c r="H360" s="35"/>
      <c r="I360" s="35"/>
      <c r="J360" s="35"/>
      <c r="K360" s="35"/>
      <c r="L360" s="35"/>
      <c r="M360" s="35"/>
      <c r="N360" s="35"/>
      <c r="O360" s="74"/>
    </row>
    <row r="361" spans="1:15" ht="19.5" customHeight="1">
      <c r="A361" s="75"/>
      <c r="B361" s="76"/>
      <c r="C361" s="75"/>
      <c r="D361" s="75"/>
      <c r="E361" s="75"/>
      <c r="F361" s="75"/>
      <c r="G361" s="77"/>
      <c r="H361" s="77"/>
      <c r="I361" s="77"/>
      <c r="J361" s="77"/>
      <c r="K361" s="77"/>
      <c r="L361" s="77"/>
      <c r="M361" s="77"/>
      <c r="N361" s="77"/>
      <c r="O361" s="77"/>
    </row>
    <row r="362" spans="1:15" ht="19.5" customHeight="1">
      <c r="A362" s="26"/>
      <c r="B362" s="25"/>
      <c r="C362" s="26"/>
      <c r="D362" s="26"/>
      <c r="E362" s="26"/>
      <c r="F362" s="26"/>
      <c r="G362" s="26"/>
      <c r="H362" s="26"/>
      <c r="I362" s="36"/>
      <c r="J362" s="36"/>
      <c r="K362" s="36"/>
      <c r="L362" s="36"/>
      <c r="M362" s="36"/>
      <c r="N362" s="36"/>
      <c r="O362" s="36"/>
    </row>
    <row r="363" spans="1:15" ht="19.5" customHeight="1">
      <c r="A363" s="72"/>
      <c r="B363" s="73"/>
      <c r="C363" s="72"/>
      <c r="D363" s="72"/>
      <c r="E363" s="72"/>
      <c r="F363" s="72"/>
      <c r="G363" s="35"/>
      <c r="H363" s="35"/>
      <c r="I363" s="35"/>
      <c r="J363" s="35"/>
      <c r="K363" s="35"/>
      <c r="L363" s="35"/>
      <c r="M363" s="35"/>
      <c r="N363" s="35"/>
      <c r="O363" s="74"/>
    </row>
    <row r="364" spans="1:15" ht="19.5" customHeight="1">
      <c r="A364" s="75"/>
      <c r="B364" s="76"/>
      <c r="C364" s="75"/>
      <c r="D364" s="75"/>
      <c r="E364" s="75"/>
      <c r="F364" s="75"/>
      <c r="G364" s="77"/>
      <c r="H364" s="77"/>
      <c r="I364" s="77"/>
      <c r="J364" s="77"/>
      <c r="K364" s="77"/>
      <c r="L364" s="77"/>
      <c r="M364" s="77"/>
      <c r="N364" s="77"/>
      <c r="O364" s="77"/>
    </row>
    <row r="365" spans="1:15" ht="19.5" customHeight="1">
      <c r="A365" s="26"/>
      <c r="B365" s="25"/>
      <c r="C365" s="26"/>
      <c r="D365" s="26"/>
      <c r="E365" s="26"/>
      <c r="F365" s="26"/>
      <c r="G365" s="26"/>
      <c r="H365" s="26"/>
      <c r="I365" s="36"/>
      <c r="J365" s="36"/>
      <c r="K365" s="36"/>
      <c r="L365" s="36"/>
      <c r="M365" s="36"/>
      <c r="N365" s="36"/>
      <c r="O365" s="36"/>
    </row>
    <row r="366" spans="1:15" ht="19.5" customHeight="1">
      <c r="A366" s="72"/>
      <c r="B366" s="73"/>
      <c r="C366" s="72"/>
      <c r="D366" s="72"/>
      <c r="E366" s="72"/>
      <c r="F366" s="72"/>
      <c r="G366" s="35"/>
      <c r="H366" s="35"/>
      <c r="I366" s="35"/>
      <c r="J366" s="35"/>
      <c r="K366" s="35"/>
      <c r="L366" s="35"/>
      <c r="M366" s="35"/>
      <c r="N366" s="35"/>
      <c r="O366" s="74"/>
    </row>
    <row r="367" spans="1:15" ht="19.5" customHeight="1">
      <c r="A367" s="75"/>
      <c r="B367" s="76"/>
      <c r="C367" s="75"/>
      <c r="D367" s="75"/>
      <c r="E367" s="75"/>
      <c r="F367" s="75"/>
      <c r="G367" s="77"/>
      <c r="H367" s="77"/>
      <c r="I367" s="77"/>
      <c r="J367" s="77"/>
      <c r="K367" s="77"/>
      <c r="L367" s="77"/>
      <c r="M367" s="77"/>
      <c r="N367" s="77"/>
      <c r="O367" s="77"/>
    </row>
    <row r="368" spans="1:15" ht="19.5" customHeight="1">
      <c r="A368" s="26"/>
      <c r="B368" s="25"/>
      <c r="C368" s="26"/>
      <c r="D368" s="26"/>
      <c r="E368" s="26"/>
      <c r="F368" s="26"/>
      <c r="G368" s="26"/>
      <c r="H368" s="26"/>
      <c r="I368" s="36"/>
      <c r="J368" s="36"/>
      <c r="K368" s="36"/>
      <c r="L368" s="36"/>
      <c r="M368" s="36"/>
      <c r="N368" s="36"/>
      <c r="O368" s="36"/>
    </row>
    <row r="369" spans="1:15" ht="19.5" customHeight="1">
      <c r="A369" s="72"/>
      <c r="B369" s="73"/>
      <c r="C369" s="72"/>
      <c r="D369" s="72"/>
      <c r="E369" s="72"/>
      <c r="F369" s="72"/>
      <c r="G369" s="35"/>
      <c r="H369" s="35"/>
      <c r="I369" s="35"/>
      <c r="J369" s="35"/>
      <c r="K369" s="35"/>
      <c r="L369" s="35"/>
      <c r="M369" s="35"/>
      <c r="N369" s="35"/>
      <c r="O369" s="74"/>
    </row>
    <row r="370" spans="1:15" ht="19.5" customHeight="1">
      <c r="A370" s="75"/>
      <c r="B370" s="76"/>
      <c r="C370" s="75"/>
      <c r="D370" s="75"/>
      <c r="E370" s="75"/>
      <c r="F370" s="75"/>
      <c r="G370" s="77"/>
      <c r="H370" s="77"/>
      <c r="I370" s="77"/>
      <c r="J370" s="77"/>
      <c r="K370" s="77"/>
      <c r="L370" s="77"/>
      <c r="M370" s="77"/>
      <c r="N370" s="77"/>
      <c r="O370" s="77"/>
    </row>
    <row r="371" spans="1:15" ht="19.5" customHeight="1">
      <c r="A371" s="26"/>
      <c r="B371" s="25"/>
      <c r="C371" s="26"/>
      <c r="D371" s="26"/>
      <c r="E371" s="26"/>
      <c r="F371" s="26"/>
      <c r="G371" s="26"/>
      <c r="H371" s="26"/>
      <c r="I371" s="36"/>
      <c r="J371" s="36"/>
      <c r="K371" s="36"/>
      <c r="L371" s="36"/>
      <c r="M371" s="36"/>
      <c r="N371" s="36"/>
      <c r="O371" s="36"/>
    </row>
    <row r="372" spans="1:15" ht="19.5" customHeight="1">
      <c r="A372" s="72"/>
      <c r="B372" s="73"/>
      <c r="C372" s="72"/>
      <c r="D372" s="72"/>
      <c r="E372" s="72"/>
      <c r="F372" s="72"/>
      <c r="G372" s="35"/>
      <c r="H372" s="35"/>
      <c r="I372" s="35"/>
      <c r="J372" s="35"/>
      <c r="K372" s="35"/>
      <c r="L372" s="35"/>
      <c r="M372" s="35"/>
      <c r="N372" s="35"/>
      <c r="O372" s="74"/>
    </row>
    <row r="373" spans="1:15" ht="19.5" customHeight="1">
      <c r="A373" s="75"/>
      <c r="B373" s="76"/>
      <c r="C373" s="75"/>
      <c r="D373" s="75"/>
      <c r="E373" s="75"/>
      <c r="F373" s="75"/>
      <c r="G373" s="77"/>
      <c r="H373" s="77"/>
      <c r="I373" s="77"/>
      <c r="J373" s="77"/>
      <c r="K373" s="77"/>
      <c r="L373" s="77"/>
      <c r="M373" s="77"/>
      <c r="N373" s="77"/>
      <c r="O373" s="77"/>
    </row>
    <row r="374" spans="1:15" ht="19.5" customHeight="1">
      <c r="A374" s="26"/>
      <c r="B374" s="25"/>
      <c r="C374" s="26"/>
      <c r="D374" s="26"/>
      <c r="E374" s="26"/>
      <c r="F374" s="26"/>
      <c r="G374" s="26"/>
      <c r="H374" s="26"/>
      <c r="I374" s="36"/>
      <c r="J374" s="36"/>
      <c r="K374" s="36"/>
      <c r="L374" s="36"/>
      <c r="M374" s="36"/>
      <c r="N374" s="36"/>
      <c r="O374" s="36"/>
    </row>
    <row r="375" spans="1:15" ht="19.5" customHeight="1">
      <c r="A375" s="72"/>
      <c r="B375" s="73"/>
      <c r="C375" s="72"/>
      <c r="D375" s="72"/>
      <c r="E375" s="72"/>
      <c r="F375" s="72"/>
      <c r="G375" s="35"/>
      <c r="H375" s="35"/>
      <c r="I375" s="35"/>
      <c r="J375" s="35"/>
      <c r="K375" s="35"/>
      <c r="L375" s="35"/>
      <c r="M375" s="35"/>
      <c r="N375" s="35"/>
      <c r="O375" s="74"/>
    </row>
    <row r="376" spans="1:15" ht="19.5" customHeight="1">
      <c r="A376" s="75"/>
      <c r="B376" s="76"/>
      <c r="C376" s="75"/>
      <c r="D376" s="75"/>
      <c r="E376" s="75"/>
      <c r="F376" s="75"/>
      <c r="G376" s="77"/>
      <c r="H376" s="77"/>
      <c r="I376" s="77"/>
      <c r="J376" s="77"/>
      <c r="K376" s="77"/>
      <c r="L376" s="77"/>
      <c r="M376" s="77"/>
      <c r="N376" s="77"/>
      <c r="O376" s="77"/>
    </row>
    <row r="377" spans="1:15" ht="19.5" customHeight="1">
      <c r="A377" s="26"/>
      <c r="B377" s="25"/>
      <c r="C377" s="26"/>
      <c r="D377" s="26"/>
      <c r="E377" s="26"/>
      <c r="F377" s="26"/>
      <c r="G377" s="26"/>
      <c r="H377" s="26"/>
      <c r="I377" s="36"/>
      <c r="J377" s="36"/>
      <c r="K377" s="36"/>
      <c r="L377" s="36"/>
      <c r="M377" s="36"/>
      <c r="N377" s="36"/>
      <c r="O377" s="36"/>
    </row>
    <row r="378" spans="1:15" ht="19.5" customHeight="1">
      <c r="A378" s="72"/>
      <c r="B378" s="73"/>
      <c r="C378" s="72"/>
      <c r="D378" s="72"/>
      <c r="E378" s="72"/>
      <c r="F378" s="72"/>
      <c r="G378" s="35"/>
      <c r="H378" s="35"/>
      <c r="I378" s="35"/>
      <c r="J378" s="35"/>
      <c r="K378" s="35"/>
      <c r="L378" s="35"/>
      <c r="M378" s="35"/>
      <c r="N378" s="35"/>
      <c r="O378" s="74"/>
    </row>
    <row r="379" spans="1:15" ht="19.5" customHeight="1">
      <c r="A379" s="75"/>
      <c r="B379" s="76"/>
      <c r="C379" s="75"/>
      <c r="D379" s="75"/>
      <c r="E379" s="75"/>
      <c r="F379" s="75"/>
      <c r="G379" s="77"/>
      <c r="H379" s="77"/>
      <c r="I379" s="77"/>
      <c r="J379" s="77"/>
      <c r="K379" s="77"/>
      <c r="L379" s="77"/>
      <c r="M379" s="77"/>
      <c r="N379" s="77"/>
      <c r="O379" s="77"/>
    </row>
    <row r="380" spans="1:15" ht="19.5" customHeight="1">
      <c r="A380" s="26"/>
      <c r="B380" s="25"/>
      <c r="C380" s="26"/>
      <c r="D380" s="26"/>
      <c r="E380" s="26"/>
      <c r="F380" s="26"/>
      <c r="G380" s="26"/>
      <c r="H380" s="26"/>
      <c r="I380" s="36"/>
      <c r="J380" s="36"/>
      <c r="K380" s="36"/>
      <c r="L380" s="36"/>
      <c r="M380" s="36"/>
      <c r="N380" s="36"/>
      <c r="O380" s="36"/>
    </row>
    <row r="381" spans="1:15" ht="19.5" customHeight="1">
      <c r="A381" s="72"/>
      <c r="B381" s="73"/>
      <c r="C381" s="72"/>
      <c r="D381" s="72"/>
      <c r="E381" s="72"/>
      <c r="F381" s="72"/>
      <c r="G381" s="35"/>
      <c r="H381" s="35"/>
      <c r="I381" s="35"/>
      <c r="J381" s="35"/>
      <c r="K381" s="35"/>
      <c r="L381" s="35"/>
      <c r="M381" s="35"/>
      <c r="N381" s="35"/>
      <c r="O381" s="74"/>
    </row>
    <row r="382" spans="1:15" ht="19.5" customHeight="1">
      <c r="A382" s="75"/>
      <c r="B382" s="76"/>
      <c r="C382" s="75"/>
      <c r="D382" s="75"/>
      <c r="E382" s="75"/>
      <c r="F382" s="75"/>
      <c r="G382" s="77"/>
      <c r="H382" s="77"/>
      <c r="I382" s="77"/>
      <c r="J382" s="77"/>
      <c r="K382" s="77"/>
      <c r="L382" s="77"/>
      <c r="M382" s="77"/>
      <c r="N382" s="77"/>
      <c r="O382" s="77"/>
    </row>
    <row r="383" spans="1:15" ht="19.5" customHeight="1">
      <c r="A383" s="26"/>
      <c r="B383" s="25"/>
      <c r="C383" s="26"/>
      <c r="D383" s="26"/>
      <c r="E383" s="26"/>
      <c r="F383" s="26"/>
      <c r="G383" s="26"/>
      <c r="H383" s="26"/>
      <c r="I383" s="36"/>
      <c r="J383" s="36"/>
      <c r="K383" s="36"/>
      <c r="L383" s="36"/>
      <c r="M383" s="36"/>
      <c r="N383" s="36"/>
      <c r="O383" s="36"/>
    </row>
    <row r="384" spans="1:15" ht="19.5" customHeight="1">
      <c r="A384" s="72"/>
      <c r="B384" s="73"/>
      <c r="C384" s="72"/>
      <c r="D384" s="72"/>
      <c r="E384" s="72"/>
      <c r="F384" s="72"/>
      <c r="G384" s="35"/>
      <c r="H384" s="35"/>
      <c r="I384" s="35"/>
      <c r="J384" s="35"/>
      <c r="K384" s="35"/>
      <c r="L384" s="35"/>
      <c r="M384" s="35"/>
      <c r="N384" s="35"/>
      <c r="O384" s="74"/>
    </row>
    <row r="385" spans="1:15" ht="19.5" customHeight="1">
      <c r="A385" s="75"/>
      <c r="B385" s="76"/>
      <c r="C385" s="75"/>
      <c r="D385" s="75"/>
      <c r="E385" s="75"/>
      <c r="F385" s="75"/>
      <c r="G385" s="77"/>
      <c r="H385" s="77"/>
      <c r="I385" s="77"/>
      <c r="J385" s="77"/>
      <c r="K385" s="77"/>
      <c r="L385" s="77"/>
      <c r="M385" s="77"/>
      <c r="N385" s="77"/>
      <c r="O385" s="77"/>
    </row>
    <row r="386" spans="1:15" ht="19.5" customHeight="1">
      <c r="A386" s="26"/>
      <c r="B386" s="25"/>
      <c r="C386" s="26"/>
      <c r="D386" s="26"/>
      <c r="E386" s="26"/>
      <c r="F386" s="26"/>
      <c r="G386" s="26"/>
      <c r="H386" s="26"/>
      <c r="I386" s="36"/>
      <c r="J386" s="36"/>
      <c r="K386" s="36"/>
      <c r="L386" s="36"/>
      <c r="M386" s="36"/>
      <c r="N386" s="36"/>
      <c r="O386" s="36"/>
    </row>
    <row r="387" spans="1:15" ht="19.5" customHeight="1">
      <c r="A387" s="72"/>
      <c r="B387" s="73"/>
      <c r="C387" s="72"/>
      <c r="D387" s="72"/>
      <c r="E387" s="72"/>
      <c r="F387" s="72"/>
      <c r="G387" s="35"/>
      <c r="H387" s="35"/>
      <c r="I387" s="35"/>
      <c r="J387" s="35"/>
      <c r="K387" s="35"/>
      <c r="L387" s="35"/>
      <c r="M387" s="35"/>
      <c r="N387" s="35"/>
      <c r="O387" s="74"/>
    </row>
    <row r="388" spans="1:15" ht="19.5" customHeight="1">
      <c r="A388" s="75"/>
      <c r="B388" s="76"/>
      <c r="C388" s="75"/>
      <c r="D388" s="75"/>
      <c r="E388" s="75"/>
      <c r="F388" s="75"/>
      <c r="G388" s="77"/>
      <c r="H388" s="77"/>
      <c r="I388" s="77"/>
      <c r="J388" s="77"/>
      <c r="K388" s="77"/>
      <c r="L388" s="77"/>
      <c r="M388" s="77"/>
      <c r="N388" s="77"/>
      <c r="O388" s="77"/>
    </row>
    <row r="389" spans="1:15" ht="19.5" customHeight="1">
      <c r="A389" s="26"/>
      <c r="B389" s="25"/>
      <c r="C389" s="26"/>
      <c r="D389" s="26"/>
      <c r="E389" s="26"/>
      <c r="F389" s="26"/>
      <c r="G389" s="26"/>
      <c r="H389" s="26"/>
      <c r="I389" s="36"/>
      <c r="J389" s="36"/>
      <c r="K389" s="36"/>
      <c r="L389" s="36"/>
      <c r="M389" s="36"/>
      <c r="N389" s="36"/>
      <c r="O389" s="36"/>
    </row>
    <row r="390" spans="1:15" ht="19.5" customHeight="1">
      <c r="A390" s="72"/>
      <c r="B390" s="73"/>
      <c r="C390" s="72"/>
      <c r="D390" s="72"/>
      <c r="E390" s="72"/>
      <c r="F390" s="72"/>
      <c r="G390" s="35"/>
      <c r="H390" s="35"/>
      <c r="I390" s="35"/>
      <c r="J390" s="35"/>
      <c r="K390" s="35"/>
      <c r="L390" s="35"/>
      <c r="M390" s="35"/>
      <c r="N390" s="35"/>
      <c r="O390" s="74"/>
    </row>
    <row r="391" spans="1:15" ht="19.5" customHeight="1">
      <c r="A391" s="75"/>
      <c r="B391" s="76"/>
      <c r="C391" s="75"/>
      <c r="D391" s="75"/>
      <c r="E391" s="75"/>
      <c r="F391" s="75"/>
      <c r="G391" s="77"/>
      <c r="H391" s="77"/>
      <c r="I391" s="77"/>
      <c r="J391" s="77"/>
      <c r="K391" s="77"/>
      <c r="L391" s="77"/>
      <c r="M391" s="77"/>
      <c r="N391" s="77"/>
      <c r="O391" s="77"/>
    </row>
    <row r="392" spans="1:15" ht="19.5" customHeight="1">
      <c r="A392" s="26"/>
      <c r="B392" s="25"/>
      <c r="C392" s="26"/>
      <c r="D392" s="26"/>
      <c r="E392" s="26"/>
      <c r="F392" s="26"/>
      <c r="G392" s="26"/>
      <c r="H392" s="26"/>
      <c r="I392" s="36"/>
      <c r="J392" s="36"/>
      <c r="K392" s="36"/>
      <c r="L392" s="36"/>
      <c r="M392" s="36"/>
      <c r="N392" s="36"/>
      <c r="O392" s="36"/>
    </row>
    <row r="393" spans="1:15" ht="19.5" customHeight="1">
      <c r="A393" s="72"/>
      <c r="B393" s="73"/>
      <c r="C393" s="72"/>
      <c r="D393" s="72"/>
      <c r="E393" s="72"/>
      <c r="F393" s="72"/>
      <c r="G393" s="35"/>
      <c r="H393" s="35"/>
      <c r="I393" s="35"/>
      <c r="J393" s="35"/>
      <c r="K393" s="35"/>
      <c r="L393" s="35"/>
      <c r="M393" s="35"/>
      <c r="N393" s="35"/>
      <c r="O393" s="74"/>
    </row>
    <row r="394" spans="1:15" ht="19.5" customHeight="1">
      <c r="A394" s="75"/>
      <c r="B394" s="76"/>
      <c r="C394" s="75"/>
      <c r="D394" s="75"/>
      <c r="E394" s="75"/>
      <c r="F394" s="75"/>
      <c r="G394" s="77"/>
      <c r="H394" s="77"/>
      <c r="I394" s="77"/>
      <c r="J394" s="77"/>
      <c r="K394" s="77"/>
      <c r="L394" s="77"/>
      <c r="M394" s="77"/>
      <c r="N394" s="77"/>
      <c r="O394" s="77"/>
    </row>
    <row r="395" spans="1:15" ht="19.5" customHeight="1">
      <c r="A395" s="26"/>
      <c r="B395" s="25"/>
      <c r="C395" s="26"/>
      <c r="D395" s="26"/>
      <c r="E395" s="26"/>
      <c r="F395" s="26"/>
      <c r="G395" s="26"/>
      <c r="H395" s="26"/>
      <c r="I395" s="36"/>
      <c r="J395" s="36"/>
      <c r="K395" s="36"/>
      <c r="L395" s="36"/>
      <c r="M395" s="36"/>
      <c r="N395" s="36"/>
      <c r="O395" s="36"/>
    </row>
    <row r="396" spans="1:15" ht="19.5" customHeight="1">
      <c r="A396" s="72"/>
      <c r="B396" s="73"/>
      <c r="C396" s="72"/>
      <c r="D396" s="72"/>
      <c r="E396" s="72"/>
      <c r="F396" s="72"/>
      <c r="G396" s="35"/>
      <c r="H396" s="35"/>
      <c r="I396" s="35"/>
      <c r="J396" s="35"/>
      <c r="K396" s="35"/>
      <c r="L396" s="35"/>
      <c r="M396" s="35"/>
      <c r="N396" s="35"/>
      <c r="O396" s="74"/>
    </row>
    <row r="397" spans="1:15" ht="19.5" customHeight="1">
      <c r="A397" s="75"/>
      <c r="B397" s="76"/>
      <c r="C397" s="75"/>
      <c r="D397" s="75"/>
      <c r="E397" s="75"/>
      <c r="F397" s="75"/>
      <c r="G397" s="77"/>
      <c r="H397" s="77"/>
      <c r="I397" s="77"/>
      <c r="J397" s="77"/>
      <c r="K397" s="77"/>
      <c r="L397" s="77"/>
      <c r="M397" s="77"/>
      <c r="N397" s="77"/>
      <c r="O397" s="77"/>
    </row>
    <row r="398" spans="1:15" ht="19.5" customHeight="1">
      <c r="A398" s="26"/>
      <c r="B398" s="25"/>
      <c r="C398" s="26"/>
      <c r="D398" s="26"/>
      <c r="E398" s="26"/>
      <c r="F398" s="26"/>
      <c r="G398" s="26"/>
      <c r="H398" s="26"/>
      <c r="I398" s="36"/>
      <c r="J398" s="36"/>
      <c r="K398" s="36"/>
      <c r="L398" s="36"/>
      <c r="M398" s="36"/>
      <c r="N398" s="36"/>
      <c r="O398" s="36"/>
    </row>
    <row r="399" spans="1:15" ht="19.5" customHeight="1">
      <c r="A399" s="72"/>
      <c r="B399" s="73"/>
      <c r="C399" s="72"/>
      <c r="D399" s="72"/>
      <c r="E399" s="72"/>
      <c r="F399" s="72"/>
      <c r="G399" s="35"/>
      <c r="H399" s="35"/>
      <c r="I399" s="35"/>
      <c r="J399" s="35"/>
      <c r="K399" s="35"/>
      <c r="L399" s="35"/>
      <c r="M399" s="35"/>
      <c r="N399" s="35"/>
      <c r="O399" s="74"/>
    </row>
    <row r="400" spans="1:15" ht="19.5" customHeight="1">
      <c r="A400" s="75"/>
      <c r="B400" s="76"/>
      <c r="C400" s="75"/>
      <c r="D400" s="75"/>
      <c r="E400" s="75"/>
      <c r="F400" s="75"/>
      <c r="G400" s="77"/>
      <c r="H400" s="77"/>
      <c r="I400" s="77"/>
      <c r="J400" s="77"/>
      <c r="K400" s="77"/>
      <c r="L400" s="77"/>
      <c r="M400" s="77"/>
      <c r="N400" s="77"/>
      <c r="O400" s="77"/>
    </row>
    <row r="401" spans="1:15" ht="19.5" customHeight="1">
      <c r="A401" s="26"/>
      <c r="B401" s="25"/>
      <c r="C401" s="26"/>
      <c r="D401" s="26"/>
      <c r="E401" s="26"/>
      <c r="F401" s="26"/>
      <c r="G401" s="26"/>
      <c r="H401" s="26"/>
      <c r="I401" s="36"/>
      <c r="J401" s="36"/>
      <c r="K401" s="36"/>
      <c r="L401" s="36"/>
      <c r="M401" s="36"/>
      <c r="N401" s="36"/>
      <c r="O401" s="36"/>
    </row>
    <row r="402" spans="1:15" ht="19.5" customHeight="1">
      <c r="A402" s="72"/>
      <c r="B402" s="73"/>
      <c r="C402" s="72"/>
      <c r="D402" s="72"/>
      <c r="E402" s="72"/>
      <c r="F402" s="72"/>
      <c r="G402" s="35"/>
      <c r="H402" s="35"/>
      <c r="I402" s="35"/>
      <c r="J402" s="35"/>
      <c r="K402" s="35"/>
      <c r="L402" s="35"/>
      <c r="M402" s="35"/>
      <c r="N402" s="35"/>
      <c r="O402" s="74"/>
    </row>
    <row r="403" spans="1:15" ht="19.5" customHeight="1">
      <c r="A403" s="75"/>
      <c r="B403" s="76"/>
      <c r="C403" s="75"/>
      <c r="D403" s="75"/>
      <c r="E403" s="75"/>
      <c r="F403" s="75"/>
      <c r="G403" s="77"/>
      <c r="H403" s="77"/>
      <c r="I403" s="77"/>
      <c r="J403" s="77"/>
      <c r="K403" s="77"/>
      <c r="L403" s="77"/>
      <c r="M403" s="77"/>
      <c r="N403" s="77"/>
      <c r="O403" s="77"/>
    </row>
    <row r="404" spans="1:15" ht="19.5" customHeight="1">
      <c r="A404" s="26"/>
      <c r="B404" s="25"/>
      <c r="C404" s="26"/>
      <c r="D404" s="26"/>
      <c r="E404" s="26"/>
      <c r="F404" s="26"/>
      <c r="G404" s="26"/>
      <c r="H404" s="26"/>
      <c r="I404" s="36"/>
      <c r="J404" s="36"/>
      <c r="K404" s="36"/>
      <c r="L404" s="36"/>
      <c r="M404" s="36"/>
      <c r="N404" s="36"/>
      <c r="O404" s="36"/>
    </row>
    <row r="405" spans="1:15" ht="19.5" customHeight="1">
      <c r="A405" s="72"/>
      <c r="B405" s="73"/>
      <c r="C405" s="72"/>
      <c r="D405" s="72"/>
      <c r="E405" s="72"/>
      <c r="F405" s="72"/>
      <c r="G405" s="35"/>
      <c r="H405" s="35"/>
      <c r="I405" s="35"/>
      <c r="J405" s="35"/>
      <c r="K405" s="35"/>
      <c r="L405" s="35"/>
      <c r="M405" s="35"/>
      <c r="N405" s="35"/>
      <c r="O405" s="74"/>
    </row>
    <row r="406" spans="1:15" ht="19.5" customHeight="1">
      <c r="A406" s="75"/>
      <c r="B406" s="76"/>
      <c r="C406" s="75"/>
      <c r="D406" s="75"/>
      <c r="E406" s="75"/>
      <c r="F406" s="75"/>
      <c r="G406" s="77"/>
      <c r="H406" s="77"/>
      <c r="I406" s="77"/>
      <c r="J406" s="77"/>
      <c r="K406" s="77"/>
      <c r="L406" s="77"/>
      <c r="M406" s="77"/>
      <c r="N406" s="77"/>
      <c r="O406" s="77"/>
    </row>
    <row r="407" spans="1:15" ht="19.5" customHeight="1">
      <c r="A407" s="26"/>
      <c r="B407" s="25"/>
      <c r="C407" s="26"/>
      <c r="D407" s="26"/>
      <c r="E407" s="26"/>
      <c r="F407" s="26"/>
      <c r="G407" s="26"/>
      <c r="H407" s="26"/>
      <c r="I407" s="36"/>
      <c r="J407" s="36"/>
      <c r="K407" s="36"/>
      <c r="L407" s="36"/>
      <c r="M407" s="36"/>
      <c r="N407" s="36"/>
      <c r="O407" s="36"/>
    </row>
    <row r="408" spans="1:15" ht="19.5" customHeight="1">
      <c r="A408" s="72"/>
      <c r="B408" s="73"/>
      <c r="C408" s="72"/>
      <c r="D408" s="72"/>
      <c r="E408" s="72"/>
      <c r="F408" s="72"/>
      <c r="G408" s="35"/>
      <c r="H408" s="35"/>
      <c r="I408" s="35"/>
      <c r="J408" s="35"/>
      <c r="K408" s="35"/>
      <c r="L408" s="35"/>
      <c r="M408" s="35"/>
      <c r="N408" s="35"/>
      <c r="O408" s="74"/>
    </row>
    <row r="409" spans="1:15" ht="19.5" customHeight="1">
      <c r="A409" s="75"/>
      <c r="B409" s="76"/>
      <c r="C409" s="75"/>
      <c r="D409" s="75"/>
      <c r="E409" s="75"/>
      <c r="F409" s="75"/>
      <c r="G409" s="77"/>
      <c r="H409" s="77"/>
      <c r="I409" s="77"/>
      <c r="J409" s="77"/>
      <c r="K409" s="77"/>
      <c r="L409" s="77"/>
      <c r="M409" s="77"/>
      <c r="N409" s="77"/>
      <c r="O409" s="77"/>
    </row>
    <row r="410" spans="1:15" ht="19.5" customHeight="1">
      <c r="A410" s="26"/>
      <c r="B410" s="25"/>
      <c r="C410" s="26"/>
      <c r="D410" s="26"/>
      <c r="E410" s="26"/>
      <c r="F410" s="26"/>
      <c r="G410" s="26"/>
      <c r="H410" s="26"/>
      <c r="I410" s="36"/>
      <c r="J410" s="36"/>
      <c r="K410" s="36"/>
      <c r="L410" s="36"/>
      <c r="M410" s="36"/>
      <c r="N410" s="36"/>
      <c r="O410" s="36"/>
    </row>
    <row r="411" spans="1:15" ht="19.5" customHeight="1">
      <c r="A411" s="72"/>
      <c r="B411" s="73"/>
      <c r="C411" s="72"/>
      <c r="D411" s="72"/>
      <c r="E411" s="72"/>
      <c r="F411" s="72"/>
      <c r="G411" s="35"/>
      <c r="H411" s="35"/>
      <c r="I411" s="35"/>
      <c r="J411" s="35"/>
      <c r="K411" s="35"/>
      <c r="L411" s="35"/>
      <c r="M411" s="35"/>
      <c r="N411" s="35"/>
      <c r="O411" s="74"/>
    </row>
    <row r="412" spans="1:15" ht="19.5" customHeight="1">
      <c r="A412" s="75"/>
      <c r="B412" s="76"/>
      <c r="C412" s="75"/>
      <c r="D412" s="75"/>
      <c r="E412" s="75"/>
      <c r="F412" s="75"/>
      <c r="G412" s="77"/>
      <c r="H412" s="77"/>
      <c r="I412" s="77"/>
      <c r="J412" s="77"/>
      <c r="K412" s="77"/>
      <c r="L412" s="77"/>
      <c r="M412" s="77"/>
      <c r="N412" s="77"/>
      <c r="O412" s="77"/>
    </row>
    <row r="413" spans="1:15" ht="19.5" customHeight="1">
      <c r="A413" s="26"/>
      <c r="B413" s="25"/>
      <c r="C413" s="26"/>
      <c r="D413" s="26"/>
      <c r="E413" s="26"/>
      <c r="F413" s="26"/>
      <c r="G413" s="26"/>
      <c r="H413" s="26"/>
      <c r="I413" s="36"/>
      <c r="J413" s="36"/>
      <c r="K413" s="36"/>
      <c r="L413" s="36"/>
      <c r="M413" s="36"/>
      <c r="N413" s="36"/>
      <c r="O413" s="36"/>
    </row>
    <row r="414" spans="1:15" ht="19.5" customHeight="1">
      <c r="A414" s="72"/>
      <c r="B414" s="73"/>
      <c r="C414" s="72"/>
      <c r="D414" s="72"/>
      <c r="E414" s="72"/>
      <c r="F414" s="72"/>
      <c r="G414" s="35"/>
      <c r="H414" s="35"/>
      <c r="I414" s="35"/>
      <c r="J414" s="35"/>
      <c r="K414" s="35"/>
      <c r="L414" s="35"/>
      <c r="M414" s="35"/>
      <c r="N414" s="35"/>
      <c r="O414" s="74"/>
    </row>
    <row r="415" spans="1:15" ht="19.5" customHeight="1">
      <c r="A415" s="75"/>
      <c r="B415" s="76"/>
      <c r="C415" s="75"/>
      <c r="D415" s="75"/>
      <c r="E415" s="75"/>
      <c r="F415" s="75"/>
      <c r="G415" s="77"/>
      <c r="H415" s="77"/>
      <c r="I415" s="77"/>
      <c r="J415" s="77"/>
      <c r="K415" s="77"/>
      <c r="L415" s="77"/>
      <c r="M415" s="77"/>
      <c r="N415" s="77"/>
      <c r="O415" s="77"/>
    </row>
    <row r="416" spans="1:15" ht="19.5" customHeight="1">
      <c r="A416" s="26"/>
      <c r="B416" s="25"/>
      <c r="C416" s="26"/>
      <c r="D416" s="26"/>
      <c r="E416" s="26"/>
      <c r="F416" s="26"/>
      <c r="G416" s="26"/>
      <c r="H416" s="26"/>
      <c r="I416" s="36"/>
      <c r="J416" s="36"/>
      <c r="K416" s="36"/>
      <c r="L416" s="36"/>
      <c r="M416" s="36"/>
      <c r="N416" s="36"/>
      <c r="O416" s="36"/>
    </row>
    <row r="417" spans="1:15" ht="19.5" customHeight="1">
      <c r="A417" s="72"/>
      <c r="B417" s="73"/>
      <c r="C417" s="72"/>
      <c r="D417" s="72"/>
      <c r="E417" s="72"/>
      <c r="F417" s="72"/>
      <c r="G417" s="35"/>
      <c r="H417" s="35"/>
      <c r="I417" s="35"/>
      <c r="J417" s="35"/>
      <c r="K417" s="35"/>
      <c r="L417" s="35"/>
      <c r="M417" s="35"/>
      <c r="N417" s="35"/>
      <c r="O417" s="74"/>
    </row>
    <row r="418" spans="1:15" ht="19.5" customHeight="1">
      <c r="A418" s="75"/>
      <c r="B418" s="76"/>
      <c r="C418" s="75"/>
      <c r="D418" s="75"/>
      <c r="E418" s="75"/>
      <c r="F418" s="75"/>
      <c r="G418" s="77"/>
      <c r="H418" s="77"/>
      <c r="I418" s="77"/>
      <c r="J418" s="77"/>
      <c r="K418" s="77"/>
      <c r="L418" s="77"/>
      <c r="M418" s="77"/>
      <c r="N418" s="77"/>
      <c r="O418" s="77"/>
    </row>
    <row r="419" spans="1:15" ht="19.5" customHeight="1">
      <c r="A419" s="26"/>
      <c r="B419" s="25"/>
      <c r="C419" s="26"/>
      <c r="D419" s="26"/>
      <c r="E419" s="26"/>
      <c r="F419" s="26"/>
      <c r="G419" s="26"/>
      <c r="H419" s="26"/>
      <c r="I419" s="36"/>
      <c r="J419" s="36"/>
      <c r="K419" s="36"/>
      <c r="L419" s="36"/>
      <c r="M419" s="36"/>
      <c r="N419" s="36"/>
      <c r="O419" s="36"/>
    </row>
    <row r="420" spans="1:15" ht="19.5" customHeight="1">
      <c r="A420" s="72"/>
      <c r="B420" s="73"/>
      <c r="C420" s="72"/>
      <c r="D420" s="72"/>
      <c r="E420" s="72"/>
      <c r="F420" s="72"/>
      <c r="G420" s="35"/>
      <c r="H420" s="35"/>
      <c r="I420" s="35"/>
      <c r="J420" s="35"/>
      <c r="K420" s="35"/>
      <c r="L420" s="35"/>
      <c r="M420" s="35"/>
      <c r="N420" s="35"/>
      <c r="O420" s="74"/>
    </row>
    <row r="421" spans="1:15" ht="19.5" customHeight="1">
      <c r="A421" s="75"/>
      <c r="B421" s="76"/>
      <c r="C421" s="75"/>
      <c r="D421" s="75"/>
      <c r="E421" s="75"/>
      <c r="F421" s="75"/>
      <c r="G421" s="77"/>
      <c r="H421" s="77"/>
      <c r="I421" s="77"/>
      <c r="J421" s="77"/>
      <c r="K421" s="77"/>
      <c r="L421" s="77"/>
      <c r="M421" s="77"/>
      <c r="N421" s="77"/>
      <c r="O421" s="77"/>
    </row>
    <row r="422" spans="1:15" ht="19.5" customHeight="1">
      <c r="A422" s="26"/>
      <c r="B422" s="25"/>
      <c r="C422" s="26"/>
      <c r="D422" s="26"/>
      <c r="E422" s="26"/>
      <c r="F422" s="26"/>
      <c r="G422" s="26"/>
      <c r="H422" s="26"/>
      <c r="I422" s="36"/>
      <c r="J422" s="36"/>
      <c r="K422" s="36"/>
      <c r="L422" s="36"/>
      <c r="M422" s="36"/>
      <c r="N422" s="36"/>
      <c r="O422" s="36"/>
    </row>
    <row r="423" spans="1:15" ht="19.5" customHeight="1">
      <c r="A423" s="72"/>
      <c r="B423" s="73"/>
      <c r="C423" s="72"/>
      <c r="D423" s="72"/>
      <c r="E423" s="72"/>
      <c r="F423" s="72"/>
      <c r="G423" s="35"/>
      <c r="H423" s="35"/>
      <c r="I423" s="35"/>
      <c r="J423" s="35"/>
      <c r="K423" s="35"/>
      <c r="L423" s="35"/>
      <c r="M423" s="35"/>
      <c r="N423" s="35"/>
      <c r="O423" s="74"/>
    </row>
    <row r="424" spans="1:15" ht="19.5" customHeight="1">
      <c r="A424" s="75"/>
      <c r="B424" s="76"/>
      <c r="C424" s="75"/>
      <c r="D424" s="75"/>
      <c r="E424" s="75"/>
      <c r="F424" s="75"/>
      <c r="G424" s="77"/>
      <c r="H424" s="77"/>
      <c r="I424" s="77"/>
      <c r="J424" s="77"/>
      <c r="K424" s="77"/>
      <c r="L424" s="77"/>
      <c r="M424" s="77"/>
      <c r="N424" s="77"/>
      <c r="O424" s="77"/>
    </row>
    <row r="425" spans="1:15" ht="19.5" customHeight="1">
      <c r="A425" s="26"/>
      <c r="B425" s="25"/>
      <c r="C425" s="26"/>
      <c r="D425" s="26"/>
      <c r="E425" s="26"/>
      <c r="F425" s="26"/>
      <c r="G425" s="26"/>
      <c r="H425" s="26"/>
      <c r="I425" s="36"/>
      <c r="J425" s="36"/>
      <c r="K425" s="36"/>
      <c r="L425" s="36"/>
      <c r="M425" s="36"/>
      <c r="N425" s="36"/>
      <c r="O425" s="36"/>
    </row>
    <row r="426" spans="1:15" ht="19.5" customHeight="1">
      <c r="A426" s="72"/>
      <c r="B426" s="73"/>
      <c r="C426" s="72"/>
      <c r="D426" s="72"/>
      <c r="E426" s="72"/>
      <c r="F426" s="72"/>
      <c r="G426" s="35"/>
      <c r="H426" s="35"/>
      <c r="I426" s="35"/>
      <c r="J426" s="35"/>
      <c r="K426" s="35"/>
      <c r="L426" s="35"/>
      <c r="M426" s="35"/>
      <c r="N426" s="35"/>
      <c r="O426" s="74"/>
    </row>
    <row r="427" spans="1:15" ht="19.5" customHeight="1">
      <c r="A427" s="75"/>
      <c r="B427" s="76"/>
      <c r="C427" s="75"/>
      <c r="D427" s="75"/>
      <c r="E427" s="75"/>
      <c r="F427" s="75"/>
      <c r="G427" s="77"/>
      <c r="H427" s="77"/>
      <c r="I427" s="77"/>
      <c r="J427" s="77"/>
      <c r="K427" s="77"/>
      <c r="L427" s="77"/>
      <c r="M427" s="77"/>
      <c r="N427" s="77"/>
      <c r="O427" s="77"/>
    </row>
    <row r="428" spans="1:15" ht="19.5" customHeight="1">
      <c r="A428" s="26"/>
      <c r="B428" s="25"/>
      <c r="C428" s="26"/>
      <c r="D428" s="26"/>
      <c r="E428" s="26"/>
      <c r="F428" s="26"/>
      <c r="G428" s="26"/>
      <c r="H428" s="26"/>
      <c r="I428" s="36"/>
      <c r="J428" s="36"/>
      <c r="K428" s="36"/>
      <c r="L428" s="36"/>
      <c r="M428" s="36"/>
      <c r="N428" s="36"/>
      <c r="O428" s="36"/>
    </row>
    <row r="429" spans="1:15" ht="19.5" customHeight="1">
      <c r="A429" s="72"/>
      <c r="B429" s="73"/>
      <c r="C429" s="72"/>
      <c r="D429" s="72"/>
      <c r="E429" s="72"/>
      <c r="F429" s="72"/>
      <c r="G429" s="35"/>
      <c r="H429" s="35"/>
      <c r="I429" s="35"/>
      <c r="J429" s="35"/>
      <c r="K429" s="35"/>
      <c r="L429" s="35"/>
      <c r="M429" s="35"/>
      <c r="N429" s="35"/>
      <c r="O429" s="74"/>
    </row>
    <row r="430" spans="1:15" ht="19.5" customHeight="1">
      <c r="A430" s="75"/>
      <c r="B430" s="76"/>
      <c r="C430" s="75"/>
      <c r="D430" s="75"/>
      <c r="E430" s="75"/>
      <c r="F430" s="75"/>
      <c r="G430" s="77"/>
      <c r="H430" s="77"/>
      <c r="I430" s="77"/>
      <c r="J430" s="77"/>
      <c r="K430" s="77"/>
      <c r="L430" s="77"/>
      <c r="M430" s="77"/>
      <c r="N430" s="77"/>
      <c r="O430" s="77"/>
    </row>
    <row r="431" spans="1:15" ht="19.5" customHeight="1">
      <c r="A431" s="26"/>
      <c r="B431" s="25"/>
      <c r="C431" s="26"/>
      <c r="D431" s="26"/>
      <c r="E431" s="26"/>
      <c r="F431" s="26"/>
      <c r="G431" s="26"/>
      <c r="H431" s="26"/>
      <c r="I431" s="36"/>
      <c r="J431" s="36"/>
      <c r="K431" s="36"/>
      <c r="L431" s="36"/>
      <c r="M431" s="36"/>
      <c r="N431" s="36"/>
      <c r="O431" s="36"/>
    </row>
    <row r="432" spans="1:15" ht="19.5" customHeight="1">
      <c r="A432" s="72"/>
      <c r="B432" s="73"/>
      <c r="C432" s="72"/>
      <c r="D432" s="72"/>
      <c r="E432" s="72"/>
      <c r="F432" s="72"/>
      <c r="G432" s="35"/>
      <c r="H432" s="35"/>
      <c r="I432" s="35"/>
      <c r="J432" s="35"/>
      <c r="K432" s="35"/>
      <c r="L432" s="35"/>
      <c r="M432" s="35"/>
      <c r="N432" s="35"/>
      <c r="O432" s="74"/>
    </row>
    <row r="433" spans="1:15" ht="19.5" customHeight="1">
      <c r="A433" s="75"/>
      <c r="B433" s="76"/>
      <c r="C433" s="75"/>
      <c r="D433" s="75"/>
      <c r="E433" s="75"/>
      <c r="F433" s="75"/>
      <c r="G433" s="77"/>
      <c r="H433" s="77"/>
      <c r="I433" s="77"/>
      <c r="J433" s="77"/>
      <c r="K433" s="77"/>
      <c r="L433" s="77"/>
      <c r="M433" s="77"/>
      <c r="N433" s="77"/>
      <c r="O433" s="77"/>
    </row>
    <row r="434" spans="1:15" ht="19.5" customHeight="1">
      <c r="A434" s="26"/>
      <c r="B434" s="25"/>
      <c r="C434" s="26"/>
      <c r="D434" s="26"/>
      <c r="E434" s="26"/>
      <c r="F434" s="26"/>
      <c r="G434" s="26"/>
      <c r="H434" s="26"/>
      <c r="I434" s="36"/>
      <c r="J434" s="36"/>
      <c r="K434" s="36"/>
      <c r="L434" s="36"/>
      <c r="M434" s="36"/>
      <c r="N434" s="36"/>
      <c r="O434" s="36"/>
    </row>
    <row r="435" spans="1:15" ht="19.5" customHeight="1">
      <c r="A435" s="72"/>
      <c r="B435" s="73"/>
      <c r="C435" s="72"/>
      <c r="D435" s="72"/>
      <c r="E435" s="72"/>
      <c r="F435" s="72"/>
      <c r="G435" s="35"/>
      <c r="H435" s="35"/>
      <c r="I435" s="35"/>
      <c r="J435" s="35"/>
      <c r="K435" s="35"/>
      <c r="L435" s="35"/>
      <c r="M435" s="35"/>
      <c r="N435" s="35"/>
      <c r="O435" s="74"/>
    </row>
    <row r="436" spans="1:15" ht="19.5" customHeight="1">
      <c r="A436" s="75"/>
      <c r="B436" s="76"/>
      <c r="C436" s="75"/>
      <c r="D436" s="75"/>
      <c r="E436" s="75"/>
      <c r="F436" s="75"/>
      <c r="G436" s="77"/>
      <c r="H436" s="77"/>
      <c r="I436" s="77"/>
      <c r="J436" s="77"/>
      <c r="K436" s="77"/>
      <c r="L436" s="77"/>
      <c r="M436" s="77"/>
      <c r="N436" s="77"/>
      <c r="O436" s="77"/>
    </row>
    <row r="437" spans="1:15" ht="19.5" customHeight="1">
      <c r="A437" s="26"/>
      <c r="B437" s="25"/>
      <c r="C437" s="26"/>
      <c r="D437" s="26"/>
      <c r="E437" s="26"/>
      <c r="F437" s="26"/>
      <c r="G437" s="26"/>
      <c r="H437" s="26"/>
      <c r="I437" s="36"/>
      <c r="J437" s="36"/>
      <c r="K437" s="36"/>
      <c r="L437" s="36"/>
      <c r="M437" s="36"/>
      <c r="N437" s="36"/>
      <c r="O437" s="36"/>
    </row>
    <row r="438" spans="1:15" ht="19.5" customHeight="1">
      <c r="A438" s="72"/>
      <c r="B438" s="73"/>
      <c r="C438" s="72"/>
      <c r="D438" s="72"/>
      <c r="E438" s="72"/>
      <c r="F438" s="72"/>
      <c r="G438" s="35"/>
      <c r="H438" s="35"/>
      <c r="I438" s="35"/>
      <c r="J438" s="35"/>
      <c r="K438" s="35"/>
      <c r="L438" s="35"/>
      <c r="M438" s="35"/>
      <c r="N438" s="35"/>
      <c r="O438" s="74"/>
    </row>
    <row r="439" spans="1:15" ht="19.5" customHeight="1">
      <c r="A439" s="75"/>
      <c r="B439" s="76"/>
      <c r="C439" s="75"/>
      <c r="D439" s="75"/>
      <c r="E439" s="75"/>
      <c r="F439" s="75"/>
      <c r="G439" s="77"/>
      <c r="H439" s="77"/>
      <c r="I439" s="77"/>
      <c r="J439" s="77"/>
      <c r="K439" s="77"/>
      <c r="L439" s="77"/>
      <c r="M439" s="77"/>
      <c r="N439" s="77"/>
      <c r="O439" s="77"/>
    </row>
    <row r="440" spans="1:15" ht="19.5" customHeight="1">
      <c r="A440" s="26"/>
      <c r="B440" s="25"/>
      <c r="C440" s="26"/>
      <c r="D440" s="26"/>
      <c r="E440" s="26"/>
      <c r="F440" s="26"/>
      <c r="G440" s="26"/>
      <c r="H440" s="26"/>
      <c r="I440" s="36"/>
      <c r="J440" s="36"/>
      <c r="K440" s="36"/>
      <c r="L440" s="36"/>
      <c r="M440" s="36"/>
      <c r="N440" s="36"/>
      <c r="O440" s="36"/>
    </row>
    <row r="441" spans="1:15" ht="19.5" customHeight="1">
      <c r="A441" s="72"/>
      <c r="B441" s="73"/>
      <c r="C441" s="72"/>
      <c r="D441" s="72"/>
      <c r="E441" s="72"/>
      <c r="F441" s="72"/>
      <c r="G441" s="35"/>
      <c r="H441" s="35"/>
      <c r="I441" s="35"/>
      <c r="J441" s="35"/>
      <c r="K441" s="35"/>
      <c r="L441" s="35"/>
      <c r="M441" s="35"/>
      <c r="N441" s="35"/>
      <c r="O441" s="74"/>
    </row>
    <row r="442" spans="1:15" ht="19.5" customHeight="1">
      <c r="A442" s="75"/>
      <c r="B442" s="76"/>
      <c r="C442" s="75"/>
      <c r="D442" s="75"/>
      <c r="E442" s="75"/>
      <c r="F442" s="75"/>
      <c r="G442" s="77"/>
      <c r="H442" s="77"/>
      <c r="I442" s="77"/>
      <c r="J442" s="77"/>
      <c r="K442" s="77"/>
      <c r="L442" s="77"/>
      <c r="M442" s="77"/>
      <c r="N442" s="77"/>
      <c r="O442" s="77"/>
    </row>
    <row r="443" spans="1:15" ht="19.5" customHeight="1">
      <c r="A443" s="26"/>
      <c r="B443" s="25"/>
      <c r="C443" s="26"/>
      <c r="D443" s="26"/>
      <c r="E443" s="26"/>
      <c r="F443" s="26"/>
      <c r="G443" s="26"/>
      <c r="H443" s="26"/>
      <c r="I443" s="36"/>
      <c r="J443" s="36"/>
      <c r="K443" s="36"/>
      <c r="L443" s="36"/>
      <c r="M443" s="36"/>
      <c r="N443" s="36"/>
      <c r="O443" s="36"/>
    </row>
    <row r="444" spans="1:15" ht="19.5" customHeight="1">
      <c r="A444" s="72"/>
      <c r="B444" s="73"/>
      <c r="C444" s="72"/>
      <c r="D444" s="72"/>
      <c r="E444" s="72"/>
      <c r="F444" s="72"/>
      <c r="G444" s="35"/>
      <c r="H444" s="35"/>
      <c r="I444" s="35"/>
      <c r="J444" s="35"/>
      <c r="K444" s="35"/>
      <c r="L444" s="35"/>
      <c r="M444" s="35"/>
      <c r="N444" s="35"/>
      <c r="O444" s="74"/>
    </row>
    <row r="445" spans="1:15" ht="19.5" customHeight="1">
      <c r="A445" s="75"/>
      <c r="B445" s="76"/>
      <c r="C445" s="75"/>
      <c r="D445" s="75"/>
      <c r="E445" s="75"/>
      <c r="F445" s="75"/>
      <c r="G445" s="77"/>
      <c r="H445" s="77"/>
      <c r="I445" s="77"/>
      <c r="J445" s="77"/>
      <c r="K445" s="77"/>
      <c r="L445" s="77"/>
      <c r="M445" s="77"/>
      <c r="N445" s="77"/>
      <c r="O445" s="77"/>
    </row>
    <row r="446" spans="1:15" ht="19.5" customHeight="1">
      <c r="A446" s="26"/>
      <c r="B446" s="25"/>
      <c r="C446" s="26"/>
      <c r="D446" s="26"/>
      <c r="E446" s="26"/>
      <c r="F446" s="26"/>
      <c r="G446" s="26"/>
      <c r="H446" s="26"/>
      <c r="I446" s="36"/>
      <c r="J446" s="36"/>
      <c r="K446" s="36"/>
      <c r="L446" s="36"/>
      <c r="M446" s="36"/>
      <c r="N446" s="36"/>
      <c r="O446" s="36"/>
    </row>
    <row r="447" spans="1:15" ht="19.5" customHeight="1">
      <c r="A447" s="72"/>
      <c r="B447" s="73"/>
      <c r="C447" s="72"/>
      <c r="D447" s="72"/>
      <c r="E447" s="72"/>
      <c r="F447" s="72"/>
      <c r="G447" s="35"/>
      <c r="H447" s="35"/>
      <c r="I447" s="35"/>
      <c r="J447" s="35"/>
      <c r="K447" s="35"/>
      <c r="L447" s="35"/>
      <c r="M447" s="35"/>
      <c r="N447" s="35"/>
      <c r="O447" s="74"/>
    </row>
    <row r="448" spans="1:15" ht="19.5" customHeight="1">
      <c r="A448" s="75"/>
      <c r="B448" s="76"/>
      <c r="C448" s="75"/>
      <c r="D448" s="75"/>
      <c r="E448" s="75"/>
      <c r="F448" s="75"/>
      <c r="G448" s="77"/>
      <c r="H448" s="77"/>
      <c r="I448" s="77"/>
      <c r="J448" s="77"/>
      <c r="K448" s="77"/>
      <c r="L448" s="77"/>
      <c r="M448" s="77"/>
      <c r="N448" s="77"/>
      <c r="O448" s="77"/>
    </row>
    <row r="449" spans="1:15" ht="19.5" customHeight="1">
      <c r="A449" s="26"/>
      <c r="B449" s="25"/>
      <c r="C449" s="26"/>
      <c r="D449" s="26"/>
      <c r="E449" s="26"/>
      <c r="F449" s="26"/>
      <c r="G449" s="26"/>
      <c r="H449" s="26"/>
      <c r="I449" s="36"/>
      <c r="J449" s="36"/>
      <c r="K449" s="36"/>
      <c r="L449" s="36"/>
      <c r="M449" s="36"/>
      <c r="N449" s="36"/>
      <c r="O449" s="36"/>
    </row>
    <row r="450" spans="1:15" ht="19.5" customHeight="1">
      <c r="A450" s="72"/>
      <c r="B450" s="73"/>
      <c r="C450" s="72"/>
      <c r="D450" s="72"/>
      <c r="E450" s="72"/>
      <c r="F450" s="72"/>
      <c r="G450" s="35"/>
      <c r="H450" s="35"/>
      <c r="I450" s="35"/>
      <c r="J450" s="35"/>
      <c r="K450" s="35"/>
      <c r="L450" s="35"/>
      <c r="M450" s="35"/>
      <c r="N450" s="35"/>
      <c r="O450" s="74"/>
    </row>
    <row r="451" spans="1:15" ht="19.5" customHeight="1">
      <c r="A451" s="75"/>
      <c r="B451" s="76"/>
      <c r="C451" s="75"/>
      <c r="D451" s="75"/>
      <c r="E451" s="75"/>
      <c r="F451" s="75"/>
      <c r="G451" s="77"/>
      <c r="H451" s="77"/>
      <c r="I451" s="77"/>
      <c r="J451" s="77"/>
      <c r="K451" s="77"/>
      <c r="L451" s="77"/>
      <c r="M451" s="77"/>
      <c r="N451" s="77"/>
      <c r="O451" s="77"/>
    </row>
    <row r="452" spans="1:15" ht="19.5" customHeight="1">
      <c r="A452" s="26"/>
      <c r="B452" s="25"/>
      <c r="C452" s="26"/>
      <c r="D452" s="26"/>
      <c r="E452" s="26"/>
      <c r="F452" s="26"/>
      <c r="G452" s="26"/>
      <c r="H452" s="26"/>
      <c r="I452" s="36"/>
      <c r="J452" s="36"/>
      <c r="K452" s="36"/>
      <c r="L452" s="36"/>
      <c r="M452" s="36"/>
      <c r="N452" s="36"/>
      <c r="O452" s="36"/>
    </row>
    <row r="453" spans="1:15" ht="19.5" customHeight="1">
      <c r="A453" s="72"/>
      <c r="B453" s="73"/>
      <c r="C453" s="72"/>
      <c r="D453" s="72"/>
      <c r="E453" s="72"/>
      <c r="F453" s="72"/>
      <c r="G453" s="35"/>
      <c r="H453" s="35"/>
      <c r="I453" s="35"/>
      <c r="J453" s="35"/>
      <c r="K453" s="35"/>
      <c r="L453" s="35"/>
      <c r="M453" s="35"/>
      <c r="N453" s="35"/>
      <c r="O453" s="74"/>
    </row>
    <row r="454" spans="1:15" ht="19.5" customHeight="1">
      <c r="A454" s="75"/>
      <c r="B454" s="76"/>
      <c r="C454" s="75"/>
      <c r="D454" s="75"/>
      <c r="E454" s="75"/>
      <c r="F454" s="75"/>
      <c r="G454" s="77"/>
      <c r="H454" s="77"/>
      <c r="I454" s="77"/>
      <c r="J454" s="77"/>
      <c r="K454" s="77"/>
      <c r="L454" s="77"/>
      <c r="M454" s="77"/>
      <c r="N454" s="77"/>
      <c r="O454" s="77"/>
    </row>
    <row r="455" spans="1:15" ht="19.5" customHeight="1">
      <c r="A455" s="26"/>
      <c r="B455" s="25"/>
      <c r="C455" s="26"/>
      <c r="D455" s="26"/>
      <c r="E455" s="26"/>
      <c r="F455" s="26"/>
      <c r="G455" s="26"/>
      <c r="H455" s="26"/>
      <c r="I455" s="36"/>
      <c r="J455" s="36"/>
      <c r="K455" s="36"/>
      <c r="L455" s="36"/>
      <c r="M455" s="36"/>
      <c r="N455" s="36"/>
      <c r="O455" s="36"/>
    </row>
    <row r="456" spans="1:15" ht="19.5" customHeight="1">
      <c r="A456" s="72"/>
      <c r="B456" s="73"/>
      <c r="C456" s="72"/>
      <c r="D456" s="72"/>
      <c r="E456" s="72"/>
      <c r="F456" s="72"/>
      <c r="G456" s="35"/>
      <c r="H456" s="35"/>
      <c r="I456" s="35"/>
      <c r="J456" s="35"/>
      <c r="K456" s="35"/>
      <c r="L456" s="35"/>
      <c r="M456" s="35"/>
      <c r="N456" s="35"/>
      <c r="O456" s="74"/>
    </row>
    <row r="457" spans="1:15" ht="19.5" customHeight="1">
      <c r="A457" s="75"/>
      <c r="B457" s="76"/>
      <c r="C457" s="75"/>
      <c r="D457" s="75"/>
      <c r="E457" s="75"/>
      <c r="F457" s="75"/>
      <c r="G457" s="77"/>
      <c r="H457" s="77"/>
      <c r="I457" s="77"/>
      <c r="J457" s="77"/>
      <c r="K457" s="77"/>
      <c r="L457" s="77"/>
      <c r="M457" s="77"/>
      <c r="N457" s="77"/>
      <c r="O457" s="77"/>
    </row>
    <row r="458" spans="1:15" ht="19.5" customHeight="1">
      <c r="A458" s="26"/>
      <c r="B458" s="25"/>
      <c r="C458" s="26"/>
      <c r="D458" s="26"/>
      <c r="E458" s="26"/>
      <c r="F458" s="26"/>
      <c r="G458" s="26"/>
      <c r="H458" s="26"/>
      <c r="I458" s="36"/>
      <c r="J458" s="36"/>
      <c r="K458" s="36"/>
      <c r="L458" s="36"/>
      <c r="M458" s="36"/>
      <c r="N458" s="36"/>
      <c r="O458" s="36"/>
    </row>
    <row r="459" spans="1:15" ht="19.5" customHeight="1">
      <c r="A459" s="72"/>
      <c r="B459" s="73"/>
      <c r="C459" s="72"/>
      <c r="D459" s="72"/>
      <c r="E459" s="72"/>
      <c r="F459" s="72"/>
      <c r="G459" s="35"/>
      <c r="H459" s="35"/>
      <c r="I459" s="35"/>
      <c r="J459" s="35"/>
      <c r="K459" s="35"/>
      <c r="L459" s="35"/>
      <c r="M459" s="35"/>
      <c r="N459" s="35"/>
      <c r="O459" s="74"/>
    </row>
    <row r="460" spans="1:15" ht="19.5" customHeight="1">
      <c r="A460" s="75"/>
      <c r="B460" s="76"/>
      <c r="C460" s="75"/>
      <c r="D460" s="75"/>
      <c r="E460" s="75"/>
      <c r="F460" s="75"/>
      <c r="G460" s="77"/>
      <c r="H460" s="77"/>
      <c r="I460" s="77"/>
      <c r="J460" s="77"/>
      <c r="K460" s="77"/>
      <c r="L460" s="77"/>
      <c r="M460" s="77"/>
      <c r="N460" s="77"/>
      <c r="O460" s="77"/>
    </row>
    <row r="461" spans="1:15" ht="19.5" customHeight="1">
      <c r="A461" s="26"/>
      <c r="B461" s="25"/>
      <c r="C461" s="26"/>
      <c r="D461" s="26"/>
      <c r="E461" s="26"/>
      <c r="F461" s="26"/>
      <c r="G461" s="26"/>
      <c r="H461" s="26"/>
      <c r="I461" s="36"/>
      <c r="J461" s="36"/>
      <c r="K461" s="36"/>
      <c r="L461" s="36"/>
      <c r="M461" s="36"/>
      <c r="N461" s="36"/>
      <c r="O461" s="36"/>
    </row>
    <row r="462" spans="1:15" ht="19.5" customHeight="1">
      <c r="A462" s="72"/>
      <c r="B462" s="73"/>
      <c r="C462" s="72"/>
      <c r="D462" s="72"/>
      <c r="E462" s="72"/>
      <c r="F462" s="72"/>
      <c r="G462" s="35"/>
      <c r="H462" s="35"/>
      <c r="I462" s="35"/>
      <c r="J462" s="35"/>
      <c r="K462" s="35"/>
      <c r="L462" s="35"/>
      <c r="M462" s="35"/>
      <c r="N462" s="35"/>
      <c r="O462" s="74"/>
    </row>
    <row r="463" spans="1:15" ht="19.5" customHeight="1">
      <c r="A463" s="75"/>
      <c r="B463" s="76"/>
      <c r="C463" s="75"/>
      <c r="D463" s="75"/>
      <c r="E463" s="75"/>
      <c r="F463" s="75"/>
      <c r="G463" s="77"/>
      <c r="H463" s="77"/>
      <c r="I463" s="77"/>
      <c r="J463" s="77"/>
      <c r="K463" s="77"/>
      <c r="L463" s="77"/>
      <c r="M463" s="77"/>
      <c r="N463" s="77"/>
      <c r="O463" s="77"/>
    </row>
    <row r="464" spans="1:15" ht="19.5" customHeight="1">
      <c r="A464" s="26"/>
      <c r="B464" s="25"/>
      <c r="C464" s="26"/>
      <c r="D464" s="26"/>
      <c r="E464" s="26"/>
      <c r="F464" s="26"/>
      <c r="G464" s="26"/>
      <c r="H464" s="26"/>
      <c r="I464" s="36"/>
      <c r="J464" s="36"/>
      <c r="K464" s="36"/>
      <c r="L464" s="36"/>
      <c r="M464" s="36"/>
      <c r="N464" s="36"/>
      <c r="O464" s="36"/>
    </row>
    <row r="465" spans="1:15" ht="19.5" customHeight="1">
      <c r="A465" s="72"/>
      <c r="B465" s="73"/>
      <c r="C465" s="72"/>
      <c r="D465" s="72"/>
      <c r="E465" s="72"/>
      <c r="F465" s="72"/>
      <c r="G465" s="35"/>
      <c r="H465" s="35"/>
      <c r="I465" s="35"/>
      <c r="J465" s="35"/>
      <c r="K465" s="35"/>
      <c r="L465" s="35"/>
      <c r="M465" s="35"/>
      <c r="N465" s="35"/>
      <c r="O465" s="74"/>
    </row>
    <row r="466" spans="1:15" ht="19.5" customHeight="1">
      <c r="A466" s="75"/>
      <c r="B466" s="76"/>
      <c r="C466" s="75"/>
      <c r="D466" s="75"/>
      <c r="E466" s="75"/>
      <c r="F466" s="75"/>
      <c r="G466" s="77"/>
      <c r="H466" s="77"/>
      <c r="I466" s="77"/>
      <c r="J466" s="77"/>
      <c r="K466" s="77"/>
      <c r="L466" s="77"/>
      <c r="M466" s="77"/>
      <c r="N466" s="77"/>
      <c r="O466" s="77"/>
    </row>
    <row r="467" spans="1:15" ht="19.5" customHeight="1">
      <c r="A467" s="26"/>
      <c r="B467" s="25"/>
      <c r="C467" s="26"/>
      <c r="D467" s="26"/>
      <c r="E467" s="26"/>
      <c r="F467" s="26"/>
      <c r="G467" s="26"/>
      <c r="H467" s="26"/>
      <c r="I467" s="36"/>
      <c r="J467" s="36"/>
      <c r="K467" s="36"/>
      <c r="L467" s="36"/>
      <c r="M467" s="36"/>
      <c r="N467" s="36"/>
      <c r="O467" s="36"/>
    </row>
    <row r="468" spans="1:15" ht="19.5" customHeight="1">
      <c r="A468" s="72"/>
      <c r="B468" s="73"/>
      <c r="C468" s="72"/>
      <c r="D468" s="72"/>
      <c r="E468" s="72"/>
      <c r="F468" s="72"/>
      <c r="G468" s="35"/>
      <c r="H468" s="35"/>
      <c r="I468" s="35"/>
      <c r="J468" s="35"/>
      <c r="K468" s="35"/>
      <c r="L468" s="35"/>
      <c r="M468" s="35"/>
      <c r="N468" s="35"/>
      <c r="O468" s="74"/>
    </row>
    <row r="469" spans="1:15" ht="19.5" customHeight="1">
      <c r="A469" s="75"/>
      <c r="B469" s="76"/>
      <c r="C469" s="75"/>
      <c r="D469" s="75"/>
      <c r="E469" s="75"/>
      <c r="F469" s="75"/>
      <c r="G469" s="77"/>
      <c r="H469" s="77"/>
      <c r="I469" s="77"/>
      <c r="J469" s="77"/>
      <c r="K469" s="77"/>
      <c r="L469" s="77"/>
      <c r="M469" s="77"/>
      <c r="N469" s="77"/>
      <c r="O469" s="77"/>
    </row>
    <row r="470" spans="1:15" ht="19.5" customHeight="1">
      <c r="A470" s="26"/>
      <c r="B470" s="25"/>
      <c r="C470" s="26"/>
      <c r="D470" s="26"/>
      <c r="E470" s="26"/>
      <c r="F470" s="26"/>
      <c r="G470" s="26"/>
      <c r="H470" s="26"/>
      <c r="I470" s="36"/>
      <c r="J470" s="36"/>
      <c r="K470" s="36"/>
      <c r="L470" s="36"/>
      <c r="M470" s="36"/>
      <c r="N470" s="36"/>
      <c r="O470" s="36"/>
    </row>
    <row r="471" spans="1:15" ht="19.5" customHeight="1">
      <c r="A471" s="72"/>
      <c r="B471" s="73"/>
      <c r="C471" s="72"/>
      <c r="D471" s="72"/>
      <c r="E471" s="72"/>
      <c r="F471" s="72"/>
      <c r="G471" s="35"/>
      <c r="H471" s="35"/>
      <c r="I471" s="35"/>
      <c r="J471" s="35"/>
      <c r="K471" s="35"/>
      <c r="L471" s="35"/>
      <c r="M471" s="35"/>
      <c r="N471" s="35"/>
      <c r="O471" s="74"/>
    </row>
    <row r="472" spans="1:15" ht="19.5" customHeight="1">
      <c r="A472" s="75"/>
      <c r="B472" s="76"/>
      <c r="C472" s="75"/>
      <c r="D472" s="75"/>
      <c r="E472" s="75"/>
      <c r="F472" s="75"/>
      <c r="G472" s="77"/>
      <c r="H472" s="77"/>
      <c r="I472" s="77"/>
      <c r="J472" s="77"/>
      <c r="K472" s="77"/>
      <c r="L472" s="77"/>
      <c r="M472" s="77"/>
      <c r="N472" s="77"/>
      <c r="O472" s="77"/>
    </row>
    <row r="473" spans="1:15" ht="19.5" customHeight="1">
      <c r="A473" s="26"/>
      <c r="B473" s="25"/>
      <c r="C473" s="26"/>
      <c r="D473" s="26"/>
      <c r="E473" s="26"/>
      <c r="F473" s="26"/>
      <c r="G473" s="26"/>
      <c r="H473" s="26"/>
      <c r="I473" s="36"/>
      <c r="J473" s="36"/>
      <c r="K473" s="36"/>
      <c r="L473" s="36"/>
      <c r="M473" s="36"/>
      <c r="N473" s="36"/>
      <c r="O473" s="36"/>
    </row>
    <row r="474" spans="1:15" ht="19.5" customHeight="1">
      <c r="A474" s="72"/>
      <c r="B474" s="73"/>
      <c r="C474" s="72"/>
      <c r="D474" s="72"/>
      <c r="E474" s="72"/>
      <c r="F474" s="72"/>
      <c r="G474" s="35"/>
      <c r="H474" s="35"/>
      <c r="I474" s="35"/>
      <c r="J474" s="35"/>
      <c r="K474" s="35"/>
      <c r="L474" s="35"/>
      <c r="M474" s="35"/>
      <c r="N474" s="35"/>
      <c r="O474" s="74"/>
    </row>
    <row r="475" spans="1:15" ht="19.5" customHeight="1">
      <c r="A475" s="75"/>
      <c r="B475" s="76"/>
      <c r="C475" s="75"/>
      <c r="D475" s="75"/>
      <c r="E475" s="75"/>
      <c r="F475" s="75"/>
      <c r="G475" s="77"/>
      <c r="H475" s="77"/>
      <c r="I475" s="77"/>
      <c r="J475" s="77"/>
      <c r="K475" s="77"/>
      <c r="L475" s="77"/>
      <c r="M475" s="77"/>
      <c r="N475" s="77"/>
      <c r="O475" s="77"/>
    </row>
    <row r="476" spans="1:15" ht="19.5" customHeight="1">
      <c r="A476" s="26"/>
      <c r="B476" s="25"/>
      <c r="C476" s="26"/>
      <c r="D476" s="26"/>
      <c r="E476" s="26"/>
      <c r="F476" s="26"/>
      <c r="G476" s="26"/>
      <c r="H476" s="26"/>
      <c r="I476" s="36"/>
      <c r="J476" s="36"/>
      <c r="K476" s="36"/>
      <c r="L476" s="36"/>
      <c r="M476" s="36"/>
      <c r="N476" s="36"/>
      <c r="O476" s="36"/>
    </row>
    <row r="477" spans="1:15" ht="19.5" customHeight="1">
      <c r="A477" s="72"/>
      <c r="B477" s="73"/>
      <c r="C477" s="72"/>
      <c r="D477" s="72"/>
      <c r="E477" s="72"/>
      <c r="F477" s="72"/>
      <c r="G477" s="35"/>
      <c r="H477" s="35"/>
      <c r="I477" s="35"/>
      <c r="J477" s="35"/>
      <c r="K477" s="35"/>
      <c r="L477" s="35"/>
      <c r="M477" s="35"/>
      <c r="N477" s="35"/>
      <c r="O477" s="74"/>
    </row>
    <row r="478" spans="1:15" ht="19.5" customHeight="1">
      <c r="A478" s="75"/>
      <c r="B478" s="76"/>
      <c r="C478" s="75"/>
      <c r="D478" s="75"/>
      <c r="E478" s="75"/>
      <c r="F478" s="75"/>
      <c r="G478" s="77"/>
      <c r="H478" s="77"/>
      <c r="I478" s="77"/>
      <c r="J478" s="77"/>
      <c r="K478" s="77"/>
      <c r="L478" s="77"/>
      <c r="M478" s="77"/>
      <c r="N478" s="77"/>
      <c r="O478" s="77"/>
    </row>
    <row r="479" spans="1:15" ht="19.5" customHeight="1">
      <c r="A479" s="26"/>
      <c r="B479" s="25"/>
      <c r="C479" s="26"/>
      <c r="D479" s="26"/>
      <c r="E479" s="26"/>
      <c r="F479" s="26"/>
      <c r="G479" s="26"/>
      <c r="H479" s="26"/>
      <c r="I479" s="36"/>
      <c r="J479" s="36"/>
      <c r="K479" s="36"/>
      <c r="L479" s="36"/>
      <c r="M479" s="36"/>
      <c r="N479" s="36"/>
      <c r="O479" s="36"/>
    </row>
    <row r="480" spans="1:15" ht="19.5" customHeight="1">
      <c r="A480" s="72"/>
      <c r="B480" s="73"/>
      <c r="C480" s="72"/>
      <c r="D480" s="72"/>
      <c r="E480" s="72"/>
      <c r="F480" s="72"/>
      <c r="G480" s="35"/>
      <c r="H480" s="35"/>
      <c r="I480" s="35"/>
      <c r="J480" s="35"/>
      <c r="K480" s="35"/>
      <c r="L480" s="35"/>
      <c r="M480" s="35"/>
      <c r="N480" s="35"/>
      <c r="O480" s="74"/>
    </row>
  </sheetData>
  <phoneticPr fontId="7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760F-55C9-4C3F-B32B-6670A76BCEAF}">
  <dimension ref="A1:ALJ229"/>
  <sheetViews>
    <sheetView topLeftCell="A208" zoomScale="70" zoomScaleNormal="70" workbookViewId="0">
      <selection activeCell="AH221" sqref="AH221"/>
    </sheetView>
  </sheetViews>
  <sheetFormatPr defaultColWidth="8.85546875" defaultRowHeight="21" customHeight="1"/>
  <cols>
    <col min="1" max="1" width="5.42578125" style="40" bestFit="1" customWidth="1"/>
    <col min="2" max="2" width="27.7109375" style="38" customWidth="1"/>
    <col min="3" max="3" width="14.85546875" style="40" customWidth="1"/>
    <col min="4" max="4" width="6.42578125" style="40" bestFit="1" customWidth="1"/>
    <col min="5" max="5" width="9.28515625" style="40" bestFit="1" customWidth="1"/>
    <col min="6" max="6" width="7.28515625" style="40" bestFit="1" customWidth="1"/>
    <col min="7" max="7" width="5.85546875" style="41" bestFit="1" customWidth="1"/>
    <col min="8" max="15" width="5" style="41" customWidth="1"/>
    <col min="16" max="16" width="17.42578125" style="38" customWidth="1"/>
    <col min="17" max="997" width="8.85546875" style="38"/>
    <col min="998" max="998" width="8.85546875" style="39"/>
    <col min="999" max="16384" width="8.85546875" style="37"/>
  </cols>
  <sheetData>
    <row r="1" spans="1:998" s="53" customFormat="1" ht="21" customHeight="1">
      <c r="A1" s="50" t="s">
        <v>0</v>
      </c>
      <c r="B1" s="54" t="s">
        <v>1</v>
      </c>
      <c r="C1" s="50" t="s">
        <v>2</v>
      </c>
      <c r="D1" s="50" t="s">
        <v>191</v>
      </c>
      <c r="E1" s="50" t="s">
        <v>4</v>
      </c>
      <c r="F1" s="50" t="s">
        <v>6</v>
      </c>
      <c r="G1" s="50" t="s">
        <v>5</v>
      </c>
      <c r="H1" s="50" t="s">
        <v>192</v>
      </c>
      <c r="I1" s="50" t="s">
        <v>193</v>
      </c>
      <c r="J1" s="50" t="s">
        <v>194</v>
      </c>
      <c r="K1" s="50" t="s">
        <v>195</v>
      </c>
      <c r="L1" s="50" t="s">
        <v>196</v>
      </c>
      <c r="M1" s="50" t="s">
        <v>197</v>
      </c>
      <c r="N1" s="50" t="s">
        <v>198</v>
      </c>
      <c r="O1" s="50" t="s">
        <v>199</v>
      </c>
      <c r="P1" s="55" t="s">
        <v>186</v>
      </c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2"/>
    </row>
    <row r="2" spans="1:998" ht="21" customHeight="1">
      <c r="A2" s="25" t="s">
        <v>63</v>
      </c>
      <c r="B2" s="46" t="s">
        <v>45</v>
      </c>
      <c r="C2" s="26" t="s">
        <v>46</v>
      </c>
      <c r="D2" s="26" t="s">
        <v>32</v>
      </c>
      <c r="E2" s="47">
        <v>40</v>
      </c>
      <c r="F2" s="47" t="s">
        <v>34</v>
      </c>
      <c r="G2" s="47">
        <v>55</v>
      </c>
      <c r="H2" s="48">
        <v>43</v>
      </c>
      <c r="I2" s="48">
        <v>23</v>
      </c>
      <c r="J2" s="48">
        <v>19</v>
      </c>
      <c r="K2" s="48">
        <v>29</v>
      </c>
      <c r="L2" s="48">
        <v>28</v>
      </c>
      <c r="M2" s="48">
        <v>69</v>
      </c>
      <c r="N2" s="48">
        <v>69</v>
      </c>
      <c r="O2" s="48">
        <v>40</v>
      </c>
      <c r="P2" s="49" t="s">
        <v>187</v>
      </c>
    </row>
    <row r="3" spans="1:998" ht="21" customHeight="1">
      <c r="H3" s="42">
        <v>93</v>
      </c>
      <c r="I3" s="42">
        <v>110</v>
      </c>
      <c r="J3" s="42">
        <v>72</v>
      </c>
      <c r="K3" s="42">
        <v>35</v>
      </c>
      <c r="L3" s="42">
        <v>26</v>
      </c>
      <c r="M3" s="42">
        <v>21</v>
      </c>
      <c r="N3" s="42">
        <v>97</v>
      </c>
      <c r="P3" s="38" t="s">
        <v>188</v>
      </c>
    </row>
    <row r="4" spans="1:998" ht="21" customHeight="1">
      <c r="H4" s="40"/>
      <c r="I4" s="40"/>
      <c r="J4" s="40"/>
      <c r="K4" s="40"/>
      <c r="L4" s="40"/>
      <c r="M4" s="40"/>
      <c r="N4" s="40"/>
      <c r="O4" s="40"/>
      <c r="P4" s="38" t="s">
        <v>189</v>
      </c>
    </row>
    <row r="5" spans="1:998" ht="21" customHeight="1">
      <c r="A5" s="43"/>
      <c r="B5" s="44"/>
      <c r="C5" s="43"/>
      <c r="D5" s="43"/>
      <c r="E5" s="43"/>
      <c r="F5" s="43"/>
      <c r="G5" s="45"/>
      <c r="H5" s="45"/>
      <c r="I5" s="45"/>
      <c r="J5" s="45"/>
      <c r="K5" s="45"/>
      <c r="L5" s="45"/>
      <c r="M5" s="45"/>
      <c r="N5" s="45"/>
      <c r="O5" s="45"/>
      <c r="P5" s="44" t="s">
        <v>190</v>
      </c>
    </row>
    <row r="6" spans="1:998" ht="21" customHeight="1">
      <c r="A6" s="25" t="s">
        <v>64</v>
      </c>
      <c r="B6" s="46" t="s">
        <v>47</v>
      </c>
      <c r="C6" s="26" t="s">
        <v>46</v>
      </c>
      <c r="D6" s="26" t="s">
        <v>32</v>
      </c>
      <c r="E6" s="47">
        <v>42</v>
      </c>
      <c r="F6" s="47" t="s">
        <v>33</v>
      </c>
      <c r="G6" s="47">
        <v>57</v>
      </c>
      <c r="H6" s="48">
        <v>45</v>
      </c>
      <c r="I6" s="48">
        <v>26</v>
      </c>
      <c r="J6" s="48">
        <v>19</v>
      </c>
      <c r="K6" s="48">
        <v>31</v>
      </c>
      <c r="L6" s="48">
        <v>29</v>
      </c>
      <c r="M6" s="48">
        <v>31</v>
      </c>
      <c r="N6" s="48">
        <v>72</v>
      </c>
      <c r="O6" s="48">
        <v>42</v>
      </c>
      <c r="P6" s="49" t="s">
        <v>187</v>
      </c>
    </row>
    <row r="7" spans="1:998" ht="21" customHeight="1">
      <c r="H7" s="42">
        <v>100</v>
      </c>
      <c r="I7" s="42">
        <v>117</v>
      </c>
      <c r="J7" s="42">
        <v>76</v>
      </c>
      <c r="K7" s="42">
        <v>36</v>
      </c>
      <c r="L7" s="42">
        <v>27</v>
      </c>
      <c r="M7" s="42">
        <v>22</v>
      </c>
      <c r="N7" s="42">
        <v>102</v>
      </c>
      <c r="P7" s="38" t="s">
        <v>188</v>
      </c>
    </row>
    <row r="8" spans="1:998" ht="21" customHeight="1">
      <c r="H8" s="40"/>
      <c r="I8" s="40"/>
      <c r="J8" s="40"/>
      <c r="K8" s="40"/>
      <c r="L8" s="40"/>
      <c r="M8" s="40"/>
      <c r="N8" s="40"/>
      <c r="O8" s="40"/>
      <c r="P8" s="38" t="s">
        <v>189</v>
      </c>
    </row>
    <row r="9" spans="1:998" ht="21" customHeight="1">
      <c r="A9" s="43"/>
      <c r="B9" s="44"/>
      <c r="C9" s="43"/>
      <c r="D9" s="43"/>
      <c r="E9" s="43"/>
      <c r="F9" s="43"/>
      <c r="G9" s="45"/>
      <c r="H9" s="45"/>
      <c r="I9" s="45"/>
      <c r="J9" s="45"/>
      <c r="K9" s="45"/>
      <c r="L9" s="45"/>
      <c r="M9" s="45"/>
      <c r="N9" s="45"/>
      <c r="O9" s="45"/>
      <c r="P9" s="44" t="s">
        <v>190</v>
      </c>
    </row>
    <row r="10" spans="1:998" ht="21" customHeight="1">
      <c r="A10" s="25" t="s">
        <v>65</v>
      </c>
      <c r="B10" s="46" t="s">
        <v>48</v>
      </c>
      <c r="C10" s="26" t="s">
        <v>46</v>
      </c>
      <c r="D10" s="26" t="s">
        <v>32</v>
      </c>
      <c r="E10" s="47">
        <v>42</v>
      </c>
      <c r="F10" s="47" t="s">
        <v>33</v>
      </c>
      <c r="G10" s="47">
        <v>56</v>
      </c>
      <c r="H10" s="48">
        <v>45</v>
      </c>
      <c r="I10" s="48">
        <v>25</v>
      </c>
      <c r="J10" s="48">
        <v>18</v>
      </c>
      <c r="K10" s="48">
        <v>29</v>
      </c>
      <c r="L10" s="48">
        <v>27</v>
      </c>
      <c r="M10" s="48">
        <v>29</v>
      </c>
      <c r="N10" s="48">
        <v>72</v>
      </c>
      <c r="O10" s="48">
        <v>42</v>
      </c>
      <c r="P10" s="49" t="s">
        <v>187</v>
      </c>
    </row>
    <row r="11" spans="1:998" ht="21" customHeight="1">
      <c r="H11" s="42">
        <v>93</v>
      </c>
      <c r="I11" s="42">
        <v>111</v>
      </c>
      <c r="J11" s="42">
        <v>71</v>
      </c>
      <c r="K11" s="42">
        <v>35</v>
      </c>
      <c r="L11" s="42">
        <v>27</v>
      </c>
      <c r="M11" s="42">
        <v>21</v>
      </c>
      <c r="N11" s="42">
        <v>98</v>
      </c>
      <c r="P11" s="38" t="s">
        <v>188</v>
      </c>
    </row>
    <row r="12" spans="1:998" ht="21" customHeight="1">
      <c r="H12" s="40"/>
      <c r="I12" s="40"/>
      <c r="J12" s="40"/>
      <c r="K12" s="40"/>
      <c r="L12" s="40"/>
      <c r="M12" s="40"/>
      <c r="N12" s="40"/>
      <c r="O12" s="40"/>
      <c r="P12" s="38" t="s">
        <v>189</v>
      </c>
    </row>
    <row r="13" spans="1:998" ht="21" customHeight="1">
      <c r="A13" s="43"/>
      <c r="B13" s="44"/>
      <c r="C13" s="43"/>
      <c r="D13" s="43"/>
      <c r="E13" s="43"/>
      <c r="F13" s="43"/>
      <c r="G13" s="45"/>
      <c r="H13" s="45"/>
      <c r="I13" s="45"/>
      <c r="J13" s="45"/>
      <c r="K13" s="45"/>
      <c r="L13" s="45"/>
      <c r="M13" s="45"/>
      <c r="N13" s="45"/>
      <c r="O13" s="45"/>
      <c r="P13" s="44" t="s">
        <v>190</v>
      </c>
    </row>
    <row r="14" spans="1:998" ht="21" customHeight="1">
      <c r="A14" s="25" t="s">
        <v>66</v>
      </c>
      <c r="B14" s="46" t="s">
        <v>49</v>
      </c>
      <c r="C14" s="26" t="s">
        <v>46</v>
      </c>
      <c r="D14" s="26" t="s">
        <v>32</v>
      </c>
      <c r="E14" s="47">
        <v>43</v>
      </c>
      <c r="F14" s="47" t="s">
        <v>35</v>
      </c>
      <c r="G14" s="47">
        <v>57</v>
      </c>
      <c r="H14" s="48">
        <v>49</v>
      </c>
      <c r="I14" s="48">
        <v>26</v>
      </c>
      <c r="J14" s="48">
        <v>21</v>
      </c>
      <c r="K14" s="48">
        <v>33</v>
      </c>
      <c r="L14" s="48">
        <v>32</v>
      </c>
      <c r="M14" s="48">
        <v>33</v>
      </c>
      <c r="N14" s="48">
        <v>76</v>
      </c>
      <c r="O14" s="48">
        <v>45</v>
      </c>
      <c r="P14" s="49" t="s">
        <v>187</v>
      </c>
    </row>
    <row r="15" spans="1:998" ht="21" customHeight="1">
      <c r="H15" s="42">
        <v>117</v>
      </c>
      <c r="I15" s="42">
        <v>126</v>
      </c>
      <c r="J15" s="42">
        <v>76</v>
      </c>
      <c r="K15" s="42">
        <v>39</v>
      </c>
      <c r="L15" s="42">
        <v>28</v>
      </c>
      <c r="M15" s="42">
        <v>23</v>
      </c>
      <c r="N15" s="42">
        <v>99</v>
      </c>
      <c r="P15" s="38" t="s">
        <v>188</v>
      </c>
    </row>
    <row r="16" spans="1:998" ht="21" customHeight="1">
      <c r="H16" s="40"/>
      <c r="I16" s="40"/>
      <c r="J16" s="40"/>
      <c r="K16" s="40"/>
      <c r="L16" s="40"/>
      <c r="M16" s="40"/>
      <c r="N16" s="40"/>
      <c r="O16" s="40"/>
      <c r="P16" s="38" t="s">
        <v>189</v>
      </c>
    </row>
    <row r="17" spans="1:16" ht="21" customHeight="1">
      <c r="A17" s="43"/>
      <c r="B17" s="44"/>
      <c r="C17" s="43"/>
      <c r="D17" s="43"/>
      <c r="E17" s="43"/>
      <c r="F17" s="43"/>
      <c r="G17" s="45"/>
      <c r="H17" s="45"/>
      <c r="I17" s="45"/>
      <c r="J17" s="45"/>
      <c r="K17" s="45"/>
      <c r="L17" s="45"/>
      <c r="M17" s="45"/>
      <c r="N17" s="45"/>
      <c r="O17" s="45"/>
      <c r="P17" s="44" t="s">
        <v>190</v>
      </c>
    </row>
    <row r="18" spans="1:16" ht="21" customHeight="1">
      <c r="A18" s="25" t="s">
        <v>67</v>
      </c>
      <c r="B18" s="46" t="s">
        <v>50</v>
      </c>
      <c r="C18" s="26" t="s">
        <v>46</v>
      </c>
      <c r="D18" s="26" t="s">
        <v>32</v>
      </c>
      <c r="E18" s="47">
        <v>40</v>
      </c>
      <c r="F18" s="47" t="s">
        <v>35</v>
      </c>
      <c r="G18" s="47">
        <v>55</v>
      </c>
      <c r="H18" s="48">
        <v>47</v>
      </c>
      <c r="I18" s="48">
        <v>26</v>
      </c>
      <c r="J18" s="48">
        <v>20</v>
      </c>
      <c r="K18" s="48">
        <v>32</v>
      </c>
      <c r="L18" s="48">
        <v>31</v>
      </c>
      <c r="M18" s="48">
        <v>32</v>
      </c>
      <c r="N18" s="48">
        <v>71</v>
      </c>
      <c r="O18" s="48">
        <v>44</v>
      </c>
      <c r="P18" s="49" t="s">
        <v>187</v>
      </c>
    </row>
    <row r="19" spans="1:16" ht="21" customHeight="1">
      <c r="H19" s="42">
        <v>109</v>
      </c>
      <c r="I19" s="42">
        <v>120</v>
      </c>
      <c r="J19" s="42">
        <v>75</v>
      </c>
      <c r="K19" s="42">
        <v>38</v>
      </c>
      <c r="L19" s="42">
        <v>28</v>
      </c>
      <c r="M19" s="42">
        <v>22</v>
      </c>
      <c r="N19" s="42">
        <v>95</v>
      </c>
      <c r="P19" s="38" t="s">
        <v>188</v>
      </c>
    </row>
    <row r="20" spans="1:16" ht="21" customHeight="1">
      <c r="H20" s="40"/>
      <c r="I20" s="40"/>
      <c r="J20" s="40"/>
      <c r="K20" s="40"/>
      <c r="L20" s="40"/>
      <c r="M20" s="40"/>
      <c r="N20" s="40"/>
      <c r="O20" s="40"/>
      <c r="P20" s="38" t="s">
        <v>189</v>
      </c>
    </row>
    <row r="21" spans="1:16" ht="21" customHeight="1">
      <c r="A21" s="43"/>
      <c r="B21" s="44"/>
      <c r="C21" s="43"/>
      <c r="D21" s="43"/>
      <c r="E21" s="43"/>
      <c r="F21" s="43"/>
      <c r="G21" s="45"/>
      <c r="H21" s="45"/>
      <c r="I21" s="45"/>
      <c r="J21" s="45"/>
      <c r="K21" s="45"/>
      <c r="L21" s="45"/>
      <c r="M21" s="45"/>
      <c r="N21" s="45"/>
      <c r="O21" s="45"/>
      <c r="P21" s="44" t="s">
        <v>190</v>
      </c>
    </row>
    <row r="22" spans="1:16" ht="21" customHeight="1">
      <c r="A22" s="25" t="s">
        <v>68</v>
      </c>
      <c r="B22" s="46" t="s">
        <v>51</v>
      </c>
      <c r="C22" s="26" t="s">
        <v>46</v>
      </c>
      <c r="D22" s="26" t="s">
        <v>32</v>
      </c>
      <c r="E22" s="47">
        <v>40</v>
      </c>
      <c r="F22" s="47" t="s">
        <v>36</v>
      </c>
      <c r="G22" s="47">
        <v>57</v>
      </c>
      <c r="H22" s="48">
        <v>42</v>
      </c>
      <c r="I22" s="48">
        <v>23</v>
      </c>
      <c r="J22" s="48">
        <v>18</v>
      </c>
      <c r="K22" s="48">
        <v>28</v>
      </c>
      <c r="L22" s="48">
        <v>26</v>
      </c>
      <c r="M22" s="48">
        <v>28</v>
      </c>
      <c r="N22" s="48">
        <v>69</v>
      </c>
      <c r="O22" s="48">
        <v>40</v>
      </c>
      <c r="P22" s="49" t="s">
        <v>187</v>
      </c>
    </row>
    <row r="23" spans="1:16" ht="21" customHeight="1">
      <c r="H23" s="42">
        <v>91</v>
      </c>
      <c r="I23" s="42">
        <v>110</v>
      </c>
      <c r="J23" s="42">
        <v>69</v>
      </c>
      <c r="K23" s="42">
        <v>34</v>
      </c>
      <c r="L23" s="42">
        <v>26</v>
      </c>
      <c r="M23" s="42">
        <v>20</v>
      </c>
      <c r="N23" s="42">
        <v>95</v>
      </c>
      <c r="P23" s="38" t="s">
        <v>188</v>
      </c>
    </row>
    <row r="24" spans="1:16" ht="21" customHeight="1">
      <c r="H24" s="40"/>
      <c r="I24" s="40"/>
      <c r="J24" s="40"/>
      <c r="K24" s="40"/>
      <c r="L24" s="40"/>
      <c r="M24" s="40"/>
      <c r="N24" s="40"/>
      <c r="O24" s="40"/>
      <c r="P24" s="38" t="s">
        <v>189</v>
      </c>
    </row>
    <row r="25" spans="1:16" ht="21" customHeight="1">
      <c r="A25" s="43"/>
      <c r="B25" s="44"/>
      <c r="C25" s="43"/>
      <c r="D25" s="43"/>
      <c r="E25" s="43"/>
      <c r="F25" s="43"/>
      <c r="G25" s="45"/>
      <c r="H25" s="45"/>
      <c r="I25" s="45"/>
      <c r="J25" s="45"/>
      <c r="K25" s="45"/>
      <c r="L25" s="45"/>
      <c r="M25" s="45"/>
      <c r="N25" s="45"/>
      <c r="O25" s="45"/>
      <c r="P25" s="44" t="s">
        <v>190</v>
      </c>
    </row>
    <row r="26" spans="1:16" ht="21" customHeight="1">
      <c r="A26" s="25" t="s">
        <v>69</v>
      </c>
      <c r="B26" s="46" t="s">
        <v>52</v>
      </c>
      <c r="C26" s="26" t="s">
        <v>46</v>
      </c>
      <c r="D26" s="26" t="s">
        <v>32</v>
      </c>
      <c r="E26" s="47">
        <v>42</v>
      </c>
      <c r="F26" s="47" t="s">
        <v>33</v>
      </c>
      <c r="G26" s="47">
        <v>56</v>
      </c>
      <c r="H26" s="48">
        <v>45</v>
      </c>
      <c r="I26" s="48">
        <v>25</v>
      </c>
      <c r="J26" s="48">
        <v>19</v>
      </c>
      <c r="K26" s="48">
        <v>31</v>
      </c>
      <c r="L26" s="48">
        <v>29</v>
      </c>
      <c r="M26" s="48">
        <v>31</v>
      </c>
      <c r="N26" s="48">
        <v>73</v>
      </c>
      <c r="O26" s="48">
        <v>41</v>
      </c>
      <c r="P26" s="49" t="s">
        <v>187</v>
      </c>
    </row>
    <row r="27" spans="1:16" ht="21" customHeight="1">
      <c r="H27" s="42">
        <v>100</v>
      </c>
      <c r="I27" s="42">
        <v>118</v>
      </c>
      <c r="J27" s="42">
        <v>68</v>
      </c>
      <c r="K27" s="42">
        <v>36</v>
      </c>
      <c r="L27" s="42">
        <v>27</v>
      </c>
      <c r="M27" s="42">
        <v>22</v>
      </c>
      <c r="N27" s="42">
        <v>98</v>
      </c>
      <c r="P27" s="38" t="s">
        <v>188</v>
      </c>
    </row>
    <row r="28" spans="1:16" ht="21" customHeight="1">
      <c r="H28" s="40">
        <v>47</v>
      </c>
      <c r="I28" s="40">
        <v>59</v>
      </c>
      <c r="J28" s="40">
        <v>20</v>
      </c>
      <c r="K28" s="40">
        <v>15</v>
      </c>
      <c r="L28" s="40">
        <v>116</v>
      </c>
      <c r="M28" s="40">
        <v>108</v>
      </c>
      <c r="N28" s="40">
        <v>121</v>
      </c>
      <c r="O28" s="40">
        <v>75</v>
      </c>
      <c r="P28" s="38" t="s">
        <v>189</v>
      </c>
    </row>
    <row r="29" spans="1:16" ht="21" customHeight="1">
      <c r="A29" s="43"/>
      <c r="B29" s="44"/>
      <c r="C29" s="43"/>
      <c r="D29" s="43"/>
      <c r="E29" s="43"/>
      <c r="F29" s="43"/>
      <c r="G29" s="45"/>
      <c r="H29" s="45"/>
      <c r="I29" s="45"/>
      <c r="J29" s="45"/>
      <c r="K29" s="45"/>
      <c r="L29" s="45"/>
      <c r="M29" s="45"/>
      <c r="N29" s="45"/>
      <c r="O29" s="45"/>
      <c r="P29" s="44" t="s">
        <v>190</v>
      </c>
    </row>
    <row r="30" spans="1:16" ht="21" customHeight="1">
      <c r="A30" s="25" t="s">
        <v>70</v>
      </c>
      <c r="B30" s="46" t="s">
        <v>53</v>
      </c>
      <c r="C30" s="26" t="s">
        <v>46</v>
      </c>
      <c r="D30" s="26" t="s">
        <v>32</v>
      </c>
      <c r="E30" s="47">
        <v>44</v>
      </c>
      <c r="F30" s="47" t="s">
        <v>35</v>
      </c>
      <c r="G30" s="47">
        <v>59</v>
      </c>
      <c r="H30" s="48">
        <v>50</v>
      </c>
      <c r="I30" s="48">
        <v>26</v>
      </c>
      <c r="J30" s="48">
        <v>20</v>
      </c>
      <c r="K30" s="48">
        <v>36</v>
      </c>
      <c r="L30" s="48">
        <v>36</v>
      </c>
      <c r="M30" s="48">
        <v>36</v>
      </c>
      <c r="N30" s="48">
        <v>74</v>
      </c>
      <c r="O30" s="48">
        <v>42</v>
      </c>
      <c r="P30" s="49" t="s">
        <v>187</v>
      </c>
    </row>
    <row r="31" spans="1:16" ht="21" customHeight="1">
      <c r="H31" s="42">
        <v>114</v>
      </c>
      <c r="I31" s="42">
        <v>126</v>
      </c>
      <c r="J31" s="42">
        <v>83</v>
      </c>
      <c r="K31" s="42">
        <v>39</v>
      </c>
      <c r="L31" s="42">
        <v>28</v>
      </c>
      <c r="M31" s="42">
        <v>22</v>
      </c>
      <c r="N31" s="42">
        <v>104</v>
      </c>
      <c r="P31" s="38" t="s">
        <v>188</v>
      </c>
    </row>
    <row r="32" spans="1:16" ht="21" customHeight="1">
      <c r="H32" s="40"/>
      <c r="I32" s="40"/>
      <c r="J32" s="40"/>
      <c r="K32" s="40"/>
      <c r="L32" s="40"/>
      <c r="M32" s="40"/>
      <c r="N32" s="40"/>
      <c r="O32" s="40"/>
      <c r="P32" s="38" t="s">
        <v>189</v>
      </c>
    </row>
    <row r="33" spans="1:16" ht="21" customHeight="1">
      <c r="A33" s="43"/>
      <c r="B33" s="44"/>
      <c r="C33" s="43"/>
      <c r="D33" s="43"/>
      <c r="E33" s="43"/>
      <c r="F33" s="43"/>
      <c r="G33" s="45"/>
      <c r="H33" s="45"/>
      <c r="I33" s="45"/>
      <c r="J33" s="45"/>
      <c r="K33" s="45"/>
      <c r="L33" s="45"/>
      <c r="M33" s="45"/>
      <c r="N33" s="45"/>
      <c r="O33" s="45"/>
      <c r="P33" s="44" t="s">
        <v>190</v>
      </c>
    </row>
    <row r="34" spans="1:16" ht="21" customHeight="1">
      <c r="A34" s="25" t="s">
        <v>85</v>
      </c>
      <c r="B34" s="46" t="s">
        <v>80</v>
      </c>
      <c r="C34" s="26" t="s">
        <v>46</v>
      </c>
      <c r="D34" s="26" t="s">
        <v>32</v>
      </c>
      <c r="E34" s="47">
        <v>41</v>
      </c>
      <c r="F34" s="47" t="s">
        <v>34</v>
      </c>
      <c r="G34" s="47">
        <v>54</v>
      </c>
      <c r="H34" s="48">
        <v>42</v>
      </c>
      <c r="I34" s="48">
        <v>24</v>
      </c>
      <c r="J34" s="48">
        <v>17</v>
      </c>
      <c r="K34" s="48">
        <v>27</v>
      </c>
      <c r="L34" s="48">
        <v>26</v>
      </c>
      <c r="M34" s="48">
        <v>27</v>
      </c>
      <c r="N34" s="48">
        <v>70</v>
      </c>
      <c r="O34" s="48">
        <v>38</v>
      </c>
      <c r="P34" s="49" t="s">
        <v>187</v>
      </c>
    </row>
    <row r="35" spans="1:16" ht="21" customHeight="1">
      <c r="H35" s="42">
        <v>88</v>
      </c>
      <c r="I35" s="42">
        <v>104</v>
      </c>
      <c r="J35" s="42">
        <v>67</v>
      </c>
      <c r="K35" s="42">
        <v>34</v>
      </c>
      <c r="L35" s="42">
        <v>27</v>
      </c>
      <c r="M35" s="42">
        <v>22</v>
      </c>
      <c r="N35" s="42">
        <v>100</v>
      </c>
      <c r="P35" s="38" t="s">
        <v>188</v>
      </c>
    </row>
    <row r="36" spans="1:16" ht="21" customHeight="1">
      <c r="H36" s="40">
        <v>45</v>
      </c>
      <c r="I36" s="40">
        <v>58</v>
      </c>
      <c r="J36" s="40">
        <v>19</v>
      </c>
      <c r="K36" s="40">
        <v>14</v>
      </c>
      <c r="L36" s="40">
        <v>102</v>
      </c>
      <c r="M36" s="40">
        <v>100</v>
      </c>
      <c r="N36" s="40">
        <v>109</v>
      </c>
      <c r="O36" s="40">
        <v>71</v>
      </c>
      <c r="P36" s="38" t="s">
        <v>189</v>
      </c>
    </row>
    <row r="37" spans="1:16" ht="21" customHeight="1">
      <c r="A37" s="43"/>
      <c r="B37" s="44"/>
      <c r="C37" s="43"/>
      <c r="D37" s="43"/>
      <c r="E37" s="43"/>
      <c r="F37" s="43"/>
      <c r="G37" s="45"/>
      <c r="H37" s="45"/>
      <c r="I37" s="45"/>
      <c r="J37" s="45"/>
      <c r="K37" s="45"/>
      <c r="L37" s="45"/>
      <c r="M37" s="45"/>
      <c r="N37" s="45"/>
      <c r="O37" s="45"/>
      <c r="P37" s="44" t="s">
        <v>190</v>
      </c>
    </row>
    <row r="38" spans="1:16" ht="21" customHeight="1">
      <c r="A38" s="25" t="s">
        <v>86</v>
      </c>
      <c r="B38" s="46" t="s">
        <v>81</v>
      </c>
      <c r="C38" s="26" t="s">
        <v>46</v>
      </c>
      <c r="D38" s="26" t="s">
        <v>32</v>
      </c>
      <c r="E38" s="47">
        <v>40</v>
      </c>
      <c r="F38" s="47" t="s">
        <v>33</v>
      </c>
      <c r="G38" s="47">
        <v>58</v>
      </c>
      <c r="H38" s="48">
        <v>46</v>
      </c>
      <c r="I38" s="48">
        <v>25</v>
      </c>
      <c r="J38" s="48">
        <v>20</v>
      </c>
      <c r="K38" s="48">
        <v>33</v>
      </c>
      <c r="L38" s="48">
        <v>31</v>
      </c>
      <c r="M38" s="48">
        <v>33</v>
      </c>
      <c r="N38" s="48">
        <v>70</v>
      </c>
      <c r="O38" s="48">
        <v>44</v>
      </c>
      <c r="P38" s="49" t="s">
        <v>187</v>
      </c>
    </row>
    <row r="39" spans="1:16" ht="21" customHeight="1">
      <c r="H39" s="42">
        <v>106</v>
      </c>
      <c r="I39" s="42">
        <v>118</v>
      </c>
      <c r="J39" s="42">
        <v>74</v>
      </c>
      <c r="K39" s="42">
        <v>36</v>
      </c>
      <c r="L39" s="42">
        <v>27</v>
      </c>
      <c r="M39" s="42">
        <v>21</v>
      </c>
      <c r="N39" s="42">
        <v>98</v>
      </c>
      <c r="P39" s="38" t="s">
        <v>188</v>
      </c>
    </row>
    <row r="40" spans="1:16" ht="21" customHeight="1">
      <c r="H40" s="40"/>
      <c r="I40" s="40"/>
      <c r="J40" s="40"/>
      <c r="K40" s="40"/>
      <c r="L40" s="40"/>
      <c r="M40" s="40"/>
      <c r="N40" s="40"/>
      <c r="O40" s="40"/>
      <c r="P40" s="38" t="s">
        <v>189</v>
      </c>
    </row>
    <row r="41" spans="1:16" ht="21" customHeight="1">
      <c r="A41" s="43"/>
      <c r="B41" s="44"/>
      <c r="C41" s="43"/>
      <c r="D41" s="43"/>
      <c r="E41" s="43"/>
      <c r="F41" s="43"/>
      <c r="G41" s="45"/>
      <c r="H41" s="45"/>
      <c r="I41" s="45"/>
      <c r="J41" s="45"/>
      <c r="K41" s="45"/>
      <c r="L41" s="45"/>
      <c r="M41" s="45"/>
      <c r="N41" s="45"/>
      <c r="O41" s="45"/>
      <c r="P41" s="44" t="s">
        <v>190</v>
      </c>
    </row>
    <row r="42" spans="1:16" ht="21" customHeight="1">
      <c r="A42" s="25" t="s">
        <v>87</v>
      </c>
      <c r="B42" s="46" t="s">
        <v>82</v>
      </c>
      <c r="C42" s="26" t="s">
        <v>46</v>
      </c>
      <c r="D42" s="26" t="s">
        <v>32</v>
      </c>
      <c r="E42" s="47">
        <v>43</v>
      </c>
      <c r="F42" s="47" t="s">
        <v>35</v>
      </c>
      <c r="G42" s="47">
        <v>58</v>
      </c>
      <c r="H42" s="48">
        <v>50</v>
      </c>
      <c r="I42" s="48">
        <v>25</v>
      </c>
      <c r="J42" s="48">
        <v>21</v>
      </c>
      <c r="K42" s="48">
        <v>35</v>
      </c>
      <c r="L42" s="48">
        <v>35</v>
      </c>
      <c r="M42" s="48">
        <v>35</v>
      </c>
      <c r="N42" s="48">
        <v>78</v>
      </c>
      <c r="O42" s="48">
        <v>48</v>
      </c>
      <c r="P42" s="49" t="s">
        <v>187</v>
      </c>
    </row>
    <row r="43" spans="1:16" ht="21" customHeight="1">
      <c r="H43" s="42">
        <v>124</v>
      </c>
      <c r="I43" s="42">
        <v>135</v>
      </c>
      <c r="J43" s="42">
        <v>75</v>
      </c>
      <c r="K43" s="42">
        <v>39</v>
      </c>
      <c r="L43" s="42">
        <v>30</v>
      </c>
      <c r="M43" s="42">
        <v>23</v>
      </c>
      <c r="N43" s="42">
        <v>97</v>
      </c>
      <c r="P43" s="38" t="s">
        <v>188</v>
      </c>
    </row>
    <row r="44" spans="1:16" ht="21" customHeight="1">
      <c r="H44" s="40"/>
      <c r="I44" s="40"/>
      <c r="J44" s="40"/>
      <c r="K44" s="40"/>
      <c r="L44" s="40"/>
      <c r="M44" s="40"/>
      <c r="N44" s="40"/>
      <c r="O44" s="40"/>
      <c r="P44" s="38" t="s">
        <v>189</v>
      </c>
    </row>
    <row r="45" spans="1:16" ht="21" customHeight="1">
      <c r="A45" s="43"/>
      <c r="B45" s="44"/>
      <c r="C45" s="43"/>
      <c r="D45" s="43"/>
      <c r="E45" s="43"/>
      <c r="F45" s="43"/>
      <c r="G45" s="45"/>
      <c r="H45" s="45"/>
      <c r="I45" s="45"/>
      <c r="J45" s="45"/>
      <c r="K45" s="45"/>
      <c r="L45" s="45"/>
      <c r="M45" s="45"/>
      <c r="N45" s="45"/>
      <c r="O45" s="45"/>
      <c r="P45" s="44" t="s">
        <v>190</v>
      </c>
    </row>
    <row r="46" spans="1:16" ht="21" customHeight="1">
      <c r="A46" s="25" t="s">
        <v>88</v>
      </c>
      <c r="B46" s="46" t="s">
        <v>83</v>
      </c>
      <c r="C46" s="26" t="s">
        <v>46</v>
      </c>
      <c r="D46" s="26" t="s">
        <v>32</v>
      </c>
      <c r="E46" s="47">
        <v>40</v>
      </c>
      <c r="F46" s="47" t="s">
        <v>34</v>
      </c>
      <c r="G46" s="47">
        <v>58</v>
      </c>
      <c r="H46" s="48">
        <v>45</v>
      </c>
      <c r="I46" s="48">
        <v>24</v>
      </c>
      <c r="J46" s="48">
        <v>18</v>
      </c>
      <c r="K46" s="48">
        <v>30</v>
      </c>
      <c r="L46" s="48">
        <v>28</v>
      </c>
      <c r="M46" s="48">
        <v>30</v>
      </c>
      <c r="N46" s="48">
        <v>74</v>
      </c>
      <c r="O46" s="48">
        <v>40</v>
      </c>
      <c r="P46" s="49" t="s">
        <v>187</v>
      </c>
    </row>
    <row r="47" spans="1:16" ht="21" customHeight="1">
      <c r="H47" s="42">
        <v>92</v>
      </c>
      <c r="I47" s="42">
        <v>110</v>
      </c>
      <c r="J47" s="42">
        <v>66</v>
      </c>
      <c r="K47" s="42">
        <v>35</v>
      </c>
      <c r="L47" s="42">
        <v>26</v>
      </c>
      <c r="M47" s="42">
        <v>21</v>
      </c>
      <c r="N47" s="42">
        <v>101</v>
      </c>
      <c r="P47" s="38" t="s">
        <v>188</v>
      </c>
    </row>
    <row r="48" spans="1:16" ht="21" customHeight="1">
      <c r="H48" s="40"/>
      <c r="I48" s="40"/>
      <c r="J48" s="40"/>
      <c r="K48" s="40"/>
      <c r="L48" s="40"/>
      <c r="M48" s="40"/>
      <c r="N48" s="40"/>
      <c r="O48" s="40"/>
      <c r="P48" s="38" t="s">
        <v>189</v>
      </c>
    </row>
    <row r="49" spans="1:16" ht="21" customHeight="1">
      <c r="A49" s="43"/>
      <c r="B49" s="44"/>
      <c r="C49" s="43"/>
      <c r="D49" s="43"/>
      <c r="E49" s="43"/>
      <c r="F49" s="43"/>
      <c r="G49" s="45"/>
      <c r="H49" s="45"/>
      <c r="I49" s="45"/>
      <c r="J49" s="45"/>
      <c r="K49" s="45"/>
      <c r="L49" s="45"/>
      <c r="M49" s="45"/>
      <c r="N49" s="45"/>
      <c r="O49" s="45"/>
      <c r="P49" s="44" t="s">
        <v>190</v>
      </c>
    </row>
    <row r="50" spans="1:16" ht="21" customHeight="1">
      <c r="A50" s="25" t="s">
        <v>89</v>
      </c>
      <c r="B50" s="46" t="s">
        <v>84</v>
      </c>
      <c r="C50" s="26" t="s">
        <v>46</v>
      </c>
      <c r="D50" s="26" t="s">
        <v>32</v>
      </c>
      <c r="E50" s="47">
        <v>43</v>
      </c>
      <c r="F50" s="47" t="s">
        <v>33</v>
      </c>
      <c r="G50" s="47">
        <v>58</v>
      </c>
      <c r="H50" s="48">
        <v>45</v>
      </c>
      <c r="I50" s="48">
        <v>25</v>
      </c>
      <c r="J50" s="48">
        <v>19</v>
      </c>
      <c r="K50" s="48">
        <v>29</v>
      </c>
      <c r="L50" s="48">
        <v>28</v>
      </c>
      <c r="M50" s="48">
        <v>29</v>
      </c>
      <c r="N50" s="48">
        <v>69</v>
      </c>
      <c r="O50" s="48">
        <v>42</v>
      </c>
      <c r="P50" s="49" t="s">
        <v>187</v>
      </c>
    </row>
    <row r="51" spans="1:16" ht="21" customHeight="1">
      <c r="H51" s="42">
        <v>93</v>
      </c>
      <c r="I51" s="42">
        <v>112</v>
      </c>
      <c r="J51" s="42">
        <v>67</v>
      </c>
      <c r="K51" s="42">
        <v>35</v>
      </c>
      <c r="L51" s="42">
        <v>25</v>
      </c>
      <c r="M51" s="42">
        <v>20</v>
      </c>
      <c r="N51" s="42">
        <v>95</v>
      </c>
      <c r="P51" s="38" t="s">
        <v>188</v>
      </c>
    </row>
    <row r="52" spans="1:16" ht="21" customHeight="1">
      <c r="H52" s="40"/>
      <c r="I52" s="40"/>
      <c r="J52" s="40"/>
      <c r="K52" s="40"/>
      <c r="L52" s="40"/>
      <c r="M52" s="40"/>
      <c r="N52" s="40"/>
      <c r="O52" s="40"/>
      <c r="P52" s="38" t="s">
        <v>189</v>
      </c>
    </row>
    <row r="53" spans="1:16" ht="21" customHeight="1">
      <c r="A53" s="43"/>
      <c r="B53" s="44"/>
      <c r="C53" s="43"/>
      <c r="D53" s="43"/>
      <c r="E53" s="43"/>
      <c r="F53" s="43"/>
      <c r="G53" s="45"/>
      <c r="H53" s="45"/>
      <c r="I53" s="45"/>
      <c r="J53" s="45"/>
      <c r="K53" s="45"/>
      <c r="L53" s="45"/>
      <c r="M53" s="45"/>
      <c r="N53" s="45"/>
      <c r="O53" s="45"/>
      <c r="P53" s="44" t="s">
        <v>190</v>
      </c>
    </row>
    <row r="54" spans="1:16" ht="21" customHeight="1">
      <c r="A54" s="25" t="s">
        <v>114</v>
      </c>
      <c r="B54" s="46" t="s">
        <v>99</v>
      </c>
      <c r="C54" s="26" t="s">
        <v>46</v>
      </c>
      <c r="D54" s="26" t="s">
        <v>32</v>
      </c>
      <c r="E54" s="47">
        <v>43</v>
      </c>
      <c r="F54" s="47" t="s">
        <v>33</v>
      </c>
      <c r="G54" s="47">
        <v>56</v>
      </c>
      <c r="H54" s="48">
        <v>43</v>
      </c>
      <c r="I54" s="48">
        <v>25</v>
      </c>
      <c r="J54" s="48">
        <v>17</v>
      </c>
      <c r="K54" s="48">
        <v>28</v>
      </c>
      <c r="L54" s="48">
        <v>26</v>
      </c>
      <c r="M54" s="48">
        <v>28</v>
      </c>
      <c r="N54" s="48">
        <v>72</v>
      </c>
      <c r="O54" s="48">
        <v>40</v>
      </c>
      <c r="P54" s="49" t="s">
        <v>187</v>
      </c>
    </row>
    <row r="55" spans="1:16" ht="21" customHeight="1">
      <c r="H55" s="42">
        <v>86</v>
      </c>
      <c r="I55" s="42">
        <v>106</v>
      </c>
      <c r="J55" s="42">
        <v>67</v>
      </c>
      <c r="K55" s="42">
        <v>34</v>
      </c>
      <c r="L55" s="42">
        <v>27</v>
      </c>
      <c r="M55" s="42">
        <v>21</v>
      </c>
      <c r="N55" s="42">
        <v>100</v>
      </c>
      <c r="P55" s="38" t="s">
        <v>188</v>
      </c>
    </row>
    <row r="56" spans="1:16" ht="21" customHeight="1">
      <c r="H56" s="40">
        <v>44</v>
      </c>
      <c r="I56" s="40">
        <v>61</v>
      </c>
      <c r="J56" s="40">
        <v>19</v>
      </c>
      <c r="K56" s="40">
        <v>14</v>
      </c>
      <c r="L56" s="40">
        <v>100</v>
      </c>
      <c r="M56" s="40">
        <v>96</v>
      </c>
      <c r="N56" s="40">
        <v>109</v>
      </c>
      <c r="O56" s="40">
        <v>74</v>
      </c>
      <c r="P56" s="38" t="s">
        <v>189</v>
      </c>
    </row>
    <row r="57" spans="1:16" ht="21" customHeight="1">
      <c r="A57" s="43"/>
      <c r="B57" s="44"/>
      <c r="C57" s="43"/>
      <c r="D57" s="43"/>
      <c r="E57" s="43"/>
      <c r="F57" s="43"/>
      <c r="G57" s="45"/>
      <c r="H57" s="45"/>
      <c r="I57" s="45"/>
      <c r="J57" s="45"/>
      <c r="K57" s="45"/>
      <c r="L57" s="45"/>
      <c r="M57" s="45"/>
      <c r="N57" s="45"/>
      <c r="O57" s="45"/>
      <c r="P57" s="44" t="s">
        <v>190</v>
      </c>
    </row>
    <row r="58" spans="1:16" ht="21" customHeight="1">
      <c r="A58" s="25" t="s">
        <v>115</v>
      </c>
      <c r="B58" s="46" t="s">
        <v>100</v>
      </c>
      <c r="C58" s="26" t="s">
        <v>46</v>
      </c>
      <c r="D58" s="26" t="s">
        <v>32</v>
      </c>
      <c r="E58" s="47">
        <v>41</v>
      </c>
      <c r="F58" s="47" t="s">
        <v>36</v>
      </c>
      <c r="G58" s="47">
        <v>57</v>
      </c>
      <c r="H58" s="48">
        <v>43</v>
      </c>
      <c r="I58" s="48">
        <v>23</v>
      </c>
      <c r="J58" s="48">
        <v>18</v>
      </c>
      <c r="K58" s="48">
        <v>29</v>
      </c>
      <c r="L58" s="48">
        <v>27</v>
      </c>
      <c r="M58" s="48">
        <v>29</v>
      </c>
      <c r="N58" s="48">
        <v>67</v>
      </c>
      <c r="O58" s="48">
        <v>41</v>
      </c>
      <c r="P58" s="49" t="s">
        <v>187</v>
      </c>
    </row>
    <row r="59" spans="1:16" ht="21" customHeight="1">
      <c r="H59" s="42">
        <v>92.5</v>
      </c>
      <c r="I59" s="42">
        <v>105</v>
      </c>
      <c r="J59" s="42">
        <v>64</v>
      </c>
      <c r="K59" s="42">
        <v>33</v>
      </c>
      <c r="L59" s="42">
        <v>26</v>
      </c>
      <c r="M59" s="42">
        <v>20</v>
      </c>
      <c r="N59" s="42">
        <v>89</v>
      </c>
      <c r="P59" s="38" t="s">
        <v>188</v>
      </c>
    </row>
    <row r="60" spans="1:16" ht="21" customHeight="1">
      <c r="H60" s="40">
        <v>46</v>
      </c>
      <c r="I60" s="40">
        <v>55</v>
      </c>
      <c r="J60" s="40">
        <v>20</v>
      </c>
      <c r="K60" s="40">
        <v>15</v>
      </c>
      <c r="L60" s="40">
        <v>106</v>
      </c>
      <c r="M60" s="40">
        <v>101</v>
      </c>
      <c r="N60" s="40">
        <v>109</v>
      </c>
      <c r="O60" s="40">
        <v>68</v>
      </c>
      <c r="P60" s="38" t="s">
        <v>189</v>
      </c>
    </row>
    <row r="61" spans="1:16" ht="21" customHeight="1">
      <c r="A61" s="43"/>
      <c r="B61" s="44"/>
      <c r="C61" s="43"/>
      <c r="D61" s="43"/>
      <c r="E61" s="43"/>
      <c r="F61" s="43"/>
      <c r="G61" s="45"/>
      <c r="H61" s="45"/>
      <c r="I61" s="45"/>
      <c r="J61" s="45"/>
      <c r="K61" s="45"/>
      <c r="L61" s="45"/>
      <c r="M61" s="45"/>
      <c r="N61" s="45"/>
      <c r="O61" s="45"/>
      <c r="P61" s="44" t="s">
        <v>190</v>
      </c>
    </row>
    <row r="62" spans="1:16" ht="21" customHeight="1">
      <c r="A62" s="25" t="s">
        <v>116</v>
      </c>
      <c r="B62" s="46" t="s">
        <v>104</v>
      </c>
      <c r="C62" s="26" t="s">
        <v>46</v>
      </c>
      <c r="D62" s="26" t="s">
        <v>32</v>
      </c>
      <c r="E62" s="47">
        <v>40</v>
      </c>
      <c r="F62" s="47" t="s">
        <v>34</v>
      </c>
      <c r="G62" s="47">
        <v>55</v>
      </c>
      <c r="H62" s="48">
        <v>40</v>
      </c>
      <c r="I62" s="48">
        <v>24</v>
      </c>
      <c r="J62" s="48">
        <v>17</v>
      </c>
      <c r="K62" s="48">
        <v>27</v>
      </c>
      <c r="L62" s="48">
        <v>25</v>
      </c>
      <c r="M62" s="48">
        <v>27</v>
      </c>
      <c r="N62" s="48">
        <v>67</v>
      </c>
      <c r="O62" s="48">
        <v>40</v>
      </c>
      <c r="P62" s="49" t="s">
        <v>187</v>
      </c>
    </row>
    <row r="63" spans="1:16" ht="21" customHeight="1">
      <c r="H63" s="42">
        <v>82</v>
      </c>
      <c r="I63" s="42">
        <v>106</v>
      </c>
      <c r="J63" s="42">
        <v>62</v>
      </c>
      <c r="K63" s="42">
        <v>30</v>
      </c>
      <c r="L63" s="42">
        <v>24</v>
      </c>
      <c r="M63" s="42">
        <v>21</v>
      </c>
      <c r="N63" s="42">
        <v>94</v>
      </c>
      <c r="P63" s="38" t="s">
        <v>188</v>
      </c>
    </row>
    <row r="64" spans="1:16" ht="21" customHeight="1">
      <c r="H64" s="40">
        <v>44</v>
      </c>
      <c r="I64" s="40">
        <v>58</v>
      </c>
      <c r="J64" s="40">
        <v>19</v>
      </c>
      <c r="K64" s="40">
        <v>14</v>
      </c>
      <c r="L64" s="40">
        <v>106</v>
      </c>
      <c r="M64" s="40">
        <v>100</v>
      </c>
      <c r="N64" s="40">
        <v>108</v>
      </c>
      <c r="O64" s="40">
        <v>69</v>
      </c>
      <c r="P64" s="38" t="s">
        <v>189</v>
      </c>
    </row>
    <row r="65" spans="1:16" ht="21" customHeight="1">
      <c r="A65" s="43"/>
      <c r="B65" s="44"/>
      <c r="C65" s="43"/>
      <c r="D65" s="43"/>
      <c r="E65" s="43"/>
      <c r="F65" s="43"/>
      <c r="G65" s="45"/>
      <c r="H65" s="45"/>
      <c r="I65" s="45"/>
      <c r="J65" s="45"/>
      <c r="K65" s="45"/>
      <c r="L65" s="45"/>
      <c r="M65" s="45"/>
      <c r="N65" s="45"/>
      <c r="O65" s="45"/>
      <c r="P65" s="44" t="s">
        <v>190</v>
      </c>
    </row>
    <row r="66" spans="1:16" ht="21" customHeight="1">
      <c r="A66" s="25" t="s">
        <v>117</v>
      </c>
      <c r="B66" s="46" t="s">
        <v>105</v>
      </c>
      <c r="C66" s="26" t="s">
        <v>46</v>
      </c>
      <c r="D66" s="26" t="s">
        <v>32</v>
      </c>
      <c r="E66" s="47">
        <v>42</v>
      </c>
      <c r="F66" s="47" t="s">
        <v>33</v>
      </c>
      <c r="G66" s="47">
        <v>58</v>
      </c>
      <c r="H66" s="48">
        <v>43</v>
      </c>
      <c r="I66" s="48">
        <v>25</v>
      </c>
      <c r="J66" s="48">
        <v>18</v>
      </c>
      <c r="K66" s="48">
        <v>30</v>
      </c>
      <c r="L66" s="48">
        <v>28</v>
      </c>
      <c r="M66" s="48">
        <v>30</v>
      </c>
      <c r="N66" s="48">
        <v>69</v>
      </c>
      <c r="O66" s="48">
        <v>41</v>
      </c>
      <c r="P66" s="49" t="s">
        <v>187</v>
      </c>
    </row>
    <row r="67" spans="1:16" ht="21" customHeight="1">
      <c r="H67" s="42">
        <v>96</v>
      </c>
      <c r="I67" s="42">
        <v>109</v>
      </c>
      <c r="J67" s="42">
        <v>69</v>
      </c>
      <c r="K67" s="42">
        <v>35</v>
      </c>
      <c r="L67" s="42">
        <v>27</v>
      </c>
      <c r="M67" s="42">
        <v>20</v>
      </c>
      <c r="N67" s="42">
        <v>96</v>
      </c>
      <c r="P67" s="38" t="s">
        <v>188</v>
      </c>
    </row>
    <row r="68" spans="1:16" ht="21" customHeight="1">
      <c r="H68" s="40">
        <v>47</v>
      </c>
      <c r="I68" s="40">
        <v>58</v>
      </c>
      <c r="J68" s="40">
        <v>20</v>
      </c>
      <c r="K68" s="40">
        <v>15</v>
      </c>
      <c r="L68" s="40">
        <v>109</v>
      </c>
      <c r="M68" s="40">
        <v>103</v>
      </c>
      <c r="N68" s="40">
        <v>113</v>
      </c>
      <c r="O68" s="40">
        <v>70</v>
      </c>
      <c r="P68" s="38" t="s">
        <v>189</v>
      </c>
    </row>
    <row r="69" spans="1:16" ht="21" customHeight="1">
      <c r="A69" s="43"/>
      <c r="B69" s="44"/>
      <c r="C69" s="43"/>
      <c r="D69" s="43"/>
      <c r="E69" s="43"/>
      <c r="F69" s="43"/>
      <c r="G69" s="45"/>
      <c r="H69" s="45"/>
      <c r="I69" s="45"/>
      <c r="J69" s="45"/>
      <c r="K69" s="45"/>
      <c r="L69" s="45"/>
      <c r="M69" s="45"/>
      <c r="N69" s="45"/>
      <c r="O69" s="45"/>
      <c r="P69" s="44" t="s">
        <v>190</v>
      </c>
    </row>
    <row r="70" spans="1:16" ht="21" customHeight="1">
      <c r="A70" s="25" t="s">
        <v>118</v>
      </c>
      <c r="B70" s="46" t="s">
        <v>106</v>
      </c>
      <c r="C70" s="26" t="s">
        <v>46</v>
      </c>
      <c r="D70" s="26" t="s">
        <v>32</v>
      </c>
      <c r="E70" s="47">
        <v>42</v>
      </c>
      <c r="F70" s="47" t="s">
        <v>33</v>
      </c>
      <c r="G70" s="47">
        <v>58</v>
      </c>
      <c r="H70" s="48">
        <v>44</v>
      </c>
      <c r="I70" s="48">
        <v>26</v>
      </c>
      <c r="J70" s="48">
        <v>19</v>
      </c>
      <c r="K70" s="48">
        <v>30</v>
      </c>
      <c r="L70" s="48">
        <v>28</v>
      </c>
      <c r="M70" s="48">
        <v>30</v>
      </c>
      <c r="N70" s="48">
        <v>72</v>
      </c>
      <c r="O70" s="48">
        <v>42</v>
      </c>
      <c r="P70" s="49" t="s">
        <v>187</v>
      </c>
    </row>
    <row r="71" spans="1:16" ht="21" customHeight="1">
      <c r="H71" s="42">
        <v>95</v>
      </c>
      <c r="I71" s="42">
        <v>108</v>
      </c>
      <c r="J71" s="42">
        <v>68</v>
      </c>
      <c r="K71" s="42">
        <v>35</v>
      </c>
      <c r="L71" s="42">
        <v>27</v>
      </c>
      <c r="M71" s="42">
        <v>22</v>
      </c>
      <c r="N71" s="42">
        <v>99</v>
      </c>
      <c r="P71" s="38" t="s">
        <v>188</v>
      </c>
    </row>
    <row r="72" spans="1:16" ht="21" customHeight="1">
      <c r="H72" s="40">
        <v>46</v>
      </c>
      <c r="I72" s="40">
        <v>63</v>
      </c>
      <c r="J72" s="40">
        <v>20</v>
      </c>
      <c r="K72" s="40">
        <v>15</v>
      </c>
      <c r="L72" s="40">
        <v>108</v>
      </c>
      <c r="M72" s="40">
        <v>102</v>
      </c>
      <c r="N72" s="40">
        <v>110</v>
      </c>
      <c r="O72" s="40">
        <v>73</v>
      </c>
      <c r="P72" s="38" t="s">
        <v>189</v>
      </c>
    </row>
    <row r="73" spans="1:16" ht="21" customHeight="1">
      <c r="A73" s="43"/>
      <c r="B73" s="44"/>
      <c r="C73" s="43"/>
      <c r="D73" s="43"/>
      <c r="E73" s="43"/>
      <c r="F73" s="43"/>
      <c r="G73" s="45"/>
      <c r="H73" s="45"/>
      <c r="I73" s="45"/>
      <c r="J73" s="45"/>
      <c r="K73" s="45"/>
      <c r="L73" s="45"/>
      <c r="M73" s="45"/>
      <c r="N73" s="45"/>
      <c r="O73" s="45"/>
      <c r="P73" s="44" t="s">
        <v>190</v>
      </c>
    </row>
    <row r="74" spans="1:16" ht="21" customHeight="1">
      <c r="A74" s="25" t="s">
        <v>119</v>
      </c>
      <c r="B74" s="46" t="s">
        <v>107</v>
      </c>
      <c r="C74" s="26" t="s">
        <v>46</v>
      </c>
      <c r="D74" s="26" t="s">
        <v>32</v>
      </c>
      <c r="E74" s="47">
        <v>43</v>
      </c>
      <c r="F74" s="47" t="s">
        <v>34</v>
      </c>
      <c r="G74" s="47">
        <v>57</v>
      </c>
      <c r="H74" s="48">
        <v>40</v>
      </c>
      <c r="I74" s="48">
        <v>25</v>
      </c>
      <c r="J74" s="48">
        <v>17</v>
      </c>
      <c r="K74" s="48">
        <v>25</v>
      </c>
      <c r="L74" s="48">
        <v>23</v>
      </c>
      <c r="M74" s="48">
        <v>25</v>
      </c>
      <c r="N74" s="48">
        <v>71</v>
      </c>
      <c r="O74" s="48">
        <v>36</v>
      </c>
      <c r="P74" s="49" t="s">
        <v>187</v>
      </c>
    </row>
    <row r="75" spans="1:16" ht="21" customHeight="1">
      <c r="H75" s="42">
        <v>71</v>
      </c>
      <c r="I75" s="42">
        <v>94</v>
      </c>
      <c r="J75" s="42">
        <v>66</v>
      </c>
      <c r="K75" s="42">
        <v>28</v>
      </c>
      <c r="L75" s="42">
        <v>25</v>
      </c>
      <c r="M75" s="42">
        <v>20</v>
      </c>
      <c r="N75" s="42">
        <v>107</v>
      </c>
      <c r="P75" s="38" t="s">
        <v>188</v>
      </c>
    </row>
    <row r="76" spans="1:16" ht="21" customHeight="1">
      <c r="H76" s="40"/>
      <c r="I76" s="40"/>
      <c r="J76" s="40"/>
      <c r="K76" s="40"/>
      <c r="L76" s="40"/>
      <c r="M76" s="40"/>
      <c r="N76" s="40"/>
      <c r="O76" s="40"/>
      <c r="P76" s="38" t="s">
        <v>189</v>
      </c>
    </row>
    <row r="77" spans="1:16" ht="21" customHeight="1">
      <c r="A77" s="43"/>
      <c r="B77" s="44"/>
      <c r="C77" s="43"/>
      <c r="D77" s="43"/>
      <c r="E77" s="43"/>
      <c r="F77" s="43"/>
      <c r="G77" s="45"/>
      <c r="H77" s="45"/>
      <c r="I77" s="45"/>
      <c r="J77" s="45"/>
      <c r="K77" s="45"/>
      <c r="L77" s="45"/>
      <c r="M77" s="45"/>
      <c r="N77" s="45"/>
      <c r="O77" s="45"/>
      <c r="P77" s="44" t="s">
        <v>190</v>
      </c>
    </row>
    <row r="78" spans="1:16" ht="21" customHeight="1">
      <c r="A78" s="25" t="s">
        <v>120</v>
      </c>
      <c r="B78" s="46" t="s">
        <v>108</v>
      </c>
      <c r="C78" s="26" t="s">
        <v>46</v>
      </c>
      <c r="D78" s="26" t="s">
        <v>32</v>
      </c>
      <c r="E78" s="47">
        <v>43</v>
      </c>
      <c r="F78" s="47" t="s">
        <v>35</v>
      </c>
      <c r="G78" s="47">
        <v>55</v>
      </c>
      <c r="H78" s="48">
        <v>44</v>
      </c>
      <c r="I78" s="48">
        <v>25</v>
      </c>
      <c r="J78" s="48">
        <v>19</v>
      </c>
      <c r="K78" s="48">
        <v>30</v>
      </c>
      <c r="L78" s="48">
        <v>28</v>
      </c>
      <c r="M78" s="48">
        <v>30</v>
      </c>
      <c r="N78" s="48">
        <v>74</v>
      </c>
      <c r="O78" s="48">
        <v>42</v>
      </c>
      <c r="P78" s="49" t="s">
        <v>187</v>
      </c>
    </row>
    <row r="79" spans="1:16" ht="21" customHeight="1">
      <c r="H79" s="42">
        <v>96</v>
      </c>
      <c r="I79" s="42">
        <v>110</v>
      </c>
      <c r="J79" s="42">
        <v>75</v>
      </c>
      <c r="K79" s="42">
        <v>68</v>
      </c>
      <c r="L79" s="42">
        <v>27</v>
      </c>
      <c r="M79" s="42">
        <v>22</v>
      </c>
      <c r="N79" s="42">
        <v>102</v>
      </c>
      <c r="P79" s="38" t="s">
        <v>188</v>
      </c>
    </row>
    <row r="80" spans="1:16" ht="21" customHeight="1">
      <c r="H80" s="40">
        <v>48</v>
      </c>
      <c r="I80" s="40">
        <v>62</v>
      </c>
      <c r="J80" s="40">
        <v>20</v>
      </c>
      <c r="K80" s="40">
        <v>15</v>
      </c>
      <c r="L80" s="40">
        <v>108</v>
      </c>
      <c r="M80" s="40">
        <v>104</v>
      </c>
      <c r="N80" s="40">
        <v>112</v>
      </c>
      <c r="O80" s="40">
        <v>74</v>
      </c>
      <c r="P80" s="38" t="s">
        <v>189</v>
      </c>
    </row>
    <row r="81" spans="1:16" ht="21" customHeight="1">
      <c r="A81" s="43"/>
      <c r="B81" s="44"/>
      <c r="C81" s="43"/>
      <c r="D81" s="43"/>
      <c r="E81" s="43"/>
      <c r="F81" s="43"/>
      <c r="G81" s="45"/>
      <c r="H81" s="45"/>
      <c r="I81" s="45"/>
      <c r="J81" s="45"/>
      <c r="K81" s="45"/>
      <c r="L81" s="45"/>
      <c r="M81" s="45"/>
      <c r="N81" s="45"/>
      <c r="O81" s="45"/>
      <c r="P81" s="44" t="s">
        <v>190</v>
      </c>
    </row>
    <row r="82" spans="1:16" ht="21" customHeight="1">
      <c r="A82" s="25" t="s">
        <v>121</v>
      </c>
      <c r="B82" s="46" t="s">
        <v>109</v>
      </c>
      <c r="C82" s="26" t="s">
        <v>46</v>
      </c>
      <c r="D82" s="26" t="s">
        <v>32</v>
      </c>
      <c r="E82" s="47">
        <v>43</v>
      </c>
      <c r="F82" s="47" t="s">
        <v>35</v>
      </c>
      <c r="G82" s="47">
        <v>58</v>
      </c>
      <c r="H82" s="48">
        <v>48</v>
      </c>
      <c r="I82" s="48">
        <v>26</v>
      </c>
      <c r="J82" s="48">
        <v>20</v>
      </c>
      <c r="K82" s="48">
        <v>32</v>
      </c>
      <c r="L82" s="48">
        <v>30</v>
      </c>
      <c r="M82" s="48">
        <v>32</v>
      </c>
      <c r="N82" s="48">
        <v>75</v>
      </c>
      <c r="O82" s="48">
        <v>46</v>
      </c>
      <c r="P82" s="49" t="s">
        <v>187</v>
      </c>
    </row>
    <row r="83" spans="1:16" ht="21" customHeight="1">
      <c r="H83" s="42">
        <v>106</v>
      </c>
      <c r="I83" s="42">
        <v>116</v>
      </c>
      <c r="J83" s="42">
        <v>70</v>
      </c>
      <c r="K83" s="42">
        <v>36</v>
      </c>
      <c r="L83" s="42">
        <v>27</v>
      </c>
      <c r="M83" s="42">
        <v>20</v>
      </c>
      <c r="N83" s="42">
        <v>102</v>
      </c>
      <c r="P83" s="38" t="s">
        <v>188</v>
      </c>
    </row>
    <row r="84" spans="1:16" ht="21" customHeight="1">
      <c r="H84" s="40">
        <v>50</v>
      </c>
      <c r="I84" s="40">
        <v>58</v>
      </c>
      <c r="J84" s="40">
        <v>21</v>
      </c>
      <c r="K84" s="40">
        <v>15</v>
      </c>
      <c r="L84" s="40">
        <v>118</v>
      </c>
      <c r="M84" s="40">
        <v>116</v>
      </c>
      <c r="N84" s="40">
        <v>120</v>
      </c>
      <c r="O84" s="40">
        <v>76</v>
      </c>
      <c r="P84" s="38" t="s">
        <v>189</v>
      </c>
    </row>
    <row r="85" spans="1:16" ht="21" customHeight="1">
      <c r="A85" s="43"/>
      <c r="B85" s="44"/>
      <c r="C85" s="43"/>
      <c r="D85" s="43"/>
      <c r="E85" s="43"/>
      <c r="F85" s="43"/>
      <c r="G85" s="45"/>
      <c r="H85" s="45"/>
      <c r="I85" s="45"/>
      <c r="J85" s="45"/>
      <c r="K85" s="45"/>
      <c r="L85" s="45"/>
      <c r="M85" s="45"/>
      <c r="N85" s="45"/>
      <c r="O85" s="45"/>
      <c r="P85" s="44" t="s">
        <v>190</v>
      </c>
    </row>
    <row r="86" spans="1:16" ht="21" customHeight="1">
      <c r="A86" s="25" t="s">
        <v>122</v>
      </c>
      <c r="B86" s="46" t="s">
        <v>110</v>
      </c>
      <c r="C86" s="26" t="s">
        <v>46</v>
      </c>
      <c r="D86" s="26" t="s">
        <v>32</v>
      </c>
      <c r="E86" s="47">
        <v>41</v>
      </c>
      <c r="F86" s="47" t="s">
        <v>34</v>
      </c>
      <c r="G86" s="47">
        <v>56</v>
      </c>
      <c r="H86" s="48">
        <v>43</v>
      </c>
      <c r="I86" s="48">
        <v>26</v>
      </c>
      <c r="J86" s="48">
        <v>19</v>
      </c>
      <c r="K86" s="48">
        <v>30</v>
      </c>
      <c r="L86" s="48">
        <v>28</v>
      </c>
      <c r="M86" s="48">
        <v>30</v>
      </c>
      <c r="N86" s="48">
        <v>75</v>
      </c>
      <c r="O86" s="48">
        <v>43</v>
      </c>
      <c r="P86" s="49" t="s">
        <v>187</v>
      </c>
    </row>
    <row r="87" spans="1:16" ht="21" customHeight="1">
      <c r="H87" s="42">
        <v>95</v>
      </c>
      <c r="I87" s="42">
        <v>105</v>
      </c>
      <c r="J87" s="42">
        <v>66</v>
      </c>
      <c r="K87" s="42">
        <v>35</v>
      </c>
      <c r="L87" s="42">
        <v>27</v>
      </c>
      <c r="M87" s="42">
        <v>20</v>
      </c>
      <c r="N87" s="42">
        <v>97</v>
      </c>
      <c r="P87" s="38" t="s">
        <v>188</v>
      </c>
    </row>
    <row r="88" spans="1:16" ht="21" customHeight="1">
      <c r="H88" s="40">
        <v>47</v>
      </c>
      <c r="I88" s="40">
        <v>60</v>
      </c>
      <c r="J88" s="40">
        <v>20</v>
      </c>
      <c r="K88" s="40">
        <v>15</v>
      </c>
      <c r="L88" s="40">
        <v>107</v>
      </c>
      <c r="M88" s="40">
        <v>104</v>
      </c>
      <c r="N88" s="40">
        <v>109</v>
      </c>
      <c r="O88" s="40">
        <v>75</v>
      </c>
      <c r="P88" s="38" t="s">
        <v>189</v>
      </c>
    </row>
    <row r="89" spans="1:16" ht="21" customHeight="1">
      <c r="A89" s="43"/>
      <c r="B89" s="44"/>
      <c r="C89" s="43"/>
      <c r="D89" s="43"/>
      <c r="E89" s="43"/>
      <c r="F89" s="43"/>
      <c r="G89" s="45"/>
      <c r="H89" s="45"/>
      <c r="I89" s="45"/>
      <c r="J89" s="45"/>
      <c r="K89" s="45"/>
      <c r="L89" s="45"/>
      <c r="M89" s="45"/>
      <c r="N89" s="45"/>
      <c r="O89" s="45"/>
      <c r="P89" s="44" t="s">
        <v>190</v>
      </c>
    </row>
    <row r="90" spans="1:16" ht="21" customHeight="1">
      <c r="A90" s="25" t="s">
        <v>123</v>
      </c>
      <c r="B90" s="46" t="s">
        <v>111</v>
      </c>
      <c r="C90" s="26" t="s">
        <v>46</v>
      </c>
      <c r="D90" s="26" t="s">
        <v>32</v>
      </c>
      <c r="E90" s="47">
        <v>42</v>
      </c>
      <c r="F90" s="47" t="s">
        <v>33</v>
      </c>
      <c r="G90" s="47">
        <v>57</v>
      </c>
      <c r="H90" s="48">
        <v>47</v>
      </c>
      <c r="I90" s="48">
        <v>27</v>
      </c>
      <c r="J90" s="48">
        <v>20</v>
      </c>
      <c r="K90" s="48">
        <v>31</v>
      </c>
      <c r="L90" s="48">
        <v>30</v>
      </c>
      <c r="M90" s="48">
        <v>31</v>
      </c>
      <c r="N90" s="48">
        <v>74</v>
      </c>
      <c r="O90" s="48">
        <v>43</v>
      </c>
      <c r="P90" s="49" t="s">
        <v>187</v>
      </c>
    </row>
    <row r="91" spans="1:16" ht="21" customHeight="1">
      <c r="H91" s="42">
        <v>102</v>
      </c>
      <c r="I91" s="42">
        <v>115</v>
      </c>
      <c r="J91" s="42">
        <v>76</v>
      </c>
      <c r="K91" s="42">
        <v>37</v>
      </c>
      <c r="L91" s="42">
        <v>27</v>
      </c>
      <c r="M91" s="42">
        <v>22</v>
      </c>
      <c r="N91" s="42">
        <v>102</v>
      </c>
      <c r="P91" s="38" t="s">
        <v>188</v>
      </c>
    </row>
    <row r="92" spans="1:16" ht="21" customHeight="1">
      <c r="H92" s="40">
        <v>48</v>
      </c>
      <c r="I92" s="40">
        <v>62</v>
      </c>
      <c r="J92" s="40">
        <v>21</v>
      </c>
      <c r="K92" s="40">
        <v>16</v>
      </c>
      <c r="L92" s="40">
        <v>118</v>
      </c>
      <c r="M92" s="40">
        <v>112</v>
      </c>
      <c r="N92" s="40">
        <v>118</v>
      </c>
      <c r="O92" s="40">
        <v>75</v>
      </c>
      <c r="P92" s="38" t="s">
        <v>189</v>
      </c>
    </row>
    <row r="93" spans="1:16" ht="21" customHeight="1">
      <c r="A93" s="43"/>
      <c r="B93" s="44"/>
      <c r="C93" s="43"/>
      <c r="D93" s="43"/>
      <c r="E93" s="43"/>
      <c r="F93" s="43"/>
      <c r="G93" s="45"/>
      <c r="H93" s="45"/>
      <c r="I93" s="45"/>
      <c r="J93" s="45"/>
      <c r="K93" s="45"/>
      <c r="L93" s="45"/>
      <c r="M93" s="45"/>
      <c r="N93" s="45"/>
      <c r="O93" s="45"/>
      <c r="P93" s="44" t="s">
        <v>190</v>
      </c>
    </row>
    <row r="94" spans="1:16" ht="21" customHeight="1">
      <c r="A94" s="25" t="s">
        <v>124</v>
      </c>
      <c r="B94" s="46" t="s">
        <v>112</v>
      </c>
      <c r="C94" s="26" t="s">
        <v>46</v>
      </c>
      <c r="D94" s="26" t="s">
        <v>32</v>
      </c>
      <c r="E94" s="47">
        <v>41</v>
      </c>
      <c r="F94" s="47" t="s">
        <v>34</v>
      </c>
      <c r="G94" s="47">
        <v>56</v>
      </c>
      <c r="H94" s="48">
        <v>42</v>
      </c>
      <c r="I94" s="48">
        <v>26</v>
      </c>
      <c r="J94" s="48">
        <v>17</v>
      </c>
      <c r="K94" s="48">
        <v>27</v>
      </c>
      <c r="L94" s="48">
        <v>26</v>
      </c>
      <c r="M94" s="48">
        <v>27</v>
      </c>
      <c r="N94" s="48">
        <v>72</v>
      </c>
      <c r="O94" s="48">
        <v>39</v>
      </c>
      <c r="P94" s="49" t="s">
        <v>187</v>
      </c>
    </row>
    <row r="95" spans="1:16" ht="21" customHeight="1">
      <c r="H95" s="42">
        <v>84</v>
      </c>
      <c r="I95" s="42">
        <v>100</v>
      </c>
      <c r="J95" s="42">
        <v>64</v>
      </c>
      <c r="K95" s="42">
        <v>31</v>
      </c>
      <c r="L95" s="42">
        <v>24</v>
      </c>
      <c r="M95" s="42">
        <v>19</v>
      </c>
      <c r="N95" s="42">
        <v>99</v>
      </c>
      <c r="P95" s="38" t="s">
        <v>188</v>
      </c>
    </row>
    <row r="96" spans="1:16" ht="21" customHeight="1">
      <c r="H96" s="40">
        <v>46</v>
      </c>
      <c r="I96" s="40">
        <v>61</v>
      </c>
      <c r="J96" s="40">
        <v>19</v>
      </c>
      <c r="K96" s="40">
        <v>14</v>
      </c>
      <c r="L96" s="40">
        <v>96</v>
      </c>
      <c r="M96" s="40">
        <v>90</v>
      </c>
      <c r="N96" s="40">
        <v>104</v>
      </c>
      <c r="O96" s="40">
        <v>73</v>
      </c>
      <c r="P96" s="38" t="s">
        <v>189</v>
      </c>
    </row>
    <row r="97" spans="1:16" ht="21" customHeight="1">
      <c r="A97" s="43"/>
      <c r="B97" s="44"/>
      <c r="C97" s="43"/>
      <c r="D97" s="43"/>
      <c r="E97" s="43"/>
      <c r="F97" s="43"/>
      <c r="G97" s="45"/>
      <c r="H97" s="45"/>
      <c r="I97" s="45"/>
      <c r="J97" s="45"/>
      <c r="K97" s="45"/>
      <c r="L97" s="45"/>
      <c r="M97" s="45"/>
      <c r="N97" s="45"/>
      <c r="O97" s="45"/>
      <c r="P97" s="44" t="s">
        <v>190</v>
      </c>
    </row>
    <row r="98" spans="1:16" ht="21" customHeight="1">
      <c r="A98" s="25" t="s">
        <v>125</v>
      </c>
      <c r="B98" s="46" t="s">
        <v>113</v>
      </c>
      <c r="C98" s="26" t="s">
        <v>46</v>
      </c>
      <c r="D98" s="26" t="s">
        <v>32</v>
      </c>
      <c r="E98" s="47">
        <v>42</v>
      </c>
      <c r="F98" s="47" t="s">
        <v>33</v>
      </c>
      <c r="G98" s="47">
        <v>55</v>
      </c>
      <c r="H98" s="48">
        <v>48</v>
      </c>
      <c r="I98" s="48">
        <v>26</v>
      </c>
      <c r="J98" s="48">
        <v>20</v>
      </c>
      <c r="K98" s="48">
        <v>31</v>
      </c>
      <c r="L98" s="48">
        <v>30</v>
      </c>
      <c r="M98" s="48">
        <v>31</v>
      </c>
      <c r="N98" s="48">
        <v>78</v>
      </c>
      <c r="O98" s="48">
        <v>44</v>
      </c>
      <c r="P98" s="49" t="s">
        <v>187</v>
      </c>
    </row>
    <row r="99" spans="1:16" ht="21" customHeight="1">
      <c r="H99" s="42">
        <v>98</v>
      </c>
      <c r="I99" s="42">
        <v>116</v>
      </c>
      <c r="J99" s="42">
        <v>67</v>
      </c>
      <c r="K99" s="42">
        <v>35</v>
      </c>
      <c r="L99" s="42">
        <v>27</v>
      </c>
      <c r="M99" s="42">
        <v>20</v>
      </c>
      <c r="N99" s="42">
        <v>99</v>
      </c>
      <c r="P99" s="38" t="s">
        <v>188</v>
      </c>
    </row>
    <row r="100" spans="1:16" ht="21" customHeight="1">
      <c r="H100" s="40">
        <v>52</v>
      </c>
      <c r="I100" s="40">
        <v>61</v>
      </c>
      <c r="J100" s="40">
        <v>21</v>
      </c>
      <c r="K100" s="40">
        <v>16</v>
      </c>
      <c r="L100" s="40">
        <v>118</v>
      </c>
      <c r="M100" s="40">
        <v>116</v>
      </c>
      <c r="N100" s="40">
        <v>120</v>
      </c>
      <c r="O100" s="40">
        <v>79</v>
      </c>
      <c r="P100" s="38" t="s">
        <v>189</v>
      </c>
    </row>
    <row r="101" spans="1:16" ht="21" customHeight="1">
      <c r="A101" s="43"/>
      <c r="B101" s="44"/>
      <c r="C101" s="43"/>
      <c r="D101" s="43"/>
      <c r="E101" s="43"/>
      <c r="F101" s="43"/>
      <c r="G101" s="45"/>
      <c r="H101" s="45"/>
      <c r="I101" s="45"/>
      <c r="J101" s="45"/>
      <c r="K101" s="45"/>
      <c r="L101" s="45"/>
      <c r="M101" s="45"/>
      <c r="N101" s="45"/>
      <c r="O101" s="45"/>
      <c r="P101" s="44" t="s">
        <v>190</v>
      </c>
    </row>
    <row r="102" spans="1:16" ht="21" customHeight="1">
      <c r="A102" s="25" t="s">
        <v>134</v>
      </c>
      <c r="B102" s="46" t="s">
        <v>129</v>
      </c>
      <c r="C102" s="26" t="s">
        <v>46</v>
      </c>
      <c r="D102" s="26" t="s">
        <v>32</v>
      </c>
      <c r="E102" s="47">
        <v>40</v>
      </c>
      <c r="F102" s="47" t="s">
        <v>34</v>
      </c>
      <c r="G102" s="47">
        <v>55</v>
      </c>
      <c r="H102" s="48">
        <v>42</v>
      </c>
      <c r="I102" s="48">
        <v>25</v>
      </c>
      <c r="J102" s="48">
        <v>18</v>
      </c>
      <c r="K102" s="48">
        <v>28</v>
      </c>
      <c r="L102" s="48">
        <v>26</v>
      </c>
      <c r="M102" s="48">
        <v>28</v>
      </c>
      <c r="N102" s="48">
        <v>69</v>
      </c>
      <c r="O102" s="48">
        <v>41</v>
      </c>
      <c r="P102" s="49" t="s">
        <v>187</v>
      </c>
    </row>
    <row r="103" spans="1:16" ht="21" customHeight="1">
      <c r="H103" s="42">
        <v>91</v>
      </c>
      <c r="I103" s="42">
        <v>108</v>
      </c>
      <c r="J103" s="42">
        <v>66</v>
      </c>
      <c r="K103" s="42">
        <v>34</v>
      </c>
      <c r="L103" s="42">
        <v>26</v>
      </c>
      <c r="M103" s="42">
        <v>19</v>
      </c>
      <c r="N103" s="42">
        <v>95</v>
      </c>
      <c r="P103" s="38" t="s">
        <v>188</v>
      </c>
    </row>
    <row r="104" spans="1:16" ht="21" customHeight="1">
      <c r="H104" s="40">
        <v>47</v>
      </c>
      <c r="I104" s="40">
        <v>58</v>
      </c>
      <c r="J104" s="40">
        <v>20</v>
      </c>
      <c r="K104" s="40">
        <v>15</v>
      </c>
      <c r="L104" s="40">
        <v>104</v>
      </c>
      <c r="M104" s="40">
        <v>103</v>
      </c>
      <c r="N104" s="40">
        <v>115</v>
      </c>
      <c r="O104" s="40">
        <v>70</v>
      </c>
      <c r="P104" s="38" t="s">
        <v>189</v>
      </c>
    </row>
    <row r="105" spans="1:16" ht="21" customHeight="1">
      <c r="A105" s="43"/>
      <c r="B105" s="44"/>
      <c r="C105" s="43"/>
      <c r="D105" s="43"/>
      <c r="E105" s="43"/>
      <c r="F105" s="43"/>
      <c r="G105" s="45"/>
      <c r="H105" s="45"/>
      <c r="I105" s="45"/>
      <c r="J105" s="45"/>
      <c r="K105" s="45"/>
      <c r="L105" s="45"/>
      <c r="M105" s="45"/>
      <c r="N105" s="45"/>
      <c r="O105" s="45"/>
      <c r="P105" s="44" t="s">
        <v>190</v>
      </c>
    </row>
    <row r="106" spans="1:16" ht="21" customHeight="1">
      <c r="A106" s="25" t="s">
        <v>135</v>
      </c>
      <c r="B106" s="46" t="s">
        <v>130</v>
      </c>
      <c r="C106" s="26" t="s">
        <v>46</v>
      </c>
      <c r="D106" s="26" t="s">
        <v>32</v>
      </c>
      <c r="E106" s="47">
        <v>41</v>
      </c>
      <c r="F106" s="47" t="s">
        <v>33</v>
      </c>
      <c r="G106" s="47">
        <v>53</v>
      </c>
      <c r="H106" s="48">
        <v>45</v>
      </c>
      <c r="I106" s="48">
        <v>23</v>
      </c>
      <c r="J106" s="48">
        <v>18</v>
      </c>
      <c r="K106" s="48">
        <v>30</v>
      </c>
      <c r="L106" s="48">
        <v>30</v>
      </c>
      <c r="M106" s="48">
        <v>30</v>
      </c>
      <c r="N106" s="48">
        <v>70</v>
      </c>
      <c r="O106" s="48">
        <v>43</v>
      </c>
      <c r="P106" s="49" t="s">
        <v>187</v>
      </c>
    </row>
    <row r="107" spans="1:16" ht="21" customHeight="1">
      <c r="H107" s="42">
        <v>95</v>
      </c>
      <c r="I107" s="42">
        <v>114</v>
      </c>
      <c r="J107" s="42">
        <v>72</v>
      </c>
      <c r="K107" s="42">
        <v>34</v>
      </c>
      <c r="L107" s="42">
        <v>27</v>
      </c>
      <c r="M107" s="42">
        <v>22</v>
      </c>
      <c r="N107" s="42">
        <v>95</v>
      </c>
      <c r="P107" s="38" t="s">
        <v>188</v>
      </c>
    </row>
    <row r="108" spans="1:16" ht="21" customHeight="1">
      <c r="H108" s="40">
        <v>48</v>
      </c>
      <c r="I108" s="40">
        <v>56</v>
      </c>
      <c r="J108" s="40">
        <v>20</v>
      </c>
      <c r="K108" s="40">
        <v>15</v>
      </c>
      <c r="L108" s="40">
        <v>110</v>
      </c>
      <c r="M108" s="40">
        <v>105</v>
      </c>
      <c r="N108" s="40">
        <v>118</v>
      </c>
      <c r="O108" s="40">
        <v>72</v>
      </c>
      <c r="P108" s="38" t="s">
        <v>189</v>
      </c>
    </row>
    <row r="109" spans="1:16" ht="21" customHeight="1">
      <c r="A109" s="43"/>
      <c r="B109" s="44"/>
      <c r="C109" s="43"/>
      <c r="D109" s="43"/>
      <c r="E109" s="43"/>
      <c r="F109" s="43"/>
      <c r="G109" s="45"/>
      <c r="H109" s="45"/>
      <c r="I109" s="45"/>
      <c r="J109" s="45"/>
      <c r="K109" s="45"/>
      <c r="L109" s="45"/>
      <c r="M109" s="45"/>
      <c r="N109" s="45"/>
      <c r="O109" s="45"/>
      <c r="P109" s="44" t="s">
        <v>190</v>
      </c>
    </row>
    <row r="110" spans="1:16" ht="21" customHeight="1">
      <c r="A110" s="25" t="s">
        <v>136</v>
      </c>
      <c r="B110" s="46" t="s">
        <v>131</v>
      </c>
      <c r="C110" s="26" t="s">
        <v>46</v>
      </c>
      <c r="D110" s="26" t="s">
        <v>32</v>
      </c>
      <c r="E110" s="47">
        <v>43</v>
      </c>
      <c r="F110" s="47" t="s">
        <v>33</v>
      </c>
      <c r="G110" s="47">
        <v>54</v>
      </c>
      <c r="H110" s="48">
        <v>46</v>
      </c>
      <c r="I110" s="48">
        <v>26</v>
      </c>
      <c r="J110" s="48">
        <v>20</v>
      </c>
      <c r="K110" s="48">
        <v>32</v>
      </c>
      <c r="L110" s="48">
        <v>31</v>
      </c>
      <c r="M110" s="48">
        <v>32</v>
      </c>
      <c r="N110" s="48">
        <v>75</v>
      </c>
      <c r="O110" s="48">
        <v>43</v>
      </c>
      <c r="P110" s="49" t="s">
        <v>187</v>
      </c>
    </row>
    <row r="111" spans="1:16" ht="21" customHeight="1">
      <c r="H111" s="42">
        <v>100</v>
      </c>
      <c r="I111" s="42">
        <v>112</v>
      </c>
      <c r="J111" s="42">
        <v>76</v>
      </c>
      <c r="K111" s="42">
        <v>37</v>
      </c>
      <c r="L111" s="42">
        <v>28</v>
      </c>
      <c r="M111" s="42">
        <v>22</v>
      </c>
      <c r="N111" s="42">
        <v>102</v>
      </c>
      <c r="P111" s="38" t="s">
        <v>188</v>
      </c>
    </row>
    <row r="112" spans="1:16" ht="21" customHeight="1">
      <c r="H112" s="40">
        <v>48</v>
      </c>
      <c r="I112" s="40">
        <v>63</v>
      </c>
      <c r="J112" s="40">
        <v>21</v>
      </c>
      <c r="K112" s="40">
        <v>15</v>
      </c>
      <c r="L112" s="40">
        <v>112</v>
      </c>
      <c r="M112" s="40">
        <v>110</v>
      </c>
      <c r="N112" s="40">
        <v>116</v>
      </c>
      <c r="O112" s="40">
        <v>75</v>
      </c>
      <c r="P112" s="38" t="s">
        <v>189</v>
      </c>
    </row>
    <row r="113" spans="1:16" ht="21" customHeight="1">
      <c r="A113" s="43"/>
      <c r="B113" s="44"/>
      <c r="C113" s="43"/>
      <c r="D113" s="43"/>
      <c r="E113" s="43"/>
      <c r="F113" s="43"/>
      <c r="G113" s="45"/>
      <c r="H113" s="45"/>
      <c r="I113" s="45"/>
      <c r="J113" s="45"/>
      <c r="K113" s="45"/>
      <c r="L113" s="45"/>
      <c r="M113" s="45"/>
      <c r="N113" s="45"/>
      <c r="O113" s="45"/>
      <c r="P113" s="44" t="s">
        <v>190</v>
      </c>
    </row>
    <row r="114" spans="1:16" ht="21" customHeight="1">
      <c r="A114" s="25" t="s">
        <v>137</v>
      </c>
      <c r="B114" s="46" t="s">
        <v>132</v>
      </c>
      <c r="C114" s="26" t="s">
        <v>46</v>
      </c>
      <c r="D114" s="26" t="s">
        <v>32</v>
      </c>
      <c r="E114" s="47">
        <v>43</v>
      </c>
      <c r="F114" s="47" t="s">
        <v>34</v>
      </c>
      <c r="G114" s="47">
        <v>59</v>
      </c>
      <c r="H114" s="48">
        <v>48</v>
      </c>
      <c r="I114" s="48">
        <v>26</v>
      </c>
      <c r="J114" s="48">
        <v>20</v>
      </c>
      <c r="K114" s="48">
        <v>31</v>
      </c>
      <c r="L114" s="48">
        <v>31</v>
      </c>
      <c r="M114" s="48">
        <v>31</v>
      </c>
      <c r="N114" s="48">
        <v>75</v>
      </c>
      <c r="O114" s="48">
        <v>46</v>
      </c>
      <c r="P114" s="49" t="s">
        <v>187</v>
      </c>
    </row>
    <row r="115" spans="1:16" ht="21" customHeight="1">
      <c r="H115" s="42">
        <v>98</v>
      </c>
      <c r="I115" s="42">
        <v>120</v>
      </c>
      <c r="J115" s="42">
        <v>68</v>
      </c>
      <c r="K115" s="42">
        <v>36</v>
      </c>
      <c r="L115" s="42">
        <v>27</v>
      </c>
      <c r="M115" s="42">
        <v>22</v>
      </c>
      <c r="N115" s="42">
        <v>99</v>
      </c>
      <c r="P115" s="38" t="s">
        <v>188</v>
      </c>
    </row>
    <row r="116" spans="1:16" ht="21" customHeight="1">
      <c r="H116" s="40">
        <v>50</v>
      </c>
      <c r="I116" s="40">
        <v>62</v>
      </c>
      <c r="J116" s="40">
        <v>22</v>
      </c>
      <c r="K116" s="40">
        <v>16</v>
      </c>
      <c r="L116" s="40">
        <v>120</v>
      </c>
      <c r="M116" s="40">
        <v>118</v>
      </c>
      <c r="N116" s="40">
        <v>122</v>
      </c>
      <c r="O116" s="40">
        <v>78</v>
      </c>
      <c r="P116" s="38" t="s">
        <v>189</v>
      </c>
    </row>
    <row r="117" spans="1:16" ht="21" customHeight="1">
      <c r="A117" s="43"/>
      <c r="B117" s="44"/>
      <c r="C117" s="43"/>
      <c r="D117" s="43"/>
      <c r="E117" s="43"/>
      <c r="F117" s="43"/>
      <c r="G117" s="45"/>
      <c r="H117" s="45"/>
      <c r="I117" s="45"/>
      <c r="J117" s="45"/>
      <c r="K117" s="45"/>
      <c r="L117" s="45"/>
      <c r="M117" s="45"/>
      <c r="N117" s="45"/>
      <c r="O117" s="45"/>
      <c r="P117" s="44" t="s">
        <v>190</v>
      </c>
    </row>
    <row r="118" spans="1:16" ht="21" customHeight="1">
      <c r="A118" s="25" t="s">
        <v>138</v>
      </c>
      <c r="B118" s="46" t="s">
        <v>133</v>
      </c>
      <c r="C118" s="26" t="s">
        <v>46</v>
      </c>
      <c r="D118" s="26" t="s">
        <v>32</v>
      </c>
      <c r="E118" s="47">
        <v>40</v>
      </c>
      <c r="F118" s="47" t="s">
        <v>36</v>
      </c>
      <c r="G118" s="47">
        <v>57</v>
      </c>
      <c r="H118" s="48">
        <v>39</v>
      </c>
      <c r="I118" s="48">
        <v>25</v>
      </c>
      <c r="J118" s="48">
        <v>16</v>
      </c>
      <c r="K118" s="48">
        <v>26</v>
      </c>
      <c r="L118" s="48">
        <v>24</v>
      </c>
      <c r="M118" s="48">
        <v>26</v>
      </c>
      <c r="N118" s="48">
        <v>66</v>
      </c>
      <c r="O118" s="48">
        <v>37</v>
      </c>
      <c r="P118" s="49" t="s">
        <v>187</v>
      </c>
    </row>
    <row r="119" spans="1:16" ht="21" customHeight="1">
      <c r="H119" s="42">
        <v>74</v>
      </c>
      <c r="I119" s="42">
        <v>90</v>
      </c>
      <c r="J119" s="42">
        <v>60</v>
      </c>
      <c r="K119" s="42">
        <v>29</v>
      </c>
      <c r="L119" s="42">
        <v>23</v>
      </c>
      <c r="M119" s="42">
        <v>19</v>
      </c>
      <c r="N119" s="42">
        <v>97</v>
      </c>
      <c r="P119" s="38" t="s">
        <v>188</v>
      </c>
    </row>
    <row r="120" spans="1:16" ht="21" customHeight="1">
      <c r="H120" s="40">
        <v>42</v>
      </c>
      <c r="I120" s="40">
        <v>58</v>
      </c>
      <c r="J120" s="40">
        <v>18</v>
      </c>
      <c r="K120" s="40">
        <v>14</v>
      </c>
      <c r="L120" s="40">
        <v>96</v>
      </c>
      <c r="M120" s="40">
        <v>90</v>
      </c>
      <c r="N120" s="40">
        <v>96</v>
      </c>
      <c r="O120" s="40">
        <v>67</v>
      </c>
      <c r="P120" s="38" t="s">
        <v>189</v>
      </c>
    </row>
    <row r="121" spans="1:16" ht="21" customHeight="1">
      <c r="A121" s="43"/>
      <c r="B121" s="44"/>
      <c r="C121" s="43"/>
      <c r="D121" s="43"/>
      <c r="E121" s="43"/>
      <c r="F121" s="43"/>
      <c r="G121" s="45"/>
      <c r="H121" s="45"/>
      <c r="I121" s="45"/>
      <c r="J121" s="45"/>
      <c r="K121" s="45"/>
      <c r="L121" s="45"/>
      <c r="M121" s="45"/>
      <c r="N121" s="45"/>
      <c r="O121" s="45"/>
      <c r="P121" s="44" t="s">
        <v>190</v>
      </c>
    </row>
    <row r="122" spans="1:16" ht="21" customHeight="1">
      <c r="A122" s="25" t="s">
        <v>150</v>
      </c>
      <c r="B122" s="46" t="s">
        <v>151</v>
      </c>
      <c r="C122" s="26" t="s">
        <v>46</v>
      </c>
      <c r="D122" s="26" t="s">
        <v>32</v>
      </c>
      <c r="E122" s="47">
        <v>40</v>
      </c>
      <c r="F122" s="47" t="s">
        <v>36</v>
      </c>
      <c r="G122" s="47">
        <v>58</v>
      </c>
      <c r="H122" s="48">
        <v>47</v>
      </c>
      <c r="I122" s="48">
        <v>22</v>
      </c>
      <c r="J122" s="48">
        <v>19</v>
      </c>
      <c r="K122" s="48">
        <v>29</v>
      </c>
      <c r="L122" s="48">
        <v>29</v>
      </c>
      <c r="M122" s="48">
        <v>29</v>
      </c>
      <c r="N122" s="48">
        <v>67</v>
      </c>
      <c r="O122" s="48">
        <v>40</v>
      </c>
      <c r="P122" s="49" t="s">
        <v>187</v>
      </c>
    </row>
    <row r="123" spans="1:16" ht="21" customHeight="1">
      <c r="H123" s="42">
        <v>94</v>
      </c>
      <c r="I123" s="42">
        <v>102</v>
      </c>
      <c r="J123" s="42">
        <v>65</v>
      </c>
      <c r="K123" s="42">
        <v>30</v>
      </c>
      <c r="L123" s="42">
        <v>25</v>
      </c>
      <c r="M123" s="42">
        <v>20</v>
      </c>
      <c r="N123" s="42">
        <v>86</v>
      </c>
      <c r="P123" s="38" t="s">
        <v>188</v>
      </c>
    </row>
    <row r="124" spans="1:16" ht="21" customHeight="1">
      <c r="H124" s="40"/>
      <c r="I124" s="40"/>
      <c r="J124" s="40"/>
      <c r="K124" s="40"/>
      <c r="L124" s="40"/>
      <c r="M124" s="40"/>
      <c r="N124" s="40"/>
      <c r="O124" s="40"/>
      <c r="P124" s="38" t="s">
        <v>189</v>
      </c>
    </row>
    <row r="125" spans="1:16" ht="21" customHeight="1">
      <c r="A125" s="43"/>
      <c r="B125" s="44"/>
      <c r="C125" s="43"/>
      <c r="D125" s="43"/>
      <c r="E125" s="43"/>
      <c r="F125" s="43"/>
      <c r="G125" s="45"/>
      <c r="H125" s="45"/>
      <c r="I125" s="45"/>
      <c r="J125" s="45"/>
      <c r="K125" s="45"/>
      <c r="L125" s="45"/>
      <c r="M125" s="45"/>
      <c r="N125" s="45"/>
      <c r="O125" s="45"/>
      <c r="P125" s="44" t="s">
        <v>190</v>
      </c>
    </row>
    <row r="126" spans="1:16" ht="21" customHeight="1">
      <c r="A126" s="25" t="s">
        <v>152</v>
      </c>
      <c r="B126" s="46" t="s">
        <v>153</v>
      </c>
      <c r="C126" s="26" t="s">
        <v>46</v>
      </c>
      <c r="D126" s="26" t="s">
        <v>32</v>
      </c>
      <c r="E126" s="47">
        <v>41</v>
      </c>
      <c r="F126" s="47" t="s">
        <v>36</v>
      </c>
      <c r="G126" s="47">
        <v>59</v>
      </c>
      <c r="H126" s="48">
        <v>41</v>
      </c>
      <c r="I126" s="48">
        <v>24</v>
      </c>
      <c r="J126" s="48">
        <v>17</v>
      </c>
      <c r="K126" s="48">
        <v>27</v>
      </c>
      <c r="L126" s="48">
        <v>26</v>
      </c>
      <c r="M126" s="48">
        <v>27</v>
      </c>
      <c r="N126" s="48">
        <v>70</v>
      </c>
      <c r="O126" s="48">
        <v>38</v>
      </c>
      <c r="P126" s="49" t="s">
        <v>187</v>
      </c>
    </row>
    <row r="127" spans="1:16" ht="21" customHeight="1">
      <c r="H127" s="42">
        <v>87</v>
      </c>
      <c r="I127" s="42">
        <v>108</v>
      </c>
      <c r="J127" s="42">
        <v>65</v>
      </c>
      <c r="K127" s="42">
        <v>34</v>
      </c>
      <c r="L127" s="42">
        <v>25</v>
      </c>
      <c r="M127" s="42">
        <v>20</v>
      </c>
      <c r="N127" s="42">
        <v>95</v>
      </c>
      <c r="P127" s="38" t="s">
        <v>188</v>
      </c>
    </row>
    <row r="128" spans="1:16" ht="21" customHeight="1">
      <c r="H128" s="40">
        <v>45</v>
      </c>
      <c r="I128" s="40">
        <v>56</v>
      </c>
      <c r="J128" s="40">
        <v>19</v>
      </c>
      <c r="K128" s="40">
        <v>14</v>
      </c>
      <c r="L128" s="40">
        <v>101</v>
      </c>
      <c r="M128" s="40">
        <v>95</v>
      </c>
      <c r="N128" s="40">
        <v>111</v>
      </c>
      <c r="O128" s="40">
        <v>71</v>
      </c>
      <c r="P128" s="38" t="s">
        <v>189</v>
      </c>
    </row>
    <row r="129" spans="1:16" ht="21" customHeight="1">
      <c r="A129" s="43"/>
      <c r="B129" s="44"/>
      <c r="C129" s="43"/>
      <c r="D129" s="43"/>
      <c r="E129" s="43"/>
      <c r="F129" s="43"/>
      <c r="G129" s="45"/>
      <c r="H129" s="45"/>
      <c r="I129" s="45"/>
      <c r="J129" s="45"/>
      <c r="K129" s="45"/>
      <c r="L129" s="45"/>
      <c r="M129" s="45"/>
      <c r="N129" s="45"/>
      <c r="O129" s="45"/>
      <c r="P129" s="44" t="s">
        <v>190</v>
      </c>
    </row>
    <row r="130" spans="1:16" ht="21" customHeight="1">
      <c r="A130" s="25" t="s">
        <v>183</v>
      </c>
      <c r="B130" s="46" t="s">
        <v>180</v>
      </c>
      <c r="C130" s="26" t="s">
        <v>46</v>
      </c>
      <c r="D130" s="26" t="s">
        <v>32</v>
      </c>
      <c r="E130" s="47">
        <v>44</v>
      </c>
      <c r="F130" s="47" t="s">
        <v>33</v>
      </c>
      <c r="G130" s="47">
        <v>59</v>
      </c>
      <c r="H130" s="48">
        <v>46</v>
      </c>
      <c r="I130" s="48">
        <v>27</v>
      </c>
      <c r="J130" s="48">
        <v>21</v>
      </c>
      <c r="K130" s="48">
        <v>32</v>
      </c>
      <c r="L130" s="48">
        <v>30</v>
      </c>
      <c r="M130" s="48">
        <v>32</v>
      </c>
      <c r="N130" s="48">
        <v>73</v>
      </c>
      <c r="O130" s="48">
        <v>44</v>
      </c>
      <c r="P130" s="49" t="s">
        <v>187</v>
      </c>
    </row>
    <row r="131" spans="1:16" ht="21" customHeight="1">
      <c r="H131" s="42">
        <v>106</v>
      </c>
      <c r="I131" s="42">
        <v>122</v>
      </c>
      <c r="J131" s="42">
        <v>74</v>
      </c>
      <c r="K131" s="42">
        <v>39</v>
      </c>
      <c r="L131" s="42">
        <v>30</v>
      </c>
      <c r="M131" s="42">
        <v>22</v>
      </c>
      <c r="N131" s="42">
        <v>97</v>
      </c>
      <c r="P131" s="38" t="s">
        <v>188</v>
      </c>
    </row>
    <row r="132" spans="1:16" ht="21" customHeight="1">
      <c r="H132" s="40">
        <v>48</v>
      </c>
      <c r="I132" s="40">
        <v>63</v>
      </c>
      <c r="J132" s="40">
        <v>22</v>
      </c>
      <c r="K132" s="40">
        <v>16</v>
      </c>
      <c r="L132" s="40">
        <v>114</v>
      </c>
      <c r="M132" s="40">
        <v>114</v>
      </c>
      <c r="N132" s="40">
        <v>125</v>
      </c>
      <c r="O132" s="40">
        <v>75</v>
      </c>
      <c r="P132" s="38" t="s">
        <v>189</v>
      </c>
    </row>
    <row r="133" spans="1:16" ht="21" customHeight="1">
      <c r="A133" s="43"/>
      <c r="B133" s="44"/>
      <c r="C133" s="43"/>
      <c r="D133" s="43"/>
      <c r="E133" s="43"/>
      <c r="F133" s="43"/>
      <c r="G133" s="45"/>
      <c r="H133" s="45"/>
      <c r="I133" s="45"/>
      <c r="J133" s="45"/>
      <c r="K133" s="45"/>
      <c r="L133" s="45"/>
      <c r="M133" s="45"/>
      <c r="N133" s="45"/>
      <c r="O133" s="45"/>
      <c r="P133" s="44" t="s">
        <v>190</v>
      </c>
    </row>
    <row r="134" spans="1:16" ht="21" customHeight="1">
      <c r="A134" s="25" t="s">
        <v>184</v>
      </c>
      <c r="B134" s="46" t="s">
        <v>181</v>
      </c>
      <c r="C134" s="26" t="s">
        <v>46</v>
      </c>
      <c r="D134" s="26" t="s">
        <v>32</v>
      </c>
      <c r="E134" s="47">
        <v>41</v>
      </c>
      <c r="F134" s="47" t="s">
        <v>35</v>
      </c>
      <c r="G134" s="47">
        <v>56</v>
      </c>
      <c r="H134" s="48">
        <v>46</v>
      </c>
      <c r="I134" s="48">
        <v>25</v>
      </c>
      <c r="J134" s="48">
        <v>20</v>
      </c>
      <c r="K134" s="48">
        <v>31</v>
      </c>
      <c r="L134" s="48">
        <v>29</v>
      </c>
      <c r="M134" s="48">
        <v>31</v>
      </c>
      <c r="N134" s="48">
        <v>72</v>
      </c>
      <c r="O134" s="48">
        <v>41</v>
      </c>
      <c r="P134" s="49" t="s">
        <v>187</v>
      </c>
    </row>
    <row r="135" spans="1:16" ht="21" customHeight="1">
      <c r="H135" s="42">
        <v>102</v>
      </c>
      <c r="I135" s="42">
        <v>116</v>
      </c>
      <c r="J135" s="42">
        <v>71</v>
      </c>
      <c r="K135" s="42">
        <v>37</v>
      </c>
      <c r="L135" s="42">
        <v>27</v>
      </c>
      <c r="M135" s="42">
        <v>22</v>
      </c>
      <c r="N135" s="42">
        <v>101</v>
      </c>
      <c r="P135" s="38" t="s">
        <v>188</v>
      </c>
    </row>
    <row r="136" spans="1:16" ht="21" customHeight="1">
      <c r="H136" s="40">
        <v>48</v>
      </c>
      <c r="I136" s="40">
        <v>61</v>
      </c>
      <c r="J136" s="40">
        <v>21</v>
      </c>
      <c r="K136" s="40">
        <v>16</v>
      </c>
      <c r="L136" s="40">
        <v>115</v>
      </c>
      <c r="M136" s="40">
        <v>110</v>
      </c>
      <c r="N136" s="40">
        <v>119</v>
      </c>
      <c r="O136" s="40">
        <v>73</v>
      </c>
      <c r="P136" s="38" t="s">
        <v>189</v>
      </c>
    </row>
    <row r="137" spans="1:16" ht="21" customHeight="1">
      <c r="A137" s="43"/>
      <c r="B137" s="44"/>
      <c r="C137" s="43"/>
      <c r="D137" s="43"/>
      <c r="E137" s="43"/>
      <c r="F137" s="43"/>
      <c r="G137" s="45"/>
      <c r="H137" s="45"/>
      <c r="I137" s="45"/>
      <c r="J137" s="45"/>
      <c r="K137" s="45"/>
      <c r="L137" s="45"/>
      <c r="M137" s="45"/>
      <c r="N137" s="45"/>
      <c r="O137" s="45"/>
      <c r="P137" s="44" t="s">
        <v>190</v>
      </c>
    </row>
    <row r="138" spans="1:16" ht="21" customHeight="1">
      <c r="A138" s="25" t="s">
        <v>185</v>
      </c>
      <c r="B138" s="46" t="s">
        <v>182</v>
      </c>
      <c r="C138" s="26" t="s">
        <v>46</v>
      </c>
      <c r="D138" s="26" t="s">
        <v>32</v>
      </c>
      <c r="E138" s="47">
        <v>43</v>
      </c>
      <c r="F138" s="47" t="s">
        <v>35</v>
      </c>
      <c r="G138" s="47">
        <v>57</v>
      </c>
      <c r="H138" s="48">
        <v>46</v>
      </c>
      <c r="I138" s="48">
        <v>26</v>
      </c>
      <c r="J138" s="48">
        <v>19</v>
      </c>
      <c r="K138" s="48">
        <v>31</v>
      </c>
      <c r="L138" s="48">
        <v>30</v>
      </c>
      <c r="M138" s="48">
        <v>31</v>
      </c>
      <c r="N138" s="48">
        <v>73</v>
      </c>
      <c r="O138" s="48">
        <v>43</v>
      </c>
      <c r="P138" s="49" t="s">
        <v>187</v>
      </c>
    </row>
    <row r="139" spans="1:16" ht="21" customHeight="1">
      <c r="H139" s="42">
        <v>103</v>
      </c>
      <c r="I139" s="42">
        <v>115</v>
      </c>
      <c r="J139" s="42">
        <v>74</v>
      </c>
      <c r="K139" s="42">
        <v>36</v>
      </c>
      <c r="L139" s="42">
        <v>27</v>
      </c>
      <c r="M139" s="42">
        <v>22</v>
      </c>
      <c r="N139" s="42">
        <v>102</v>
      </c>
      <c r="P139" s="38" t="s">
        <v>188</v>
      </c>
    </row>
    <row r="140" spans="1:16" ht="21" customHeight="1">
      <c r="H140" s="40">
        <v>48</v>
      </c>
      <c r="I140" s="40">
        <v>62</v>
      </c>
      <c r="J140" s="40">
        <v>21</v>
      </c>
      <c r="K140" s="40">
        <v>16</v>
      </c>
      <c r="L140" s="40">
        <v>110</v>
      </c>
      <c r="M140" s="40">
        <v>108</v>
      </c>
      <c r="N140" s="40">
        <v>118</v>
      </c>
      <c r="O140" s="40">
        <v>75</v>
      </c>
      <c r="P140" s="38" t="s">
        <v>189</v>
      </c>
    </row>
    <row r="141" spans="1:16" ht="21" customHeight="1">
      <c r="A141" s="43"/>
      <c r="B141" s="44"/>
      <c r="C141" s="43"/>
      <c r="D141" s="43"/>
      <c r="E141" s="43"/>
      <c r="F141" s="43"/>
      <c r="G141" s="45"/>
      <c r="H141" s="45"/>
      <c r="I141" s="45"/>
      <c r="J141" s="45"/>
      <c r="K141" s="45"/>
      <c r="L141" s="45"/>
      <c r="M141" s="45"/>
      <c r="N141" s="45"/>
      <c r="O141" s="45"/>
      <c r="P141" s="44" t="s">
        <v>190</v>
      </c>
    </row>
    <row r="142" spans="1:16" ht="21" customHeight="1">
      <c r="A142" s="25" t="s">
        <v>71</v>
      </c>
      <c r="B142" s="46" t="s">
        <v>54</v>
      </c>
      <c r="C142" s="26" t="s">
        <v>55</v>
      </c>
      <c r="D142" s="26" t="s">
        <v>32</v>
      </c>
      <c r="E142" s="47">
        <v>41</v>
      </c>
      <c r="F142" s="47" t="s">
        <v>33</v>
      </c>
      <c r="G142" s="47">
        <v>57</v>
      </c>
      <c r="H142" s="48">
        <v>46</v>
      </c>
      <c r="I142" s="48">
        <v>26</v>
      </c>
      <c r="J142" s="48">
        <v>20</v>
      </c>
      <c r="K142" s="48">
        <v>32</v>
      </c>
      <c r="L142" s="48">
        <v>31</v>
      </c>
      <c r="M142" s="48">
        <v>33</v>
      </c>
      <c r="N142" s="48">
        <v>74</v>
      </c>
      <c r="O142" s="48">
        <v>42</v>
      </c>
      <c r="P142" s="49" t="s">
        <v>187</v>
      </c>
    </row>
    <row r="143" spans="1:16" ht="21" customHeight="1">
      <c r="H143" s="42">
        <v>105</v>
      </c>
      <c r="I143" s="42">
        <v>121</v>
      </c>
      <c r="J143" s="42">
        <v>72</v>
      </c>
      <c r="K143" s="42">
        <v>39</v>
      </c>
      <c r="L143" s="42">
        <v>28</v>
      </c>
      <c r="M143" s="42">
        <v>22</v>
      </c>
      <c r="N143" s="42">
        <v>97</v>
      </c>
      <c r="P143" s="38" t="s">
        <v>188</v>
      </c>
    </row>
    <row r="144" spans="1:16" ht="21" customHeight="1">
      <c r="H144" s="40"/>
      <c r="I144" s="40"/>
      <c r="J144" s="40"/>
      <c r="K144" s="40"/>
      <c r="L144" s="40"/>
      <c r="M144" s="40"/>
      <c r="N144" s="40"/>
      <c r="O144" s="40"/>
      <c r="P144" s="38" t="s">
        <v>189</v>
      </c>
    </row>
    <row r="145" spans="1:16" ht="21" customHeight="1">
      <c r="A145" s="43"/>
      <c r="B145" s="44"/>
      <c r="C145" s="43"/>
      <c r="D145" s="43"/>
      <c r="E145" s="43"/>
      <c r="F145" s="43"/>
      <c r="G145" s="45"/>
      <c r="H145" s="45"/>
      <c r="I145" s="45"/>
      <c r="J145" s="45"/>
      <c r="K145" s="45"/>
      <c r="L145" s="45"/>
      <c r="M145" s="45"/>
      <c r="N145" s="45"/>
      <c r="O145" s="45"/>
      <c r="P145" s="44" t="s">
        <v>190</v>
      </c>
    </row>
    <row r="146" spans="1:16" ht="21" customHeight="1">
      <c r="A146" s="25" t="s">
        <v>72</v>
      </c>
      <c r="B146" s="46" t="s">
        <v>56</v>
      </c>
      <c r="C146" s="26" t="s">
        <v>55</v>
      </c>
      <c r="D146" s="26" t="s">
        <v>32</v>
      </c>
      <c r="E146" s="47">
        <v>41</v>
      </c>
      <c r="F146" s="47" t="s">
        <v>34</v>
      </c>
      <c r="G146" s="47">
        <v>56</v>
      </c>
      <c r="H146" s="48">
        <v>43</v>
      </c>
      <c r="I146" s="48">
        <v>24</v>
      </c>
      <c r="J146" s="48">
        <v>17</v>
      </c>
      <c r="K146" s="48">
        <v>29</v>
      </c>
      <c r="L146" s="48">
        <v>27</v>
      </c>
      <c r="M146" s="48">
        <v>28</v>
      </c>
      <c r="N146" s="48">
        <v>71</v>
      </c>
      <c r="O146" s="48">
        <v>38</v>
      </c>
      <c r="P146" s="49" t="s">
        <v>187</v>
      </c>
    </row>
    <row r="147" spans="1:16" ht="21" customHeight="1">
      <c r="H147" s="42">
        <v>88</v>
      </c>
      <c r="I147" s="42">
        <v>108</v>
      </c>
      <c r="J147" s="42">
        <v>68</v>
      </c>
      <c r="K147" s="42">
        <v>34</v>
      </c>
      <c r="L147" s="42">
        <v>26</v>
      </c>
      <c r="M147" s="42">
        <v>20</v>
      </c>
      <c r="N147" s="42">
        <v>97</v>
      </c>
      <c r="P147" s="38" t="s">
        <v>188</v>
      </c>
    </row>
    <row r="148" spans="1:16" ht="21" customHeight="1">
      <c r="H148" s="40"/>
      <c r="I148" s="40"/>
      <c r="J148" s="40"/>
      <c r="K148" s="40"/>
      <c r="L148" s="40"/>
      <c r="M148" s="40"/>
      <c r="N148" s="40"/>
      <c r="O148" s="40"/>
      <c r="P148" s="38" t="s">
        <v>189</v>
      </c>
    </row>
    <row r="149" spans="1:16" ht="21" customHeight="1">
      <c r="A149" s="43"/>
      <c r="B149" s="44"/>
      <c r="C149" s="43"/>
      <c r="D149" s="43"/>
      <c r="E149" s="43"/>
      <c r="F149" s="43"/>
      <c r="G149" s="45"/>
      <c r="H149" s="45"/>
      <c r="I149" s="45"/>
      <c r="J149" s="45"/>
      <c r="K149" s="45"/>
      <c r="L149" s="45"/>
      <c r="M149" s="45"/>
      <c r="N149" s="45"/>
      <c r="O149" s="45"/>
      <c r="P149" s="44" t="s">
        <v>190</v>
      </c>
    </row>
    <row r="150" spans="1:16" ht="21" customHeight="1">
      <c r="A150" s="25" t="s">
        <v>73</v>
      </c>
      <c r="B150" s="46" t="s">
        <v>57</v>
      </c>
      <c r="C150" s="26" t="s">
        <v>55</v>
      </c>
      <c r="D150" s="26" t="s">
        <v>32</v>
      </c>
      <c r="E150" s="47">
        <v>41</v>
      </c>
      <c r="F150" s="47" t="s">
        <v>34</v>
      </c>
      <c r="G150" s="47">
        <v>56</v>
      </c>
      <c r="H150" s="48">
        <v>40</v>
      </c>
      <c r="I150" s="48">
        <v>22</v>
      </c>
      <c r="J150" s="48">
        <v>18</v>
      </c>
      <c r="K150" s="48">
        <v>27</v>
      </c>
      <c r="L150" s="48">
        <v>26</v>
      </c>
      <c r="M150" s="48">
        <v>27</v>
      </c>
      <c r="N150" s="48">
        <v>69</v>
      </c>
      <c r="O150" s="48">
        <v>39</v>
      </c>
      <c r="P150" s="49" t="s">
        <v>187</v>
      </c>
    </row>
    <row r="151" spans="1:16" ht="21" customHeight="1">
      <c r="H151" s="42">
        <v>82</v>
      </c>
      <c r="I151" s="42">
        <v>102</v>
      </c>
      <c r="J151" s="42">
        <v>67</v>
      </c>
      <c r="K151" s="42">
        <v>33</v>
      </c>
      <c r="L151" s="42">
        <v>26</v>
      </c>
      <c r="M151" s="42">
        <v>20</v>
      </c>
      <c r="N151" s="42">
        <v>97</v>
      </c>
      <c r="P151" s="38" t="s">
        <v>188</v>
      </c>
    </row>
    <row r="152" spans="1:16" ht="21" customHeight="1">
      <c r="H152" s="40"/>
      <c r="I152" s="40"/>
      <c r="J152" s="40"/>
      <c r="K152" s="40"/>
      <c r="L152" s="40"/>
      <c r="M152" s="40"/>
      <c r="N152" s="40"/>
      <c r="O152" s="40"/>
      <c r="P152" s="38" t="s">
        <v>189</v>
      </c>
    </row>
    <row r="153" spans="1:16" ht="21" customHeight="1">
      <c r="A153" s="43"/>
      <c r="B153" s="44"/>
      <c r="C153" s="43"/>
      <c r="D153" s="43"/>
      <c r="E153" s="43"/>
      <c r="F153" s="43"/>
      <c r="G153" s="45"/>
      <c r="H153" s="45"/>
      <c r="I153" s="45"/>
      <c r="J153" s="45"/>
      <c r="K153" s="45"/>
      <c r="L153" s="45"/>
      <c r="M153" s="45"/>
      <c r="N153" s="45"/>
      <c r="O153" s="45"/>
      <c r="P153" s="44" t="s">
        <v>190</v>
      </c>
    </row>
    <row r="154" spans="1:16" ht="21" customHeight="1">
      <c r="A154" s="25" t="s">
        <v>74</v>
      </c>
      <c r="B154" s="46" t="s">
        <v>58</v>
      </c>
      <c r="C154" s="26" t="s">
        <v>55</v>
      </c>
      <c r="D154" s="26" t="s">
        <v>32</v>
      </c>
      <c r="E154" s="47">
        <v>41</v>
      </c>
      <c r="F154" s="47" t="s">
        <v>36</v>
      </c>
      <c r="G154" s="47">
        <v>55</v>
      </c>
      <c r="H154" s="48">
        <v>41</v>
      </c>
      <c r="I154" s="48">
        <v>24</v>
      </c>
      <c r="J154" s="48">
        <v>17</v>
      </c>
      <c r="K154" s="48">
        <v>26</v>
      </c>
      <c r="L154" s="48">
        <v>23</v>
      </c>
      <c r="M154" s="48">
        <v>26</v>
      </c>
      <c r="N154" s="48">
        <v>66</v>
      </c>
      <c r="O154" s="48">
        <v>37</v>
      </c>
      <c r="P154" s="49" t="s">
        <v>187</v>
      </c>
    </row>
    <row r="155" spans="1:16" ht="21" customHeight="1">
      <c r="H155" s="42">
        <v>79</v>
      </c>
      <c r="I155" s="42">
        <v>99</v>
      </c>
      <c r="J155" s="42">
        <v>65</v>
      </c>
      <c r="K155" s="42">
        <v>33</v>
      </c>
      <c r="L155" s="42">
        <v>25</v>
      </c>
      <c r="M155" s="42">
        <v>19</v>
      </c>
      <c r="N155" s="42">
        <v>96</v>
      </c>
      <c r="P155" s="38" t="s">
        <v>188</v>
      </c>
    </row>
    <row r="156" spans="1:16" ht="21" customHeight="1">
      <c r="H156" s="40"/>
      <c r="I156" s="40"/>
      <c r="J156" s="40"/>
      <c r="K156" s="40"/>
      <c r="L156" s="40"/>
      <c r="M156" s="40"/>
      <c r="N156" s="40"/>
      <c r="O156" s="40"/>
      <c r="P156" s="38" t="s">
        <v>189</v>
      </c>
    </row>
    <row r="157" spans="1:16" ht="21" customHeight="1">
      <c r="A157" s="43"/>
      <c r="B157" s="44"/>
      <c r="C157" s="43"/>
      <c r="D157" s="43"/>
      <c r="E157" s="43"/>
      <c r="F157" s="43"/>
      <c r="G157" s="45"/>
      <c r="H157" s="45"/>
      <c r="I157" s="45"/>
      <c r="J157" s="45"/>
      <c r="K157" s="45"/>
      <c r="L157" s="45"/>
      <c r="M157" s="45"/>
      <c r="N157" s="45"/>
      <c r="O157" s="45"/>
      <c r="P157" s="44" t="s">
        <v>190</v>
      </c>
    </row>
    <row r="158" spans="1:16" ht="21" customHeight="1">
      <c r="A158" s="25" t="s">
        <v>75</v>
      </c>
      <c r="B158" s="46" t="s">
        <v>59</v>
      </c>
      <c r="C158" s="26" t="s">
        <v>55</v>
      </c>
      <c r="D158" s="26" t="s">
        <v>32</v>
      </c>
      <c r="E158" s="47">
        <v>40</v>
      </c>
      <c r="F158" s="47" t="s">
        <v>36</v>
      </c>
      <c r="G158" s="47">
        <v>55</v>
      </c>
      <c r="H158" s="48">
        <v>39</v>
      </c>
      <c r="I158" s="48">
        <v>24</v>
      </c>
      <c r="J158" s="48">
        <v>17</v>
      </c>
      <c r="K158" s="48">
        <v>26</v>
      </c>
      <c r="L158" s="48">
        <v>23</v>
      </c>
      <c r="M158" s="48">
        <v>26</v>
      </c>
      <c r="N158" s="48">
        <v>67</v>
      </c>
      <c r="O158" s="48">
        <v>38</v>
      </c>
      <c r="P158" s="49" t="s">
        <v>187</v>
      </c>
    </row>
    <row r="159" spans="1:16" ht="21" customHeight="1">
      <c r="H159" s="42">
        <v>79</v>
      </c>
      <c r="I159" s="42">
        <v>99</v>
      </c>
      <c r="J159" s="42">
        <v>63</v>
      </c>
      <c r="K159" s="42">
        <v>32</v>
      </c>
      <c r="L159" s="42">
        <v>25</v>
      </c>
      <c r="M159" s="42">
        <v>19</v>
      </c>
      <c r="N159" s="42">
        <v>97</v>
      </c>
      <c r="P159" s="38" t="s">
        <v>188</v>
      </c>
    </row>
    <row r="160" spans="1:16" ht="21" customHeight="1">
      <c r="H160" s="40"/>
      <c r="I160" s="40"/>
      <c r="J160" s="40"/>
      <c r="K160" s="40"/>
      <c r="L160" s="40"/>
      <c r="M160" s="40"/>
      <c r="N160" s="40"/>
      <c r="O160" s="40"/>
      <c r="P160" s="38" t="s">
        <v>189</v>
      </c>
    </row>
    <row r="161" spans="1:16" ht="21" customHeight="1">
      <c r="A161" s="43"/>
      <c r="B161" s="44"/>
      <c r="C161" s="43"/>
      <c r="D161" s="43"/>
      <c r="E161" s="43"/>
      <c r="F161" s="43"/>
      <c r="G161" s="45"/>
      <c r="H161" s="45"/>
      <c r="I161" s="45"/>
      <c r="J161" s="45"/>
      <c r="K161" s="45"/>
      <c r="L161" s="45"/>
      <c r="M161" s="45"/>
      <c r="N161" s="45"/>
      <c r="O161" s="45"/>
      <c r="P161" s="44" t="s">
        <v>190</v>
      </c>
    </row>
    <row r="162" spans="1:16" ht="21" customHeight="1">
      <c r="A162" s="25" t="s">
        <v>76</v>
      </c>
      <c r="B162" s="46" t="s">
        <v>60</v>
      </c>
      <c r="C162" s="26" t="s">
        <v>55</v>
      </c>
      <c r="D162" s="26" t="s">
        <v>32</v>
      </c>
      <c r="E162" s="47">
        <v>42</v>
      </c>
      <c r="F162" s="47" t="s">
        <v>33</v>
      </c>
      <c r="G162" s="47">
        <v>57</v>
      </c>
      <c r="H162" s="48">
        <v>43</v>
      </c>
      <c r="I162" s="48">
        <v>25</v>
      </c>
      <c r="J162" s="48">
        <v>19</v>
      </c>
      <c r="K162" s="48">
        <v>29</v>
      </c>
      <c r="L162" s="48">
        <v>27</v>
      </c>
      <c r="M162" s="48">
        <v>29</v>
      </c>
      <c r="N162" s="48">
        <v>72</v>
      </c>
      <c r="O162" s="48">
        <v>42</v>
      </c>
      <c r="P162" s="49" t="s">
        <v>187</v>
      </c>
    </row>
    <row r="163" spans="1:16" ht="21" customHeight="1">
      <c r="H163" s="42">
        <v>91</v>
      </c>
      <c r="I163" s="42">
        <v>111</v>
      </c>
      <c r="J163" s="42">
        <v>66</v>
      </c>
      <c r="K163" s="42">
        <v>34</v>
      </c>
      <c r="L163" s="42">
        <v>26</v>
      </c>
      <c r="M163" s="42">
        <v>20</v>
      </c>
      <c r="N163" s="42">
        <v>98</v>
      </c>
      <c r="P163" s="38" t="s">
        <v>188</v>
      </c>
    </row>
    <row r="164" spans="1:16" ht="21" customHeight="1">
      <c r="H164" s="40"/>
      <c r="I164" s="40"/>
      <c r="J164" s="40"/>
      <c r="K164" s="40"/>
      <c r="L164" s="40"/>
      <c r="M164" s="40"/>
      <c r="N164" s="40"/>
      <c r="O164" s="40"/>
      <c r="P164" s="38" t="s">
        <v>189</v>
      </c>
    </row>
    <row r="165" spans="1:16" ht="21" customHeight="1">
      <c r="A165" s="43"/>
      <c r="B165" s="44"/>
      <c r="C165" s="43"/>
      <c r="D165" s="43"/>
      <c r="E165" s="43"/>
      <c r="F165" s="43"/>
      <c r="G165" s="45"/>
      <c r="H165" s="45"/>
      <c r="I165" s="45"/>
      <c r="J165" s="45"/>
      <c r="K165" s="45"/>
      <c r="L165" s="45"/>
      <c r="M165" s="45"/>
      <c r="N165" s="45"/>
      <c r="O165" s="45"/>
      <c r="P165" s="44" t="s">
        <v>190</v>
      </c>
    </row>
    <row r="166" spans="1:16" ht="21" customHeight="1">
      <c r="A166" s="25" t="s">
        <v>77</v>
      </c>
      <c r="B166" s="46" t="s">
        <v>61</v>
      </c>
      <c r="C166" s="26" t="s">
        <v>55</v>
      </c>
      <c r="D166" s="26" t="s">
        <v>32</v>
      </c>
      <c r="E166" s="47">
        <v>42</v>
      </c>
      <c r="F166" s="47" t="s">
        <v>33</v>
      </c>
      <c r="G166" s="47">
        <v>57</v>
      </c>
      <c r="H166" s="48">
        <v>45</v>
      </c>
      <c r="I166" s="48">
        <v>26</v>
      </c>
      <c r="J166" s="48">
        <v>20</v>
      </c>
      <c r="K166" s="48">
        <v>31</v>
      </c>
      <c r="L166" s="48">
        <v>30</v>
      </c>
      <c r="M166" s="48">
        <v>31</v>
      </c>
      <c r="N166" s="48">
        <v>72</v>
      </c>
      <c r="O166" s="48">
        <v>43</v>
      </c>
      <c r="P166" s="49" t="s">
        <v>187</v>
      </c>
    </row>
    <row r="167" spans="1:16" ht="21" customHeight="1">
      <c r="H167" s="42">
        <v>100</v>
      </c>
      <c r="I167" s="42">
        <v>119</v>
      </c>
      <c r="J167" s="42">
        <v>72</v>
      </c>
      <c r="K167" s="42">
        <v>38</v>
      </c>
      <c r="L167" s="42">
        <v>27</v>
      </c>
      <c r="M167" s="42">
        <v>22</v>
      </c>
      <c r="N167" s="42">
        <v>95</v>
      </c>
      <c r="P167" s="38" t="s">
        <v>188</v>
      </c>
    </row>
    <row r="168" spans="1:16" ht="21" customHeight="1">
      <c r="H168" s="40"/>
      <c r="I168" s="40"/>
      <c r="J168" s="40"/>
      <c r="K168" s="40"/>
      <c r="L168" s="40"/>
      <c r="M168" s="40"/>
      <c r="N168" s="40"/>
      <c r="O168" s="40"/>
      <c r="P168" s="38" t="s">
        <v>189</v>
      </c>
    </row>
    <row r="169" spans="1:16" ht="21" customHeight="1">
      <c r="A169" s="43"/>
      <c r="B169" s="44"/>
      <c r="C169" s="43"/>
      <c r="D169" s="43"/>
      <c r="E169" s="43"/>
      <c r="F169" s="43"/>
      <c r="G169" s="45"/>
      <c r="H169" s="45"/>
      <c r="I169" s="45"/>
      <c r="J169" s="45"/>
      <c r="K169" s="45"/>
      <c r="L169" s="45"/>
      <c r="M169" s="45"/>
      <c r="N169" s="45"/>
      <c r="O169" s="45"/>
      <c r="P169" s="44" t="s">
        <v>190</v>
      </c>
    </row>
    <row r="170" spans="1:16" ht="21" customHeight="1">
      <c r="A170" s="25" t="s">
        <v>78</v>
      </c>
      <c r="B170" s="46" t="s">
        <v>62</v>
      </c>
      <c r="C170" s="26" t="s">
        <v>55</v>
      </c>
      <c r="D170" s="26" t="s">
        <v>32</v>
      </c>
      <c r="E170" s="47">
        <v>39</v>
      </c>
      <c r="F170" s="47" t="s">
        <v>34</v>
      </c>
      <c r="G170" s="47">
        <v>55</v>
      </c>
      <c r="H170" s="48">
        <v>41</v>
      </c>
      <c r="I170" s="48">
        <v>24</v>
      </c>
      <c r="J170" s="48">
        <v>17</v>
      </c>
      <c r="K170" s="48">
        <v>27</v>
      </c>
      <c r="L170" s="48">
        <v>25</v>
      </c>
      <c r="M170" s="48">
        <v>27</v>
      </c>
      <c r="N170" s="48">
        <v>68</v>
      </c>
      <c r="O170" s="48">
        <v>41</v>
      </c>
      <c r="P170" s="49" t="s">
        <v>187</v>
      </c>
    </row>
    <row r="171" spans="1:16" ht="21" customHeight="1">
      <c r="H171" s="42">
        <v>82</v>
      </c>
      <c r="I171" s="42">
        <v>98</v>
      </c>
      <c r="J171" s="42">
        <v>68</v>
      </c>
      <c r="K171" s="42">
        <v>33</v>
      </c>
      <c r="L171" s="42">
        <v>26</v>
      </c>
      <c r="M171" s="42">
        <v>20</v>
      </c>
      <c r="N171" s="42">
        <v>99</v>
      </c>
      <c r="P171" s="38" t="s">
        <v>188</v>
      </c>
    </row>
    <row r="172" spans="1:16" ht="21" customHeight="1">
      <c r="H172" s="40"/>
      <c r="I172" s="40"/>
      <c r="J172" s="40"/>
      <c r="K172" s="40"/>
      <c r="L172" s="40"/>
      <c r="M172" s="40"/>
      <c r="N172" s="40"/>
      <c r="O172" s="40"/>
      <c r="P172" s="38" t="s">
        <v>189</v>
      </c>
    </row>
    <row r="173" spans="1:16" ht="21" customHeight="1">
      <c r="A173" s="43"/>
      <c r="B173" s="44"/>
      <c r="C173" s="43"/>
      <c r="D173" s="43"/>
      <c r="E173" s="43"/>
      <c r="F173" s="43"/>
      <c r="G173" s="45"/>
      <c r="H173" s="45"/>
      <c r="I173" s="45"/>
      <c r="J173" s="45"/>
      <c r="K173" s="45"/>
      <c r="L173" s="45"/>
      <c r="M173" s="45"/>
      <c r="N173" s="45"/>
      <c r="O173" s="45"/>
      <c r="P173" s="44" t="s">
        <v>190</v>
      </c>
    </row>
    <row r="174" spans="1:16" ht="21" customHeight="1">
      <c r="A174" s="25" t="s">
        <v>94</v>
      </c>
      <c r="B174" s="46" t="s">
        <v>90</v>
      </c>
      <c r="C174" s="26" t="s">
        <v>55</v>
      </c>
      <c r="D174" s="26" t="s">
        <v>32</v>
      </c>
      <c r="E174" s="47">
        <v>42</v>
      </c>
      <c r="F174" s="47" t="s">
        <v>35</v>
      </c>
      <c r="G174" s="47">
        <v>57</v>
      </c>
      <c r="H174" s="48">
        <v>48</v>
      </c>
      <c r="I174" s="48">
        <v>26</v>
      </c>
      <c r="J174" s="48">
        <v>20</v>
      </c>
      <c r="K174" s="48">
        <v>36</v>
      </c>
      <c r="L174" s="48">
        <v>36</v>
      </c>
      <c r="M174" s="48">
        <v>36</v>
      </c>
      <c r="N174" s="48">
        <v>71</v>
      </c>
      <c r="O174" s="48">
        <v>43</v>
      </c>
      <c r="P174" s="49" t="s">
        <v>187</v>
      </c>
    </row>
    <row r="175" spans="1:16" ht="21" customHeight="1">
      <c r="H175" s="42">
        <v>113</v>
      </c>
      <c r="I175" s="42">
        <v>118</v>
      </c>
      <c r="J175" s="42">
        <v>72</v>
      </c>
      <c r="K175" s="42">
        <v>36</v>
      </c>
      <c r="L175" s="42">
        <v>26</v>
      </c>
      <c r="M175" s="42">
        <v>20</v>
      </c>
      <c r="N175" s="42">
        <v>89</v>
      </c>
      <c r="P175" s="38" t="s">
        <v>188</v>
      </c>
    </row>
    <row r="176" spans="1:16" ht="21" customHeight="1">
      <c r="H176" s="40"/>
      <c r="I176" s="40"/>
      <c r="J176" s="40"/>
      <c r="K176" s="40"/>
      <c r="L176" s="40"/>
      <c r="M176" s="40"/>
      <c r="N176" s="40"/>
      <c r="O176" s="40"/>
      <c r="P176" s="38" t="s">
        <v>189</v>
      </c>
    </row>
    <row r="177" spans="1:16" ht="21" customHeight="1">
      <c r="A177" s="43"/>
      <c r="B177" s="44"/>
      <c r="C177" s="43"/>
      <c r="D177" s="43"/>
      <c r="E177" s="43"/>
      <c r="F177" s="43"/>
      <c r="G177" s="45"/>
      <c r="H177" s="45"/>
      <c r="I177" s="45"/>
      <c r="J177" s="45"/>
      <c r="K177" s="45"/>
      <c r="L177" s="45"/>
      <c r="M177" s="45"/>
      <c r="N177" s="45"/>
      <c r="O177" s="45"/>
      <c r="P177" s="44" t="s">
        <v>190</v>
      </c>
    </row>
    <row r="178" spans="1:16" ht="21" customHeight="1">
      <c r="A178" s="25" t="s">
        <v>95</v>
      </c>
      <c r="B178" s="46" t="s">
        <v>91</v>
      </c>
      <c r="C178" s="26" t="s">
        <v>55</v>
      </c>
      <c r="D178" s="26" t="s">
        <v>32</v>
      </c>
      <c r="E178" s="47">
        <v>40</v>
      </c>
      <c r="F178" s="47" t="s">
        <v>34</v>
      </c>
      <c r="G178" s="47">
        <v>57</v>
      </c>
      <c r="H178" s="48">
        <v>43</v>
      </c>
      <c r="I178" s="48">
        <v>25</v>
      </c>
      <c r="J178" s="48">
        <v>17</v>
      </c>
      <c r="K178" s="48">
        <v>27</v>
      </c>
      <c r="L178" s="48">
        <v>25</v>
      </c>
      <c r="M178" s="48">
        <v>27</v>
      </c>
      <c r="N178" s="48">
        <v>72</v>
      </c>
      <c r="O178" s="48">
        <v>41</v>
      </c>
      <c r="P178" s="49" t="s">
        <v>187</v>
      </c>
    </row>
    <row r="179" spans="1:16" ht="21" customHeight="1">
      <c r="H179" s="42">
        <v>86</v>
      </c>
      <c r="I179" s="42">
        <v>101</v>
      </c>
      <c r="J179" s="42">
        <v>65</v>
      </c>
      <c r="K179" s="42">
        <v>32</v>
      </c>
      <c r="L179" s="42">
        <v>26</v>
      </c>
      <c r="M179" s="42">
        <v>20</v>
      </c>
      <c r="N179" s="42">
        <v>97</v>
      </c>
      <c r="P179" s="38" t="s">
        <v>188</v>
      </c>
    </row>
    <row r="180" spans="1:16" ht="21" customHeight="1">
      <c r="H180" s="40"/>
      <c r="I180" s="40"/>
      <c r="J180" s="40"/>
      <c r="K180" s="40"/>
      <c r="L180" s="40"/>
      <c r="M180" s="40"/>
      <c r="N180" s="40"/>
      <c r="O180" s="40"/>
      <c r="P180" s="38" t="s">
        <v>189</v>
      </c>
    </row>
    <row r="181" spans="1:16" ht="21" customHeight="1">
      <c r="A181" s="43"/>
      <c r="B181" s="44"/>
      <c r="C181" s="43"/>
      <c r="D181" s="43"/>
      <c r="E181" s="43"/>
      <c r="F181" s="43"/>
      <c r="G181" s="45"/>
      <c r="H181" s="45"/>
      <c r="I181" s="45"/>
      <c r="J181" s="45"/>
      <c r="K181" s="45"/>
      <c r="L181" s="45"/>
      <c r="M181" s="45"/>
      <c r="N181" s="45"/>
      <c r="O181" s="45"/>
      <c r="P181" s="44" t="s">
        <v>190</v>
      </c>
    </row>
    <row r="182" spans="1:16" ht="21" customHeight="1">
      <c r="A182" s="25" t="s">
        <v>96</v>
      </c>
      <c r="B182" s="46" t="s">
        <v>92</v>
      </c>
      <c r="C182" s="26" t="s">
        <v>55</v>
      </c>
      <c r="D182" s="26" t="s">
        <v>32</v>
      </c>
      <c r="E182" s="47">
        <v>42</v>
      </c>
      <c r="F182" s="47" t="s">
        <v>33</v>
      </c>
      <c r="G182" s="47">
        <v>57</v>
      </c>
      <c r="H182" s="48">
        <v>45</v>
      </c>
      <c r="I182" s="48">
        <v>25</v>
      </c>
      <c r="J182" s="48">
        <v>19</v>
      </c>
      <c r="K182" s="48">
        <v>30</v>
      </c>
      <c r="L182" s="48">
        <v>28</v>
      </c>
      <c r="M182" s="48">
        <v>30</v>
      </c>
      <c r="N182" s="48">
        <v>72</v>
      </c>
      <c r="O182" s="48">
        <v>43</v>
      </c>
      <c r="P182" s="49" t="s">
        <v>187</v>
      </c>
    </row>
    <row r="183" spans="1:16" ht="21" customHeight="1">
      <c r="H183" s="42">
        <v>93</v>
      </c>
      <c r="I183" s="42">
        <v>105</v>
      </c>
      <c r="J183" s="42">
        <v>68</v>
      </c>
      <c r="K183" s="42">
        <v>34</v>
      </c>
      <c r="L183" s="42">
        <v>26</v>
      </c>
      <c r="M183" s="42">
        <v>20</v>
      </c>
      <c r="N183" s="42">
        <v>100</v>
      </c>
      <c r="P183" s="38" t="s">
        <v>188</v>
      </c>
    </row>
    <row r="184" spans="1:16" ht="21" customHeight="1">
      <c r="H184" s="40"/>
      <c r="I184" s="40"/>
      <c r="J184" s="40"/>
      <c r="K184" s="40"/>
      <c r="L184" s="40"/>
      <c r="M184" s="40"/>
      <c r="N184" s="40"/>
      <c r="O184" s="40"/>
      <c r="P184" s="38" t="s">
        <v>189</v>
      </c>
    </row>
    <row r="185" spans="1:16" ht="21" customHeight="1">
      <c r="A185" s="43"/>
      <c r="B185" s="44"/>
      <c r="C185" s="43"/>
      <c r="D185" s="43"/>
      <c r="E185" s="43"/>
      <c r="F185" s="43"/>
      <c r="G185" s="45"/>
      <c r="H185" s="45"/>
      <c r="I185" s="45"/>
      <c r="J185" s="45"/>
      <c r="K185" s="45"/>
      <c r="L185" s="45"/>
      <c r="M185" s="45"/>
      <c r="N185" s="45"/>
      <c r="O185" s="45"/>
      <c r="P185" s="44" t="s">
        <v>190</v>
      </c>
    </row>
    <row r="186" spans="1:16" ht="21" customHeight="1">
      <c r="A186" s="25" t="s">
        <v>97</v>
      </c>
      <c r="B186" s="46" t="s">
        <v>93</v>
      </c>
      <c r="C186" s="26" t="s">
        <v>55</v>
      </c>
      <c r="D186" s="26" t="s">
        <v>32</v>
      </c>
      <c r="E186" s="47">
        <v>41</v>
      </c>
      <c r="F186" s="47" t="s">
        <v>35</v>
      </c>
      <c r="G186" s="47">
        <v>56</v>
      </c>
      <c r="H186" s="48">
        <v>47</v>
      </c>
      <c r="I186" s="48">
        <v>26</v>
      </c>
      <c r="J186" s="48">
        <v>21</v>
      </c>
      <c r="K186" s="48">
        <v>32</v>
      </c>
      <c r="L186" s="48">
        <v>32</v>
      </c>
      <c r="M186" s="48">
        <v>32</v>
      </c>
      <c r="N186" s="48">
        <v>71</v>
      </c>
      <c r="O186" s="48">
        <v>46</v>
      </c>
      <c r="P186" s="49" t="s">
        <v>187</v>
      </c>
    </row>
    <row r="187" spans="1:16" ht="21" customHeight="1">
      <c r="H187" s="42">
        <v>107</v>
      </c>
      <c r="I187" s="42">
        <v>120</v>
      </c>
      <c r="J187" s="42">
        <v>72</v>
      </c>
      <c r="K187" s="42">
        <v>39</v>
      </c>
      <c r="L187" s="42">
        <v>29</v>
      </c>
      <c r="M187" s="42">
        <v>23</v>
      </c>
      <c r="N187" s="42">
        <v>90</v>
      </c>
      <c r="P187" s="38" t="s">
        <v>188</v>
      </c>
    </row>
    <row r="188" spans="1:16" ht="21" customHeight="1">
      <c r="H188" s="40"/>
      <c r="I188" s="40"/>
      <c r="J188" s="40"/>
      <c r="K188" s="40"/>
      <c r="L188" s="40"/>
      <c r="M188" s="40"/>
      <c r="N188" s="40"/>
      <c r="O188" s="40"/>
      <c r="P188" s="38" t="s">
        <v>189</v>
      </c>
    </row>
    <row r="189" spans="1:16" ht="21" customHeight="1">
      <c r="A189" s="43"/>
      <c r="B189" s="44"/>
      <c r="C189" s="43"/>
      <c r="D189" s="43"/>
      <c r="E189" s="43"/>
      <c r="F189" s="43"/>
      <c r="G189" s="45"/>
      <c r="H189" s="45"/>
      <c r="I189" s="45"/>
      <c r="J189" s="45"/>
      <c r="K189" s="45"/>
      <c r="L189" s="45"/>
      <c r="M189" s="45"/>
      <c r="N189" s="45"/>
      <c r="O189" s="45"/>
      <c r="P189" s="44" t="s">
        <v>190</v>
      </c>
    </row>
    <row r="190" spans="1:16" ht="21" customHeight="1">
      <c r="A190" s="25" t="s">
        <v>126</v>
      </c>
      <c r="B190" s="46" t="s">
        <v>101</v>
      </c>
      <c r="C190" s="26" t="s">
        <v>55</v>
      </c>
      <c r="D190" s="26" t="s">
        <v>32</v>
      </c>
      <c r="E190" s="47">
        <v>40</v>
      </c>
      <c r="F190" s="47" t="s">
        <v>36</v>
      </c>
      <c r="G190" s="47">
        <v>58</v>
      </c>
      <c r="H190" s="48">
        <v>41</v>
      </c>
      <c r="I190" s="48">
        <v>25</v>
      </c>
      <c r="J190" s="48">
        <v>17</v>
      </c>
      <c r="K190" s="48">
        <v>27</v>
      </c>
      <c r="L190" s="48">
        <v>24</v>
      </c>
      <c r="M190" s="48">
        <v>27</v>
      </c>
      <c r="N190" s="48">
        <v>70</v>
      </c>
      <c r="O190" s="48">
        <v>40</v>
      </c>
      <c r="P190" s="49" t="s">
        <v>187</v>
      </c>
    </row>
    <row r="191" spans="1:16" ht="21" customHeight="1">
      <c r="H191" s="42">
        <v>83</v>
      </c>
      <c r="I191" s="42">
        <v>102</v>
      </c>
      <c r="J191" s="42">
        <v>66</v>
      </c>
      <c r="K191" s="42">
        <v>31</v>
      </c>
      <c r="L191" s="42">
        <v>24</v>
      </c>
      <c r="M191" s="42">
        <v>19</v>
      </c>
      <c r="N191" s="42">
        <v>96</v>
      </c>
      <c r="P191" s="38" t="s">
        <v>188</v>
      </c>
    </row>
    <row r="192" spans="1:16" ht="21" customHeight="1">
      <c r="H192" s="40"/>
      <c r="I192" s="40"/>
      <c r="J192" s="40"/>
      <c r="K192" s="40"/>
      <c r="L192" s="40"/>
      <c r="M192" s="40"/>
      <c r="N192" s="40"/>
      <c r="O192" s="40"/>
      <c r="P192" s="38" t="s">
        <v>189</v>
      </c>
    </row>
    <row r="193" spans="1:16" ht="21" customHeight="1">
      <c r="A193" s="43"/>
      <c r="B193" s="44"/>
      <c r="C193" s="43"/>
      <c r="D193" s="43"/>
      <c r="E193" s="43"/>
      <c r="F193" s="43"/>
      <c r="G193" s="45"/>
      <c r="H193" s="45"/>
      <c r="I193" s="45"/>
      <c r="J193" s="45"/>
      <c r="K193" s="45"/>
      <c r="L193" s="45"/>
      <c r="M193" s="45"/>
      <c r="N193" s="45"/>
      <c r="O193" s="45"/>
      <c r="P193" s="44" t="s">
        <v>190</v>
      </c>
    </row>
    <row r="194" spans="1:16" ht="21" customHeight="1">
      <c r="A194" s="25" t="s">
        <v>127</v>
      </c>
      <c r="B194" s="46" t="s">
        <v>102</v>
      </c>
      <c r="C194" s="26" t="s">
        <v>55</v>
      </c>
      <c r="D194" s="26" t="s">
        <v>32</v>
      </c>
      <c r="E194" s="47">
        <v>43</v>
      </c>
      <c r="F194" s="47" t="s">
        <v>33</v>
      </c>
      <c r="G194" s="47">
        <v>58</v>
      </c>
      <c r="H194" s="48">
        <v>43</v>
      </c>
      <c r="I194" s="48">
        <v>26</v>
      </c>
      <c r="J194" s="48">
        <v>18</v>
      </c>
      <c r="K194" s="48">
        <v>30</v>
      </c>
      <c r="L194" s="48">
        <v>29</v>
      </c>
      <c r="M194" s="48">
        <v>30</v>
      </c>
      <c r="N194" s="48">
        <v>74</v>
      </c>
      <c r="O194" s="48">
        <v>42</v>
      </c>
      <c r="P194" s="49" t="s">
        <v>187</v>
      </c>
    </row>
    <row r="195" spans="1:16" ht="21" customHeight="1">
      <c r="H195" s="42">
        <v>90</v>
      </c>
      <c r="I195" s="42">
        <v>110</v>
      </c>
      <c r="J195" s="42">
        <v>68</v>
      </c>
      <c r="K195" s="42">
        <v>34</v>
      </c>
      <c r="L195" s="42">
        <v>27</v>
      </c>
      <c r="M195" s="42">
        <v>21</v>
      </c>
      <c r="N195" s="42">
        <v>96</v>
      </c>
      <c r="P195" s="38" t="s">
        <v>188</v>
      </c>
    </row>
    <row r="196" spans="1:16" ht="21" customHeight="1">
      <c r="H196" s="40"/>
      <c r="I196" s="40"/>
      <c r="J196" s="40"/>
      <c r="K196" s="40"/>
      <c r="L196" s="40"/>
      <c r="M196" s="40"/>
      <c r="N196" s="40"/>
      <c r="O196" s="40"/>
      <c r="P196" s="38" t="s">
        <v>189</v>
      </c>
    </row>
    <row r="197" spans="1:16" ht="21" customHeight="1">
      <c r="A197" s="43"/>
      <c r="B197" s="44"/>
      <c r="C197" s="43"/>
      <c r="D197" s="43"/>
      <c r="E197" s="43"/>
      <c r="F197" s="43"/>
      <c r="G197" s="45"/>
      <c r="H197" s="45"/>
      <c r="I197" s="45"/>
      <c r="J197" s="45"/>
      <c r="K197" s="45"/>
      <c r="L197" s="45"/>
      <c r="M197" s="45"/>
      <c r="N197" s="45"/>
      <c r="O197" s="45"/>
      <c r="P197" s="44" t="s">
        <v>190</v>
      </c>
    </row>
    <row r="198" spans="1:16" ht="21" customHeight="1">
      <c r="A198" s="25" t="s">
        <v>128</v>
      </c>
      <c r="B198" s="46" t="s">
        <v>103</v>
      </c>
      <c r="C198" s="26" t="s">
        <v>55</v>
      </c>
      <c r="D198" s="26" t="s">
        <v>32</v>
      </c>
      <c r="E198" s="47">
        <v>42</v>
      </c>
      <c r="F198" s="47" t="s">
        <v>35</v>
      </c>
      <c r="G198" s="47">
        <v>56</v>
      </c>
      <c r="H198" s="48">
        <v>48</v>
      </c>
      <c r="I198" s="48">
        <v>27</v>
      </c>
      <c r="J198" s="48">
        <v>20</v>
      </c>
      <c r="K198" s="48">
        <v>32</v>
      </c>
      <c r="L198" s="48">
        <v>30</v>
      </c>
      <c r="M198" s="48">
        <v>32</v>
      </c>
      <c r="N198" s="48">
        <v>75</v>
      </c>
      <c r="O198" s="48">
        <v>43</v>
      </c>
      <c r="P198" s="49" t="s">
        <v>187</v>
      </c>
    </row>
    <row r="199" spans="1:16" ht="21" customHeight="1">
      <c r="H199" s="42">
        <v>102</v>
      </c>
      <c r="I199" s="42">
        <v>124</v>
      </c>
      <c r="J199" s="42">
        <v>74</v>
      </c>
      <c r="K199" s="42">
        <v>36</v>
      </c>
      <c r="L199" s="42">
        <v>29</v>
      </c>
      <c r="M199" s="42">
        <v>23</v>
      </c>
      <c r="N199" s="42">
        <v>105</v>
      </c>
      <c r="P199" s="38" t="s">
        <v>188</v>
      </c>
    </row>
    <row r="200" spans="1:16" ht="21" customHeight="1">
      <c r="H200" s="40"/>
      <c r="I200" s="40"/>
      <c r="J200" s="40"/>
      <c r="K200" s="40"/>
      <c r="L200" s="40"/>
      <c r="M200" s="40"/>
      <c r="N200" s="40"/>
      <c r="O200" s="40"/>
      <c r="P200" s="38" t="s">
        <v>189</v>
      </c>
    </row>
    <row r="201" spans="1:16" ht="21" customHeight="1">
      <c r="A201" s="43"/>
      <c r="B201" s="44"/>
      <c r="C201" s="43"/>
      <c r="D201" s="43"/>
      <c r="E201" s="43"/>
      <c r="F201" s="43"/>
      <c r="G201" s="45"/>
      <c r="H201" s="45"/>
      <c r="I201" s="45"/>
      <c r="J201" s="45"/>
      <c r="K201" s="45"/>
      <c r="L201" s="45"/>
      <c r="M201" s="45"/>
      <c r="N201" s="45"/>
      <c r="O201" s="45"/>
      <c r="P201" s="44" t="s">
        <v>190</v>
      </c>
    </row>
    <row r="202" spans="1:16" ht="21" customHeight="1">
      <c r="A202" s="25" t="s">
        <v>145</v>
      </c>
      <c r="B202" s="46" t="s">
        <v>139</v>
      </c>
      <c r="C202" s="26" t="s">
        <v>55</v>
      </c>
      <c r="D202" s="26" t="s">
        <v>32</v>
      </c>
      <c r="E202" s="47">
        <v>41</v>
      </c>
      <c r="F202" s="47" t="s">
        <v>34</v>
      </c>
      <c r="G202" s="47">
        <v>57</v>
      </c>
      <c r="H202" s="48">
        <v>43</v>
      </c>
      <c r="I202" s="48">
        <v>24</v>
      </c>
      <c r="J202" s="48">
        <v>18</v>
      </c>
      <c r="K202" s="48">
        <v>28</v>
      </c>
      <c r="L202" s="48">
        <v>26</v>
      </c>
      <c r="M202" s="48">
        <v>28</v>
      </c>
      <c r="N202" s="48">
        <v>73</v>
      </c>
      <c r="O202" s="48">
        <v>40</v>
      </c>
      <c r="P202" s="49" t="s">
        <v>187</v>
      </c>
    </row>
    <row r="203" spans="1:16" ht="21" customHeight="1">
      <c r="H203" s="42">
        <v>87</v>
      </c>
      <c r="I203" s="42">
        <v>102</v>
      </c>
      <c r="J203" s="42">
        <v>65</v>
      </c>
      <c r="K203" s="42">
        <v>33</v>
      </c>
      <c r="L203" s="42">
        <v>27</v>
      </c>
      <c r="M203" s="42">
        <v>20</v>
      </c>
      <c r="N203" s="42">
        <v>95</v>
      </c>
      <c r="P203" s="38" t="s">
        <v>188</v>
      </c>
    </row>
    <row r="204" spans="1:16" ht="21" customHeight="1">
      <c r="H204" s="40">
        <v>46</v>
      </c>
      <c r="I204" s="40">
        <v>58</v>
      </c>
      <c r="J204" s="40">
        <v>19</v>
      </c>
      <c r="K204" s="40">
        <v>14</v>
      </c>
      <c r="L204" s="40">
        <v>112</v>
      </c>
      <c r="M204" s="40">
        <v>118</v>
      </c>
      <c r="N204" s="40">
        <v>110</v>
      </c>
      <c r="O204" s="40">
        <v>75</v>
      </c>
      <c r="P204" s="38" t="s">
        <v>189</v>
      </c>
    </row>
    <row r="205" spans="1:16" ht="21" customHeight="1">
      <c r="A205" s="43"/>
      <c r="B205" s="44"/>
      <c r="C205" s="43"/>
      <c r="D205" s="43"/>
      <c r="E205" s="43"/>
      <c r="F205" s="43"/>
      <c r="G205" s="45"/>
      <c r="H205" s="45"/>
      <c r="I205" s="45"/>
      <c r="J205" s="45"/>
      <c r="K205" s="45"/>
      <c r="L205" s="45"/>
      <c r="M205" s="45"/>
      <c r="N205" s="45"/>
      <c r="O205" s="45"/>
      <c r="P205" s="44" t="s">
        <v>190</v>
      </c>
    </row>
    <row r="206" spans="1:16" ht="21" customHeight="1">
      <c r="A206" s="25" t="s">
        <v>146</v>
      </c>
      <c r="B206" s="46" t="s">
        <v>140</v>
      </c>
      <c r="C206" s="26" t="s">
        <v>55</v>
      </c>
      <c r="D206" s="26" t="s">
        <v>32</v>
      </c>
      <c r="E206" s="47">
        <v>40</v>
      </c>
      <c r="F206" s="47" t="s">
        <v>34</v>
      </c>
      <c r="G206" s="47">
        <v>59</v>
      </c>
      <c r="H206" s="48">
        <v>43</v>
      </c>
      <c r="I206" s="48">
        <v>22</v>
      </c>
      <c r="J206" s="48">
        <v>17</v>
      </c>
      <c r="K206" s="48">
        <v>28</v>
      </c>
      <c r="L206" s="48">
        <v>26</v>
      </c>
      <c r="M206" s="48">
        <v>28</v>
      </c>
      <c r="N206" s="48">
        <v>767</v>
      </c>
      <c r="O206" s="48">
        <v>41</v>
      </c>
      <c r="P206" s="49" t="s">
        <v>187</v>
      </c>
    </row>
    <row r="207" spans="1:16" ht="21" customHeight="1">
      <c r="H207" s="42">
        <v>88</v>
      </c>
      <c r="I207" s="42">
        <v>104</v>
      </c>
      <c r="J207" s="42">
        <v>70</v>
      </c>
      <c r="K207" s="42">
        <v>34</v>
      </c>
      <c r="L207" s="42">
        <v>26</v>
      </c>
      <c r="M207" s="42">
        <v>20</v>
      </c>
      <c r="N207" s="42">
        <v>90</v>
      </c>
      <c r="P207" s="38" t="s">
        <v>188</v>
      </c>
    </row>
    <row r="208" spans="1:16" ht="21" customHeight="1">
      <c r="H208" s="40">
        <v>46</v>
      </c>
      <c r="I208" s="40">
        <v>54</v>
      </c>
      <c r="J208" s="40">
        <v>19</v>
      </c>
      <c r="K208" s="40">
        <v>14</v>
      </c>
      <c r="L208" s="40">
        <v>102</v>
      </c>
      <c r="M208" s="40">
        <v>98</v>
      </c>
      <c r="N208" s="40">
        <v>109</v>
      </c>
      <c r="O208" s="40">
        <v>69</v>
      </c>
      <c r="P208" s="38" t="s">
        <v>189</v>
      </c>
    </row>
    <row r="209" spans="1:16" ht="21" customHeight="1">
      <c r="A209" s="43"/>
      <c r="B209" s="44"/>
      <c r="C209" s="43"/>
      <c r="D209" s="43"/>
      <c r="E209" s="43"/>
      <c r="F209" s="43"/>
      <c r="G209" s="45"/>
      <c r="H209" s="45"/>
      <c r="I209" s="45"/>
      <c r="J209" s="45"/>
      <c r="K209" s="45"/>
      <c r="L209" s="45"/>
      <c r="M209" s="45"/>
      <c r="N209" s="45"/>
      <c r="O209" s="45"/>
      <c r="P209" s="44" t="s">
        <v>190</v>
      </c>
    </row>
    <row r="210" spans="1:16" ht="21" customHeight="1">
      <c r="A210" s="25" t="s">
        <v>147</v>
      </c>
      <c r="B210" s="46" t="s">
        <v>141</v>
      </c>
      <c r="C210" s="26" t="s">
        <v>55</v>
      </c>
      <c r="D210" s="26" t="s">
        <v>32</v>
      </c>
      <c r="E210" s="47">
        <v>42</v>
      </c>
      <c r="F210" s="47" t="s">
        <v>33</v>
      </c>
      <c r="G210" s="47">
        <v>57</v>
      </c>
      <c r="H210" s="48">
        <v>44</v>
      </c>
      <c r="I210" s="48">
        <v>25</v>
      </c>
      <c r="J210" s="48">
        <v>18</v>
      </c>
      <c r="K210" s="48">
        <v>30</v>
      </c>
      <c r="L210" s="48">
        <v>28</v>
      </c>
      <c r="M210" s="48">
        <v>30</v>
      </c>
      <c r="N210" s="48">
        <v>71</v>
      </c>
      <c r="O210" s="48">
        <v>40</v>
      </c>
      <c r="P210" s="49" t="s">
        <v>187</v>
      </c>
    </row>
    <row r="211" spans="1:16" ht="21" customHeight="1">
      <c r="H211" s="42">
        <v>92</v>
      </c>
      <c r="I211" s="42">
        <v>105</v>
      </c>
      <c r="J211" s="42">
        <v>70</v>
      </c>
      <c r="K211" s="42">
        <v>34</v>
      </c>
      <c r="L211" s="42">
        <v>27</v>
      </c>
      <c r="M211" s="42">
        <v>22</v>
      </c>
      <c r="N211" s="42">
        <v>98</v>
      </c>
      <c r="P211" s="38" t="s">
        <v>188</v>
      </c>
    </row>
    <row r="212" spans="1:16" ht="21" customHeight="1">
      <c r="H212" s="40">
        <v>46</v>
      </c>
      <c r="I212" s="40">
        <v>56</v>
      </c>
      <c r="J212" s="40">
        <v>20</v>
      </c>
      <c r="K212" s="40">
        <v>15</v>
      </c>
      <c r="L212" s="40">
        <v>105</v>
      </c>
      <c r="M212" s="40">
        <v>102</v>
      </c>
      <c r="N212" s="40">
        <v>107</v>
      </c>
      <c r="O212" s="40">
        <v>72</v>
      </c>
      <c r="P212" s="38" t="s">
        <v>189</v>
      </c>
    </row>
    <row r="213" spans="1:16" ht="21" customHeight="1">
      <c r="A213" s="43"/>
      <c r="B213" s="44"/>
      <c r="C213" s="43"/>
      <c r="D213" s="43"/>
      <c r="E213" s="43"/>
      <c r="F213" s="43"/>
      <c r="G213" s="45"/>
      <c r="H213" s="45"/>
      <c r="I213" s="45"/>
      <c r="J213" s="45"/>
      <c r="K213" s="45"/>
      <c r="L213" s="45"/>
      <c r="M213" s="45"/>
      <c r="N213" s="45"/>
      <c r="O213" s="45"/>
      <c r="P213" s="44" t="s">
        <v>190</v>
      </c>
    </row>
    <row r="214" spans="1:16" ht="21" customHeight="1">
      <c r="A214" s="25" t="s">
        <v>148</v>
      </c>
      <c r="B214" s="46" t="s">
        <v>142</v>
      </c>
      <c r="C214" s="26" t="s">
        <v>55</v>
      </c>
      <c r="D214" s="26" t="s">
        <v>32</v>
      </c>
      <c r="E214" s="47">
        <v>44</v>
      </c>
      <c r="F214" s="47" t="s">
        <v>144</v>
      </c>
      <c r="G214" s="47">
        <v>60</v>
      </c>
      <c r="H214" s="48">
        <v>50</v>
      </c>
      <c r="I214" s="48">
        <v>28</v>
      </c>
      <c r="J214" s="48">
        <v>22</v>
      </c>
      <c r="K214" s="48">
        <v>36</v>
      </c>
      <c r="L214" s="48">
        <v>36</v>
      </c>
      <c r="M214" s="48">
        <v>36</v>
      </c>
      <c r="N214" s="48">
        <v>80</v>
      </c>
      <c r="O214" s="48">
        <v>47</v>
      </c>
      <c r="P214" s="49" t="s">
        <v>187</v>
      </c>
    </row>
    <row r="215" spans="1:16" ht="21" customHeight="1">
      <c r="H215" s="42">
        <v>132</v>
      </c>
      <c r="I215" s="42">
        <v>144</v>
      </c>
      <c r="J215" s="42">
        <v>86</v>
      </c>
      <c r="K215" s="42">
        <v>45</v>
      </c>
      <c r="L215" s="42">
        <v>32</v>
      </c>
      <c r="M215" s="42">
        <v>24</v>
      </c>
      <c r="N215" s="42">
        <v>107</v>
      </c>
      <c r="P215" s="38" t="s">
        <v>188</v>
      </c>
    </row>
    <row r="216" spans="1:16" ht="21" customHeight="1">
      <c r="H216" s="40">
        <v>52</v>
      </c>
      <c r="I216" s="40">
        <v>65</v>
      </c>
      <c r="J216" s="40">
        <v>23</v>
      </c>
      <c r="K216" s="40">
        <v>16</v>
      </c>
      <c r="L216" s="40">
        <v>149</v>
      </c>
      <c r="M216" s="40">
        <v>149</v>
      </c>
      <c r="N216" s="40">
        <v>149</v>
      </c>
      <c r="O216" s="40">
        <v>81</v>
      </c>
      <c r="P216" s="38" t="s">
        <v>189</v>
      </c>
    </row>
    <row r="217" spans="1:16" ht="21" customHeight="1">
      <c r="A217" s="43"/>
      <c r="B217" s="44"/>
      <c r="C217" s="43"/>
      <c r="D217" s="43"/>
      <c r="E217" s="43"/>
      <c r="F217" s="43"/>
      <c r="G217" s="45"/>
      <c r="H217" s="45"/>
      <c r="I217" s="45"/>
      <c r="J217" s="45"/>
      <c r="K217" s="45"/>
      <c r="L217" s="45"/>
      <c r="M217" s="45"/>
      <c r="N217" s="45"/>
      <c r="O217" s="45"/>
      <c r="P217" s="44" t="s">
        <v>190</v>
      </c>
    </row>
    <row r="218" spans="1:16" ht="21" customHeight="1">
      <c r="A218" s="25" t="s">
        <v>149</v>
      </c>
      <c r="B218" s="46" t="s">
        <v>143</v>
      </c>
      <c r="C218" s="26" t="s">
        <v>55</v>
      </c>
      <c r="D218" s="26" t="s">
        <v>32</v>
      </c>
      <c r="E218" s="47">
        <v>42</v>
      </c>
      <c r="F218" s="47" t="s">
        <v>34</v>
      </c>
      <c r="G218" s="47">
        <v>54</v>
      </c>
      <c r="H218" s="48">
        <v>43</v>
      </c>
      <c r="I218" s="48">
        <v>24</v>
      </c>
      <c r="J218" s="48">
        <v>18</v>
      </c>
      <c r="K218" s="48">
        <v>28</v>
      </c>
      <c r="L218" s="48">
        <v>26</v>
      </c>
      <c r="M218" s="48">
        <v>28</v>
      </c>
      <c r="N218" s="48">
        <v>73</v>
      </c>
      <c r="O218" s="48">
        <v>41</v>
      </c>
      <c r="P218" s="49" t="s">
        <v>187</v>
      </c>
    </row>
    <row r="219" spans="1:16" ht="21" customHeight="1">
      <c r="H219" s="42">
        <v>87</v>
      </c>
      <c r="I219" s="42">
        <v>100</v>
      </c>
      <c r="J219" s="42">
        <v>66</v>
      </c>
      <c r="K219" s="42">
        <v>33</v>
      </c>
      <c r="L219" s="42">
        <v>26</v>
      </c>
      <c r="M219" s="42">
        <v>20</v>
      </c>
      <c r="N219" s="42">
        <v>92</v>
      </c>
      <c r="P219" s="38" t="s">
        <v>188</v>
      </c>
    </row>
    <row r="220" spans="1:16" ht="21" customHeight="1">
      <c r="H220" s="40">
        <v>46</v>
      </c>
      <c r="I220" s="40">
        <v>58</v>
      </c>
      <c r="J220" s="40">
        <v>19</v>
      </c>
      <c r="K220" s="40">
        <v>14</v>
      </c>
      <c r="L220" s="40">
        <v>114</v>
      </c>
      <c r="M220" s="40">
        <v>108</v>
      </c>
      <c r="N220" s="40">
        <v>110</v>
      </c>
      <c r="O220" s="40">
        <v>75</v>
      </c>
      <c r="P220" s="38" t="s">
        <v>189</v>
      </c>
    </row>
    <row r="221" spans="1:16" ht="21" customHeight="1">
      <c r="A221" s="43"/>
      <c r="B221" s="44"/>
      <c r="C221" s="43"/>
      <c r="D221" s="43"/>
      <c r="E221" s="43"/>
      <c r="F221" s="43"/>
      <c r="G221" s="45"/>
      <c r="H221" s="45"/>
      <c r="I221" s="45"/>
      <c r="J221" s="45"/>
      <c r="K221" s="45"/>
      <c r="L221" s="45"/>
      <c r="M221" s="45"/>
      <c r="N221" s="45"/>
      <c r="O221" s="45"/>
      <c r="P221" s="44" t="s">
        <v>190</v>
      </c>
    </row>
    <row r="222" spans="1:16" ht="21" customHeight="1">
      <c r="A222" s="25" t="s">
        <v>178</v>
      </c>
      <c r="B222" s="46" t="s">
        <v>163</v>
      </c>
      <c r="C222" s="26" t="s">
        <v>55</v>
      </c>
      <c r="D222" s="26" t="s">
        <v>32</v>
      </c>
      <c r="E222" s="47">
        <v>41</v>
      </c>
      <c r="F222" s="47" t="s">
        <v>34</v>
      </c>
      <c r="G222" s="47">
        <v>55</v>
      </c>
      <c r="H222" s="48">
        <v>43</v>
      </c>
      <c r="I222" s="48">
        <v>24</v>
      </c>
      <c r="J222" s="48">
        <v>19</v>
      </c>
      <c r="K222" s="48">
        <v>29</v>
      </c>
      <c r="L222" s="48">
        <v>27</v>
      </c>
      <c r="M222" s="48">
        <v>29</v>
      </c>
      <c r="N222" s="48">
        <v>68</v>
      </c>
      <c r="O222" s="48">
        <v>38</v>
      </c>
      <c r="P222" s="49" t="s">
        <v>187</v>
      </c>
    </row>
    <row r="223" spans="1:16" ht="21" customHeight="1">
      <c r="H223" s="42">
        <v>94</v>
      </c>
      <c r="I223" s="42">
        <v>110</v>
      </c>
      <c r="J223" s="42">
        <v>70</v>
      </c>
      <c r="K223" s="42">
        <v>35</v>
      </c>
      <c r="L223" s="42">
        <v>26</v>
      </c>
      <c r="M223" s="42">
        <v>20</v>
      </c>
      <c r="N223" s="42">
        <v>94</v>
      </c>
      <c r="P223" s="38" t="s">
        <v>188</v>
      </c>
    </row>
    <row r="224" spans="1:16" ht="21" customHeight="1">
      <c r="H224" s="40">
        <v>46</v>
      </c>
      <c r="I224" s="40">
        <v>57</v>
      </c>
      <c r="J224" s="40">
        <v>20</v>
      </c>
      <c r="K224" s="40">
        <v>15</v>
      </c>
      <c r="L224" s="40">
        <v>108</v>
      </c>
      <c r="M224" s="40">
        <v>104</v>
      </c>
      <c r="N224" s="40">
        <v>113</v>
      </c>
      <c r="O224" s="40">
        <v>70</v>
      </c>
      <c r="P224" s="38" t="s">
        <v>189</v>
      </c>
    </row>
    <row r="225" spans="1:16" ht="21" customHeight="1">
      <c r="A225" s="43"/>
      <c r="B225" s="44"/>
      <c r="C225" s="43"/>
      <c r="D225" s="43"/>
      <c r="E225" s="43"/>
      <c r="F225" s="43"/>
      <c r="G225" s="45"/>
      <c r="H225" s="45"/>
      <c r="I225" s="45"/>
      <c r="J225" s="45"/>
      <c r="K225" s="45"/>
      <c r="L225" s="45"/>
      <c r="M225" s="45"/>
      <c r="N225" s="45"/>
      <c r="O225" s="45"/>
      <c r="P225" s="44" t="s">
        <v>190</v>
      </c>
    </row>
    <row r="226" spans="1:16" ht="21" customHeight="1">
      <c r="A226" s="25" t="s">
        <v>179</v>
      </c>
      <c r="B226" s="46" t="s">
        <v>164</v>
      </c>
      <c r="C226" s="26" t="s">
        <v>55</v>
      </c>
      <c r="D226" s="26" t="s">
        <v>32</v>
      </c>
      <c r="E226" s="47">
        <v>41</v>
      </c>
      <c r="F226" s="47" t="s">
        <v>36</v>
      </c>
      <c r="G226" s="47">
        <v>56</v>
      </c>
      <c r="H226" s="48">
        <v>42</v>
      </c>
      <c r="I226" s="48">
        <v>24</v>
      </c>
      <c r="J226" s="48">
        <v>17</v>
      </c>
      <c r="K226" s="48">
        <v>27</v>
      </c>
      <c r="L226" s="48">
        <v>25</v>
      </c>
      <c r="M226" s="48">
        <v>27</v>
      </c>
      <c r="N226" s="48">
        <v>70</v>
      </c>
      <c r="O226" s="48">
        <v>39</v>
      </c>
      <c r="P226" s="49" t="s">
        <v>187</v>
      </c>
    </row>
    <row r="227" spans="1:16" ht="21" customHeight="1">
      <c r="H227" s="42">
        <v>84</v>
      </c>
      <c r="I227" s="42">
        <v>98</v>
      </c>
      <c r="J227" s="42">
        <v>64</v>
      </c>
      <c r="K227" s="42">
        <v>32</v>
      </c>
      <c r="L227" s="42">
        <v>26</v>
      </c>
      <c r="M227" s="42">
        <v>19</v>
      </c>
      <c r="N227" s="42">
        <v>95</v>
      </c>
      <c r="P227" s="38" t="s">
        <v>188</v>
      </c>
    </row>
    <row r="228" spans="1:16" ht="21" customHeight="1">
      <c r="H228" s="40">
        <v>45</v>
      </c>
      <c r="I228" s="40">
        <v>60</v>
      </c>
      <c r="J228" s="40">
        <v>19</v>
      </c>
      <c r="K228" s="40">
        <v>14</v>
      </c>
      <c r="L228" s="40">
        <v>106</v>
      </c>
      <c r="M228" s="40">
        <v>92</v>
      </c>
      <c r="N228" s="40">
        <v>106</v>
      </c>
      <c r="O228" s="40">
        <v>72</v>
      </c>
      <c r="P228" s="38" t="s">
        <v>189</v>
      </c>
    </row>
    <row r="229" spans="1:16" ht="21" customHeight="1">
      <c r="A229" s="43"/>
      <c r="B229" s="44"/>
      <c r="C229" s="43"/>
      <c r="D229" s="43"/>
      <c r="E229" s="43"/>
      <c r="F229" s="43"/>
      <c r="G229" s="45"/>
      <c r="H229" s="45"/>
      <c r="I229" s="45"/>
      <c r="J229" s="45"/>
      <c r="K229" s="45"/>
      <c r="L229" s="45"/>
      <c r="M229" s="45"/>
      <c r="N229" s="45"/>
      <c r="O229" s="45"/>
      <c r="P229" s="44" t="s">
        <v>190</v>
      </c>
    </row>
  </sheetData>
  <phoneticPr fontId="7" type="noConversion"/>
  <pageMargins left="0.7" right="0.7" top="0.36" bottom="0.21" header="0.3" footer="0.12"/>
  <pageSetup paperSize="9" scale="9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K83"/>
  <sheetViews>
    <sheetView zoomScaleNormal="100" workbookViewId="0">
      <selection activeCell="K9" sqref="K9"/>
    </sheetView>
  </sheetViews>
  <sheetFormatPr defaultColWidth="8.5703125" defaultRowHeight="15"/>
  <cols>
    <col min="10" max="10" width="10.42578125" style="1" customWidth="1"/>
  </cols>
  <sheetData>
    <row r="1" spans="1:11">
      <c r="J1" s="5"/>
    </row>
    <row r="2" spans="1:11">
      <c r="A2" t="s">
        <v>37</v>
      </c>
      <c r="F2" t="s">
        <v>38</v>
      </c>
      <c r="J2" s="1" t="s">
        <v>39</v>
      </c>
    </row>
    <row r="3" spans="1:11">
      <c r="A3" t="s">
        <v>40</v>
      </c>
      <c r="B3" t="s">
        <v>41</v>
      </c>
      <c r="F3" t="s">
        <v>42</v>
      </c>
      <c r="G3" t="s">
        <v>41</v>
      </c>
      <c r="H3" t="s">
        <v>43</v>
      </c>
      <c r="J3" s="1" t="s">
        <v>42</v>
      </c>
      <c r="K3" t="s">
        <v>41</v>
      </c>
    </row>
    <row r="4" spans="1:11" ht="15.75">
      <c r="A4" s="16" t="s">
        <v>33</v>
      </c>
      <c r="B4">
        <f>COUNTIF(SEMUA!$H$2:$H$131,Sheet1!A4)</f>
        <v>0</v>
      </c>
      <c r="C4">
        <v>15</v>
      </c>
      <c r="F4" s="16">
        <v>39</v>
      </c>
      <c r="G4">
        <f>COUNTIF(SEMUA!$F$2:$F$113,F4)</f>
        <v>1</v>
      </c>
      <c r="J4" s="16">
        <v>53</v>
      </c>
      <c r="K4">
        <f>COUNTIF(SEMUA!$H$2:$H$113,J4)</f>
        <v>1</v>
      </c>
    </row>
    <row r="5" spans="1:11" ht="15.75">
      <c r="A5" s="16" t="s">
        <v>34</v>
      </c>
      <c r="B5">
        <f>COUNTIF(SEMUA!$H$2:$H$131,Sheet1!A5)</f>
        <v>0</v>
      </c>
      <c r="C5">
        <v>50</v>
      </c>
      <c r="F5" s="16">
        <v>40</v>
      </c>
      <c r="G5">
        <f>COUNTIF(SEMUA!$F$2:$F$113,F5)</f>
        <v>16</v>
      </c>
      <c r="J5" s="16">
        <v>54</v>
      </c>
      <c r="K5">
        <f>COUNTIF(SEMUA!$H$2:$H$113,J5)</f>
        <v>3</v>
      </c>
    </row>
    <row r="6" spans="1:11" ht="15.75">
      <c r="A6" s="16" t="s">
        <v>35</v>
      </c>
      <c r="B6">
        <f>COUNTIF(SEMUA!$H$2:$H$131,Sheet1!A6)</f>
        <v>0</v>
      </c>
      <c r="C6">
        <v>10</v>
      </c>
      <c r="F6" s="16">
        <v>41</v>
      </c>
      <c r="G6">
        <f>COUNTIF(SEMUA!$F$2:$F$113,F6)</f>
        <v>18</v>
      </c>
      <c r="J6" s="16">
        <v>55</v>
      </c>
      <c r="K6">
        <f>COUNTIF(SEMUA!$H$2:$H$113,J6)</f>
        <v>13</v>
      </c>
    </row>
    <row r="7" spans="1:11" ht="15.75">
      <c r="A7" s="16" t="s">
        <v>36</v>
      </c>
      <c r="B7">
        <f>COUNTIF(SEMUA!$H$2:$H$131,Sheet1!A7)</f>
        <v>0</v>
      </c>
      <c r="C7">
        <v>15</v>
      </c>
      <c r="F7" s="16">
        <v>42</v>
      </c>
      <c r="G7">
        <f>COUNTIF(SEMUA!$F$2:$F$113,F7)</f>
        <v>18</v>
      </c>
      <c r="J7" s="16">
        <v>56</v>
      </c>
      <c r="K7">
        <f>COUNTIF(SEMUA!$H$2:$H$113,J7)</f>
        <v>14</v>
      </c>
    </row>
    <row r="8" spans="1:11" ht="15.75">
      <c r="A8" s="17" t="s">
        <v>44</v>
      </c>
      <c r="B8" s="18">
        <f>SUM(B4:B7)</f>
        <v>0</v>
      </c>
      <c r="C8" s="18">
        <f>SUM(C4:C7)</f>
        <v>90</v>
      </c>
      <c r="F8" s="16">
        <v>43</v>
      </c>
      <c r="G8">
        <f>COUNTIF(SEMUA!$F$2:$F$113,F8)</f>
        <v>11</v>
      </c>
      <c r="J8" s="16">
        <v>57</v>
      </c>
      <c r="K8">
        <f>COUNTIF(SEMUA!$H$2:$H$113,J8)</f>
        <v>17</v>
      </c>
    </row>
    <row r="9" spans="1:11" ht="15.75">
      <c r="F9" s="16">
        <v>44</v>
      </c>
      <c r="G9">
        <f>COUNTIF(SEMUA!$F$2:$F$113,F9)</f>
        <v>3</v>
      </c>
      <c r="J9" s="16">
        <v>58</v>
      </c>
      <c r="K9">
        <f>COUNTIF(SEMUA!$H$2:$H$113,J9)</f>
        <v>10</v>
      </c>
    </row>
    <row r="10" spans="1:11" ht="15.75">
      <c r="F10" s="16">
        <v>45</v>
      </c>
      <c r="G10">
        <f>COUNTIF(SEMUA!$F$2:$F$113,F10)</f>
        <v>0</v>
      </c>
      <c r="J10" s="16">
        <v>59</v>
      </c>
      <c r="K10">
        <f>COUNTIF(SEMUA!$H$2:$H$113,J10)</f>
        <v>5</v>
      </c>
    </row>
    <row r="11" spans="1:11" ht="15.75">
      <c r="F11" s="16">
        <v>46</v>
      </c>
      <c r="G11">
        <f>COUNTIF(SEMUA!$F$2:$F$113,F11)</f>
        <v>0</v>
      </c>
      <c r="J11" s="16">
        <v>60</v>
      </c>
      <c r="K11">
        <f>COUNTIF(SEMUA!$H$2:$H$113,J11)</f>
        <v>3</v>
      </c>
    </row>
    <row r="12" spans="1:11" ht="15.75">
      <c r="F12" s="16"/>
      <c r="G12">
        <f>SUM(G4:G11)</f>
        <v>67</v>
      </c>
      <c r="K12">
        <f>SUM(K4:K11)</f>
        <v>66</v>
      </c>
    </row>
    <row r="14" spans="1:11" ht="15.75">
      <c r="F14" s="16"/>
    </row>
    <row r="15" spans="1:11" ht="15.75">
      <c r="F15" s="16"/>
    </row>
    <row r="16" spans="1:11" ht="15.75">
      <c r="F16" s="16"/>
    </row>
    <row r="17" spans="6:6" ht="15.75">
      <c r="F17" s="16"/>
    </row>
    <row r="18" spans="6:6" ht="15.75">
      <c r="F18" s="16"/>
    </row>
    <row r="19" spans="6:6" ht="15.75">
      <c r="F19" s="16"/>
    </row>
    <row r="20" spans="6:6" ht="15.75">
      <c r="F20" s="16"/>
    </row>
    <row r="21" spans="6:6" ht="15.75">
      <c r="F21" s="16"/>
    </row>
    <row r="22" spans="6:6" ht="15.75">
      <c r="F22" s="16"/>
    </row>
    <row r="23" spans="6:6" ht="15.75">
      <c r="F23" s="16"/>
    </row>
    <row r="24" spans="6:6" ht="15.75">
      <c r="F24" s="16"/>
    </row>
    <row r="25" spans="6:6" ht="15.75">
      <c r="F25" s="16"/>
    </row>
    <row r="26" spans="6:6" ht="15.75">
      <c r="F26" s="16"/>
    </row>
    <row r="27" spans="6:6" ht="15.75">
      <c r="F27" s="16"/>
    </row>
    <row r="28" spans="6:6" ht="15.75">
      <c r="F28" s="16"/>
    </row>
    <row r="29" spans="6:6" ht="15.75">
      <c r="F29" s="16"/>
    </row>
    <row r="30" spans="6:6" ht="15.75">
      <c r="F30" s="16"/>
    </row>
    <row r="31" spans="6:6" ht="15.75">
      <c r="F31" s="16"/>
    </row>
    <row r="32" spans="6:6" ht="15.75">
      <c r="F32" s="16"/>
    </row>
    <row r="33" spans="6:6" ht="15.75">
      <c r="F33" s="16"/>
    </row>
    <row r="34" spans="6:6" ht="15.75">
      <c r="F34" s="16"/>
    </row>
    <row r="35" spans="6:6" ht="15.75">
      <c r="F35" s="16"/>
    </row>
    <row r="36" spans="6:6" ht="15.75">
      <c r="F36" s="16"/>
    </row>
    <row r="37" spans="6:6" ht="15.75">
      <c r="F37" s="16"/>
    </row>
    <row r="38" spans="6:6" ht="15.75">
      <c r="F38" s="16"/>
    </row>
    <row r="39" spans="6:6" ht="15.75">
      <c r="F39" s="16"/>
    </row>
    <row r="40" spans="6:6" ht="15.75">
      <c r="F40" s="16"/>
    </row>
    <row r="41" spans="6:6" ht="15.75">
      <c r="F41" s="16"/>
    </row>
    <row r="42" spans="6:6" ht="15.75">
      <c r="F42" s="16"/>
    </row>
    <row r="43" spans="6:6" ht="15.75">
      <c r="F43" s="16"/>
    </row>
    <row r="44" spans="6:6" ht="15.75">
      <c r="F44" s="16"/>
    </row>
    <row r="45" spans="6:6" ht="15.75">
      <c r="F45" s="16"/>
    </row>
    <row r="46" spans="6:6" ht="15.75">
      <c r="F46" s="16"/>
    </row>
    <row r="47" spans="6:6" ht="15.75">
      <c r="F47" s="16"/>
    </row>
    <row r="48" spans="6:6" ht="15.75">
      <c r="F48" s="16"/>
    </row>
    <row r="49" spans="6:6" ht="15.75">
      <c r="F49" s="16"/>
    </row>
    <row r="50" spans="6:6" ht="15.75">
      <c r="F50" s="16"/>
    </row>
    <row r="51" spans="6:6" ht="15.75">
      <c r="F51" s="16"/>
    </row>
    <row r="52" spans="6:6" ht="15.75">
      <c r="F52" s="16"/>
    </row>
    <row r="53" spans="6:6" ht="15.75">
      <c r="F53" s="16"/>
    </row>
    <row r="54" spans="6:6" ht="15.75">
      <c r="F54" s="16"/>
    </row>
    <row r="55" spans="6:6" ht="15.75">
      <c r="F55" s="16"/>
    </row>
    <row r="56" spans="6:6" ht="15.75">
      <c r="F56" s="16"/>
    </row>
    <row r="57" spans="6:6" ht="15.75">
      <c r="F57" s="16"/>
    </row>
    <row r="58" spans="6:6" ht="15.75">
      <c r="F58" s="16"/>
    </row>
    <row r="59" spans="6:6" ht="15.75">
      <c r="F59" s="16"/>
    </row>
    <row r="60" spans="6:6" ht="15.75">
      <c r="F60" s="16"/>
    </row>
    <row r="61" spans="6:6" ht="15.75">
      <c r="F61" s="16"/>
    </row>
    <row r="62" spans="6:6" ht="15.75">
      <c r="F62" s="16"/>
    </row>
    <row r="63" spans="6:6" ht="15.75">
      <c r="F63" s="16"/>
    </row>
    <row r="64" spans="6:6" ht="15.75">
      <c r="F64" s="16"/>
    </row>
    <row r="65" spans="6:6" ht="15.75">
      <c r="F65" s="16"/>
    </row>
    <row r="66" spans="6:6" ht="15.75">
      <c r="F66" s="16"/>
    </row>
    <row r="67" spans="6:6" ht="15.75">
      <c r="F67" s="16"/>
    </row>
    <row r="68" spans="6:6" ht="15.75">
      <c r="F68" s="16"/>
    </row>
    <row r="69" spans="6:6" ht="15.75">
      <c r="F69" s="16"/>
    </row>
    <row r="70" spans="6:6" ht="15.75">
      <c r="F70" s="16"/>
    </row>
    <row r="71" spans="6:6" ht="15.75">
      <c r="F71" s="16"/>
    </row>
    <row r="72" spans="6:6" ht="15.75">
      <c r="F72" s="16"/>
    </row>
    <row r="73" spans="6:6" ht="15.75">
      <c r="F73" s="16"/>
    </row>
    <row r="74" spans="6:6" ht="15.75">
      <c r="F74" s="16"/>
    </row>
    <row r="75" spans="6:6" ht="15.75">
      <c r="F75" s="16"/>
    </row>
    <row r="76" spans="6:6" ht="15.75">
      <c r="F76" s="16"/>
    </row>
    <row r="77" spans="6:6" ht="15.75">
      <c r="F77" s="16"/>
    </row>
    <row r="78" spans="6:6" ht="15.75">
      <c r="F78" s="16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E75F-E96C-4463-8745-7A19BB9FA112}">
  <sheetPr codeName="Sheet7">
    <tabColor rgb="FF70AD47"/>
  </sheetPr>
  <dimension ref="A1:AMK347"/>
  <sheetViews>
    <sheetView zoomScale="85" zoomScaleNormal="85" workbookViewId="0">
      <selection activeCell="O33" sqref="O33"/>
    </sheetView>
  </sheetViews>
  <sheetFormatPr defaultColWidth="8.85546875" defaultRowHeight="26.25" customHeight="1"/>
  <cols>
    <col min="1" max="1" width="5.42578125" style="1" bestFit="1" customWidth="1"/>
    <col min="2" max="2" width="31" style="2" bestFit="1" customWidth="1"/>
    <col min="3" max="3" width="16" style="1" bestFit="1" customWidth="1"/>
    <col min="4" max="4" width="10" style="1" bestFit="1" customWidth="1"/>
    <col min="5" max="5" width="7" style="1" customWidth="1"/>
    <col min="6" max="6" width="7.28515625" style="1" bestFit="1" customWidth="1"/>
    <col min="7" max="7" width="5.85546875" style="3" bestFit="1" customWidth="1"/>
    <col min="8" max="8" width="5.140625" style="3" bestFit="1" customWidth="1"/>
    <col min="9" max="12" width="5" style="3" bestFit="1" customWidth="1"/>
    <col min="13" max="14" width="5.140625" style="3" bestFit="1" customWidth="1"/>
    <col min="15" max="15" width="5" style="3" bestFit="1" customWidth="1"/>
  </cols>
  <sheetData>
    <row r="1" spans="1:1025" ht="26.2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6</v>
      </c>
      <c r="G1" s="24" t="s">
        <v>5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025" s="2" customFormat="1" ht="26.25" customHeight="1">
      <c r="A2" s="25" t="s">
        <v>134</v>
      </c>
      <c r="B2" s="25" t="s">
        <v>129</v>
      </c>
      <c r="C2" s="26" t="s">
        <v>46</v>
      </c>
      <c r="D2" s="26" t="s">
        <v>32</v>
      </c>
      <c r="E2" s="26">
        <v>40</v>
      </c>
      <c r="F2" s="26" t="s">
        <v>34</v>
      </c>
      <c r="G2" s="26">
        <v>55</v>
      </c>
      <c r="H2" s="36">
        <v>42</v>
      </c>
      <c r="I2" s="36">
        <v>25</v>
      </c>
      <c r="J2" s="36">
        <v>18</v>
      </c>
      <c r="K2" s="36">
        <v>28</v>
      </c>
      <c r="L2" s="36">
        <v>26</v>
      </c>
      <c r="M2" s="36">
        <v>28</v>
      </c>
      <c r="N2" s="36">
        <v>69</v>
      </c>
      <c r="O2" s="36">
        <v>41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</row>
    <row r="3" spans="1:1025" s="1" customFormat="1" ht="26.25" customHeight="1">
      <c r="A3" s="15"/>
      <c r="B3" s="21"/>
      <c r="C3" s="15"/>
      <c r="D3" s="15"/>
      <c r="E3" s="15"/>
      <c r="F3" s="15"/>
      <c r="G3" s="35">
        <v>91</v>
      </c>
      <c r="H3" s="35">
        <v>108</v>
      </c>
      <c r="I3" s="35">
        <v>66</v>
      </c>
      <c r="J3" s="35">
        <v>34</v>
      </c>
      <c r="K3" s="35">
        <v>26</v>
      </c>
      <c r="L3" s="35">
        <v>19</v>
      </c>
      <c r="M3" s="35">
        <v>95</v>
      </c>
      <c r="N3" s="22"/>
      <c r="O3" s="2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</row>
    <row r="4" spans="1:1025" s="1" customFormat="1" ht="26.25" customHeight="1">
      <c r="A4" s="25" t="s">
        <v>135</v>
      </c>
      <c r="B4" s="25" t="s">
        <v>130</v>
      </c>
      <c r="C4" s="26" t="s">
        <v>46</v>
      </c>
      <c r="D4" s="26" t="s">
        <v>32</v>
      </c>
      <c r="E4" s="26">
        <v>41</v>
      </c>
      <c r="F4" s="26" t="s">
        <v>33</v>
      </c>
      <c r="G4" s="26">
        <v>53</v>
      </c>
      <c r="H4" s="36">
        <v>45</v>
      </c>
      <c r="I4" s="36">
        <v>23</v>
      </c>
      <c r="J4" s="36">
        <v>18</v>
      </c>
      <c r="K4" s="36">
        <v>30</v>
      </c>
      <c r="L4" s="36">
        <v>30</v>
      </c>
      <c r="M4" s="36">
        <v>30</v>
      </c>
      <c r="N4" s="36">
        <v>70</v>
      </c>
      <c r="O4" s="36">
        <v>43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</row>
    <row r="5" spans="1:1025" s="1" customFormat="1" ht="26.25" customHeight="1">
      <c r="A5" s="15"/>
      <c r="B5" s="21"/>
      <c r="C5" s="15"/>
      <c r="D5" s="15"/>
      <c r="E5" s="15"/>
      <c r="F5" s="15"/>
      <c r="G5" s="35">
        <v>95</v>
      </c>
      <c r="H5" s="35">
        <v>114</v>
      </c>
      <c r="I5" s="35">
        <v>72</v>
      </c>
      <c r="J5" s="35">
        <v>34</v>
      </c>
      <c r="K5" s="35">
        <v>27</v>
      </c>
      <c r="L5" s="35">
        <v>22</v>
      </c>
      <c r="M5" s="35">
        <v>95</v>
      </c>
      <c r="N5" s="22"/>
      <c r="O5" s="2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</row>
    <row r="6" spans="1:1025" s="1" customFormat="1" ht="26.25" customHeight="1">
      <c r="A6" s="25" t="s">
        <v>136</v>
      </c>
      <c r="B6" s="25" t="s">
        <v>131</v>
      </c>
      <c r="C6" s="26" t="s">
        <v>46</v>
      </c>
      <c r="D6" s="26" t="s">
        <v>32</v>
      </c>
      <c r="E6" s="26">
        <v>43</v>
      </c>
      <c r="F6" s="26" t="s">
        <v>33</v>
      </c>
      <c r="G6" s="26">
        <v>54</v>
      </c>
      <c r="H6" s="36">
        <v>46</v>
      </c>
      <c r="I6" s="36">
        <v>26</v>
      </c>
      <c r="J6" s="36">
        <v>20</v>
      </c>
      <c r="K6" s="36">
        <v>32</v>
      </c>
      <c r="L6" s="36">
        <v>31</v>
      </c>
      <c r="M6" s="36">
        <v>32</v>
      </c>
      <c r="N6" s="36">
        <v>75</v>
      </c>
      <c r="O6" s="36">
        <v>43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</row>
    <row r="7" spans="1:1025" s="1" customFormat="1" ht="26.25" customHeight="1">
      <c r="A7" s="15"/>
      <c r="B7" s="21"/>
      <c r="C7" s="15"/>
      <c r="D7" s="15"/>
      <c r="E7" s="15"/>
      <c r="F7" s="15"/>
      <c r="G7" s="35">
        <v>100</v>
      </c>
      <c r="H7" s="35">
        <v>112</v>
      </c>
      <c r="I7" s="35">
        <v>76</v>
      </c>
      <c r="J7" s="35">
        <v>37</v>
      </c>
      <c r="K7" s="35">
        <v>28</v>
      </c>
      <c r="L7" s="35">
        <v>22</v>
      </c>
      <c r="M7" s="35">
        <v>102</v>
      </c>
      <c r="N7" s="22"/>
      <c r="O7" s="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</row>
    <row r="8" spans="1:1025" s="1" customFormat="1" ht="26.25" customHeight="1">
      <c r="A8" s="25" t="s">
        <v>137</v>
      </c>
      <c r="B8" s="25" t="s">
        <v>132</v>
      </c>
      <c r="C8" s="26" t="s">
        <v>46</v>
      </c>
      <c r="D8" s="26" t="s">
        <v>32</v>
      </c>
      <c r="E8" s="26">
        <v>43</v>
      </c>
      <c r="F8" s="26" t="s">
        <v>34</v>
      </c>
      <c r="G8" s="26">
        <v>59</v>
      </c>
      <c r="H8" s="36">
        <v>48</v>
      </c>
      <c r="I8" s="36">
        <v>26</v>
      </c>
      <c r="J8" s="36">
        <v>20</v>
      </c>
      <c r="K8" s="36">
        <v>31</v>
      </c>
      <c r="L8" s="36">
        <v>31</v>
      </c>
      <c r="M8" s="36">
        <v>31</v>
      </c>
      <c r="N8" s="36">
        <v>75</v>
      </c>
      <c r="O8" s="36">
        <v>46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</row>
    <row r="9" spans="1:1025" s="1" customFormat="1" ht="26.25" customHeight="1">
      <c r="A9" s="15"/>
      <c r="B9" s="21"/>
      <c r="C9" s="15"/>
      <c r="D9" s="15"/>
      <c r="E9" s="15"/>
      <c r="F9" s="15"/>
      <c r="G9" s="35">
        <v>98</v>
      </c>
      <c r="H9" s="35">
        <v>120</v>
      </c>
      <c r="I9" s="35">
        <v>68</v>
      </c>
      <c r="J9" s="35">
        <v>36</v>
      </c>
      <c r="K9" s="35">
        <v>27</v>
      </c>
      <c r="L9" s="35">
        <v>22</v>
      </c>
      <c r="M9" s="35">
        <v>99</v>
      </c>
      <c r="N9" s="22"/>
      <c r="O9" s="2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</row>
    <row r="10" spans="1:1025" s="1" customFormat="1" ht="26.25" customHeight="1">
      <c r="A10" s="25" t="s">
        <v>138</v>
      </c>
      <c r="B10" s="25" t="s">
        <v>133</v>
      </c>
      <c r="C10" s="26" t="s">
        <v>46</v>
      </c>
      <c r="D10" s="26" t="s">
        <v>32</v>
      </c>
      <c r="E10" s="26">
        <v>40</v>
      </c>
      <c r="F10" s="26" t="s">
        <v>36</v>
      </c>
      <c r="G10" s="26">
        <v>57</v>
      </c>
      <c r="H10" s="36">
        <v>39</v>
      </c>
      <c r="I10" s="36">
        <v>25</v>
      </c>
      <c r="J10" s="36">
        <v>16</v>
      </c>
      <c r="K10" s="36">
        <v>26</v>
      </c>
      <c r="L10" s="36">
        <v>24</v>
      </c>
      <c r="M10" s="36">
        <v>26</v>
      </c>
      <c r="N10" s="36">
        <v>66</v>
      </c>
      <c r="O10" s="36">
        <v>37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</row>
    <row r="11" spans="1:1025" s="1" customFormat="1" ht="26.25" customHeight="1">
      <c r="A11" s="15"/>
      <c r="B11" s="21"/>
      <c r="C11" s="15"/>
      <c r="D11" s="15"/>
      <c r="E11" s="15"/>
      <c r="F11" s="15"/>
      <c r="G11" s="35">
        <v>74</v>
      </c>
      <c r="H11" s="35">
        <v>90</v>
      </c>
      <c r="I11" s="35">
        <v>60</v>
      </c>
      <c r="J11" s="35">
        <v>29</v>
      </c>
      <c r="K11" s="35">
        <v>23</v>
      </c>
      <c r="L11" s="35">
        <v>19</v>
      </c>
      <c r="M11" s="35">
        <v>97</v>
      </c>
      <c r="N11" s="22"/>
      <c r="O11" s="2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</row>
    <row r="12" spans="1:1025" s="1" customFormat="1" ht="26.25" customHeight="1">
      <c r="A12" s="25" t="s">
        <v>150</v>
      </c>
      <c r="B12" s="25" t="s">
        <v>151</v>
      </c>
      <c r="C12" s="26" t="s">
        <v>46</v>
      </c>
      <c r="D12" s="26" t="s">
        <v>32</v>
      </c>
      <c r="E12" s="26">
        <v>40</v>
      </c>
      <c r="F12" s="26" t="s">
        <v>36</v>
      </c>
      <c r="G12" s="26">
        <v>58</v>
      </c>
      <c r="H12" s="36">
        <v>47</v>
      </c>
      <c r="I12" s="36">
        <v>22</v>
      </c>
      <c r="J12" s="36">
        <v>19</v>
      </c>
      <c r="K12" s="36">
        <v>29</v>
      </c>
      <c r="L12" s="36">
        <v>29</v>
      </c>
      <c r="M12" s="36">
        <v>29</v>
      </c>
      <c r="N12" s="36">
        <v>67</v>
      </c>
      <c r="O12" s="36">
        <v>40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</row>
    <row r="13" spans="1:1025" s="1" customFormat="1" ht="26.25" customHeight="1">
      <c r="A13" s="15"/>
      <c r="B13" s="21"/>
      <c r="C13" s="15"/>
      <c r="D13" s="15"/>
      <c r="E13" s="15"/>
      <c r="F13" s="15"/>
      <c r="G13" s="35">
        <v>94</v>
      </c>
      <c r="H13" s="35">
        <v>102</v>
      </c>
      <c r="I13" s="35">
        <v>65</v>
      </c>
      <c r="J13" s="35">
        <v>30</v>
      </c>
      <c r="K13" s="35">
        <v>25</v>
      </c>
      <c r="L13" s="35">
        <v>20</v>
      </c>
      <c r="M13" s="35">
        <v>86</v>
      </c>
      <c r="N13" s="22"/>
      <c r="O13" s="2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</row>
    <row r="14" spans="1:1025" s="2" customFormat="1" ht="26.25" customHeight="1">
      <c r="A14" s="25" t="s">
        <v>152</v>
      </c>
      <c r="B14" s="25" t="s">
        <v>153</v>
      </c>
      <c r="C14" s="26" t="s">
        <v>46</v>
      </c>
      <c r="D14" s="26" t="s">
        <v>32</v>
      </c>
      <c r="E14" s="26">
        <v>41</v>
      </c>
      <c r="F14" s="26" t="s">
        <v>36</v>
      </c>
      <c r="G14" s="26">
        <v>59</v>
      </c>
      <c r="H14" s="36">
        <v>41</v>
      </c>
      <c r="I14" s="36">
        <v>24</v>
      </c>
      <c r="J14" s="36">
        <v>17</v>
      </c>
      <c r="K14" s="36">
        <v>27</v>
      </c>
      <c r="L14" s="36">
        <v>26</v>
      </c>
      <c r="M14" s="36">
        <v>27</v>
      </c>
      <c r="N14" s="36">
        <v>70</v>
      </c>
      <c r="O14" s="36">
        <v>38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</row>
    <row r="15" spans="1:1025" s="2" customFormat="1" ht="26.25" customHeight="1">
      <c r="A15" s="15"/>
      <c r="B15" s="21"/>
      <c r="C15" s="15"/>
      <c r="D15" s="15"/>
      <c r="E15" s="15"/>
      <c r="F15" s="15"/>
      <c r="G15" s="35">
        <v>87</v>
      </c>
      <c r="H15" s="35">
        <v>108</v>
      </c>
      <c r="I15" s="35">
        <v>65</v>
      </c>
      <c r="J15" s="35">
        <v>34</v>
      </c>
      <c r="K15" s="35">
        <v>25</v>
      </c>
      <c r="L15" s="35">
        <v>20</v>
      </c>
      <c r="M15" s="35">
        <v>95</v>
      </c>
      <c r="N15" s="22"/>
      <c r="O15" s="2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</row>
    <row r="16" spans="1:1025" s="2" customFormat="1" ht="26.25" customHeight="1">
      <c r="A16" s="15"/>
      <c r="B16" s="21"/>
      <c r="C16" s="15"/>
      <c r="D16" s="15"/>
      <c r="E16" s="15"/>
      <c r="F16" s="15"/>
      <c r="G16" s="22"/>
      <c r="H16" s="22"/>
      <c r="I16" s="22"/>
      <c r="J16" s="22"/>
      <c r="K16" s="22"/>
      <c r="L16" s="22"/>
      <c r="M16" s="22"/>
      <c r="N16" s="34"/>
      <c r="O16" s="3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</row>
    <row r="17" spans="1:1025" s="2" customFormat="1" ht="26.25" customHeight="1">
      <c r="A17" s="15"/>
      <c r="B17" s="21"/>
      <c r="C17" s="15"/>
      <c r="D17" s="15"/>
      <c r="E17" s="15"/>
      <c r="F17" s="15"/>
      <c r="G17" s="22"/>
      <c r="H17" s="22"/>
      <c r="I17" s="22"/>
      <c r="J17" s="22"/>
      <c r="K17" s="22"/>
      <c r="L17" s="22"/>
      <c r="M17" s="22"/>
      <c r="N17" s="34"/>
      <c r="O17" s="34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</row>
    <row r="18" spans="1:1025" s="2" customFormat="1" ht="26.25" customHeight="1">
      <c r="A18" s="15"/>
      <c r="B18" s="21"/>
      <c r="C18" s="15"/>
      <c r="D18" s="15"/>
      <c r="E18" s="15"/>
      <c r="F18" s="15"/>
      <c r="G18" s="22"/>
      <c r="H18" s="22"/>
      <c r="I18" s="22"/>
      <c r="J18" s="22"/>
      <c r="K18" s="22"/>
      <c r="L18" s="22"/>
      <c r="M18" s="22"/>
      <c r="N18" s="34"/>
      <c r="O18" s="3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</row>
    <row r="19" spans="1:1025" s="2" customFormat="1" ht="26.25" customHeight="1">
      <c r="A19" s="15"/>
      <c r="B19" s="21"/>
      <c r="C19" s="15"/>
      <c r="D19" s="15"/>
      <c r="E19" s="15"/>
      <c r="F19" s="15"/>
      <c r="G19" s="22"/>
      <c r="H19" s="22"/>
      <c r="I19" s="22"/>
      <c r="J19" s="22"/>
      <c r="K19" s="22"/>
      <c r="L19" s="22"/>
      <c r="M19" s="22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</row>
    <row r="20" spans="1:1025" ht="26.25" customHeight="1">
      <c r="A20" s="25" t="s">
        <v>145</v>
      </c>
      <c r="B20" s="25" t="s">
        <v>139</v>
      </c>
      <c r="C20" s="26" t="s">
        <v>55</v>
      </c>
      <c r="D20" s="26" t="s">
        <v>32</v>
      </c>
      <c r="E20" s="26">
        <v>41</v>
      </c>
      <c r="F20" s="26" t="s">
        <v>34</v>
      </c>
      <c r="G20" s="26">
        <v>57</v>
      </c>
      <c r="H20" s="36">
        <v>43</v>
      </c>
      <c r="I20" s="36">
        <v>24</v>
      </c>
      <c r="J20" s="36">
        <v>18</v>
      </c>
      <c r="K20" s="36">
        <v>28</v>
      </c>
      <c r="L20" s="36">
        <v>26</v>
      </c>
      <c r="M20" s="36">
        <v>28</v>
      </c>
      <c r="N20" s="36">
        <v>73</v>
      </c>
      <c r="O20" s="36">
        <v>40</v>
      </c>
    </row>
    <row r="21" spans="1:1025" ht="26.25" customHeight="1">
      <c r="A21" s="15"/>
      <c r="B21" s="21"/>
      <c r="C21" s="15"/>
      <c r="D21" s="15"/>
      <c r="E21" s="15"/>
      <c r="F21" s="15"/>
      <c r="G21" s="35">
        <v>87</v>
      </c>
      <c r="H21" s="35">
        <v>102</v>
      </c>
      <c r="I21" s="35">
        <v>65</v>
      </c>
      <c r="J21" s="35">
        <v>33</v>
      </c>
      <c r="K21" s="35">
        <v>27</v>
      </c>
      <c r="L21" s="35">
        <v>20</v>
      </c>
      <c r="M21" s="35">
        <v>95</v>
      </c>
      <c r="N21" s="22"/>
      <c r="O21" s="22"/>
    </row>
    <row r="22" spans="1:1025" ht="26.25" customHeight="1">
      <c r="A22" s="25" t="s">
        <v>146</v>
      </c>
      <c r="B22" s="25" t="s">
        <v>140</v>
      </c>
      <c r="C22" s="26" t="s">
        <v>55</v>
      </c>
      <c r="D22" s="26" t="s">
        <v>32</v>
      </c>
      <c r="E22" s="26">
        <v>40</v>
      </c>
      <c r="F22" s="26" t="s">
        <v>34</v>
      </c>
      <c r="G22" s="26">
        <v>59</v>
      </c>
      <c r="H22" s="36">
        <v>43</v>
      </c>
      <c r="I22" s="36">
        <v>22</v>
      </c>
      <c r="J22" s="36">
        <v>17</v>
      </c>
      <c r="K22" s="36">
        <v>28</v>
      </c>
      <c r="L22" s="36">
        <v>26</v>
      </c>
      <c r="M22" s="36">
        <v>28</v>
      </c>
      <c r="N22" s="36">
        <v>767</v>
      </c>
      <c r="O22" s="36">
        <v>41</v>
      </c>
    </row>
    <row r="23" spans="1:1025" ht="26.25" customHeight="1">
      <c r="A23" s="15"/>
      <c r="B23" s="21"/>
      <c r="C23" s="15"/>
      <c r="D23" s="15"/>
      <c r="E23" s="15"/>
      <c r="F23" s="15"/>
      <c r="G23" s="35">
        <v>88</v>
      </c>
      <c r="H23" s="35">
        <v>104</v>
      </c>
      <c r="I23" s="35">
        <v>70</v>
      </c>
      <c r="J23" s="35">
        <v>34</v>
      </c>
      <c r="K23" s="35">
        <v>26</v>
      </c>
      <c r="L23" s="35">
        <v>20</v>
      </c>
      <c r="M23" s="35">
        <v>90</v>
      </c>
      <c r="N23" s="22"/>
      <c r="O23" s="22"/>
    </row>
    <row r="24" spans="1:1025" ht="26.25" customHeight="1">
      <c r="A24" s="25" t="s">
        <v>147</v>
      </c>
      <c r="B24" s="25" t="s">
        <v>141</v>
      </c>
      <c r="C24" s="26" t="s">
        <v>55</v>
      </c>
      <c r="D24" s="26" t="s">
        <v>32</v>
      </c>
      <c r="E24" s="26">
        <v>42</v>
      </c>
      <c r="F24" s="26" t="s">
        <v>33</v>
      </c>
      <c r="G24" s="26">
        <v>57</v>
      </c>
      <c r="H24" s="36">
        <v>44</v>
      </c>
      <c r="I24" s="36">
        <v>25</v>
      </c>
      <c r="J24" s="36">
        <v>18</v>
      </c>
      <c r="K24" s="36">
        <v>30</v>
      </c>
      <c r="L24" s="36">
        <v>28</v>
      </c>
      <c r="M24" s="36">
        <v>30</v>
      </c>
      <c r="N24" s="36">
        <v>71</v>
      </c>
      <c r="O24" s="36">
        <v>40</v>
      </c>
    </row>
    <row r="25" spans="1:1025" ht="26.25" customHeight="1">
      <c r="A25" s="15"/>
      <c r="B25" s="21"/>
      <c r="C25" s="15"/>
      <c r="D25" s="15"/>
      <c r="E25" s="15"/>
      <c r="F25" s="15"/>
      <c r="G25" s="35">
        <v>92</v>
      </c>
      <c r="H25" s="35">
        <v>105</v>
      </c>
      <c r="I25" s="35">
        <v>70</v>
      </c>
      <c r="J25" s="35">
        <v>34</v>
      </c>
      <c r="K25" s="35">
        <v>27</v>
      </c>
      <c r="L25" s="35">
        <v>22</v>
      </c>
      <c r="M25" s="35">
        <v>98</v>
      </c>
      <c r="N25" s="22"/>
      <c r="O25" s="22"/>
    </row>
    <row r="26" spans="1:1025" ht="26.25" customHeight="1">
      <c r="A26" s="25" t="s">
        <v>148</v>
      </c>
      <c r="B26" s="25" t="s">
        <v>142</v>
      </c>
      <c r="C26" s="26" t="s">
        <v>55</v>
      </c>
      <c r="D26" s="26" t="s">
        <v>32</v>
      </c>
      <c r="E26" s="26">
        <v>44</v>
      </c>
      <c r="F26" s="26" t="s">
        <v>144</v>
      </c>
      <c r="G26" s="26">
        <v>60</v>
      </c>
      <c r="H26" s="36">
        <v>50</v>
      </c>
      <c r="I26" s="36">
        <v>28</v>
      </c>
      <c r="J26" s="36">
        <v>22</v>
      </c>
      <c r="K26" s="36">
        <v>36</v>
      </c>
      <c r="L26" s="36">
        <v>36</v>
      </c>
      <c r="M26" s="36">
        <v>36</v>
      </c>
      <c r="N26" s="36">
        <v>80</v>
      </c>
      <c r="O26" s="36">
        <v>47</v>
      </c>
    </row>
    <row r="27" spans="1:1025" ht="26.25" customHeight="1">
      <c r="A27" s="15"/>
      <c r="B27" s="21"/>
      <c r="C27" s="15"/>
      <c r="D27" s="15"/>
      <c r="E27" s="15"/>
      <c r="F27" s="15"/>
      <c r="G27" s="35">
        <v>132</v>
      </c>
      <c r="H27" s="35">
        <v>144</v>
      </c>
      <c r="I27" s="35">
        <v>86</v>
      </c>
      <c r="J27" s="35">
        <v>45</v>
      </c>
      <c r="K27" s="35">
        <v>32</v>
      </c>
      <c r="L27" s="35">
        <v>24</v>
      </c>
      <c r="M27" s="35">
        <v>107</v>
      </c>
      <c r="N27" s="22"/>
      <c r="O27" s="22"/>
    </row>
    <row r="28" spans="1:1025" ht="26.25" customHeight="1">
      <c r="A28" s="25" t="s">
        <v>149</v>
      </c>
      <c r="B28" s="25" t="s">
        <v>143</v>
      </c>
      <c r="C28" s="26" t="s">
        <v>55</v>
      </c>
      <c r="D28" s="26" t="s">
        <v>32</v>
      </c>
      <c r="E28" s="26">
        <v>42</v>
      </c>
      <c r="F28" s="26" t="s">
        <v>34</v>
      </c>
      <c r="G28" s="26">
        <v>54</v>
      </c>
      <c r="H28" s="36">
        <v>43</v>
      </c>
      <c r="I28" s="36">
        <v>24</v>
      </c>
      <c r="J28" s="36">
        <v>18</v>
      </c>
      <c r="K28" s="36">
        <v>28</v>
      </c>
      <c r="L28" s="36">
        <v>26</v>
      </c>
      <c r="M28" s="36">
        <v>28</v>
      </c>
      <c r="N28" s="36">
        <v>73</v>
      </c>
      <c r="O28" s="36">
        <v>41</v>
      </c>
    </row>
    <row r="29" spans="1:1025" ht="26.25" customHeight="1">
      <c r="A29" s="15"/>
      <c r="B29" s="21"/>
      <c r="C29" s="15"/>
      <c r="D29" s="15"/>
      <c r="E29" s="15"/>
      <c r="F29" s="15"/>
      <c r="G29" s="35">
        <v>87</v>
      </c>
      <c r="H29" s="35">
        <v>100</v>
      </c>
      <c r="I29" s="35">
        <v>66</v>
      </c>
      <c r="J29" s="35">
        <v>33</v>
      </c>
      <c r="K29" s="35">
        <v>26</v>
      </c>
      <c r="L29" s="35">
        <v>20</v>
      </c>
      <c r="M29" s="35">
        <v>92</v>
      </c>
      <c r="N29" s="22"/>
      <c r="O29" s="22"/>
    </row>
    <row r="30" spans="1:1025" ht="26.25" customHeight="1">
      <c r="A30" s="25" t="s">
        <v>178</v>
      </c>
      <c r="B30" s="25" t="s">
        <v>163</v>
      </c>
      <c r="C30" s="26" t="s">
        <v>55</v>
      </c>
      <c r="D30" s="26" t="s">
        <v>32</v>
      </c>
      <c r="E30" s="26">
        <v>41</v>
      </c>
      <c r="F30" s="26" t="s">
        <v>34</v>
      </c>
      <c r="G30" s="26">
        <v>55</v>
      </c>
      <c r="H30" s="36" t="s">
        <v>165</v>
      </c>
      <c r="I30" s="36" t="s">
        <v>154</v>
      </c>
      <c r="J30" s="36" t="s">
        <v>166</v>
      </c>
      <c r="K30" s="36" t="s">
        <v>167</v>
      </c>
      <c r="L30" s="36" t="s">
        <v>156</v>
      </c>
      <c r="M30" s="36" t="s">
        <v>167</v>
      </c>
      <c r="N30" s="36" t="s">
        <v>168</v>
      </c>
      <c r="O30" s="36" t="s">
        <v>159</v>
      </c>
    </row>
    <row r="31" spans="1:1025" ht="26.25" customHeight="1">
      <c r="A31" s="15"/>
      <c r="B31" s="21"/>
      <c r="C31" s="15"/>
      <c r="D31" s="15"/>
      <c r="E31" s="15"/>
      <c r="F31" s="15"/>
      <c r="G31" s="35" t="s">
        <v>169</v>
      </c>
      <c r="H31" s="35" t="s">
        <v>170</v>
      </c>
      <c r="I31" s="35" t="s">
        <v>158</v>
      </c>
      <c r="J31" s="35" t="s">
        <v>171</v>
      </c>
      <c r="K31" s="35" t="s">
        <v>157</v>
      </c>
      <c r="L31" s="35" t="s">
        <v>161</v>
      </c>
      <c r="M31" s="35" t="s">
        <v>169</v>
      </c>
      <c r="N31" s="22"/>
      <c r="O31" s="22"/>
    </row>
    <row r="32" spans="1:1025" ht="26.25" customHeight="1">
      <c r="A32" s="25" t="s">
        <v>179</v>
      </c>
      <c r="B32" s="25" t="s">
        <v>164</v>
      </c>
      <c r="C32" s="26" t="s">
        <v>55</v>
      </c>
      <c r="D32" s="26" t="s">
        <v>32</v>
      </c>
      <c r="E32" s="26">
        <v>41</v>
      </c>
      <c r="F32" s="26" t="s">
        <v>36</v>
      </c>
      <c r="G32" s="26">
        <v>56</v>
      </c>
      <c r="H32" s="36" t="s">
        <v>172</v>
      </c>
      <c r="I32" s="36" t="s">
        <v>154</v>
      </c>
      <c r="J32" s="36" t="s">
        <v>155</v>
      </c>
      <c r="K32" s="36" t="s">
        <v>156</v>
      </c>
      <c r="L32" s="36" t="s">
        <v>160</v>
      </c>
      <c r="M32" s="36" t="s">
        <v>156</v>
      </c>
      <c r="N32" s="36" t="s">
        <v>158</v>
      </c>
      <c r="O32" s="36" t="s">
        <v>173</v>
      </c>
    </row>
    <row r="33" spans="1:15" ht="26.25" customHeight="1">
      <c r="A33" s="15"/>
      <c r="B33" s="21"/>
      <c r="C33" s="15"/>
      <c r="D33" s="15"/>
      <c r="E33" s="15"/>
      <c r="F33" s="15"/>
      <c r="G33" s="35" t="s">
        <v>174</v>
      </c>
      <c r="H33" s="35" t="s">
        <v>175</v>
      </c>
      <c r="I33" s="35" t="s">
        <v>176</v>
      </c>
      <c r="J33" s="35" t="s">
        <v>177</v>
      </c>
      <c r="K33" s="35" t="s">
        <v>157</v>
      </c>
      <c r="L33" s="35" t="s">
        <v>166</v>
      </c>
      <c r="M33" s="35" t="s">
        <v>162</v>
      </c>
      <c r="N33" s="22"/>
      <c r="O33" s="22"/>
    </row>
    <row r="34" spans="1:15" ht="26.25" customHeight="1">
      <c r="A34" s="25"/>
      <c r="B34" s="25"/>
      <c r="C34" s="26"/>
      <c r="D34" s="26"/>
      <c r="E34" s="26"/>
      <c r="F34" s="26"/>
      <c r="G34" s="26"/>
      <c r="H34" s="36"/>
      <c r="I34" s="36"/>
      <c r="J34" s="36"/>
      <c r="K34" s="36"/>
      <c r="L34" s="36"/>
      <c r="M34" s="36"/>
      <c r="N34" s="36"/>
      <c r="O34" s="36"/>
    </row>
    <row r="35" spans="1:15" ht="26.25" customHeight="1">
      <c r="A35" s="15"/>
      <c r="B35" s="21"/>
      <c r="C35" s="15"/>
      <c r="D35" s="15"/>
      <c r="E35" s="15"/>
      <c r="F35" s="15"/>
      <c r="G35" s="35"/>
      <c r="H35" s="35"/>
      <c r="I35" s="35"/>
      <c r="J35" s="35"/>
      <c r="K35" s="35"/>
      <c r="L35" s="35"/>
      <c r="M35" s="35"/>
      <c r="N35" s="22"/>
      <c r="O35" s="22"/>
    </row>
    <row r="36" spans="1:15" ht="26.25" customHeight="1">
      <c r="A36" s="27"/>
      <c r="B36" s="28"/>
      <c r="C36" s="27"/>
      <c r="D36" s="27"/>
      <c r="E36" s="27"/>
      <c r="F36" s="27"/>
      <c r="G36" s="30"/>
      <c r="H36" s="30"/>
      <c r="I36" s="30"/>
      <c r="J36" s="30"/>
      <c r="K36" s="30"/>
      <c r="L36" s="30"/>
      <c r="M36" s="30"/>
      <c r="N36" s="29"/>
      <c r="O36" s="29"/>
    </row>
    <row r="37" spans="1:15" ht="26.25" customHeight="1">
      <c r="A37" s="25"/>
      <c r="B37" s="25"/>
      <c r="C37" s="26"/>
      <c r="D37" s="26"/>
      <c r="E37" s="26"/>
      <c r="F37" s="26"/>
      <c r="G37" s="26"/>
      <c r="H37" s="36"/>
      <c r="I37" s="36"/>
      <c r="J37" s="36"/>
      <c r="K37" s="36"/>
      <c r="L37" s="36"/>
      <c r="M37" s="36"/>
      <c r="N37" s="36"/>
      <c r="O37" s="36"/>
    </row>
    <row r="38" spans="1:15" ht="26.25" customHeight="1">
      <c r="A38" s="15"/>
      <c r="B38" s="21"/>
      <c r="C38" s="15"/>
      <c r="D38" s="15"/>
      <c r="E38" s="15"/>
      <c r="F38" s="15"/>
      <c r="G38" s="35"/>
      <c r="H38" s="35"/>
      <c r="I38" s="35"/>
      <c r="J38" s="35"/>
      <c r="K38" s="35"/>
      <c r="L38" s="35"/>
      <c r="M38" s="35"/>
      <c r="N38" s="22"/>
      <c r="O38" s="22"/>
    </row>
    <row r="39" spans="1:15" ht="26.25" customHeight="1">
      <c r="A39" s="27"/>
      <c r="B39" s="28"/>
      <c r="C39" s="27"/>
      <c r="D39" s="27"/>
      <c r="E39" s="27"/>
      <c r="F39" s="27"/>
      <c r="G39" s="30"/>
      <c r="H39" s="30"/>
      <c r="I39" s="30"/>
      <c r="J39" s="30"/>
      <c r="K39" s="30"/>
      <c r="L39" s="30"/>
      <c r="M39" s="30"/>
      <c r="N39" s="29"/>
      <c r="O39" s="29"/>
    </row>
    <row r="40" spans="1:15" ht="26.25" customHeight="1">
      <c r="A40" s="25"/>
      <c r="B40" s="25"/>
      <c r="C40" s="26"/>
      <c r="D40" s="26"/>
      <c r="E40" s="26"/>
      <c r="F40" s="26"/>
      <c r="G40" s="26"/>
      <c r="H40" s="36"/>
      <c r="I40" s="36"/>
      <c r="J40" s="36"/>
      <c r="K40" s="36"/>
      <c r="L40" s="36"/>
      <c r="M40" s="36"/>
      <c r="N40" s="36"/>
      <c r="O40" s="36"/>
    </row>
    <row r="41" spans="1:15" ht="26.25" customHeight="1">
      <c r="A41" s="15"/>
      <c r="B41" s="21"/>
      <c r="C41" s="15"/>
      <c r="D41" s="15"/>
      <c r="E41" s="15"/>
      <c r="F41" s="15"/>
      <c r="G41" s="35"/>
      <c r="H41" s="35"/>
      <c r="I41" s="35"/>
      <c r="J41" s="35"/>
      <c r="K41" s="35"/>
      <c r="L41" s="35"/>
      <c r="M41" s="35"/>
      <c r="N41" s="22"/>
      <c r="O41" s="22"/>
    </row>
    <row r="42" spans="1:15" ht="26.25" customHeight="1">
      <c r="A42" s="27"/>
      <c r="B42" s="28"/>
      <c r="C42" s="27"/>
      <c r="D42" s="27"/>
      <c r="E42" s="27"/>
      <c r="F42" s="27"/>
      <c r="G42" s="30"/>
      <c r="H42" s="30"/>
      <c r="I42" s="30"/>
      <c r="J42" s="30"/>
      <c r="K42" s="30"/>
      <c r="L42" s="30"/>
      <c r="M42" s="30"/>
      <c r="N42" s="29"/>
      <c r="O42" s="29"/>
    </row>
    <row r="43" spans="1:15" ht="26.25" customHeight="1">
      <c r="A43" s="25"/>
      <c r="B43" s="25"/>
      <c r="C43" s="26"/>
      <c r="D43" s="26"/>
      <c r="E43" s="26"/>
      <c r="F43" s="26"/>
      <c r="G43" s="26"/>
      <c r="H43" s="36"/>
      <c r="I43" s="36"/>
      <c r="J43" s="36"/>
      <c r="K43" s="36"/>
      <c r="L43" s="36"/>
      <c r="M43" s="36"/>
      <c r="N43" s="36"/>
      <c r="O43" s="36"/>
    </row>
    <row r="44" spans="1:15" ht="26.25" customHeight="1">
      <c r="A44" s="15"/>
      <c r="B44" s="21"/>
      <c r="C44" s="15"/>
      <c r="D44" s="15"/>
      <c r="E44" s="15"/>
      <c r="F44" s="15"/>
      <c r="G44" s="35"/>
      <c r="H44" s="35"/>
      <c r="I44" s="35"/>
      <c r="J44" s="35"/>
      <c r="K44" s="35"/>
      <c r="L44" s="35"/>
      <c r="M44" s="35"/>
      <c r="N44" s="22"/>
      <c r="O44" s="22"/>
    </row>
    <row r="45" spans="1:15" ht="26.25" customHeight="1">
      <c r="A45" s="27"/>
      <c r="B45" s="28"/>
      <c r="C45" s="27"/>
      <c r="D45" s="27"/>
      <c r="E45" s="27"/>
      <c r="F45" s="27"/>
      <c r="G45" s="30"/>
      <c r="H45" s="30"/>
      <c r="I45" s="30"/>
      <c r="J45" s="30"/>
      <c r="K45" s="30"/>
      <c r="L45" s="30"/>
      <c r="M45" s="30"/>
      <c r="N45" s="29"/>
      <c r="O45" s="29"/>
    </row>
    <row r="46" spans="1:15" ht="26.25" customHeight="1">
      <c r="A46" s="25"/>
      <c r="B46" s="25"/>
      <c r="C46" s="26"/>
      <c r="D46" s="26"/>
      <c r="E46" s="26"/>
      <c r="F46" s="26"/>
      <c r="G46" s="26"/>
      <c r="H46" s="36"/>
      <c r="I46" s="36"/>
      <c r="J46" s="36"/>
      <c r="K46" s="36"/>
      <c r="L46" s="36"/>
      <c r="M46" s="36"/>
      <c r="N46" s="36"/>
      <c r="O46" s="36"/>
    </row>
    <row r="47" spans="1:15" ht="26.25" customHeight="1">
      <c r="A47" s="15"/>
      <c r="B47" s="21"/>
      <c r="C47" s="15"/>
      <c r="D47" s="15"/>
      <c r="E47" s="15"/>
      <c r="F47" s="15"/>
      <c r="G47" s="35"/>
      <c r="H47" s="35"/>
      <c r="I47" s="35"/>
      <c r="J47" s="35"/>
      <c r="K47" s="35"/>
      <c r="L47" s="35"/>
      <c r="M47" s="35"/>
      <c r="N47" s="22"/>
      <c r="O47" s="22"/>
    </row>
    <row r="48" spans="1:15" ht="26.25" customHeight="1">
      <c r="A48" s="27"/>
      <c r="B48" s="28"/>
      <c r="C48" s="27"/>
      <c r="D48" s="27"/>
      <c r="E48" s="27"/>
      <c r="F48" s="27"/>
      <c r="G48" s="30"/>
      <c r="H48" s="30"/>
      <c r="I48" s="30"/>
      <c r="J48" s="30"/>
      <c r="K48" s="30"/>
      <c r="L48" s="30"/>
      <c r="M48" s="30"/>
      <c r="N48" s="29"/>
      <c r="O48" s="29"/>
    </row>
    <row r="49" spans="1:15" ht="26.25" customHeight="1">
      <c r="A49" s="25"/>
      <c r="B49" s="25"/>
      <c r="C49" s="26"/>
      <c r="D49" s="26"/>
      <c r="E49" s="26"/>
      <c r="F49" s="26"/>
      <c r="G49" s="26"/>
      <c r="H49" s="36"/>
      <c r="I49" s="36"/>
      <c r="J49" s="36"/>
      <c r="K49" s="36"/>
      <c r="L49" s="36"/>
      <c r="M49" s="36"/>
      <c r="N49" s="36"/>
      <c r="O49" s="36"/>
    </row>
    <row r="50" spans="1:15" ht="26.25" customHeight="1">
      <c r="A50" s="15"/>
      <c r="B50" s="21"/>
      <c r="C50" s="15"/>
      <c r="D50" s="15"/>
      <c r="E50" s="15"/>
      <c r="F50" s="15"/>
      <c r="G50" s="35"/>
      <c r="H50" s="35"/>
      <c r="I50" s="35"/>
      <c r="J50" s="35"/>
      <c r="K50" s="35"/>
      <c r="L50" s="35"/>
      <c r="M50" s="35"/>
      <c r="N50" s="22"/>
      <c r="O50" s="22"/>
    </row>
    <row r="51" spans="1:15" ht="26.25" customHeight="1">
      <c r="A51" s="27"/>
      <c r="B51" s="28"/>
      <c r="C51" s="27"/>
      <c r="D51" s="27"/>
      <c r="E51" s="27"/>
      <c r="F51" s="27"/>
      <c r="G51" s="30"/>
      <c r="H51" s="30"/>
      <c r="I51" s="30"/>
      <c r="J51" s="30"/>
      <c r="K51" s="30"/>
      <c r="L51" s="30"/>
      <c r="M51" s="30"/>
      <c r="N51" s="29"/>
      <c r="O51" s="29"/>
    </row>
    <row r="52" spans="1:15" ht="26.25" customHeight="1">
      <c r="A52" s="25"/>
      <c r="B52" s="25"/>
      <c r="C52" s="26"/>
      <c r="D52" s="26"/>
      <c r="E52" s="26"/>
      <c r="F52" s="26"/>
      <c r="G52" s="26"/>
      <c r="H52" s="36"/>
      <c r="I52" s="36"/>
      <c r="J52" s="36"/>
      <c r="K52" s="36"/>
      <c r="L52" s="36"/>
      <c r="M52" s="36"/>
      <c r="N52" s="36"/>
      <c r="O52" s="36"/>
    </row>
    <row r="53" spans="1:15" ht="26.25" customHeight="1">
      <c r="A53" s="15"/>
      <c r="B53" s="21"/>
      <c r="C53" s="15"/>
      <c r="D53" s="15"/>
      <c r="E53" s="15"/>
      <c r="F53" s="15"/>
      <c r="G53" s="35"/>
      <c r="H53" s="35"/>
      <c r="I53" s="35"/>
      <c r="J53" s="35"/>
      <c r="K53" s="35"/>
      <c r="L53" s="35"/>
      <c r="M53" s="35"/>
      <c r="N53" s="22"/>
      <c r="O53" s="22"/>
    </row>
    <row r="54" spans="1:15" ht="26.25" customHeight="1">
      <c r="A54" s="27"/>
      <c r="B54" s="28"/>
      <c r="C54" s="27"/>
      <c r="D54" s="27"/>
      <c r="E54" s="27"/>
      <c r="F54" s="27"/>
      <c r="G54" s="30"/>
      <c r="H54" s="30"/>
      <c r="I54" s="30"/>
      <c r="J54" s="30"/>
      <c r="K54" s="30"/>
      <c r="L54" s="30"/>
      <c r="M54" s="30"/>
      <c r="N54" s="29"/>
      <c r="O54" s="29"/>
    </row>
    <row r="55" spans="1:15" ht="26.25" customHeight="1">
      <c r="A55" s="25"/>
      <c r="B55" s="25"/>
      <c r="C55" s="26"/>
      <c r="D55" s="26"/>
      <c r="E55" s="26"/>
      <c r="F55" s="26"/>
      <c r="G55" s="26"/>
      <c r="H55" s="36"/>
      <c r="I55" s="36"/>
      <c r="J55" s="36"/>
      <c r="K55" s="36"/>
      <c r="L55" s="36"/>
      <c r="M55" s="36"/>
      <c r="N55" s="36"/>
      <c r="O55" s="36"/>
    </row>
    <row r="56" spans="1:15" ht="26.25" customHeight="1">
      <c r="A56" s="15"/>
      <c r="B56" s="21"/>
      <c r="C56" s="15"/>
      <c r="D56" s="15"/>
      <c r="E56" s="15"/>
      <c r="F56" s="15"/>
      <c r="G56" s="35"/>
      <c r="H56" s="35"/>
      <c r="I56" s="35"/>
      <c r="J56" s="35"/>
      <c r="K56" s="35"/>
      <c r="L56" s="35"/>
      <c r="M56" s="35"/>
      <c r="N56" s="22"/>
      <c r="O56" s="22"/>
    </row>
    <row r="57" spans="1:15" ht="26.25" customHeight="1">
      <c r="A57" s="27"/>
      <c r="B57" s="28"/>
      <c r="C57" s="27"/>
      <c r="D57" s="27"/>
      <c r="E57" s="27"/>
      <c r="F57" s="27"/>
      <c r="G57" s="30"/>
      <c r="H57" s="30"/>
      <c r="I57" s="30"/>
      <c r="J57" s="30"/>
      <c r="K57" s="30"/>
      <c r="L57" s="30"/>
      <c r="M57" s="30"/>
      <c r="N57" s="29"/>
      <c r="O57" s="29"/>
    </row>
    <row r="58" spans="1:15" ht="26.25" customHeight="1">
      <c r="A58" s="25"/>
      <c r="B58" s="25"/>
      <c r="C58" s="26"/>
      <c r="D58" s="26"/>
      <c r="E58" s="26"/>
      <c r="F58" s="26"/>
      <c r="G58" s="26"/>
      <c r="H58" s="36"/>
      <c r="I58" s="36"/>
      <c r="J58" s="36"/>
      <c r="K58" s="36"/>
      <c r="L58" s="36"/>
      <c r="M58" s="36"/>
      <c r="N58" s="36"/>
      <c r="O58" s="36"/>
    </row>
    <row r="59" spans="1:15" ht="26.25" customHeight="1">
      <c r="A59" s="15"/>
      <c r="B59" s="21"/>
      <c r="C59" s="15"/>
      <c r="D59" s="15"/>
      <c r="E59" s="15"/>
      <c r="F59" s="15"/>
      <c r="G59" s="35"/>
      <c r="H59" s="35"/>
      <c r="I59" s="35"/>
      <c r="J59" s="35"/>
      <c r="K59" s="35"/>
      <c r="L59" s="35"/>
      <c r="M59" s="35"/>
      <c r="N59" s="22"/>
      <c r="O59" s="22"/>
    </row>
    <row r="60" spans="1:15" ht="26.25" customHeight="1">
      <c r="A60" s="27"/>
      <c r="B60" s="28"/>
      <c r="C60" s="27"/>
      <c r="D60" s="27"/>
      <c r="E60" s="27"/>
      <c r="F60" s="27"/>
      <c r="G60" s="30"/>
      <c r="H60" s="30"/>
      <c r="I60" s="30"/>
      <c r="J60" s="30"/>
      <c r="K60" s="30"/>
      <c r="L60" s="30"/>
      <c r="M60" s="30"/>
      <c r="N60" s="29"/>
      <c r="O60" s="29"/>
    </row>
    <row r="61" spans="1:15" ht="26.25" customHeight="1">
      <c r="A61" s="25"/>
      <c r="B61" s="25"/>
      <c r="C61" s="26"/>
      <c r="D61" s="26"/>
      <c r="E61" s="26"/>
      <c r="F61" s="26"/>
      <c r="G61" s="26"/>
      <c r="H61" s="36"/>
      <c r="I61" s="36"/>
      <c r="J61" s="36"/>
      <c r="K61" s="36"/>
      <c r="L61" s="36"/>
      <c r="M61" s="36"/>
      <c r="N61" s="36"/>
      <c r="O61" s="36"/>
    </row>
    <row r="62" spans="1:15" ht="26.25" customHeight="1">
      <c r="A62" s="15"/>
      <c r="B62" s="21"/>
      <c r="C62" s="15"/>
      <c r="D62" s="15"/>
      <c r="E62" s="15"/>
      <c r="F62" s="15"/>
      <c r="G62" s="35"/>
      <c r="H62" s="35"/>
      <c r="I62" s="35"/>
      <c r="J62" s="35"/>
      <c r="K62" s="35"/>
      <c r="L62" s="35"/>
      <c r="M62" s="35"/>
      <c r="N62" s="22"/>
      <c r="O62" s="22"/>
    </row>
    <row r="63" spans="1:15" ht="26.25" customHeight="1">
      <c r="A63" s="27"/>
      <c r="B63" s="28"/>
      <c r="C63" s="27"/>
      <c r="D63" s="27"/>
      <c r="E63" s="27"/>
      <c r="F63" s="27"/>
      <c r="G63" s="30"/>
      <c r="H63" s="30"/>
      <c r="I63" s="30"/>
      <c r="J63" s="30"/>
      <c r="K63" s="30"/>
      <c r="L63" s="30"/>
      <c r="M63" s="30"/>
      <c r="N63" s="29"/>
      <c r="O63" s="29"/>
    </row>
    <row r="64" spans="1:15" ht="26.25" customHeight="1">
      <c r="A64" s="25"/>
      <c r="B64" s="25"/>
      <c r="C64" s="26"/>
      <c r="D64" s="26"/>
      <c r="E64" s="26"/>
      <c r="F64" s="26"/>
      <c r="G64" s="26"/>
      <c r="H64" s="36"/>
      <c r="I64" s="36"/>
      <c r="J64" s="36"/>
      <c r="K64" s="36"/>
      <c r="L64" s="36"/>
      <c r="M64" s="36"/>
      <c r="N64" s="36"/>
      <c r="O64" s="36"/>
    </row>
    <row r="65" spans="1:15" ht="26.25" customHeight="1">
      <c r="A65" s="15"/>
      <c r="B65" s="21"/>
      <c r="C65" s="15"/>
      <c r="D65" s="15"/>
      <c r="E65" s="15"/>
      <c r="F65" s="15"/>
      <c r="G65" s="35"/>
      <c r="H65" s="35"/>
      <c r="I65" s="35"/>
      <c r="J65" s="35"/>
      <c r="K65" s="35"/>
      <c r="L65" s="35"/>
      <c r="M65" s="35"/>
      <c r="N65" s="22"/>
      <c r="O65" s="22"/>
    </row>
    <row r="66" spans="1:15" ht="26.25" customHeight="1">
      <c r="A66" s="27"/>
      <c r="B66" s="28"/>
      <c r="C66" s="27"/>
      <c r="D66" s="27"/>
      <c r="E66" s="27"/>
      <c r="F66" s="27"/>
      <c r="G66" s="30"/>
      <c r="H66" s="30"/>
      <c r="I66" s="30"/>
      <c r="J66" s="30"/>
      <c r="K66" s="30"/>
      <c r="L66" s="30"/>
      <c r="M66" s="30"/>
      <c r="N66" s="29"/>
      <c r="O66" s="29"/>
    </row>
    <row r="67" spans="1:15" ht="26.25" customHeight="1">
      <c r="A67" s="25"/>
      <c r="B67" s="25"/>
      <c r="C67" s="26"/>
      <c r="D67" s="26"/>
      <c r="E67" s="26"/>
      <c r="F67" s="26"/>
      <c r="G67" s="26"/>
      <c r="H67" s="36"/>
      <c r="I67" s="36"/>
      <c r="J67" s="36"/>
      <c r="K67" s="36"/>
      <c r="L67" s="36"/>
      <c r="M67" s="36"/>
      <c r="N67" s="36"/>
      <c r="O67" s="36"/>
    </row>
    <row r="68" spans="1:15" ht="26.25" customHeight="1">
      <c r="A68" s="15"/>
      <c r="B68" s="21"/>
      <c r="C68" s="15"/>
      <c r="D68" s="15"/>
      <c r="E68" s="15"/>
      <c r="F68" s="15"/>
      <c r="G68" s="35"/>
      <c r="H68" s="35"/>
      <c r="I68" s="35"/>
      <c r="J68" s="35"/>
      <c r="K68" s="35"/>
      <c r="L68" s="35"/>
      <c r="M68" s="35"/>
      <c r="N68" s="22"/>
      <c r="O68" s="22"/>
    </row>
    <row r="69" spans="1:15" ht="26.25" customHeight="1">
      <c r="A69" s="27"/>
      <c r="B69" s="28"/>
      <c r="C69" s="27"/>
      <c r="D69" s="27"/>
      <c r="E69" s="27"/>
      <c r="F69" s="27"/>
      <c r="G69" s="30"/>
      <c r="H69" s="30"/>
      <c r="I69" s="30"/>
      <c r="J69" s="30"/>
      <c r="K69" s="30"/>
      <c r="L69" s="30"/>
      <c r="M69" s="30"/>
      <c r="N69" s="29"/>
      <c r="O69" s="29"/>
    </row>
    <row r="70" spans="1:15" ht="26.25" customHeight="1">
      <c r="A70" s="25"/>
      <c r="B70" s="25"/>
      <c r="C70" s="26"/>
      <c r="D70" s="26"/>
      <c r="E70" s="26"/>
      <c r="F70" s="26"/>
      <c r="G70" s="26"/>
      <c r="H70" s="36"/>
      <c r="I70" s="36"/>
      <c r="J70" s="36"/>
      <c r="K70" s="36"/>
      <c r="L70" s="36"/>
      <c r="M70" s="36"/>
      <c r="N70" s="36"/>
      <c r="O70" s="36"/>
    </row>
    <row r="71" spans="1:15" ht="26.25" customHeight="1">
      <c r="A71" s="15"/>
      <c r="B71" s="21"/>
      <c r="C71" s="15"/>
      <c r="D71" s="15"/>
      <c r="E71" s="15"/>
      <c r="F71" s="15"/>
      <c r="G71" s="35"/>
      <c r="H71" s="35"/>
      <c r="I71" s="35"/>
      <c r="J71" s="35"/>
      <c r="K71" s="35"/>
      <c r="L71" s="35"/>
      <c r="M71" s="35"/>
      <c r="N71" s="22"/>
      <c r="O71" s="22"/>
    </row>
    <row r="72" spans="1:15" ht="26.25" customHeight="1">
      <c r="A72" s="27"/>
      <c r="B72" s="28"/>
      <c r="C72" s="27"/>
      <c r="D72" s="27"/>
      <c r="E72" s="27"/>
      <c r="F72" s="27"/>
      <c r="G72" s="30"/>
      <c r="H72" s="30"/>
      <c r="I72" s="30"/>
      <c r="J72" s="30"/>
      <c r="K72" s="30"/>
      <c r="L72" s="30"/>
      <c r="M72" s="30"/>
      <c r="N72" s="29"/>
      <c r="O72" s="29"/>
    </row>
    <row r="73" spans="1:15" ht="26.25" customHeight="1">
      <c r="A73" s="25"/>
      <c r="B73" s="25"/>
      <c r="C73" s="26"/>
      <c r="D73" s="26"/>
      <c r="E73" s="26"/>
      <c r="F73" s="26"/>
      <c r="G73" s="26"/>
      <c r="H73" s="36"/>
      <c r="I73" s="36"/>
      <c r="J73" s="36"/>
      <c r="K73" s="36"/>
      <c r="L73" s="36"/>
      <c r="M73" s="36"/>
      <c r="N73" s="36"/>
      <c r="O73" s="36"/>
    </row>
    <row r="74" spans="1:15" ht="26.25" customHeight="1">
      <c r="A74" s="15"/>
      <c r="B74" s="21"/>
      <c r="C74" s="15"/>
      <c r="D74" s="15"/>
      <c r="E74" s="15"/>
      <c r="F74" s="15"/>
      <c r="G74" s="35"/>
      <c r="H74" s="35"/>
      <c r="I74" s="35"/>
      <c r="J74" s="35"/>
      <c r="K74" s="35"/>
      <c r="L74" s="35"/>
      <c r="M74" s="35"/>
      <c r="N74" s="22"/>
      <c r="O74" s="22"/>
    </row>
    <row r="75" spans="1:15" ht="26.25" customHeight="1">
      <c r="A75" s="27"/>
      <c r="B75" s="28"/>
      <c r="C75" s="27"/>
      <c r="D75" s="27"/>
      <c r="E75" s="27"/>
      <c r="F75" s="27"/>
      <c r="G75" s="30"/>
      <c r="H75" s="30"/>
      <c r="I75" s="30"/>
      <c r="J75" s="30"/>
      <c r="K75" s="30"/>
      <c r="L75" s="30"/>
      <c r="M75" s="30"/>
      <c r="N75" s="29"/>
      <c r="O75" s="29"/>
    </row>
    <row r="76" spans="1:15" ht="26.25" customHeight="1">
      <c r="A76" s="25"/>
      <c r="B76" s="25"/>
      <c r="C76" s="26"/>
      <c r="D76" s="26"/>
      <c r="E76" s="26"/>
      <c r="F76" s="26"/>
      <c r="G76" s="26"/>
      <c r="H76" s="36"/>
      <c r="I76" s="36"/>
      <c r="J76" s="36"/>
      <c r="K76" s="36"/>
      <c r="L76" s="36"/>
      <c r="M76" s="36"/>
      <c r="N76" s="36"/>
      <c r="O76" s="36"/>
    </row>
    <row r="77" spans="1:15" ht="26.25" customHeight="1">
      <c r="A77" s="15"/>
      <c r="B77" s="21"/>
      <c r="C77" s="15"/>
      <c r="D77" s="15"/>
      <c r="E77" s="15"/>
      <c r="F77" s="15"/>
      <c r="G77" s="35"/>
      <c r="H77" s="35"/>
      <c r="I77" s="35"/>
      <c r="J77" s="35"/>
      <c r="K77" s="35"/>
      <c r="L77" s="35"/>
      <c r="M77" s="35"/>
      <c r="N77" s="22"/>
      <c r="O77" s="22"/>
    </row>
    <row r="78" spans="1:15" ht="26.25" customHeight="1">
      <c r="A78" s="27"/>
      <c r="B78" s="28"/>
      <c r="C78" s="27"/>
      <c r="D78" s="27"/>
      <c r="E78" s="27"/>
      <c r="F78" s="27"/>
      <c r="G78" s="30"/>
      <c r="H78" s="30"/>
      <c r="I78" s="30"/>
      <c r="J78" s="30"/>
      <c r="K78" s="30"/>
      <c r="L78" s="30"/>
      <c r="M78" s="30"/>
      <c r="N78" s="29"/>
      <c r="O78" s="29"/>
    </row>
    <row r="79" spans="1:15" ht="26.25" customHeight="1">
      <c r="A79" s="25"/>
      <c r="B79" s="25"/>
      <c r="C79" s="26"/>
      <c r="D79" s="26"/>
      <c r="E79" s="26"/>
      <c r="F79" s="26"/>
      <c r="G79" s="26"/>
      <c r="H79" s="36"/>
      <c r="I79" s="36"/>
      <c r="J79" s="36"/>
      <c r="K79" s="36"/>
      <c r="L79" s="36"/>
      <c r="M79" s="36"/>
      <c r="N79" s="36"/>
      <c r="O79" s="36"/>
    </row>
    <row r="80" spans="1:15" ht="26.25" customHeight="1">
      <c r="A80" s="15"/>
      <c r="B80" s="21"/>
      <c r="C80" s="15"/>
      <c r="D80" s="15"/>
      <c r="E80" s="15"/>
      <c r="F80" s="15"/>
      <c r="G80" s="35"/>
      <c r="H80" s="35"/>
      <c r="I80" s="35"/>
      <c r="J80" s="35"/>
      <c r="K80" s="35"/>
      <c r="L80" s="35"/>
      <c r="M80" s="35"/>
      <c r="N80" s="22"/>
      <c r="O80" s="22"/>
    </row>
    <row r="81" spans="1:15" ht="26.25" customHeight="1">
      <c r="A81" s="27"/>
      <c r="B81" s="28"/>
      <c r="C81" s="27"/>
      <c r="D81" s="27"/>
      <c r="E81" s="27"/>
      <c r="F81" s="27"/>
      <c r="G81" s="30"/>
      <c r="H81" s="30"/>
      <c r="I81" s="30"/>
      <c r="J81" s="30"/>
      <c r="K81" s="30"/>
      <c r="L81" s="30"/>
      <c r="M81" s="30"/>
      <c r="N81" s="29"/>
      <c r="O81" s="29"/>
    </row>
    <row r="82" spans="1:15" ht="26.25" customHeight="1">
      <c r="A82" s="25"/>
      <c r="B82" s="25"/>
      <c r="C82" s="26"/>
      <c r="D82" s="26"/>
      <c r="E82" s="26"/>
      <c r="F82" s="26"/>
      <c r="G82" s="26"/>
      <c r="H82" s="36"/>
      <c r="I82" s="36"/>
      <c r="J82" s="36"/>
      <c r="K82" s="36"/>
      <c r="L82" s="36"/>
      <c r="M82" s="36"/>
      <c r="N82" s="36"/>
      <c r="O82" s="36"/>
    </row>
    <row r="83" spans="1:15" ht="26.25" customHeight="1">
      <c r="A83" s="15"/>
      <c r="B83" s="21"/>
      <c r="C83" s="15"/>
      <c r="D83" s="15"/>
      <c r="E83" s="15"/>
      <c r="F83" s="15"/>
      <c r="G83" s="35"/>
      <c r="H83" s="35"/>
      <c r="I83" s="35"/>
      <c r="J83" s="35"/>
      <c r="K83" s="35"/>
      <c r="L83" s="35"/>
      <c r="M83" s="35"/>
      <c r="N83" s="22"/>
      <c r="O83" s="22"/>
    </row>
    <row r="84" spans="1:15" ht="26.25" customHeight="1">
      <c r="A84" s="27"/>
      <c r="B84" s="28"/>
      <c r="C84" s="27"/>
      <c r="D84" s="27"/>
      <c r="E84" s="27"/>
      <c r="F84" s="27"/>
      <c r="G84" s="30"/>
      <c r="H84" s="30"/>
      <c r="I84" s="30"/>
      <c r="J84" s="30"/>
      <c r="K84" s="30"/>
      <c r="L84" s="30"/>
      <c r="M84" s="30"/>
      <c r="N84" s="29"/>
      <c r="O84" s="29"/>
    </row>
    <row r="85" spans="1:15" ht="26.25" customHeight="1">
      <c r="A85" s="25"/>
      <c r="B85" s="25"/>
      <c r="C85" s="26"/>
      <c r="D85" s="26"/>
      <c r="E85" s="26"/>
      <c r="F85" s="26"/>
      <c r="G85" s="26"/>
      <c r="H85" s="36"/>
      <c r="I85" s="36"/>
      <c r="J85" s="36"/>
      <c r="K85" s="36"/>
      <c r="L85" s="36"/>
      <c r="M85" s="36"/>
      <c r="N85" s="36"/>
      <c r="O85" s="36"/>
    </row>
    <row r="86" spans="1:15" ht="26.25" customHeight="1">
      <c r="A86" s="15"/>
      <c r="B86" s="21"/>
      <c r="C86" s="15"/>
      <c r="D86" s="15"/>
      <c r="E86" s="15"/>
      <c r="F86" s="15"/>
      <c r="G86" s="35"/>
      <c r="H86" s="35"/>
      <c r="I86" s="35"/>
      <c r="J86" s="35"/>
      <c r="K86" s="35"/>
      <c r="L86" s="35"/>
      <c r="M86" s="35"/>
      <c r="N86" s="22"/>
      <c r="O86" s="22"/>
    </row>
    <row r="87" spans="1:15" ht="26.25" customHeight="1">
      <c r="A87" s="27"/>
      <c r="B87" s="28"/>
      <c r="C87" s="27"/>
      <c r="D87" s="27"/>
      <c r="E87" s="27"/>
      <c r="F87" s="27"/>
      <c r="G87" s="30"/>
      <c r="H87" s="30"/>
      <c r="I87" s="30"/>
      <c r="J87" s="30"/>
      <c r="K87" s="30"/>
      <c r="L87" s="30"/>
      <c r="M87" s="30"/>
      <c r="N87" s="29"/>
      <c r="O87" s="29"/>
    </row>
    <row r="88" spans="1:15" ht="26.25" customHeight="1">
      <c r="A88" s="25"/>
      <c r="B88" s="25"/>
      <c r="C88" s="26"/>
      <c r="D88" s="26"/>
      <c r="E88" s="26"/>
      <c r="F88" s="26"/>
      <c r="G88" s="26"/>
      <c r="H88" s="36"/>
      <c r="I88" s="36"/>
      <c r="J88" s="36"/>
      <c r="K88" s="36"/>
      <c r="L88" s="36"/>
      <c r="M88" s="36"/>
      <c r="N88" s="36"/>
      <c r="O88" s="36"/>
    </row>
    <row r="89" spans="1:15" ht="26.25" customHeight="1">
      <c r="A89" s="15"/>
      <c r="B89" s="21"/>
      <c r="C89" s="15"/>
      <c r="D89" s="15"/>
      <c r="E89" s="15"/>
      <c r="F89" s="15"/>
      <c r="G89" s="35"/>
      <c r="H89" s="35"/>
      <c r="I89" s="35"/>
      <c r="J89" s="35"/>
      <c r="K89" s="35"/>
      <c r="L89" s="35"/>
      <c r="M89" s="35"/>
      <c r="N89" s="22"/>
      <c r="O89" s="22"/>
    </row>
    <row r="90" spans="1:15" ht="26.25" customHeight="1">
      <c r="A90" s="27"/>
      <c r="B90" s="28"/>
      <c r="C90" s="27"/>
      <c r="D90" s="27"/>
      <c r="E90" s="27"/>
      <c r="F90" s="27"/>
      <c r="G90" s="30"/>
      <c r="H90" s="30"/>
      <c r="I90" s="30"/>
      <c r="J90" s="30"/>
      <c r="K90" s="30"/>
      <c r="L90" s="30"/>
      <c r="M90" s="30"/>
      <c r="N90" s="29"/>
      <c r="O90" s="29"/>
    </row>
    <row r="91" spans="1:15" ht="26.25" customHeight="1">
      <c r="A91" s="25"/>
      <c r="B91" s="25"/>
      <c r="C91" s="26"/>
      <c r="D91" s="26"/>
      <c r="E91" s="26"/>
      <c r="F91" s="26"/>
      <c r="G91" s="26"/>
      <c r="H91" s="36"/>
      <c r="I91" s="36"/>
      <c r="J91" s="36"/>
      <c r="K91" s="36"/>
      <c r="L91" s="36"/>
      <c r="M91" s="36"/>
      <c r="N91" s="36"/>
      <c r="O91" s="36"/>
    </row>
    <row r="92" spans="1:15" ht="26.25" customHeight="1">
      <c r="A92" s="15"/>
      <c r="B92" s="21"/>
      <c r="C92" s="15"/>
      <c r="D92" s="15"/>
      <c r="E92" s="15"/>
      <c r="F92" s="15"/>
      <c r="G92" s="35"/>
      <c r="H92" s="35"/>
      <c r="I92" s="35"/>
      <c r="J92" s="35"/>
      <c r="K92" s="35"/>
      <c r="L92" s="35"/>
      <c r="M92" s="35"/>
      <c r="N92" s="22"/>
      <c r="O92" s="22"/>
    </row>
    <row r="93" spans="1:15" ht="26.25" customHeight="1">
      <c r="A93" s="27"/>
      <c r="B93" s="28"/>
      <c r="C93" s="27"/>
      <c r="D93" s="27"/>
      <c r="E93" s="27"/>
      <c r="F93" s="27"/>
      <c r="G93" s="30"/>
      <c r="H93" s="30"/>
      <c r="I93" s="30"/>
      <c r="J93" s="30"/>
      <c r="K93" s="30"/>
      <c r="L93" s="30"/>
      <c r="M93" s="30"/>
      <c r="N93" s="29"/>
      <c r="O93" s="29"/>
    </row>
    <row r="94" spans="1:15" ht="26.25" customHeight="1">
      <c r="A94" s="25"/>
      <c r="B94" s="25"/>
      <c r="C94" s="26"/>
      <c r="D94" s="26"/>
      <c r="E94" s="26"/>
      <c r="F94" s="26"/>
      <c r="G94" s="26"/>
      <c r="H94" s="36"/>
      <c r="I94" s="36"/>
      <c r="J94" s="36"/>
      <c r="K94" s="36"/>
      <c r="L94" s="36"/>
      <c r="M94" s="36"/>
      <c r="N94" s="36"/>
      <c r="O94" s="36"/>
    </row>
    <row r="95" spans="1:15" ht="26.25" customHeight="1">
      <c r="A95" s="15"/>
      <c r="B95" s="21"/>
      <c r="C95" s="15"/>
      <c r="D95" s="15"/>
      <c r="E95" s="15"/>
      <c r="F95" s="15"/>
      <c r="G95" s="35"/>
      <c r="H95" s="35"/>
      <c r="I95" s="35"/>
      <c r="J95" s="35"/>
      <c r="K95" s="35"/>
      <c r="L95" s="35"/>
      <c r="M95" s="35"/>
      <c r="N95" s="22"/>
      <c r="O95" s="22"/>
    </row>
    <row r="96" spans="1:15" ht="26.25" customHeight="1">
      <c r="A96" s="27"/>
      <c r="B96" s="28"/>
      <c r="C96" s="27"/>
      <c r="D96" s="27"/>
      <c r="E96" s="27"/>
      <c r="F96" s="27"/>
      <c r="G96" s="30"/>
      <c r="H96" s="30"/>
      <c r="I96" s="30"/>
      <c r="J96" s="30"/>
      <c r="K96" s="30"/>
      <c r="L96" s="30"/>
      <c r="M96" s="30"/>
      <c r="N96" s="29"/>
      <c r="O96" s="29"/>
    </row>
    <row r="97" spans="1:15" ht="26.25" customHeight="1">
      <c r="A97" s="25"/>
      <c r="B97" s="25"/>
      <c r="C97" s="26"/>
      <c r="D97" s="26"/>
      <c r="E97" s="26"/>
      <c r="F97" s="26"/>
      <c r="G97" s="26"/>
      <c r="H97" s="36"/>
      <c r="I97" s="36"/>
      <c r="J97" s="36"/>
      <c r="K97" s="36"/>
      <c r="L97" s="36"/>
      <c r="M97" s="36"/>
      <c r="N97" s="36"/>
      <c r="O97" s="36"/>
    </row>
    <row r="98" spans="1:15" ht="26.25" customHeight="1">
      <c r="A98" s="15"/>
      <c r="B98" s="21"/>
      <c r="C98" s="15"/>
      <c r="D98" s="15"/>
      <c r="E98" s="15"/>
      <c r="F98" s="15"/>
      <c r="G98" s="35"/>
      <c r="H98" s="35"/>
      <c r="I98" s="35"/>
      <c r="J98" s="35"/>
      <c r="K98" s="35"/>
      <c r="L98" s="35"/>
      <c r="M98" s="35"/>
      <c r="N98" s="22"/>
      <c r="O98" s="22"/>
    </row>
    <row r="99" spans="1:15" ht="26.25" customHeight="1">
      <c r="A99" s="27"/>
      <c r="B99" s="28"/>
      <c r="C99" s="27"/>
      <c r="D99" s="27"/>
      <c r="E99" s="27"/>
      <c r="F99" s="27"/>
      <c r="G99" s="30"/>
      <c r="H99" s="30"/>
      <c r="I99" s="30"/>
      <c r="J99" s="30"/>
      <c r="K99" s="30"/>
      <c r="L99" s="30"/>
      <c r="M99" s="30"/>
      <c r="N99" s="29"/>
      <c r="O99" s="29"/>
    </row>
    <row r="100" spans="1:15" ht="26.25" customHeight="1">
      <c r="A100" s="25"/>
      <c r="B100" s="25"/>
      <c r="C100" s="26"/>
      <c r="D100" s="26"/>
      <c r="E100" s="26"/>
      <c r="F100" s="26"/>
      <c r="G100" s="26"/>
      <c r="H100" s="36"/>
      <c r="I100" s="36"/>
      <c r="J100" s="36"/>
      <c r="K100" s="36"/>
      <c r="L100" s="36"/>
      <c r="M100" s="36"/>
      <c r="N100" s="36"/>
      <c r="O100" s="36"/>
    </row>
    <row r="101" spans="1:15" ht="26.25" customHeight="1">
      <c r="A101" s="15"/>
      <c r="B101" s="21"/>
      <c r="C101" s="15"/>
      <c r="D101" s="15"/>
      <c r="E101" s="15"/>
      <c r="F101" s="15"/>
      <c r="G101" s="35"/>
      <c r="H101" s="35"/>
      <c r="I101" s="35"/>
      <c r="J101" s="35"/>
      <c r="K101" s="35"/>
      <c r="L101" s="35"/>
      <c r="M101" s="35"/>
      <c r="N101" s="22"/>
      <c r="O101" s="22"/>
    </row>
    <row r="102" spans="1:15" ht="26.25" customHeight="1">
      <c r="A102" s="27"/>
      <c r="B102" s="28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29"/>
      <c r="O102" s="29"/>
    </row>
    <row r="103" spans="1:15" ht="26.25" customHeight="1">
      <c r="A103" s="25"/>
      <c r="B103" s="25"/>
      <c r="C103" s="26"/>
      <c r="D103" s="26"/>
      <c r="E103" s="26"/>
      <c r="F103" s="26"/>
      <c r="G103" s="26"/>
      <c r="H103" s="36"/>
      <c r="I103" s="36"/>
      <c r="J103" s="36"/>
      <c r="K103" s="36"/>
      <c r="L103" s="36"/>
      <c r="M103" s="36"/>
      <c r="N103" s="36"/>
      <c r="O103" s="36"/>
    </row>
    <row r="104" spans="1:15" ht="26.25" customHeight="1">
      <c r="A104" s="15"/>
      <c r="B104" s="21"/>
      <c r="C104" s="15"/>
      <c r="D104" s="15"/>
      <c r="E104" s="15"/>
      <c r="F104" s="15"/>
      <c r="G104" s="35"/>
      <c r="H104" s="35"/>
      <c r="I104" s="35"/>
      <c r="J104" s="35"/>
      <c r="K104" s="35"/>
      <c r="L104" s="35"/>
      <c r="M104" s="35"/>
      <c r="N104" s="22"/>
      <c r="O104" s="22"/>
    </row>
    <row r="105" spans="1:15" ht="26.25" customHeight="1">
      <c r="A105" s="27"/>
      <c r="B105" s="28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29"/>
      <c r="O105" s="29"/>
    </row>
    <row r="106" spans="1:15" ht="26.25" customHeight="1">
      <c r="A106" s="25"/>
      <c r="B106" s="25"/>
      <c r="C106" s="26"/>
      <c r="D106" s="26"/>
      <c r="E106" s="26"/>
      <c r="F106" s="26"/>
      <c r="G106" s="26"/>
      <c r="H106" s="36"/>
      <c r="I106" s="36"/>
      <c r="J106" s="36"/>
      <c r="K106" s="36"/>
      <c r="L106" s="36"/>
      <c r="M106" s="36"/>
      <c r="N106" s="36"/>
      <c r="O106" s="36"/>
    </row>
    <row r="107" spans="1:15" ht="26.25" customHeight="1">
      <c r="A107" s="15"/>
      <c r="B107" s="21"/>
      <c r="C107" s="15"/>
      <c r="D107" s="15"/>
      <c r="E107" s="15"/>
      <c r="F107" s="15"/>
      <c r="G107" s="35"/>
      <c r="H107" s="35"/>
      <c r="I107" s="35"/>
      <c r="J107" s="35"/>
      <c r="K107" s="35"/>
      <c r="L107" s="35"/>
      <c r="M107" s="35"/>
      <c r="N107" s="22"/>
      <c r="O107" s="22"/>
    </row>
    <row r="108" spans="1:15" ht="26.25" customHeight="1">
      <c r="A108" s="27"/>
      <c r="B108" s="28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29"/>
      <c r="O108" s="29"/>
    </row>
    <row r="109" spans="1:15" ht="26.25" customHeight="1">
      <c r="A109" s="25"/>
      <c r="B109" s="25"/>
      <c r="C109" s="26"/>
      <c r="D109" s="26"/>
      <c r="E109" s="26"/>
      <c r="F109" s="26"/>
      <c r="G109" s="26"/>
      <c r="H109" s="36"/>
      <c r="I109" s="36"/>
      <c r="J109" s="36"/>
      <c r="K109" s="36"/>
      <c r="L109" s="36"/>
      <c r="M109" s="36"/>
      <c r="N109" s="36"/>
      <c r="O109" s="36"/>
    </row>
    <row r="110" spans="1:15" ht="26.25" customHeight="1">
      <c r="A110" s="15"/>
      <c r="B110" s="21"/>
      <c r="C110" s="15"/>
      <c r="D110" s="15"/>
      <c r="E110" s="15"/>
      <c r="F110" s="15"/>
      <c r="G110" s="35"/>
      <c r="H110" s="35"/>
      <c r="I110" s="35"/>
      <c r="J110" s="35"/>
      <c r="K110" s="35"/>
      <c r="L110" s="35"/>
      <c r="M110" s="35"/>
      <c r="N110" s="22"/>
      <c r="O110" s="22"/>
    </row>
    <row r="111" spans="1:15" ht="26.25" customHeight="1">
      <c r="A111" s="27"/>
      <c r="B111" s="28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29"/>
      <c r="O111" s="29"/>
    </row>
    <row r="112" spans="1:15" ht="26.25" customHeight="1">
      <c r="A112" s="25"/>
      <c r="B112" s="25"/>
      <c r="C112" s="26"/>
      <c r="D112" s="26"/>
      <c r="E112" s="26"/>
      <c r="F112" s="26"/>
      <c r="G112" s="26"/>
      <c r="H112" s="36"/>
      <c r="I112" s="36"/>
      <c r="J112" s="36"/>
      <c r="K112" s="36"/>
      <c r="L112" s="36"/>
      <c r="M112" s="36"/>
      <c r="N112" s="36"/>
      <c r="O112" s="36"/>
    </row>
    <row r="113" spans="1:15" ht="26.25" customHeight="1">
      <c r="A113" s="15"/>
      <c r="B113" s="21"/>
      <c r="C113" s="15"/>
      <c r="D113" s="15"/>
      <c r="E113" s="15"/>
      <c r="F113" s="15"/>
      <c r="G113" s="35"/>
      <c r="H113" s="35"/>
      <c r="I113" s="35"/>
      <c r="J113" s="35"/>
      <c r="K113" s="35"/>
      <c r="L113" s="35"/>
      <c r="M113" s="35"/>
      <c r="N113" s="22"/>
      <c r="O113" s="22"/>
    </row>
    <row r="114" spans="1:15" ht="26.25" customHeight="1">
      <c r="A114" s="27"/>
      <c r="B114" s="28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29"/>
      <c r="O114" s="29"/>
    </row>
    <row r="115" spans="1:15" ht="26.25" customHeight="1">
      <c r="A115" s="25"/>
      <c r="B115" s="25"/>
      <c r="C115" s="26"/>
      <c r="D115" s="26"/>
      <c r="E115" s="26"/>
      <c r="F115" s="26"/>
      <c r="G115" s="26"/>
      <c r="H115" s="36"/>
      <c r="I115" s="36"/>
      <c r="J115" s="36"/>
      <c r="K115" s="36"/>
      <c r="L115" s="36"/>
      <c r="M115" s="36"/>
      <c r="N115" s="36"/>
      <c r="O115" s="36"/>
    </row>
    <row r="116" spans="1:15" ht="26.25" customHeight="1">
      <c r="A116" s="15"/>
      <c r="B116" s="21"/>
      <c r="C116" s="15"/>
      <c r="D116" s="15"/>
      <c r="E116" s="15"/>
      <c r="F116" s="15"/>
      <c r="G116" s="35"/>
      <c r="H116" s="35"/>
      <c r="I116" s="35"/>
      <c r="J116" s="35"/>
      <c r="K116" s="35"/>
      <c r="L116" s="35"/>
      <c r="M116" s="35"/>
      <c r="N116" s="22"/>
      <c r="O116" s="22"/>
    </row>
    <row r="117" spans="1:15" ht="26.25" customHeight="1">
      <c r="A117" s="27"/>
      <c r="B117" s="28"/>
      <c r="C117" s="27"/>
      <c r="D117" s="27"/>
      <c r="E117" s="27"/>
      <c r="F117" s="27"/>
      <c r="G117" s="30"/>
      <c r="H117" s="30"/>
      <c r="I117" s="30"/>
      <c r="J117" s="30"/>
      <c r="K117" s="30"/>
      <c r="L117" s="30"/>
      <c r="M117" s="30"/>
      <c r="N117" s="29"/>
      <c r="O117" s="29"/>
    </row>
    <row r="118" spans="1:15" ht="26.25" customHeight="1">
      <c r="A118" s="25"/>
      <c r="B118" s="25"/>
      <c r="C118" s="26"/>
      <c r="D118" s="26"/>
      <c r="E118" s="26"/>
      <c r="F118" s="26"/>
      <c r="G118" s="26"/>
      <c r="H118" s="36"/>
      <c r="I118" s="36"/>
      <c r="J118" s="36"/>
      <c r="K118" s="36"/>
      <c r="L118" s="36"/>
      <c r="M118" s="36"/>
      <c r="N118" s="36"/>
      <c r="O118" s="36"/>
    </row>
    <row r="119" spans="1:15" ht="26.25" customHeight="1">
      <c r="A119" s="15"/>
      <c r="B119" s="21"/>
      <c r="C119" s="15"/>
      <c r="D119" s="15"/>
      <c r="E119" s="15"/>
      <c r="F119" s="15"/>
      <c r="G119" s="35"/>
      <c r="H119" s="35"/>
      <c r="I119" s="35"/>
      <c r="J119" s="35"/>
      <c r="K119" s="35"/>
      <c r="L119" s="35"/>
      <c r="M119" s="35"/>
      <c r="N119" s="22"/>
      <c r="O119" s="22"/>
    </row>
    <row r="120" spans="1:15" ht="26.25" customHeight="1">
      <c r="A120" s="27"/>
      <c r="B120" s="28"/>
      <c r="C120" s="27"/>
      <c r="D120" s="27"/>
      <c r="E120" s="27"/>
      <c r="F120" s="27"/>
      <c r="G120" s="30"/>
      <c r="H120" s="30"/>
      <c r="I120" s="30"/>
      <c r="J120" s="30"/>
      <c r="K120" s="30"/>
      <c r="L120" s="30"/>
      <c r="M120" s="30"/>
      <c r="N120" s="29"/>
      <c r="O120" s="29"/>
    </row>
    <row r="121" spans="1:15" ht="26.25" customHeight="1">
      <c r="A121" s="25"/>
      <c r="B121" s="25"/>
      <c r="C121" s="26"/>
      <c r="D121" s="26"/>
      <c r="E121" s="26"/>
      <c r="F121" s="26"/>
      <c r="G121" s="26"/>
      <c r="H121" s="36"/>
      <c r="I121" s="36"/>
      <c r="J121" s="36"/>
      <c r="K121" s="36"/>
      <c r="L121" s="36"/>
      <c r="M121" s="36"/>
      <c r="N121" s="36"/>
      <c r="O121" s="36"/>
    </row>
    <row r="122" spans="1:15" ht="26.25" customHeight="1">
      <c r="A122" s="15"/>
      <c r="B122" s="21"/>
      <c r="C122" s="15"/>
      <c r="D122" s="15"/>
      <c r="E122" s="15"/>
      <c r="F122" s="15"/>
      <c r="G122" s="35"/>
      <c r="H122" s="35"/>
      <c r="I122" s="35"/>
      <c r="J122" s="35"/>
      <c r="K122" s="35"/>
      <c r="L122" s="35"/>
      <c r="M122" s="35"/>
      <c r="N122" s="22"/>
      <c r="O122" s="22"/>
    </row>
    <row r="123" spans="1:15" ht="26.25" customHeight="1">
      <c r="A123" s="27"/>
      <c r="B123" s="28"/>
      <c r="C123" s="27"/>
      <c r="D123" s="27"/>
      <c r="E123" s="27"/>
      <c r="F123" s="27"/>
      <c r="G123" s="30"/>
      <c r="H123" s="30"/>
      <c r="I123" s="30"/>
      <c r="J123" s="30"/>
      <c r="K123" s="30"/>
      <c r="L123" s="30"/>
      <c r="M123" s="30"/>
      <c r="N123" s="29"/>
      <c r="O123" s="29"/>
    </row>
    <row r="124" spans="1:15" ht="26.25" customHeight="1">
      <c r="A124" s="25"/>
      <c r="B124" s="25"/>
      <c r="C124" s="26"/>
      <c r="D124" s="26"/>
      <c r="E124" s="26"/>
      <c r="F124" s="26"/>
      <c r="G124" s="26"/>
      <c r="H124" s="36"/>
      <c r="I124" s="36"/>
      <c r="J124" s="36"/>
      <c r="K124" s="36"/>
      <c r="L124" s="36"/>
      <c r="M124" s="36"/>
      <c r="N124" s="36"/>
      <c r="O124" s="36"/>
    </row>
    <row r="125" spans="1:15" ht="26.25" customHeight="1">
      <c r="A125" s="15"/>
      <c r="B125" s="21"/>
      <c r="C125" s="15"/>
      <c r="D125" s="15"/>
      <c r="E125" s="15"/>
      <c r="F125" s="15"/>
      <c r="G125" s="35"/>
      <c r="H125" s="35"/>
      <c r="I125" s="35"/>
      <c r="J125" s="35"/>
      <c r="K125" s="35"/>
      <c r="L125" s="35"/>
      <c r="M125" s="35"/>
      <c r="N125" s="22"/>
      <c r="O125" s="22"/>
    </row>
    <row r="126" spans="1:15" ht="26.25" customHeight="1">
      <c r="A126" s="27"/>
      <c r="B126" s="28"/>
      <c r="C126" s="27"/>
      <c r="D126" s="27"/>
      <c r="E126" s="27"/>
      <c r="F126" s="27"/>
      <c r="G126" s="30"/>
      <c r="H126" s="30"/>
      <c r="I126" s="30"/>
      <c r="J126" s="30"/>
      <c r="K126" s="30"/>
      <c r="L126" s="30"/>
      <c r="M126" s="30"/>
      <c r="N126" s="29"/>
      <c r="O126" s="29"/>
    </row>
    <row r="127" spans="1:15" ht="26.25" customHeight="1">
      <c r="A127" s="25"/>
      <c r="B127" s="25"/>
      <c r="C127" s="26"/>
      <c r="D127" s="26"/>
      <c r="E127" s="26"/>
      <c r="F127" s="26"/>
      <c r="G127" s="26"/>
      <c r="H127" s="36"/>
      <c r="I127" s="36"/>
      <c r="J127" s="36"/>
      <c r="K127" s="36"/>
      <c r="L127" s="36"/>
      <c r="M127" s="36"/>
      <c r="N127" s="36"/>
      <c r="O127" s="36"/>
    </row>
    <row r="128" spans="1:15" ht="26.25" customHeight="1">
      <c r="A128" s="15"/>
      <c r="B128" s="21"/>
      <c r="C128" s="15"/>
      <c r="D128" s="15"/>
      <c r="E128" s="15"/>
      <c r="F128" s="15"/>
      <c r="G128" s="35"/>
      <c r="H128" s="35"/>
      <c r="I128" s="35"/>
      <c r="J128" s="35"/>
      <c r="K128" s="35"/>
      <c r="L128" s="35"/>
      <c r="M128" s="35"/>
      <c r="N128" s="22"/>
      <c r="O128" s="22"/>
    </row>
    <row r="129" spans="1:15" ht="26.25" customHeight="1">
      <c r="A129" s="27"/>
      <c r="B129" s="28"/>
      <c r="C129" s="27"/>
      <c r="D129" s="27"/>
      <c r="E129" s="27"/>
      <c r="F129" s="27"/>
      <c r="G129" s="30"/>
      <c r="H129" s="30"/>
      <c r="I129" s="30"/>
      <c r="J129" s="30"/>
      <c r="K129" s="30"/>
      <c r="L129" s="30"/>
      <c r="M129" s="30"/>
      <c r="N129" s="29"/>
      <c r="O129" s="29"/>
    </row>
    <row r="130" spans="1:15" ht="26.25" customHeight="1">
      <c r="A130" s="25"/>
      <c r="B130" s="25"/>
      <c r="C130" s="26"/>
      <c r="D130" s="26"/>
      <c r="E130" s="26"/>
      <c r="F130" s="26"/>
      <c r="G130" s="26"/>
      <c r="H130" s="36"/>
      <c r="I130" s="36"/>
      <c r="J130" s="36"/>
      <c r="K130" s="36"/>
      <c r="L130" s="36"/>
      <c r="M130" s="36"/>
      <c r="N130" s="36"/>
      <c r="O130" s="36"/>
    </row>
    <row r="131" spans="1:15" ht="26.25" customHeight="1">
      <c r="A131" s="15"/>
      <c r="B131" s="21"/>
      <c r="C131" s="15"/>
      <c r="D131" s="15"/>
      <c r="E131" s="15"/>
      <c r="F131" s="15"/>
      <c r="G131" s="35"/>
      <c r="H131" s="35"/>
      <c r="I131" s="35"/>
      <c r="J131" s="35"/>
      <c r="K131" s="35"/>
      <c r="L131" s="35"/>
      <c r="M131" s="35"/>
      <c r="N131" s="22"/>
      <c r="O131" s="22"/>
    </row>
    <row r="132" spans="1:15" ht="26.25" customHeight="1">
      <c r="A132" s="27"/>
      <c r="B132" s="28"/>
      <c r="C132" s="27"/>
      <c r="D132" s="27"/>
      <c r="E132" s="27"/>
      <c r="F132" s="27"/>
      <c r="G132" s="30"/>
      <c r="H132" s="30"/>
      <c r="I132" s="30"/>
      <c r="J132" s="30"/>
      <c r="K132" s="30"/>
      <c r="L132" s="30"/>
      <c r="M132" s="30"/>
      <c r="N132" s="29"/>
      <c r="O132" s="29"/>
    </row>
    <row r="133" spans="1:15" ht="26.25" customHeight="1">
      <c r="A133" s="25"/>
      <c r="B133" s="25"/>
      <c r="C133" s="26"/>
      <c r="D133" s="26"/>
      <c r="E133" s="26"/>
      <c r="F133" s="26"/>
      <c r="G133" s="26"/>
      <c r="H133" s="36"/>
      <c r="I133" s="36"/>
      <c r="J133" s="36"/>
      <c r="K133" s="36"/>
      <c r="L133" s="36"/>
      <c r="M133" s="36"/>
      <c r="N133" s="36"/>
      <c r="O133" s="36"/>
    </row>
    <row r="134" spans="1:15" ht="26.25" customHeight="1">
      <c r="A134" s="15"/>
      <c r="B134" s="21"/>
      <c r="C134" s="15"/>
      <c r="D134" s="15"/>
      <c r="E134" s="15"/>
      <c r="F134" s="15"/>
      <c r="G134" s="35"/>
      <c r="H134" s="35"/>
      <c r="I134" s="35"/>
      <c r="J134" s="35"/>
      <c r="K134" s="35"/>
      <c r="L134" s="35"/>
      <c r="M134" s="35"/>
      <c r="N134" s="22"/>
      <c r="O134" s="22"/>
    </row>
    <row r="135" spans="1:15" ht="26.25" customHeight="1">
      <c r="A135" s="27"/>
      <c r="B135" s="28"/>
      <c r="C135" s="27"/>
      <c r="D135" s="27"/>
      <c r="E135" s="27"/>
      <c r="F135" s="27"/>
      <c r="G135" s="30"/>
      <c r="H135" s="30"/>
      <c r="I135" s="30"/>
      <c r="J135" s="30"/>
      <c r="K135" s="30"/>
      <c r="L135" s="30"/>
      <c r="M135" s="30"/>
      <c r="N135" s="29"/>
      <c r="O135" s="29"/>
    </row>
    <row r="136" spans="1:15" ht="26.25" customHeight="1">
      <c r="A136" s="25"/>
      <c r="B136" s="25"/>
      <c r="C136" s="26"/>
      <c r="D136" s="26"/>
      <c r="E136" s="26"/>
      <c r="F136" s="26"/>
      <c r="G136" s="26"/>
      <c r="H136" s="36"/>
      <c r="I136" s="36"/>
      <c r="J136" s="36"/>
      <c r="K136" s="36"/>
      <c r="L136" s="36"/>
      <c r="M136" s="36"/>
      <c r="N136" s="36"/>
      <c r="O136" s="36"/>
    </row>
    <row r="137" spans="1:15" ht="26.25" customHeight="1">
      <c r="A137" s="15"/>
      <c r="B137" s="21"/>
      <c r="C137" s="15"/>
      <c r="D137" s="15"/>
      <c r="E137" s="15"/>
      <c r="F137" s="15"/>
      <c r="G137" s="35"/>
      <c r="H137" s="35"/>
      <c r="I137" s="35"/>
      <c r="J137" s="35"/>
      <c r="K137" s="35"/>
      <c r="L137" s="35"/>
      <c r="M137" s="35"/>
      <c r="N137" s="22"/>
      <c r="O137" s="22"/>
    </row>
    <row r="138" spans="1:15" ht="26.25" customHeight="1">
      <c r="A138" s="27"/>
      <c r="B138" s="28"/>
      <c r="C138" s="27"/>
      <c r="D138" s="27"/>
      <c r="E138" s="27"/>
      <c r="F138" s="27"/>
      <c r="G138" s="30"/>
      <c r="H138" s="30"/>
      <c r="I138" s="30"/>
      <c r="J138" s="30"/>
      <c r="K138" s="30"/>
      <c r="L138" s="30"/>
      <c r="M138" s="30"/>
      <c r="N138" s="29"/>
      <c r="O138" s="29"/>
    </row>
    <row r="139" spans="1:15" ht="26.25" customHeight="1">
      <c r="A139" s="25"/>
      <c r="B139" s="25"/>
      <c r="C139" s="26"/>
      <c r="D139" s="26"/>
      <c r="E139" s="26"/>
      <c r="F139" s="26"/>
      <c r="G139" s="26"/>
      <c r="H139" s="36"/>
      <c r="I139" s="36"/>
      <c r="J139" s="36"/>
      <c r="K139" s="36"/>
      <c r="L139" s="36"/>
      <c r="M139" s="36"/>
      <c r="N139" s="36"/>
      <c r="O139" s="36"/>
    </row>
    <row r="140" spans="1:15" ht="26.25" customHeight="1">
      <c r="A140" s="15"/>
      <c r="B140" s="21"/>
      <c r="C140" s="15"/>
      <c r="D140" s="15"/>
      <c r="E140" s="15"/>
      <c r="F140" s="15"/>
      <c r="G140" s="35"/>
      <c r="H140" s="35"/>
      <c r="I140" s="35"/>
      <c r="J140" s="35"/>
      <c r="K140" s="35"/>
      <c r="L140" s="35"/>
      <c r="M140" s="35"/>
      <c r="N140" s="22"/>
      <c r="O140" s="22"/>
    </row>
    <row r="141" spans="1:15" ht="26.25" customHeight="1">
      <c r="A141" s="27"/>
      <c r="B141" s="28"/>
      <c r="C141" s="27"/>
      <c r="D141" s="27"/>
      <c r="E141" s="27"/>
      <c r="F141" s="27"/>
      <c r="G141" s="30"/>
      <c r="H141" s="30"/>
      <c r="I141" s="30"/>
      <c r="J141" s="30"/>
      <c r="K141" s="30"/>
      <c r="L141" s="30"/>
      <c r="M141" s="30"/>
      <c r="N141" s="29"/>
      <c r="O141" s="29"/>
    </row>
    <row r="142" spans="1:15" ht="26.25" customHeight="1">
      <c r="A142" s="25"/>
      <c r="B142" s="25"/>
      <c r="C142" s="26"/>
      <c r="D142" s="26"/>
      <c r="E142" s="26"/>
      <c r="F142" s="26"/>
      <c r="G142" s="26"/>
      <c r="H142" s="36"/>
      <c r="I142" s="36"/>
      <c r="J142" s="36"/>
      <c r="K142" s="36"/>
      <c r="L142" s="36"/>
      <c r="M142" s="36"/>
      <c r="N142" s="36"/>
      <c r="O142" s="36"/>
    </row>
    <row r="143" spans="1:15" ht="26.25" customHeight="1">
      <c r="A143" s="15"/>
      <c r="B143" s="21"/>
      <c r="C143" s="15"/>
      <c r="D143" s="15"/>
      <c r="E143" s="15"/>
      <c r="F143" s="15"/>
      <c r="G143" s="35"/>
      <c r="H143" s="35"/>
      <c r="I143" s="35"/>
      <c r="J143" s="35"/>
      <c r="K143" s="35"/>
      <c r="L143" s="35"/>
      <c r="M143" s="35"/>
      <c r="N143" s="22"/>
      <c r="O143" s="22"/>
    </row>
    <row r="144" spans="1:15" ht="26.25" customHeight="1">
      <c r="A144" s="27"/>
      <c r="B144" s="28"/>
      <c r="C144" s="27"/>
      <c r="D144" s="27"/>
      <c r="E144" s="27"/>
      <c r="F144" s="27"/>
      <c r="G144" s="30"/>
      <c r="H144" s="30"/>
      <c r="I144" s="30"/>
      <c r="J144" s="30"/>
      <c r="K144" s="30"/>
      <c r="L144" s="30"/>
      <c r="M144" s="30"/>
      <c r="N144" s="29"/>
      <c r="O144" s="29"/>
    </row>
    <row r="145" spans="1:15" ht="26.25" customHeight="1">
      <c r="A145" s="25"/>
      <c r="B145" s="25"/>
      <c r="C145" s="26"/>
      <c r="D145" s="26"/>
      <c r="E145" s="26"/>
      <c r="F145" s="26"/>
      <c r="G145" s="26"/>
      <c r="H145" s="36"/>
      <c r="I145" s="36"/>
      <c r="J145" s="36"/>
      <c r="K145" s="36"/>
      <c r="L145" s="36"/>
      <c r="M145" s="36"/>
      <c r="N145" s="36"/>
      <c r="O145" s="36"/>
    </row>
    <row r="146" spans="1:15" ht="26.25" customHeight="1">
      <c r="A146" s="15"/>
      <c r="B146" s="21"/>
      <c r="C146" s="15"/>
      <c r="D146" s="15"/>
      <c r="E146" s="15"/>
      <c r="F146" s="15"/>
      <c r="G146" s="35"/>
      <c r="H146" s="35"/>
      <c r="I146" s="35"/>
      <c r="J146" s="35"/>
      <c r="K146" s="35"/>
      <c r="L146" s="35"/>
      <c r="M146" s="35"/>
      <c r="N146" s="22"/>
      <c r="O146" s="22"/>
    </row>
    <row r="147" spans="1:15" ht="26.25" customHeight="1">
      <c r="A147" s="27"/>
      <c r="B147" s="28"/>
      <c r="C147" s="27"/>
      <c r="D147" s="27"/>
      <c r="E147" s="27"/>
      <c r="F147" s="27"/>
      <c r="G147" s="30"/>
      <c r="H147" s="30"/>
      <c r="I147" s="30"/>
      <c r="J147" s="30"/>
      <c r="K147" s="30"/>
      <c r="L147" s="30"/>
      <c r="M147" s="30"/>
      <c r="N147" s="29"/>
      <c r="O147" s="29"/>
    </row>
    <row r="148" spans="1:15" ht="26.25" customHeight="1">
      <c r="A148" s="25"/>
      <c r="B148" s="25"/>
      <c r="C148" s="26"/>
      <c r="D148" s="26"/>
      <c r="E148" s="26"/>
      <c r="F148" s="26"/>
      <c r="G148" s="26"/>
      <c r="H148" s="36"/>
      <c r="I148" s="36"/>
      <c r="J148" s="36"/>
      <c r="K148" s="36"/>
      <c r="L148" s="36"/>
      <c r="M148" s="36"/>
      <c r="N148" s="36"/>
      <c r="O148" s="36"/>
    </row>
    <row r="149" spans="1:15" ht="26.25" customHeight="1">
      <c r="A149" s="15"/>
      <c r="B149" s="21"/>
      <c r="C149" s="15"/>
      <c r="D149" s="15"/>
      <c r="E149" s="15"/>
      <c r="F149" s="15"/>
      <c r="G149" s="35"/>
      <c r="H149" s="35"/>
      <c r="I149" s="35"/>
      <c r="J149" s="35"/>
      <c r="K149" s="35"/>
      <c r="L149" s="35"/>
      <c r="M149" s="35"/>
      <c r="N149" s="22"/>
      <c r="O149" s="22"/>
    </row>
    <row r="150" spans="1:15" ht="26.25" customHeight="1">
      <c r="A150" s="27"/>
      <c r="B150" s="28"/>
      <c r="C150" s="27"/>
      <c r="D150" s="27"/>
      <c r="E150" s="27"/>
      <c r="F150" s="27"/>
      <c r="G150" s="30"/>
      <c r="H150" s="30"/>
      <c r="I150" s="30"/>
      <c r="J150" s="30"/>
      <c r="K150" s="30"/>
      <c r="L150" s="30"/>
      <c r="M150" s="30"/>
      <c r="N150" s="29"/>
      <c r="O150" s="29"/>
    </row>
    <row r="151" spans="1:15" ht="26.25" customHeight="1">
      <c r="A151" s="25"/>
      <c r="B151" s="25"/>
      <c r="C151" s="26"/>
      <c r="D151" s="26"/>
      <c r="E151" s="26"/>
      <c r="F151" s="26"/>
      <c r="G151" s="26"/>
      <c r="H151" s="36"/>
      <c r="I151" s="36"/>
      <c r="J151" s="36"/>
      <c r="K151" s="36"/>
      <c r="L151" s="36"/>
      <c r="M151" s="36"/>
      <c r="N151" s="36"/>
      <c r="O151" s="36"/>
    </row>
    <row r="152" spans="1:15" ht="26.25" customHeight="1">
      <c r="A152" s="15"/>
      <c r="B152" s="21"/>
      <c r="C152" s="15"/>
      <c r="D152" s="15"/>
      <c r="E152" s="15"/>
      <c r="F152" s="15"/>
      <c r="G152" s="35"/>
      <c r="H152" s="35"/>
      <c r="I152" s="35"/>
      <c r="J152" s="35"/>
      <c r="K152" s="35"/>
      <c r="L152" s="35"/>
      <c r="M152" s="35"/>
      <c r="N152" s="22"/>
      <c r="O152" s="22"/>
    </row>
    <row r="153" spans="1:15" ht="26.25" customHeight="1">
      <c r="A153" s="27"/>
      <c r="B153" s="28"/>
      <c r="C153" s="27"/>
      <c r="D153" s="27"/>
      <c r="E153" s="27"/>
      <c r="F153" s="27"/>
      <c r="G153" s="30"/>
      <c r="H153" s="30"/>
      <c r="I153" s="30"/>
      <c r="J153" s="30"/>
      <c r="K153" s="30"/>
      <c r="L153" s="30"/>
      <c r="M153" s="30"/>
      <c r="N153" s="29"/>
      <c r="O153" s="29"/>
    </row>
    <row r="154" spans="1:15" ht="26.25" customHeight="1">
      <c r="A154" s="25"/>
      <c r="B154" s="25"/>
      <c r="C154" s="26"/>
      <c r="D154" s="26"/>
      <c r="E154" s="26"/>
      <c r="F154" s="26"/>
      <c r="G154" s="26"/>
      <c r="H154" s="36"/>
      <c r="I154" s="36"/>
      <c r="J154" s="36"/>
      <c r="K154" s="36"/>
      <c r="L154" s="36"/>
      <c r="M154" s="36"/>
      <c r="N154" s="36"/>
      <c r="O154" s="36"/>
    </row>
    <row r="155" spans="1:15" ht="26.25" customHeight="1">
      <c r="A155" s="15"/>
      <c r="B155" s="21"/>
      <c r="C155" s="15"/>
      <c r="D155" s="15"/>
      <c r="E155" s="15"/>
      <c r="F155" s="15"/>
      <c r="G155" s="35"/>
      <c r="H155" s="35"/>
      <c r="I155" s="35"/>
      <c r="J155" s="35"/>
      <c r="K155" s="35"/>
      <c r="L155" s="35"/>
      <c r="M155" s="35"/>
      <c r="N155" s="22"/>
      <c r="O155" s="22"/>
    </row>
    <row r="156" spans="1:15" ht="26.25" customHeight="1">
      <c r="A156" s="27"/>
      <c r="B156" s="28"/>
      <c r="C156" s="27"/>
      <c r="D156" s="27"/>
      <c r="E156" s="27"/>
      <c r="F156" s="27"/>
      <c r="G156" s="30"/>
      <c r="H156" s="30"/>
      <c r="I156" s="30"/>
      <c r="J156" s="30"/>
      <c r="K156" s="30"/>
      <c r="L156" s="30"/>
      <c r="M156" s="30"/>
      <c r="N156" s="29"/>
      <c r="O156" s="29"/>
    </row>
    <row r="157" spans="1:15" ht="26.25" customHeight="1">
      <c r="A157" s="25"/>
      <c r="B157" s="25"/>
      <c r="C157" s="26"/>
      <c r="D157" s="26"/>
      <c r="E157" s="26"/>
      <c r="F157" s="26"/>
      <c r="G157" s="26"/>
      <c r="H157" s="36"/>
      <c r="I157" s="36"/>
      <c r="J157" s="36"/>
      <c r="K157" s="36"/>
      <c r="L157" s="36"/>
      <c r="M157" s="36"/>
      <c r="N157" s="36"/>
      <c r="O157" s="36"/>
    </row>
    <row r="158" spans="1:15" ht="26.25" customHeight="1">
      <c r="A158" s="15"/>
      <c r="B158" s="21"/>
      <c r="C158" s="15"/>
      <c r="D158" s="15"/>
      <c r="E158" s="15"/>
      <c r="F158" s="15"/>
      <c r="G158" s="35"/>
      <c r="H158" s="35"/>
      <c r="I158" s="35"/>
      <c r="J158" s="35"/>
      <c r="K158" s="35"/>
      <c r="L158" s="35"/>
      <c r="M158" s="35"/>
      <c r="N158" s="22"/>
      <c r="O158" s="22"/>
    </row>
    <row r="159" spans="1:15" ht="26.25" customHeight="1">
      <c r="A159" s="27"/>
      <c r="B159" s="28"/>
      <c r="C159" s="27"/>
      <c r="D159" s="27"/>
      <c r="E159" s="27"/>
      <c r="F159" s="27"/>
      <c r="G159" s="30"/>
      <c r="H159" s="30"/>
      <c r="I159" s="30"/>
      <c r="J159" s="30"/>
      <c r="K159" s="30"/>
      <c r="L159" s="30"/>
      <c r="M159" s="30"/>
      <c r="N159" s="29"/>
      <c r="O159" s="29"/>
    </row>
    <row r="160" spans="1:15" ht="26.25" customHeight="1">
      <c r="A160" s="25"/>
      <c r="B160" s="25"/>
      <c r="C160" s="26"/>
      <c r="D160" s="26"/>
      <c r="E160" s="26"/>
      <c r="F160" s="26"/>
      <c r="G160" s="26"/>
      <c r="H160" s="36"/>
      <c r="I160" s="36"/>
      <c r="J160" s="36"/>
      <c r="K160" s="36"/>
      <c r="L160" s="36"/>
      <c r="M160" s="36"/>
      <c r="N160" s="36"/>
      <c r="O160" s="36"/>
    </row>
    <row r="161" spans="1:15" ht="26.25" customHeight="1">
      <c r="A161" s="15"/>
      <c r="B161" s="21"/>
      <c r="C161" s="15"/>
      <c r="D161" s="15"/>
      <c r="E161" s="15"/>
      <c r="F161" s="15"/>
      <c r="G161" s="35"/>
      <c r="H161" s="35"/>
      <c r="I161" s="35"/>
      <c r="J161" s="35"/>
      <c r="K161" s="35"/>
      <c r="L161" s="35"/>
      <c r="M161" s="35"/>
      <c r="N161" s="22"/>
      <c r="O161" s="22"/>
    </row>
    <row r="162" spans="1:15" ht="26.25" customHeight="1">
      <c r="A162" s="27"/>
      <c r="B162" s="28"/>
      <c r="C162" s="27"/>
      <c r="D162" s="27"/>
      <c r="E162" s="27"/>
      <c r="F162" s="27"/>
      <c r="G162" s="30"/>
      <c r="H162" s="30"/>
      <c r="I162" s="30"/>
      <c r="J162" s="30"/>
      <c r="K162" s="30"/>
      <c r="L162" s="30"/>
      <c r="M162" s="30"/>
      <c r="N162" s="29"/>
      <c r="O162" s="29"/>
    </row>
    <row r="163" spans="1:15" ht="26.25" customHeight="1">
      <c r="A163" s="25"/>
      <c r="B163" s="25"/>
      <c r="C163" s="26"/>
      <c r="D163" s="26"/>
      <c r="E163" s="26"/>
      <c r="F163" s="26"/>
      <c r="G163" s="26"/>
      <c r="H163" s="36"/>
      <c r="I163" s="36"/>
      <c r="J163" s="36"/>
      <c r="K163" s="36"/>
      <c r="L163" s="36"/>
      <c r="M163" s="36"/>
      <c r="N163" s="36"/>
      <c r="O163" s="36"/>
    </row>
    <row r="164" spans="1:15" ht="26.25" customHeight="1">
      <c r="A164" s="15"/>
      <c r="B164" s="21"/>
      <c r="C164" s="15"/>
      <c r="D164" s="15"/>
      <c r="E164" s="15"/>
      <c r="F164" s="15"/>
      <c r="G164" s="35"/>
      <c r="H164" s="35"/>
      <c r="I164" s="35"/>
      <c r="J164" s="35"/>
      <c r="K164" s="35"/>
      <c r="L164" s="35"/>
      <c r="M164" s="35"/>
      <c r="N164" s="22"/>
      <c r="O164" s="22"/>
    </row>
    <row r="165" spans="1:15" ht="26.25" customHeight="1">
      <c r="A165" s="27"/>
      <c r="B165" s="28"/>
      <c r="C165" s="27"/>
      <c r="D165" s="27"/>
      <c r="E165" s="27"/>
      <c r="F165" s="27"/>
      <c r="G165" s="30"/>
      <c r="H165" s="30"/>
      <c r="I165" s="30"/>
      <c r="J165" s="30"/>
      <c r="K165" s="30"/>
      <c r="L165" s="30"/>
      <c r="M165" s="30"/>
      <c r="N165" s="29"/>
      <c r="O165" s="29"/>
    </row>
    <row r="166" spans="1:15" ht="26.25" customHeight="1">
      <c r="A166" s="25"/>
      <c r="B166" s="25"/>
      <c r="C166" s="26"/>
      <c r="D166" s="26"/>
      <c r="E166" s="26"/>
      <c r="F166" s="26"/>
      <c r="G166" s="26"/>
      <c r="H166" s="36"/>
      <c r="I166" s="36"/>
      <c r="J166" s="36"/>
      <c r="K166" s="36"/>
      <c r="L166" s="36"/>
      <c r="M166" s="36"/>
      <c r="N166" s="36"/>
      <c r="O166" s="36"/>
    </row>
    <row r="167" spans="1:15" ht="26.25" customHeight="1">
      <c r="A167" s="15"/>
      <c r="B167" s="21"/>
      <c r="C167" s="15"/>
      <c r="D167" s="15"/>
      <c r="E167" s="15"/>
      <c r="F167" s="15"/>
      <c r="G167" s="35"/>
      <c r="H167" s="35"/>
      <c r="I167" s="35"/>
      <c r="J167" s="35"/>
      <c r="K167" s="35"/>
      <c r="L167" s="35"/>
      <c r="M167" s="35"/>
      <c r="N167" s="22"/>
      <c r="O167" s="22"/>
    </row>
    <row r="168" spans="1:15" ht="26.25" customHeight="1">
      <c r="A168" s="27"/>
      <c r="B168" s="28"/>
      <c r="C168" s="27"/>
      <c r="D168" s="27"/>
      <c r="E168" s="27"/>
      <c r="F168" s="27"/>
      <c r="G168" s="30"/>
      <c r="H168" s="30"/>
      <c r="I168" s="30"/>
      <c r="J168" s="30"/>
      <c r="K168" s="30"/>
      <c r="L168" s="30"/>
      <c r="M168" s="30"/>
      <c r="N168" s="29"/>
      <c r="O168" s="29"/>
    </row>
    <row r="169" spans="1:15" ht="26.25" customHeight="1">
      <c r="A169" s="25"/>
      <c r="B169" s="25"/>
      <c r="C169" s="26"/>
      <c r="D169" s="26"/>
      <c r="E169" s="26"/>
      <c r="F169" s="26"/>
      <c r="G169" s="26"/>
      <c r="H169" s="36"/>
      <c r="I169" s="36"/>
      <c r="J169" s="36"/>
      <c r="K169" s="36"/>
      <c r="L169" s="36"/>
      <c r="M169" s="36"/>
      <c r="N169" s="36"/>
      <c r="O169" s="36"/>
    </row>
    <row r="170" spans="1:15" ht="26.25" customHeight="1">
      <c r="A170" s="15"/>
      <c r="B170" s="21"/>
      <c r="C170" s="15"/>
      <c r="D170" s="15"/>
      <c r="E170" s="15"/>
      <c r="F170" s="15"/>
      <c r="G170" s="35"/>
      <c r="H170" s="35"/>
      <c r="I170" s="35"/>
      <c r="J170" s="35"/>
      <c r="K170" s="35"/>
      <c r="L170" s="35"/>
      <c r="M170" s="35"/>
      <c r="N170" s="22"/>
      <c r="O170" s="22"/>
    </row>
    <row r="171" spans="1:15" ht="26.25" customHeight="1">
      <c r="A171" s="27"/>
      <c r="B171" s="28"/>
      <c r="C171" s="27"/>
      <c r="D171" s="27"/>
      <c r="E171" s="27"/>
      <c r="F171" s="27"/>
      <c r="G171" s="30"/>
      <c r="H171" s="30"/>
      <c r="I171" s="30"/>
      <c r="J171" s="30"/>
      <c r="K171" s="30"/>
      <c r="L171" s="30"/>
      <c r="M171" s="30"/>
      <c r="N171" s="29"/>
      <c r="O171" s="29"/>
    </row>
    <row r="172" spans="1:15" ht="26.25" customHeight="1">
      <c r="A172" s="25"/>
      <c r="B172" s="25"/>
      <c r="C172" s="26"/>
      <c r="D172" s="26"/>
      <c r="E172" s="26"/>
      <c r="F172" s="26"/>
      <c r="G172" s="26"/>
      <c r="H172" s="36"/>
      <c r="I172" s="36"/>
      <c r="J172" s="36"/>
      <c r="K172" s="36"/>
      <c r="L172" s="36"/>
      <c r="M172" s="36"/>
      <c r="N172" s="36"/>
      <c r="O172" s="36"/>
    </row>
    <row r="173" spans="1:15" ht="26.25" customHeight="1">
      <c r="A173" s="15"/>
      <c r="B173" s="21"/>
      <c r="C173" s="15"/>
      <c r="D173" s="15"/>
      <c r="E173" s="15"/>
      <c r="F173" s="15"/>
      <c r="G173" s="35"/>
      <c r="H173" s="35"/>
      <c r="I173" s="35"/>
      <c r="J173" s="35"/>
      <c r="K173" s="35"/>
      <c r="L173" s="35"/>
      <c r="M173" s="35"/>
      <c r="N173" s="22"/>
      <c r="O173" s="22"/>
    </row>
    <row r="174" spans="1:15" ht="26.25" customHeight="1">
      <c r="A174" s="27"/>
      <c r="B174" s="28"/>
      <c r="C174" s="27"/>
      <c r="D174" s="27"/>
      <c r="E174" s="27"/>
      <c r="F174" s="27"/>
      <c r="G174" s="30"/>
      <c r="H174" s="30"/>
      <c r="I174" s="30"/>
      <c r="J174" s="30"/>
      <c r="K174" s="30"/>
      <c r="L174" s="30"/>
      <c r="M174" s="30"/>
      <c r="N174" s="29"/>
      <c r="O174" s="29"/>
    </row>
    <row r="175" spans="1:15" ht="26.25" customHeight="1">
      <c r="A175" s="25"/>
      <c r="B175" s="25"/>
      <c r="C175" s="26"/>
      <c r="D175" s="26"/>
      <c r="E175" s="26"/>
      <c r="F175" s="26"/>
      <c r="G175" s="26"/>
      <c r="H175" s="36"/>
      <c r="I175" s="36"/>
      <c r="J175" s="36"/>
      <c r="K175" s="36"/>
      <c r="L175" s="36"/>
      <c r="M175" s="36"/>
      <c r="N175" s="36"/>
      <c r="O175" s="36"/>
    </row>
    <row r="176" spans="1:15" ht="26.25" customHeight="1">
      <c r="A176" s="15"/>
      <c r="B176" s="21"/>
      <c r="C176" s="15"/>
      <c r="D176" s="15"/>
      <c r="E176" s="15"/>
      <c r="F176" s="15"/>
      <c r="G176" s="35"/>
      <c r="H176" s="35"/>
      <c r="I176" s="35"/>
      <c r="J176" s="35"/>
      <c r="K176" s="35"/>
      <c r="L176" s="35"/>
      <c r="M176" s="35"/>
      <c r="N176" s="22"/>
      <c r="O176" s="22"/>
    </row>
    <row r="177" spans="1:15" ht="26.25" customHeight="1">
      <c r="A177" s="27"/>
      <c r="B177" s="28"/>
      <c r="C177" s="27"/>
      <c r="D177" s="27"/>
      <c r="E177" s="27"/>
      <c r="F177" s="27"/>
      <c r="G177" s="30"/>
      <c r="H177" s="30"/>
      <c r="I177" s="30"/>
      <c r="J177" s="30"/>
      <c r="K177" s="30"/>
      <c r="L177" s="30"/>
      <c r="M177" s="30"/>
      <c r="N177" s="29"/>
      <c r="O177" s="29"/>
    </row>
    <row r="178" spans="1:15" ht="26.25" customHeight="1">
      <c r="A178" s="25"/>
      <c r="B178" s="25"/>
      <c r="C178" s="26"/>
      <c r="D178" s="26"/>
      <c r="E178" s="26"/>
      <c r="F178" s="26"/>
      <c r="G178" s="26"/>
      <c r="H178" s="36"/>
      <c r="I178" s="36"/>
      <c r="J178" s="36"/>
      <c r="K178" s="36"/>
      <c r="L178" s="36"/>
      <c r="M178" s="36"/>
      <c r="N178" s="36"/>
      <c r="O178" s="36"/>
    </row>
    <row r="179" spans="1:15" ht="26.25" customHeight="1">
      <c r="A179" s="15"/>
      <c r="B179" s="21"/>
      <c r="C179" s="15"/>
      <c r="D179" s="15"/>
      <c r="E179" s="15"/>
      <c r="F179" s="15"/>
      <c r="G179" s="35"/>
      <c r="H179" s="35"/>
      <c r="I179" s="35"/>
      <c r="J179" s="35"/>
      <c r="K179" s="35"/>
      <c r="L179" s="35"/>
      <c r="M179" s="35"/>
      <c r="N179" s="22"/>
      <c r="O179" s="22"/>
    </row>
    <row r="180" spans="1:15" ht="26.25" customHeight="1">
      <c r="A180" s="27"/>
      <c r="B180" s="28"/>
      <c r="C180" s="27"/>
      <c r="D180" s="27"/>
      <c r="E180" s="27"/>
      <c r="F180" s="27"/>
      <c r="G180" s="30"/>
      <c r="H180" s="30"/>
      <c r="I180" s="30"/>
      <c r="J180" s="30"/>
      <c r="K180" s="30"/>
      <c r="L180" s="30"/>
      <c r="M180" s="30"/>
      <c r="N180" s="29"/>
      <c r="O180" s="29"/>
    </row>
    <row r="181" spans="1:15" ht="26.25" customHeight="1">
      <c r="A181" s="25"/>
      <c r="B181" s="25"/>
      <c r="C181" s="26"/>
      <c r="D181" s="26"/>
      <c r="E181" s="26"/>
      <c r="F181" s="26"/>
      <c r="G181" s="26"/>
      <c r="H181" s="36"/>
      <c r="I181" s="36"/>
      <c r="J181" s="36"/>
      <c r="K181" s="36"/>
      <c r="L181" s="36"/>
      <c r="M181" s="36"/>
      <c r="N181" s="36"/>
      <c r="O181" s="36"/>
    </row>
    <row r="182" spans="1:15" ht="26.25" customHeight="1">
      <c r="A182" s="15"/>
      <c r="B182" s="21"/>
      <c r="C182" s="15"/>
      <c r="D182" s="15"/>
      <c r="E182" s="15"/>
      <c r="F182" s="15"/>
      <c r="G182" s="35"/>
      <c r="H182" s="35"/>
      <c r="I182" s="35"/>
      <c r="J182" s="35"/>
      <c r="K182" s="35"/>
      <c r="L182" s="35"/>
      <c r="M182" s="35"/>
      <c r="N182" s="22"/>
      <c r="O182" s="22"/>
    </row>
    <row r="183" spans="1:15" ht="26.25" customHeight="1">
      <c r="A183" s="27"/>
      <c r="B183" s="28"/>
      <c r="C183" s="27"/>
      <c r="D183" s="27"/>
      <c r="E183" s="27"/>
      <c r="F183" s="27"/>
      <c r="G183" s="30"/>
      <c r="H183" s="30"/>
      <c r="I183" s="30"/>
      <c r="J183" s="30"/>
      <c r="K183" s="30"/>
      <c r="L183" s="30"/>
      <c r="M183" s="30"/>
      <c r="N183" s="29"/>
      <c r="O183" s="29"/>
    </row>
    <row r="184" spans="1:15" ht="26.25" customHeight="1">
      <c r="A184" s="25"/>
      <c r="B184" s="25"/>
      <c r="C184" s="26"/>
      <c r="D184" s="26"/>
      <c r="E184" s="26"/>
      <c r="F184" s="26"/>
      <c r="G184" s="26"/>
      <c r="H184" s="36"/>
      <c r="I184" s="36"/>
      <c r="J184" s="36"/>
      <c r="K184" s="36"/>
      <c r="L184" s="36"/>
      <c r="M184" s="36"/>
      <c r="N184" s="36"/>
      <c r="O184" s="36"/>
    </row>
    <row r="185" spans="1:15" ht="26.25" customHeight="1">
      <c r="A185" s="15"/>
      <c r="B185" s="21"/>
      <c r="C185" s="15"/>
      <c r="D185" s="15"/>
      <c r="E185" s="15"/>
      <c r="F185" s="15"/>
      <c r="G185" s="35"/>
      <c r="H185" s="35"/>
      <c r="I185" s="35"/>
      <c r="J185" s="35"/>
      <c r="K185" s="35"/>
      <c r="L185" s="35"/>
      <c r="M185" s="35"/>
      <c r="N185" s="22"/>
      <c r="O185" s="22"/>
    </row>
    <row r="186" spans="1:15" ht="26.25" customHeight="1">
      <c r="A186" s="27"/>
      <c r="B186" s="28"/>
      <c r="C186" s="27"/>
      <c r="D186" s="27"/>
      <c r="E186" s="27"/>
      <c r="F186" s="27"/>
      <c r="G186" s="30"/>
      <c r="H186" s="30"/>
      <c r="I186" s="30"/>
      <c r="J186" s="30"/>
      <c r="K186" s="30"/>
      <c r="L186" s="30"/>
      <c r="M186" s="30"/>
      <c r="N186" s="29"/>
      <c r="O186" s="29"/>
    </row>
    <row r="187" spans="1:15" ht="26.25" customHeight="1">
      <c r="A187" s="25"/>
      <c r="B187" s="25"/>
      <c r="C187" s="26"/>
      <c r="D187" s="26"/>
      <c r="E187" s="26"/>
      <c r="F187" s="26"/>
      <c r="G187" s="26"/>
      <c r="H187" s="36"/>
      <c r="I187" s="36"/>
      <c r="J187" s="36"/>
      <c r="K187" s="36"/>
      <c r="L187" s="36"/>
      <c r="M187" s="36"/>
      <c r="N187" s="36"/>
      <c r="O187" s="36"/>
    </row>
    <row r="188" spans="1:15" ht="26.25" customHeight="1">
      <c r="A188" s="15"/>
      <c r="B188" s="21"/>
      <c r="C188" s="15"/>
      <c r="D188" s="15"/>
      <c r="E188" s="15"/>
      <c r="F188" s="15"/>
      <c r="G188" s="35"/>
      <c r="H188" s="35"/>
      <c r="I188" s="35"/>
      <c r="J188" s="35"/>
      <c r="K188" s="35"/>
      <c r="L188" s="35"/>
      <c r="M188" s="35"/>
      <c r="N188" s="22"/>
      <c r="O188" s="22"/>
    </row>
    <row r="189" spans="1:15" ht="26.25" customHeight="1">
      <c r="A189" s="27"/>
      <c r="B189" s="28"/>
      <c r="C189" s="27"/>
      <c r="D189" s="27"/>
      <c r="E189" s="27"/>
      <c r="F189" s="27"/>
      <c r="G189" s="30"/>
      <c r="H189" s="30"/>
      <c r="I189" s="30"/>
      <c r="J189" s="30"/>
      <c r="K189" s="30"/>
      <c r="L189" s="30"/>
      <c r="M189" s="30"/>
      <c r="N189" s="29"/>
      <c r="O189" s="29"/>
    </row>
    <row r="190" spans="1:15" ht="26.25" customHeight="1">
      <c r="A190" s="25"/>
      <c r="B190" s="25"/>
      <c r="C190" s="26"/>
      <c r="D190" s="26"/>
      <c r="E190" s="26"/>
      <c r="F190" s="26"/>
      <c r="G190" s="26"/>
      <c r="H190" s="36"/>
      <c r="I190" s="36"/>
      <c r="J190" s="36"/>
      <c r="K190" s="36"/>
      <c r="L190" s="36"/>
      <c r="M190" s="36"/>
      <c r="N190" s="36"/>
      <c r="O190" s="36"/>
    </row>
    <row r="191" spans="1:15" ht="26.25" customHeight="1">
      <c r="A191" s="15"/>
      <c r="B191" s="21"/>
      <c r="C191" s="15"/>
      <c r="D191" s="15"/>
      <c r="E191" s="15"/>
      <c r="F191" s="15"/>
      <c r="G191" s="35"/>
      <c r="H191" s="35"/>
      <c r="I191" s="35"/>
      <c r="J191" s="35"/>
      <c r="K191" s="35"/>
      <c r="L191" s="35"/>
      <c r="M191" s="35"/>
      <c r="N191" s="22"/>
      <c r="O191" s="22"/>
    </row>
    <row r="192" spans="1:15" ht="26.25" customHeight="1">
      <c r="A192" s="27"/>
      <c r="B192" s="28"/>
      <c r="C192" s="27"/>
      <c r="D192" s="27"/>
      <c r="E192" s="27"/>
      <c r="F192" s="27"/>
      <c r="G192" s="30"/>
      <c r="H192" s="30"/>
      <c r="I192" s="30"/>
      <c r="J192" s="30"/>
      <c r="K192" s="30"/>
      <c r="L192" s="30"/>
      <c r="M192" s="30"/>
      <c r="N192" s="29"/>
      <c r="O192" s="29"/>
    </row>
    <row r="193" spans="1:15" ht="26.25" customHeight="1">
      <c r="A193" s="25"/>
      <c r="B193" s="25"/>
      <c r="C193" s="26"/>
      <c r="D193" s="26"/>
      <c r="E193" s="26"/>
      <c r="F193" s="26"/>
      <c r="G193" s="26"/>
      <c r="H193" s="36"/>
      <c r="I193" s="36"/>
      <c r="J193" s="36"/>
      <c r="K193" s="36"/>
      <c r="L193" s="36"/>
      <c r="M193" s="36"/>
      <c r="N193" s="36"/>
      <c r="O193" s="36"/>
    </row>
    <row r="194" spans="1:15" ht="26.25" customHeight="1">
      <c r="A194" s="15"/>
      <c r="B194" s="21"/>
      <c r="C194" s="15"/>
      <c r="D194" s="15"/>
      <c r="E194" s="15"/>
      <c r="F194" s="15"/>
      <c r="G194" s="35"/>
      <c r="H194" s="35"/>
      <c r="I194" s="35"/>
      <c r="J194" s="35"/>
      <c r="K194" s="35"/>
      <c r="L194" s="35"/>
      <c r="M194" s="35"/>
      <c r="N194" s="22"/>
      <c r="O194" s="22"/>
    </row>
    <row r="195" spans="1:15" ht="26.25" customHeight="1">
      <c r="A195" s="27"/>
      <c r="B195" s="28"/>
      <c r="C195" s="27"/>
      <c r="D195" s="27"/>
      <c r="E195" s="27"/>
      <c r="F195" s="27"/>
      <c r="G195" s="30"/>
      <c r="H195" s="30"/>
      <c r="I195" s="30"/>
      <c r="J195" s="30"/>
      <c r="K195" s="30"/>
      <c r="L195" s="30"/>
      <c r="M195" s="30"/>
      <c r="N195" s="29"/>
      <c r="O195" s="29"/>
    </row>
    <row r="196" spans="1:15" ht="26.25" customHeight="1">
      <c r="A196" s="25"/>
      <c r="B196" s="25"/>
      <c r="C196" s="26"/>
      <c r="D196" s="26"/>
      <c r="E196" s="26"/>
      <c r="F196" s="26"/>
      <c r="G196" s="26"/>
      <c r="H196" s="36"/>
      <c r="I196" s="36"/>
      <c r="J196" s="36"/>
      <c r="K196" s="36"/>
      <c r="L196" s="36"/>
      <c r="M196" s="36"/>
      <c r="N196" s="36"/>
      <c r="O196" s="36"/>
    </row>
    <row r="197" spans="1:15" ht="26.25" customHeight="1">
      <c r="A197" s="15"/>
      <c r="B197" s="21"/>
      <c r="C197" s="15"/>
      <c r="D197" s="15"/>
      <c r="E197" s="15"/>
      <c r="F197" s="15"/>
      <c r="G197" s="35"/>
      <c r="H197" s="35"/>
      <c r="I197" s="35"/>
      <c r="J197" s="35"/>
      <c r="K197" s="35"/>
      <c r="L197" s="35"/>
      <c r="M197" s="35"/>
      <c r="N197" s="22"/>
      <c r="O197" s="22"/>
    </row>
    <row r="198" spans="1:15" ht="26.25" customHeight="1">
      <c r="A198" s="27"/>
      <c r="B198" s="28"/>
      <c r="C198" s="27"/>
      <c r="D198" s="27"/>
      <c r="E198" s="27"/>
      <c r="F198" s="27"/>
      <c r="G198" s="30"/>
      <c r="H198" s="30"/>
      <c r="I198" s="30"/>
      <c r="J198" s="30"/>
      <c r="K198" s="30"/>
      <c r="L198" s="30"/>
      <c r="M198" s="30"/>
      <c r="N198" s="29"/>
      <c r="O198" s="29"/>
    </row>
    <row r="199" spans="1:15" ht="26.25" customHeight="1">
      <c r="A199" s="25"/>
      <c r="B199" s="25"/>
      <c r="C199" s="26"/>
      <c r="D199" s="26"/>
      <c r="E199" s="26"/>
      <c r="F199" s="26"/>
      <c r="G199" s="26"/>
      <c r="H199" s="36"/>
      <c r="I199" s="36"/>
      <c r="J199" s="36"/>
      <c r="K199" s="36"/>
      <c r="L199" s="36"/>
      <c r="M199" s="36"/>
      <c r="N199" s="36"/>
      <c r="O199" s="36"/>
    </row>
    <row r="200" spans="1:15" ht="26.25" customHeight="1">
      <c r="A200" s="15"/>
      <c r="B200" s="21"/>
      <c r="C200" s="15"/>
      <c r="D200" s="15"/>
      <c r="E200" s="15"/>
      <c r="F200" s="15"/>
      <c r="G200" s="35"/>
      <c r="H200" s="35"/>
      <c r="I200" s="35"/>
      <c r="J200" s="35"/>
      <c r="K200" s="35"/>
      <c r="L200" s="35"/>
      <c r="M200" s="35"/>
      <c r="N200" s="22"/>
      <c r="O200" s="22"/>
    </row>
    <row r="201" spans="1:15" ht="26.25" customHeight="1">
      <c r="A201" s="27"/>
      <c r="B201" s="28"/>
      <c r="C201" s="27"/>
      <c r="D201" s="27"/>
      <c r="E201" s="27"/>
      <c r="F201" s="27"/>
      <c r="G201" s="30"/>
      <c r="H201" s="30"/>
      <c r="I201" s="30"/>
      <c r="J201" s="30"/>
      <c r="K201" s="30"/>
      <c r="L201" s="30"/>
      <c r="M201" s="30"/>
      <c r="N201" s="29"/>
      <c r="O201" s="29"/>
    </row>
    <row r="202" spans="1:15" ht="26.25" customHeight="1">
      <c r="A202" s="25"/>
      <c r="B202" s="25"/>
      <c r="C202" s="26"/>
      <c r="D202" s="26"/>
      <c r="E202" s="26"/>
      <c r="F202" s="26"/>
      <c r="G202" s="26"/>
      <c r="H202" s="36"/>
      <c r="I202" s="36"/>
      <c r="J202" s="36"/>
      <c r="K202" s="36"/>
      <c r="L202" s="36"/>
      <c r="M202" s="36"/>
      <c r="N202" s="36"/>
      <c r="O202" s="36"/>
    </row>
    <row r="203" spans="1:15" ht="26.25" customHeight="1">
      <c r="A203" s="15"/>
      <c r="B203" s="21"/>
      <c r="C203" s="15"/>
      <c r="D203" s="15"/>
      <c r="E203" s="15"/>
      <c r="F203" s="15"/>
      <c r="G203" s="35"/>
      <c r="H203" s="35"/>
      <c r="I203" s="35"/>
      <c r="J203" s="35"/>
      <c r="K203" s="35"/>
      <c r="L203" s="35"/>
      <c r="M203" s="35"/>
      <c r="N203" s="22"/>
      <c r="O203" s="22"/>
    </row>
    <row r="204" spans="1:15" ht="26.25" customHeight="1">
      <c r="A204" s="27"/>
      <c r="B204" s="28"/>
      <c r="C204" s="27"/>
      <c r="D204" s="27"/>
      <c r="E204" s="27"/>
      <c r="F204" s="27"/>
      <c r="G204" s="30"/>
      <c r="H204" s="30"/>
      <c r="I204" s="30"/>
      <c r="J204" s="30"/>
      <c r="K204" s="30"/>
      <c r="L204" s="30"/>
      <c r="M204" s="30"/>
      <c r="N204" s="29"/>
      <c r="O204" s="29"/>
    </row>
    <row r="205" spans="1:15" ht="26.25" customHeight="1">
      <c r="A205" s="25"/>
      <c r="B205" s="25"/>
      <c r="C205" s="26"/>
      <c r="D205" s="26"/>
      <c r="E205" s="26"/>
      <c r="F205" s="26"/>
      <c r="G205" s="26"/>
      <c r="H205" s="36"/>
      <c r="I205" s="36"/>
      <c r="J205" s="36"/>
      <c r="K205" s="36"/>
      <c r="L205" s="36"/>
      <c r="M205" s="36"/>
      <c r="N205" s="36"/>
      <c r="O205" s="36"/>
    </row>
    <row r="206" spans="1:15" ht="26.25" customHeight="1">
      <c r="A206" s="15"/>
      <c r="B206" s="21"/>
      <c r="C206" s="15"/>
      <c r="D206" s="15"/>
      <c r="E206" s="15"/>
      <c r="F206" s="15"/>
      <c r="G206" s="35"/>
      <c r="H206" s="35"/>
      <c r="I206" s="35"/>
      <c r="J206" s="35"/>
      <c r="K206" s="35"/>
      <c r="L206" s="35"/>
      <c r="M206" s="35"/>
      <c r="N206" s="22"/>
      <c r="O206" s="22"/>
    </row>
    <row r="207" spans="1:15" ht="26.25" customHeight="1">
      <c r="A207" s="27"/>
      <c r="B207" s="28"/>
      <c r="C207" s="27"/>
      <c r="D207" s="27"/>
      <c r="E207" s="27"/>
      <c r="F207" s="27"/>
      <c r="G207" s="30"/>
      <c r="H207" s="30"/>
      <c r="I207" s="30"/>
      <c r="J207" s="30"/>
      <c r="K207" s="30"/>
      <c r="L207" s="30"/>
      <c r="M207" s="30"/>
      <c r="N207" s="29"/>
      <c r="O207" s="29"/>
    </row>
    <row r="208" spans="1:15" ht="26.25" customHeight="1">
      <c r="A208" s="25"/>
      <c r="B208" s="25"/>
      <c r="C208" s="26"/>
      <c r="D208" s="26"/>
      <c r="E208" s="26"/>
      <c r="F208" s="26"/>
      <c r="G208" s="26"/>
      <c r="H208" s="36"/>
      <c r="I208" s="36"/>
      <c r="J208" s="36"/>
      <c r="K208" s="36"/>
      <c r="L208" s="36"/>
      <c r="M208" s="36"/>
      <c r="N208" s="36"/>
      <c r="O208" s="36"/>
    </row>
    <row r="209" spans="1:15" ht="26.25" customHeight="1">
      <c r="A209" s="15"/>
      <c r="B209" s="21"/>
      <c r="C209" s="15"/>
      <c r="D209" s="15"/>
      <c r="E209" s="15"/>
      <c r="F209" s="15"/>
      <c r="G209" s="35"/>
      <c r="H209" s="35"/>
      <c r="I209" s="35"/>
      <c r="J209" s="35"/>
      <c r="K209" s="35"/>
      <c r="L209" s="35"/>
      <c r="M209" s="35"/>
      <c r="N209" s="22"/>
      <c r="O209" s="22"/>
    </row>
    <row r="210" spans="1:15" ht="26.25" customHeight="1">
      <c r="A210" s="27"/>
      <c r="B210" s="28"/>
      <c r="C210" s="27"/>
      <c r="D210" s="27"/>
      <c r="E210" s="27"/>
      <c r="F210" s="27"/>
      <c r="G210" s="30"/>
      <c r="H210" s="30"/>
      <c r="I210" s="30"/>
      <c r="J210" s="30"/>
      <c r="K210" s="30"/>
      <c r="L210" s="30"/>
      <c r="M210" s="30"/>
      <c r="N210" s="29"/>
      <c r="O210" s="29"/>
    </row>
    <row r="211" spans="1:15" ht="26.25" customHeight="1">
      <c r="A211" s="25"/>
      <c r="B211" s="25"/>
      <c r="C211" s="26"/>
      <c r="D211" s="26"/>
      <c r="E211" s="26"/>
      <c r="F211" s="26"/>
      <c r="G211" s="26"/>
      <c r="H211" s="36"/>
      <c r="I211" s="36"/>
      <c r="J211" s="36"/>
      <c r="K211" s="36"/>
      <c r="L211" s="36"/>
      <c r="M211" s="36"/>
      <c r="N211" s="36"/>
      <c r="O211" s="36"/>
    </row>
    <row r="212" spans="1:15" ht="26.25" customHeight="1">
      <c r="A212" s="15"/>
      <c r="B212" s="21"/>
      <c r="C212" s="15"/>
      <c r="D212" s="15"/>
      <c r="E212" s="15"/>
      <c r="F212" s="15"/>
      <c r="G212" s="35"/>
      <c r="H212" s="35"/>
      <c r="I212" s="35"/>
      <c r="J212" s="35"/>
      <c r="K212" s="35"/>
      <c r="L212" s="35"/>
      <c r="M212" s="35"/>
      <c r="N212" s="22"/>
      <c r="O212" s="22"/>
    </row>
    <row r="213" spans="1:15" ht="26.25" customHeight="1">
      <c r="A213" s="27"/>
      <c r="B213" s="28"/>
      <c r="C213" s="27"/>
      <c r="D213" s="27"/>
      <c r="E213" s="27"/>
      <c r="F213" s="27"/>
      <c r="G213" s="30"/>
      <c r="H213" s="30"/>
      <c r="I213" s="30"/>
      <c r="J213" s="30"/>
      <c r="K213" s="30"/>
      <c r="L213" s="30"/>
      <c r="M213" s="30"/>
      <c r="N213" s="29"/>
      <c r="O213" s="29"/>
    </row>
    <row r="214" spans="1:15" ht="26.25" customHeight="1">
      <c r="A214" s="25"/>
      <c r="B214" s="25"/>
      <c r="C214" s="26"/>
      <c r="D214" s="26"/>
      <c r="E214" s="26"/>
      <c r="F214" s="26"/>
      <c r="G214" s="26"/>
      <c r="H214" s="36"/>
      <c r="I214" s="36"/>
      <c r="J214" s="36"/>
      <c r="K214" s="36"/>
      <c r="L214" s="36"/>
      <c r="M214" s="36"/>
      <c r="N214" s="36"/>
      <c r="O214" s="36"/>
    </row>
    <row r="215" spans="1:15" ht="26.25" customHeight="1">
      <c r="A215" s="15"/>
      <c r="B215" s="21"/>
      <c r="C215" s="15"/>
      <c r="D215" s="15"/>
      <c r="E215" s="15"/>
      <c r="F215" s="15"/>
      <c r="G215" s="35"/>
      <c r="H215" s="35"/>
      <c r="I215" s="35"/>
      <c r="J215" s="35"/>
      <c r="K215" s="35"/>
      <c r="L215" s="35"/>
      <c r="M215" s="35"/>
      <c r="N215" s="22"/>
      <c r="O215" s="22"/>
    </row>
    <row r="216" spans="1:15" ht="26.25" customHeight="1">
      <c r="A216" s="27"/>
      <c r="B216" s="28"/>
      <c r="C216" s="27"/>
      <c r="D216" s="27"/>
      <c r="E216" s="27"/>
      <c r="F216" s="27"/>
      <c r="G216" s="30"/>
      <c r="H216" s="30"/>
      <c r="I216" s="30"/>
      <c r="J216" s="30"/>
      <c r="K216" s="30"/>
      <c r="L216" s="30"/>
      <c r="M216" s="30"/>
      <c r="N216" s="29"/>
      <c r="O216" s="29"/>
    </row>
    <row r="217" spans="1:15" ht="26.25" customHeight="1">
      <c r="A217" s="25"/>
      <c r="B217" s="25"/>
      <c r="C217" s="26"/>
      <c r="D217" s="26"/>
      <c r="E217" s="26"/>
      <c r="F217" s="26"/>
      <c r="G217" s="26"/>
      <c r="H217" s="36"/>
      <c r="I217" s="36"/>
      <c r="J217" s="36"/>
      <c r="K217" s="36"/>
      <c r="L217" s="36"/>
      <c r="M217" s="36"/>
      <c r="N217" s="36"/>
      <c r="O217" s="36"/>
    </row>
    <row r="218" spans="1:15" ht="26.25" customHeight="1">
      <c r="A218" s="15"/>
      <c r="B218" s="21"/>
      <c r="C218" s="15"/>
      <c r="D218" s="15"/>
      <c r="E218" s="15"/>
      <c r="F218" s="15"/>
      <c r="G218" s="35"/>
      <c r="H218" s="35"/>
      <c r="I218" s="35"/>
      <c r="J218" s="35"/>
      <c r="K218" s="35"/>
      <c r="L218" s="35"/>
      <c r="M218" s="35"/>
      <c r="N218" s="22"/>
      <c r="O218" s="22"/>
    </row>
    <row r="219" spans="1:15" ht="26.25" customHeight="1">
      <c r="A219" s="27"/>
      <c r="B219" s="28"/>
      <c r="C219" s="27"/>
      <c r="D219" s="27"/>
      <c r="E219" s="27"/>
      <c r="F219" s="27"/>
      <c r="G219" s="30"/>
      <c r="H219" s="30"/>
      <c r="I219" s="30"/>
      <c r="J219" s="30"/>
      <c r="K219" s="30"/>
      <c r="L219" s="30"/>
      <c r="M219" s="30"/>
      <c r="N219" s="29"/>
      <c r="O219" s="29"/>
    </row>
    <row r="220" spans="1:15" ht="26.25" customHeight="1">
      <c r="A220" s="25"/>
      <c r="B220" s="25"/>
      <c r="C220" s="26"/>
      <c r="D220" s="26"/>
      <c r="E220" s="26"/>
      <c r="F220" s="26"/>
      <c r="G220" s="26"/>
      <c r="H220" s="36"/>
      <c r="I220" s="36"/>
      <c r="J220" s="36"/>
      <c r="K220" s="36"/>
      <c r="L220" s="36"/>
      <c r="M220" s="36"/>
      <c r="N220" s="36"/>
      <c r="O220" s="36"/>
    </row>
    <row r="221" spans="1:15" ht="26.25" customHeight="1">
      <c r="A221" s="15"/>
      <c r="B221" s="21"/>
      <c r="C221" s="15"/>
      <c r="D221" s="15"/>
      <c r="E221" s="15"/>
      <c r="F221" s="15"/>
      <c r="G221" s="35"/>
      <c r="H221" s="35"/>
      <c r="I221" s="35"/>
      <c r="J221" s="35"/>
      <c r="K221" s="35"/>
      <c r="L221" s="35"/>
      <c r="M221" s="35"/>
      <c r="N221" s="22"/>
      <c r="O221" s="22"/>
    </row>
    <row r="222" spans="1:15" ht="26.25" customHeight="1">
      <c r="A222" s="27"/>
      <c r="B222" s="28"/>
      <c r="C222" s="27"/>
      <c r="D222" s="27"/>
      <c r="E222" s="27"/>
      <c r="F222" s="27"/>
      <c r="G222" s="30"/>
      <c r="H222" s="30"/>
      <c r="I222" s="30"/>
      <c r="J222" s="30"/>
      <c r="K222" s="30"/>
      <c r="L222" s="30"/>
      <c r="M222" s="30"/>
      <c r="N222" s="29"/>
      <c r="O222" s="29"/>
    </row>
    <row r="223" spans="1:15" ht="26.25" customHeight="1">
      <c r="A223" s="25"/>
      <c r="B223" s="25"/>
      <c r="C223" s="26"/>
      <c r="D223" s="26"/>
      <c r="E223" s="26"/>
      <c r="F223" s="26"/>
      <c r="G223" s="26"/>
      <c r="H223" s="36"/>
      <c r="I223" s="36"/>
      <c r="J223" s="36"/>
      <c r="K223" s="36"/>
      <c r="L223" s="36"/>
      <c r="M223" s="36"/>
      <c r="N223" s="36"/>
      <c r="O223" s="36"/>
    </row>
    <row r="224" spans="1:15" ht="26.25" customHeight="1">
      <c r="A224" s="15"/>
      <c r="B224" s="21"/>
      <c r="C224" s="15"/>
      <c r="D224" s="15"/>
      <c r="E224" s="15"/>
      <c r="F224" s="15"/>
      <c r="G224" s="35"/>
      <c r="H224" s="35"/>
      <c r="I224" s="35"/>
      <c r="J224" s="35"/>
      <c r="K224" s="35"/>
      <c r="L224" s="35"/>
      <c r="M224" s="35"/>
      <c r="N224" s="22"/>
      <c r="O224" s="22"/>
    </row>
    <row r="225" spans="1:15" ht="26.25" customHeight="1">
      <c r="A225" s="27"/>
      <c r="B225" s="28"/>
      <c r="C225" s="27"/>
      <c r="D225" s="27"/>
      <c r="E225" s="27"/>
      <c r="F225" s="27"/>
      <c r="G225" s="30"/>
      <c r="H225" s="30"/>
      <c r="I225" s="30"/>
      <c r="J225" s="30"/>
      <c r="K225" s="30"/>
      <c r="L225" s="30"/>
      <c r="M225" s="30"/>
      <c r="N225" s="29"/>
      <c r="O225" s="29"/>
    </row>
    <row r="226" spans="1:15" ht="26.25" customHeight="1">
      <c r="A226" s="25"/>
      <c r="B226" s="25"/>
      <c r="C226" s="26"/>
      <c r="D226" s="26"/>
      <c r="E226" s="26"/>
      <c r="F226" s="26"/>
      <c r="G226" s="26"/>
      <c r="H226" s="36"/>
      <c r="I226" s="36"/>
      <c r="J226" s="36"/>
      <c r="K226" s="36"/>
      <c r="L226" s="36"/>
      <c r="M226" s="36"/>
      <c r="N226" s="36"/>
      <c r="O226" s="36"/>
    </row>
    <row r="227" spans="1:15" ht="26.25" customHeight="1">
      <c r="A227" s="15"/>
      <c r="B227" s="21"/>
      <c r="C227" s="15"/>
      <c r="D227" s="15"/>
      <c r="E227" s="15"/>
      <c r="F227" s="15"/>
      <c r="G227" s="35"/>
      <c r="H227" s="35"/>
      <c r="I227" s="35"/>
      <c r="J227" s="35"/>
      <c r="K227" s="35"/>
      <c r="L227" s="35"/>
      <c r="M227" s="35"/>
      <c r="N227" s="22"/>
      <c r="O227" s="22"/>
    </row>
    <row r="228" spans="1:15" ht="26.25" customHeight="1">
      <c r="A228" s="27"/>
      <c r="B228" s="28"/>
      <c r="C228" s="27"/>
      <c r="D228" s="27"/>
      <c r="E228" s="27"/>
      <c r="F228" s="27"/>
      <c r="G228" s="30"/>
      <c r="H228" s="30"/>
      <c r="I228" s="30"/>
      <c r="J228" s="30"/>
      <c r="K228" s="30"/>
      <c r="L228" s="30"/>
      <c r="M228" s="30"/>
      <c r="N228" s="29"/>
      <c r="O228" s="29"/>
    </row>
    <row r="229" spans="1:15" ht="26.25" customHeight="1">
      <c r="A229" s="25"/>
      <c r="B229" s="25"/>
      <c r="C229" s="26"/>
      <c r="D229" s="26"/>
      <c r="E229" s="26"/>
      <c r="F229" s="26"/>
      <c r="G229" s="26"/>
      <c r="H229" s="36"/>
      <c r="I229" s="36"/>
      <c r="J229" s="36"/>
      <c r="K229" s="36"/>
      <c r="L229" s="36"/>
      <c r="M229" s="36"/>
      <c r="N229" s="36"/>
      <c r="O229" s="36"/>
    </row>
    <row r="230" spans="1:15" ht="26.25" customHeight="1">
      <c r="A230" s="15"/>
      <c r="B230" s="21"/>
      <c r="C230" s="15"/>
      <c r="D230" s="15"/>
      <c r="E230" s="15"/>
      <c r="F230" s="15"/>
      <c r="G230" s="35"/>
      <c r="H230" s="35"/>
      <c r="I230" s="35"/>
      <c r="J230" s="35"/>
      <c r="K230" s="35"/>
      <c r="L230" s="35"/>
      <c r="M230" s="35"/>
      <c r="N230" s="22"/>
      <c r="O230" s="22"/>
    </row>
    <row r="231" spans="1:15" ht="26.25" customHeight="1">
      <c r="A231" s="27"/>
      <c r="B231" s="28"/>
      <c r="C231" s="27"/>
      <c r="D231" s="27"/>
      <c r="E231" s="27"/>
      <c r="F231" s="27"/>
      <c r="G231" s="30"/>
      <c r="H231" s="30"/>
      <c r="I231" s="30"/>
      <c r="J231" s="30"/>
      <c r="K231" s="30"/>
      <c r="L231" s="30"/>
      <c r="M231" s="30"/>
      <c r="N231" s="29"/>
      <c r="O231" s="29"/>
    </row>
    <row r="232" spans="1:15" ht="26.25" customHeight="1">
      <c r="A232" s="25"/>
      <c r="B232" s="25"/>
      <c r="C232" s="26"/>
      <c r="D232" s="26"/>
      <c r="E232" s="26"/>
      <c r="F232" s="26"/>
      <c r="G232" s="26"/>
      <c r="H232" s="36"/>
      <c r="I232" s="36"/>
      <c r="J232" s="36"/>
      <c r="K232" s="36"/>
      <c r="L232" s="36"/>
      <c r="M232" s="36"/>
      <c r="N232" s="36"/>
      <c r="O232" s="36"/>
    </row>
    <row r="233" spans="1:15" ht="26.25" customHeight="1">
      <c r="A233" s="15"/>
      <c r="B233" s="21"/>
      <c r="C233" s="15"/>
      <c r="D233" s="15"/>
      <c r="E233" s="15"/>
      <c r="F233" s="15"/>
      <c r="G233" s="35"/>
      <c r="H233" s="35"/>
      <c r="I233" s="35"/>
      <c r="J233" s="35"/>
      <c r="K233" s="35"/>
      <c r="L233" s="35"/>
      <c r="M233" s="35"/>
      <c r="N233" s="22"/>
      <c r="O233" s="22"/>
    </row>
    <row r="234" spans="1:15" ht="26.25" customHeight="1">
      <c r="A234" s="27"/>
      <c r="B234" s="28"/>
      <c r="C234" s="27"/>
      <c r="D234" s="27"/>
      <c r="E234" s="27"/>
      <c r="F234" s="27"/>
      <c r="G234" s="30"/>
      <c r="H234" s="30"/>
      <c r="I234" s="30"/>
      <c r="J234" s="30"/>
      <c r="K234" s="30"/>
      <c r="L234" s="30"/>
      <c r="M234" s="30"/>
      <c r="N234" s="29"/>
      <c r="O234" s="29"/>
    </row>
    <row r="235" spans="1:15" ht="26.25" customHeight="1">
      <c r="A235" s="25"/>
      <c r="B235" s="25"/>
      <c r="C235" s="26"/>
      <c r="D235" s="26"/>
      <c r="E235" s="26"/>
      <c r="F235" s="26"/>
      <c r="G235" s="26"/>
      <c r="H235" s="36"/>
      <c r="I235" s="36"/>
      <c r="J235" s="36"/>
      <c r="K235" s="36"/>
      <c r="L235" s="36"/>
      <c r="M235" s="36"/>
      <c r="N235" s="36"/>
      <c r="O235" s="36"/>
    </row>
    <row r="236" spans="1:15" ht="26.25" customHeight="1">
      <c r="A236" s="15"/>
      <c r="B236" s="21"/>
      <c r="C236" s="15"/>
      <c r="D236" s="15"/>
      <c r="E236" s="15"/>
      <c r="F236" s="15"/>
      <c r="G236" s="35"/>
      <c r="H236" s="35"/>
      <c r="I236" s="35"/>
      <c r="J236" s="35"/>
      <c r="K236" s="35"/>
      <c r="L236" s="35"/>
      <c r="M236" s="35"/>
      <c r="N236" s="22"/>
      <c r="O236" s="22"/>
    </row>
    <row r="237" spans="1:15" ht="26.25" customHeight="1">
      <c r="A237" s="27"/>
      <c r="B237" s="28"/>
      <c r="C237" s="27"/>
      <c r="D237" s="27"/>
      <c r="E237" s="27"/>
      <c r="F237" s="27"/>
      <c r="G237" s="30"/>
      <c r="H237" s="30"/>
      <c r="I237" s="30"/>
      <c r="J237" s="30"/>
      <c r="K237" s="30"/>
      <c r="L237" s="30"/>
      <c r="M237" s="30"/>
      <c r="N237" s="29"/>
      <c r="O237" s="29"/>
    </row>
    <row r="238" spans="1:15" ht="26.25" customHeight="1">
      <c r="A238" s="25"/>
      <c r="B238" s="25"/>
      <c r="C238" s="26"/>
      <c r="D238" s="26"/>
      <c r="E238" s="26"/>
      <c r="F238" s="26"/>
      <c r="G238" s="26"/>
      <c r="H238" s="36"/>
      <c r="I238" s="36"/>
      <c r="J238" s="36"/>
      <c r="K238" s="36"/>
      <c r="L238" s="36"/>
      <c r="M238" s="36"/>
      <c r="N238" s="36"/>
      <c r="O238" s="36"/>
    </row>
    <row r="239" spans="1:15" ht="26.25" customHeight="1">
      <c r="A239" s="15"/>
      <c r="B239" s="21"/>
      <c r="C239" s="15"/>
      <c r="D239" s="15"/>
      <c r="E239" s="15"/>
      <c r="F239" s="15"/>
      <c r="G239" s="35"/>
      <c r="H239" s="35"/>
      <c r="I239" s="35"/>
      <c r="J239" s="35"/>
      <c r="K239" s="35"/>
      <c r="L239" s="35"/>
      <c r="M239" s="35"/>
      <c r="N239" s="22"/>
      <c r="O239" s="22"/>
    </row>
    <row r="240" spans="1:15" ht="26.25" customHeight="1">
      <c r="A240" s="27"/>
      <c r="B240" s="28"/>
      <c r="C240" s="27"/>
      <c r="D240" s="27"/>
      <c r="E240" s="27"/>
      <c r="F240" s="27"/>
      <c r="G240" s="30"/>
      <c r="H240" s="30"/>
      <c r="I240" s="30"/>
      <c r="J240" s="30"/>
      <c r="K240" s="30"/>
      <c r="L240" s="30"/>
      <c r="M240" s="30"/>
      <c r="N240" s="29"/>
      <c r="O240" s="29"/>
    </row>
    <row r="241" spans="1:15" ht="26.25" customHeight="1">
      <c r="A241" s="25"/>
      <c r="B241" s="25"/>
      <c r="C241" s="26"/>
      <c r="D241" s="26"/>
      <c r="E241" s="26"/>
      <c r="F241" s="26"/>
      <c r="G241" s="26"/>
      <c r="H241" s="36"/>
      <c r="I241" s="36"/>
      <c r="J241" s="36"/>
      <c r="K241" s="36"/>
      <c r="L241" s="36"/>
      <c r="M241" s="36"/>
      <c r="N241" s="36"/>
      <c r="O241" s="36"/>
    </row>
    <row r="242" spans="1:15" ht="26.25" customHeight="1">
      <c r="A242" s="15"/>
      <c r="B242" s="21"/>
      <c r="C242" s="15"/>
      <c r="D242" s="15"/>
      <c r="E242" s="15"/>
      <c r="F242" s="15"/>
      <c r="G242" s="35"/>
      <c r="H242" s="35"/>
      <c r="I242" s="35"/>
      <c r="J242" s="35"/>
      <c r="K242" s="35"/>
      <c r="L242" s="35"/>
      <c r="M242" s="35"/>
      <c r="N242" s="22"/>
      <c r="O242" s="22"/>
    </row>
    <row r="243" spans="1:15" ht="26.25" customHeight="1">
      <c r="A243" s="27"/>
      <c r="B243" s="28"/>
      <c r="C243" s="27"/>
      <c r="D243" s="27"/>
      <c r="E243" s="27"/>
      <c r="F243" s="27"/>
      <c r="G243" s="30"/>
      <c r="H243" s="30"/>
      <c r="I243" s="30"/>
      <c r="J243" s="30"/>
      <c r="K243" s="30"/>
      <c r="L243" s="30"/>
      <c r="M243" s="30"/>
      <c r="N243" s="29"/>
      <c r="O243" s="29"/>
    </row>
    <row r="244" spans="1:15" ht="26.25" customHeight="1">
      <c r="A244" s="25"/>
      <c r="B244" s="25"/>
      <c r="C244" s="26"/>
      <c r="D244" s="26"/>
      <c r="E244" s="26"/>
      <c r="F244" s="26"/>
      <c r="G244" s="26"/>
      <c r="H244" s="36"/>
      <c r="I244" s="36"/>
      <c r="J244" s="36"/>
      <c r="K244" s="36"/>
      <c r="L244" s="36"/>
      <c r="M244" s="36"/>
      <c r="N244" s="36"/>
      <c r="O244" s="36"/>
    </row>
    <row r="245" spans="1:15" ht="26.25" customHeight="1">
      <c r="A245" s="15"/>
      <c r="B245" s="21"/>
      <c r="C245" s="15"/>
      <c r="D245" s="15"/>
      <c r="E245" s="15"/>
      <c r="F245" s="15"/>
      <c r="G245" s="35"/>
      <c r="H245" s="35"/>
      <c r="I245" s="35"/>
      <c r="J245" s="35"/>
      <c r="K245" s="35"/>
      <c r="L245" s="35"/>
      <c r="M245" s="35"/>
      <c r="N245" s="22"/>
      <c r="O245" s="22"/>
    </row>
    <row r="246" spans="1:15" ht="26.25" customHeight="1">
      <c r="A246" s="27"/>
      <c r="B246" s="28"/>
      <c r="C246" s="27"/>
      <c r="D246" s="27"/>
      <c r="E246" s="27"/>
      <c r="F246" s="27"/>
      <c r="G246" s="30"/>
      <c r="H246" s="30"/>
      <c r="I246" s="30"/>
      <c r="J246" s="30"/>
      <c r="K246" s="30"/>
      <c r="L246" s="30"/>
      <c r="M246" s="30"/>
      <c r="N246" s="29"/>
      <c r="O246" s="29"/>
    </row>
    <row r="247" spans="1:15" ht="26.25" customHeight="1">
      <c r="A247" s="25"/>
      <c r="B247" s="25"/>
      <c r="C247" s="26"/>
      <c r="D247" s="26"/>
      <c r="E247" s="26"/>
      <c r="F247" s="26"/>
      <c r="G247" s="26"/>
      <c r="H247" s="36"/>
      <c r="I247" s="36"/>
      <c r="J247" s="36"/>
      <c r="K247" s="36"/>
      <c r="L247" s="36"/>
      <c r="M247" s="36"/>
      <c r="N247" s="36"/>
      <c r="O247" s="36"/>
    </row>
    <row r="248" spans="1:15" ht="26.25" customHeight="1">
      <c r="A248" s="15"/>
      <c r="B248" s="21"/>
      <c r="C248" s="15"/>
      <c r="D248" s="15"/>
      <c r="E248" s="15"/>
      <c r="F248" s="15"/>
      <c r="G248" s="35"/>
      <c r="H248" s="35"/>
      <c r="I248" s="35"/>
      <c r="J248" s="35"/>
      <c r="K248" s="35"/>
      <c r="L248" s="35"/>
      <c r="M248" s="35"/>
      <c r="N248" s="22"/>
      <c r="O248" s="22"/>
    </row>
    <row r="249" spans="1:15" ht="26.25" customHeight="1">
      <c r="A249" s="27"/>
      <c r="B249" s="28"/>
      <c r="C249" s="27"/>
      <c r="D249" s="27"/>
      <c r="E249" s="27"/>
      <c r="F249" s="27"/>
      <c r="G249" s="30"/>
      <c r="H249" s="30"/>
      <c r="I249" s="30"/>
      <c r="J249" s="30"/>
      <c r="K249" s="30"/>
      <c r="L249" s="30"/>
      <c r="M249" s="30"/>
      <c r="N249" s="29"/>
      <c r="O249" s="29"/>
    </row>
    <row r="250" spans="1:15" ht="26.25" customHeight="1">
      <c r="A250" s="25"/>
      <c r="B250" s="25"/>
      <c r="C250" s="26"/>
      <c r="D250" s="26"/>
      <c r="E250" s="26"/>
      <c r="F250" s="26"/>
      <c r="G250" s="26"/>
      <c r="H250" s="36"/>
      <c r="I250" s="36"/>
      <c r="J250" s="36"/>
      <c r="K250" s="36"/>
      <c r="L250" s="36"/>
      <c r="M250" s="36"/>
      <c r="N250" s="36"/>
      <c r="O250" s="36"/>
    </row>
    <row r="251" spans="1:15" ht="26.25" customHeight="1">
      <c r="A251" s="15"/>
      <c r="B251" s="21"/>
      <c r="C251" s="15"/>
      <c r="D251" s="15"/>
      <c r="E251" s="15"/>
      <c r="F251" s="15"/>
      <c r="G251" s="35"/>
      <c r="H251" s="35"/>
      <c r="I251" s="35"/>
      <c r="J251" s="35"/>
      <c r="K251" s="35"/>
      <c r="L251" s="35"/>
      <c r="M251" s="35"/>
      <c r="N251" s="22"/>
      <c r="O251" s="22"/>
    </row>
    <row r="252" spans="1:15" ht="26.25" customHeight="1">
      <c r="A252" s="27"/>
      <c r="B252" s="28"/>
      <c r="C252" s="27"/>
      <c r="D252" s="27"/>
      <c r="E252" s="27"/>
      <c r="F252" s="27"/>
      <c r="G252" s="30"/>
      <c r="H252" s="30"/>
      <c r="I252" s="30"/>
      <c r="J252" s="30"/>
      <c r="K252" s="30"/>
      <c r="L252" s="30"/>
      <c r="M252" s="30"/>
      <c r="N252" s="29"/>
      <c r="O252" s="29"/>
    </row>
    <row r="253" spans="1:15" ht="26.25" customHeight="1">
      <c r="A253" s="25"/>
      <c r="B253" s="25"/>
      <c r="C253" s="26"/>
      <c r="D253" s="26"/>
      <c r="E253" s="26"/>
      <c r="F253" s="26"/>
      <c r="G253" s="26"/>
      <c r="H253" s="36"/>
      <c r="I253" s="36"/>
      <c r="J253" s="36"/>
      <c r="K253" s="36"/>
      <c r="L253" s="36"/>
      <c r="M253" s="36"/>
      <c r="N253" s="36"/>
      <c r="O253" s="36"/>
    </row>
    <row r="254" spans="1:15" ht="26.25" customHeight="1">
      <c r="A254" s="15"/>
      <c r="B254" s="21"/>
      <c r="C254" s="15"/>
      <c r="D254" s="15"/>
      <c r="E254" s="15"/>
      <c r="F254" s="15"/>
      <c r="G254" s="35"/>
      <c r="H254" s="35"/>
      <c r="I254" s="35"/>
      <c r="J254" s="35"/>
      <c r="K254" s="35"/>
      <c r="L254" s="35"/>
      <c r="M254" s="35"/>
      <c r="N254" s="22"/>
      <c r="O254" s="22"/>
    </row>
    <row r="255" spans="1:15" ht="26.25" customHeight="1">
      <c r="A255" s="27"/>
      <c r="B255" s="28"/>
      <c r="C255" s="27"/>
      <c r="D255" s="27"/>
      <c r="E255" s="27"/>
      <c r="F255" s="27"/>
      <c r="G255" s="30"/>
      <c r="H255" s="30"/>
      <c r="I255" s="30"/>
      <c r="J255" s="30"/>
      <c r="K255" s="30"/>
      <c r="L255" s="30"/>
      <c r="M255" s="30"/>
      <c r="N255" s="29"/>
      <c r="O255" s="29"/>
    </row>
    <row r="256" spans="1:15" ht="26.25" customHeight="1">
      <c r="A256" s="25"/>
      <c r="B256" s="25"/>
      <c r="C256" s="26"/>
      <c r="D256" s="26"/>
      <c r="E256" s="26"/>
      <c r="F256" s="26"/>
      <c r="G256" s="26"/>
      <c r="H256" s="36"/>
      <c r="I256" s="36"/>
      <c r="J256" s="36"/>
      <c r="K256" s="36"/>
      <c r="L256" s="36"/>
      <c r="M256" s="36"/>
      <c r="N256" s="36"/>
      <c r="O256" s="36"/>
    </row>
    <row r="257" spans="1:15" ht="26.25" customHeight="1">
      <c r="A257" s="15"/>
      <c r="B257" s="21"/>
      <c r="C257" s="15"/>
      <c r="D257" s="15"/>
      <c r="E257" s="15"/>
      <c r="F257" s="15"/>
      <c r="G257" s="35"/>
      <c r="H257" s="35"/>
      <c r="I257" s="35"/>
      <c r="J257" s="35"/>
      <c r="K257" s="35"/>
      <c r="L257" s="35"/>
      <c r="M257" s="35"/>
      <c r="N257" s="22"/>
      <c r="O257" s="22"/>
    </row>
    <row r="258" spans="1:15" ht="26.25" customHeight="1">
      <c r="A258" s="27"/>
      <c r="B258" s="28"/>
      <c r="C258" s="27"/>
      <c r="D258" s="27"/>
      <c r="E258" s="27"/>
      <c r="F258" s="27"/>
      <c r="G258" s="30"/>
      <c r="H258" s="30"/>
      <c r="I258" s="30"/>
      <c r="J258" s="30"/>
      <c r="K258" s="30"/>
      <c r="L258" s="30"/>
      <c r="M258" s="30"/>
      <c r="N258" s="29"/>
      <c r="O258" s="29"/>
    </row>
    <row r="259" spans="1:15" ht="26.25" customHeight="1">
      <c r="A259" s="25"/>
      <c r="B259" s="25"/>
      <c r="C259" s="26"/>
      <c r="D259" s="26"/>
      <c r="E259" s="26"/>
      <c r="F259" s="26"/>
      <c r="G259" s="26"/>
      <c r="H259" s="36"/>
      <c r="I259" s="36"/>
      <c r="J259" s="36"/>
      <c r="K259" s="36"/>
      <c r="L259" s="36"/>
      <c r="M259" s="36"/>
      <c r="N259" s="36"/>
      <c r="O259" s="36"/>
    </row>
    <row r="260" spans="1:15" ht="26.25" customHeight="1">
      <c r="A260" s="15"/>
      <c r="B260" s="21"/>
      <c r="C260" s="15"/>
      <c r="D260" s="15"/>
      <c r="E260" s="15"/>
      <c r="F260" s="15"/>
      <c r="G260" s="35"/>
      <c r="H260" s="35"/>
      <c r="I260" s="35"/>
      <c r="J260" s="35"/>
      <c r="K260" s="35"/>
      <c r="L260" s="35"/>
      <c r="M260" s="35"/>
      <c r="N260" s="22"/>
      <c r="O260" s="22"/>
    </row>
    <row r="261" spans="1:15" ht="26.25" customHeight="1">
      <c r="A261" s="27"/>
      <c r="B261" s="28"/>
      <c r="C261" s="27"/>
      <c r="D261" s="27"/>
      <c r="E261" s="27"/>
      <c r="F261" s="27"/>
      <c r="G261" s="30"/>
      <c r="H261" s="30"/>
      <c r="I261" s="30"/>
      <c r="J261" s="30"/>
      <c r="K261" s="30"/>
      <c r="L261" s="30"/>
      <c r="M261" s="30"/>
      <c r="N261" s="29"/>
      <c r="O261" s="29"/>
    </row>
    <row r="262" spans="1:15" ht="26.25" customHeight="1">
      <c r="A262" s="25"/>
      <c r="B262" s="25"/>
      <c r="C262" s="26"/>
      <c r="D262" s="26"/>
      <c r="E262" s="26"/>
      <c r="F262" s="26"/>
      <c r="G262" s="26"/>
      <c r="H262" s="36"/>
      <c r="I262" s="36"/>
      <c r="J262" s="36"/>
      <c r="K262" s="36"/>
      <c r="L262" s="36"/>
      <c r="M262" s="36"/>
      <c r="N262" s="36"/>
      <c r="O262" s="36"/>
    </row>
    <row r="263" spans="1:15" ht="26.25" customHeight="1">
      <c r="A263" s="15"/>
      <c r="B263" s="21"/>
      <c r="C263" s="15"/>
      <c r="D263" s="15"/>
      <c r="E263" s="15"/>
      <c r="F263" s="15"/>
      <c r="G263" s="35"/>
      <c r="H263" s="35"/>
      <c r="I263" s="35"/>
      <c r="J263" s="35"/>
      <c r="K263" s="35"/>
      <c r="L263" s="35"/>
      <c r="M263" s="35"/>
      <c r="N263" s="22"/>
      <c r="O263" s="22"/>
    </row>
    <row r="264" spans="1:15" ht="26.25" customHeight="1">
      <c r="A264" s="27"/>
      <c r="B264" s="28"/>
      <c r="C264" s="27"/>
      <c r="D264" s="27"/>
      <c r="E264" s="27"/>
      <c r="F264" s="27"/>
      <c r="G264" s="30"/>
      <c r="H264" s="30"/>
      <c r="I264" s="30"/>
      <c r="J264" s="30"/>
      <c r="K264" s="30"/>
      <c r="L264" s="30"/>
      <c r="M264" s="30"/>
      <c r="N264" s="29"/>
      <c r="O264" s="29"/>
    </row>
    <row r="265" spans="1:15" ht="26.25" customHeight="1">
      <c r="A265" s="25"/>
      <c r="B265" s="25"/>
      <c r="C265" s="26"/>
      <c r="D265" s="26"/>
      <c r="E265" s="26"/>
      <c r="F265" s="26"/>
      <c r="G265" s="26"/>
      <c r="H265" s="36"/>
      <c r="I265" s="36"/>
      <c r="J265" s="36"/>
      <c r="K265" s="36"/>
      <c r="L265" s="36"/>
      <c r="M265" s="36"/>
      <c r="N265" s="36"/>
      <c r="O265" s="36"/>
    </row>
    <row r="266" spans="1:15" ht="26.25" customHeight="1">
      <c r="A266" s="15"/>
      <c r="B266" s="21"/>
      <c r="C266" s="15"/>
      <c r="D266" s="15"/>
      <c r="E266" s="15"/>
      <c r="F266" s="15"/>
      <c r="G266" s="35"/>
      <c r="H266" s="35"/>
      <c r="I266" s="35"/>
      <c r="J266" s="35"/>
      <c r="K266" s="35"/>
      <c r="L266" s="35"/>
      <c r="M266" s="35"/>
      <c r="N266" s="22"/>
      <c r="O266" s="22"/>
    </row>
    <row r="267" spans="1:15" ht="26.25" customHeight="1">
      <c r="A267" s="27"/>
      <c r="B267" s="28"/>
      <c r="C267" s="27"/>
      <c r="D267" s="27"/>
      <c r="E267" s="27"/>
      <c r="F267" s="27"/>
      <c r="G267" s="30"/>
      <c r="H267" s="30"/>
      <c r="I267" s="30"/>
      <c r="J267" s="30"/>
      <c r="K267" s="30"/>
      <c r="L267" s="30"/>
      <c r="M267" s="30"/>
      <c r="N267" s="29"/>
      <c r="O267" s="29"/>
    </row>
    <row r="268" spans="1:15" ht="26.25" customHeight="1">
      <c r="A268" s="25"/>
      <c r="B268" s="25"/>
      <c r="C268" s="26"/>
      <c r="D268" s="26"/>
      <c r="E268" s="26"/>
      <c r="F268" s="26"/>
      <c r="G268" s="26"/>
      <c r="H268" s="36"/>
      <c r="I268" s="36"/>
      <c r="J268" s="36"/>
      <c r="K268" s="36"/>
      <c r="L268" s="36"/>
      <c r="M268" s="36"/>
      <c r="N268" s="36"/>
      <c r="O268" s="36"/>
    </row>
    <row r="269" spans="1:15" ht="26.25" customHeight="1">
      <c r="A269" s="15"/>
      <c r="B269" s="21"/>
      <c r="C269" s="15"/>
      <c r="D269" s="15"/>
      <c r="E269" s="15"/>
      <c r="F269" s="15"/>
      <c r="G269" s="35"/>
      <c r="H269" s="35"/>
      <c r="I269" s="35"/>
      <c r="J269" s="35"/>
      <c r="K269" s="35"/>
      <c r="L269" s="35"/>
      <c r="M269" s="35"/>
      <c r="N269" s="22"/>
      <c r="O269" s="22"/>
    </row>
    <row r="270" spans="1:15" ht="26.25" customHeight="1">
      <c r="A270" s="27"/>
      <c r="B270" s="28"/>
      <c r="C270" s="27"/>
      <c r="D270" s="27"/>
      <c r="E270" s="27"/>
      <c r="F270" s="27"/>
      <c r="G270" s="30"/>
      <c r="H270" s="30"/>
      <c r="I270" s="30"/>
      <c r="J270" s="30"/>
      <c r="K270" s="30"/>
      <c r="L270" s="30"/>
      <c r="M270" s="30"/>
      <c r="N270" s="29"/>
      <c r="O270" s="29"/>
    </row>
    <row r="271" spans="1:15" ht="26.25" customHeight="1">
      <c r="A271" s="25"/>
      <c r="B271" s="25"/>
      <c r="C271" s="26"/>
      <c r="D271" s="26"/>
      <c r="E271" s="26"/>
      <c r="F271" s="26"/>
      <c r="G271" s="26"/>
      <c r="H271" s="36"/>
      <c r="I271" s="36"/>
      <c r="J271" s="36"/>
      <c r="K271" s="36"/>
      <c r="L271" s="36"/>
      <c r="M271" s="36"/>
      <c r="N271" s="36"/>
      <c r="O271" s="36"/>
    </row>
    <row r="272" spans="1:15" ht="26.25" customHeight="1">
      <c r="A272" s="15"/>
      <c r="B272" s="21"/>
      <c r="C272" s="15"/>
      <c r="D272" s="15"/>
      <c r="E272" s="15"/>
      <c r="F272" s="15"/>
      <c r="G272" s="35"/>
      <c r="H272" s="35"/>
      <c r="I272" s="35"/>
      <c r="J272" s="35"/>
      <c r="K272" s="35"/>
      <c r="L272" s="35"/>
      <c r="M272" s="35"/>
      <c r="N272" s="22"/>
      <c r="O272" s="22"/>
    </row>
    <row r="273" spans="1:15" ht="26.25" customHeight="1">
      <c r="A273" s="27"/>
      <c r="B273" s="28"/>
      <c r="C273" s="27"/>
      <c r="D273" s="27"/>
      <c r="E273" s="27"/>
      <c r="F273" s="27"/>
      <c r="G273" s="30"/>
      <c r="H273" s="30"/>
      <c r="I273" s="30"/>
      <c r="J273" s="30"/>
      <c r="K273" s="30"/>
      <c r="L273" s="30"/>
      <c r="M273" s="30"/>
      <c r="N273" s="29"/>
      <c r="O273" s="29"/>
    </row>
    <row r="274" spans="1:15" ht="26.25" customHeight="1">
      <c r="A274" s="25"/>
      <c r="B274" s="25"/>
      <c r="C274" s="26"/>
      <c r="D274" s="26"/>
      <c r="E274" s="26"/>
      <c r="F274" s="26"/>
      <c r="G274" s="26"/>
      <c r="H274" s="36"/>
      <c r="I274" s="36"/>
      <c r="J274" s="36"/>
      <c r="K274" s="36"/>
      <c r="L274" s="36"/>
      <c r="M274" s="36"/>
      <c r="N274" s="36"/>
      <c r="O274" s="36"/>
    </row>
    <row r="275" spans="1:15" ht="26.25" customHeight="1">
      <c r="A275" s="15"/>
      <c r="B275" s="21"/>
      <c r="C275" s="15"/>
      <c r="D275" s="15"/>
      <c r="E275" s="15"/>
      <c r="F275" s="15"/>
      <c r="G275" s="35"/>
      <c r="H275" s="35"/>
      <c r="I275" s="35"/>
      <c r="J275" s="35"/>
      <c r="K275" s="35"/>
      <c r="L275" s="35"/>
      <c r="M275" s="35"/>
      <c r="N275" s="22"/>
      <c r="O275" s="22"/>
    </row>
    <row r="276" spans="1:15" ht="26.25" customHeight="1">
      <c r="A276" s="27"/>
      <c r="B276" s="28"/>
      <c r="C276" s="27"/>
      <c r="D276" s="27"/>
      <c r="E276" s="27"/>
      <c r="F276" s="27"/>
      <c r="G276" s="30"/>
      <c r="H276" s="30"/>
      <c r="I276" s="30"/>
      <c r="J276" s="30"/>
      <c r="K276" s="30"/>
      <c r="L276" s="30"/>
      <c r="M276" s="30"/>
      <c r="N276" s="29"/>
      <c r="O276" s="29"/>
    </row>
    <row r="277" spans="1:15" ht="26.25" customHeight="1">
      <c r="A277" s="25"/>
      <c r="B277" s="25"/>
      <c r="C277" s="26"/>
      <c r="D277" s="26"/>
      <c r="E277" s="26"/>
      <c r="F277" s="26"/>
      <c r="G277" s="26"/>
      <c r="H277" s="36"/>
      <c r="I277" s="36"/>
      <c r="J277" s="36"/>
      <c r="K277" s="36"/>
      <c r="L277" s="36"/>
      <c r="M277" s="36"/>
      <c r="N277" s="36"/>
      <c r="O277" s="36"/>
    </row>
    <row r="278" spans="1:15" ht="26.25" customHeight="1">
      <c r="A278" s="15"/>
      <c r="B278" s="21"/>
      <c r="C278" s="15"/>
      <c r="D278" s="15"/>
      <c r="E278" s="15"/>
      <c r="F278" s="15"/>
      <c r="G278" s="35"/>
      <c r="H278" s="35"/>
      <c r="I278" s="35"/>
      <c r="J278" s="35"/>
      <c r="K278" s="35"/>
      <c r="L278" s="35"/>
      <c r="M278" s="35"/>
      <c r="N278" s="22"/>
      <c r="O278" s="22"/>
    </row>
    <row r="279" spans="1:15" ht="26.25" customHeight="1">
      <c r="A279" s="27"/>
      <c r="B279" s="28"/>
      <c r="C279" s="27"/>
      <c r="D279" s="27"/>
      <c r="E279" s="27"/>
      <c r="F279" s="27"/>
      <c r="G279" s="30"/>
      <c r="H279" s="30"/>
      <c r="I279" s="30"/>
      <c r="J279" s="30"/>
      <c r="K279" s="30"/>
      <c r="L279" s="30"/>
      <c r="M279" s="30"/>
      <c r="N279" s="29"/>
      <c r="O279" s="29"/>
    </row>
    <row r="280" spans="1:15" ht="26.25" customHeight="1">
      <c r="A280" s="25"/>
      <c r="B280" s="25"/>
      <c r="C280" s="26"/>
      <c r="D280" s="26"/>
      <c r="E280" s="26"/>
      <c r="F280" s="26"/>
      <c r="G280" s="26"/>
      <c r="H280" s="36"/>
      <c r="I280" s="36"/>
      <c r="J280" s="36"/>
      <c r="K280" s="36"/>
      <c r="L280" s="36"/>
      <c r="M280" s="36"/>
      <c r="N280" s="36"/>
      <c r="O280" s="36"/>
    </row>
    <row r="281" spans="1:15" ht="26.25" customHeight="1">
      <c r="A281" s="15"/>
      <c r="B281" s="21"/>
      <c r="C281" s="15"/>
      <c r="D281" s="15"/>
      <c r="E281" s="15"/>
      <c r="F281" s="15"/>
      <c r="G281" s="35"/>
      <c r="H281" s="35"/>
      <c r="I281" s="35"/>
      <c r="J281" s="35"/>
      <c r="K281" s="35"/>
      <c r="L281" s="35"/>
      <c r="M281" s="35"/>
      <c r="N281" s="22"/>
      <c r="O281" s="22"/>
    </row>
    <row r="282" spans="1:15" ht="26.25" customHeight="1">
      <c r="A282" s="27"/>
      <c r="B282" s="28"/>
      <c r="C282" s="27"/>
      <c r="D282" s="27"/>
      <c r="E282" s="27"/>
      <c r="F282" s="27"/>
      <c r="G282" s="30"/>
      <c r="H282" s="30"/>
      <c r="I282" s="30"/>
      <c r="J282" s="30"/>
      <c r="K282" s="30"/>
      <c r="L282" s="30"/>
      <c r="M282" s="30"/>
      <c r="N282" s="29"/>
      <c r="O282" s="29"/>
    </row>
    <row r="283" spans="1:15" ht="26.25" customHeight="1">
      <c r="A283" s="25"/>
      <c r="B283" s="25"/>
      <c r="C283" s="26"/>
      <c r="D283" s="26"/>
      <c r="E283" s="26"/>
      <c r="F283" s="26"/>
      <c r="G283" s="26"/>
      <c r="H283" s="36"/>
      <c r="I283" s="36"/>
      <c r="J283" s="36"/>
      <c r="K283" s="36"/>
      <c r="L283" s="36"/>
      <c r="M283" s="36"/>
      <c r="N283" s="36"/>
      <c r="O283" s="36"/>
    </row>
    <row r="284" spans="1:15" ht="26.25" customHeight="1">
      <c r="A284" s="15"/>
      <c r="B284" s="21"/>
      <c r="C284" s="15"/>
      <c r="D284" s="15"/>
      <c r="E284" s="15"/>
      <c r="F284" s="15"/>
      <c r="G284" s="35"/>
      <c r="H284" s="35"/>
      <c r="I284" s="35"/>
      <c r="J284" s="35"/>
      <c r="K284" s="35"/>
      <c r="L284" s="35"/>
      <c r="M284" s="35"/>
      <c r="N284" s="22"/>
      <c r="O284" s="22"/>
    </row>
    <row r="285" spans="1:15" ht="26.25" customHeight="1">
      <c r="A285" s="27"/>
      <c r="B285" s="28"/>
      <c r="C285" s="27"/>
      <c r="D285" s="27"/>
      <c r="E285" s="27"/>
      <c r="F285" s="27"/>
      <c r="G285" s="30"/>
      <c r="H285" s="30"/>
      <c r="I285" s="30"/>
      <c r="J285" s="30"/>
      <c r="K285" s="30"/>
      <c r="L285" s="30"/>
      <c r="M285" s="30"/>
      <c r="N285" s="29"/>
      <c r="O285" s="29"/>
    </row>
    <row r="286" spans="1:15" ht="26.25" customHeight="1">
      <c r="A286" s="25"/>
      <c r="B286" s="25"/>
      <c r="C286" s="26"/>
      <c r="D286" s="26"/>
      <c r="E286" s="26"/>
      <c r="F286" s="26"/>
      <c r="G286" s="26"/>
      <c r="H286" s="36"/>
      <c r="I286" s="36"/>
      <c r="J286" s="36"/>
      <c r="K286" s="36"/>
      <c r="L286" s="36"/>
      <c r="M286" s="36"/>
      <c r="N286" s="36"/>
      <c r="O286" s="36"/>
    </row>
    <row r="287" spans="1:15" ht="26.25" customHeight="1">
      <c r="A287" s="15"/>
      <c r="B287" s="21"/>
      <c r="C287" s="15"/>
      <c r="D287" s="15"/>
      <c r="E287" s="15"/>
      <c r="F287" s="15"/>
      <c r="G287" s="35"/>
      <c r="H287" s="35"/>
      <c r="I287" s="35"/>
      <c r="J287" s="35"/>
      <c r="K287" s="35"/>
      <c r="L287" s="35"/>
      <c r="M287" s="35"/>
      <c r="N287" s="22"/>
      <c r="O287" s="22"/>
    </row>
    <row r="288" spans="1:15" ht="26.25" customHeight="1">
      <c r="A288" s="27"/>
      <c r="B288" s="28"/>
      <c r="C288" s="27"/>
      <c r="D288" s="27"/>
      <c r="E288" s="27"/>
      <c r="F288" s="27"/>
      <c r="G288" s="30"/>
      <c r="H288" s="30"/>
      <c r="I288" s="30"/>
      <c r="J288" s="30"/>
      <c r="K288" s="30"/>
      <c r="L288" s="30"/>
      <c r="M288" s="30"/>
      <c r="N288" s="29"/>
      <c r="O288" s="29"/>
    </row>
    <row r="289" spans="1:15" ht="26.25" customHeight="1">
      <c r="A289" s="25"/>
      <c r="B289" s="25"/>
      <c r="C289" s="26"/>
      <c r="D289" s="26"/>
      <c r="E289" s="26"/>
      <c r="F289" s="26"/>
      <c r="G289" s="26"/>
      <c r="H289" s="36"/>
      <c r="I289" s="36"/>
      <c r="J289" s="36"/>
      <c r="K289" s="36"/>
      <c r="L289" s="36"/>
      <c r="M289" s="36"/>
      <c r="N289" s="36"/>
      <c r="O289" s="36"/>
    </row>
    <row r="290" spans="1:15" ht="26.25" customHeight="1">
      <c r="A290" s="15"/>
      <c r="B290" s="21"/>
      <c r="C290" s="15"/>
      <c r="D290" s="15"/>
      <c r="E290" s="15"/>
      <c r="F290" s="15"/>
      <c r="G290" s="35"/>
      <c r="H290" s="35"/>
      <c r="I290" s="35"/>
      <c r="J290" s="35"/>
      <c r="K290" s="35"/>
      <c r="L290" s="35"/>
      <c r="M290" s="35"/>
      <c r="N290" s="22"/>
      <c r="O290" s="22"/>
    </row>
    <row r="291" spans="1:15" ht="26.25" customHeight="1">
      <c r="A291" s="27"/>
      <c r="B291" s="28"/>
      <c r="C291" s="27"/>
      <c r="D291" s="27"/>
      <c r="E291" s="27"/>
      <c r="F291" s="27"/>
      <c r="G291" s="30"/>
      <c r="H291" s="30"/>
      <c r="I291" s="30"/>
      <c r="J291" s="30"/>
      <c r="K291" s="30"/>
      <c r="L291" s="30"/>
      <c r="M291" s="30"/>
      <c r="N291" s="29"/>
      <c r="O291" s="29"/>
    </row>
    <row r="292" spans="1:15" ht="26.25" customHeight="1">
      <c r="A292" s="25"/>
      <c r="B292" s="25"/>
      <c r="C292" s="26"/>
      <c r="D292" s="26"/>
      <c r="E292" s="26"/>
      <c r="F292" s="26"/>
      <c r="G292" s="26"/>
      <c r="H292" s="36"/>
      <c r="I292" s="36"/>
      <c r="J292" s="36"/>
      <c r="K292" s="36"/>
      <c r="L292" s="36"/>
      <c r="M292" s="36"/>
      <c r="N292" s="36"/>
      <c r="O292" s="36"/>
    </row>
    <row r="293" spans="1:15" ht="26.25" customHeight="1">
      <c r="A293" s="15"/>
      <c r="B293" s="21"/>
      <c r="C293" s="15"/>
      <c r="D293" s="15"/>
      <c r="E293" s="15"/>
      <c r="F293" s="15"/>
      <c r="G293" s="35"/>
      <c r="H293" s="35"/>
      <c r="I293" s="35"/>
      <c r="J293" s="35"/>
      <c r="K293" s="35"/>
      <c r="L293" s="35"/>
      <c r="M293" s="35"/>
      <c r="N293" s="22"/>
      <c r="O293" s="22"/>
    </row>
    <row r="294" spans="1:15" ht="26.25" customHeight="1">
      <c r="A294" s="27"/>
      <c r="B294" s="28"/>
      <c r="C294" s="27"/>
      <c r="D294" s="27"/>
      <c r="E294" s="27"/>
      <c r="F294" s="27"/>
      <c r="G294" s="30"/>
      <c r="H294" s="30"/>
      <c r="I294" s="30"/>
      <c r="J294" s="30"/>
      <c r="K294" s="30"/>
      <c r="L294" s="30"/>
      <c r="M294" s="30"/>
      <c r="N294" s="29"/>
      <c r="O294" s="29"/>
    </row>
    <row r="295" spans="1:15" ht="26.25" customHeight="1">
      <c r="A295" s="25"/>
      <c r="B295" s="25"/>
      <c r="C295" s="26"/>
      <c r="D295" s="26"/>
      <c r="E295" s="26"/>
      <c r="F295" s="26"/>
      <c r="G295" s="26"/>
      <c r="H295" s="36"/>
      <c r="I295" s="36"/>
      <c r="J295" s="36"/>
      <c r="K295" s="36"/>
      <c r="L295" s="36"/>
      <c r="M295" s="36"/>
      <c r="N295" s="36"/>
      <c r="O295" s="36"/>
    </row>
    <row r="296" spans="1:15" ht="26.25" customHeight="1">
      <c r="A296" s="15"/>
      <c r="B296" s="21"/>
      <c r="C296" s="15"/>
      <c r="D296" s="15"/>
      <c r="E296" s="15"/>
      <c r="F296" s="15"/>
      <c r="G296" s="35"/>
      <c r="H296" s="35"/>
      <c r="I296" s="35"/>
      <c r="J296" s="35"/>
      <c r="K296" s="35"/>
      <c r="L296" s="35"/>
      <c r="M296" s="35"/>
      <c r="N296" s="22"/>
      <c r="O296" s="22"/>
    </row>
    <row r="297" spans="1:15" ht="26.25" customHeight="1">
      <c r="A297" s="27"/>
      <c r="B297" s="28"/>
      <c r="C297" s="27"/>
      <c r="D297" s="27"/>
      <c r="E297" s="27"/>
      <c r="F297" s="27"/>
      <c r="G297" s="30"/>
      <c r="H297" s="30"/>
      <c r="I297" s="30"/>
      <c r="J297" s="30"/>
      <c r="K297" s="30"/>
      <c r="L297" s="30"/>
      <c r="M297" s="30"/>
      <c r="N297" s="29"/>
      <c r="O297" s="29"/>
    </row>
    <row r="298" spans="1:15" ht="26.25" customHeight="1">
      <c r="A298" s="25"/>
      <c r="B298" s="25"/>
      <c r="C298" s="26"/>
      <c r="D298" s="26"/>
      <c r="E298" s="26"/>
      <c r="F298" s="26"/>
      <c r="G298" s="26"/>
      <c r="H298" s="36"/>
      <c r="I298" s="36"/>
      <c r="J298" s="36"/>
      <c r="K298" s="36"/>
      <c r="L298" s="36"/>
      <c r="M298" s="36"/>
      <c r="N298" s="36"/>
      <c r="O298" s="36"/>
    </row>
    <row r="299" spans="1:15" ht="26.25" customHeight="1">
      <c r="A299" s="15"/>
      <c r="B299" s="21"/>
      <c r="C299" s="15"/>
      <c r="D299" s="15"/>
      <c r="E299" s="15"/>
      <c r="F299" s="15"/>
      <c r="G299" s="35"/>
      <c r="H299" s="35"/>
      <c r="I299" s="35"/>
      <c r="J299" s="35"/>
      <c r="K299" s="35"/>
      <c r="L299" s="35"/>
      <c r="M299" s="35"/>
      <c r="N299" s="22"/>
      <c r="O299" s="22"/>
    </row>
    <row r="300" spans="1:15" ht="26.25" customHeight="1">
      <c r="A300" s="27"/>
      <c r="B300" s="28"/>
      <c r="C300" s="27"/>
      <c r="D300" s="27"/>
      <c r="E300" s="27"/>
      <c r="F300" s="27"/>
      <c r="G300" s="30"/>
      <c r="H300" s="30"/>
      <c r="I300" s="30"/>
      <c r="J300" s="30"/>
      <c r="K300" s="30"/>
      <c r="L300" s="30"/>
      <c r="M300" s="30"/>
      <c r="N300" s="29"/>
      <c r="O300" s="29"/>
    </row>
    <row r="301" spans="1:15" ht="26.25" customHeight="1">
      <c r="A301" s="25"/>
      <c r="B301" s="25"/>
      <c r="C301" s="26"/>
      <c r="D301" s="26"/>
      <c r="E301" s="26"/>
      <c r="F301" s="26"/>
      <c r="G301" s="26"/>
      <c r="H301" s="36"/>
      <c r="I301" s="36"/>
      <c r="J301" s="36"/>
      <c r="K301" s="36"/>
      <c r="L301" s="36"/>
      <c r="M301" s="36"/>
      <c r="N301" s="36"/>
      <c r="O301" s="36"/>
    </row>
    <row r="302" spans="1:15" ht="26.25" customHeight="1">
      <c r="A302" s="15"/>
      <c r="B302" s="21"/>
      <c r="C302" s="15"/>
      <c r="D302" s="15"/>
      <c r="E302" s="15"/>
      <c r="F302" s="15"/>
      <c r="G302" s="35"/>
      <c r="H302" s="35"/>
      <c r="I302" s="35"/>
      <c r="J302" s="35"/>
      <c r="K302" s="35"/>
      <c r="L302" s="35"/>
      <c r="M302" s="35"/>
      <c r="N302" s="22"/>
      <c r="O302" s="22"/>
    </row>
    <row r="303" spans="1:15" ht="26.25" customHeight="1">
      <c r="A303" s="27"/>
      <c r="B303" s="28"/>
      <c r="C303" s="27"/>
      <c r="D303" s="27"/>
      <c r="E303" s="27"/>
      <c r="F303" s="27"/>
      <c r="G303" s="30"/>
      <c r="H303" s="30"/>
      <c r="I303" s="30"/>
      <c r="J303" s="30"/>
      <c r="K303" s="30"/>
      <c r="L303" s="30"/>
      <c r="M303" s="30"/>
      <c r="N303" s="29"/>
      <c r="O303" s="29"/>
    </row>
    <row r="304" spans="1:15" ht="26.25" customHeight="1">
      <c r="A304" s="25"/>
      <c r="B304" s="25"/>
      <c r="C304" s="26"/>
      <c r="D304" s="26"/>
      <c r="E304" s="26"/>
      <c r="F304" s="26"/>
      <c r="G304" s="26"/>
      <c r="H304" s="36"/>
      <c r="I304" s="36"/>
      <c r="J304" s="36"/>
      <c r="K304" s="36"/>
      <c r="L304" s="36"/>
      <c r="M304" s="36"/>
      <c r="N304" s="36"/>
      <c r="O304" s="36"/>
    </row>
    <row r="305" spans="1:15" ht="26.25" customHeight="1">
      <c r="A305" s="15"/>
      <c r="B305" s="21"/>
      <c r="C305" s="15"/>
      <c r="D305" s="15"/>
      <c r="E305" s="15"/>
      <c r="F305" s="15"/>
      <c r="G305" s="35"/>
      <c r="H305" s="35"/>
      <c r="I305" s="35"/>
      <c r="J305" s="35"/>
      <c r="K305" s="35"/>
      <c r="L305" s="35"/>
      <c r="M305" s="35"/>
      <c r="N305" s="22"/>
      <c r="O305" s="22"/>
    </row>
    <row r="306" spans="1:15" ht="26.25" customHeight="1">
      <c r="A306" s="27"/>
      <c r="B306" s="28"/>
      <c r="C306" s="27"/>
      <c r="D306" s="27"/>
      <c r="E306" s="27"/>
      <c r="F306" s="27"/>
      <c r="G306" s="30"/>
      <c r="H306" s="30"/>
      <c r="I306" s="30"/>
      <c r="J306" s="30"/>
      <c r="K306" s="30"/>
      <c r="L306" s="30"/>
      <c r="M306" s="30"/>
      <c r="N306" s="29"/>
      <c r="O306" s="29"/>
    </row>
    <row r="307" spans="1:15" ht="26.25" customHeight="1">
      <c r="A307" s="25"/>
      <c r="B307" s="25"/>
      <c r="C307" s="26"/>
      <c r="D307" s="26"/>
      <c r="E307" s="26"/>
      <c r="F307" s="26"/>
      <c r="G307" s="26"/>
      <c r="H307" s="36"/>
      <c r="I307" s="36"/>
      <c r="J307" s="36"/>
      <c r="K307" s="36"/>
      <c r="L307" s="36"/>
      <c r="M307" s="36"/>
      <c r="N307" s="36"/>
      <c r="O307" s="36"/>
    </row>
    <row r="308" spans="1:15" ht="26.25" customHeight="1">
      <c r="A308" s="15"/>
      <c r="B308" s="21"/>
      <c r="C308" s="15"/>
      <c r="D308" s="15"/>
      <c r="E308" s="15"/>
      <c r="F308" s="15"/>
      <c r="G308" s="35"/>
      <c r="H308" s="35"/>
      <c r="I308" s="35"/>
      <c r="J308" s="35"/>
      <c r="K308" s="35"/>
      <c r="L308" s="35"/>
      <c r="M308" s="35"/>
      <c r="N308" s="22"/>
      <c r="O308" s="22"/>
    </row>
    <row r="309" spans="1:15" ht="26.25" customHeight="1">
      <c r="A309" s="27"/>
      <c r="B309" s="28"/>
      <c r="C309" s="27"/>
      <c r="D309" s="27"/>
      <c r="E309" s="27"/>
      <c r="F309" s="27"/>
      <c r="G309" s="30"/>
      <c r="H309" s="30"/>
      <c r="I309" s="30"/>
      <c r="J309" s="30"/>
      <c r="K309" s="30"/>
      <c r="L309" s="30"/>
      <c r="M309" s="30"/>
      <c r="N309" s="29"/>
      <c r="O309" s="29"/>
    </row>
    <row r="310" spans="1:15" ht="26.25" customHeight="1">
      <c r="A310" s="25"/>
      <c r="B310" s="25"/>
      <c r="C310" s="26"/>
      <c r="D310" s="26"/>
      <c r="E310" s="26"/>
      <c r="F310" s="26"/>
      <c r="G310" s="26"/>
      <c r="H310" s="36"/>
      <c r="I310" s="36"/>
      <c r="J310" s="36"/>
      <c r="K310" s="36"/>
      <c r="L310" s="36"/>
      <c r="M310" s="36"/>
      <c r="N310" s="36"/>
      <c r="O310" s="36"/>
    </row>
    <row r="311" spans="1:15" ht="26.25" customHeight="1">
      <c r="A311" s="15"/>
      <c r="B311" s="21"/>
      <c r="C311" s="15"/>
      <c r="D311" s="15"/>
      <c r="E311" s="15"/>
      <c r="F311" s="15"/>
      <c r="G311" s="35"/>
      <c r="H311" s="35"/>
      <c r="I311" s="35"/>
      <c r="J311" s="35"/>
      <c r="K311" s="35"/>
      <c r="L311" s="35"/>
      <c r="M311" s="35"/>
      <c r="N311" s="22"/>
      <c r="O311" s="22"/>
    </row>
    <row r="312" spans="1:15" ht="26.25" customHeight="1">
      <c r="A312" s="27"/>
      <c r="B312" s="28"/>
      <c r="C312" s="27"/>
      <c r="D312" s="27"/>
      <c r="E312" s="27"/>
      <c r="F312" s="27"/>
      <c r="G312" s="30"/>
      <c r="H312" s="30"/>
      <c r="I312" s="30"/>
      <c r="J312" s="30"/>
      <c r="K312" s="30"/>
      <c r="L312" s="30"/>
      <c r="M312" s="30"/>
      <c r="N312" s="29"/>
      <c r="O312" s="29"/>
    </row>
    <row r="313" spans="1:15" ht="26.25" customHeight="1">
      <c r="A313" s="25"/>
      <c r="B313" s="25"/>
      <c r="C313" s="26"/>
      <c r="D313" s="26"/>
      <c r="E313" s="26"/>
      <c r="F313" s="26"/>
      <c r="G313" s="26"/>
      <c r="H313" s="36"/>
      <c r="I313" s="36"/>
      <c r="J313" s="36"/>
      <c r="K313" s="36"/>
      <c r="L313" s="36"/>
      <c r="M313" s="36"/>
      <c r="N313" s="36"/>
      <c r="O313" s="36"/>
    </row>
    <row r="314" spans="1:15" ht="26.25" customHeight="1">
      <c r="A314" s="15"/>
      <c r="B314" s="21"/>
      <c r="C314" s="15"/>
      <c r="D314" s="15"/>
      <c r="E314" s="15"/>
      <c r="F314" s="15"/>
      <c r="G314" s="35"/>
      <c r="H314" s="35"/>
      <c r="I314" s="35"/>
      <c r="J314" s="35"/>
      <c r="K314" s="35"/>
      <c r="L314" s="35"/>
      <c r="M314" s="35"/>
      <c r="N314" s="22"/>
      <c r="O314" s="22"/>
    </row>
    <row r="315" spans="1:15" ht="26.25" customHeight="1">
      <c r="A315" s="27"/>
      <c r="B315" s="28"/>
      <c r="C315" s="27"/>
      <c r="D315" s="27"/>
      <c r="E315" s="27"/>
      <c r="F315" s="27"/>
      <c r="G315" s="30"/>
      <c r="H315" s="30"/>
      <c r="I315" s="30"/>
      <c r="J315" s="30"/>
      <c r="K315" s="30"/>
      <c r="L315" s="30"/>
      <c r="M315" s="30"/>
      <c r="N315" s="29"/>
      <c r="O315" s="29"/>
    </row>
    <row r="316" spans="1:15" ht="26.25" customHeight="1">
      <c r="A316" s="25"/>
      <c r="B316" s="25"/>
      <c r="C316" s="26"/>
      <c r="D316" s="26"/>
      <c r="E316" s="26"/>
      <c r="F316" s="26"/>
      <c r="G316" s="26"/>
      <c r="H316" s="36"/>
      <c r="I316" s="36"/>
      <c r="J316" s="36"/>
      <c r="K316" s="36"/>
      <c r="L316" s="36"/>
      <c r="M316" s="36"/>
      <c r="N316" s="36"/>
      <c r="O316" s="36"/>
    </row>
    <row r="317" spans="1:15" ht="26.25" customHeight="1">
      <c r="A317" s="15"/>
      <c r="B317" s="21"/>
      <c r="C317" s="15"/>
      <c r="D317" s="15"/>
      <c r="E317" s="15"/>
      <c r="F317" s="15"/>
      <c r="G317" s="35"/>
      <c r="H317" s="35"/>
      <c r="I317" s="35"/>
      <c r="J317" s="35"/>
      <c r="K317" s="35"/>
      <c r="L317" s="35"/>
      <c r="M317" s="35"/>
      <c r="N317" s="22"/>
      <c r="O317" s="22"/>
    </row>
    <row r="318" spans="1:15" ht="26.25" customHeight="1">
      <c r="A318" s="27"/>
      <c r="B318" s="28"/>
      <c r="C318" s="27"/>
      <c r="D318" s="27"/>
      <c r="E318" s="27"/>
      <c r="F318" s="27"/>
      <c r="G318" s="30"/>
      <c r="H318" s="30"/>
      <c r="I318" s="30"/>
      <c r="J318" s="30"/>
      <c r="K318" s="30"/>
      <c r="L318" s="30"/>
      <c r="M318" s="30"/>
      <c r="N318" s="29"/>
      <c r="O318" s="29"/>
    </row>
    <row r="319" spans="1:15" ht="26.25" customHeight="1">
      <c r="A319" s="25"/>
      <c r="B319" s="25"/>
      <c r="C319" s="26"/>
      <c r="D319" s="26"/>
      <c r="E319" s="26"/>
      <c r="F319" s="26"/>
      <c r="G319" s="26"/>
      <c r="H319" s="36"/>
      <c r="I319" s="36"/>
      <c r="J319" s="36"/>
      <c r="K319" s="36"/>
      <c r="L319" s="36"/>
      <c r="M319" s="36"/>
      <c r="N319" s="36"/>
      <c r="O319" s="36"/>
    </row>
    <row r="320" spans="1:15" ht="26.25" customHeight="1">
      <c r="A320" s="15"/>
      <c r="B320" s="21"/>
      <c r="C320" s="15"/>
      <c r="D320" s="15"/>
      <c r="E320" s="15"/>
      <c r="F320" s="15"/>
      <c r="G320" s="35"/>
      <c r="H320" s="35"/>
      <c r="I320" s="35"/>
      <c r="J320" s="35"/>
      <c r="K320" s="35"/>
      <c r="L320" s="35"/>
      <c r="M320" s="35"/>
      <c r="N320" s="22"/>
      <c r="O320" s="22"/>
    </row>
    <row r="321" spans="1:15" ht="26.25" customHeight="1">
      <c r="A321" s="27"/>
      <c r="B321" s="28"/>
      <c r="C321" s="27"/>
      <c r="D321" s="27"/>
      <c r="E321" s="27"/>
      <c r="F321" s="27"/>
      <c r="G321" s="30"/>
      <c r="H321" s="30"/>
      <c r="I321" s="30"/>
      <c r="J321" s="30"/>
      <c r="K321" s="30"/>
      <c r="L321" s="30"/>
      <c r="M321" s="30"/>
      <c r="N321" s="29"/>
      <c r="O321" s="29"/>
    </row>
    <row r="322" spans="1:15" ht="26.25" customHeight="1">
      <c r="A322" s="25"/>
      <c r="B322" s="25"/>
      <c r="C322" s="26"/>
      <c r="D322" s="26"/>
      <c r="E322" s="26"/>
      <c r="F322" s="26"/>
      <c r="G322" s="26"/>
      <c r="H322" s="36"/>
      <c r="I322" s="36"/>
      <c r="J322" s="36"/>
      <c r="K322" s="36"/>
      <c r="L322" s="36"/>
      <c r="M322" s="36"/>
      <c r="N322" s="36"/>
      <c r="O322" s="36"/>
    </row>
    <row r="323" spans="1:15" ht="26.25" customHeight="1">
      <c r="A323" s="15"/>
      <c r="B323" s="21"/>
      <c r="C323" s="15"/>
      <c r="D323" s="15"/>
      <c r="E323" s="15"/>
      <c r="F323" s="15"/>
      <c r="G323" s="35"/>
      <c r="H323" s="35"/>
      <c r="I323" s="35"/>
      <c r="J323" s="35"/>
      <c r="K323" s="35"/>
      <c r="L323" s="35"/>
      <c r="M323" s="35"/>
      <c r="N323" s="22"/>
      <c r="O323" s="22"/>
    </row>
    <row r="324" spans="1:15" ht="26.25" customHeight="1">
      <c r="A324" s="27"/>
      <c r="B324" s="28"/>
      <c r="C324" s="27"/>
      <c r="D324" s="27"/>
      <c r="E324" s="27"/>
      <c r="F324" s="27"/>
      <c r="G324" s="30"/>
      <c r="H324" s="30"/>
      <c r="I324" s="30"/>
      <c r="J324" s="30"/>
      <c r="K324" s="30"/>
      <c r="L324" s="30"/>
      <c r="M324" s="30"/>
      <c r="N324" s="29"/>
      <c r="O324" s="29"/>
    </row>
    <row r="325" spans="1:15" ht="26.25" customHeight="1">
      <c r="A325" s="25"/>
      <c r="B325" s="25"/>
      <c r="C325" s="26"/>
      <c r="D325" s="26"/>
      <c r="E325" s="26"/>
      <c r="F325" s="26"/>
      <c r="G325" s="26"/>
      <c r="H325" s="36"/>
      <c r="I325" s="36"/>
      <c r="J325" s="36"/>
      <c r="K325" s="36"/>
      <c r="L325" s="36"/>
      <c r="M325" s="36"/>
      <c r="N325" s="36"/>
      <c r="O325" s="36"/>
    </row>
    <row r="326" spans="1:15" ht="26.25" customHeight="1">
      <c r="A326" s="15"/>
      <c r="B326" s="21"/>
      <c r="C326" s="15"/>
      <c r="D326" s="15"/>
      <c r="E326" s="15"/>
      <c r="F326" s="15"/>
      <c r="G326" s="35"/>
      <c r="H326" s="35"/>
      <c r="I326" s="35"/>
      <c r="J326" s="35"/>
      <c r="K326" s="35"/>
      <c r="L326" s="35"/>
      <c r="M326" s="35"/>
      <c r="N326" s="22"/>
      <c r="O326" s="22"/>
    </row>
    <row r="327" spans="1:15" ht="26.25" customHeight="1">
      <c r="A327" s="27"/>
      <c r="B327" s="28"/>
      <c r="C327" s="27"/>
      <c r="D327" s="27"/>
      <c r="E327" s="27"/>
      <c r="F327" s="27"/>
      <c r="G327" s="30"/>
      <c r="H327" s="30"/>
      <c r="I327" s="30"/>
      <c r="J327" s="30"/>
      <c r="K327" s="30"/>
      <c r="L327" s="30"/>
      <c r="M327" s="30"/>
      <c r="N327" s="29"/>
      <c r="O327" s="29"/>
    </row>
    <row r="328" spans="1:15" ht="26.25" customHeight="1">
      <c r="A328" s="25"/>
      <c r="B328" s="25"/>
      <c r="C328" s="26"/>
      <c r="D328" s="26"/>
      <c r="E328" s="26"/>
      <c r="F328" s="26"/>
      <c r="G328" s="26"/>
      <c r="H328" s="36"/>
      <c r="I328" s="36"/>
      <c r="J328" s="36"/>
      <c r="K328" s="36"/>
      <c r="L328" s="36"/>
      <c r="M328" s="36"/>
      <c r="N328" s="36"/>
      <c r="O328" s="36"/>
    </row>
    <row r="329" spans="1:15" ht="26.25" customHeight="1">
      <c r="A329" s="15"/>
      <c r="B329" s="21"/>
      <c r="C329" s="15"/>
      <c r="D329" s="15"/>
      <c r="E329" s="15"/>
      <c r="F329" s="15"/>
      <c r="G329" s="35"/>
      <c r="H329" s="35"/>
      <c r="I329" s="35"/>
      <c r="J329" s="35"/>
      <c r="K329" s="35"/>
      <c r="L329" s="35"/>
      <c r="M329" s="35"/>
      <c r="N329" s="22"/>
      <c r="O329" s="22"/>
    </row>
    <row r="330" spans="1:15" ht="26.25" customHeight="1">
      <c r="A330" s="27"/>
      <c r="B330" s="28"/>
      <c r="C330" s="27"/>
      <c r="D330" s="27"/>
      <c r="E330" s="27"/>
      <c r="F330" s="27"/>
      <c r="G330" s="30"/>
      <c r="H330" s="30"/>
      <c r="I330" s="30"/>
      <c r="J330" s="30"/>
      <c r="K330" s="30"/>
      <c r="L330" s="30"/>
      <c r="M330" s="30"/>
      <c r="N330" s="29"/>
      <c r="O330" s="29"/>
    </row>
    <row r="331" spans="1:15" ht="26.25" customHeight="1">
      <c r="A331" s="25"/>
      <c r="B331" s="25"/>
      <c r="C331" s="26"/>
      <c r="D331" s="26"/>
      <c r="E331" s="26"/>
      <c r="F331" s="26"/>
      <c r="G331" s="26"/>
      <c r="H331" s="36"/>
      <c r="I331" s="36"/>
      <c r="J331" s="36"/>
      <c r="K331" s="36"/>
      <c r="L331" s="36"/>
      <c r="M331" s="36"/>
      <c r="N331" s="36"/>
      <c r="O331" s="36"/>
    </row>
    <row r="332" spans="1:15" ht="26.25" customHeight="1">
      <c r="A332" s="15"/>
      <c r="B332" s="21"/>
      <c r="C332" s="15"/>
      <c r="D332" s="15"/>
      <c r="E332" s="15"/>
      <c r="F332" s="15"/>
      <c r="G332" s="35"/>
      <c r="H332" s="35"/>
      <c r="I332" s="35"/>
      <c r="J332" s="35"/>
      <c r="K332" s="35"/>
      <c r="L332" s="35"/>
      <c r="M332" s="35"/>
      <c r="N332" s="22"/>
      <c r="O332" s="22"/>
    </row>
    <row r="333" spans="1:15" ht="26.25" customHeight="1">
      <c r="A333" s="27"/>
      <c r="B333" s="28"/>
      <c r="C333" s="27"/>
      <c r="D333" s="27"/>
      <c r="E333" s="27"/>
      <c r="F333" s="27"/>
      <c r="G333" s="30"/>
      <c r="H333" s="30"/>
      <c r="I333" s="30"/>
      <c r="J333" s="30"/>
      <c r="K333" s="30"/>
      <c r="L333" s="30"/>
      <c r="M333" s="30"/>
      <c r="N333" s="29"/>
      <c r="O333" s="29"/>
    </row>
    <row r="334" spans="1:15" ht="26.25" customHeight="1">
      <c r="A334" s="25"/>
      <c r="B334" s="25"/>
      <c r="C334" s="26"/>
      <c r="D334" s="26"/>
      <c r="E334" s="26"/>
      <c r="F334" s="26"/>
      <c r="G334" s="26"/>
      <c r="H334" s="36"/>
      <c r="I334" s="36"/>
      <c r="J334" s="36"/>
      <c r="K334" s="36"/>
      <c r="L334" s="36"/>
      <c r="M334" s="36"/>
      <c r="N334" s="36"/>
      <c r="O334" s="36"/>
    </row>
    <row r="335" spans="1:15" ht="26.25" customHeight="1">
      <c r="A335" s="15"/>
      <c r="B335" s="21"/>
      <c r="C335" s="15"/>
      <c r="D335" s="15"/>
      <c r="E335" s="15"/>
      <c r="F335" s="15"/>
      <c r="G335" s="35"/>
      <c r="H335" s="35"/>
      <c r="I335" s="35"/>
      <c r="J335" s="35"/>
      <c r="K335" s="35"/>
      <c r="L335" s="35"/>
      <c r="M335" s="35"/>
      <c r="N335" s="22"/>
      <c r="O335" s="22"/>
    </row>
    <row r="336" spans="1:15" ht="26.25" customHeight="1">
      <c r="A336" s="27"/>
      <c r="B336" s="28"/>
      <c r="C336" s="27"/>
      <c r="D336" s="27"/>
      <c r="E336" s="27"/>
      <c r="F336" s="27"/>
      <c r="G336" s="30"/>
      <c r="H336" s="30"/>
      <c r="I336" s="30"/>
      <c r="J336" s="30"/>
      <c r="K336" s="30"/>
      <c r="L336" s="30"/>
      <c r="M336" s="30"/>
      <c r="N336" s="29"/>
      <c r="O336" s="29"/>
    </row>
    <row r="337" spans="1:15" ht="26.25" customHeight="1">
      <c r="A337" s="25"/>
      <c r="B337" s="25"/>
      <c r="C337" s="26"/>
      <c r="D337" s="26"/>
      <c r="E337" s="26"/>
      <c r="F337" s="26"/>
      <c r="G337" s="26"/>
      <c r="H337" s="36"/>
      <c r="I337" s="36"/>
      <c r="J337" s="36"/>
      <c r="K337" s="36"/>
      <c r="L337" s="36"/>
      <c r="M337" s="36"/>
      <c r="N337" s="36"/>
      <c r="O337" s="36"/>
    </row>
    <row r="338" spans="1:15" ht="26.25" customHeight="1">
      <c r="A338" s="15"/>
      <c r="B338" s="21"/>
      <c r="C338" s="15"/>
      <c r="D338" s="15"/>
      <c r="E338" s="15"/>
      <c r="F338" s="15"/>
      <c r="G338" s="35"/>
      <c r="H338" s="35"/>
      <c r="I338" s="35"/>
      <c r="J338" s="35"/>
      <c r="K338" s="35"/>
      <c r="L338" s="35"/>
      <c r="M338" s="35"/>
      <c r="N338" s="22"/>
      <c r="O338" s="22"/>
    </row>
    <row r="339" spans="1:15" ht="26.25" customHeight="1">
      <c r="A339" s="27"/>
      <c r="B339" s="28"/>
      <c r="C339" s="27"/>
      <c r="D339" s="27"/>
      <c r="E339" s="27"/>
      <c r="F339" s="27"/>
      <c r="G339" s="30"/>
      <c r="H339" s="30"/>
      <c r="I339" s="30"/>
      <c r="J339" s="30"/>
      <c r="K339" s="30"/>
      <c r="L339" s="30"/>
      <c r="M339" s="30"/>
      <c r="N339" s="29"/>
      <c r="O339" s="29"/>
    </row>
    <row r="340" spans="1:15" ht="26.25" customHeight="1">
      <c r="A340" s="25"/>
      <c r="B340" s="25"/>
      <c r="C340" s="26"/>
      <c r="D340" s="26"/>
      <c r="E340" s="26"/>
      <c r="F340" s="26"/>
      <c r="G340" s="26"/>
      <c r="H340" s="36"/>
      <c r="I340" s="36"/>
      <c r="J340" s="36"/>
      <c r="K340" s="36"/>
      <c r="L340" s="36"/>
      <c r="M340" s="36"/>
      <c r="N340" s="36"/>
      <c r="O340" s="36"/>
    </row>
    <row r="341" spans="1:15" ht="26.25" customHeight="1">
      <c r="A341" s="15"/>
      <c r="B341" s="21"/>
      <c r="C341" s="15"/>
      <c r="D341" s="15"/>
      <c r="E341" s="15"/>
      <c r="F341" s="15"/>
      <c r="G341" s="35"/>
      <c r="H341" s="35"/>
      <c r="I341" s="35"/>
      <c r="J341" s="35"/>
      <c r="K341" s="35"/>
      <c r="L341" s="35"/>
      <c r="M341" s="35"/>
      <c r="N341" s="22"/>
      <c r="O341" s="22"/>
    </row>
    <row r="342" spans="1:15" ht="26.25" customHeight="1">
      <c r="A342" s="27"/>
      <c r="B342" s="28"/>
      <c r="C342" s="27"/>
      <c r="D342" s="27"/>
      <c r="E342" s="27"/>
      <c r="F342" s="27"/>
      <c r="G342" s="30"/>
      <c r="H342" s="30"/>
      <c r="I342" s="30"/>
      <c r="J342" s="30"/>
      <c r="K342" s="30"/>
      <c r="L342" s="30"/>
      <c r="M342" s="30"/>
      <c r="N342" s="29"/>
      <c r="O342" s="29"/>
    </row>
    <row r="343" spans="1:15" ht="26.25" customHeight="1">
      <c r="A343" s="25"/>
      <c r="B343" s="25"/>
      <c r="C343" s="26"/>
      <c r="D343" s="26"/>
      <c r="E343" s="26"/>
      <c r="F343" s="26"/>
      <c r="G343" s="26"/>
      <c r="H343" s="36"/>
      <c r="I343" s="36"/>
      <c r="J343" s="36"/>
      <c r="K343" s="36"/>
      <c r="L343" s="36"/>
      <c r="M343" s="36"/>
      <c r="N343" s="36"/>
      <c r="O343" s="36"/>
    </row>
    <row r="344" spans="1:15" ht="26.25" customHeight="1">
      <c r="A344" s="15"/>
      <c r="B344" s="21"/>
      <c r="C344" s="15"/>
      <c r="D344" s="15"/>
      <c r="E344" s="15"/>
      <c r="F344" s="15"/>
      <c r="G344" s="35"/>
      <c r="H344" s="35"/>
      <c r="I344" s="35"/>
      <c r="J344" s="35"/>
      <c r="K344" s="35"/>
      <c r="L344" s="35"/>
      <c r="M344" s="35"/>
      <c r="N344" s="22"/>
      <c r="O344" s="22"/>
    </row>
    <row r="345" spans="1:15" ht="26.25" customHeight="1">
      <c r="A345" s="27"/>
      <c r="B345" s="28"/>
      <c r="C345" s="27"/>
      <c r="D345" s="27"/>
      <c r="E345" s="27"/>
      <c r="F345" s="27"/>
      <c r="G345" s="30"/>
      <c r="H345" s="30"/>
      <c r="I345" s="30"/>
      <c r="J345" s="30"/>
      <c r="K345" s="30"/>
      <c r="L345" s="30"/>
      <c r="M345" s="30"/>
      <c r="N345" s="29"/>
      <c r="O345" s="29"/>
    </row>
    <row r="346" spans="1:15" ht="26.25" customHeight="1">
      <c r="A346" s="25"/>
      <c r="B346" s="25"/>
      <c r="C346" s="26"/>
      <c r="D346" s="26"/>
      <c r="E346" s="26"/>
      <c r="F346" s="26"/>
      <c r="G346" s="26"/>
      <c r="H346" s="36"/>
      <c r="I346" s="36"/>
      <c r="J346" s="36"/>
      <c r="K346" s="36"/>
      <c r="L346" s="36"/>
      <c r="M346" s="36"/>
      <c r="N346" s="36"/>
      <c r="O346" s="36"/>
    </row>
    <row r="347" spans="1:15" ht="26.25" customHeight="1">
      <c r="A347" s="15"/>
      <c r="B347" s="21"/>
      <c r="C347" s="15"/>
      <c r="D347" s="15"/>
      <c r="E347" s="15"/>
      <c r="F347" s="15"/>
      <c r="G347" s="35"/>
      <c r="H347" s="35"/>
      <c r="I347" s="35"/>
      <c r="J347" s="35"/>
      <c r="K347" s="35"/>
      <c r="L347" s="35"/>
      <c r="M347" s="35"/>
      <c r="N347" s="22"/>
      <c r="O347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SEMUA</vt:lpstr>
      <vt:lpstr>blm ada lengan panjang</vt:lpstr>
      <vt:lpstr>CETAK</vt:lpstr>
      <vt:lpstr>Sheet3</vt:lpstr>
      <vt:lpstr>Sheet1</vt:lpstr>
      <vt:lpstr>SETOR 2</vt:lpstr>
      <vt:lpstr>'SETOR 2'!_FilterDatabase</vt:lpstr>
      <vt:lpstr>'blm ada lengan panjang'!Print_Titles</vt:lpstr>
      <vt:lpstr>CETAK!Print_Titles</vt:lpstr>
      <vt:lpstr>'SETOR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11</cp:revision>
  <cp:lastPrinted>2021-04-28T05:07:23Z</cp:lastPrinted>
  <dcterms:created xsi:type="dcterms:W3CDTF">2016-10-31T03:59:44Z</dcterms:created>
  <dcterms:modified xsi:type="dcterms:W3CDTF">2021-04-28T05:24:04Z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