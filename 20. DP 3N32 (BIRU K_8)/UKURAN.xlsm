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A962A59C-24CE-49E3-BEF7-4F976844728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<sst xmlns="http://schemas.openxmlformats.org/spreadsheetml/2006/main" count="393" uniqueCount="165">
  <si>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</si>
  <si>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</si>
  <si>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</si>
  <si>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</si>
  <si>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</si>
  <si>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</si>
  <si>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</si>
  <si>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</si>
  <si>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</si>
  <si>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</si>
  <si>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</si>
  <si>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</si>
  <si>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</si>
  <si>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</si>
  <si>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</si>
  <si>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</si>
  <si>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</si>
  <si>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</si>
  <si>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</si>
  <si>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</si>
  <si>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</si>
  <si>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</si>
  <si>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</si>
  <si>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</si>
  <si>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</si>
  <si>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</si>
  <si>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</si>
  <si>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</si>
  <si>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</si>
  <si>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</si>
  <si>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</si>
  <si>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</si>
  <si>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</si>
  <si>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</si>
  <si>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</si>
  <si>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</si>
  <si>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</si>
  <si>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</si>
  <si>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</si>
  <si>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</si>
  <si>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</si>
  <si>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</si>
  <si>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</si>
  <si>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</si>
  <si>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</si>
  <si>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</si>
  <si>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</si>
  <si>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</si>
  <si>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</si>
  <si>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</si>
  <si>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</si>
  <si>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</si>
  <si>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</si>
  <si>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</si>
  <si>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</si>
  <si>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</si>
  <si>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</si>
  <si>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</si>
  <si>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</si>
  <si>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</si>
  <si>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</si>
  <si>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</si>
  <si>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</si>
  <si>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</si>
  <si>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</si>
  <si>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</si>
  <si>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</si>
  <si>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</si>
  <si>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</si>
  <si>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</si>
  <si>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</si>
  <si>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</si>
  <si>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</si>
  <si>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</si>
  <si>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</si>
  <si>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</si>
  <si>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</si>
  <si>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</si>
  <si>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</si>
  <si>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</si>
  <si>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</si>
  <si>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</si>
  <si>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</si>
  <si>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</si>
  <si>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</si>
  <si>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</si>
  <si>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</si>
  <si>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</si>
  <si>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</si>
  <si>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</si>
  <si>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</si>
  <si>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</si>
  <si>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</si>
  <si>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</si>
  <si>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</si>
  <si>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</si>
  <si>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</si>
  <si>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</si>
  <si>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</si>
  <si>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</si>
  <si>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</si>
  <si>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</si>
  <si>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</si>
  <si>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</si>
  <si>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</si>
  <si>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</si>
  <si>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</si>
  <si>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</si>
  <si>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</si>
  <si>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</si>
  <si>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</si>
  <si>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</si>
  <si>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</si>
  <si>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</si>
  <si>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</si>
  <si>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</si>
  <si>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</si>
  <si>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</si>
  <si>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</si>
  <si>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</si>
  <si>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</si>
  <si>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</si>
  <si>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</si>
  <si>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</si>
  <si>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</si>
  <si>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</si>
  <si>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</si>
  <si>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</si>
  <si>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</si>
  <si>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</si>
  <si>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</si>
  <si>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</si>
  <si>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</si>
  <si>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</si>
  <si>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</si>
  <si>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</si>
  <si>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</si>
  <si>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</si>
  <si>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</si>
  <si>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</si>
  <si>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</si>
  <si>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</si>
  <si>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</si>
  <si>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</si>
  <si>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</si>
  <si>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</si>
  <si>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</si>
  <si>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</si>
  <si>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</si>
  <si>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</si>
  <si>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</si>
  <si>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</si>
  <si>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</si>
  <si>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</si>
  <si>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</si>
  <si>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</si>
  <si>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</si>
  <si>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</si>
  <si>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MASI DI DANU</t>
  </si>
  <si>
    <t>DOUBLE  DGN P8 DIDIK BAMBANG</t>
  </si>
  <si>
    <t>YUDISTIRA DARMADY</t>
  </si>
  <si>
    <t>ANTHONIUS MADONG</t>
  </si>
  <si>
    <t>DI PENJAHIT GELURAN</t>
  </si>
  <si>
    <t>P26</t>
  </si>
  <si>
    <t>31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</si>
</sst>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1" fontId="24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tabSelected="1" zoomScale="55" zoomScaleNormal="55" workbookViewId="0">
      <pane ySplit="1" topLeftCell="A2" activePane="bottomLeft" state="frozen"/>
      <selection pane="bottomLeft" activeCell="AR3" sqref="AR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46" width="8.7109375" style="2"/>
    <col min="47" max="47" width="45.42578125" style="2" customWidth="1"/>
    <col min="48" max="1013" width="8.7109375" style="2"/>
    <col min="1014" max="16384" width="8.7109375" style="4"/>
  </cols>
  <sheetData>
    <row r="1" spans="1:1013" ht="24.75" customHeight="1" thickBot="1" x14ac:dyDescent="0.3">
      <c r="A1" s="54" t="s">
        <v>0</v>
      </c>
      <c r="B1" s="55" t="s">
        <v>1</v>
      </c>
      <c r="C1" s="54" t="s">
        <v>2</v>
      </c>
      <c r="D1" s="54" t="s">
        <v>4</v>
      </c>
      <c r="E1" s="54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thickTop="1" x14ac:dyDescent="0.25">
      <c r="A2" s="51" t="s">
        <v>103</v>
      </c>
      <c r="B2" s="51" t="s">
        <v>115</v>
      </c>
      <c r="C2" s="52" t="s">
        <v>118</v>
      </c>
      <c r="D2" s="53">
        <v>41</v>
      </c>
      <c r="E2" s="52">
        <v>56</v>
      </c>
      <c r="F2" s="39" t="s">
        <v>119</v>
      </c>
      <c r="G2" s="39" t="s">
        <v>46</v>
      </c>
      <c r="H2" s="39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9">
        <v>94</v>
      </c>
      <c r="AP2" s="2">
        <v>1</v>
      </c>
      <c r="AQ2" s="4" t="s">
        <v>124</v>
      </c>
      <c r="AR2" s="4"/>
      <c r="AS2" s="4" t="s">
        <v>164</v>
      </c>
      <c r="AT2" s="4" t="s">
        <v>164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1" t="s">
        <v>104</v>
      </c>
      <c r="B3" s="41" t="s">
        <v>116</v>
      </c>
      <c r="C3" s="42" t="s">
        <v>118</v>
      </c>
      <c r="D3" s="43">
        <v>43</v>
      </c>
      <c r="E3" s="42">
        <v>56</v>
      </c>
      <c r="F3" s="39" t="s">
        <v>119</v>
      </c>
      <c r="G3" s="39" t="s">
        <v>46</v>
      </c>
      <c r="H3" s="39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4"/>
      <c r="AS3" s="4" t="s">
        <v>164</v>
      </c>
      <c r="AT3" s="4" t="s">
        <v>164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1" t="s">
        <v>105</v>
      </c>
      <c r="B4" s="41" t="s">
        <v>117</v>
      </c>
      <c r="C4" s="42" t="s">
        <v>118</v>
      </c>
      <c r="D4" s="43">
        <v>43</v>
      </c>
      <c r="E4" s="42">
        <v>56</v>
      </c>
      <c r="F4" s="39" t="s">
        <v>119</v>
      </c>
      <c r="G4" s="39" t="s">
        <v>46</v>
      </c>
      <c r="H4" s="39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4"/>
      <c r="AS4" s="4" t="s">
        <v>164</v>
      </c>
      <c r="AT4" s="4" t="s">
        <v>164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1" t="s">
        <v>106</v>
      </c>
      <c r="B5" s="41" t="s">
        <v>121</v>
      </c>
      <c r="C5" s="42" t="s">
        <v>118</v>
      </c>
      <c r="D5" s="43">
        <v>39</v>
      </c>
      <c r="E5" s="42">
        <v>54</v>
      </c>
      <c r="F5" s="39" t="s">
        <v>119</v>
      </c>
      <c r="G5" s="39" t="s">
        <v>46</v>
      </c>
      <c r="H5" s="39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4"/>
      <c r="AS5" s="4" t="s">
        <v>164</v>
      </c>
      <c r="AT5" s="4" t="s">
        <v>164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1" t="s">
        <v>107</v>
      </c>
      <c r="B6" s="41" t="s">
        <v>122</v>
      </c>
      <c r="C6" s="42" t="s">
        <v>118</v>
      </c>
      <c r="D6" s="43">
        <v>39</v>
      </c>
      <c r="E6" s="42">
        <v>56</v>
      </c>
      <c r="F6" s="39" t="s">
        <v>119</v>
      </c>
      <c r="G6" s="39" t="s">
        <v>46</v>
      </c>
      <c r="H6" s="39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4"/>
      <c r="AS6" s="4" t="s">
        <v>164</v>
      </c>
      <c r="AT6" s="4" t="s">
        <v>164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1" t="s">
        <v>108</v>
      </c>
      <c r="B7" s="44" t="s">
        <v>123</v>
      </c>
      <c r="C7" s="42" t="s">
        <v>118</v>
      </c>
      <c r="D7" s="45">
        <v>39</v>
      </c>
      <c r="E7" s="46">
        <v>58</v>
      </c>
      <c r="F7" s="39" t="s">
        <v>119</v>
      </c>
      <c r="G7" s="39" t="s">
        <v>46</v>
      </c>
      <c r="H7" s="40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4"/>
      <c r="AS7" s="4" t="s">
        <v>164</v>
      </c>
      <c r="AT7" s="4" t="s">
        <v>164</v>
      </c>
    </row>
    <row r="8" spans="1:1013" ht="24.75" customHeight="1" x14ac:dyDescent="0.25">
      <c r="A8" s="41" t="s">
        <v>109</v>
      </c>
      <c r="B8" s="44" t="s">
        <v>125</v>
      </c>
      <c r="C8" s="42" t="s">
        <v>118</v>
      </c>
      <c r="D8" s="45">
        <v>40</v>
      </c>
      <c r="E8" s="46">
        <v>56</v>
      </c>
      <c r="F8" s="39" t="s">
        <v>119</v>
      </c>
      <c r="G8" s="39" t="s">
        <v>46</v>
      </c>
      <c r="H8" s="40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9">
        <v>2</v>
      </c>
      <c r="AQ8" s="4" t="s">
        <v>127</v>
      </c>
      <c r="AR8" s="4"/>
      <c r="AS8" s="4" t="s">
        <v>164</v>
      </c>
      <c r="AT8" s="4" t="s">
        <v>164</v>
      </c>
    </row>
    <row r="9" spans="1:1013" ht="24.75" customHeight="1" x14ac:dyDescent="0.25">
      <c r="A9" s="41" t="s">
        <v>110</v>
      </c>
      <c r="B9" s="44" t="s">
        <v>126</v>
      </c>
      <c r="C9" s="42" t="s">
        <v>118</v>
      </c>
      <c r="D9" s="45">
        <v>40</v>
      </c>
      <c r="E9" s="46">
        <v>54</v>
      </c>
      <c r="F9" s="39" t="s">
        <v>119</v>
      </c>
      <c r="G9" s="39" t="s">
        <v>46</v>
      </c>
      <c r="H9" s="40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9">
        <v>2</v>
      </c>
      <c r="AQ9" s="4" t="s">
        <v>127</v>
      </c>
      <c r="AR9" s="4"/>
      <c r="AS9" s="4" t="s">
        <v>164</v>
      </c>
      <c r="AT9" s="4" t="s">
        <v>164</v>
      </c>
    </row>
    <row r="10" spans="1:1013" ht="24.75" customHeight="1" x14ac:dyDescent="0.25">
      <c r="A10" s="41" t="s">
        <v>111</v>
      </c>
      <c r="B10" s="44" t="s">
        <v>128</v>
      </c>
      <c r="C10" s="42" t="s">
        <v>118</v>
      </c>
      <c r="D10" s="45">
        <v>41</v>
      </c>
      <c r="E10" s="46">
        <v>56</v>
      </c>
      <c r="F10" s="39" t="s">
        <v>119</v>
      </c>
      <c r="G10" s="39" t="s">
        <v>46</v>
      </c>
      <c r="H10" s="40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9">
        <v>3</v>
      </c>
      <c r="AQ10" s="4" t="s">
        <v>133</v>
      </c>
      <c r="AR10" s="4"/>
      <c r="AS10" s="4" t="s">
        <v>164</v>
      </c>
      <c r="AT10" s="4" t="s">
        <v>164</v>
      </c>
    </row>
    <row r="11" spans="1:1013" ht="24.75" customHeight="1" x14ac:dyDescent="0.25">
      <c r="A11" s="41" t="s">
        <v>112</v>
      </c>
      <c r="B11" s="44" t="s">
        <v>129</v>
      </c>
      <c r="C11" s="42" t="s">
        <v>118</v>
      </c>
      <c r="D11" s="45">
        <v>41</v>
      </c>
      <c r="E11" s="46">
        <v>58</v>
      </c>
      <c r="F11" s="39" t="s">
        <v>119</v>
      </c>
      <c r="G11" s="39" t="s">
        <v>46</v>
      </c>
      <c r="H11" s="40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9">
        <v>3</v>
      </c>
      <c r="AQ11" s="4" t="s">
        <v>133</v>
      </c>
      <c r="AR11" s="4"/>
      <c r="AS11" s="4" t="s">
        <v>164</v>
      </c>
      <c r="AT11" s="4" t="s">
        <v>164</v>
      </c>
      <c r="AU11" s="2" t="s">
        <v>159</v>
      </c>
    </row>
    <row r="12" spans="1:1013" ht="24.75" customHeight="1" x14ac:dyDescent="0.25">
      <c r="A12" s="41" t="s">
        <v>113</v>
      </c>
      <c r="B12" s="44" t="s">
        <v>130</v>
      </c>
      <c r="C12" s="42" t="s">
        <v>118</v>
      </c>
      <c r="D12" s="45">
        <v>43</v>
      </c>
      <c r="E12" s="46">
        <v>57</v>
      </c>
      <c r="F12" s="39" t="s">
        <v>119</v>
      </c>
      <c r="G12" s="39" t="s">
        <v>46</v>
      </c>
      <c r="H12" s="40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9">
        <v>3</v>
      </c>
      <c r="AQ12" s="4" t="s">
        <v>133</v>
      </c>
      <c r="AR12" s="4"/>
      <c r="AS12" s="4" t="s">
        <v>164</v>
      </c>
      <c r="AT12" s="4" t="s">
        <v>164</v>
      </c>
    </row>
    <row r="13" spans="1:1013" ht="24.75" customHeight="1" x14ac:dyDescent="0.25">
      <c r="A13" s="41" t="s">
        <v>114</v>
      </c>
      <c r="B13" s="44" t="s">
        <v>131</v>
      </c>
      <c r="C13" s="42" t="s">
        <v>118</v>
      </c>
      <c r="D13" s="45">
        <v>43</v>
      </c>
      <c r="E13" s="46">
        <v>58</v>
      </c>
      <c r="F13" s="39" t="s">
        <v>119</v>
      </c>
      <c r="G13" s="39" t="s">
        <v>46</v>
      </c>
      <c r="H13" s="40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9">
        <v>3</v>
      </c>
      <c r="AQ13" s="4" t="s">
        <v>133</v>
      </c>
      <c r="AR13" s="4"/>
      <c r="AS13" s="4" t="s">
        <v>164</v>
      </c>
      <c r="AT13" s="4" t="s">
        <v>164</v>
      </c>
    </row>
    <row r="14" spans="1:1013" ht="24.75" customHeight="1" x14ac:dyDescent="0.25">
      <c r="A14" s="41" t="s">
        <v>134</v>
      </c>
      <c r="B14" s="47" t="s">
        <v>132</v>
      </c>
      <c r="C14" s="42" t="s">
        <v>118</v>
      </c>
      <c r="D14" s="48">
        <v>42</v>
      </c>
      <c r="E14" s="49">
        <v>56</v>
      </c>
      <c r="F14" s="39" t="s">
        <v>119</v>
      </c>
      <c r="G14" s="39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9">
        <v>3</v>
      </c>
      <c r="AQ14" s="4" t="s">
        <v>133</v>
      </c>
      <c r="AS14" s="4" t="s">
        <v>164</v>
      </c>
      <c r="AT14" s="4" t="s">
        <v>164</v>
      </c>
    </row>
    <row r="15" spans="1:1013" ht="24.75" customHeight="1" x14ac:dyDescent="0.25">
      <c r="A15" s="41" t="s">
        <v>140</v>
      </c>
      <c r="B15" s="47" t="s">
        <v>135</v>
      </c>
      <c r="C15" s="42" t="s">
        <v>118</v>
      </c>
      <c r="D15" s="48">
        <v>41</v>
      </c>
      <c r="E15" s="49">
        <v>58</v>
      </c>
      <c r="F15" s="39" t="s">
        <v>119</v>
      </c>
      <c r="G15" s="39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  <c r="AS15" s="4" t="s">
        <v>164</v>
      </c>
      <c r="AT15" s="4" t="s">
        <v>164</v>
      </c>
    </row>
    <row r="16" spans="1:1013" ht="24.75" customHeight="1" x14ac:dyDescent="0.25">
      <c r="A16" s="41" t="s">
        <v>141</v>
      </c>
      <c r="B16" s="47" t="s">
        <v>136</v>
      </c>
      <c r="C16" s="42" t="s">
        <v>118</v>
      </c>
      <c r="D16" s="48">
        <v>42</v>
      </c>
      <c r="E16" s="49">
        <v>58</v>
      </c>
      <c r="F16" s="39" t="s">
        <v>119</v>
      </c>
      <c r="G16" s="39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  <c r="AS16" s="4" t="s">
        <v>164</v>
      </c>
      <c r="AT16" s="4" t="s">
        <v>164</v>
      </c>
    </row>
    <row r="17" spans="1:1013" ht="24.75" customHeight="1" x14ac:dyDescent="0.25">
      <c r="A17" s="41" t="s">
        <v>142</v>
      </c>
      <c r="B17" s="47" t="s">
        <v>137</v>
      </c>
      <c r="C17" s="42" t="s">
        <v>118</v>
      </c>
      <c r="D17" s="48">
        <v>43</v>
      </c>
      <c r="E17" s="49">
        <v>60</v>
      </c>
      <c r="F17" s="39" t="s">
        <v>119</v>
      </c>
      <c r="G17" s="39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  <c r="AS17" s="4" t="s">
        <v>164</v>
      </c>
      <c r="AT17" s="4" t="s">
        <v>164</v>
      </c>
    </row>
    <row r="18" spans="1:1013" ht="24.75" customHeight="1" x14ac:dyDescent="0.25">
      <c r="A18" s="41" t="s">
        <v>143</v>
      </c>
      <c r="B18" s="47" t="s">
        <v>138</v>
      </c>
      <c r="C18" s="42" t="s">
        <v>118</v>
      </c>
      <c r="D18" s="48">
        <v>45</v>
      </c>
      <c r="E18" s="49">
        <v>60</v>
      </c>
      <c r="F18" s="39" t="s">
        <v>119</v>
      </c>
      <c r="G18" s="39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  <c r="AS18" s="4" t="s">
        <v>164</v>
      </c>
      <c r="AT18" s="4" t="s">
        <v>164</v>
      </c>
    </row>
    <row r="19" spans="1:1013" ht="24.75" customHeight="1" x14ac:dyDescent="0.25">
      <c r="A19" s="41" t="s">
        <v>144</v>
      </c>
      <c r="B19" s="47" t="s">
        <v>139</v>
      </c>
      <c r="C19" s="42" t="s">
        <v>118</v>
      </c>
      <c r="D19" s="48">
        <v>40</v>
      </c>
      <c r="E19" s="49">
        <v>55</v>
      </c>
      <c r="F19" s="39" t="s">
        <v>119</v>
      </c>
      <c r="G19" s="39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  <c r="AS19" s="4" t="s">
        <v>164</v>
      </c>
      <c r="AT19" s="4" t="s">
        <v>164</v>
      </c>
    </row>
    <row r="20" spans="1:1013" ht="24.75" customHeight="1" x14ac:dyDescent="0.25">
      <c r="A20" s="41" t="s">
        <v>150</v>
      </c>
      <c r="B20" s="47" t="s">
        <v>149</v>
      </c>
      <c r="C20" s="42" t="s">
        <v>118</v>
      </c>
      <c r="D20" s="48">
        <v>41</v>
      </c>
      <c r="E20" s="50">
        <v>58</v>
      </c>
      <c r="F20" s="39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33"/>
      <c r="AS20" s="4" t="s">
        <v>164</v>
      </c>
      <c r="AT20" s="4" t="s">
        <v>164</v>
      </c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1" t="s">
        <v>151</v>
      </c>
      <c r="B21" s="47" t="s">
        <v>148</v>
      </c>
      <c r="C21" s="42" t="s">
        <v>118</v>
      </c>
      <c r="D21" s="48">
        <v>42</v>
      </c>
      <c r="E21" s="50">
        <v>56</v>
      </c>
      <c r="F21" s="39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33"/>
      <c r="AS21" s="4" t="s">
        <v>164</v>
      </c>
      <c r="AT21" s="4" t="s">
        <v>164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1" t="s">
        <v>152</v>
      </c>
      <c r="B22" s="47" t="s">
        <v>147</v>
      </c>
      <c r="C22" s="42" t="s">
        <v>118</v>
      </c>
      <c r="D22" s="48">
        <v>41</v>
      </c>
      <c r="E22" s="50">
        <v>54</v>
      </c>
      <c r="F22" s="39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33"/>
      <c r="AS22" s="4" t="s">
        <v>164</v>
      </c>
      <c r="AT22" s="4" t="s">
        <v>164</v>
      </c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38" t="s">
        <v>153</v>
      </c>
      <c r="B23" s="56" t="s">
        <v>156</v>
      </c>
      <c r="C23" s="42" t="s">
        <v>118</v>
      </c>
      <c r="D23" s="43">
        <v>39</v>
      </c>
      <c r="E23" s="42">
        <v>53</v>
      </c>
      <c r="F23" s="39" t="s">
        <v>119</v>
      </c>
      <c r="G23" s="39" t="s">
        <v>46</v>
      </c>
      <c r="H23" s="57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Q23" s="4"/>
    </row>
    <row r="24" spans="1:1013" ht="24.75" customHeight="1" x14ac:dyDescent="0.25">
      <c r="A24" s="38" t="s">
        <v>154</v>
      </c>
      <c r="B24" s="2" t="s">
        <v>157</v>
      </c>
      <c r="C24" s="42" t="s">
        <v>118</v>
      </c>
      <c r="F24" s="39" t="s">
        <v>119</v>
      </c>
      <c r="G24" s="39" t="s">
        <v>46</v>
      </c>
      <c r="H24" s="12" t="s">
        <v>158</v>
      </c>
    </row>
    <row r="25" spans="1:1013" ht="24.75" customHeight="1" x14ac:dyDescent="0.25">
      <c r="A25" s="38" t="s">
        <v>155</v>
      </c>
      <c r="B25" s="2" t="s">
        <v>160</v>
      </c>
      <c r="C25" s="42" t="s">
        <v>118</v>
      </c>
      <c r="F25" s="39" t="s">
        <v>119</v>
      </c>
      <c r="G25" s="39" t="s">
        <v>46</v>
      </c>
      <c r="H25" s="12" t="s">
        <v>158</v>
      </c>
    </row>
    <row r="26" spans="1:1013" ht="24.75" customHeight="1" x14ac:dyDescent="0.25">
      <c r="A26" s="38" t="s">
        <v>163</v>
      </c>
      <c r="B26" s="2" t="s">
        <v>161</v>
      </c>
      <c r="C26" s="42" t="s">
        <v>118</v>
      </c>
      <c r="F26" s="39" t="s">
        <v>119</v>
      </c>
      <c r="G26" s="39" t="s">
        <v>46</v>
      </c>
      <c r="H26" s="12" t="s">
        <v>162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COUNTIF(SEMUA!$D$1:$D$13,D4)</f>
        <v>0</v>
      </c>
      <c r="J4" s="8">
        <v>53</v>
      </c>
      <c r="K4">
        <f>COUNTIF(SEMUA!$E$2:$E$13,J4)</f>
        <v>0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COUNTIF(SEMUA!$D$1:$D$13,D5)</f>
        <v>0</v>
      </c>
      <c r="J5" s="8">
        <v>54</v>
      </c>
      <c r="K5">
        <f>COUNTIF(SEMUA!$E$2:$E$13,J5)</f>
        <v>2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COUNTIF(SEMUA!$D$1:$D$13,D6)</f>
        <v>3</v>
      </c>
      <c r="G6">
        <f>F6+E6</f>
        <v>3</v>
      </c>
      <c r="H6">
        <v>2</v>
      </c>
      <c r="J6" s="8">
        <v>55</v>
      </c>
      <c r="K6">
        <f>COUNTIF(SEMUA!$E$2:$E$13,J6)</f>
        <v>0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COUNTIF(SEMUA!$D$1:$D$13,D7)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COUNTIF(SEMUA!$E$2:$E$13,J7)</f>
        <v>6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COUNTIF(SEMUA!$D$1:$D$13,D8)</f>
        <v>3</v>
      </c>
      <c r="F8">
        <v>7</v>
      </c>
      <c r="G8">
        <f t="shared" si="0"/>
        <v>10</v>
      </c>
      <c r="J8" s="8">
        <v>57</v>
      </c>
      <c r="K8">
        <f>COUNTIF(SEMUA!$E$2:$E$13,J8)</f>
        <v>1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COUNTIF(SEMUA!$D$1:$D$13,D9)</f>
        <v>0</v>
      </c>
      <c r="F9">
        <v>11</v>
      </c>
      <c r="G9">
        <f t="shared" si="0"/>
        <v>11</v>
      </c>
      <c r="J9" s="8">
        <v>58</v>
      </c>
      <c r="K9">
        <f>COUNTIF(SEMUA!$E$2:$E$13,J9)</f>
        <v>3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COUNTIF(SEMUA!$D$1:$D$13,D10)</f>
        <v>4</v>
      </c>
      <c r="F10">
        <v>7</v>
      </c>
      <c r="G10">
        <f t="shared" si="0"/>
        <v>11</v>
      </c>
      <c r="J10" s="8">
        <v>59</v>
      </c>
      <c r="K10">
        <f>COUNTIF(SEMUA!$E$2:$E$13,J10)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COUNTIF(SEMUA!$D$1:$D$13,D11)</f>
        <v>0</v>
      </c>
      <c r="G11">
        <f t="shared" si="0"/>
        <v>0</v>
      </c>
      <c r="J11" s="1">
        <v>60</v>
      </c>
      <c r="K11">
        <f>COUNTIF(SEMUA!$E$2:$E$13,J11)</f>
        <v>0</v>
      </c>
      <c r="M11" s="7"/>
    </row>
    <row r="12" spans="1:15" ht="15.75" x14ac:dyDescent="0.25">
      <c r="D12" s="8">
        <v>45</v>
      </c>
      <c r="E12">
        <f>COUNTIF(SEMUA!$D$1:$D$13,D12)</f>
        <v>0</v>
      </c>
      <c r="G12">
        <f t="shared" si="0"/>
        <v>0</v>
      </c>
      <c r="K12">
        <f>SUM(K4:K11)</f>
        <v>12</v>
      </c>
      <c r="M12" s="7"/>
    </row>
    <row r="13" spans="1:15" ht="15.75" x14ac:dyDescent="0.25">
      <c r="D13" s="8">
        <v>46</v>
      </c>
      <c r="E13">
        <f>COUNTIF(SEMUA!$D$1:$D$13,D13)</f>
        <v>0</v>
      </c>
      <c r="G13">
        <f t="shared" si="0"/>
        <v>0</v>
      </c>
    </row>
    <row r="14" spans="1:15" ht="15.75" x14ac:dyDescent="0.25">
      <c r="D14" s="8"/>
      <c r="E14">
        <f>SUM(E4:E13)</f>
        <v>12</v>
      </c>
      <c r="F14">
        <f>SUM(F4:F13)</f>
        <v>34</v>
      </c>
      <c r="G14">
        <f>SUM(G4:G13)</f>
        <v>46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2021-07-30T22:48:03Z</cp:lastPrinted>
  <dcterms:created xsi:type="dcterms:W3CDTF">2016-10-31T03:59:44Z</dcterms:created>
  <dcterms:modified xsi:type="dcterms:W3CDTF">2021-07-30T22:52:44Z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