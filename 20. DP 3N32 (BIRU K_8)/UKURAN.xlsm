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52E1CDB4-C59F-42F1-B2CE-4E85454E905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<sst xmlns="http://schemas.openxmlformats.org/spreadsheetml/2006/main" count="405" uniqueCount="165">
  <si>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</si>
  <si>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</si>
  <si>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</si>
  <si>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</si>
  <si>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</si>
  <si>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</si>
  <si>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</si>
  <si>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</si>
  <si>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</si>
  <si>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</si>
  <si>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</si>
  <si>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</si>
  <si>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</si>
  <si>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</si>
  <si>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</si>
  <si>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</si>
  <si>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</si>
  <si>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</si>
  <si>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</si>
  <si>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</si>
  <si>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</si>
  <si>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</si>
  <si>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</si>
  <si>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</si>
  <si>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</si>
  <si>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</si>
  <si>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</si>
  <si>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</si>
  <si>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</si>
  <si>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</si>
  <si>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</si>
  <si>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</si>
  <si>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</si>
  <si>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</si>
  <si>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</si>
  <si>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</si>
  <si>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</si>
  <si>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</si>
  <si>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</si>
  <si>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</si>
  <si>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</si>
  <si>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</si>
  <si>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</si>
  <si>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</si>
  <si>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</si>
  <si>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</si>
  <si>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</si>
  <si>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</si>
  <si>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</si>
  <si>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</si>
  <si>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</si>
  <si>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</si>
  <si>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</si>
  <si>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</si>
  <si>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</si>
  <si>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</si>
  <si>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</si>
  <si>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</si>
  <si>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</si>
  <si>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</si>
  <si>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</si>
  <si>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</si>
  <si>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</si>
  <si>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</si>
  <si>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</si>
  <si>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</si>
  <si>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</si>
  <si>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</si>
  <si>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</si>
  <si>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</si>
  <si>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</si>
  <si>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</si>
  <si>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</si>
  <si>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</si>
  <si>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</si>
  <si>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</si>
  <si>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</si>
  <si>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</si>
  <si>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</si>
  <si>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</si>
  <si>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</si>
  <si>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</si>
  <si>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</si>
  <si>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</si>
  <si>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</si>
  <si>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</si>
  <si>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</si>
  <si>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</si>
  <si>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</si>
  <si>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</si>
  <si>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</si>
  <si>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</si>
  <si>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</si>
  <si>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</si>
  <si>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</si>
  <si>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</si>
  <si>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</si>
  <si>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</si>
  <si>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</si>
  <si>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</si>
  <si>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</si>
  <si>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</si>
  <si>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</si>
  <si>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</si>
  <si>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</si>
  <si>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</si>
  <si>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</si>
  <si>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</si>
  <si>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</si>
  <si>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</si>
  <si>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</si>
  <si>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</si>
  <si>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</si>
  <si>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</si>
  <si>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</si>
  <si>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</si>
  <si>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</si>
  <si>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</si>
  <si>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</si>
  <si>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</si>
  <si>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</si>
  <si>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</si>
  <si>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</si>
  <si>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</si>
  <si>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</si>
  <si>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</si>
  <si>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</si>
  <si>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</si>
  <si>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</si>
  <si>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</si>
  <si>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</si>
  <si>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</si>
  <si>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</si>
  <si>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</si>
  <si>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</si>
  <si>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</si>
  <si>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</si>
  <si>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</si>
  <si>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</si>
  <si>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</si>
  <si>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</si>
  <si>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</si>
  <si>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</si>
  <si>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</si>
  <si>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</si>
  <si>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</si>
  <si>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</si>
  <si>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</si>
  <si>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</si>
  <si>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</si>
  <si>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</si>
  <si>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</si>
  <si>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</si>
  <si>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</si>
  <si>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</si>
  <si>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</si>
  <si>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</si>
  <si>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</si>
  <si>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DOUBLE  DGN P8 DIDIK BAMBANG</t>
  </si>
  <si>
    <t>YUDISTIRA DARMADY</t>
  </si>
  <si>
    <t>ANTHONIUS MADONG</t>
  </si>
  <si>
    <t>P26</t>
  </si>
  <si>
    <t>31 JULI</t>
  </si>
  <si>
    <t>03 AGUST</t>
  </si>
  <si>
    <t>12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</si>
</sst>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6" fontId="0" fillId="0" borderId="0" xfId="0" applyNumberFormat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tabSelected="1" zoomScale="55" zoomScaleNormal="55" workbookViewId="0">
      <pane ySplit="1" topLeftCell="A2" activePane="bottomLeft" state="frozen"/>
      <selection pane="bottomLeft" activeCell="AR3" sqref="AR3:AR26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46" width="8.7109375" style="2"/>
    <col min="47" max="47" width="45.42578125" style="2" customWidth="1"/>
    <col min="48" max="1013" width="8.7109375" style="2"/>
    <col min="1014" max="16384" width="8.7109375" style="4"/>
  </cols>
  <sheetData>
    <row r="1" spans="1:1013" ht="24.75" customHeight="1" x14ac:dyDescent="0.25">
      <c r="A1" s="5" t="s">
        <v>0</v>
      </c>
      <c r="B1" s="52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x14ac:dyDescent="0.25">
      <c r="A2" s="40" t="s">
        <v>103</v>
      </c>
      <c r="B2" s="40" t="s">
        <v>115</v>
      </c>
      <c r="C2" s="41" t="s">
        <v>118</v>
      </c>
      <c r="D2" s="42">
        <v>41</v>
      </c>
      <c r="E2" s="41">
        <v>56</v>
      </c>
      <c r="F2" s="38" t="s">
        <v>119</v>
      </c>
      <c r="G2" s="38" t="s">
        <v>46</v>
      </c>
      <c r="H2" s="38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8">
        <v>94</v>
      </c>
      <c r="AP2" s="2">
        <v>1</v>
      </c>
      <c r="AQ2" s="4" t="s">
        <v>124</v>
      </c>
      <c r="AR2" s="54">
        <v>44448</v>
      </c>
      <c r="AS2" s="4" t="s">
        <v>162</v>
      </c>
      <c r="AT2" s="4" t="s">
        <v>162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0" t="s">
        <v>104</v>
      </c>
      <c r="B3" s="40" t="s">
        <v>116</v>
      </c>
      <c r="C3" s="41" t="s">
        <v>118</v>
      </c>
      <c r="D3" s="42">
        <v>43</v>
      </c>
      <c r="E3" s="41">
        <v>56</v>
      </c>
      <c r="F3" s="38" t="s">
        <v>119</v>
      </c>
      <c r="G3" s="38" t="s">
        <v>46</v>
      </c>
      <c r="H3" s="38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54">
        <v>44448</v>
      </c>
      <c r="AS3" s="4" t="s">
        <v>162</v>
      </c>
      <c r="AT3" s="4" t="s">
        <v>162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0" t="s">
        <v>105</v>
      </c>
      <c r="B4" s="40" t="s">
        <v>117</v>
      </c>
      <c r="C4" s="41" t="s">
        <v>118</v>
      </c>
      <c r="D4" s="42">
        <v>43</v>
      </c>
      <c r="E4" s="41">
        <v>56</v>
      </c>
      <c r="F4" s="38" t="s">
        <v>119</v>
      </c>
      <c r="G4" s="38" t="s">
        <v>46</v>
      </c>
      <c r="H4" s="38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54">
        <v>44448</v>
      </c>
      <c r="AS4" s="4" t="s">
        <v>162</v>
      </c>
      <c r="AT4" s="4" t="s">
        <v>162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0" t="s">
        <v>106</v>
      </c>
      <c r="B5" s="40" t="s">
        <v>121</v>
      </c>
      <c r="C5" s="41" t="s">
        <v>118</v>
      </c>
      <c r="D5" s="42">
        <v>39</v>
      </c>
      <c r="E5" s="41">
        <v>54</v>
      </c>
      <c r="F5" s="38" t="s">
        <v>119</v>
      </c>
      <c r="G5" s="38" t="s">
        <v>46</v>
      </c>
      <c r="H5" s="38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54">
        <v>44448</v>
      </c>
      <c r="AS5" s="4" t="s">
        <v>162</v>
      </c>
      <c r="AT5" s="4" t="s">
        <v>162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0" t="s">
        <v>107</v>
      </c>
      <c r="B6" s="40" t="s">
        <v>122</v>
      </c>
      <c r="C6" s="41" t="s">
        <v>118</v>
      </c>
      <c r="D6" s="42">
        <v>39</v>
      </c>
      <c r="E6" s="41">
        <v>56</v>
      </c>
      <c r="F6" s="38" t="s">
        <v>119</v>
      </c>
      <c r="G6" s="38" t="s">
        <v>46</v>
      </c>
      <c r="H6" s="38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54">
        <v>44448</v>
      </c>
      <c r="AS6" s="4" t="s">
        <v>162</v>
      </c>
      <c r="AT6" s="4" t="s">
        <v>162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0" t="s">
        <v>108</v>
      </c>
      <c r="B7" s="43" t="s">
        <v>123</v>
      </c>
      <c r="C7" s="41" t="s">
        <v>118</v>
      </c>
      <c r="D7" s="44">
        <v>39</v>
      </c>
      <c r="E7" s="45">
        <v>58</v>
      </c>
      <c r="F7" s="38" t="s">
        <v>119</v>
      </c>
      <c r="G7" s="38" t="s">
        <v>46</v>
      </c>
      <c r="H7" s="39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54">
        <v>44448</v>
      </c>
      <c r="AS7" s="4" t="s">
        <v>162</v>
      </c>
      <c r="AT7" s="4" t="s">
        <v>162</v>
      </c>
    </row>
    <row r="8" spans="1:1013" ht="24.75" customHeight="1" x14ac:dyDescent="0.25">
      <c r="A8" s="40" t="s">
        <v>109</v>
      </c>
      <c r="B8" s="43" t="s">
        <v>125</v>
      </c>
      <c r="C8" s="41" t="s">
        <v>118</v>
      </c>
      <c r="D8" s="44">
        <v>40</v>
      </c>
      <c r="E8" s="45">
        <v>56</v>
      </c>
      <c r="F8" s="38" t="s">
        <v>119</v>
      </c>
      <c r="G8" s="38" t="s">
        <v>46</v>
      </c>
      <c r="H8" s="39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8">
        <v>2</v>
      </c>
      <c r="AQ8" s="4" t="s">
        <v>127</v>
      </c>
      <c r="AR8" s="54">
        <v>44448</v>
      </c>
      <c r="AS8" s="4" t="s">
        <v>162</v>
      </c>
      <c r="AT8" s="4" t="s">
        <v>162</v>
      </c>
    </row>
    <row r="9" spans="1:1013" ht="24.75" customHeight="1" x14ac:dyDescent="0.25">
      <c r="A9" s="40" t="s">
        <v>110</v>
      </c>
      <c r="B9" s="43" t="s">
        <v>126</v>
      </c>
      <c r="C9" s="41" t="s">
        <v>118</v>
      </c>
      <c r="D9" s="44">
        <v>40</v>
      </c>
      <c r="E9" s="45">
        <v>54</v>
      </c>
      <c r="F9" s="38" t="s">
        <v>119</v>
      </c>
      <c r="G9" s="38" t="s">
        <v>46</v>
      </c>
      <c r="H9" s="39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8">
        <v>2</v>
      </c>
      <c r="AQ9" s="4" t="s">
        <v>127</v>
      </c>
      <c r="AR9" s="54">
        <v>44448</v>
      </c>
      <c r="AS9" s="4" t="s">
        <v>162</v>
      </c>
      <c r="AT9" s="4" t="s">
        <v>162</v>
      </c>
    </row>
    <row r="10" spans="1:1013" ht="24.75" customHeight="1" x14ac:dyDescent="0.25">
      <c r="A10" s="40" t="s">
        <v>111</v>
      </c>
      <c r="B10" s="43" t="s">
        <v>128</v>
      </c>
      <c r="C10" s="41" t="s">
        <v>118</v>
      </c>
      <c r="D10" s="44">
        <v>41</v>
      </c>
      <c r="E10" s="45">
        <v>56</v>
      </c>
      <c r="F10" s="38" t="s">
        <v>119</v>
      </c>
      <c r="G10" s="38" t="s">
        <v>46</v>
      </c>
      <c r="H10" s="39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8">
        <v>3</v>
      </c>
      <c r="AQ10" s="4" t="s">
        <v>133</v>
      </c>
      <c r="AR10" s="54">
        <v>44448</v>
      </c>
      <c r="AS10" s="4" t="s">
        <v>162</v>
      </c>
      <c r="AT10" s="4" t="s">
        <v>162</v>
      </c>
    </row>
    <row r="11" spans="1:1013" ht="24.75" customHeight="1" x14ac:dyDescent="0.25">
      <c r="A11" s="40" t="s">
        <v>112</v>
      </c>
      <c r="B11" s="43" t="s">
        <v>129</v>
      </c>
      <c r="C11" s="41" t="s">
        <v>118</v>
      </c>
      <c r="D11" s="44">
        <v>41</v>
      </c>
      <c r="E11" s="45">
        <v>58</v>
      </c>
      <c r="F11" s="38" t="s">
        <v>119</v>
      </c>
      <c r="G11" s="38" t="s">
        <v>46</v>
      </c>
      <c r="H11" s="39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8">
        <v>3</v>
      </c>
      <c r="AQ11" s="4" t="s">
        <v>133</v>
      </c>
      <c r="AR11" s="54">
        <v>44448</v>
      </c>
      <c r="AS11" s="4" t="s">
        <v>162</v>
      </c>
      <c r="AT11" s="4" t="s">
        <v>162</v>
      </c>
      <c r="AU11" s="2" t="s">
        <v>158</v>
      </c>
    </row>
    <row r="12" spans="1:1013" ht="24.75" customHeight="1" x14ac:dyDescent="0.25">
      <c r="A12" s="40" t="s">
        <v>113</v>
      </c>
      <c r="B12" s="43" t="s">
        <v>130</v>
      </c>
      <c r="C12" s="41" t="s">
        <v>118</v>
      </c>
      <c r="D12" s="44">
        <v>43</v>
      </c>
      <c r="E12" s="45">
        <v>57</v>
      </c>
      <c r="F12" s="38" t="s">
        <v>119</v>
      </c>
      <c r="G12" s="38" t="s">
        <v>46</v>
      </c>
      <c r="H12" s="39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8">
        <v>3</v>
      </c>
      <c r="AQ12" s="4" t="s">
        <v>133</v>
      </c>
      <c r="AR12" s="54">
        <v>44448</v>
      </c>
      <c r="AS12" s="4" t="s">
        <v>162</v>
      </c>
      <c r="AT12" s="4" t="s">
        <v>162</v>
      </c>
    </row>
    <row r="13" spans="1:1013" ht="24.75" customHeight="1" x14ac:dyDescent="0.25">
      <c r="A13" s="40" t="s">
        <v>114</v>
      </c>
      <c r="B13" s="43" t="s">
        <v>131</v>
      </c>
      <c r="C13" s="41" t="s">
        <v>118</v>
      </c>
      <c r="D13" s="44">
        <v>43</v>
      </c>
      <c r="E13" s="45">
        <v>58</v>
      </c>
      <c r="F13" s="38" t="s">
        <v>119</v>
      </c>
      <c r="G13" s="38" t="s">
        <v>46</v>
      </c>
      <c r="H13" s="39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8">
        <v>3</v>
      </c>
      <c r="AQ13" s="4" t="s">
        <v>133</v>
      </c>
      <c r="AR13" s="54">
        <v>44448</v>
      </c>
      <c r="AS13" s="4" t="s">
        <v>162</v>
      </c>
      <c r="AT13" s="4" t="s">
        <v>162</v>
      </c>
    </row>
    <row r="14" spans="1:1013" ht="24.75" customHeight="1" x14ac:dyDescent="0.25">
      <c r="A14" s="40" t="s">
        <v>134</v>
      </c>
      <c r="B14" s="46" t="s">
        <v>132</v>
      </c>
      <c r="C14" s="41" t="s">
        <v>118</v>
      </c>
      <c r="D14" s="47">
        <v>42</v>
      </c>
      <c r="E14" s="48">
        <v>56</v>
      </c>
      <c r="F14" s="38" t="s">
        <v>119</v>
      </c>
      <c r="G14" s="38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8">
        <v>3</v>
      </c>
      <c r="AQ14" s="4" t="s">
        <v>133</v>
      </c>
      <c r="AR14" s="54">
        <v>44448</v>
      </c>
      <c r="AS14" s="4" t="s">
        <v>162</v>
      </c>
      <c r="AT14" s="4" t="s">
        <v>162</v>
      </c>
    </row>
    <row r="15" spans="1:1013" ht="24.75" customHeight="1" x14ac:dyDescent="0.25">
      <c r="A15" s="40" t="s">
        <v>140</v>
      </c>
      <c r="B15" s="46" t="s">
        <v>135</v>
      </c>
      <c r="C15" s="41" t="s">
        <v>118</v>
      </c>
      <c r="D15" s="47">
        <v>41</v>
      </c>
      <c r="E15" s="48">
        <v>58</v>
      </c>
      <c r="F15" s="38" t="s">
        <v>119</v>
      </c>
      <c r="G15" s="38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  <c r="AR15" s="54">
        <v>44448</v>
      </c>
      <c r="AS15" s="4" t="s">
        <v>162</v>
      </c>
      <c r="AT15" s="4" t="s">
        <v>162</v>
      </c>
    </row>
    <row r="16" spans="1:1013" ht="24.75" customHeight="1" x14ac:dyDescent="0.25">
      <c r="A16" s="40" t="s">
        <v>141</v>
      </c>
      <c r="B16" s="46" t="s">
        <v>136</v>
      </c>
      <c r="C16" s="41" t="s">
        <v>118</v>
      </c>
      <c r="D16" s="47">
        <v>42</v>
      </c>
      <c r="E16" s="48">
        <v>58</v>
      </c>
      <c r="F16" s="38" t="s">
        <v>119</v>
      </c>
      <c r="G16" s="38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  <c r="AR16" s="54">
        <v>44448</v>
      </c>
      <c r="AS16" s="4" t="s">
        <v>162</v>
      </c>
      <c r="AT16" s="4" t="s">
        <v>162</v>
      </c>
    </row>
    <row r="17" spans="1:1013" ht="24.75" customHeight="1" x14ac:dyDescent="0.25">
      <c r="A17" s="40" t="s">
        <v>142</v>
      </c>
      <c r="B17" s="46" t="s">
        <v>137</v>
      </c>
      <c r="C17" s="41" t="s">
        <v>118</v>
      </c>
      <c r="D17" s="47">
        <v>43</v>
      </c>
      <c r="E17" s="48">
        <v>60</v>
      </c>
      <c r="F17" s="38" t="s">
        <v>119</v>
      </c>
      <c r="G17" s="38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  <c r="AR17" s="54">
        <v>44448</v>
      </c>
      <c r="AS17" s="4" t="s">
        <v>162</v>
      </c>
      <c r="AT17" s="4" t="s">
        <v>162</v>
      </c>
    </row>
    <row r="18" spans="1:1013" ht="24.75" customHeight="1" x14ac:dyDescent="0.25">
      <c r="A18" s="40" t="s">
        <v>143</v>
      </c>
      <c r="B18" s="46" t="s">
        <v>138</v>
      </c>
      <c r="C18" s="41" t="s">
        <v>118</v>
      </c>
      <c r="D18" s="47">
        <v>45</v>
      </c>
      <c r="E18" s="48">
        <v>60</v>
      </c>
      <c r="F18" s="38" t="s">
        <v>119</v>
      </c>
      <c r="G18" s="38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  <c r="AR18" s="54">
        <v>44448</v>
      </c>
      <c r="AS18" s="4" t="s">
        <v>162</v>
      </c>
      <c r="AT18" s="4" t="s">
        <v>162</v>
      </c>
    </row>
    <row r="19" spans="1:1013" ht="24.75" customHeight="1" x14ac:dyDescent="0.25">
      <c r="A19" s="40" t="s">
        <v>144</v>
      </c>
      <c r="B19" s="46" t="s">
        <v>139</v>
      </c>
      <c r="C19" s="41" t="s">
        <v>118</v>
      </c>
      <c r="D19" s="47">
        <v>40</v>
      </c>
      <c r="E19" s="48">
        <v>55</v>
      </c>
      <c r="F19" s="38" t="s">
        <v>119</v>
      </c>
      <c r="G19" s="38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  <c r="AR19" s="54">
        <v>44448</v>
      </c>
      <c r="AS19" s="4" t="s">
        <v>162</v>
      </c>
      <c r="AT19" s="4" t="s">
        <v>162</v>
      </c>
    </row>
    <row r="20" spans="1:1013" ht="24.75" customHeight="1" x14ac:dyDescent="0.25">
      <c r="A20" s="40" t="s">
        <v>150</v>
      </c>
      <c r="B20" s="46" t="s">
        <v>149</v>
      </c>
      <c r="C20" s="41" t="s">
        <v>118</v>
      </c>
      <c r="D20" s="47">
        <v>41</v>
      </c>
      <c r="E20" s="49">
        <v>58</v>
      </c>
      <c r="F20" s="38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54">
        <v>44448</v>
      </c>
      <c r="AS20" s="4" t="s">
        <v>162</v>
      </c>
      <c r="AT20" s="4" t="s">
        <v>162</v>
      </c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0" t="s">
        <v>151</v>
      </c>
      <c r="B21" s="46" t="s">
        <v>148</v>
      </c>
      <c r="C21" s="41" t="s">
        <v>118</v>
      </c>
      <c r="D21" s="47">
        <v>42</v>
      </c>
      <c r="E21" s="49">
        <v>56</v>
      </c>
      <c r="F21" s="38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54">
        <v>44448</v>
      </c>
      <c r="AS21" s="4" t="s">
        <v>162</v>
      </c>
      <c r="AT21" s="4" t="s">
        <v>162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0" t="s">
        <v>152</v>
      </c>
      <c r="B22" s="46" t="s">
        <v>147</v>
      </c>
      <c r="C22" s="41" t="s">
        <v>118</v>
      </c>
      <c r="D22" s="47">
        <v>41</v>
      </c>
      <c r="E22" s="49">
        <v>54</v>
      </c>
      <c r="F22" s="38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54">
        <v>44448</v>
      </c>
      <c r="AS22" s="4" t="s">
        <v>162</v>
      </c>
      <c r="AT22" s="4" t="s">
        <v>162</v>
      </c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53" t="s">
        <v>153</v>
      </c>
      <c r="B23" s="50" t="s">
        <v>156</v>
      </c>
      <c r="C23" s="41" t="s">
        <v>118</v>
      </c>
      <c r="D23" s="42">
        <v>39</v>
      </c>
      <c r="E23" s="41">
        <v>53</v>
      </c>
      <c r="F23" s="38" t="s">
        <v>119</v>
      </c>
      <c r="G23" s="38" t="s">
        <v>46</v>
      </c>
      <c r="H23" s="51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P23" s="2">
        <v>3</v>
      </c>
      <c r="AQ23" s="4" t="s">
        <v>163</v>
      </c>
      <c r="AR23" s="54">
        <v>44448</v>
      </c>
      <c r="AS23" s="2" t="s">
        <v>164</v>
      </c>
      <c r="AT23" s="2" t="s">
        <v>164</v>
      </c>
    </row>
    <row r="24" spans="1:1013" ht="24.75" customHeight="1" x14ac:dyDescent="0.25">
      <c r="A24" s="53" t="s">
        <v>154</v>
      </c>
      <c r="B24" s="46" t="s">
        <v>157</v>
      </c>
      <c r="C24" s="41" t="s">
        <v>118</v>
      </c>
      <c r="D24" s="47">
        <v>42</v>
      </c>
      <c r="E24" s="48">
        <v>58</v>
      </c>
      <c r="F24" s="38" t="s">
        <v>119</v>
      </c>
      <c r="G24" s="38" t="s">
        <v>46</v>
      </c>
      <c r="H24" s="12" t="s">
        <v>34</v>
      </c>
      <c r="I24" s="31">
        <v>47</v>
      </c>
      <c r="J24" s="31">
        <v>57</v>
      </c>
      <c r="K24" s="31">
        <v>20</v>
      </c>
      <c r="L24" s="31">
        <v>15</v>
      </c>
      <c r="M24" s="31">
        <v>112</v>
      </c>
      <c r="N24" s="31">
        <v>103</v>
      </c>
      <c r="O24" s="31">
        <v>114</v>
      </c>
      <c r="P24" s="31">
        <v>74</v>
      </c>
      <c r="Q24" s="31">
        <v>43</v>
      </c>
      <c r="R24" s="31">
        <v>47</v>
      </c>
      <c r="S24" s="31">
        <v>58</v>
      </c>
      <c r="T24" s="31">
        <v>19</v>
      </c>
      <c r="U24" s="31">
        <v>13</v>
      </c>
      <c r="V24" s="31">
        <v>29</v>
      </c>
      <c r="W24" s="31">
        <v>27</v>
      </c>
      <c r="X24" s="1">
        <v>29</v>
      </c>
      <c r="Y24" s="2">
        <v>74</v>
      </c>
      <c r="Z24" s="2">
        <v>43</v>
      </c>
      <c r="AA24" s="2">
        <v>47</v>
      </c>
      <c r="AB24" s="2">
        <v>25</v>
      </c>
      <c r="AC24" s="2">
        <v>19</v>
      </c>
      <c r="AD24" s="2">
        <v>29</v>
      </c>
      <c r="AE24" s="2">
        <v>27</v>
      </c>
      <c r="AF24" s="2">
        <v>29</v>
      </c>
      <c r="AG24" s="31">
        <v>74</v>
      </c>
      <c r="AH24" s="31">
        <v>43</v>
      </c>
      <c r="AI24" s="31">
        <v>95</v>
      </c>
      <c r="AJ24" s="31">
        <v>112</v>
      </c>
      <c r="AK24" s="31">
        <v>71</v>
      </c>
      <c r="AL24" s="31">
        <v>34</v>
      </c>
      <c r="AM24" s="31">
        <v>26</v>
      </c>
      <c r="AN24" s="31">
        <v>22</v>
      </c>
      <c r="AO24" s="31">
        <v>94</v>
      </c>
      <c r="AP24" s="2">
        <v>3</v>
      </c>
      <c r="AQ24" s="4" t="s">
        <v>163</v>
      </c>
      <c r="AR24" s="54">
        <v>44448</v>
      </c>
      <c r="AS24" s="2" t="s">
        <v>164</v>
      </c>
      <c r="AT24" s="2" t="s">
        <v>164</v>
      </c>
    </row>
    <row r="25" spans="1:1013" ht="24.75" customHeight="1" x14ac:dyDescent="0.25">
      <c r="A25" s="53" t="s">
        <v>155</v>
      </c>
      <c r="B25" s="46" t="s">
        <v>159</v>
      </c>
      <c r="C25" s="41" t="s">
        <v>118</v>
      </c>
      <c r="D25" s="47">
        <v>44</v>
      </c>
      <c r="E25" s="48">
        <v>56</v>
      </c>
      <c r="F25" s="38" t="s">
        <v>119</v>
      </c>
      <c r="G25" s="38" t="s">
        <v>46</v>
      </c>
      <c r="H25" s="12" t="s">
        <v>34</v>
      </c>
      <c r="I25" s="31">
        <v>48</v>
      </c>
      <c r="J25" s="31">
        <v>60</v>
      </c>
      <c r="K25" s="31">
        <v>20</v>
      </c>
      <c r="L25" s="31">
        <v>15</v>
      </c>
      <c r="M25" s="31">
        <v>116</v>
      </c>
      <c r="N25" s="31">
        <v>108</v>
      </c>
      <c r="O25" s="31">
        <v>120</v>
      </c>
      <c r="P25" s="31">
        <v>77</v>
      </c>
      <c r="Q25" s="31">
        <v>44</v>
      </c>
      <c r="R25" s="31">
        <v>48</v>
      </c>
      <c r="S25" s="31">
        <v>61</v>
      </c>
      <c r="T25" s="31">
        <v>19</v>
      </c>
      <c r="U25" s="31">
        <v>13</v>
      </c>
      <c r="V25" s="31">
        <v>30</v>
      </c>
      <c r="W25" s="31">
        <v>28</v>
      </c>
      <c r="X25" s="1">
        <v>30</v>
      </c>
      <c r="Y25" s="2">
        <v>77</v>
      </c>
      <c r="Z25" s="2">
        <v>44</v>
      </c>
      <c r="AA25" s="2">
        <v>48</v>
      </c>
      <c r="AB25" s="2">
        <v>26</v>
      </c>
      <c r="AC25" s="2">
        <v>19</v>
      </c>
      <c r="AD25" s="2">
        <v>30</v>
      </c>
      <c r="AE25" s="2">
        <v>28</v>
      </c>
      <c r="AF25" s="2">
        <v>30</v>
      </c>
      <c r="AG25" s="31">
        <v>77</v>
      </c>
      <c r="AH25" s="31">
        <v>44</v>
      </c>
      <c r="AI25" s="31">
        <v>98</v>
      </c>
      <c r="AJ25" s="31">
        <v>116</v>
      </c>
      <c r="AK25" s="31">
        <v>72</v>
      </c>
      <c r="AL25" s="31">
        <v>35</v>
      </c>
      <c r="AM25" s="31">
        <v>27</v>
      </c>
      <c r="AN25" s="31">
        <v>22</v>
      </c>
      <c r="AO25" s="31">
        <v>100</v>
      </c>
      <c r="AP25" s="2">
        <v>3</v>
      </c>
      <c r="AQ25" s="4" t="s">
        <v>163</v>
      </c>
      <c r="AR25" s="54">
        <v>44448</v>
      </c>
      <c r="AS25" s="2" t="s">
        <v>164</v>
      </c>
      <c r="AT25" s="2" t="s">
        <v>164</v>
      </c>
    </row>
    <row r="26" spans="1:1013" ht="24.75" customHeight="1" x14ac:dyDescent="0.25">
      <c r="A26" s="53" t="s">
        <v>161</v>
      </c>
      <c r="B26" s="46" t="s">
        <v>160</v>
      </c>
      <c r="C26" s="41" t="s">
        <v>118</v>
      </c>
      <c r="D26" s="47">
        <v>43</v>
      </c>
      <c r="E26" s="48">
        <v>57</v>
      </c>
      <c r="F26" s="38" t="s">
        <v>119</v>
      </c>
      <c r="G26" s="38" t="s">
        <v>46</v>
      </c>
      <c r="H26" s="12" t="s">
        <v>32</v>
      </c>
      <c r="I26" s="31">
        <v>46</v>
      </c>
      <c r="J26" s="31">
        <v>61</v>
      </c>
      <c r="K26" s="31">
        <v>19</v>
      </c>
      <c r="L26" s="31">
        <v>14</v>
      </c>
      <c r="M26" s="31">
        <v>104</v>
      </c>
      <c r="N26" s="31">
        <v>100</v>
      </c>
      <c r="O26" s="31">
        <v>110</v>
      </c>
      <c r="P26" s="31">
        <v>72</v>
      </c>
      <c r="Q26" s="31">
        <v>40</v>
      </c>
      <c r="R26" s="31">
        <v>46</v>
      </c>
      <c r="S26" s="31">
        <v>62</v>
      </c>
      <c r="T26" s="31">
        <v>17</v>
      </c>
      <c r="U26" s="31">
        <v>12</v>
      </c>
      <c r="V26" s="31">
        <v>29</v>
      </c>
      <c r="W26" s="31">
        <v>27</v>
      </c>
      <c r="X26" s="1">
        <v>29</v>
      </c>
      <c r="Y26" s="2">
        <v>72</v>
      </c>
      <c r="Z26" s="2">
        <v>40</v>
      </c>
      <c r="AA26" s="2">
        <v>46</v>
      </c>
      <c r="AB26" s="2">
        <v>26</v>
      </c>
      <c r="AC26" s="2">
        <v>17</v>
      </c>
      <c r="AD26" s="2">
        <v>29</v>
      </c>
      <c r="AE26" s="2">
        <v>27</v>
      </c>
      <c r="AF26" s="2">
        <v>29</v>
      </c>
      <c r="AG26" s="31">
        <v>72</v>
      </c>
      <c r="AH26" s="31">
        <v>40</v>
      </c>
      <c r="AI26" s="31">
        <v>90</v>
      </c>
      <c r="AJ26" s="31">
        <v>108</v>
      </c>
      <c r="AK26" s="31">
        <v>68</v>
      </c>
      <c r="AL26" s="31">
        <v>34</v>
      </c>
      <c r="AM26" s="31">
        <v>26</v>
      </c>
      <c r="AN26" s="31">
        <v>21</v>
      </c>
      <c r="AO26" s="31">
        <v>102</v>
      </c>
      <c r="AP26" s="2">
        <v>3</v>
      </c>
      <c r="AQ26" s="4" t="s">
        <v>163</v>
      </c>
      <c r="AR26" s="54">
        <v>44448</v>
      </c>
      <c r="AS26" s="2" t="s">
        <v>164</v>
      </c>
      <c r="AT26" s="2" t="s">
        <v>164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opLeftCell="G1" zoomScale="145" zoomScaleNormal="145" workbookViewId="0">
      <selection activeCell="K4" sqref="K4:K11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COUNTIF(SEMUA!$D$1:$D$13,D4)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COUNTIF(SEMUA!$D$1:$D$13,D5)</f>
        <v>0</v>
      </c>
      <c r="J5" s="8">
        <v>54</v>
      </c>
      <c r="K5">
        <f>COUNTIF(SEMUA!$E$2:$E$26,J5)</f>
        <v>3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COUNTIF(SEMUA!$D$1:$D$13,D6)</f>
        <v>3</v>
      </c>
      <c r="G6">
        <f>F6+E6</f>
        <v>3</v>
      </c>
      <c r="H6">
        <v>2</v>
      </c>
      <c r="J6" s="8">
        <v>55</v>
      </c>
      <c r="K6">
        <f>COUNTIF(SEMUA!$E$2:$E$26,J6)</f>
        <v>1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COUNTIF(SEMUA!$D$1:$D$13,D7)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COUNTIF(SEMUA!$E$2:$E$26,J7)</f>
        <v>9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COUNTIF(SEMUA!$D$1:$D$13,D8)</f>
        <v>3</v>
      </c>
      <c r="F8">
        <v>7</v>
      </c>
      <c r="G8">
        <f t="shared" si="0"/>
        <v>10</v>
      </c>
      <c r="J8" s="8">
        <v>57</v>
      </c>
      <c r="K8">
        <f>COUNTIF(SEMUA!$E$2:$E$26,J8)</f>
        <v>2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COUNTIF(SEMUA!$D$1:$D$13,D9)</f>
        <v>0</v>
      </c>
      <c r="F9">
        <v>11</v>
      </c>
      <c r="G9">
        <f t="shared" si="0"/>
        <v>11</v>
      </c>
      <c r="J9" s="8">
        <v>58</v>
      </c>
      <c r="K9">
        <f>COUNTIF(SEMUA!$E$2:$E$26,J9)</f>
        <v>7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COUNTIF(SEMUA!$D$1:$D$13,D10)</f>
        <v>4</v>
      </c>
      <c r="F10">
        <v>7</v>
      </c>
      <c r="G10">
        <f t="shared" si="0"/>
        <v>11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COUNTIF(SEMUA!$D$1:$D$13,D11)</f>
        <v>0</v>
      </c>
      <c r="G11">
        <f t="shared" si="0"/>
        <v>0</v>
      </c>
      <c r="J11" s="1">
        <v>60</v>
      </c>
      <c r="K11">
        <f>COUNTIF(SEMUA!$E$2:$E$26,J11)</f>
        <v>2</v>
      </c>
      <c r="M11" s="7"/>
    </row>
    <row r="12" spans="1:15" ht="15.75" x14ac:dyDescent="0.25">
      <c r="D12" s="8">
        <v>45</v>
      </c>
      <c r="E12">
        <f>COUNTIF(SEMUA!$D$1:$D$13,D12)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COUNTIF(SEMUA!$D$1:$D$13,D13)</f>
        <v>0</v>
      </c>
      <c r="G13">
        <f t="shared" si="0"/>
        <v>0</v>
      </c>
    </row>
    <row r="14" spans="1:15" ht="15.75" x14ac:dyDescent="0.25">
      <c r="D14" s="8"/>
      <c r="E14">
        <f>SUM(E4:E13)</f>
        <v>12</v>
      </c>
      <c r="F14">
        <f>SUM(F4:F13)</f>
        <v>34</v>
      </c>
      <c r="G14">
        <f>SUM(G4:G13)</f>
        <v>46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2021-08-12T02:11:18Z</cp:lastPrinted>
  <dcterms:created xsi:type="dcterms:W3CDTF">2016-10-31T03:59:44Z</dcterms:created>
  <dcterms:modified xsi:type="dcterms:W3CDTF">2021-09-06T22:12:34Z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