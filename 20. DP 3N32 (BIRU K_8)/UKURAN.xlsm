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25B29976-F8B4-4C0B-A055-2D6289A6BBD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SEMUA!$A$1:$AZ$14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<sst xmlns="http://schemas.openxmlformats.org/spreadsheetml/2006/main" count="333" uniqueCount="158">
  <si>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</si>
  <si>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</si>
  <si>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</si>
  <si>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</si>
  <si>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</si>
  <si>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</si>
  <si>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</si>
  <si>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</si>
  <si>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</si>
  <si>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</si>
  <si>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</si>
  <si>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</si>
  <si>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</si>
  <si>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</si>
  <si>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</si>
  <si>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</si>
  <si>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</si>
  <si>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</si>
  <si>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</si>
  <si>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</si>
  <si>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</si>
  <si>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</si>
  <si>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</si>
  <si>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</si>
  <si>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</si>
  <si>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</si>
  <si>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</si>
  <si>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</si>
  <si>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</si>
  <si>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</si>
  <si>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</si>
  <si>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</si>
  <si>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</si>
  <si>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</si>
  <si>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</si>
  <si>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</si>
  <si>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</si>
  <si>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</si>
  <si>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</si>
  <si>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</si>
  <si>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</si>
  <si>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</si>
  <si>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</si>
  <si>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</si>
  <si>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</si>
  <si>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</si>
  <si>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</si>
  <si>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</si>
  <si>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</si>
  <si>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</si>
  <si>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</si>
  <si>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</si>
  <si>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</si>
  <si>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</si>
  <si>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</si>
  <si>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</si>
  <si>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</si>
  <si>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</si>
  <si>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</si>
  <si>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</si>
  <si>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</si>
  <si>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</si>
  <si>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</si>
  <si>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</si>
  <si>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</si>
  <si>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</si>
  <si>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</si>
  <si>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</si>
  <si>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</si>
  <si>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</si>
  <si>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</si>
  <si>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</si>
  <si>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</si>
  <si>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</si>
  <si>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</si>
  <si>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</si>
  <si>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</si>
  <si>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</si>
  <si>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</si>
  <si>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</si>
  <si>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</si>
  <si>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</si>
  <si>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</si>
  <si>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</si>
  <si>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</si>
  <si>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</si>
  <si>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</si>
  <si>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</si>
  <si>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</si>
  <si>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</si>
  <si>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</si>
  <si>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</si>
  <si>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</si>
  <si>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</si>
  <si>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</si>
  <si>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</si>
  <si>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</si>
  <si>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</si>
  <si>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</si>
  <si>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</si>
  <si>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</si>
  <si>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</si>
  <si>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</si>
  <si>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</si>
  <si>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</si>
  <si>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</si>
  <si>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</si>
  <si>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</si>
  <si>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</si>
  <si>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</si>
  <si>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</si>
  <si>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</si>
  <si>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</si>
  <si>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</si>
  <si>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</si>
  <si>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</si>
  <si>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</si>
  <si>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</si>
  <si>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</si>
  <si>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</si>
  <si>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</si>
  <si>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</si>
  <si>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</si>
  <si>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</si>
  <si>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</si>
  <si>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</si>
  <si>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</si>
  <si>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DIDIK BAMBANG S.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</si>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</sst>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6"/>
  <sheetViews>
    <sheetView tabSelected="1" zoomScale="55" zoomScaleNormal="55" workbookViewId="0">
      <pane ySplit="1" topLeftCell="A2" activePane="bottomLeft" state="frozen"/>
      <selection pane="bottomLeft" activeCell="C20" sqref="C20:C23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116</v>
      </c>
      <c r="C2" s="17" t="s">
        <v>119</v>
      </c>
      <c r="D2" s="18">
        <v>41</v>
      </c>
      <c r="E2" s="17">
        <v>56</v>
      </c>
      <c r="F2" s="17" t="s">
        <v>120</v>
      </c>
      <c r="G2" s="17" t="s">
        <v>46</v>
      </c>
      <c r="H2" s="17" t="s">
        <v>31</v>
      </c>
      <c r="I2" s="38">
        <v>46</v>
      </c>
      <c r="J2" s="38">
        <v>59</v>
      </c>
      <c r="K2" s="38">
        <v>19</v>
      </c>
      <c r="L2" s="38">
        <v>14</v>
      </c>
      <c r="M2" s="38">
        <v>102</v>
      </c>
      <c r="N2" s="38">
        <v>100</v>
      </c>
      <c r="O2" s="38">
        <v>110</v>
      </c>
      <c r="P2" s="38">
        <v>70</v>
      </c>
      <c r="Q2" s="38">
        <v>42</v>
      </c>
      <c r="R2" s="39">
        <v>46</v>
      </c>
      <c r="S2" s="38">
        <v>60</v>
      </c>
      <c r="T2" s="38">
        <v>17</v>
      </c>
      <c r="U2" s="38">
        <v>13</v>
      </c>
      <c r="V2" s="38">
        <v>27</v>
      </c>
      <c r="W2" s="38">
        <v>26</v>
      </c>
      <c r="X2" s="38">
        <v>27</v>
      </c>
      <c r="Y2" s="38">
        <v>69</v>
      </c>
      <c r="Z2" s="38">
        <v>42</v>
      </c>
      <c r="AA2" s="38">
        <v>46</v>
      </c>
      <c r="AB2" s="38">
        <v>60</v>
      </c>
      <c r="AC2" s="38">
        <v>17</v>
      </c>
      <c r="AD2" s="38">
        <v>13</v>
      </c>
      <c r="AE2" s="38">
        <v>27</v>
      </c>
      <c r="AF2" s="38">
        <v>26</v>
      </c>
      <c r="AG2" s="38">
        <v>27</v>
      </c>
      <c r="AH2" s="38" t="s">
        <v>121</v>
      </c>
      <c r="AI2" s="38">
        <v>89</v>
      </c>
      <c r="AJ2" s="38">
        <v>108</v>
      </c>
      <c r="AK2" s="38">
        <v>68</v>
      </c>
      <c r="AL2" s="38">
        <v>34</v>
      </c>
      <c r="AM2" s="38">
        <v>24</v>
      </c>
      <c r="AN2" s="38">
        <v>19</v>
      </c>
      <c r="AO2" s="17">
        <v>94</v>
      </c>
      <c r="AP2" s="2">
        <v>1</v>
      </c>
      <c r="AQ2" t="s">
        <v>125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117</v>
      </c>
      <c r="C3" s="17" t="s">
        <v>119</v>
      </c>
      <c r="D3" s="18">
        <v>43</v>
      </c>
      <c r="E3" s="17">
        <v>56</v>
      </c>
      <c r="F3" s="17" t="s">
        <v>120</v>
      </c>
      <c r="G3" s="17" t="s">
        <v>46</v>
      </c>
      <c r="H3" s="17" t="s">
        <v>32</v>
      </c>
      <c r="I3" s="38">
        <v>46</v>
      </c>
      <c r="J3" s="38">
        <v>58</v>
      </c>
      <c r="K3" s="38">
        <v>20</v>
      </c>
      <c r="L3" s="38">
        <v>15</v>
      </c>
      <c r="M3" s="38">
        <v>108</v>
      </c>
      <c r="N3" s="38">
        <v>103</v>
      </c>
      <c r="O3" s="38">
        <v>120</v>
      </c>
      <c r="P3" s="38">
        <v>71</v>
      </c>
      <c r="Q3" s="38">
        <v>42</v>
      </c>
      <c r="R3" s="38">
        <v>46</v>
      </c>
      <c r="S3" s="38">
        <v>59</v>
      </c>
      <c r="T3" s="38">
        <v>19</v>
      </c>
      <c r="U3" s="38">
        <v>13</v>
      </c>
      <c r="V3" s="38">
        <v>29</v>
      </c>
      <c r="W3" s="38">
        <v>27</v>
      </c>
      <c r="X3" s="38">
        <v>29</v>
      </c>
      <c r="Y3" s="38">
        <v>70</v>
      </c>
      <c r="Z3" s="38">
        <v>42</v>
      </c>
      <c r="AA3" s="38">
        <v>46</v>
      </c>
      <c r="AB3" s="38">
        <v>24</v>
      </c>
      <c r="AC3" s="38">
        <v>19</v>
      </c>
      <c r="AD3" s="38">
        <v>29</v>
      </c>
      <c r="AE3" s="38">
        <v>27</v>
      </c>
      <c r="AF3" s="38">
        <v>29</v>
      </c>
      <c r="AG3" s="38">
        <v>70</v>
      </c>
      <c r="AH3" s="38">
        <v>42</v>
      </c>
      <c r="AI3" s="38">
        <v>92</v>
      </c>
      <c r="AJ3" s="38">
        <v>117</v>
      </c>
      <c r="AK3" s="38">
        <v>72</v>
      </c>
      <c r="AL3" s="38">
        <v>35</v>
      </c>
      <c r="AM3" s="38">
        <v>26</v>
      </c>
      <c r="AN3" s="38">
        <v>21</v>
      </c>
      <c r="AO3" s="38">
        <v>98</v>
      </c>
      <c r="AP3" s="2">
        <v>1</v>
      </c>
      <c r="AQ3" t="s">
        <v>125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118</v>
      </c>
      <c r="C4" s="17" t="s">
        <v>119</v>
      </c>
      <c r="D4" s="18">
        <v>43</v>
      </c>
      <c r="E4" s="17">
        <v>56</v>
      </c>
      <c r="F4" s="17" t="s">
        <v>120</v>
      </c>
      <c r="G4" s="17" t="s">
        <v>46</v>
      </c>
      <c r="H4" s="17" t="s">
        <v>32</v>
      </c>
      <c r="I4" s="38">
        <v>46</v>
      </c>
      <c r="J4" s="38">
        <v>63</v>
      </c>
      <c r="K4" s="38">
        <v>19</v>
      </c>
      <c r="L4" s="38">
        <v>14</v>
      </c>
      <c r="M4" s="38">
        <v>100</v>
      </c>
      <c r="N4" s="38">
        <v>96</v>
      </c>
      <c r="O4" s="38">
        <v>116</v>
      </c>
      <c r="P4" s="38">
        <v>73</v>
      </c>
      <c r="Q4" s="38">
        <v>41</v>
      </c>
      <c r="R4" s="38">
        <v>46</v>
      </c>
      <c r="S4" s="38">
        <v>64</v>
      </c>
      <c r="T4" s="38">
        <v>18</v>
      </c>
      <c r="U4" s="38">
        <v>13</v>
      </c>
      <c r="V4" s="38">
        <v>27</v>
      </c>
      <c r="W4" s="38">
        <v>25</v>
      </c>
      <c r="X4" s="38">
        <v>27</v>
      </c>
      <c r="Y4" s="38">
        <v>72</v>
      </c>
      <c r="Z4" s="38">
        <v>41</v>
      </c>
      <c r="AA4" s="38">
        <v>46</v>
      </c>
      <c r="AB4" s="38">
        <v>26</v>
      </c>
      <c r="AC4" s="38">
        <v>17</v>
      </c>
      <c r="AD4" s="38">
        <v>27</v>
      </c>
      <c r="AE4" s="38">
        <v>25</v>
      </c>
      <c r="AF4" s="38">
        <v>27</v>
      </c>
      <c r="AG4" s="38">
        <v>72</v>
      </c>
      <c r="AH4" s="38">
        <v>41</v>
      </c>
      <c r="AI4" s="38">
        <v>88</v>
      </c>
      <c r="AJ4" s="38">
        <v>113</v>
      </c>
      <c r="AK4" s="38">
        <v>68</v>
      </c>
      <c r="AL4" s="38">
        <v>34</v>
      </c>
      <c r="AM4" s="38">
        <v>25</v>
      </c>
      <c r="AN4" s="38">
        <v>20</v>
      </c>
      <c r="AO4" s="38">
        <v>99</v>
      </c>
      <c r="AP4" s="2">
        <v>1</v>
      </c>
      <c r="AQ4" t="s">
        <v>125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122</v>
      </c>
      <c r="C5" s="17" t="s">
        <v>119</v>
      </c>
      <c r="D5" s="18">
        <v>39</v>
      </c>
      <c r="E5" s="17">
        <v>54</v>
      </c>
      <c r="F5" s="17" t="s">
        <v>120</v>
      </c>
      <c r="G5" s="17" t="s">
        <v>46</v>
      </c>
      <c r="H5" s="17" t="s">
        <v>31</v>
      </c>
      <c r="I5" s="38">
        <v>44</v>
      </c>
      <c r="J5" s="38">
        <v>58</v>
      </c>
      <c r="K5" s="38">
        <v>18</v>
      </c>
      <c r="L5" s="38">
        <v>14</v>
      </c>
      <c r="M5" s="38">
        <v>98</v>
      </c>
      <c r="N5" s="38">
        <v>94</v>
      </c>
      <c r="O5" s="38">
        <v>104</v>
      </c>
      <c r="P5" s="38">
        <v>70</v>
      </c>
      <c r="Q5" s="38">
        <v>38</v>
      </c>
      <c r="R5" s="38">
        <v>44</v>
      </c>
      <c r="S5" s="38">
        <v>59</v>
      </c>
      <c r="T5" s="38">
        <v>16</v>
      </c>
      <c r="U5" s="38">
        <v>12</v>
      </c>
      <c r="V5" s="38">
        <v>27</v>
      </c>
      <c r="W5" s="38">
        <v>26</v>
      </c>
      <c r="X5" s="38">
        <v>27</v>
      </c>
      <c r="Y5" s="38">
        <v>69</v>
      </c>
      <c r="Z5" s="38">
        <v>38</v>
      </c>
      <c r="AA5" s="38">
        <v>44</v>
      </c>
      <c r="AB5" s="38">
        <v>23</v>
      </c>
      <c r="AC5" s="38">
        <v>16</v>
      </c>
      <c r="AD5" s="38">
        <v>27</v>
      </c>
      <c r="AE5" s="38">
        <v>26</v>
      </c>
      <c r="AF5" s="38">
        <v>27</v>
      </c>
      <c r="AG5" s="38">
        <v>70</v>
      </c>
      <c r="AH5" s="38">
        <v>38</v>
      </c>
      <c r="AI5" s="38">
        <v>83</v>
      </c>
      <c r="AJ5" s="38">
        <v>102</v>
      </c>
      <c r="AK5" s="38">
        <v>64</v>
      </c>
      <c r="AL5" s="38">
        <v>32</v>
      </c>
      <c r="AM5" s="38">
        <v>22</v>
      </c>
      <c r="AN5" s="38">
        <v>18</v>
      </c>
      <c r="AO5" s="38">
        <v>89</v>
      </c>
      <c r="AP5" s="2">
        <v>1</v>
      </c>
      <c r="AQ5" t="s">
        <v>125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123</v>
      </c>
      <c r="C6" s="17" t="s">
        <v>119</v>
      </c>
      <c r="D6" s="18">
        <v>39</v>
      </c>
      <c r="E6" s="17">
        <v>56</v>
      </c>
      <c r="F6" s="17" t="s">
        <v>120</v>
      </c>
      <c r="G6" s="17" t="s">
        <v>46</v>
      </c>
      <c r="H6" s="17" t="s">
        <v>34</v>
      </c>
      <c r="I6" s="38">
        <v>45</v>
      </c>
      <c r="J6" s="38">
        <v>54</v>
      </c>
      <c r="K6" s="38">
        <v>20</v>
      </c>
      <c r="L6" s="38">
        <v>15</v>
      </c>
      <c r="M6" s="38">
        <v>108</v>
      </c>
      <c r="N6" s="38">
        <v>105</v>
      </c>
      <c r="O6" s="38">
        <v>108</v>
      </c>
      <c r="P6" s="38">
        <v>72</v>
      </c>
      <c r="Q6" s="38">
        <v>41</v>
      </c>
      <c r="R6" s="38">
        <v>45</v>
      </c>
      <c r="S6" s="38">
        <v>55</v>
      </c>
      <c r="T6" s="38">
        <v>19</v>
      </c>
      <c r="U6" s="38">
        <v>14</v>
      </c>
      <c r="V6" s="38">
        <v>29</v>
      </c>
      <c r="W6" s="38">
        <v>27</v>
      </c>
      <c r="X6" s="38">
        <v>29</v>
      </c>
      <c r="Y6" s="38">
        <v>71</v>
      </c>
      <c r="Z6" s="38">
        <v>41</v>
      </c>
      <c r="AA6" s="38">
        <v>45</v>
      </c>
      <c r="AB6" s="38">
        <v>23</v>
      </c>
      <c r="AC6" s="38">
        <v>19</v>
      </c>
      <c r="AD6" s="38">
        <v>29</v>
      </c>
      <c r="AE6" s="38">
        <v>27</v>
      </c>
      <c r="AF6" s="38">
        <v>29</v>
      </c>
      <c r="AG6" s="38">
        <v>71</v>
      </c>
      <c r="AH6" s="38">
        <v>41</v>
      </c>
      <c r="AI6" s="38">
        <v>92</v>
      </c>
      <c r="AJ6" s="38">
        <v>107</v>
      </c>
      <c r="AK6" s="38">
        <v>68</v>
      </c>
      <c r="AL6" s="38">
        <v>34</v>
      </c>
      <c r="AM6" s="38">
        <v>26</v>
      </c>
      <c r="AN6" s="38">
        <v>19</v>
      </c>
      <c r="AO6" s="38">
        <v>90</v>
      </c>
      <c r="AP6" s="2">
        <v>1</v>
      </c>
      <c r="AQ6" t="s">
        <v>125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124</v>
      </c>
      <c r="C7" s="17" t="s">
        <v>119</v>
      </c>
      <c r="D7" s="19">
        <v>39</v>
      </c>
      <c r="E7" s="37">
        <v>58</v>
      </c>
      <c r="F7" s="17" t="s">
        <v>120</v>
      </c>
      <c r="G7" s="17" t="s">
        <v>46</v>
      </c>
      <c r="H7" s="15" t="s">
        <v>32</v>
      </c>
      <c r="I7" s="40">
        <v>44</v>
      </c>
      <c r="J7" s="40">
        <v>54</v>
      </c>
      <c r="K7" s="40">
        <v>19</v>
      </c>
      <c r="L7" s="40">
        <v>14</v>
      </c>
      <c r="M7" s="40">
        <v>100</v>
      </c>
      <c r="N7" s="40">
        <v>95</v>
      </c>
      <c r="O7" s="40">
        <v>104</v>
      </c>
      <c r="P7" s="40">
        <v>72</v>
      </c>
      <c r="Q7" s="40">
        <v>40</v>
      </c>
      <c r="R7" s="40">
        <v>44</v>
      </c>
      <c r="S7" s="40">
        <v>55</v>
      </c>
      <c r="T7" s="40">
        <v>17</v>
      </c>
      <c r="U7" s="40">
        <v>12</v>
      </c>
      <c r="V7" s="40">
        <v>27</v>
      </c>
      <c r="W7" s="40">
        <v>25</v>
      </c>
      <c r="X7" s="40">
        <v>27</v>
      </c>
      <c r="Y7" s="40">
        <v>71</v>
      </c>
      <c r="Z7" s="40">
        <v>40</v>
      </c>
      <c r="AA7" s="40">
        <v>44</v>
      </c>
      <c r="AB7" s="40">
        <v>24</v>
      </c>
      <c r="AC7" s="40">
        <v>17</v>
      </c>
      <c r="AD7" s="40">
        <v>27</v>
      </c>
      <c r="AE7" s="40">
        <v>25</v>
      </c>
      <c r="AF7" s="40">
        <v>27</v>
      </c>
      <c r="AG7" s="40">
        <v>71</v>
      </c>
      <c r="AH7" s="40">
        <v>40</v>
      </c>
      <c r="AI7" s="40">
        <v>85</v>
      </c>
      <c r="AJ7" s="40">
        <v>100</v>
      </c>
      <c r="AK7" s="40">
        <v>66</v>
      </c>
      <c r="AL7" s="40">
        <v>33</v>
      </c>
      <c r="AM7" s="40">
        <v>26</v>
      </c>
      <c r="AN7" s="40">
        <v>19</v>
      </c>
      <c r="AO7" s="40">
        <v>91</v>
      </c>
      <c r="AP7" s="2">
        <v>1</v>
      </c>
      <c r="AQ7" t="s">
        <v>125</v>
      </c>
      <c r="AR7"/>
      <c r="AS7"/>
      <c r="AT7"/>
    </row>
    <row r="8" spans="1:1014" ht="28.15" customHeight="1" x14ac:dyDescent="0.25">
      <c r="A8" s="16" t="s">
        <v>109</v>
      </c>
      <c r="B8" s="13" t="s">
        <v>126</v>
      </c>
      <c r="C8" s="17" t="s">
        <v>119</v>
      </c>
      <c r="D8" s="19">
        <v>40</v>
      </c>
      <c r="E8" s="37">
        <v>56</v>
      </c>
      <c r="F8" s="17" t="s">
        <v>120</v>
      </c>
      <c r="G8" s="17" t="s">
        <v>46</v>
      </c>
      <c r="H8" s="15" t="s">
        <v>31</v>
      </c>
      <c r="I8" s="40">
        <v>45</v>
      </c>
      <c r="J8" s="40">
        <v>56</v>
      </c>
      <c r="K8" s="40">
        <v>19</v>
      </c>
      <c r="L8" s="40">
        <v>14</v>
      </c>
      <c r="M8" s="40">
        <v>88</v>
      </c>
      <c r="N8" s="40">
        <v>82</v>
      </c>
      <c r="O8" s="40">
        <v>92</v>
      </c>
      <c r="P8" s="40">
        <v>70</v>
      </c>
      <c r="Q8" s="40">
        <v>38</v>
      </c>
      <c r="R8" s="40">
        <v>45</v>
      </c>
      <c r="S8" s="40">
        <v>57</v>
      </c>
      <c r="T8" s="40">
        <v>16</v>
      </c>
      <c r="U8" s="40">
        <v>12</v>
      </c>
      <c r="V8" s="39">
        <v>26</v>
      </c>
      <c r="W8" s="39">
        <v>24</v>
      </c>
      <c r="X8" s="40">
        <v>26</v>
      </c>
      <c r="Y8" s="40">
        <v>69</v>
      </c>
      <c r="Z8" s="40">
        <v>38</v>
      </c>
      <c r="AA8" s="40">
        <v>45</v>
      </c>
      <c r="AB8" s="39">
        <v>24</v>
      </c>
      <c r="AC8" s="40">
        <v>16</v>
      </c>
      <c r="AD8" s="40">
        <v>26</v>
      </c>
      <c r="AE8" s="40">
        <v>24</v>
      </c>
      <c r="AF8" s="40">
        <v>26</v>
      </c>
      <c r="AG8" s="40">
        <v>69</v>
      </c>
      <c r="AH8" s="40">
        <v>38</v>
      </c>
      <c r="AI8" s="40">
        <v>74</v>
      </c>
      <c r="AJ8" s="40">
        <v>90</v>
      </c>
      <c r="AK8" s="40">
        <v>65</v>
      </c>
      <c r="AL8" s="40">
        <v>32</v>
      </c>
      <c r="AM8" s="40">
        <v>24</v>
      </c>
      <c r="AN8" s="40">
        <v>19</v>
      </c>
      <c r="AO8" s="40">
        <v>95</v>
      </c>
      <c r="AP8" s="17">
        <v>2</v>
      </c>
      <c r="AQ8" t="s">
        <v>129</v>
      </c>
      <c r="AR8"/>
      <c r="AS8"/>
      <c r="AT8"/>
    </row>
    <row r="9" spans="1:1014" ht="28.15" customHeight="1" x14ac:dyDescent="0.25">
      <c r="A9" s="16" t="s">
        <v>110</v>
      </c>
      <c r="B9" s="13" t="s">
        <v>127</v>
      </c>
      <c r="C9" s="17" t="s">
        <v>119</v>
      </c>
      <c r="D9" s="19">
        <v>41</v>
      </c>
      <c r="E9" s="37">
        <v>58</v>
      </c>
      <c r="F9" s="17" t="s">
        <v>120</v>
      </c>
      <c r="G9" s="17" t="s">
        <v>46</v>
      </c>
      <c r="H9" s="15" t="s">
        <v>34</v>
      </c>
      <c r="I9" s="40">
        <v>48</v>
      </c>
      <c r="J9" s="40">
        <v>60</v>
      </c>
      <c r="K9" s="40">
        <v>20</v>
      </c>
      <c r="L9" s="40">
        <v>15</v>
      </c>
      <c r="M9" s="40">
        <v>115</v>
      </c>
      <c r="N9" s="40">
        <v>108</v>
      </c>
      <c r="O9" s="40">
        <v>120</v>
      </c>
      <c r="P9" s="40">
        <v>73</v>
      </c>
      <c r="Q9" s="40">
        <v>43</v>
      </c>
      <c r="R9" s="40">
        <v>48</v>
      </c>
      <c r="S9" s="40">
        <v>61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72</v>
      </c>
      <c r="Z9" s="40">
        <v>43</v>
      </c>
      <c r="AA9" s="40">
        <v>48</v>
      </c>
      <c r="AB9" s="40">
        <v>25</v>
      </c>
      <c r="AC9" s="40">
        <v>19</v>
      </c>
      <c r="AD9" s="40">
        <v>30</v>
      </c>
      <c r="AE9" s="40">
        <v>28</v>
      </c>
      <c r="AF9" s="40">
        <v>30</v>
      </c>
      <c r="AG9" s="39">
        <v>72</v>
      </c>
      <c r="AH9" s="39">
        <v>43</v>
      </c>
      <c r="AI9" s="39">
        <v>100</v>
      </c>
      <c r="AJ9" s="39">
        <v>118</v>
      </c>
      <c r="AK9" s="40">
        <v>72</v>
      </c>
      <c r="AL9" s="40">
        <v>36</v>
      </c>
      <c r="AM9" s="40">
        <v>27</v>
      </c>
      <c r="AN9" s="40">
        <v>22</v>
      </c>
      <c r="AO9" s="40">
        <v>97</v>
      </c>
      <c r="AP9" s="17">
        <v>2</v>
      </c>
      <c r="AQ9" t="s">
        <v>129</v>
      </c>
      <c r="AR9"/>
      <c r="AS9"/>
      <c r="AT9"/>
    </row>
    <row r="10" spans="1:1014" ht="28.15" customHeight="1" x14ac:dyDescent="0.25">
      <c r="A10" s="16" t="s">
        <v>111</v>
      </c>
      <c r="B10" s="13" t="s">
        <v>128</v>
      </c>
      <c r="C10" s="17" t="s">
        <v>119</v>
      </c>
      <c r="D10" s="19">
        <v>40</v>
      </c>
      <c r="E10" s="37">
        <v>54</v>
      </c>
      <c r="F10" s="17" t="s">
        <v>120</v>
      </c>
      <c r="G10" s="17" t="s">
        <v>46</v>
      </c>
      <c r="H10" s="15" t="s">
        <v>31</v>
      </c>
      <c r="I10" s="40">
        <v>45</v>
      </c>
      <c r="J10" s="40">
        <v>61</v>
      </c>
      <c r="K10" s="40">
        <v>18</v>
      </c>
      <c r="L10" s="40">
        <v>14</v>
      </c>
      <c r="M10" s="40">
        <v>95</v>
      </c>
      <c r="N10" s="40">
        <v>88</v>
      </c>
      <c r="O10" s="40">
        <v>104</v>
      </c>
      <c r="P10" s="40">
        <v>71</v>
      </c>
      <c r="Q10" s="40">
        <v>36</v>
      </c>
      <c r="R10" s="40">
        <v>45</v>
      </c>
      <c r="S10" s="40">
        <v>62</v>
      </c>
      <c r="T10" s="40">
        <v>16</v>
      </c>
      <c r="U10" s="40">
        <v>12</v>
      </c>
      <c r="V10" s="40">
        <v>26</v>
      </c>
      <c r="W10" s="40">
        <v>24</v>
      </c>
      <c r="X10" s="40">
        <v>26</v>
      </c>
      <c r="Y10" s="40">
        <v>70</v>
      </c>
      <c r="Z10" s="40">
        <v>36</v>
      </c>
      <c r="AA10" s="40">
        <v>45</v>
      </c>
      <c r="AB10" s="40">
        <v>26</v>
      </c>
      <c r="AC10" s="40">
        <v>16</v>
      </c>
      <c r="AD10" s="40">
        <v>26</v>
      </c>
      <c r="AE10" s="40">
        <v>24</v>
      </c>
      <c r="AF10" s="40">
        <v>26</v>
      </c>
      <c r="AG10" s="40">
        <v>70</v>
      </c>
      <c r="AH10" s="40">
        <v>36</v>
      </c>
      <c r="AI10" s="40">
        <v>74</v>
      </c>
      <c r="AJ10" s="40">
        <v>100</v>
      </c>
      <c r="AK10" s="40">
        <v>68</v>
      </c>
      <c r="AL10" s="40">
        <v>32</v>
      </c>
      <c r="AM10" s="40">
        <v>26</v>
      </c>
      <c r="AN10" s="40">
        <v>19</v>
      </c>
      <c r="AO10" s="40">
        <v>96</v>
      </c>
      <c r="AP10" s="17">
        <v>2</v>
      </c>
      <c r="AQ10" t="s">
        <v>129</v>
      </c>
      <c r="AR10"/>
      <c r="AS10"/>
      <c r="AT10"/>
    </row>
    <row r="11" spans="1:1014" ht="28.15" customHeight="1" x14ac:dyDescent="0.25">
      <c r="A11" s="16" t="s">
        <v>112</v>
      </c>
      <c r="B11" s="13" t="s">
        <v>130</v>
      </c>
      <c r="C11" s="17" t="s">
        <v>119</v>
      </c>
      <c r="D11" s="19">
        <v>41</v>
      </c>
      <c r="E11" s="37">
        <v>56</v>
      </c>
      <c r="F11" s="17" t="s">
        <v>120</v>
      </c>
      <c r="G11" s="17" t="s">
        <v>46</v>
      </c>
      <c r="H11" s="15" t="s">
        <v>31</v>
      </c>
      <c r="I11" s="40">
        <v>46</v>
      </c>
      <c r="J11" s="40">
        <v>57</v>
      </c>
      <c r="K11" s="40">
        <v>19</v>
      </c>
      <c r="L11" s="40">
        <v>14</v>
      </c>
      <c r="M11" s="40">
        <v>102</v>
      </c>
      <c r="N11" s="40">
        <v>96</v>
      </c>
      <c r="O11" s="40">
        <v>106</v>
      </c>
      <c r="P11" s="40">
        <v>69</v>
      </c>
      <c r="Q11" s="40">
        <v>39</v>
      </c>
      <c r="R11" s="40">
        <v>46</v>
      </c>
      <c r="S11" s="40">
        <v>58</v>
      </c>
      <c r="T11" s="40">
        <v>17</v>
      </c>
      <c r="U11" s="40">
        <v>13</v>
      </c>
      <c r="V11" s="40">
        <v>28</v>
      </c>
      <c r="W11" s="40">
        <v>26</v>
      </c>
      <c r="X11" s="40">
        <v>28</v>
      </c>
      <c r="Y11" s="40">
        <v>68</v>
      </c>
      <c r="Z11" s="40">
        <v>39</v>
      </c>
      <c r="AA11" s="40">
        <v>46</v>
      </c>
      <c r="AB11" s="40">
        <v>24</v>
      </c>
      <c r="AC11" s="40">
        <v>17</v>
      </c>
      <c r="AD11" s="40">
        <v>28</v>
      </c>
      <c r="AE11" s="40">
        <v>26</v>
      </c>
      <c r="AF11" s="39">
        <v>28</v>
      </c>
      <c r="AG11" s="40">
        <v>68</v>
      </c>
      <c r="AH11" s="40">
        <v>39</v>
      </c>
      <c r="AI11" s="40">
        <v>88</v>
      </c>
      <c r="AJ11" s="40">
        <v>100</v>
      </c>
      <c r="AK11" s="40">
        <v>66</v>
      </c>
      <c r="AL11" s="40">
        <v>34</v>
      </c>
      <c r="AM11" s="40">
        <v>26</v>
      </c>
      <c r="AN11" s="40">
        <v>19</v>
      </c>
      <c r="AO11" s="40">
        <v>96</v>
      </c>
      <c r="AP11" s="17">
        <v>3</v>
      </c>
      <c r="AQ11" t="s">
        <v>135</v>
      </c>
      <c r="AR11"/>
      <c r="AS11"/>
      <c r="AT11"/>
    </row>
    <row r="12" spans="1:1014" ht="28.15" customHeight="1" x14ac:dyDescent="0.25">
      <c r="A12" s="16" t="s">
        <v>113</v>
      </c>
      <c r="B12" s="13" t="s">
        <v>131</v>
      </c>
      <c r="C12" s="17" t="s">
        <v>119</v>
      </c>
      <c r="D12" s="19">
        <v>41</v>
      </c>
      <c r="E12" s="37">
        <v>58</v>
      </c>
      <c r="F12" s="17" t="s">
        <v>120</v>
      </c>
      <c r="G12" s="17" t="s">
        <v>46</v>
      </c>
      <c r="H12" s="15" t="s">
        <v>34</v>
      </c>
      <c r="I12" s="40">
        <v>48</v>
      </c>
      <c r="J12" s="40">
        <v>60</v>
      </c>
      <c r="K12" s="40">
        <v>20</v>
      </c>
      <c r="L12" s="40">
        <v>15</v>
      </c>
      <c r="M12" s="40">
        <v>116</v>
      </c>
      <c r="N12" s="40">
        <v>110</v>
      </c>
      <c r="O12" s="40">
        <v>120</v>
      </c>
      <c r="P12" s="40">
        <v>73</v>
      </c>
      <c r="Q12" s="40">
        <v>44</v>
      </c>
      <c r="R12" s="40">
        <v>48</v>
      </c>
      <c r="S12" s="40">
        <v>61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72</v>
      </c>
      <c r="Z12" s="40">
        <v>44</v>
      </c>
      <c r="AA12" s="40">
        <v>48</v>
      </c>
      <c r="AB12" s="40">
        <v>24</v>
      </c>
      <c r="AC12" s="40">
        <v>19</v>
      </c>
      <c r="AD12" s="40">
        <v>30</v>
      </c>
      <c r="AE12" s="40">
        <v>28</v>
      </c>
      <c r="AF12" s="40">
        <v>30</v>
      </c>
      <c r="AG12" s="40">
        <v>72</v>
      </c>
      <c r="AH12" s="40">
        <v>44</v>
      </c>
      <c r="AI12" s="40">
        <v>100</v>
      </c>
      <c r="AJ12" s="40">
        <v>116</v>
      </c>
      <c r="AK12" s="40">
        <v>72</v>
      </c>
      <c r="AL12" s="40">
        <v>36</v>
      </c>
      <c r="AM12" s="40">
        <v>27</v>
      </c>
      <c r="AN12" s="40">
        <v>27</v>
      </c>
      <c r="AO12" s="40">
        <v>97</v>
      </c>
      <c r="AP12" s="17">
        <v>3</v>
      </c>
      <c r="AQ12" t="s">
        <v>135</v>
      </c>
      <c r="AR12"/>
      <c r="AS12"/>
      <c r="AT12"/>
    </row>
    <row r="13" spans="1:1014" ht="28.15" customHeight="1" x14ac:dyDescent="0.25">
      <c r="A13" s="16" t="s">
        <v>114</v>
      </c>
      <c r="B13" s="13" t="s">
        <v>132</v>
      </c>
      <c r="C13" s="17" t="s">
        <v>119</v>
      </c>
      <c r="D13" s="19">
        <v>43</v>
      </c>
      <c r="E13" s="37">
        <v>57</v>
      </c>
      <c r="F13" s="17" t="s">
        <v>120</v>
      </c>
      <c r="G13" s="17" t="s">
        <v>46</v>
      </c>
      <c r="H13" s="15" t="s">
        <v>33</v>
      </c>
      <c r="I13" s="40">
        <v>48</v>
      </c>
      <c r="J13" s="40">
        <v>59</v>
      </c>
      <c r="K13" s="40">
        <v>21</v>
      </c>
      <c r="L13" s="40">
        <v>15</v>
      </c>
      <c r="M13" s="40">
        <v>117</v>
      </c>
      <c r="N13" s="40">
        <v>112</v>
      </c>
      <c r="O13" s="40">
        <v>124</v>
      </c>
      <c r="P13" s="40">
        <v>73</v>
      </c>
      <c r="Q13" s="40">
        <v>41</v>
      </c>
      <c r="R13" s="40">
        <v>48</v>
      </c>
      <c r="S13" s="40">
        <v>60</v>
      </c>
      <c r="T13" s="40">
        <v>20</v>
      </c>
      <c r="U13" s="40">
        <v>13</v>
      </c>
      <c r="V13" s="40">
        <v>31</v>
      </c>
      <c r="W13" s="40">
        <v>30</v>
      </c>
      <c r="X13" s="40">
        <v>31</v>
      </c>
      <c r="Y13" s="40">
        <v>72</v>
      </c>
      <c r="Z13" s="40">
        <v>41</v>
      </c>
      <c r="AA13" s="40">
        <v>48</v>
      </c>
      <c r="AB13" s="40">
        <v>25</v>
      </c>
      <c r="AC13" s="40">
        <v>20</v>
      </c>
      <c r="AD13" s="40">
        <v>31</v>
      </c>
      <c r="AE13" s="40">
        <v>30</v>
      </c>
      <c r="AF13" s="40">
        <v>31</v>
      </c>
      <c r="AG13" s="40">
        <v>72</v>
      </c>
      <c r="AH13" s="40">
        <v>41</v>
      </c>
      <c r="AI13" s="40">
        <v>104</v>
      </c>
      <c r="AJ13" s="40">
        <v>119</v>
      </c>
      <c r="AK13" s="40">
        <v>76</v>
      </c>
      <c r="AL13" s="40">
        <v>37</v>
      </c>
      <c r="AM13" s="40">
        <v>27</v>
      </c>
      <c r="AN13" s="40">
        <v>22</v>
      </c>
      <c r="AO13" s="40">
        <v>103</v>
      </c>
      <c r="AP13" s="17">
        <v>3</v>
      </c>
      <c r="AQ13" t="s">
        <v>135</v>
      </c>
      <c r="AR13"/>
      <c r="AS13"/>
      <c r="AT13"/>
    </row>
    <row r="14" spans="1:1014" ht="28.15" customHeight="1" x14ac:dyDescent="0.25">
      <c r="A14" s="16" t="s">
        <v>115</v>
      </c>
      <c r="B14" s="13" t="s">
        <v>133</v>
      </c>
      <c r="C14" s="17" t="s">
        <v>119</v>
      </c>
      <c r="D14" s="19">
        <v>43</v>
      </c>
      <c r="E14" s="37">
        <v>58</v>
      </c>
      <c r="F14" s="17" t="s">
        <v>120</v>
      </c>
      <c r="G14" s="17" t="s">
        <v>46</v>
      </c>
      <c r="H14" s="15" t="s">
        <v>34</v>
      </c>
      <c r="I14" s="40">
        <v>51</v>
      </c>
      <c r="J14" s="40">
        <v>62</v>
      </c>
      <c r="K14" s="40">
        <v>21</v>
      </c>
      <c r="L14" s="40">
        <v>16</v>
      </c>
      <c r="M14" s="40">
        <v>115</v>
      </c>
      <c r="N14" s="40">
        <v>110</v>
      </c>
      <c r="O14" s="40">
        <v>121</v>
      </c>
      <c r="P14" s="40">
        <v>73</v>
      </c>
      <c r="Q14" s="40">
        <v>46</v>
      </c>
      <c r="R14" s="40">
        <v>51</v>
      </c>
      <c r="S14" s="40">
        <v>63</v>
      </c>
      <c r="T14" s="40">
        <v>20</v>
      </c>
      <c r="U14" s="40">
        <v>13</v>
      </c>
      <c r="V14" s="40">
        <v>31</v>
      </c>
      <c r="W14" s="40">
        <v>29</v>
      </c>
      <c r="X14" s="40">
        <v>31</v>
      </c>
      <c r="Y14" s="40">
        <v>72</v>
      </c>
      <c r="Z14" s="40">
        <v>46</v>
      </c>
      <c r="AA14" s="40">
        <v>51</v>
      </c>
      <c r="AB14" s="40">
        <v>26</v>
      </c>
      <c r="AC14" s="40">
        <v>20</v>
      </c>
      <c r="AD14" s="40">
        <v>31</v>
      </c>
      <c r="AE14" s="40">
        <v>29</v>
      </c>
      <c r="AF14" s="40">
        <v>31</v>
      </c>
      <c r="AG14" s="40">
        <v>72</v>
      </c>
      <c r="AH14" s="40">
        <v>46</v>
      </c>
      <c r="AI14" s="40">
        <v>104</v>
      </c>
      <c r="AJ14" s="40">
        <v>118</v>
      </c>
      <c r="AK14" s="40">
        <v>78</v>
      </c>
      <c r="AL14" s="40">
        <v>37</v>
      </c>
      <c r="AM14" s="40">
        <v>27</v>
      </c>
      <c r="AN14" s="40">
        <v>22</v>
      </c>
      <c r="AO14" s="40">
        <v>105</v>
      </c>
      <c r="AP14" s="17">
        <v>3</v>
      </c>
      <c r="AQ14" t="s">
        <v>135</v>
      </c>
      <c r="AR14"/>
      <c r="AS14"/>
      <c r="AT14"/>
    </row>
    <row r="15" spans="1:1014" ht="15.75" x14ac:dyDescent="0.25">
      <c r="A15" s="16" t="s">
        <v>136</v>
      </c>
      <c r="B15" s="2" t="s">
        <v>134</v>
      </c>
      <c r="C15" s="17" t="s">
        <v>119</v>
      </c>
      <c r="D15" s="1">
        <v>42</v>
      </c>
      <c r="E15" s="39">
        <v>56</v>
      </c>
      <c r="F15" s="17" t="s">
        <v>120</v>
      </c>
      <c r="G15" s="17" t="s">
        <v>46</v>
      </c>
      <c r="H15" s="12" t="s">
        <v>34</v>
      </c>
      <c r="I15" s="39">
        <v>50</v>
      </c>
      <c r="J15" s="39">
        <v>55</v>
      </c>
      <c r="K15" s="39">
        <v>20</v>
      </c>
      <c r="L15" s="39">
        <v>15</v>
      </c>
      <c r="M15" s="39">
        <v>113</v>
      </c>
      <c r="N15" s="39">
        <v>108</v>
      </c>
      <c r="O15" s="39">
        <v>120</v>
      </c>
      <c r="P15" s="39">
        <v>71</v>
      </c>
      <c r="Q15" s="39">
        <v>45</v>
      </c>
      <c r="R15" s="39">
        <v>50</v>
      </c>
      <c r="S15" s="39">
        <v>56</v>
      </c>
      <c r="T15" s="39">
        <v>19</v>
      </c>
      <c r="U15" s="39">
        <v>13</v>
      </c>
      <c r="V15" s="39">
        <v>30</v>
      </c>
      <c r="W15" s="39">
        <v>28</v>
      </c>
      <c r="X15" s="1">
        <v>30</v>
      </c>
      <c r="Y15" s="2">
        <v>70</v>
      </c>
      <c r="Z15" s="2">
        <v>45</v>
      </c>
      <c r="AA15" s="2">
        <v>50</v>
      </c>
      <c r="AB15" s="2">
        <v>24</v>
      </c>
      <c r="AC15" s="2">
        <v>19</v>
      </c>
      <c r="AD15" s="2">
        <v>30</v>
      </c>
      <c r="AE15" s="2">
        <v>28</v>
      </c>
      <c r="AF15" s="2">
        <v>30</v>
      </c>
      <c r="AG15" s="39">
        <v>70</v>
      </c>
      <c r="AH15" s="39">
        <v>45</v>
      </c>
      <c r="AI15" s="39">
        <v>102</v>
      </c>
      <c r="AJ15" s="39">
        <v>117</v>
      </c>
      <c r="AK15" s="39">
        <v>75</v>
      </c>
      <c r="AL15" s="39">
        <v>37</v>
      </c>
      <c r="AM15" s="39">
        <v>27</v>
      </c>
      <c r="AN15" s="39">
        <v>22</v>
      </c>
      <c r="AO15" s="39">
        <v>94</v>
      </c>
      <c r="AP15" s="17">
        <v>3</v>
      </c>
      <c r="AQ15" t="s">
        <v>135</v>
      </c>
    </row>
    <row r="16" spans="1:1014" ht="15.75" x14ac:dyDescent="0.25">
      <c r="A16" s="16" t="s">
        <v>142</v>
      </c>
      <c r="B16" s="2" t="s">
        <v>137</v>
      </c>
      <c r="C16" s="17" t="s">
        <v>119</v>
      </c>
      <c r="D16" s="1">
        <v>41</v>
      </c>
      <c r="E16" s="39">
        <v>58</v>
      </c>
      <c r="F16" s="17" t="s">
        <v>120</v>
      </c>
      <c r="G16" s="17" t="s">
        <v>46</v>
      </c>
      <c r="H16" s="12" t="s">
        <v>33</v>
      </c>
      <c r="I16" s="39">
        <v>51</v>
      </c>
      <c r="J16" s="39">
        <v>62</v>
      </c>
      <c r="K16" s="39">
        <v>22</v>
      </c>
      <c r="L16" s="39">
        <v>16</v>
      </c>
      <c r="M16" s="39">
        <v>118</v>
      </c>
      <c r="N16" s="39">
        <v>114</v>
      </c>
      <c r="O16" s="39">
        <v>122</v>
      </c>
      <c r="P16" s="39">
        <v>75</v>
      </c>
      <c r="Q16" s="39">
        <v>46</v>
      </c>
      <c r="R16" s="39">
        <v>51</v>
      </c>
      <c r="S16" s="39">
        <v>63</v>
      </c>
      <c r="T16" s="39">
        <v>21</v>
      </c>
      <c r="U16" s="39">
        <v>13</v>
      </c>
      <c r="V16" s="39">
        <v>32</v>
      </c>
      <c r="W16" s="39">
        <v>30</v>
      </c>
      <c r="X16" s="1">
        <v>32</v>
      </c>
      <c r="Y16" s="2">
        <v>74</v>
      </c>
      <c r="Z16" s="2">
        <v>46</v>
      </c>
      <c r="AA16" s="2">
        <v>51</v>
      </c>
      <c r="AB16" s="2">
        <v>26</v>
      </c>
      <c r="AC16" s="2">
        <v>21</v>
      </c>
      <c r="AD16" s="2">
        <v>32</v>
      </c>
      <c r="AE16" s="2">
        <v>30</v>
      </c>
      <c r="AF16" s="2">
        <v>32</v>
      </c>
      <c r="AG16" s="39">
        <v>74</v>
      </c>
      <c r="AH16" s="39">
        <v>46</v>
      </c>
      <c r="AI16" s="39">
        <v>107</v>
      </c>
      <c r="AJ16" s="39">
        <v>120</v>
      </c>
      <c r="AK16" s="39">
        <v>78</v>
      </c>
      <c r="AL16" s="39">
        <v>37</v>
      </c>
      <c r="AM16" s="39">
        <v>27</v>
      </c>
      <c r="AN16" s="39">
        <v>23</v>
      </c>
      <c r="AO16" s="39">
        <v>100</v>
      </c>
      <c r="AP16" s="2">
        <v>4</v>
      </c>
      <c r="AQ16" s="2" t="s">
        <v>147</v>
      </c>
    </row>
    <row r="17" spans="1:1013" ht="15.75" x14ac:dyDescent="0.25">
      <c r="A17" s="16" t="s">
        <v>143</v>
      </c>
      <c r="B17" s="2" t="s">
        <v>138</v>
      </c>
      <c r="C17" s="17" t="s">
        <v>119</v>
      </c>
      <c r="D17" s="1">
        <v>42</v>
      </c>
      <c r="E17" s="39">
        <v>58</v>
      </c>
      <c r="F17" s="17" t="s">
        <v>120</v>
      </c>
      <c r="G17" s="17" t="s">
        <v>46</v>
      </c>
      <c r="H17" s="12" t="s">
        <v>34</v>
      </c>
      <c r="I17" s="39">
        <v>47</v>
      </c>
      <c r="J17" s="39">
        <v>57</v>
      </c>
      <c r="K17" s="39">
        <v>20</v>
      </c>
      <c r="L17" s="39">
        <v>15</v>
      </c>
      <c r="M17" s="39">
        <v>112</v>
      </c>
      <c r="N17" s="39">
        <v>103</v>
      </c>
      <c r="O17" s="39">
        <v>115</v>
      </c>
      <c r="P17" s="39">
        <v>73</v>
      </c>
      <c r="Q17" s="39">
        <v>43</v>
      </c>
      <c r="R17" s="39">
        <v>47</v>
      </c>
      <c r="S17" s="39">
        <v>58</v>
      </c>
      <c r="T17" s="39">
        <v>19</v>
      </c>
      <c r="U17" s="39">
        <v>13</v>
      </c>
      <c r="V17" s="39">
        <v>29</v>
      </c>
      <c r="W17" s="39">
        <v>27</v>
      </c>
      <c r="X17" s="1">
        <v>29</v>
      </c>
      <c r="Y17" s="2">
        <v>72</v>
      </c>
      <c r="Z17" s="2">
        <v>43</v>
      </c>
      <c r="AA17" s="2">
        <v>47</v>
      </c>
      <c r="AB17" s="2">
        <v>24</v>
      </c>
      <c r="AC17" s="2">
        <v>19</v>
      </c>
      <c r="AD17" s="2">
        <v>29</v>
      </c>
      <c r="AE17" s="2">
        <v>27</v>
      </c>
      <c r="AF17" s="2">
        <v>29</v>
      </c>
      <c r="AG17" s="39">
        <v>72</v>
      </c>
      <c r="AH17" s="39">
        <v>43</v>
      </c>
      <c r="AI17" s="39">
        <v>95</v>
      </c>
      <c r="AJ17" s="39">
        <v>112</v>
      </c>
      <c r="AK17" s="39">
        <v>71</v>
      </c>
      <c r="AL17" s="39">
        <v>35</v>
      </c>
      <c r="AM17" s="39">
        <v>26</v>
      </c>
      <c r="AN17" s="39">
        <v>22</v>
      </c>
      <c r="AO17" s="39">
        <v>94</v>
      </c>
      <c r="AP17" s="2">
        <v>4</v>
      </c>
      <c r="AQ17" s="2" t="s">
        <v>147</v>
      </c>
    </row>
    <row r="18" spans="1:1013" ht="15.75" x14ac:dyDescent="0.25">
      <c r="A18" s="16" t="s">
        <v>144</v>
      </c>
      <c r="B18" s="2" t="s">
        <v>139</v>
      </c>
      <c r="C18" s="17" t="s">
        <v>119</v>
      </c>
      <c r="D18" s="1">
        <v>43</v>
      </c>
      <c r="E18" s="39">
        <v>60</v>
      </c>
      <c r="F18" s="17" t="s">
        <v>120</v>
      </c>
      <c r="G18" s="17" t="s">
        <v>46</v>
      </c>
      <c r="H18" s="12" t="s">
        <v>34</v>
      </c>
      <c r="I18" s="39">
        <v>48</v>
      </c>
      <c r="J18" s="39">
        <v>62</v>
      </c>
      <c r="K18" s="39">
        <v>20</v>
      </c>
      <c r="L18" s="39">
        <v>15</v>
      </c>
      <c r="M18" s="39">
        <v>112</v>
      </c>
      <c r="N18" s="39">
        <v>105</v>
      </c>
      <c r="O18" s="39">
        <v>114</v>
      </c>
      <c r="P18" s="39">
        <v>72</v>
      </c>
      <c r="Q18" s="39">
        <v>43</v>
      </c>
      <c r="R18" s="39">
        <v>48</v>
      </c>
      <c r="S18" s="39">
        <v>63</v>
      </c>
      <c r="T18" s="39">
        <v>19</v>
      </c>
      <c r="U18" s="39">
        <v>13</v>
      </c>
      <c r="V18" s="39">
        <v>30</v>
      </c>
      <c r="W18" s="39">
        <v>27</v>
      </c>
      <c r="X18" s="1">
        <v>30</v>
      </c>
      <c r="Y18" s="2">
        <v>71</v>
      </c>
      <c r="Z18" s="2">
        <v>43</v>
      </c>
      <c r="AA18" s="2">
        <v>48</v>
      </c>
      <c r="AB18" s="2">
        <v>26</v>
      </c>
      <c r="AC18" s="2">
        <v>19</v>
      </c>
      <c r="AD18" s="2">
        <v>30</v>
      </c>
      <c r="AE18" s="2">
        <v>27</v>
      </c>
      <c r="AF18" s="2">
        <v>30</v>
      </c>
      <c r="AG18" s="39">
        <v>71</v>
      </c>
      <c r="AH18" s="39">
        <v>43</v>
      </c>
      <c r="AI18" s="39">
        <v>97</v>
      </c>
      <c r="AJ18" s="39">
        <v>110</v>
      </c>
      <c r="AK18" s="39">
        <v>72</v>
      </c>
      <c r="AL18" s="39">
        <v>36</v>
      </c>
      <c r="AM18" s="39">
        <v>27</v>
      </c>
      <c r="AN18" s="39">
        <v>22</v>
      </c>
      <c r="AO18" s="39">
        <v>95</v>
      </c>
      <c r="AP18" s="2">
        <v>4</v>
      </c>
      <c r="AQ18" s="2" t="s">
        <v>147</v>
      </c>
    </row>
    <row r="19" spans="1:1013" ht="15.75" x14ac:dyDescent="0.25">
      <c r="A19" s="16" t="s">
        <v>145</v>
      </c>
      <c r="B19" s="2" t="s">
        <v>140</v>
      </c>
      <c r="C19" s="17" t="s">
        <v>119</v>
      </c>
      <c r="D19" s="1">
        <v>45</v>
      </c>
      <c r="E19" s="39">
        <v>60</v>
      </c>
      <c r="F19" s="17" t="s">
        <v>120</v>
      </c>
      <c r="G19" s="17" t="s">
        <v>46</v>
      </c>
      <c r="H19" s="12" t="s">
        <v>33</v>
      </c>
      <c r="I19" s="39">
        <v>52</v>
      </c>
      <c r="J19" s="39">
        <v>64</v>
      </c>
      <c r="K19" s="39">
        <v>21</v>
      </c>
      <c r="L19" s="39">
        <v>16</v>
      </c>
      <c r="M19" s="39">
        <v>122</v>
      </c>
      <c r="N19" s="39">
        <v>118</v>
      </c>
      <c r="O19" s="39">
        <v>127</v>
      </c>
      <c r="P19" s="39">
        <v>78</v>
      </c>
      <c r="Q19" s="39">
        <v>46</v>
      </c>
      <c r="R19" s="39">
        <v>52</v>
      </c>
      <c r="S19" s="39">
        <v>65</v>
      </c>
      <c r="T19" s="39">
        <v>20</v>
      </c>
      <c r="U19" s="39">
        <v>13</v>
      </c>
      <c r="V19" s="39">
        <v>31</v>
      </c>
      <c r="W19" s="39">
        <v>29</v>
      </c>
      <c r="X19" s="1">
        <v>31</v>
      </c>
      <c r="Y19" s="2">
        <v>77</v>
      </c>
      <c r="Z19" s="2">
        <v>46</v>
      </c>
      <c r="AA19" s="2">
        <v>52</v>
      </c>
      <c r="AB19" s="2">
        <v>26</v>
      </c>
      <c r="AC19" s="2">
        <v>20</v>
      </c>
      <c r="AD19" s="2">
        <v>31</v>
      </c>
      <c r="AE19" s="2">
        <v>29</v>
      </c>
      <c r="AF19" s="2">
        <v>31</v>
      </c>
      <c r="AG19" s="39">
        <v>77</v>
      </c>
      <c r="AH19" s="39">
        <v>46</v>
      </c>
      <c r="AI19" s="39">
        <v>106</v>
      </c>
      <c r="AJ19" s="39">
        <v>120</v>
      </c>
      <c r="AK19" s="39">
        <v>77</v>
      </c>
      <c r="AL19" s="39">
        <v>38</v>
      </c>
      <c r="AM19" s="39">
        <v>28</v>
      </c>
      <c r="AN19" s="39">
        <v>22</v>
      </c>
      <c r="AO19" s="39">
        <v>106</v>
      </c>
      <c r="AP19" s="2">
        <v>4</v>
      </c>
      <c r="AQ19" s="2" t="s">
        <v>147</v>
      </c>
    </row>
    <row r="20" spans="1:1013" ht="15.75" x14ac:dyDescent="0.25">
      <c r="A20" s="16" t="s">
        <v>146</v>
      </c>
      <c r="B20" s="2" t="s">
        <v>141</v>
      </c>
      <c r="C20" s="17" t="s">
        <v>119</v>
      </c>
      <c r="D20" s="1">
        <v>40</v>
      </c>
      <c r="E20" s="39">
        <v>55</v>
      </c>
      <c r="F20" s="17" t="s">
        <v>120</v>
      </c>
      <c r="G20" s="17" t="s">
        <v>46</v>
      </c>
      <c r="H20" s="12" t="s">
        <v>35</v>
      </c>
      <c r="I20" s="39">
        <v>43</v>
      </c>
      <c r="J20" s="39">
        <v>55</v>
      </c>
      <c r="K20" s="39">
        <v>19</v>
      </c>
      <c r="L20" s="39">
        <v>14</v>
      </c>
      <c r="M20" s="39">
        <v>98</v>
      </c>
      <c r="N20" s="39">
        <v>90</v>
      </c>
      <c r="O20" s="39">
        <v>102</v>
      </c>
      <c r="P20" s="39">
        <v>67</v>
      </c>
      <c r="Q20" s="39">
        <v>39</v>
      </c>
      <c r="R20" s="39">
        <v>43</v>
      </c>
      <c r="S20" s="39">
        <v>56</v>
      </c>
      <c r="T20" s="39">
        <v>17</v>
      </c>
      <c r="U20" s="39">
        <v>12</v>
      </c>
      <c r="V20" s="39">
        <v>27</v>
      </c>
      <c r="W20" s="39">
        <v>24</v>
      </c>
      <c r="X20" s="1">
        <v>27</v>
      </c>
      <c r="Y20" s="2">
        <v>67</v>
      </c>
      <c r="Z20" s="2">
        <v>39</v>
      </c>
      <c r="AA20" s="2">
        <v>43</v>
      </c>
      <c r="AB20" s="2">
        <v>23</v>
      </c>
      <c r="AC20" s="2">
        <v>17</v>
      </c>
      <c r="AD20" s="2">
        <v>27</v>
      </c>
      <c r="AE20" s="2">
        <v>24</v>
      </c>
      <c r="AF20" s="2">
        <v>27</v>
      </c>
      <c r="AG20" s="39">
        <v>67</v>
      </c>
      <c r="AH20" s="39">
        <v>39</v>
      </c>
      <c r="AI20" s="39">
        <v>82</v>
      </c>
      <c r="AJ20" s="39">
        <v>102</v>
      </c>
      <c r="AK20" s="39">
        <v>64</v>
      </c>
      <c r="AL20" s="39">
        <v>32</v>
      </c>
      <c r="AM20" s="39">
        <v>24</v>
      </c>
      <c r="AN20" s="39">
        <v>19</v>
      </c>
      <c r="AO20" s="39">
        <v>93</v>
      </c>
      <c r="AP20" s="2">
        <v>4</v>
      </c>
      <c r="AQ20" s="2" t="s">
        <v>147</v>
      </c>
    </row>
    <row r="21" spans="1:1013" s="4" customFormat="1" x14ac:dyDescent="0.2">
      <c r="A21" s="16" t="s">
        <v>152</v>
      </c>
      <c r="B21" s="41" t="s">
        <v>151</v>
      </c>
      <c r="C21" s="17" t="s">
        <v>119</v>
      </c>
      <c r="D21" s="45">
        <v>41</v>
      </c>
      <c r="E21" s="42">
        <v>58</v>
      </c>
      <c r="F21" s="42" t="s">
        <v>34</v>
      </c>
      <c r="G21" s="44" t="s">
        <v>46</v>
      </c>
      <c r="H21" s="42"/>
      <c r="I21" s="42">
        <v>46</v>
      </c>
      <c r="J21" s="42">
        <v>61</v>
      </c>
      <c r="K21" s="42">
        <v>19</v>
      </c>
      <c r="L21" s="42">
        <v>14</v>
      </c>
      <c r="M21" s="42">
        <v>102</v>
      </c>
      <c r="N21" s="42">
        <v>96</v>
      </c>
      <c r="O21" s="42">
        <v>108</v>
      </c>
      <c r="P21" s="43">
        <v>75</v>
      </c>
      <c r="Q21" s="43">
        <v>42</v>
      </c>
      <c r="R21" s="43">
        <v>46</v>
      </c>
      <c r="S21" s="43">
        <v>62</v>
      </c>
      <c r="T21" s="43">
        <v>17</v>
      </c>
      <c r="U21" s="43">
        <v>12</v>
      </c>
      <c r="V21" s="43">
        <v>28</v>
      </c>
      <c r="W21" s="43">
        <v>26</v>
      </c>
      <c r="X21" s="42">
        <v>28</v>
      </c>
      <c r="Y21" s="42">
        <v>74</v>
      </c>
      <c r="Z21" s="42">
        <v>42</v>
      </c>
      <c r="AA21" s="42">
        <v>46</v>
      </c>
      <c r="AB21" s="42">
        <v>24</v>
      </c>
      <c r="AC21" s="42">
        <v>17</v>
      </c>
      <c r="AD21" s="42">
        <v>28</v>
      </c>
      <c r="AE21" s="42">
        <v>26</v>
      </c>
      <c r="AF21" s="42">
        <v>28</v>
      </c>
      <c r="AG21" s="42">
        <v>74</v>
      </c>
      <c r="AH21" s="42">
        <v>42</v>
      </c>
      <c r="AI21" s="42">
        <v>86</v>
      </c>
      <c r="AJ21" s="42">
        <v>102</v>
      </c>
      <c r="AK21" s="42">
        <v>66</v>
      </c>
      <c r="AL21" s="42">
        <v>33</v>
      </c>
      <c r="AM21" s="42">
        <v>24</v>
      </c>
      <c r="AN21" s="42">
        <v>19</v>
      </c>
      <c r="AO21" s="42">
        <v>98</v>
      </c>
      <c r="AP21" s="41">
        <v>2</v>
      </c>
      <c r="AQ21" s="41" t="s">
        <v>148</v>
      </c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  <c r="AFJ21" s="41"/>
      <c r="AFK21" s="41"/>
      <c r="AFL21" s="41"/>
      <c r="AFM21" s="41"/>
      <c r="AFN21" s="41"/>
      <c r="AFO21" s="41"/>
      <c r="AFP21" s="41"/>
      <c r="AFQ21" s="41"/>
      <c r="AFR21" s="41"/>
      <c r="AFS21" s="41"/>
      <c r="AFT21" s="41"/>
      <c r="AFU21" s="41"/>
      <c r="AFV21" s="41"/>
      <c r="AFW21" s="41"/>
      <c r="AFX21" s="41"/>
      <c r="AFY21" s="41"/>
      <c r="AFZ21" s="41"/>
      <c r="AGA21" s="41"/>
      <c r="AGB21" s="41"/>
      <c r="AGC21" s="41"/>
      <c r="AGD21" s="41"/>
      <c r="AGE21" s="41"/>
      <c r="AGF21" s="41"/>
      <c r="AGG21" s="41"/>
      <c r="AGH21" s="41"/>
      <c r="AGI21" s="41"/>
      <c r="AGJ21" s="41"/>
      <c r="AGK21" s="41"/>
      <c r="AGL21" s="41"/>
      <c r="AGM21" s="41"/>
      <c r="AGN21" s="41"/>
      <c r="AGO21" s="41"/>
      <c r="AGP21" s="41"/>
      <c r="AGQ21" s="41"/>
      <c r="AGR21" s="41"/>
      <c r="AGS21" s="41"/>
      <c r="AGT21" s="41"/>
      <c r="AGU21" s="41"/>
      <c r="AGV21" s="41"/>
      <c r="AGW21" s="41"/>
      <c r="AGX21" s="41"/>
      <c r="AGY21" s="41"/>
      <c r="AGZ21" s="41"/>
      <c r="AHA21" s="41"/>
      <c r="AHB21" s="41"/>
      <c r="AHC21" s="41"/>
      <c r="AHD21" s="41"/>
      <c r="AHE21" s="41"/>
      <c r="AHF21" s="41"/>
      <c r="AHG21" s="41"/>
      <c r="AHH21" s="41"/>
      <c r="AHI21" s="41"/>
      <c r="AHJ21" s="41"/>
      <c r="AHK21" s="41"/>
      <c r="AHL21" s="41"/>
      <c r="AHM21" s="41"/>
      <c r="AHN21" s="41"/>
      <c r="AHO21" s="41"/>
      <c r="AHP21" s="41"/>
      <c r="AHQ21" s="41"/>
      <c r="AHR21" s="41"/>
      <c r="AHS21" s="41"/>
      <c r="AHT21" s="41"/>
      <c r="AHU21" s="41"/>
      <c r="AHV21" s="41"/>
      <c r="AHW21" s="41"/>
      <c r="AHX21" s="41"/>
      <c r="AHY21" s="41"/>
      <c r="AHZ21" s="41"/>
      <c r="AIA21" s="41"/>
      <c r="AIB21" s="41"/>
      <c r="AIC21" s="41"/>
      <c r="AID21" s="41"/>
      <c r="AIE21" s="41"/>
      <c r="AIF21" s="41"/>
      <c r="AIG21" s="41"/>
      <c r="AIH21" s="41"/>
      <c r="AII21" s="41"/>
      <c r="AIJ21" s="41"/>
      <c r="AIK21" s="41"/>
      <c r="AIL21" s="41"/>
      <c r="AIM21" s="41"/>
      <c r="AIN21" s="41"/>
      <c r="AIO21" s="41"/>
      <c r="AIP21" s="41"/>
      <c r="AIQ21" s="41"/>
      <c r="AIR21" s="41"/>
      <c r="AIS21" s="41"/>
      <c r="AIT21" s="41"/>
      <c r="AIU21" s="41"/>
      <c r="AIV21" s="41"/>
      <c r="AIW21" s="41"/>
      <c r="AIX21" s="41"/>
      <c r="AIY21" s="41"/>
      <c r="AIZ21" s="41"/>
      <c r="AJA21" s="41"/>
      <c r="AJB21" s="41"/>
      <c r="AJC21" s="41"/>
      <c r="AJD21" s="41"/>
      <c r="AJE21" s="41"/>
      <c r="AJF21" s="41"/>
      <c r="AJG21" s="41"/>
      <c r="AJH21" s="41"/>
      <c r="AJI21" s="41"/>
      <c r="AJJ21" s="41"/>
      <c r="AJK21" s="41"/>
      <c r="AJL21" s="41"/>
      <c r="AJM21" s="41"/>
      <c r="AJN21" s="41"/>
      <c r="AJO21" s="41"/>
      <c r="AJP21" s="41"/>
      <c r="AJQ21" s="41"/>
      <c r="AJR21" s="41"/>
      <c r="AJS21" s="41"/>
      <c r="AJT21" s="41"/>
      <c r="AJU21" s="41"/>
      <c r="AJV21" s="41"/>
      <c r="AJW21" s="41"/>
      <c r="AJX21" s="41"/>
      <c r="AJY21" s="41"/>
      <c r="AJZ21" s="41"/>
      <c r="AKA21" s="41"/>
      <c r="AKB21" s="41"/>
      <c r="AKC21" s="41"/>
      <c r="AKD21" s="41"/>
      <c r="AKE21" s="41"/>
      <c r="AKF21" s="41"/>
      <c r="AKG21" s="41"/>
      <c r="AKH21" s="41"/>
      <c r="AKI21" s="41"/>
      <c r="AKJ21" s="41"/>
      <c r="AKK21" s="41"/>
      <c r="AKL21" s="41"/>
      <c r="AKM21" s="41"/>
      <c r="AKN21" s="41"/>
      <c r="AKO21" s="41"/>
      <c r="AKP21" s="41"/>
      <c r="AKQ21" s="41"/>
      <c r="AKR21" s="41"/>
      <c r="AKS21" s="41"/>
      <c r="AKT21" s="41"/>
      <c r="AKU21" s="41"/>
      <c r="AKV21" s="41"/>
      <c r="AKW21" s="41"/>
      <c r="AKX21" s="41"/>
      <c r="AKY21" s="41"/>
      <c r="AKZ21" s="41"/>
      <c r="ALA21" s="41"/>
      <c r="ALB21" s="41"/>
      <c r="ALC21" s="41"/>
      <c r="ALD21" s="41"/>
      <c r="ALE21" s="41"/>
      <c r="ALF21" s="41"/>
      <c r="ALG21" s="41"/>
      <c r="ALH21" s="41"/>
      <c r="ALI21" s="41"/>
      <c r="ALJ21" s="41"/>
      <c r="ALK21" s="41"/>
      <c r="ALL21" s="41"/>
      <c r="ALM21" s="41"/>
      <c r="ALN21" s="41"/>
      <c r="ALO21" s="41"/>
      <c r="ALP21" s="41"/>
      <c r="ALQ21" s="41"/>
      <c r="ALR21" s="41"/>
      <c r="ALS21" s="41"/>
      <c r="ALT21" s="41"/>
      <c r="ALU21" s="41"/>
      <c r="ALV21" s="41"/>
      <c r="ALW21" s="41"/>
      <c r="ALX21" s="41"/>
      <c r="ALY21" s="41"/>
    </row>
    <row r="22" spans="1:1013" s="4" customFormat="1" x14ac:dyDescent="0.2">
      <c r="A22" s="16" t="s">
        <v>153</v>
      </c>
      <c r="B22" s="41" t="s">
        <v>150</v>
      </c>
      <c r="C22" s="17" t="s">
        <v>119</v>
      </c>
      <c r="D22" s="45">
        <v>42</v>
      </c>
      <c r="E22" s="42">
        <v>56</v>
      </c>
      <c r="F22" s="42" t="s">
        <v>34</v>
      </c>
      <c r="G22" s="44" t="s">
        <v>46</v>
      </c>
      <c r="H22" s="42"/>
      <c r="I22" s="42">
        <v>48</v>
      </c>
      <c r="J22" s="42">
        <v>63</v>
      </c>
      <c r="K22" s="42">
        <v>20</v>
      </c>
      <c r="L22" s="42">
        <v>15</v>
      </c>
      <c r="M22" s="42">
        <v>115</v>
      </c>
      <c r="N22" s="42">
        <v>108</v>
      </c>
      <c r="O22" s="42">
        <v>118</v>
      </c>
      <c r="P22" s="43">
        <v>77</v>
      </c>
      <c r="Q22" s="43">
        <v>43</v>
      </c>
      <c r="R22" s="43">
        <v>48</v>
      </c>
      <c r="S22" s="43">
        <v>64</v>
      </c>
      <c r="T22" s="43">
        <v>19</v>
      </c>
      <c r="U22" s="43">
        <v>13</v>
      </c>
      <c r="V22" s="43">
        <v>29</v>
      </c>
      <c r="W22" s="43">
        <v>28</v>
      </c>
      <c r="X22" s="42">
        <v>29</v>
      </c>
      <c r="Y22" s="42">
        <v>76</v>
      </c>
      <c r="Z22" s="42">
        <v>43</v>
      </c>
      <c r="AA22" s="42">
        <v>48</v>
      </c>
      <c r="AB22" s="42">
        <v>26</v>
      </c>
      <c r="AC22" s="42">
        <v>19</v>
      </c>
      <c r="AD22" s="42">
        <v>29</v>
      </c>
      <c r="AE22" s="42">
        <v>28</v>
      </c>
      <c r="AF22" s="42">
        <v>29</v>
      </c>
      <c r="AG22" s="42">
        <v>76</v>
      </c>
      <c r="AH22" s="42">
        <v>43</v>
      </c>
      <c r="AI22" s="42">
        <v>98</v>
      </c>
      <c r="AJ22" s="42">
        <v>115</v>
      </c>
      <c r="AK22" s="42">
        <v>72</v>
      </c>
      <c r="AL22" s="42">
        <v>37</v>
      </c>
      <c r="AM22" s="42">
        <v>29</v>
      </c>
      <c r="AN22" s="42">
        <v>23</v>
      </c>
      <c r="AO22" s="42">
        <v>103</v>
      </c>
      <c r="AP22" s="41">
        <v>2</v>
      </c>
      <c r="AQ22" s="41" t="s">
        <v>148</v>
      </c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  <c r="AFJ22" s="41"/>
      <c r="AFK22" s="41"/>
      <c r="AFL22" s="41"/>
      <c r="AFM22" s="41"/>
      <c r="AFN22" s="41"/>
      <c r="AFO22" s="41"/>
      <c r="AFP22" s="41"/>
      <c r="AFQ22" s="41"/>
      <c r="AFR22" s="41"/>
      <c r="AFS22" s="41"/>
      <c r="AFT22" s="41"/>
      <c r="AFU22" s="41"/>
      <c r="AFV22" s="41"/>
      <c r="AFW22" s="41"/>
      <c r="AFX22" s="41"/>
      <c r="AFY22" s="41"/>
      <c r="AFZ22" s="41"/>
      <c r="AGA22" s="41"/>
      <c r="AGB22" s="41"/>
      <c r="AGC22" s="41"/>
      <c r="AGD22" s="41"/>
      <c r="AGE22" s="41"/>
      <c r="AGF22" s="41"/>
      <c r="AGG22" s="41"/>
      <c r="AGH22" s="41"/>
      <c r="AGI22" s="41"/>
      <c r="AGJ22" s="41"/>
      <c r="AGK22" s="41"/>
      <c r="AGL22" s="41"/>
      <c r="AGM22" s="41"/>
      <c r="AGN22" s="41"/>
      <c r="AGO22" s="41"/>
      <c r="AGP22" s="41"/>
      <c r="AGQ22" s="41"/>
      <c r="AGR22" s="41"/>
      <c r="AGS22" s="41"/>
      <c r="AGT22" s="41"/>
      <c r="AGU22" s="41"/>
      <c r="AGV22" s="41"/>
      <c r="AGW22" s="41"/>
      <c r="AGX22" s="41"/>
      <c r="AGY22" s="41"/>
      <c r="AGZ22" s="41"/>
      <c r="AHA22" s="41"/>
      <c r="AHB22" s="41"/>
      <c r="AHC22" s="41"/>
      <c r="AHD22" s="41"/>
      <c r="AHE22" s="41"/>
      <c r="AHF22" s="41"/>
      <c r="AHG22" s="41"/>
      <c r="AHH22" s="41"/>
      <c r="AHI22" s="41"/>
      <c r="AHJ22" s="41"/>
      <c r="AHK22" s="41"/>
      <c r="AHL22" s="41"/>
      <c r="AHM22" s="41"/>
      <c r="AHN22" s="41"/>
      <c r="AHO22" s="41"/>
      <c r="AHP22" s="41"/>
      <c r="AHQ22" s="41"/>
      <c r="AHR22" s="41"/>
      <c r="AHS22" s="41"/>
      <c r="AHT22" s="41"/>
      <c r="AHU22" s="41"/>
      <c r="AHV22" s="41"/>
      <c r="AHW22" s="41"/>
      <c r="AHX22" s="41"/>
      <c r="AHY22" s="41"/>
      <c r="AHZ22" s="41"/>
      <c r="AIA22" s="41"/>
      <c r="AIB22" s="41"/>
      <c r="AIC22" s="41"/>
      <c r="AID22" s="41"/>
      <c r="AIE22" s="41"/>
      <c r="AIF22" s="41"/>
      <c r="AIG22" s="41"/>
      <c r="AIH22" s="41"/>
      <c r="AII22" s="41"/>
      <c r="AIJ22" s="41"/>
      <c r="AIK22" s="41"/>
      <c r="AIL22" s="41"/>
      <c r="AIM22" s="41"/>
      <c r="AIN22" s="41"/>
      <c r="AIO22" s="41"/>
      <c r="AIP22" s="41"/>
      <c r="AIQ22" s="41"/>
      <c r="AIR22" s="41"/>
      <c r="AIS22" s="41"/>
      <c r="AIT22" s="41"/>
      <c r="AIU22" s="41"/>
      <c r="AIV22" s="41"/>
      <c r="AIW22" s="41"/>
      <c r="AIX22" s="41"/>
      <c r="AIY22" s="41"/>
      <c r="AIZ22" s="41"/>
      <c r="AJA22" s="41"/>
      <c r="AJB22" s="41"/>
      <c r="AJC22" s="41"/>
      <c r="AJD22" s="41"/>
      <c r="AJE22" s="41"/>
      <c r="AJF22" s="41"/>
      <c r="AJG22" s="41"/>
      <c r="AJH22" s="41"/>
      <c r="AJI22" s="41"/>
      <c r="AJJ22" s="41"/>
      <c r="AJK22" s="41"/>
      <c r="AJL22" s="41"/>
      <c r="AJM22" s="41"/>
      <c r="AJN22" s="41"/>
      <c r="AJO22" s="41"/>
      <c r="AJP22" s="41"/>
      <c r="AJQ22" s="41"/>
      <c r="AJR22" s="41"/>
      <c r="AJS22" s="41"/>
      <c r="AJT22" s="41"/>
      <c r="AJU22" s="41"/>
      <c r="AJV22" s="41"/>
      <c r="AJW22" s="41"/>
      <c r="AJX22" s="41"/>
      <c r="AJY22" s="41"/>
      <c r="AJZ22" s="41"/>
      <c r="AKA22" s="41"/>
      <c r="AKB22" s="41"/>
      <c r="AKC22" s="41"/>
      <c r="AKD22" s="41"/>
      <c r="AKE22" s="41"/>
      <c r="AKF22" s="41"/>
      <c r="AKG22" s="41"/>
      <c r="AKH22" s="41"/>
      <c r="AKI22" s="41"/>
      <c r="AKJ22" s="41"/>
      <c r="AKK22" s="41"/>
      <c r="AKL22" s="41"/>
      <c r="AKM22" s="41"/>
      <c r="AKN22" s="41"/>
      <c r="AKO22" s="41"/>
      <c r="AKP22" s="41"/>
      <c r="AKQ22" s="41"/>
      <c r="AKR22" s="41"/>
      <c r="AKS22" s="41"/>
      <c r="AKT22" s="41"/>
      <c r="AKU22" s="41"/>
      <c r="AKV22" s="41"/>
      <c r="AKW22" s="41"/>
      <c r="AKX22" s="41"/>
      <c r="AKY22" s="41"/>
      <c r="AKZ22" s="41"/>
      <c r="ALA22" s="41"/>
      <c r="ALB22" s="41"/>
      <c r="ALC22" s="41"/>
      <c r="ALD22" s="41"/>
      <c r="ALE22" s="41"/>
      <c r="ALF22" s="41"/>
      <c r="ALG22" s="41"/>
      <c r="ALH22" s="41"/>
      <c r="ALI22" s="41"/>
      <c r="ALJ22" s="41"/>
      <c r="ALK22" s="41"/>
      <c r="ALL22" s="41"/>
      <c r="ALM22" s="41"/>
      <c r="ALN22" s="41"/>
      <c r="ALO22" s="41"/>
      <c r="ALP22" s="41"/>
      <c r="ALQ22" s="41"/>
      <c r="ALR22" s="41"/>
      <c r="ALS22" s="41"/>
      <c r="ALT22" s="41"/>
      <c r="ALU22" s="41"/>
      <c r="ALV22" s="41"/>
      <c r="ALW22" s="41"/>
      <c r="ALX22" s="41"/>
      <c r="ALY22" s="41"/>
    </row>
    <row r="23" spans="1:1013" s="4" customFormat="1" x14ac:dyDescent="0.2">
      <c r="A23" s="16" t="s">
        <v>154</v>
      </c>
      <c r="B23" s="41" t="s">
        <v>149</v>
      </c>
      <c r="C23" s="17" t="s">
        <v>119</v>
      </c>
      <c r="D23" s="45">
        <v>41</v>
      </c>
      <c r="E23" s="42">
        <v>54</v>
      </c>
      <c r="F23" s="42" t="s">
        <v>32</v>
      </c>
      <c r="G23" s="44" t="s">
        <v>46</v>
      </c>
      <c r="H23" s="42"/>
      <c r="I23" s="42">
        <v>45</v>
      </c>
      <c r="J23" s="42">
        <v>57</v>
      </c>
      <c r="K23" s="42">
        <v>18</v>
      </c>
      <c r="L23" s="42">
        <v>14</v>
      </c>
      <c r="M23" s="42">
        <v>92</v>
      </c>
      <c r="N23" s="42">
        <v>83</v>
      </c>
      <c r="O23" s="42">
        <v>102</v>
      </c>
      <c r="P23" s="43">
        <v>67</v>
      </c>
      <c r="Q23" s="43">
        <v>40</v>
      </c>
      <c r="R23" s="43">
        <v>45</v>
      </c>
      <c r="S23" s="43">
        <v>58</v>
      </c>
      <c r="T23" s="43">
        <v>16</v>
      </c>
      <c r="U23" s="43">
        <v>12</v>
      </c>
      <c r="V23" s="43">
        <v>26</v>
      </c>
      <c r="W23" s="43">
        <v>24</v>
      </c>
      <c r="X23" s="42">
        <v>26</v>
      </c>
      <c r="Y23" s="42">
        <v>67</v>
      </c>
      <c r="Z23" s="42">
        <v>40</v>
      </c>
      <c r="AA23" s="42">
        <v>45</v>
      </c>
      <c r="AB23" s="42">
        <v>23</v>
      </c>
      <c r="AC23" s="42">
        <v>17</v>
      </c>
      <c r="AD23" s="42">
        <v>26</v>
      </c>
      <c r="AE23" s="42">
        <v>24</v>
      </c>
      <c r="AF23" s="42">
        <v>26</v>
      </c>
      <c r="AG23" s="42">
        <v>67</v>
      </c>
      <c r="AH23" s="42">
        <v>40</v>
      </c>
      <c r="AI23" s="42">
        <v>76</v>
      </c>
      <c r="AJ23" s="42">
        <v>98</v>
      </c>
      <c r="AK23" s="42">
        <v>64</v>
      </c>
      <c r="AL23" s="42">
        <v>31</v>
      </c>
      <c r="AM23" s="42">
        <v>24</v>
      </c>
      <c r="AN23" s="42">
        <v>19</v>
      </c>
      <c r="AO23" s="42">
        <v>94</v>
      </c>
      <c r="AP23" s="41">
        <v>2</v>
      </c>
      <c r="AQ23" s="41" t="s">
        <v>148</v>
      </c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  <c r="AFJ23" s="41"/>
      <c r="AFK23" s="41"/>
      <c r="AFL23" s="41"/>
      <c r="AFM23" s="41"/>
      <c r="AFN23" s="41"/>
      <c r="AFO23" s="41"/>
      <c r="AFP23" s="41"/>
      <c r="AFQ23" s="41"/>
      <c r="AFR23" s="41"/>
      <c r="AFS23" s="41"/>
      <c r="AFT23" s="41"/>
      <c r="AFU23" s="41"/>
      <c r="AFV23" s="41"/>
      <c r="AFW23" s="41"/>
      <c r="AFX23" s="41"/>
      <c r="AFY23" s="41"/>
      <c r="AFZ23" s="41"/>
      <c r="AGA23" s="41"/>
      <c r="AGB23" s="41"/>
      <c r="AGC23" s="41"/>
      <c r="AGD23" s="41"/>
      <c r="AGE23" s="41"/>
      <c r="AGF23" s="41"/>
      <c r="AGG23" s="41"/>
      <c r="AGH23" s="41"/>
      <c r="AGI23" s="41"/>
      <c r="AGJ23" s="41"/>
      <c r="AGK23" s="41"/>
      <c r="AGL23" s="41"/>
      <c r="AGM23" s="41"/>
      <c r="AGN23" s="41"/>
      <c r="AGO23" s="41"/>
      <c r="AGP23" s="41"/>
      <c r="AGQ23" s="41"/>
      <c r="AGR23" s="41"/>
      <c r="AGS23" s="41"/>
      <c r="AGT23" s="41"/>
      <c r="AGU23" s="41"/>
      <c r="AGV23" s="41"/>
      <c r="AGW23" s="41"/>
      <c r="AGX23" s="41"/>
      <c r="AGY23" s="41"/>
      <c r="AGZ23" s="41"/>
      <c r="AHA23" s="41"/>
      <c r="AHB23" s="41"/>
      <c r="AHC23" s="41"/>
      <c r="AHD23" s="41"/>
      <c r="AHE23" s="41"/>
      <c r="AHF23" s="41"/>
      <c r="AHG23" s="41"/>
      <c r="AHH23" s="41"/>
      <c r="AHI23" s="41"/>
      <c r="AHJ23" s="41"/>
      <c r="AHK23" s="41"/>
      <c r="AHL23" s="41"/>
      <c r="AHM23" s="41"/>
      <c r="AHN23" s="41"/>
      <c r="AHO23" s="41"/>
      <c r="AHP23" s="41"/>
      <c r="AHQ23" s="41"/>
      <c r="AHR23" s="41"/>
      <c r="AHS23" s="41"/>
      <c r="AHT23" s="41"/>
      <c r="AHU23" s="41"/>
      <c r="AHV23" s="41"/>
      <c r="AHW23" s="41"/>
      <c r="AHX23" s="41"/>
      <c r="AHY23" s="41"/>
      <c r="AHZ23" s="41"/>
      <c r="AIA23" s="41"/>
      <c r="AIB23" s="41"/>
      <c r="AIC23" s="41"/>
      <c r="AID23" s="41"/>
      <c r="AIE23" s="41"/>
      <c r="AIF23" s="41"/>
      <c r="AIG23" s="41"/>
      <c r="AIH23" s="41"/>
      <c r="AII23" s="41"/>
      <c r="AIJ23" s="41"/>
      <c r="AIK23" s="41"/>
      <c r="AIL23" s="41"/>
      <c r="AIM23" s="41"/>
      <c r="AIN23" s="41"/>
      <c r="AIO23" s="41"/>
      <c r="AIP23" s="41"/>
      <c r="AIQ23" s="41"/>
      <c r="AIR23" s="41"/>
      <c r="AIS23" s="41"/>
      <c r="AIT23" s="41"/>
      <c r="AIU23" s="41"/>
      <c r="AIV23" s="41"/>
      <c r="AIW23" s="41"/>
      <c r="AIX23" s="41"/>
      <c r="AIY23" s="41"/>
      <c r="AIZ23" s="41"/>
      <c r="AJA23" s="41"/>
      <c r="AJB23" s="41"/>
      <c r="AJC23" s="41"/>
      <c r="AJD23" s="41"/>
      <c r="AJE23" s="41"/>
      <c r="AJF23" s="41"/>
      <c r="AJG23" s="41"/>
      <c r="AJH23" s="41"/>
      <c r="AJI23" s="41"/>
      <c r="AJJ23" s="41"/>
      <c r="AJK23" s="41"/>
      <c r="AJL23" s="41"/>
      <c r="AJM23" s="41"/>
      <c r="AJN23" s="41"/>
      <c r="AJO23" s="41"/>
      <c r="AJP23" s="41"/>
      <c r="AJQ23" s="41"/>
      <c r="AJR23" s="41"/>
      <c r="AJS23" s="41"/>
      <c r="AJT23" s="41"/>
      <c r="AJU23" s="41"/>
      <c r="AJV23" s="41"/>
      <c r="AJW23" s="41"/>
      <c r="AJX23" s="41"/>
      <c r="AJY23" s="41"/>
      <c r="AJZ23" s="41"/>
      <c r="AKA23" s="41"/>
      <c r="AKB23" s="41"/>
      <c r="AKC23" s="41"/>
      <c r="AKD23" s="41"/>
      <c r="AKE23" s="41"/>
      <c r="AKF23" s="41"/>
      <c r="AKG23" s="41"/>
      <c r="AKH23" s="41"/>
      <c r="AKI23" s="41"/>
      <c r="AKJ23" s="41"/>
      <c r="AKK23" s="41"/>
      <c r="AKL23" s="41"/>
      <c r="AKM23" s="41"/>
      <c r="AKN23" s="41"/>
      <c r="AKO23" s="41"/>
      <c r="AKP23" s="41"/>
      <c r="AKQ23" s="41"/>
      <c r="AKR23" s="41"/>
      <c r="AKS23" s="41"/>
      <c r="AKT23" s="41"/>
      <c r="AKU23" s="41"/>
      <c r="AKV23" s="41"/>
      <c r="AKW23" s="41"/>
      <c r="AKX23" s="41"/>
      <c r="AKY23" s="41"/>
      <c r="AKZ23" s="41"/>
      <c r="ALA23" s="41"/>
      <c r="ALB23" s="41"/>
      <c r="ALC23" s="41"/>
      <c r="ALD23" s="41"/>
      <c r="ALE23" s="41"/>
      <c r="ALF23" s="41"/>
      <c r="ALG23" s="41"/>
      <c r="ALH23" s="41"/>
      <c r="ALI23" s="41"/>
      <c r="ALJ23" s="41"/>
      <c r="ALK23" s="41"/>
      <c r="ALL23" s="41"/>
      <c r="ALM23" s="41"/>
      <c r="ALN23" s="41"/>
      <c r="ALO23" s="41"/>
      <c r="ALP23" s="41"/>
      <c r="ALQ23" s="41"/>
      <c r="ALR23" s="41"/>
      <c r="ALS23" s="41"/>
      <c r="ALT23" s="41"/>
      <c r="ALU23" s="41"/>
      <c r="ALV23" s="41"/>
      <c r="ALW23" s="41"/>
      <c r="ALX23" s="41"/>
      <c r="ALY23" s="41"/>
    </row>
    <row r="24" spans="1:1013" ht="15.75" x14ac:dyDescent="0.25">
      <c r="A24" s="16" t="s">
        <v>155</v>
      </c>
    </row>
    <row r="25" spans="1:1013" ht="15.75" x14ac:dyDescent="0.25">
      <c r="A25" s="16" t="s">
        <v>156</v>
      </c>
    </row>
    <row r="26" spans="1:1013" ht="15.75" x14ac:dyDescent="0.25">
      <c r="A26" s="16" t="s">
        <v>157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COUNTIF(SEMUA!$H$2:$H$14,REKAP!A4)</f>
        <v>3</v>
      </c>
      <c r="C4">
        <v>2</v>
      </c>
      <c r="D4">
        <v>37</v>
      </c>
      <c r="E4">
        <f>COUNTIF(SEMUA!$D$1:$D$14,D4)</f>
        <v>0</v>
      </c>
      <c r="J4" s="8">
        <v>53</v>
      </c>
      <c r="K4">
        <f>COUNTIF(SEMUA!$E$2:$E$14,J4)</f>
        <v>0</v>
      </c>
      <c r="M4" s="7">
        <v>1</v>
      </c>
      <c r="N4" s="7" t="s">
        <v>57</v>
      </c>
      <c r="O4">
        <f>COUNTIF(SEMUA!$C$1:$C$14,REKAP!N4)</f>
        <v>0</v>
      </c>
    </row>
    <row r="5" spans="1:15" ht="15.75" x14ac:dyDescent="0.25">
      <c r="A5" s="7" t="s">
        <v>31</v>
      </c>
      <c r="B5">
        <f>COUNTIF(SEMUA!$H$2:$H$14,REKAP!A5)</f>
        <v>5</v>
      </c>
      <c r="D5">
        <v>38</v>
      </c>
      <c r="E5">
        <f>COUNTIF(SEMUA!$D$1:$D$14,D5)</f>
        <v>0</v>
      </c>
      <c r="J5" s="8">
        <v>54</v>
      </c>
      <c r="K5">
        <f>COUNTIF(SEMUA!$E$2:$E$14,J5)</f>
        <v>2</v>
      </c>
      <c r="M5" s="7"/>
      <c r="N5" s="7"/>
    </row>
    <row r="6" spans="1:15" ht="15.75" x14ac:dyDescent="0.25">
      <c r="A6" s="7" t="s">
        <v>35</v>
      </c>
      <c r="B6">
        <f>COUNTIF(SEMUA!$H$2:$H$14,REKAP!A6)</f>
        <v>0</v>
      </c>
      <c r="D6" s="8">
        <v>39</v>
      </c>
      <c r="E6">
        <f>COUNTIF(SEMUA!$D$1:$D$14,D6)</f>
        <v>3</v>
      </c>
      <c r="G6">
        <f>F6+E6</f>
        <v>3</v>
      </c>
      <c r="H6">
        <v>2</v>
      </c>
      <c r="J6" s="8">
        <v>55</v>
      </c>
      <c r="K6">
        <f>COUNTIF(SEMUA!$E$2:$E$14,J6)</f>
        <v>0</v>
      </c>
      <c r="M6" s="7"/>
      <c r="N6" s="7"/>
    </row>
    <row r="7" spans="1:15" ht="15.75" x14ac:dyDescent="0.25">
      <c r="A7" s="7" t="s">
        <v>34</v>
      </c>
      <c r="B7">
        <f>COUNTIF(SEMUA!$H$2:$H$14,REKAP!A7)</f>
        <v>4</v>
      </c>
      <c r="C7">
        <v>2</v>
      </c>
      <c r="D7" s="8">
        <v>40</v>
      </c>
      <c r="E7">
        <f>COUNTIF(SEMUA!$D$1:$D$14,D7)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COUNTIF(SEMUA!$E$2:$E$14,J7)</f>
        <v>6</v>
      </c>
      <c r="M7" s="7"/>
      <c r="N7" s="7"/>
    </row>
    <row r="8" spans="1:15" ht="15.75" x14ac:dyDescent="0.25">
      <c r="A8" s="7" t="s">
        <v>33</v>
      </c>
      <c r="B8">
        <f>COUNTIF(SEMUA!$H$2:$H$14,REKAP!A8)</f>
        <v>1</v>
      </c>
      <c r="C8">
        <v>1</v>
      </c>
      <c r="D8" s="8">
        <v>41</v>
      </c>
      <c r="E8">
        <f>COUNTIF(SEMUA!$D$1:$D$14,D8)</f>
        <v>4</v>
      </c>
      <c r="F8">
        <v>7</v>
      </c>
      <c r="G8">
        <f t="shared" si="0"/>
        <v>11</v>
      </c>
      <c r="J8" s="8">
        <v>57</v>
      </c>
      <c r="K8">
        <f>COUNTIF(SEMUA!$E$2:$E$14,J8)</f>
        <v>1</v>
      </c>
      <c r="M8" s="7"/>
      <c r="N8" s="7"/>
    </row>
    <row r="9" spans="1:15" ht="15.75" x14ac:dyDescent="0.25">
      <c r="A9" s="7" t="s">
        <v>36</v>
      </c>
      <c r="B9">
        <f>COUNTIF(SEMUA!$H$2:$H$14,REKAP!A9)</f>
        <v>0</v>
      </c>
      <c r="D9" s="8">
        <v>42</v>
      </c>
      <c r="E9">
        <f>COUNTIF(SEMUA!$D$1:$D$14,D9)</f>
        <v>0</v>
      </c>
      <c r="F9">
        <v>11</v>
      </c>
      <c r="G9">
        <f t="shared" si="0"/>
        <v>11</v>
      </c>
      <c r="J9" s="8">
        <v>58</v>
      </c>
      <c r="K9">
        <f>COUNTIF(SEMUA!$E$2:$E$14,J9)</f>
        <v>4</v>
      </c>
      <c r="M9" s="7"/>
    </row>
    <row r="10" spans="1:15" ht="15.75" x14ac:dyDescent="0.25">
      <c r="A10" s="7" t="s">
        <v>37</v>
      </c>
      <c r="B10">
        <f>COUNTIF(SEMUA!$H$2:$H$14,REKAP!A10)</f>
        <v>0</v>
      </c>
      <c r="D10" s="8">
        <v>43</v>
      </c>
      <c r="E10">
        <f>COUNTIF(SEMUA!$D$1:$D$14,D10)</f>
        <v>4</v>
      </c>
      <c r="F10">
        <v>7</v>
      </c>
      <c r="G10">
        <f t="shared" si="0"/>
        <v>11</v>
      </c>
      <c r="J10" s="8">
        <v>59</v>
      </c>
      <c r="K10">
        <f>COUNTIF(SEMUA!$E$2:$E$14,J10)</f>
        <v>0</v>
      </c>
      <c r="M10" s="7"/>
    </row>
    <row r="11" spans="1:15" ht="15.75" x14ac:dyDescent="0.25">
      <c r="A11" s="9" t="s">
        <v>44</v>
      </c>
      <c r="B11" s="10">
        <f>SUM(B4:B10)</f>
        <v>13</v>
      </c>
      <c r="C11" s="10"/>
      <c r="D11" s="8">
        <v>44</v>
      </c>
      <c r="E11">
        <f>COUNTIF(SEMUA!$D$1:$D$14,D11)</f>
        <v>0</v>
      </c>
      <c r="G11">
        <f t="shared" si="0"/>
        <v>0</v>
      </c>
      <c r="J11" s="1">
        <v>60</v>
      </c>
      <c r="K11">
        <f>COUNTIF(SEMUA!$E$2:$E$14,J11)</f>
        <v>0</v>
      </c>
      <c r="M11" s="7"/>
    </row>
    <row r="12" spans="1:15" ht="15.75" x14ac:dyDescent="0.25">
      <c r="D12" s="8">
        <v>45</v>
      </c>
      <c r="E12">
        <f>COUNTIF(SEMUA!$D$1:$D$14,D12)</f>
        <v>0</v>
      </c>
      <c r="G12">
        <f t="shared" si="0"/>
        <v>0</v>
      </c>
      <c r="K12">
        <f>SUM(K4:K11)</f>
        <v>13</v>
      </c>
      <c r="M12" s="7"/>
    </row>
    <row r="13" spans="1:15" ht="15.75" x14ac:dyDescent="0.25">
      <c r="D13" s="8">
        <v>46</v>
      </c>
      <c r="E13">
        <f>COUNTIF(SEMUA!$D$1:$D$14,D13)</f>
        <v>0</v>
      </c>
      <c r="G13">
        <f t="shared" si="0"/>
        <v>0</v>
      </c>
    </row>
    <row r="14" spans="1:15" ht="15.75" x14ac:dyDescent="0.25">
      <c r="D14" s="8"/>
      <c r="E14">
        <f>SUM(E4:E13)</f>
        <v>13</v>
      </c>
      <c r="F14">
        <f>SUM(F4:F13)</f>
        <v>34</v>
      </c>
      <c r="G14">
        <f>SUM(G4:G13)</f>
        <v>47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2021-07-27T14:56:57Z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