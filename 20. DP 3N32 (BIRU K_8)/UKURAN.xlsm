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E8AF7A97-6C1A-482D-9C61-54322A238AC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SEMUA!$A$1:$AZ$13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<sst xmlns="http://schemas.openxmlformats.org/spreadsheetml/2006/main" count="397" uniqueCount="164">
  <si>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</si>
  <si>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</si>
  <si>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</si>
  <si>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</si>
  <si>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</si>
  <si>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</si>
  <si>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</si>
  <si>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</si>
  <si>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</si>
  <si>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</si>
  <si>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</si>
  <si>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</si>
  <si>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</si>
  <si>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</si>
  <si>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</si>
  <si>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</si>
  <si>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</si>
  <si>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</si>
  <si>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</si>
  <si>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</si>
  <si>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</si>
  <si>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</si>
  <si>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</si>
  <si>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</si>
  <si>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</si>
  <si>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</si>
  <si>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</si>
  <si>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</si>
  <si>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</si>
  <si>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</si>
  <si>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</si>
  <si>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</si>
  <si>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</si>
  <si>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</si>
  <si>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</si>
  <si>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</si>
  <si>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</si>
  <si>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</si>
  <si>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</si>
  <si>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</si>
  <si>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</si>
  <si>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</si>
  <si>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</si>
  <si>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</si>
  <si>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</si>
  <si>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</si>
  <si>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</si>
  <si>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</si>
  <si>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</si>
  <si>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</si>
  <si>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</si>
  <si>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</si>
  <si>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</si>
  <si>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</si>
  <si>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</si>
  <si>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</si>
  <si>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</si>
  <si>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</si>
  <si>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</si>
  <si>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</si>
  <si>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</si>
  <si>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</si>
  <si>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</si>
  <si>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</si>
  <si>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</si>
  <si>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</si>
  <si>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</si>
  <si>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</si>
  <si>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</si>
  <si>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</si>
  <si>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</si>
  <si>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</si>
  <si>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</si>
  <si>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</si>
  <si>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</si>
  <si>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</si>
  <si>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</si>
  <si>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</si>
  <si>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</si>
  <si>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</si>
  <si>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</si>
  <si>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</si>
  <si>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</si>
  <si>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</si>
  <si>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</si>
  <si>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</si>
  <si>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</si>
  <si>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</si>
  <si>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</si>
  <si>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</si>
  <si>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</si>
  <si>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</si>
  <si>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</si>
  <si>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</si>
  <si>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</si>
  <si>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</si>
  <si>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</si>
  <si>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</si>
  <si>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</si>
  <si>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</si>
  <si>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</si>
  <si>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</si>
  <si>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</si>
  <si>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</si>
  <si>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</si>
  <si>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</si>
  <si>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</si>
  <si>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</si>
  <si>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</si>
  <si>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</si>
  <si>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</si>
  <si>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</si>
  <si>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</si>
  <si>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</si>
  <si>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</si>
  <si>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</si>
  <si>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</si>
  <si>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</si>
  <si>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</si>
  <si>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</si>
  <si>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</si>
  <si>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</si>
  <si>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</si>
  <si>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</si>
  <si>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</si>
  <si>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</si>
  <si>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</si>
  <si>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</si>
  <si>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</si>
  <si>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</si>
  <si>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</si>
  <si>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</si>
  <si>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</si>
  <si>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</si>
  <si>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</si>
  <si>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</si>
  <si>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</si>
  <si>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</si>
  <si>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</si>
  <si>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</si>
  <si>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</si>
  <si>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</si>
  <si>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</si>
  <si>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</si>
  <si>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</si>
  <si>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</si>
  <si>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</si>
  <si>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</si>
  <si>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</si>
  <si>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</si>
  <si>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</si>
  <si>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</si>
  <si>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</si>
  <si>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</si>
  <si>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</si>
  <si>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</si>
  <si>
    <t>YULI ARDI SUSANTO</t>
  </si>
  <si>
    <t>HUZAINULLOH</t>
  </si>
  <si>
    <t>DOUBLE  DGN P8 DIDIK BAMBANG</t>
  </si>
  <si>
    <t>YUDISTIRA DARMADY</t>
  </si>
  <si>
    <t>ANTHONIUS MADONG</t>
  </si>
  <si>
    <t>P26</t>
  </si>
  <si>
    <t>31 JULI</t>
  </si>
  <si>
    <t>03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</si>
</sst>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1" fontId="24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0" fontId="13" fillId="0" borderId="2" xfId="0" applyFont="1" applyBorder="1" applyAlignment="1">
      <alignment vertical="center"/>
    </xf>
    <xf numFmtId="0" fontId="9" fillId="0" borderId="0" xfId="0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tabSelected="1" zoomScale="55" zoomScaleNormal="55" workbookViewId="0">
      <pane ySplit="1" topLeftCell="A2" activePane="bottomLeft" state="frozen"/>
      <selection pane="bottomLeft" activeCell="I23" sqref="I2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46" width="8.7109375" style="2"/>
    <col min="47" max="47" width="45.42578125" style="2" customWidth="1"/>
    <col min="48" max="1013" width="8.7109375" style="2"/>
    <col min="1014" max="16384" width="8.7109375" style="4"/>
  </cols>
  <sheetData>
    <row r="1" spans="1:1013" ht="24.75" customHeight="1" thickBot="1" x14ac:dyDescent="0.3">
      <c r="A1" s="54" t="s">
        <v>0</v>
      </c>
      <c r="B1" s="55" t="s">
        <v>1</v>
      </c>
      <c r="C1" s="54" t="s">
        <v>2</v>
      </c>
      <c r="D1" s="54" t="s">
        <v>4</v>
      </c>
      <c r="E1" s="54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thickTop="1" x14ac:dyDescent="0.25">
      <c r="A2" s="51" t="s">
        <v>103</v>
      </c>
      <c r="B2" s="51" t="s">
        <v>115</v>
      </c>
      <c r="C2" s="52" t="s">
        <v>118</v>
      </c>
      <c r="D2" s="53">
        <v>41</v>
      </c>
      <c r="E2" s="52">
        <v>56</v>
      </c>
      <c r="F2" s="39" t="s">
        <v>119</v>
      </c>
      <c r="G2" s="39" t="s">
        <v>46</v>
      </c>
      <c r="H2" s="39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120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9">
        <v>94</v>
      </c>
      <c r="AP2" s="2">
        <v>1</v>
      </c>
      <c r="AQ2" s="4" t="s">
        <v>124</v>
      </c>
      <c r="AR2" s="4"/>
      <c r="AS2" s="4" t="s">
        <v>162</v>
      </c>
      <c r="AT2" s="4" t="s">
        <v>162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1" t="s">
        <v>104</v>
      </c>
      <c r="B3" s="41" t="s">
        <v>116</v>
      </c>
      <c r="C3" s="42" t="s">
        <v>118</v>
      </c>
      <c r="D3" s="43">
        <v>43</v>
      </c>
      <c r="E3" s="42">
        <v>56</v>
      </c>
      <c r="F3" s="39" t="s">
        <v>119</v>
      </c>
      <c r="G3" s="39" t="s">
        <v>46</v>
      </c>
      <c r="H3" s="39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124</v>
      </c>
      <c r="AR3" s="4"/>
      <c r="AS3" s="4" t="s">
        <v>162</v>
      </c>
      <c r="AT3" s="4" t="s">
        <v>162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1" t="s">
        <v>105</v>
      </c>
      <c r="B4" s="41" t="s">
        <v>117</v>
      </c>
      <c r="C4" s="42" t="s">
        <v>118</v>
      </c>
      <c r="D4" s="43">
        <v>43</v>
      </c>
      <c r="E4" s="42">
        <v>56</v>
      </c>
      <c r="F4" s="39" t="s">
        <v>119</v>
      </c>
      <c r="G4" s="39" t="s">
        <v>46</v>
      </c>
      <c r="H4" s="39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124</v>
      </c>
      <c r="AR4" s="4"/>
      <c r="AS4" s="4" t="s">
        <v>162</v>
      </c>
      <c r="AT4" s="4" t="s">
        <v>162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1" t="s">
        <v>106</v>
      </c>
      <c r="B5" s="41" t="s">
        <v>121</v>
      </c>
      <c r="C5" s="42" t="s">
        <v>118</v>
      </c>
      <c r="D5" s="43">
        <v>39</v>
      </c>
      <c r="E5" s="42">
        <v>54</v>
      </c>
      <c r="F5" s="39" t="s">
        <v>119</v>
      </c>
      <c r="G5" s="39" t="s">
        <v>46</v>
      </c>
      <c r="H5" s="39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124</v>
      </c>
      <c r="AR5" s="4"/>
      <c r="AS5" s="4" t="s">
        <v>162</v>
      </c>
      <c r="AT5" s="4" t="s">
        <v>162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1" t="s">
        <v>107</v>
      </c>
      <c r="B6" s="41" t="s">
        <v>122</v>
      </c>
      <c r="C6" s="42" t="s">
        <v>118</v>
      </c>
      <c r="D6" s="43">
        <v>39</v>
      </c>
      <c r="E6" s="42">
        <v>56</v>
      </c>
      <c r="F6" s="39" t="s">
        <v>119</v>
      </c>
      <c r="G6" s="39" t="s">
        <v>46</v>
      </c>
      <c r="H6" s="39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124</v>
      </c>
      <c r="AR6" s="4"/>
      <c r="AS6" s="4" t="s">
        <v>162</v>
      </c>
      <c r="AT6" s="4" t="s">
        <v>162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1" t="s">
        <v>108</v>
      </c>
      <c r="B7" s="44" t="s">
        <v>123</v>
      </c>
      <c r="C7" s="42" t="s">
        <v>118</v>
      </c>
      <c r="D7" s="45">
        <v>39</v>
      </c>
      <c r="E7" s="46">
        <v>58</v>
      </c>
      <c r="F7" s="39" t="s">
        <v>119</v>
      </c>
      <c r="G7" s="39" t="s">
        <v>46</v>
      </c>
      <c r="H7" s="40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124</v>
      </c>
      <c r="AR7" s="4"/>
      <c r="AS7" s="4" t="s">
        <v>162</v>
      </c>
      <c r="AT7" s="4" t="s">
        <v>162</v>
      </c>
    </row>
    <row r="8" spans="1:1013" ht="24.75" customHeight="1" x14ac:dyDescent="0.25">
      <c r="A8" s="41" t="s">
        <v>109</v>
      </c>
      <c r="B8" s="44" t="s">
        <v>125</v>
      </c>
      <c r="C8" s="42" t="s">
        <v>118</v>
      </c>
      <c r="D8" s="45">
        <v>40</v>
      </c>
      <c r="E8" s="46">
        <v>56</v>
      </c>
      <c r="F8" s="39" t="s">
        <v>119</v>
      </c>
      <c r="G8" s="39" t="s">
        <v>46</v>
      </c>
      <c r="H8" s="40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9">
        <v>2</v>
      </c>
      <c r="AQ8" s="4" t="s">
        <v>127</v>
      </c>
      <c r="AR8" s="4"/>
      <c r="AS8" s="4" t="s">
        <v>162</v>
      </c>
      <c r="AT8" s="4" t="s">
        <v>162</v>
      </c>
    </row>
    <row r="9" spans="1:1013" ht="24.75" customHeight="1" x14ac:dyDescent="0.25">
      <c r="A9" s="41" t="s">
        <v>110</v>
      </c>
      <c r="B9" s="44" t="s">
        <v>126</v>
      </c>
      <c r="C9" s="42" t="s">
        <v>118</v>
      </c>
      <c r="D9" s="45">
        <v>40</v>
      </c>
      <c r="E9" s="46">
        <v>54</v>
      </c>
      <c r="F9" s="39" t="s">
        <v>119</v>
      </c>
      <c r="G9" s="39" t="s">
        <v>46</v>
      </c>
      <c r="H9" s="40" t="s">
        <v>31</v>
      </c>
      <c r="I9" s="32">
        <v>45</v>
      </c>
      <c r="J9" s="32">
        <v>61</v>
      </c>
      <c r="K9" s="32">
        <v>18</v>
      </c>
      <c r="L9" s="32">
        <v>14</v>
      </c>
      <c r="M9" s="32">
        <v>95</v>
      </c>
      <c r="N9" s="32">
        <v>88</v>
      </c>
      <c r="O9" s="32">
        <v>104</v>
      </c>
      <c r="P9" s="32">
        <v>71</v>
      </c>
      <c r="Q9" s="32">
        <v>36</v>
      </c>
      <c r="R9" s="32">
        <v>45</v>
      </c>
      <c r="S9" s="32">
        <v>62</v>
      </c>
      <c r="T9" s="32">
        <v>16</v>
      </c>
      <c r="U9" s="32">
        <v>12</v>
      </c>
      <c r="V9" s="32">
        <v>26</v>
      </c>
      <c r="W9" s="32">
        <v>24</v>
      </c>
      <c r="X9" s="32">
        <v>26</v>
      </c>
      <c r="Y9" s="32">
        <v>70</v>
      </c>
      <c r="Z9" s="32">
        <v>36</v>
      </c>
      <c r="AA9" s="32">
        <v>45</v>
      </c>
      <c r="AB9" s="32">
        <v>26</v>
      </c>
      <c r="AC9" s="32">
        <v>16</v>
      </c>
      <c r="AD9" s="32">
        <v>26</v>
      </c>
      <c r="AE9" s="32">
        <v>24</v>
      </c>
      <c r="AF9" s="32">
        <v>26</v>
      </c>
      <c r="AG9" s="32">
        <v>70</v>
      </c>
      <c r="AH9" s="32">
        <v>36</v>
      </c>
      <c r="AI9" s="32">
        <v>74</v>
      </c>
      <c r="AJ9" s="32">
        <v>100</v>
      </c>
      <c r="AK9" s="32">
        <v>68</v>
      </c>
      <c r="AL9" s="32">
        <v>32</v>
      </c>
      <c r="AM9" s="32">
        <v>26</v>
      </c>
      <c r="AN9" s="32">
        <v>19</v>
      </c>
      <c r="AO9" s="32">
        <v>96</v>
      </c>
      <c r="AP9" s="39">
        <v>2</v>
      </c>
      <c r="AQ9" s="4" t="s">
        <v>127</v>
      </c>
      <c r="AR9" s="4"/>
      <c r="AS9" s="4" t="s">
        <v>162</v>
      </c>
      <c r="AT9" s="4" t="s">
        <v>162</v>
      </c>
    </row>
    <row r="10" spans="1:1013" ht="24.75" customHeight="1" x14ac:dyDescent="0.25">
      <c r="A10" s="41" t="s">
        <v>111</v>
      </c>
      <c r="B10" s="44" t="s">
        <v>128</v>
      </c>
      <c r="C10" s="42" t="s">
        <v>118</v>
      </c>
      <c r="D10" s="45">
        <v>41</v>
      </c>
      <c r="E10" s="46">
        <v>56</v>
      </c>
      <c r="F10" s="39" t="s">
        <v>119</v>
      </c>
      <c r="G10" s="39" t="s">
        <v>46</v>
      </c>
      <c r="H10" s="40" t="s">
        <v>31</v>
      </c>
      <c r="I10" s="32">
        <v>46</v>
      </c>
      <c r="J10" s="32">
        <v>57</v>
      </c>
      <c r="K10" s="32">
        <v>19</v>
      </c>
      <c r="L10" s="32">
        <v>14</v>
      </c>
      <c r="M10" s="32">
        <v>102</v>
      </c>
      <c r="N10" s="32">
        <v>96</v>
      </c>
      <c r="O10" s="32">
        <v>106</v>
      </c>
      <c r="P10" s="32">
        <v>69</v>
      </c>
      <c r="Q10" s="32">
        <v>39</v>
      </c>
      <c r="R10" s="32">
        <v>46</v>
      </c>
      <c r="S10" s="32">
        <v>58</v>
      </c>
      <c r="T10" s="32">
        <v>17</v>
      </c>
      <c r="U10" s="32">
        <v>13</v>
      </c>
      <c r="V10" s="32">
        <v>28</v>
      </c>
      <c r="W10" s="32">
        <v>26</v>
      </c>
      <c r="X10" s="32">
        <v>28</v>
      </c>
      <c r="Y10" s="32">
        <v>68</v>
      </c>
      <c r="Z10" s="32">
        <v>39</v>
      </c>
      <c r="AA10" s="32">
        <v>46</v>
      </c>
      <c r="AB10" s="32">
        <v>24</v>
      </c>
      <c r="AC10" s="32">
        <v>17</v>
      </c>
      <c r="AD10" s="32">
        <v>28</v>
      </c>
      <c r="AE10" s="32">
        <v>26</v>
      </c>
      <c r="AF10" s="31">
        <v>28</v>
      </c>
      <c r="AG10" s="32">
        <v>68</v>
      </c>
      <c r="AH10" s="32">
        <v>39</v>
      </c>
      <c r="AI10" s="32">
        <v>88</v>
      </c>
      <c r="AJ10" s="32">
        <v>100</v>
      </c>
      <c r="AK10" s="32">
        <v>66</v>
      </c>
      <c r="AL10" s="32">
        <v>34</v>
      </c>
      <c r="AM10" s="32">
        <v>26</v>
      </c>
      <c r="AN10" s="32">
        <v>19</v>
      </c>
      <c r="AO10" s="32">
        <v>96</v>
      </c>
      <c r="AP10" s="39">
        <v>3</v>
      </c>
      <c r="AQ10" s="4" t="s">
        <v>133</v>
      </c>
      <c r="AR10" s="4"/>
      <c r="AS10" s="4" t="s">
        <v>162</v>
      </c>
      <c r="AT10" s="4" t="s">
        <v>162</v>
      </c>
    </row>
    <row r="11" spans="1:1013" ht="24.75" customHeight="1" x14ac:dyDescent="0.25">
      <c r="A11" s="41" t="s">
        <v>112</v>
      </c>
      <c r="B11" s="44" t="s">
        <v>129</v>
      </c>
      <c r="C11" s="42" t="s">
        <v>118</v>
      </c>
      <c r="D11" s="45">
        <v>41</v>
      </c>
      <c r="E11" s="46">
        <v>58</v>
      </c>
      <c r="F11" s="39" t="s">
        <v>119</v>
      </c>
      <c r="G11" s="39" t="s">
        <v>46</v>
      </c>
      <c r="H11" s="40" t="s">
        <v>34</v>
      </c>
      <c r="I11" s="32">
        <v>48</v>
      </c>
      <c r="J11" s="32">
        <v>60</v>
      </c>
      <c r="K11" s="32">
        <v>20</v>
      </c>
      <c r="L11" s="32">
        <v>15</v>
      </c>
      <c r="M11" s="32">
        <v>116</v>
      </c>
      <c r="N11" s="32">
        <v>110</v>
      </c>
      <c r="O11" s="32">
        <v>120</v>
      </c>
      <c r="P11" s="32">
        <v>73</v>
      </c>
      <c r="Q11" s="32">
        <v>44</v>
      </c>
      <c r="R11" s="32">
        <v>48</v>
      </c>
      <c r="S11" s="32">
        <v>61</v>
      </c>
      <c r="T11" s="32">
        <v>19</v>
      </c>
      <c r="U11" s="32">
        <v>13</v>
      </c>
      <c r="V11" s="32">
        <v>30</v>
      </c>
      <c r="W11" s="32">
        <v>28</v>
      </c>
      <c r="X11" s="32">
        <v>30</v>
      </c>
      <c r="Y11" s="32">
        <v>72</v>
      </c>
      <c r="Z11" s="32">
        <v>44</v>
      </c>
      <c r="AA11" s="32">
        <v>48</v>
      </c>
      <c r="AB11" s="32">
        <v>24</v>
      </c>
      <c r="AC11" s="32">
        <v>19</v>
      </c>
      <c r="AD11" s="32">
        <v>30</v>
      </c>
      <c r="AE11" s="32">
        <v>28</v>
      </c>
      <c r="AF11" s="32">
        <v>30</v>
      </c>
      <c r="AG11" s="32">
        <v>72</v>
      </c>
      <c r="AH11" s="32">
        <v>44</v>
      </c>
      <c r="AI11" s="32">
        <v>100</v>
      </c>
      <c r="AJ11" s="32">
        <v>116</v>
      </c>
      <c r="AK11" s="32">
        <v>72</v>
      </c>
      <c r="AL11" s="32">
        <v>36</v>
      </c>
      <c r="AM11" s="32">
        <v>27</v>
      </c>
      <c r="AN11" s="32">
        <v>27</v>
      </c>
      <c r="AO11" s="32">
        <v>97</v>
      </c>
      <c r="AP11" s="39">
        <v>3</v>
      </c>
      <c r="AQ11" s="4" t="s">
        <v>133</v>
      </c>
      <c r="AR11" s="4"/>
      <c r="AS11" s="4" t="s">
        <v>162</v>
      </c>
      <c r="AT11" s="4" t="s">
        <v>162</v>
      </c>
      <c r="AU11" s="2" t="s">
        <v>158</v>
      </c>
    </row>
    <row r="12" spans="1:1013" ht="24.75" customHeight="1" x14ac:dyDescent="0.25">
      <c r="A12" s="41" t="s">
        <v>113</v>
      </c>
      <c r="B12" s="44" t="s">
        <v>130</v>
      </c>
      <c r="C12" s="42" t="s">
        <v>118</v>
      </c>
      <c r="D12" s="45">
        <v>43</v>
      </c>
      <c r="E12" s="46">
        <v>57</v>
      </c>
      <c r="F12" s="39" t="s">
        <v>119</v>
      </c>
      <c r="G12" s="39" t="s">
        <v>46</v>
      </c>
      <c r="H12" s="40" t="s">
        <v>33</v>
      </c>
      <c r="I12" s="32">
        <v>48</v>
      </c>
      <c r="J12" s="32">
        <v>59</v>
      </c>
      <c r="K12" s="32">
        <v>21</v>
      </c>
      <c r="L12" s="32">
        <v>15</v>
      </c>
      <c r="M12" s="32">
        <v>117</v>
      </c>
      <c r="N12" s="32">
        <v>112</v>
      </c>
      <c r="O12" s="32">
        <v>124</v>
      </c>
      <c r="P12" s="32">
        <v>73</v>
      </c>
      <c r="Q12" s="32">
        <v>41</v>
      </c>
      <c r="R12" s="32">
        <v>48</v>
      </c>
      <c r="S12" s="32">
        <v>60</v>
      </c>
      <c r="T12" s="32">
        <v>20</v>
      </c>
      <c r="U12" s="32">
        <v>13</v>
      </c>
      <c r="V12" s="32">
        <v>31</v>
      </c>
      <c r="W12" s="32">
        <v>30</v>
      </c>
      <c r="X12" s="32">
        <v>31</v>
      </c>
      <c r="Y12" s="32">
        <v>72</v>
      </c>
      <c r="Z12" s="32">
        <v>41</v>
      </c>
      <c r="AA12" s="32">
        <v>48</v>
      </c>
      <c r="AB12" s="32">
        <v>25</v>
      </c>
      <c r="AC12" s="32">
        <v>20</v>
      </c>
      <c r="AD12" s="32">
        <v>31</v>
      </c>
      <c r="AE12" s="32">
        <v>30</v>
      </c>
      <c r="AF12" s="32">
        <v>31</v>
      </c>
      <c r="AG12" s="32">
        <v>72</v>
      </c>
      <c r="AH12" s="32">
        <v>41</v>
      </c>
      <c r="AI12" s="32">
        <v>104</v>
      </c>
      <c r="AJ12" s="32">
        <v>119</v>
      </c>
      <c r="AK12" s="32">
        <v>76</v>
      </c>
      <c r="AL12" s="32">
        <v>37</v>
      </c>
      <c r="AM12" s="32">
        <v>27</v>
      </c>
      <c r="AN12" s="32">
        <v>22</v>
      </c>
      <c r="AO12" s="32">
        <v>103</v>
      </c>
      <c r="AP12" s="39">
        <v>3</v>
      </c>
      <c r="AQ12" s="4" t="s">
        <v>133</v>
      </c>
      <c r="AR12" s="4"/>
      <c r="AS12" s="4" t="s">
        <v>162</v>
      </c>
      <c r="AT12" s="4" t="s">
        <v>162</v>
      </c>
    </row>
    <row r="13" spans="1:1013" ht="24.75" customHeight="1" x14ac:dyDescent="0.25">
      <c r="A13" s="41" t="s">
        <v>114</v>
      </c>
      <c r="B13" s="44" t="s">
        <v>131</v>
      </c>
      <c r="C13" s="42" t="s">
        <v>118</v>
      </c>
      <c r="D13" s="45">
        <v>43</v>
      </c>
      <c r="E13" s="46">
        <v>58</v>
      </c>
      <c r="F13" s="39" t="s">
        <v>119</v>
      </c>
      <c r="G13" s="39" t="s">
        <v>46</v>
      </c>
      <c r="H13" s="40" t="s">
        <v>34</v>
      </c>
      <c r="I13" s="32">
        <v>51</v>
      </c>
      <c r="J13" s="32">
        <v>62</v>
      </c>
      <c r="K13" s="32">
        <v>21</v>
      </c>
      <c r="L13" s="32">
        <v>16</v>
      </c>
      <c r="M13" s="32">
        <v>115</v>
      </c>
      <c r="N13" s="32">
        <v>110</v>
      </c>
      <c r="O13" s="32">
        <v>121</v>
      </c>
      <c r="P13" s="32">
        <v>73</v>
      </c>
      <c r="Q13" s="32">
        <v>46</v>
      </c>
      <c r="R13" s="32">
        <v>51</v>
      </c>
      <c r="S13" s="32">
        <v>63</v>
      </c>
      <c r="T13" s="32">
        <v>20</v>
      </c>
      <c r="U13" s="32">
        <v>13</v>
      </c>
      <c r="V13" s="32">
        <v>31</v>
      </c>
      <c r="W13" s="32">
        <v>29</v>
      </c>
      <c r="X13" s="32">
        <v>31</v>
      </c>
      <c r="Y13" s="32">
        <v>72</v>
      </c>
      <c r="Z13" s="32">
        <v>46</v>
      </c>
      <c r="AA13" s="32">
        <v>51</v>
      </c>
      <c r="AB13" s="32">
        <v>26</v>
      </c>
      <c r="AC13" s="32">
        <v>20</v>
      </c>
      <c r="AD13" s="32">
        <v>31</v>
      </c>
      <c r="AE13" s="32">
        <v>29</v>
      </c>
      <c r="AF13" s="32">
        <v>31</v>
      </c>
      <c r="AG13" s="32">
        <v>72</v>
      </c>
      <c r="AH13" s="32">
        <v>46</v>
      </c>
      <c r="AI13" s="32">
        <v>104</v>
      </c>
      <c r="AJ13" s="32">
        <v>118</v>
      </c>
      <c r="AK13" s="32">
        <v>78</v>
      </c>
      <c r="AL13" s="32">
        <v>37</v>
      </c>
      <c r="AM13" s="32">
        <v>27</v>
      </c>
      <c r="AN13" s="32">
        <v>22</v>
      </c>
      <c r="AO13" s="32">
        <v>105</v>
      </c>
      <c r="AP13" s="39">
        <v>3</v>
      </c>
      <c r="AQ13" s="4" t="s">
        <v>133</v>
      </c>
      <c r="AR13" s="4"/>
      <c r="AS13" s="4" t="s">
        <v>162</v>
      </c>
      <c r="AT13" s="4" t="s">
        <v>162</v>
      </c>
    </row>
    <row r="14" spans="1:1013" ht="24.75" customHeight="1" x14ac:dyDescent="0.25">
      <c r="A14" s="41" t="s">
        <v>134</v>
      </c>
      <c r="B14" s="47" t="s">
        <v>132</v>
      </c>
      <c r="C14" s="42" t="s">
        <v>118</v>
      </c>
      <c r="D14" s="48">
        <v>42</v>
      </c>
      <c r="E14" s="49">
        <v>56</v>
      </c>
      <c r="F14" s="39" t="s">
        <v>119</v>
      </c>
      <c r="G14" s="39" t="s">
        <v>46</v>
      </c>
      <c r="H14" s="12" t="s">
        <v>34</v>
      </c>
      <c r="I14" s="31">
        <v>50</v>
      </c>
      <c r="J14" s="31">
        <v>55</v>
      </c>
      <c r="K14" s="31">
        <v>20</v>
      </c>
      <c r="L14" s="31">
        <v>15</v>
      </c>
      <c r="M14" s="31">
        <v>113</v>
      </c>
      <c r="N14" s="31">
        <v>108</v>
      </c>
      <c r="O14" s="31">
        <v>120</v>
      </c>
      <c r="P14" s="31">
        <v>71</v>
      </c>
      <c r="Q14" s="31">
        <v>45</v>
      </c>
      <c r="R14" s="31">
        <v>50</v>
      </c>
      <c r="S14" s="31">
        <v>56</v>
      </c>
      <c r="T14" s="31">
        <v>19</v>
      </c>
      <c r="U14" s="31">
        <v>13</v>
      </c>
      <c r="V14" s="31">
        <v>30</v>
      </c>
      <c r="W14" s="31">
        <v>28</v>
      </c>
      <c r="X14" s="1">
        <v>30</v>
      </c>
      <c r="Y14" s="2">
        <v>70</v>
      </c>
      <c r="Z14" s="2">
        <v>45</v>
      </c>
      <c r="AA14" s="2">
        <v>50</v>
      </c>
      <c r="AB14" s="2">
        <v>24</v>
      </c>
      <c r="AC14" s="2">
        <v>19</v>
      </c>
      <c r="AD14" s="2">
        <v>30</v>
      </c>
      <c r="AE14" s="2">
        <v>28</v>
      </c>
      <c r="AF14" s="2">
        <v>30</v>
      </c>
      <c r="AG14" s="31">
        <v>70</v>
      </c>
      <c r="AH14" s="31">
        <v>45</v>
      </c>
      <c r="AI14" s="31">
        <v>102</v>
      </c>
      <c r="AJ14" s="31">
        <v>117</v>
      </c>
      <c r="AK14" s="31">
        <v>75</v>
      </c>
      <c r="AL14" s="31">
        <v>37</v>
      </c>
      <c r="AM14" s="31">
        <v>27</v>
      </c>
      <c r="AN14" s="31">
        <v>22</v>
      </c>
      <c r="AO14" s="31">
        <v>94</v>
      </c>
      <c r="AP14" s="39">
        <v>3</v>
      </c>
      <c r="AQ14" s="4" t="s">
        <v>133</v>
      </c>
      <c r="AS14" s="4" t="s">
        <v>162</v>
      </c>
      <c r="AT14" s="4" t="s">
        <v>162</v>
      </c>
    </row>
    <row r="15" spans="1:1013" ht="24.75" customHeight="1" x14ac:dyDescent="0.25">
      <c r="A15" s="41" t="s">
        <v>140</v>
      </c>
      <c r="B15" s="47" t="s">
        <v>135</v>
      </c>
      <c r="C15" s="42" t="s">
        <v>118</v>
      </c>
      <c r="D15" s="48">
        <v>41</v>
      </c>
      <c r="E15" s="49">
        <v>58</v>
      </c>
      <c r="F15" s="39" t="s">
        <v>119</v>
      </c>
      <c r="G15" s="39" t="s">
        <v>46</v>
      </c>
      <c r="H15" s="12" t="s">
        <v>33</v>
      </c>
      <c r="I15" s="31">
        <v>51</v>
      </c>
      <c r="J15" s="31">
        <v>62</v>
      </c>
      <c r="K15" s="31">
        <v>22</v>
      </c>
      <c r="L15" s="31">
        <v>16</v>
      </c>
      <c r="M15" s="31">
        <v>118</v>
      </c>
      <c r="N15" s="31">
        <v>114</v>
      </c>
      <c r="O15" s="31">
        <v>122</v>
      </c>
      <c r="P15" s="31">
        <v>75</v>
      </c>
      <c r="Q15" s="31">
        <v>46</v>
      </c>
      <c r="R15" s="31">
        <v>51</v>
      </c>
      <c r="S15" s="31">
        <v>63</v>
      </c>
      <c r="T15" s="31">
        <v>21</v>
      </c>
      <c r="U15" s="31">
        <v>13</v>
      </c>
      <c r="V15" s="31">
        <v>32</v>
      </c>
      <c r="W15" s="31">
        <v>30</v>
      </c>
      <c r="X15" s="1">
        <v>32</v>
      </c>
      <c r="Y15" s="2">
        <v>74</v>
      </c>
      <c r="Z15" s="2">
        <v>46</v>
      </c>
      <c r="AA15" s="2">
        <v>51</v>
      </c>
      <c r="AB15" s="2">
        <v>26</v>
      </c>
      <c r="AC15" s="2">
        <v>21</v>
      </c>
      <c r="AD15" s="2">
        <v>32</v>
      </c>
      <c r="AE15" s="2">
        <v>30</v>
      </c>
      <c r="AF15" s="2">
        <v>32</v>
      </c>
      <c r="AG15" s="31">
        <v>74</v>
      </c>
      <c r="AH15" s="31">
        <v>46</v>
      </c>
      <c r="AI15" s="31">
        <v>107</v>
      </c>
      <c r="AJ15" s="31">
        <v>120</v>
      </c>
      <c r="AK15" s="31">
        <v>78</v>
      </c>
      <c r="AL15" s="31">
        <v>37</v>
      </c>
      <c r="AM15" s="31">
        <v>27</v>
      </c>
      <c r="AN15" s="31">
        <v>23</v>
      </c>
      <c r="AO15" s="31">
        <v>100</v>
      </c>
      <c r="AP15" s="2">
        <v>4</v>
      </c>
      <c r="AQ15" s="2" t="s">
        <v>145</v>
      </c>
      <c r="AS15" s="4" t="s">
        <v>162</v>
      </c>
      <c r="AT15" s="4" t="s">
        <v>162</v>
      </c>
    </row>
    <row r="16" spans="1:1013" ht="24.75" customHeight="1" x14ac:dyDescent="0.25">
      <c r="A16" s="41" t="s">
        <v>141</v>
      </c>
      <c r="B16" s="47" t="s">
        <v>136</v>
      </c>
      <c r="C16" s="42" t="s">
        <v>118</v>
      </c>
      <c r="D16" s="48">
        <v>42</v>
      </c>
      <c r="E16" s="49">
        <v>58</v>
      </c>
      <c r="F16" s="39" t="s">
        <v>119</v>
      </c>
      <c r="G16" s="39" t="s">
        <v>46</v>
      </c>
      <c r="H16" s="12" t="s">
        <v>34</v>
      </c>
      <c r="I16" s="31">
        <v>47</v>
      </c>
      <c r="J16" s="31">
        <v>57</v>
      </c>
      <c r="K16" s="31">
        <v>20</v>
      </c>
      <c r="L16" s="31">
        <v>15</v>
      </c>
      <c r="M16" s="31">
        <v>112</v>
      </c>
      <c r="N16" s="31">
        <v>103</v>
      </c>
      <c r="O16" s="31">
        <v>115</v>
      </c>
      <c r="P16" s="31">
        <v>73</v>
      </c>
      <c r="Q16" s="31">
        <v>43</v>
      </c>
      <c r="R16" s="31">
        <v>47</v>
      </c>
      <c r="S16" s="31">
        <v>58</v>
      </c>
      <c r="T16" s="31">
        <v>19</v>
      </c>
      <c r="U16" s="31">
        <v>13</v>
      </c>
      <c r="V16" s="31">
        <v>29</v>
      </c>
      <c r="W16" s="31">
        <v>27</v>
      </c>
      <c r="X16" s="1">
        <v>29</v>
      </c>
      <c r="Y16" s="2">
        <v>72</v>
      </c>
      <c r="Z16" s="2">
        <v>43</v>
      </c>
      <c r="AA16" s="2">
        <v>47</v>
      </c>
      <c r="AB16" s="2">
        <v>24</v>
      </c>
      <c r="AC16" s="2">
        <v>19</v>
      </c>
      <c r="AD16" s="2">
        <v>29</v>
      </c>
      <c r="AE16" s="2">
        <v>27</v>
      </c>
      <c r="AF16" s="2">
        <v>29</v>
      </c>
      <c r="AG16" s="31">
        <v>72</v>
      </c>
      <c r="AH16" s="31">
        <v>43</v>
      </c>
      <c r="AI16" s="31">
        <v>95</v>
      </c>
      <c r="AJ16" s="31">
        <v>112</v>
      </c>
      <c r="AK16" s="31">
        <v>71</v>
      </c>
      <c r="AL16" s="31">
        <v>35</v>
      </c>
      <c r="AM16" s="31">
        <v>26</v>
      </c>
      <c r="AN16" s="31">
        <v>22</v>
      </c>
      <c r="AO16" s="31">
        <v>94</v>
      </c>
      <c r="AP16" s="2">
        <v>4</v>
      </c>
      <c r="AQ16" s="2" t="s">
        <v>145</v>
      </c>
      <c r="AS16" s="4" t="s">
        <v>162</v>
      </c>
      <c r="AT16" s="4" t="s">
        <v>162</v>
      </c>
    </row>
    <row r="17" spans="1:1013" ht="24.75" customHeight="1" x14ac:dyDescent="0.25">
      <c r="A17" s="41" t="s">
        <v>142</v>
      </c>
      <c r="B17" s="47" t="s">
        <v>137</v>
      </c>
      <c r="C17" s="42" t="s">
        <v>118</v>
      </c>
      <c r="D17" s="48">
        <v>43</v>
      </c>
      <c r="E17" s="49">
        <v>60</v>
      </c>
      <c r="F17" s="39" t="s">
        <v>119</v>
      </c>
      <c r="G17" s="39" t="s">
        <v>46</v>
      </c>
      <c r="H17" s="12" t="s">
        <v>34</v>
      </c>
      <c r="I17" s="31">
        <v>48</v>
      </c>
      <c r="J17" s="31">
        <v>62</v>
      </c>
      <c r="K17" s="31">
        <v>20</v>
      </c>
      <c r="L17" s="31">
        <v>15</v>
      </c>
      <c r="M17" s="31">
        <v>112</v>
      </c>
      <c r="N17" s="31">
        <v>105</v>
      </c>
      <c r="O17" s="31">
        <v>114</v>
      </c>
      <c r="P17" s="31">
        <v>72</v>
      </c>
      <c r="Q17" s="31">
        <v>43</v>
      </c>
      <c r="R17" s="31">
        <v>48</v>
      </c>
      <c r="S17" s="31">
        <v>63</v>
      </c>
      <c r="T17" s="31">
        <v>19</v>
      </c>
      <c r="U17" s="31">
        <v>13</v>
      </c>
      <c r="V17" s="31">
        <v>30</v>
      </c>
      <c r="W17" s="31">
        <v>27</v>
      </c>
      <c r="X17" s="1">
        <v>30</v>
      </c>
      <c r="Y17" s="2">
        <v>71</v>
      </c>
      <c r="Z17" s="2">
        <v>43</v>
      </c>
      <c r="AA17" s="2">
        <v>48</v>
      </c>
      <c r="AB17" s="2">
        <v>26</v>
      </c>
      <c r="AC17" s="2">
        <v>19</v>
      </c>
      <c r="AD17" s="2">
        <v>30</v>
      </c>
      <c r="AE17" s="2">
        <v>27</v>
      </c>
      <c r="AF17" s="2">
        <v>30</v>
      </c>
      <c r="AG17" s="31">
        <v>71</v>
      </c>
      <c r="AH17" s="31">
        <v>43</v>
      </c>
      <c r="AI17" s="31">
        <v>97</v>
      </c>
      <c r="AJ17" s="31">
        <v>110</v>
      </c>
      <c r="AK17" s="31">
        <v>72</v>
      </c>
      <c r="AL17" s="31">
        <v>36</v>
      </c>
      <c r="AM17" s="31">
        <v>27</v>
      </c>
      <c r="AN17" s="31">
        <v>22</v>
      </c>
      <c r="AO17" s="31">
        <v>95</v>
      </c>
      <c r="AP17" s="2">
        <v>4</v>
      </c>
      <c r="AQ17" s="2" t="s">
        <v>145</v>
      </c>
      <c r="AS17" s="4" t="s">
        <v>162</v>
      </c>
      <c r="AT17" s="4" t="s">
        <v>162</v>
      </c>
    </row>
    <row r="18" spans="1:1013" ht="24.75" customHeight="1" x14ac:dyDescent="0.25">
      <c r="A18" s="41" t="s">
        <v>143</v>
      </c>
      <c r="B18" s="47" t="s">
        <v>138</v>
      </c>
      <c r="C18" s="42" t="s">
        <v>118</v>
      </c>
      <c r="D18" s="48">
        <v>45</v>
      </c>
      <c r="E18" s="49">
        <v>60</v>
      </c>
      <c r="F18" s="39" t="s">
        <v>119</v>
      </c>
      <c r="G18" s="39" t="s">
        <v>46</v>
      </c>
      <c r="H18" s="12" t="s">
        <v>33</v>
      </c>
      <c r="I18" s="31">
        <v>52</v>
      </c>
      <c r="J18" s="31">
        <v>64</v>
      </c>
      <c r="K18" s="31">
        <v>21</v>
      </c>
      <c r="L18" s="31">
        <v>16</v>
      </c>
      <c r="M18" s="31">
        <v>122</v>
      </c>
      <c r="N18" s="31">
        <v>118</v>
      </c>
      <c r="O18" s="31">
        <v>127</v>
      </c>
      <c r="P18" s="31">
        <v>78</v>
      </c>
      <c r="Q18" s="31">
        <v>46</v>
      </c>
      <c r="R18" s="31">
        <v>52</v>
      </c>
      <c r="S18" s="31">
        <v>65</v>
      </c>
      <c r="T18" s="31">
        <v>20</v>
      </c>
      <c r="U18" s="31">
        <v>13</v>
      </c>
      <c r="V18" s="31">
        <v>31</v>
      </c>
      <c r="W18" s="31">
        <v>29</v>
      </c>
      <c r="X18" s="1">
        <v>31</v>
      </c>
      <c r="Y18" s="2">
        <v>77</v>
      </c>
      <c r="Z18" s="2">
        <v>46</v>
      </c>
      <c r="AA18" s="2">
        <v>52</v>
      </c>
      <c r="AB18" s="2">
        <v>26</v>
      </c>
      <c r="AC18" s="2">
        <v>20</v>
      </c>
      <c r="AD18" s="2">
        <v>31</v>
      </c>
      <c r="AE18" s="2">
        <v>29</v>
      </c>
      <c r="AF18" s="2">
        <v>31</v>
      </c>
      <c r="AG18" s="31">
        <v>77</v>
      </c>
      <c r="AH18" s="31">
        <v>46</v>
      </c>
      <c r="AI18" s="31">
        <v>106</v>
      </c>
      <c r="AJ18" s="31">
        <v>120</v>
      </c>
      <c r="AK18" s="31">
        <v>77</v>
      </c>
      <c r="AL18" s="31">
        <v>38</v>
      </c>
      <c r="AM18" s="31">
        <v>28</v>
      </c>
      <c r="AN18" s="31">
        <v>22</v>
      </c>
      <c r="AO18" s="31">
        <v>106</v>
      </c>
      <c r="AP18" s="2">
        <v>4</v>
      </c>
      <c r="AQ18" s="2" t="s">
        <v>145</v>
      </c>
      <c r="AS18" s="4" t="s">
        <v>162</v>
      </c>
      <c r="AT18" s="4" t="s">
        <v>162</v>
      </c>
    </row>
    <row r="19" spans="1:1013" ht="24.75" customHeight="1" x14ac:dyDescent="0.25">
      <c r="A19" s="41" t="s">
        <v>144</v>
      </c>
      <c r="B19" s="47" t="s">
        <v>139</v>
      </c>
      <c r="C19" s="42" t="s">
        <v>118</v>
      </c>
      <c r="D19" s="48">
        <v>40</v>
      </c>
      <c r="E19" s="49">
        <v>55</v>
      </c>
      <c r="F19" s="39" t="s">
        <v>119</v>
      </c>
      <c r="G19" s="39" t="s">
        <v>46</v>
      </c>
      <c r="H19" s="12" t="s">
        <v>35</v>
      </c>
      <c r="I19" s="31">
        <v>43</v>
      </c>
      <c r="J19" s="31">
        <v>55</v>
      </c>
      <c r="K19" s="31">
        <v>19</v>
      </c>
      <c r="L19" s="31">
        <v>14</v>
      </c>
      <c r="M19" s="31">
        <v>98</v>
      </c>
      <c r="N19" s="31">
        <v>90</v>
      </c>
      <c r="O19" s="31">
        <v>102</v>
      </c>
      <c r="P19" s="31">
        <v>67</v>
      </c>
      <c r="Q19" s="31">
        <v>39</v>
      </c>
      <c r="R19" s="31">
        <v>43</v>
      </c>
      <c r="S19" s="31">
        <v>56</v>
      </c>
      <c r="T19" s="31">
        <v>17</v>
      </c>
      <c r="U19" s="31">
        <v>12</v>
      </c>
      <c r="V19" s="31">
        <v>27</v>
      </c>
      <c r="W19" s="31">
        <v>24</v>
      </c>
      <c r="X19" s="1">
        <v>27</v>
      </c>
      <c r="Y19" s="2">
        <v>67</v>
      </c>
      <c r="Z19" s="2">
        <v>39</v>
      </c>
      <c r="AA19" s="2">
        <v>43</v>
      </c>
      <c r="AB19" s="2">
        <v>23</v>
      </c>
      <c r="AC19" s="2">
        <v>17</v>
      </c>
      <c r="AD19" s="2">
        <v>27</v>
      </c>
      <c r="AE19" s="2">
        <v>24</v>
      </c>
      <c r="AF19" s="2">
        <v>27</v>
      </c>
      <c r="AG19" s="31">
        <v>67</v>
      </c>
      <c r="AH19" s="31">
        <v>39</v>
      </c>
      <c r="AI19" s="31">
        <v>82</v>
      </c>
      <c r="AJ19" s="31">
        <v>102</v>
      </c>
      <c r="AK19" s="31">
        <v>64</v>
      </c>
      <c r="AL19" s="31">
        <v>32</v>
      </c>
      <c r="AM19" s="31">
        <v>24</v>
      </c>
      <c r="AN19" s="31">
        <v>19</v>
      </c>
      <c r="AO19" s="31">
        <v>93</v>
      </c>
      <c r="AP19" s="2">
        <v>4</v>
      </c>
      <c r="AQ19" s="2" t="s">
        <v>145</v>
      </c>
      <c r="AS19" s="4" t="s">
        <v>162</v>
      </c>
      <c r="AT19" s="4" t="s">
        <v>162</v>
      </c>
    </row>
    <row r="20" spans="1:1013" ht="24.75" customHeight="1" x14ac:dyDescent="0.25">
      <c r="A20" s="41" t="s">
        <v>150</v>
      </c>
      <c r="B20" s="47" t="s">
        <v>149</v>
      </c>
      <c r="C20" s="42" t="s">
        <v>118</v>
      </c>
      <c r="D20" s="48">
        <v>41</v>
      </c>
      <c r="E20" s="50">
        <v>58</v>
      </c>
      <c r="F20" s="39" t="s">
        <v>119</v>
      </c>
      <c r="G20" s="36" t="s">
        <v>46</v>
      </c>
      <c r="H20" s="34" t="s">
        <v>34</v>
      </c>
      <c r="I20" s="34">
        <v>46</v>
      </c>
      <c r="J20" s="34">
        <v>61</v>
      </c>
      <c r="K20" s="34">
        <v>19</v>
      </c>
      <c r="L20" s="34">
        <v>14</v>
      </c>
      <c r="M20" s="34">
        <v>102</v>
      </c>
      <c r="N20" s="34">
        <v>96</v>
      </c>
      <c r="O20" s="34">
        <v>108</v>
      </c>
      <c r="P20" s="35">
        <v>75</v>
      </c>
      <c r="Q20" s="35">
        <v>42</v>
      </c>
      <c r="R20" s="35">
        <v>46</v>
      </c>
      <c r="S20" s="35">
        <v>62</v>
      </c>
      <c r="T20" s="35">
        <v>17</v>
      </c>
      <c r="U20" s="35">
        <v>12</v>
      </c>
      <c r="V20" s="35">
        <v>28</v>
      </c>
      <c r="W20" s="35">
        <v>26</v>
      </c>
      <c r="X20" s="34">
        <v>28</v>
      </c>
      <c r="Y20" s="34">
        <v>74</v>
      </c>
      <c r="Z20" s="34">
        <v>42</v>
      </c>
      <c r="AA20" s="34">
        <v>46</v>
      </c>
      <c r="AB20" s="34">
        <v>24</v>
      </c>
      <c r="AC20" s="34">
        <v>17</v>
      </c>
      <c r="AD20" s="34">
        <v>28</v>
      </c>
      <c r="AE20" s="34">
        <v>26</v>
      </c>
      <c r="AF20" s="34">
        <v>28</v>
      </c>
      <c r="AG20" s="34">
        <v>74</v>
      </c>
      <c r="AH20" s="34">
        <v>42</v>
      </c>
      <c r="AI20" s="34">
        <v>86</v>
      </c>
      <c r="AJ20" s="34">
        <v>102</v>
      </c>
      <c r="AK20" s="34">
        <v>66</v>
      </c>
      <c r="AL20" s="34">
        <v>33</v>
      </c>
      <c r="AM20" s="34">
        <v>24</v>
      </c>
      <c r="AN20" s="34">
        <v>19</v>
      </c>
      <c r="AO20" s="34">
        <v>98</v>
      </c>
      <c r="AP20" s="33">
        <v>2</v>
      </c>
      <c r="AQ20" s="33" t="s">
        <v>146</v>
      </c>
      <c r="AR20" s="33"/>
      <c r="AS20" s="4" t="s">
        <v>162</v>
      </c>
      <c r="AT20" s="4" t="s">
        <v>162</v>
      </c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/>
      <c r="HY20" s="33"/>
      <c r="HZ20" s="33"/>
      <c r="IA20" s="33"/>
      <c r="IB20" s="33"/>
      <c r="IC20" s="33"/>
      <c r="ID20" s="33"/>
      <c r="IE20" s="33"/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33"/>
      <c r="QP20" s="33"/>
      <c r="QQ20" s="33"/>
      <c r="QR20" s="33"/>
      <c r="QS20" s="33"/>
      <c r="QT20" s="33"/>
      <c r="QU20" s="33"/>
      <c r="QV20" s="33"/>
      <c r="QW20" s="33"/>
      <c r="QX20" s="33"/>
      <c r="QY20" s="33"/>
      <c r="QZ20" s="33"/>
      <c r="RA20" s="33"/>
      <c r="RB20" s="33"/>
      <c r="RC20" s="33"/>
      <c r="RD20" s="33"/>
      <c r="RE20" s="33"/>
      <c r="RF20" s="33"/>
      <c r="RG20" s="33"/>
      <c r="RH20" s="33"/>
      <c r="RI20" s="33"/>
      <c r="RJ20" s="33"/>
      <c r="RK20" s="33"/>
      <c r="RL20" s="33"/>
      <c r="RM20" s="33"/>
      <c r="RN20" s="33"/>
      <c r="RO20" s="33"/>
      <c r="RP20" s="33"/>
      <c r="RQ20" s="33"/>
      <c r="RR20" s="33"/>
      <c r="RS20" s="33"/>
      <c r="RT20" s="33"/>
      <c r="RU20" s="33"/>
      <c r="RV20" s="33"/>
      <c r="RW20" s="33"/>
      <c r="RX20" s="33"/>
      <c r="RY20" s="33"/>
      <c r="RZ20" s="33"/>
      <c r="SA20" s="33"/>
      <c r="SB20" s="33"/>
      <c r="SC20" s="33"/>
      <c r="SD20" s="33"/>
      <c r="SE20" s="33"/>
      <c r="SF20" s="33"/>
      <c r="SG20" s="33"/>
      <c r="SH20" s="33"/>
      <c r="SI20" s="33"/>
      <c r="SJ20" s="33"/>
      <c r="SK20" s="33"/>
      <c r="SL20" s="33"/>
      <c r="SM20" s="33"/>
      <c r="SN20" s="33"/>
      <c r="SO20" s="33"/>
      <c r="SP20" s="33"/>
      <c r="SQ20" s="33"/>
      <c r="SR20" s="33"/>
      <c r="SS20" s="33"/>
      <c r="ST20" s="33"/>
      <c r="SU20" s="33"/>
      <c r="SV20" s="33"/>
      <c r="SW20" s="33"/>
      <c r="SX20" s="33"/>
      <c r="SY20" s="33"/>
      <c r="SZ20" s="33"/>
      <c r="TA20" s="33"/>
      <c r="TB20" s="33"/>
      <c r="TC20" s="33"/>
      <c r="TD20" s="33"/>
      <c r="TE20" s="33"/>
      <c r="TF20" s="33"/>
      <c r="TG20" s="33"/>
      <c r="TH20" s="33"/>
      <c r="TI20" s="33"/>
      <c r="TJ20" s="33"/>
      <c r="TK20" s="33"/>
      <c r="TL20" s="33"/>
      <c r="TM20" s="33"/>
      <c r="TN20" s="33"/>
      <c r="TO20" s="33"/>
      <c r="TP20" s="33"/>
      <c r="TQ20" s="33"/>
      <c r="TR20" s="33"/>
      <c r="TS20" s="33"/>
      <c r="TT20" s="33"/>
      <c r="TU20" s="33"/>
      <c r="TV20" s="33"/>
      <c r="TW20" s="33"/>
      <c r="TX20" s="33"/>
      <c r="TY20" s="33"/>
      <c r="TZ20" s="33"/>
      <c r="UA20" s="33"/>
      <c r="UB20" s="33"/>
      <c r="UC20" s="33"/>
      <c r="UD20" s="33"/>
      <c r="UE20" s="33"/>
      <c r="UF20" s="33"/>
      <c r="UG20" s="33"/>
      <c r="UH20" s="33"/>
      <c r="UI20" s="33"/>
      <c r="UJ20" s="33"/>
      <c r="UK20" s="33"/>
      <c r="UL20" s="33"/>
      <c r="UM20" s="33"/>
      <c r="UN20" s="33"/>
      <c r="UO20" s="33"/>
      <c r="UP20" s="33"/>
      <c r="UQ20" s="33"/>
      <c r="UR20" s="33"/>
      <c r="US20" s="33"/>
      <c r="UT20" s="33"/>
      <c r="UU20" s="33"/>
      <c r="UV20" s="33"/>
      <c r="UW20" s="33"/>
      <c r="UX20" s="33"/>
      <c r="UY20" s="33"/>
      <c r="UZ20" s="33"/>
      <c r="VA20" s="33"/>
      <c r="VB20" s="33"/>
      <c r="VC20" s="33"/>
      <c r="VD20" s="33"/>
      <c r="VE20" s="33"/>
      <c r="VF20" s="33"/>
      <c r="VG20" s="33"/>
      <c r="VH20" s="33"/>
      <c r="VI20" s="33"/>
      <c r="VJ20" s="33"/>
      <c r="VK20" s="33"/>
      <c r="VL20" s="33"/>
      <c r="VM20" s="33"/>
      <c r="VN20" s="33"/>
      <c r="VO20" s="33"/>
      <c r="VP20" s="33"/>
      <c r="VQ20" s="33"/>
      <c r="VR20" s="33"/>
      <c r="VS20" s="33"/>
      <c r="VT20" s="33"/>
      <c r="VU20" s="33"/>
      <c r="VV20" s="33"/>
      <c r="VW20" s="33"/>
      <c r="VX20" s="33"/>
      <c r="VY20" s="33"/>
      <c r="VZ20" s="33"/>
      <c r="WA20" s="33"/>
      <c r="WB20" s="33"/>
      <c r="WC20" s="33"/>
      <c r="WD20" s="33"/>
      <c r="WE20" s="33"/>
      <c r="WF20" s="33"/>
      <c r="WG20" s="33"/>
      <c r="WH20" s="33"/>
      <c r="WI20" s="33"/>
      <c r="WJ20" s="33"/>
      <c r="WK20" s="33"/>
      <c r="WL20" s="33"/>
      <c r="WM20" s="33"/>
      <c r="WN20" s="33"/>
      <c r="WO20" s="33"/>
      <c r="WP20" s="33"/>
      <c r="WQ20" s="33"/>
      <c r="WR20" s="33"/>
      <c r="WS20" s="33"/>
      <c r="WT20" s="33"/>
      <c r="WU20" s="33"/>
      <c r="WV20" s="33"/>
      <c r="WW20" s="33"/>
      <c r="WX20" s="33"/>
      <c r="WY20" s="33"/>
      <c r="WZ20" s="33"/>
      <c r="XA20" s="33"/>
      <c r="XB20" s="33"/>
      <c r="XC20" s="33"/>
      <c r="XD20" s="33"/>
      <c r="XE20" s="33"/>
      <c r="XF20" s="33"/>
      <c r="XG20" s="33"/>
      <c r="XH20" s="33"/>
      <c r="XI20" s="33"/>
      <c r="XJ20" s="33"/>
      <c r="XK20" s="33"/>
      <c r="XL20" s="33"/>
      <c r="XM20" s="33"/>
      <c r="XN20" s="33"/>
      <c r="XO20" s="33"/>
      <c r="XP20" s="33"/>
      <c r="XQ20" s="33"/>
      <c r="XR20" s="33"/>
      <c r="XS20" s="33"/>
      <c r="XT20" s="33"/>
      <c r="XU20" s="33"/>
      <c r="XV20" s="33"/>
      <c r="XW20" s="33"/>
      <c r="XX20" s="33"/>
      <c r="XY20" s="33"/>
      <c r="XZ20" s="33"/>
      <c r="YA20" s="33"/>
      <c r="YB20" s="33"/>
      <c r="YC20" s="33"/>
      <c r="YD20" s="33"/>
      <c r="YE20" s="33"/>
      <c r="YF20" s="33"/>
      <c r="YG20" s="33"/>
      <c r="YH20" s="33"/>
      <c r="YI20" s="33"/>
      <c r="YJ20" s="33"/>
      <c r="YK20" s="33"/>
      <c r="YL20" s="33"/>
      <c r="YM20" s="33"/>
      <c r="YN20" s="33"/>
      <c r="YO20" s="33"/>
      <c r="YP20" s="33"/>
      <c r="YQ20" s="33"/>
      <c r="YR20" s="33"/>
      <c r="YS20" s="33"/>
      <c r="YT20" s="33"/>
      <c r="YU20" s="33"/>
      <c r="YV20" s="33"/>
      <c r="YW20" s="33"/>
      <c r="YX20" s="33"/>
      <c r="YY20" s="33"/>
      <c r="YZ20" s="33"/>
      <c r="ZA20" s="33"/>
      <c r="ZB20" s="33"/>
      <c r="ZC20" s="33"/>
      <c r="ZD20" s="33"/>
      <c r="ZE20" s="33"/>
      <c r="ZF20" s="33"/>
      <c r="ZG20" s="33"/>
      <c r="ZH20" s="33"/>
      <c r="ZI20" s="33"/>
      <c r="ZJ20" s="33"/>
      <c r="ZK20" s="33"/>
      <c r="ZL20" s="33"/>
      <c r="ZM20" s="33"/>
      <c r="ZN20" s="33"/>
      <c r="ZO20" s="33"/>
      <c r="ZP20" s="33"/>
      <c r="ZQ20" s="33"/>
      <c r="ZR20" s="33"/>
      <c r="ZS20" s="33"/>
      <c r="ZT20" s="33"/>
      <c r="ZU20" s="33"/>
      <c r="ZV20" s="33"/>
      <c r="ZW20" s="33"/>
      <c r="ZX20" s="33"/>
      <c r="ZY20" s="33"/>
      <c r="ZZ20" s="33"/>
      <c r="AAA20" s="33"/>
      <c r="AAB20" s="33"/>
      <c r="AAC20" s="33"/>
      <c r="AAD20" s="33"/>
      <c r="AAE20" s="33"/>
      <c r="AAF20" s="33"/>
      <c r="AAG20" s="33"/>
      <c r="AAH20" s="33"/>
      <c r="AAI20" s="33"/>
      <c r="AAJ20" s="33"/>
      <c r="AAK20" s="33"/>
      <c r="AAL20" s="33"/>
      <c r="AAM20" s="33"/>
      <c r="AAN20" s="33"/>
      <c r="AAO20" s="33"/>
      <c r="AAP20" s="33"/>
      <c r="AAQ20" s="33"/>
      <c r="AAR20" s="33"/>
      <c r="AAS20" s="33"/>
      <c r="AAT20" s="33"/>
      <c r="AAU20" s="33"/>
      <c r="AAV20" s="33"/>
      <c r="AAW20" s="33"/>
      <c r="AAX20" s="33"/>
      <c r="AAY20" s="33"/>
      <c r="AAZ20" s="33"/>
      <c r="ABA20" s="33"/>
      <c r="ABB20" s="33"/>
      <c r="ABC20" s="33"/>
      <c r="ABD20" s="33"/>
      <c r="ABE20" s="33"/>
      <c r="ABF20" s="33"/>
      <c r="ABG20" s="33"/>
      <c r="ABH20" s="33"/>
      <c r="ABI20" s="33"/>
      <c r="ABJ20" s="33"/>
      <c r="ABK20" s="33"/>
      <c r="ABL20" s="33"/>
      <c r="ABM20" s="33"/>
      <c r="ABN20" s="33"/>
      <c r="ABO20" s="33"/>
      <c r="ABP20" s="33"/>
      <c r="ABQ20" s="33"/>
      <c r="ABR20" s="33"/>
      <c r="ABS20" s="33"/>
      <c r="ABT20" s="33"/>
      <c r="ABU20" s="33"/>
      <c r="ABV20" s="33"/>
      <c r="ABW20" s="33"/>
      <c r="ABX20" s="33"/>
      <c r="ABY20" s="33"/>
      <c r="ABZ20" s="33"/>
      <c r="ACA20" s="33"/>
      <c r="ACB20" s="33"/>
      <c r="ACC20" s="33"/>
      <c r="ACD20" s="33"/>
      <c r="ACE20" s="33"/>
      <c r="ACF20" s="33"/>
      <c r="ACG20" s="33"/>
      <c r="ACH20" s="33"/>
      <c r="ACI20" s="33"/>
      <c r="ACJ20" s="33"/>
      <c r="ACK20" s="33"/>
      <c r="ACL20" s="33"/>
      <c r="ACM20" s="33"/>
      <c r="ACN20" s="33"/>
      <c r="ACO20" s="33"/>
      <c r="ACP20" s="33"/>
      <c r="ACQ20" s="33"/>
      <c r="ACR20" s="33"/>
      <c r="ACS20" s="33"/>
      <c r="ACT20" s="33"/>
      <c r="ACU20" s="33"/>
      <c r="ACV20" s="33"/>
      <c r="ACW20" s="33"/>
      <c r="ACX20" s="33"/>
      <c r="ACY20" s="33"/>
      <c r="ACZ20" s="33"/>
      <c r="ADA20" s="33"/>
      <c r="ADB20" s="33"/>
      <c r="ADC20" s="33"/>
      <c r="ADD20" s="33"/>
      <c r="ADE20" s="33"/>
      <c r="ADF20" s="33"/>
      <c r="ADG20" s="33"/>
      <c r="ADH20" s="33"/>
      <c r="ADI20" s="33"/>
      <c r="ADJ20" s="33"/>
      <c r="ADK20" s="33"/>
      <c r="ADL20" s="33"/>
      <c r="ADM20" s="33"/>
      <c r="ADN20" s="33"/>
      <c r="ADO20" s="33"/>
      <c r="ADP20" s="33"/>
      <c r="ADQ20" s="33"/>
      <c r="ADR20" s="33"/>
      <c r="ADS20" s="33"/>
      <c r="ADT20" s="33"/>
      <c r="ADU20" s="33"/>
      <c r="ADV20" s="33"/>
      <c r="ADW20" s="33"/>
      <c r="ADX20" s="33"/>
      <c r="ADY20" s="33"/>
      <c r="ADZ20" s="33"/>
      <c r="AEA20" s="33"/>
      <c r="AEB20" s="33"/>
      <c r="AEC20" s="33"/>
      <c r="AED20" s="33"/>
      <c r="AEE20" s="33"/>
      <c r="AEF20" s="33"/>
      <c r="AEG20" s="33"/>
      <c r="AEH20" s="33"/>
      <c r="AEI20" s="33"/>
      <c r="AEJ20" s="33"/>
      <c r="AEK20" s="33"/>
      <c r="AEL20" s="33"/>
      <c r="AEM20" s="33"/>
      <c r="AEN20" s="33"/>
      <c r="AEO20" s="33"/>
      <c r="AEP20" s="33"/>
      <c r="AEQ20" s="33"/>
      <c r="AER20" s="33"/>
      <c r="AES20" s="33"/>
      <c r="AET20" s="33"/>
      <c r="AEU20" s="33"/>
      <c r="AEV20" s="33"/>
      <c r="AEW20" s="33"/>
      <c r="AEX20" s="33"/>
      <c r="AEY20" s="33"/>
      <c r="AEZ20" s="33"/>
      <c r="AFA20" s="33"/>
      <c r="AFB20" s="33"/>
      <c r="AFC20" s="33"/>
      <c r="AFD20" s="33"/>
      <c r="AFE20" s="33"/>
      <c r="AFF20" s="33"/>
      <c r="AFG20" s="33"/>
      <c r="AFH20" s="33"/>
      <c r="AFI20" s="33"/>
      <c r="AFJ20" s="33"/>
      <c r="AFK20" s="33"/>
      <c r="AFL20" s="33"/>
      <c r="AFM20" s="33"/>
      <c r="AFN20" s="33"/>
      <c r="AFO20" s="33"/>
      <c r="AFP20" s="33"/>
      <c r="AFQ20" s="33"/>
      <c r="AFR20" s="33"/>
      <c r="AFS20" s="33"/>
      <c r="AFT20" s="33"/>
      <c r="AFU20" s="33"/>
      <c r="AFV20" s="33"/>
      <c r="AFW20" s="33"/>
      <c r="AFX20" s="33"/>
      <c r="AFY20" s="33"/>
      <c r="AFZ20" s="33"/>
      <c r="AGA20" s="33"/>
      <c r="AGB20" s="33"/>
      <c r="AGC20" s="33"/>
      <c r="AGD20" s="33"/>
      <c r="AGE20" s="33"/>
      <c r="AGF20" s="33"/>
      <c r="AGG20" s="33"/>
      <c r="AGH20" s="33"/>
      <c r="AGI20" s="33"/>
      <c r="AGJ20" s="33"/>
      <c r="AGK20" s="33"/>
      <c r="AGL20" s="33"/>
      <c r="AGM20" s="33"/>
      <c r="AGN20" s="33"/>
      <c r="AGO20" s="33"/>
      <c r="AGP20" s="33"/>
      <c r="AGQ20" s="33"/>
      <c r="AGR20" s="33"/>
      <c r="AGS20" s="33"/>
      <c r="AGT20" s="33"/>
      <c r="AGU20" s="33"/>
      <c r="AGV20" s="33"/>
      <c r="AGW20" s="33"/>
      <c r="AGX20" s="33"/>
      <c r="AGY20" s="33"/>
      <c r="AGZ20" s="33"/>
      <c r="AHA20" s="33"/>
      <c r="AHB20" s="33"/>
      <c r="AHC20" s="33"/>
      <c r="AHD20" s="33"/>
      <c r="AHE20" s="33"/>
      <c r="AHF20" s="33"/>
      <c r="AHG20" s="33"/>
      <c r="AHH20" s="33"/>
      <c r="AHI20" s="33"/>
      <c r="AHJ20" s="33"/>
      <c r="AHK20" s="33"/>
      <c r="AHL20" s="33"/>
      <c r="AHM20" s="33"/>
      <c r="AHN20" s="33"/>
      <c r="AHO20" s="33"/>
      <c r="AHP20" s="33"/>
      <c r="AHQ20" s="33"/>
      <c r="AHR20" s="33"/>
      <c r="AHS20" s="33"/>
      <c r="AHT20" s="33"/>
      <c r="AHU20" s="33"/>
      <c r="AHV20" s="33"/>
      <c r="AHW20" s="33"/>
      <c r="AHX20" s="33"/>
      <c r="AHY20" s="33"/>
      <c r="AHZ20" s="33"/>
      <c r="AIA20" s="33"/>
      <c r="AIB20" s="33"/>
      <c r="AIC20" s="33"/>
      <c r="AID20" s="33"/>
      <c r="AIE20" s="33"/>
      <c r="AIF20" s="33"/>
      <c r="AIG20" s="33"/>
      <c r="AIH20" s="33"/>
      <c r="AII20" s="33"/>
      <c r="AIJ20" s="33"/>
      <c r="AIK20" s="33"/>
      <c r="AIL20" s="33"/>
      <c r="AIM20" s="33"/>
      <c r="AIN20" s="33"/>
      <c r="AIO20" s="33"/>
      <c r="AIP20" s="33"/>
      <c r="AIQ20" s="33"/>
      <c r="AIR20" s="33"/>
      <c r="AIS20" s="33"/>
      <c r="AIT20" s="33"/>
      <c r="AIU20" s="33"/>
      <c r="AIV20" s="33"/>
      <c r="AIW20" s="33"/>
      <c r="AIX20" s="33"/>
      <c r="AIY20" s="33"/>
      <c r="AIZ20" s="33"/>
      <c r="AJA20" s="33"/>
      <c r="AJB20" s="33"/>
      <c r="AJC20" s="33"/>
      <c r="AJD20" s="33"/>
      <c r="AJE20" s="33"/>
      <c r="AJF20" s="33"/>
      <c r="AJG20" s="33"/>
      <c r="AJH20" s="33"/>
      <c r="AJI20" s="33"/>
      <c r="AJJ20" s="33"/>
      <c r="AJK20" s="33"/>
      <c r="AJL20" s="33"/>
      <c r="AJM20" s="33"/>
      <c r="AJN20" s="33"/>
      <c r="AJO20" s="33"/>
      <c r="AJP20" s="33"/>
      <c r="AJQ20" s="33"/>
      <c r="AJR20" s="33"/>
      <c r="AJS20" s="33"/>
      <c r="AJT20" s="33"/>
      <c r="AJU20" s="33"/>
      <c r="AJV20" s="33"/>
      <c r="AJW20" s="33"/>
      <c r="AJX20" s="33"/>
      <c r="AJY20" s="33"/>
      <c r="AJZ20" s="33"/>
      <c r="AKA20" s="33"/>
      <c r="AKB20" s="33"/>
      <c r="AKC20" s="33"/>
      <c r="AKD20" s="33"/>
      <c r="AKE20" s="33"/>
      <c r="AKF20" s="33"/>
      <c r="AKG20" s="33"/>
      <c r="AKH20" s="33"/>
      <c r="AKI20" s="33"/>
      <c r="AKJ20" s="33"/>
      <c r="AKK20" s="33"/>
      <c r="AKL20" s="33"/>
      <c r="AKM20" s="33"/>
      <c r="AKN20" s="33"/>
      <c r="AKO20" s="33"/>
      <c r="AKP20" s="33"/>
      <c r="AKQ20" s="33"/>
      <c r="AKR20" s="33"/>
      <c r="AKS20" s="33"/>
      <c r="AKT20" s="33"/>
      <c r="AKU20" s="33"/>
      <c r="AKV20" s="33"/>
      <c r="AKW20" s="33"/>
      <c r="AKX20" s="33"/>
      <c r="AKY20" s="33"/>
      <c r="AKZ20" s="33"/>
      <c r="ALA20" s="33"/>
      <c r="ALB20" s="33"/>
      <c r="ALC20" s="33"/>
      <c r="ALD20" s="33"/>
      <c r="ALE20" s="33"/>
      <c r="ALF20" s="33"/>
      <c r="ALG20" s="33"/>
      <c r="ALH20" s="33"/>
      <c r="ALI20" s="33"/>
      <c r="ALJ20" s="33"/>
      <c r="ALK20" s="33"/>
      <c r="ALL20" s="33"/>
      <c r="ALM20" s="33"/>
      <c r="ALN20" s="33"/>
      <c r="ALO20" s="33"/>
      <c r="ALP20" s="33"/>
      <c r="ALQ20" s="33"/>
      <c r="ALR20" s="33"/>
      <c r="ALS20" s="33"/>
      <c r="ALT20" s="33"/>
      <c r="ALU20" s="33"/>
      <c r="ALV20" s="33"/>
      <c r="ALW20" s="33"/>
      <c r="ALX20" s="33"/>
      <c r="ALY20" s="33"/>
    </row>
    <row r="21" spans="1:1013" ht="24.75" customHeight="1" x14ac:dyDescent="0.25">
      <c r="A21" s="41" t="s">
        <v>151</v>
      </c>
      <c r="B21" s="47" t="s">
        <v>148</v>
      </c>
      <c r="C21" s="42" t="s">
        <v>118</v>
      </c>
      <c r="D21" s="48">
        <v>42</v>
      </c>
      <c r="E21" s="50">
        <v>56</v>
      </c>
      <c r="F21" s="39" t="s">
        <v>119</v>
      </c>
      <c r="G21" s="36" t="s">
        <v>46</v>
      </c>
      <c r="H21" s="34" t="s">
        <v>34</v>
      </c>
      <c r="I21" s="34">
        <v>48</v>
      </c>
      <c r="J21" s="34">
        <v>63</v>
      </c>
      <c r="K21" s="34">
        <v>20</v>
      </c>
      <c r="L21" s="34">
        <v>15</v>
      </c>
      <c r="M21" s="34">
        <v>115</v>
      </c>
      <c r="N21" s="34">
        <v>108</v>
      </c>
      <c r="O21" s="34">
        <v>118</v>
      </c>
      <c r="P21" s="35">
        <v>77</v>
      </c>
      <c r="Q21" s="35">
        <v>43</v>
      </c>
      <c r="R21" s="35">
        <v>48</v>
      </c>
      <c r="S21" s="35">
        <v>64</v>
      </c>
      <c r="T21" s="35">
        <v>19</v>
      </c>
      <c r="U21" s="35">
        <v>13</v>
      </c>
      <c r="V21" s="35">
        <v>29</v>
      </c>
      <c r="W21" s="35">
        <v>28</v>
      </c>
      <c r="X21" s="34">
        <v>29</v>
      </c>
      <c r="Y21" s="34">
        <v>76</v>
      </c>
      <c r="Z21" s="34">
        <v>43</v>
      </c>
      <c r="AA21" s="34">
        <v>48</v>
      </c>
      <c r="AB21" s="34">
        <v>26</v>
      </c>
      <c r="AC21" s="34">
        <v>19</v>
      </c>
      <c r="AD21" s="34">
        <v>29</v>
      </c>
      <c r="AE21" s="34">
        <v>28</v>
      </c>
      <c r="AF21" s="34">
        <v>29</v>
      </c>
      <c r="AG21" s="34">
        <v>76</v>
      </c>
      <c r="AH21" s="34">
        <v>43</v>
      </c>
      <c r="AI21" s="34">
        <v>98</v>
      </c>
      <c r="AJ21" s="34">
        <v>115</v>
      </c>
      <c r="AK21" s="34">
        <v>72</v>
      </c>
      <c r="AL21" s="34">
        <v>37</v>
      </c>
      <c r="AM21" s="34">
        <v>29</v>
      </c>
      <c r="AN21" s="34">
        <v>23</v>
      </c>
      <c r="AO21" s="34">
        <v>103</v>
      </c>
      <c r="AP21" s="33">
        <v>2</v>
      </c>
      <c r="AQ21" s="33" t="s">
        <v>146</v>
      </c>
      <c r="AR21" s="33"/>
      <c r="AS21" s="4" t="s">
        <v>162</v>
      </c>
      <c r="AT21" s="4" t="s">
        <v>162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1" t="s">
        <v>152</v>
      </c>
      <c r="B22" s="47" t="s">
        <v>147</v>
      </c>
      <c r="C22" s="42" t="s">
        <v>118</v>
      </c>
      <c r="D22" s="48">
        <v>41</v>
      </c>
      <c r="E22" s="50">
        <v>54</v>
      </c>
      <c r="F22" s="39" t="s">
        <v>119</v>
      </c>
      <c r="G22" s="36" t="s">
        <v>46</v>
      </c>
      <c r="H22" s="34" t="s">
        <v>32</v>
      </c>
      <c r="I22" s="34">
        <v>45</v>
      </c>
      <c r="J22" s="34">
        <v>57</v>
      </c>
      <c r="K22" s="34">
        <v>18</v>
      </c>
      <c r="L22" s="34">
        <v>14</v>
      </c>
      <c r="M22" s="34">
        <v>92</v>
      </c>
      <c r="N22" s="34">
        <v>83</v>
      </c>
      <c r="O22" s="34">
        <v>102</v>
      </c>
      <c r="P22" s="35">
        <v>67</v>
      </c>
      <c r="Q22" s="35">
        <v>40</v>
      </c>
      <c r="R22" s="35">
        <v>45</v>
      </c>
      <c r="S22" s="35">
        <v>58</v>
      </c>
      <c r="T22" s="35">
        <v>16</v>
      </c>
      <c r="U22" s="35">
        <v>12</v>
      </c>
      <c r="V22" s="35">
        <v>26</v>
      </c>
      <c r="W22" s="35">
        <v>24</v>
      </c>
      <c r="X22" s="34">
        <v>26</v>
      </c>
      <c r="Y22" s="34">
        <v>67</v>
      </c>
      <c r="Z22" s="34">
        <v>40</v>
      </c>
      <c r="AA22" s="34">
        <v>45</v>
      </c>
      <c r="AB22" s="34">
        <v>23</v>
      </c>
      <c r="AC22" s="34">
        <v>17</v>
      </c>
      <c r="AD22" s="34">
        <v>26</v>
      </c>
      <c r="AE22" s="34">
        <v>24</v>
      </c>
      <c r="AF22" s="34">
        <v>26</v>
      </c>
      <c r="AG22" s="34">
        <v>67</v>
      </c>
      <c r="AH22" s="34">
        <v>40</v>
      </c>
      <c r="AI22" s="34">
        <v>76</v>
      </c>
      <c r="AJ22" s="34">
        <v>98</v>
      </c>
      <c r="AK22" s="34">
        <v>64</v>
      </c>
      <c r="AL22" s="34">
        <v>31</v>
      </c>
      <c r="AM22" s="34">
        <v>24</v>
      </c>
      <c r="AN22" s="34">
        <v>19</v>
      </c>
      <c r="AO22" s="34">
        <v>94</v>
      </c>
      <c r="AP22" s="33">
        <v>2</v>
      </c>
      <c r="AQ22" s="33" t="s">
        <v>146</v>
      </c>
      <c r="AR22" s="33"/>
      <c r="AS22" s="4" t="s">
        <v>162</v>
      </c>
      <c r="AT22" s="4" t="s">
        <v>162</v>
      </c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38" t="s">
        <v>153</v>
      </c>
      <c r="B23" s="56" t="s">
        <v>156</v>
      </c>
      <c r="C23" s="42" t="s">
        <v>118</v>
      </c>
      <c r="D23" s="43">
        <v>39</v>
      </c>
      <c r="E23" s="42">
        <v>53</v>
      </c>
      <c r="F23" s="39" t="s">
        <v>119</v>
      </c>
      <c r="G23" s="39" t="s">
        <v>46</v>
      </c>
      <c r="H23" s="57" t="s">
        <v>35</v>
      </c>
      <c r="I23" s="30">
        <v>44</v>
      </c>
      <c r="J23" s="30">
        <v>58</v>
      </c>
      <c r="K23" s="30">
        <v>18</v>
      </c>
      <c r="L23" s="30">
        <v>14</v>
      </c>
      <c r="M23" s="30">
        <v>98</v>
      </c>
      <c r="N23" s="30">
        <v>94</v>
      </c>
      <c r="O23" s="30">
        <v>104</v>
      </c>
      <c r="P23" s="30">
        <v>70</v>
      </c>
      <c r="Q23" s="30">
        <v>38</v>
      </c>
      <c r="R23" s="30">
        <v>44</v>
      </c>
      <c r="S23" s="30">
        <v>59</v>
      </c>
      <c r="T23" s="30">
        <v>16</v>
      </c>
      <c r="U23" s="30">
        <v>12</v>
      </c>
      <c r="V23" s="30">
        <v>27</v>
      </c>
      <c r="W23" s="30">
        <v>26</v>
      </c>
      <c r="X23" s="30">
        <v>27</v>
      </c>
      <c r="Y23" s="30">
        <v>69</v>
      </c>
      <c r="Z23" s="30">
        <v>38</v>
      </c>
      <c r="AA23" s="30">
        <v>44</v>
      </c>
      <c r="AB23" s="30">
        <v>23</v>
      </c>
      <c r="AC23" s="30">
        <v>16</v>
      </c>
      <c r="AD23" s="30">
        <v>27</v>
      </c>
      <c r="AE23" s="30">
        <v>26</v>
      </c>
      <c r="AF23" s="30">
        <v>27</v>
      </c>
      <c r="AG23" s="30">
        <v>70</v>
      </c>
      <c r="AH23" s="30">
        <v>38</v>
      </c>
      <c r="AI23" s="30">
        <v>83</v>
      </c>
      <c r="AJ23" s="30">
        <v>102</v>
      </c>
      <c r="AK23" s="30">
        <v>64</v>
      </c>
      <c r="AL23" s="30">
        <v>32</v>
      </c>
      <c r="AM23" s="30">
        <v>22</v>
      </c>
      <c r="AN23" s="30">
        <v>18</v>
      </c>
      <c r="AO23" s="30">
        <v>89</v>
      </c>
      <c r="AP23" s="2">
        <v>3</v>
      </c>
      <c r="AQ23" s="4" t="s">
        <v>163</v>
      </c>
    </row>
    <row r="24" spans="1:1013" ht="24.75" customHeight="1" x14ac:dyDescent="0.25">
      <c r="A24" s="38" t="s">
        <v>154</v>
      </c>
      <c r="B24" s="2" t="s">
        <v>157</v>
      </c>
      <c r="C24" s="42" t="s">
        <v>118</v>
      </c>
      <c r="D24" s="1">
        <v>42</v>
      </c>
      <c r="E24" s="31">
        <v>58</v>
      </c>
      <c r="F24" s="39" t="s">
        <v>119</v>
      </c>
      <c r="G24" s="39" t="s">
        <v>46</v>
      </c>
      <c r="H24" s="12" t="s">
        <v>34</v>
      </c>
      <c r="I24" s="31">
        <v>47</v>
      </c>
      <c r="J24" s="31">
        <v>57</v>
      </c>
      <c r="K24" s="31">
        <v>20</v>
      </c>
      <c r="L24" s="31">
        <v>15</v>
      </c>
      <c r="M24" s="31">
        <v>112</v>
      </c>
      <c r="N24" s="31">
        <v>103</v>
      </c>
      <c r="O24" s="31">
        <v>114</v>
      </c>
      <c r="P24" s="31">
        <v>74</v>
      </c>
      <c r="Q24" s="31">
        <v>43</v>
      </c>
      <c r="R24" s="31">
        <v>47</v>
      </c>
      <c r="S24" s="31">
        <v>58</v>
      </c>
      <c r="T24" s="31">
        <v>19</v>
      </c>
      <c r="U24" s="31">
        <v>13</v>
      </c>
      <c r="V24" s="31">
        <v>29</v>
      </c>
      <c r="W24" s="31">
        <v>27</v>
      </c>
      <c r="X24" s="1">
        <v>29</v>
      </c>
      <c r="Y24" s="2">
        <v>74</v>
      </c>
      <c r="Z24" s="2">
        <v>43</v>
      </c>
      <c r="AA24" s="2">
        <v>47</v>
      </c>
      <c r="AB24" s="2">
        <v>25</v>
      </c>
      <c r="AC24" s="2">
        <v>19</v>
      </c>
      <c r="AD24" s="2">
        <v>29</v>
      </c>
      <c r="AE24" s="2">
        <v>27</v>
      </c>
      <c r="AF24" s="2">
        <v>29</v>
      </c>
      <c r="AG24" s="31">
        <v>74</v>
      </c>
      <c r="AH24" s="31">
        <v>43</v>
      </c>
      <c r="AI24" s="31">
        <v>95</v>
      </c>
      <c r="AJ24" s="31">
        <v>112</v>
      </c>
      <c r="AK24" s="31">
        <v>71</v>
      </c>
      <c r="AL24" s="31">
        <v>34</v>
      </c>
      <c r="AM24" s="31">
        <v>26</v>
      </c>
      <c r="AN24" s="31">
        <v>22</v>
      </c>
      <c r="AO24" s="31">
        <v>94</v>
      </c>
      <c r="AP24" s="2">
        <v>3</v>
      </c>
      <c r="AQ24" s="4" t="s">
        <v>163</v>
      </c>
    </row>
    <row r="25" spans="1:1013" ht="24.75" customHeight="1" x14ac:dyDescent="0.25">
      <c r="A25" s="38" t="s">
        <v>155</v>
      </c>
      <c r="B25" s="2" t="s">
        <v>159</v>
      </c>
      <c r="C25" s="42" t="s">
        <v>118</v>
      </c>
      <c r="D25" s="1">
        <v>44</v>
      </c>
      <c r="E25" s="31">
        <v>56</v>
      </c>
      <c r="F25" s="39" t="s">
        <v>119</v>
      </c>
      <c r="G25" s="39" t="s">
        <v>46</v>
      </c>
      <c r="H25" s="12" t="s">
        <v>34</v>
      </c>
      <c r="I25" s="31">
        <v>48</v>
      </c>
      <c r="J25" s="31">
        <v>60</v>
      </c>
      <c r="K25" s="31">
        <v>20</v>
      </c>
      <c r="L25" s="31">
        <v>15</v>
      </c>
      <c r="M25" s="31">
        <v>116</v>
      </c>
      <c r="N25" s="31">
        <v>108</v>
      </c>
      <c r="O25" s="31">
        <v>120</v>
      </c>
      <c r="P25" s="31">
        <v>77</v>
      </c>
      <c r="Q25" s="31">
        <v>44</v>
      </c>
      <c r="R25" s="31">
        <v>48</v>
      </c>
      <c r="S25" s="31">
        <v>61</v>
      </c>
      <c r="T25" s="31">
        <v>19</v>
      </c>
      <c r="U25" s="31">
        <v>13</v>
      </c>
      <c r="V25" s="31">
        <v>30</v>
      </c>
      <c r="W25" s="31">
        <v>28</v>
      </c>
      <c r="X25" s="1">
        <v>30</v>
      </c>
      <c r="Y25" s="2">
        <v>77</v>
      </c>
      <c r="Z25" s="2">
        <v>44</v>
      </c>
      <c r="AA25" s="2">
        <v>48</v>
      </c>
      <c r="AB25" s="2">
        <v>26</v>
      </c>
      <c r="AC25" s="2">
        <v>19</v>
      </c>
      <c r="AD25" s="2">
        <v>30</v>
      </c>
      <c r="AE25" s="2">
        <v>28</v>
      </c>
      <c r="AF25" s="2">
        <v>30</v>
      </c>
      <c r="AG25" s="31">
        <v>77</v>
      </c>
      <c r="AH25" s="31">
        <v>44</v>
      </c>
      <c r="AI25" s="31">
        <v>98</v>
      </c>
      <c r="AJ25" s="31">
        <v>116</v>
      </c>
      <c r="AK25" s="31">
        <v>72</v>
      </c>
      <c r="AL25" s="31">
        <v>35</v>
      </c>
      <c r="AM25" s="31">
        <v>27</v>
      </c>
      <c r="AN25" s="31">
        <v>22</v>
      </c>
      <c r="AO25" s="31">
        <v>100</v>
      </c>
      <c r="AP25" s="2">
        <v>3</v>
      </c>
      <c r="AQ25" s="4" t="s">
        <v>163</v>
      </c>
    </row>
    <row r="26" spans="1:1013" ht="24.75" customHeight="1" x14ac:dyDescent="0.25">
      <c r="A26" s="38" t="s">
        <v>161</v>
      </c>
      <c r="B26" s="2" t="s">
        <v>160</v>
      </c>
      <c r="C26" s="42" t="s">
        <v>118</v>
      </c>
      <c r="D26" s="1">
        <v>43</v>
      </c>
      <c r="E26" s="31">
        <v>57</v>
      </c>
      <c r="F26" s="39" t="s">
        <v>119</v>
      </c>
      <c r="G26" s="39" t="s">
        <v>46</v>
      </c>
      <c r="H26" s="12" t="s">
        <v>32</v>
      </c>
      <c r="I26" s="31">
        <v>46</v>
      </c>
      <c r="J26" s="31">
        <v>61</v>
      </c>
      <c r="K26" s="31">
        <v>19</v>
      </c>
      <c r="L26" s="31">
        <v>14</v>
      </c>
      <c r="M26" s="31">
        <v>104</v>
      </c>
      <c r="N26" s="31">
        <v>100</v>
      </c>
      <c r="O26" s="31">
        <v>110</v>
      </c>
      <c r="P26" s="31">
        <v>72</v>
      </c>
      <c r="Q26" s="31">
        <v>40</v>
      </c>
      <c r="R26" s="31">
        <v>46</v>
      </c>
      <c r="S26" s="31">
        <v>62</v>
      </c>
      <c r="T26" s="31">
        <v>17</v>
      </c>
      <c r="U26" s="31">
        <v>12</v>
      </c>
      <c r="V26" s="31">
        <v>29</v>
      </c>
      <c r="W26" s="31">
        <v>27</v>
      </c>
      <c r="X26" s="1">
        <v>29</v>
      </c>
      <c r="Y26" s="2">
        <v>72</v>
      </c>
      <c r="Z26" s="2">
        <v>40</v>
      </c>
      <c r="AA26" s="2">
        <v>46</v>
      </c>
      <c r="AB26" s="2">
        <v>26</v>
      </c>
      <c r="AC26" s="2">
        <v>17</v>
      </c>
      <c r="AD26" s="2">
        <v>29</v>
      </c>
      <c r="AE26" s="2">
        <v>27</v>
      </c>
      <c r="AF26" s="2">
        <v>29</v>
      </c>
      <c r="AG26" s="31">
        <v>72</v>
      </c>
      <c r="AH26" s="31">
        <v>40</v>
      </c>
      <c r="AI26" s="31">
        <v>90</v>
      </c>
      <c r="AJ26" s="31">
        <v>108</v>
      </c>
      <c r="AK26" s="31">
        <v>68</v>
      </c>
      <c r="AL26" s="31">
        <v>34</v>
      </c>
      <c r="AM26" s="31">
        <v>26</v>
      </c>
      <c r="AN26" s="31">
        <v>21</v>
      </c>
      <c r="AO26" s="31">
        <v>102</v>
      </c>
      <c r="AP26" s="2">
        <v>3</v>
      </c>
      <c r="AQ26" s="4" t="s">
        <v>163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COUNTIF(SEMUA!$H$2:$H$13,REKAP!A4)</f>
        <v>3</v>
      </c>
      <c r="C4">
        <v>2</v>
      </c>
      <c r="D4">
        <v>37</v>
      </c>
      <c r="E4">
        <f>COUNTIF(SEMUA!$D$1:$D$13,D4)</f>
        <v>0</v>
      </c>
      <c r="J4" s="8">
        <v>53</v>
      </c>
      <c r="K4">
        <f>COUNTIF(SEMUA!$E$2:$E$13,J4)</f>
        <v>0</v>
      </c>
      <c r="M4" s="7">
        <v>1</v>
      </c>
      <c r="N4" s="7" t="s">
        <v>57</v>
      </c>
      <c r="O4">
        <f>COUNTIF(SEMUA!$C$1:$C$13,REKAP!N4)</f>
        <v>0</v>
      </c>
    </row>
    <row r="5" spans="1:15" ht="15.75" x14ac:dyDescent="0.25">
      <c r="A5" s="7" t="s">
        <v>31</v>
      </c>
      <c r="B5">
        <f>COUNTIF(SEMUA!$H$2:$H$13,REKAP!A5)</f>
        <v>5</v>
      </c>
      <c r="D5">
        <v>38</v>
      </c>
      <c r="E5">
        <f>COUNTIF(SEMUA!$D$1:$D$13,D5)</f>
        <v>0</v>
      </c>
      <c r="J5" s="8">
        <v>54</v>
      </c>
      <c r="K5">
        <f>COUNTIF(SEMUA!$E$2:$E$13,J5)</f>
        <v>2</v>
      </c>
      <c r="M5" s="7"/>
      <c r="N5" s="7"/>
    </row>
    <row r="6" spans="1:15" ht="15.75" x14ac:dyDescent="0.25">
      <c r="A6" s="7" t="s">
        <v>35</v>
      </c>
      <c r="B6">
        <f>COUNTIF(SEMUA!$H$2:$H$13,REKAP!A6)</f>
        <v>0</v>
      </c>
      <c r="D6" s="8">
        <v>39</v>
      </c>
      <c r="E6">
        <f>COUNTIF(SEMUA!$D$1:$D$13,D6)</f>
        <v>3</v>
      </c>
      <c r="G6">
        <f>F6+E6</f>
        <v>3</v>
      </c>
      <c r="H6">
        <v>2</v>
      </c>
      <c r="J6" s="8">
        <v>55</v>
      </c>
      <c r="K6">
        <f>COUNTIF(SEMUA!$E$2:$E$13,J6)</f>
        <v>0</v>
      </c>
      <c r="M6" s="7"/>
      <c r="N6" s="7"/>
    </row>
    <row r="7" spans="1:15" ht="15.75" x14ac:dyDescent="0.25">
      <c r="A7" s="7" t="s">
        <v>34</v>
      </c>
      <c r="B7">
        <f>COUNTIF(SEMUA!$H$2:$H$13,REKAP!A7)</f>
        <v>3</v>
      </c>
      <c r="C7">
        <v>2</v>
      </c>
      <c r="D7" s="8">
        <v>40</v>
      </c>
      <c r="E7">
        <f>COUNTIF(SEMUA!$D$1:$D$13,D7)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COUNTIF(SEMUA!$E$2:$E$13,J7)</f>
        <v>6</v>
      </c>
      <c r="M7" s="7"/>
      <c r="N7" s="7"/>
    </row>
    <row r="8" spans="1:15" ht="15.75" x14ac:dyDescent="0.25">
      <c r="A8" s="7" t="s">
        <v>33</v>
      </c>
      <c r="B8">
        <f>COUNTIF(SEMUA!$H$2:$H$13,REKAP!A8)</f>
        <v>1</v>
      </c>
      <c r="C8">
        <v>1</v>
      </c>
      <c r="D8" s="8">
        <v>41</v>
      </c>
      <c r="E8">
        <f>COUNTIF(SEMUA!$D$1:$D$13,D8)</f>
        <v>3</v>
      </c>
      <c r="F8">
        <v>7</v>
      </c>
      <c r="G8">
        <f t="shared" si="0"/>
        <v>10</v>
      </c>
      <c r="J8" s="8">
        <v>57</v>
      </c>
      <c r="K8">
        <f>COUNTIF(SEMUA!$E$2:$E$13,J8)</f>
        <v>1</v>
      </c>
      <c r="M8" s="7"/>
      <c r="N8" s="7"/>
    </row>
    <row r="9" spans="1:15" ht="15.75" x14ac:dyDescent="0.25">
      <c r="A9" s="7" t="s">
        <v>36</v>
      </c>
      <c r="B9">
        <f>COUNTIF(SEMUA!$H$2:$H$13,REKAP!A9)</f>
        <v>0</v>
      </c>
      <c r="D9" s="8">
        <v>42</v>
      </c>
      <c r="E9">
        <f>COUNTIF(SEMUA!$D$1:$D$13,D9)</f>
        <v>0</v>
      </c>
      <c r="F9">
        <v>11</v>
      </c>
      <c r="G9">
        <f t="shared" si="0"/>
        <v>11</v>
      </c>
      <c r="J9" s="8">
        <v>58</v>
      </c>
      <c r="K9">
        <f>COUNTIF(SEMUA!$E$2:$E$13,J9)</f>
        <v>3</v>
      </c>
      <c r="M9" s="7"/>
    </row>
    <row r="10" spans="1:15" ht="15.75" x14ac:dyDescent="0.25">
      <c r="A10" s="7" t="s">
        <v>37</v>
      </c>
      <c r="B10">
        <f>COUNTIF(SEMUA!$H$2:$H$13,REKAP!A10)</f>
        <v>0</v>
      </c>
      <c r="D10" s="8">
        <v>43</v>
      </c>
      <c r="E10">
        <f>COUNTIF(SEMUA!$D$1:$D$13,D10)</f>
        <v>4</v>
      </c>
      <c r="F10">
        <v>7</v>
      </c>
      <c r="G10">
        <f t="shared" si="0"/>
        <v>11</v>
      </c>
      <c r="J10" s="8">
        <v>59</v>
      </c>
      <c r="K10">
        <f>COUNTIF(SEMUA!$E$2:$E$13,J10)</f>
        <v>0</v>
      </c>
      <c r="M10" s="7"/>
    </row>
    <row r="11" spans="1:15" ht="15.75" x14ac:dyDescent="0.25">
      <c r="A11" s="9" t="s">
        <v>44</v>
      </c>
      <c r="B11" s="10">
        <f>SUM(B4:B10)</f>
        <v>12</v>
      </c>
      <c r="C11" s="10"/>
      <c r="D11" s="8">
        <v>44</v>
      </c>
      <c r="E11">
        <f>COUNTIF(SEMUA!$D$1:$D$13,D11)</f>
        <v>0</v>
      </c>
      <c r="G11">
        <f t="shared" si="0"/>
        <v>0</v>
      </c>
      <c r="J11" s="1">
        <v>60</v>
      </c>
      <c r="K11">
        <f>COUNTIF(SEMUA!$E$2:$E$13,J11)</f>
        <v>0</v>
      </c>
      <c r="M11" s="7"/>
    </row>
    <row r="12" spans="1:15" ht="15.75" x14ac:dyDescent="0.25">
      <c r="D12" s="8">
        <v>45</v>
      </c>
      <c r="E12">
        <f>COUNTIF(SEMUA!$D$1:$D$13,D12)</f>
        <v>0</v>
      </c>
      <c r="G12">
        <f t="shared" si="0"/>
        <v>0</v>
      </c>
      <c r="K12">
        <f>SUM(K4:K11)</f>
        <v>12</v>
      </c>
      <c r="M12" s="7"/>
    </row>
    <row r="13" spans="1:15" ht="15.75" x14ac:dyDescent="0.25">
      <c r="D13" s="8">
        <v>46</v>
      </c>
      <c r="E13">
        <f>COUNTIF(SEMUA!$D$1:$D$13,D13)</f>
        <v>0</v>
      </c>
      <c r="G13">
        <f t="shared" si="0"/>
        <v>0</v>
      </c>
    </row>
    <row r="14" spans="1:15" ht="15.75" x14ac:dyDescent="0.25">
      <c r="D14" s="8"/>
      <c r="E14">
        <f>SUM(E4:E13)</f>
        <v>12</v>
      </c>
      <c r="F14">
        <f>SUM(F4:F13)</f>
        <v>34</v>
      </c>
      <c r="G14">
        <f>SUM(G4:G13)</f>
        <v>46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2021-07-30T22:48:03Z</cp:lastPrinted>
  <dcterms:created xsi:type="dcterms:W3CDTF">2016-10-31T03:59:44Z</dcterms:created>
  <dcterms:modified xsi:type="dcterms:W3CDTF">2021-08-02T11:31:59Z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