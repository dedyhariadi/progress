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885E65C1-A4C9-4B32-B75B-23F82DC0ADB1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SEMUA!$A$1:$AU$47</definedName>
    <definedName name="_xlnm.Print_Titles" localSheetId="0">SEMUA!$1:$1</definedName>
  </definedNames>
  <calcPr calcId="191029"/>
  <pivotCaches>
    <pivotCache cacheId="14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4" i="1" l="1"/>
</calcChain>
</file>

<file path=xl/sharedStrings.xml><?xml version="1.0" encoding="utf-8"?>
<sst xmlns="http://schemas.openxmlformats.org/spreadsheetml/2006/main" count="406" uniqueCount="154">
  <si>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</si>
  <si>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</si>
  <si>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</si>
  <si>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</si>
  <si>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</si>
  <si>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</si>
  <si>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</si>
  <si>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</si>
  <si>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</si>
  <si>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</si>
  <si>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</si>
  <si>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</si>
  <si>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</si>
  <si>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</si>
  <si>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</si>
  <si>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</si>
  <si>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</si>
  <si>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</si>
  <si>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</si>
  <si>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</si>
  <si>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</si>
  <si>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</si>
  <si>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</si>
  <si>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</si>
  <si>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</si>
  <si>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</si>
  <si>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</si>
  <si>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</si>
  <si>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</si>
  <si>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</si>
  <si>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</si>
  <si>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</si>
  <si>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</si>
  <si>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</si>
  <si>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</si>
  <si>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</si>
  <si>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</si>
  <si>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</si>
  <si>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</si>
  <si>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</si>
  <si>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</si>
  <si>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</si>
  <si>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</si>
  <si>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</si>
  <si>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</si>
  <si>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</si>
  <si>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</si>
  <si>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</si>
  <si>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</si>
  <si>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</si>
  <si>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</si>
  <si>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56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</si>
  <si>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</si>
  <si>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</si>
  <si>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</si>
  <si>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</si>
  <si>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</si>
  <si>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</si>
  <si>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</si>
  <si>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15 NOV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</si>
  <si>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</si>
  <si>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</si>
  <si>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</si>
  <si>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</si>
  <si>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</si>
  <si>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</si>
  <si>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</si>
  <si>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</si>
  <si>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</si>
  <si>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</si>
  <si>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</si>
  <si>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</si>
  <si>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</si>
  <si>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</si>
  <si>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</si>
  <si>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</si>
  <si>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</si>
  <si>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</si>
  <si>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</si>
  <si>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</si>
  <si>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</si>
  <si>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</si>
  <si>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</si>
  <si>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</si>
  <si>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</si>
  <si>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</si>
  <si>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41</t>
  </si>
  <si>
    <t>42</t>
  </si>
  <si>
    <t>43</t>
  </si>
  <si>
    <t>44</t>
  </si>
  <si>
    <t>38</t>
  </si>
  <si>
    <t>58</t>
  </si>
  <si>
    <t>57</t>
  </si>
  <si>
    <t>54</t>
  </si>
  <si>
    <t>ARMADY SUBAGIO</t>
  </si>
  <si>
    <t>HUSIEN</t>
  </si>
  <si>
    <t>HANAFI</t>
  </si>
  <si>
    <t>MUHAIMIN</t>
  </si>
  <si>
    <t>MUH SAIFUL YADI</t>
  </si>
  <si>
    <t>39</t>
  </si>
  <si>
    <t>40</t>
  </si>
  <si>
    <t>59</t>
  </si>
  <si>
    <t>55</t>
  </si>
  <si>
    <t>(blank)</t>
  </si>
  <si>
    <t>DEDIK S</t>
  </si>
  <si>
    <t>ALIF OKTAFIDE</t>
  </si>
  <si>
    <t>EKO NURHADI</t>
  </si>
  <si>
    <t>DAVID</t>
  </si>
  <si>
    <t>NURKHOLIS</t>
  </si>
  <si>
    <t>53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</si>
  <si>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</si>
  <si>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</si>
  <si>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</si>
  <si>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</si>
  <si>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</si>
  <si>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</si>
  <si>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</si>
  <si>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</si>
  <si>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</si>
  <si>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</si>
  <si>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</si>
  <si>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</si>
  <si>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</si>
  <si>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</si>
  <si>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</si>
  <si>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60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</si>
  <si>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</si>
  <si>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</si>
  <si>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</si>
  <si>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</si>
  <si>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</si>
  <si>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</si>
  <si>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</si>
  <si>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</si>
  <si>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</si>
  <si>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</si>
  <si>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</si>
  <si>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</si>
  <si>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</si>
  <si>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</si>
  <si>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</si>
  <si>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</si>
  <si>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</si>
  <si>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</si>
  <si>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</si>
  <si>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</si>
  <si>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</si>
  <si>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</si>
  <si>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</si>
  <si>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</si>
  <si>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T39a</t>
  </si>
  <si>
    <t>T40a</t>
  </si>
  <si>
    <t>T41a</t>
  </si>
  <si>
    <t>T42a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</si>
</sst>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9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5" xfId="0" applyNumberFormat="1" applyFont="1" applyBorder="1" applyAlignment="1">
      <alignment horizontal="left" vertical="center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26.710498726854" createdVersion="7" refreshedVersion="7" minRefreshableVersion="3" recordCount="42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/>
        <s v="DP 4 TEKNIKA / 29" u="1"/>
      </sharedItems>
    </cacheField>
    <cacheField name="SEPATU" numFmtId="0">
      <sharedItems containsBlank="1" containsMixedTypes="1" containsNumber="1" containsInteger="1" minValue="39" maxValue="45" count="15">
        <s v="41"/>
        <s v="38"/>
        <s v="42"/>
        <s v="43"/>
        <s v="39"/>
        <s v="40"/>
        <s v="44"/>
        <n v="42"/>
        <n v="40"/>
        <m/>
        <n v="44" u="1"/>
        <n v="39" u="1"/>
        <n v="41" u="1"/>
        <n v="43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Blank="1" containsMixedTypes="1" containsNumber="1" containsInteger="1" minValue="53" maxValue="59" count="15">
        <s v="58"/>
        <s v="57"/>
        <s v="54"/>
        <s v="55"/>
        <s v="53"/>
        <s v="56"/>
        <s v="59"/>
        <s v="60"/>
        <n v="56"/>
        <n v="53"/>
        <m/>
        <n v="57" u="1"/>
        <n v="59" u="1"/>
        <n v="58" u="1"/>
        <n v="55" u="1"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0">
      <sharedItems containsNonDate="0" containsString="0" containsBlank="1"/>
    </cacheField>
    <cacheField name="UBN_2" numFmtId="0">
      <sharedItems containsNonDate="0" containsString="0" containsBlank="1"/>
    </cacheField>
    <cacheField name="UBN_3" numFmtId="0">
      <sharedItems containsNonDate="0" containsString="0" containsBlank="1"/>
    </cacheField>
    <cacheField name="UBN_4" numFmtId="0">
      <sharedItems containsNonDate="0" containsString="0" containsBlank="1"/>
    </cacheField>
    <cacheField name="UBN_5" numFmtId="0">
      <sharedItems containsNonDate="0" containsString="0" containsBlank="1"/>
    </cacheField>
    <cacheField name="UBN_6" numFmtId="0">
      <sharedItems containsNonDate="0" containsString="0" containsBlank="1"/>
    </cacheField>
    <cacheField name="UBN_7" numFmtId="0">
      <sharedItems containsNonDate="0" containsString="0" containsBlank="1"/>
    </cacheField>
    <cacheField name="UBN_8" numFmtId="0">
      <sharedItems containsNonDate="0" containsString="0" containsBlank="1"/>
    </cacheField>
    <cacheField name="UBN_9" numFmtId="0">
      <sharedItems containsNonDate="0" containsString="0" containsBlank="1"/>
    </cacheField>
    <cacheField name="UH_1" numFmtId="0">
      <sharedItems containsNonDate="0" containsString="0" containsBlank="1"/>
    </cacheField>
    <cacheField name="UH_2" numFmtId="0">
      <sharedItems containsNonDate="0" containsString="0" containsBlank="1"/>
    </cacheField>
    <cacheField name="UH_3" numFmtId="0">
      <sharedItems containsNonDate="0" containsString="0" containsBlank="1"/>
    </cacheField>
    <cacheField name="UH_4" numFmtId="0">
      <sharedItems containsNonDate="0" containsString="0" containsBlank="1"/>
    </cacheField>
    <cacheField name="UH_5" numFmtId="0">
      <sharedItems containsNonDate="0" containsString="0" containsBlank="1"/>
    </cacheField>
    <cacheField name="UH_6" numFmtId="0">
      <sharedItems containsNonDate="0" containsString="0" containsBlank="1"/>
    </cacheField>
    <cacheField name="UH_7" numFmtId="0">
      <sharedItems containsNonDate="0" containsString="0" containsBlank="1"/>
    </cacheField>
    <cacheField name="UH_8" numFmtId="0">
      <sharedItems containsNonDate="0" containsString="0" containsBlank="1"/>
    </cacheField>
    <cacheField name="UH_9" numFmtId="0">
      <sharedItems containsNonDate="0" containsString="0" containsBlank="1"/>
    </cacheField>
    <cacheField name="UB_1" numFmtId="0">
      <sharedItems containsNonDate="0" containsString="0" containsBlank="1"/>
    </cacheField>
    <cacheField name="UB_2" numFmtId="0">
      <sharedItems containsNonDate="0" containsString="0" containsBlank="1"/>
    </cacheField>
    <cacheField name="UB_3" numFmtId="0">
      <sharedItems containsNonDate="0" containsString="0" containsBlank="1"/>
    </cacheField>
    <cacheField name="UB_4" numFmtId="0">
      <sharedItems containsNonDate="0" containsString="0" containsBlank="1"/>
    </cacheField>
    <cacheField name="UB_5" numFmtId="0">
      <sharedItems containsNonDate="0" containsString="0" containsBlank="1"/>
    </cacheField>
    <cacheField name="UB_6" numFmtId="0">
      <sharedItems containsNonDate="0" containsString="0" containsBlank="1"/>
    </cacheField>
    <cacheField name="UB_7" numFmtId="0">
      <sharedItems containsNonDate="0" containsString="0" containsBlank="1"/>
    </cacheField>
    <cacheField name="UB_8" numFmtId="0">
      <sharedItems containsNonDate="0" containsString="0" containsBlank="1"/>
    </cacheField>
    <cacheField name="UC_1" numFmtId="0">
      <sharedItems containsNonDate="0" containsString="0" containsBlank="1"/>
    </cacheField>
    <cacheField name="UC_2" numFmtId="0">
      <sharedItems containsNonDate="0" containsString="0" containsBlank="1"/>
    </cacheField>
    <cacheField name="UC_3" numFmtId="0">
      <sharedItems containsNonDate="0" containsString="0" containsBlank="1"/>
    </cacheField>
    <cacheField name="UC_4" numFmtId="0">
      <sharedItems containsNonDate="0" containsString="0" containsBlank="1"/>
    </cacheField>
    <cacheField name="UC_5" numFmtId="0">
      <sharedItems containsNonDate="0" containsString="0" containsBlank="1"/>
    </cacheField>
    <cacheField name="UC_6" numFmtId="0">
      <sharedItems containsNonDate="0" containsString="0" containsBlank="1"/>
    </cacheField>
    <cacheField name="UC_7" numFmtId="0">
      <sharedItems containsNonDate="0" containsString="0" containsBlank="1"/>
    </cacheField>
    <cacheField name="CETAK KE" numFmtId="0">
      <sharedItems containsNonDate="0" containsString="0" containsBlank="1"/>
    </cacheField>
    <cacheField name="CETAK PDH" numFmtId="49">
      <sharedItems containsNonDate="0" containsString="0" containsBlank="1"/>
    </cacheField>
    <cacheField name="CETAK BN" numFmtId="49">
      <sharedItems containsNonDate="0" containsString="0" containsBlank="1"/>
    </cacheField>
    <cacheField name="CETAK KAOS" numFmtId="49">
      <sharedItems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s v="T1"/>
    <s v="EKO YULI P"/>
    <x v="0"/>
    <x v="0"/>
    <x v="0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"/>
    <s v="HAMID OLA"/>
    <x v="0"/>
    <x v="1"/>
    <x v="0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"/>
    <s v="CHOIRU MUNFARID"/>
    <x v="0"/>
    <x v="2"/>
    <x v="1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4"/>
    <s v="ABDUL AZIZ"/>
    <x v="0"/>
    <x v="3"/>
    <x v="0"/>
    <x v="2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5"/>
    <s v="OKI PRISTIWANTO"/>
    <x v="0"/>
    <x v="0"/>
    <x v="0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6"/>
    <s v="ARMADY SUBAGIO"/>
    <x v="0"/>
    <x v="4"/>
    <x v="2"/>
    <x v="2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7"/>
    <s v="HUSIEN"/>
    <x v="0"/>
    <x v="2"/>
    <x v="1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8"/>
    <s v="HANAFI"/>
    <x v="0"/>
    <x v="5"/>
    <x v="0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9"/>
    <s v="MUHAIMIN"/>
    <x v="0"/>
    <x v="4"/>
    <x v="2"/>
    <x v="2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0"/>
    <s v="MUH SAIFUL YADI"/>
    <x v="0"/>
    <x v="0"/>
    <x v="0"/>
    <x v="3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1"/>
    <s v="DEDIK S"/>
    <x v="0"/>
    <x v="4"/>
    <x v="0"/>
    <x v="4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2"/>
    <s v="ALIF OKTAFIDE"/>
    <x v="0"/>
    <x v="2"/>
    <x v="2"/>
    <x v="3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3"/>
    <s v="EKO NURHADI"/>
    <x v="0"/>
    <x v="3"/>
    <x v="0"/>
    <x v="2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4"/>
    <s v="DAVID"/>
    <x v="0"/>
    <x v="2"/>
    <x v="0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5"/>
    <s v="NURKHOLIS"/>
    <x v="0"/>
    <x v="2"/>
    <x v="1"/>
    <x v="5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6"/>
    <s v="HERMAN SANTOSO"/>
    <x v="0"/>
    <x v="2"/>
    <x v="1"/>
    <x v="6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7"/>
    <s v="HENDRIK RULI SA"/>
    <x v="0"/>
    <x v="2"/>
    <x v="3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8"/>
    <s v="TARMUJI"/>
    <x v="0"/>
    <x v="0"/>
    <x v="1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9a"/>
    <s v="SALAMAT"/>
    <x v="0"/>
    <x v="5"/>
    <x v="0"/>
    <x v="3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0a"/>
    <s v="DODIT EKO PRASETYO"/>
    <x v="0"/>
    <x v="5"/>
    <x v="1"/>
    <x v="5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1a"/>
    <s v="NUGRAHA ARDYAN P"/>
    <x v="0"/>
    <x v="5"/>
    <x v="2"/>
    <x v="2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2a"/>
    <s v="AKHMAD NOVANDI"/>
    <x v="0"/>
    <x v="2"/>
    <x v="1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3a"/>
    <s v="AGUS SUWANDI"/>
    <x v="0"/>
    <x v="2"/>
    <x v="1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4a"/>
    <s v="M. IRWAN MUFTI"/>
    <x v="0"/>
    <x v="6"/>
    <x v="1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5a"/>
    <s v="NURUL IMAN"/>
    <x v="0"/>
    <x v="5"/>
    <x v="1"/>
    <x v="5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6a"/>
    <s v="PRAKOSO BUDI NURCAHYO"/>
    <x v="0"/>
    <x v="0"/>
    <x v="0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7a"/>
    <s v="M. ARIF WIBOWO"/>
    <x v="0"/>
    <x v="2"/>
    <x v="0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8a"/>
    <s v="SAHIT"/>
    <x v="0"/>
    <x v="2"/>
    <x v="1"/>
    <x v="7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9a"/>
    <s v="AGUS TRIWAHYUDI"/>
    <x v="0"/>
    <x v="2"/>
    <x v="1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0a"/>
    <s v="SANDY"/>
    <x v="0"/>
    <x v="0"/>
    <x v="2"/>
    <x v="7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1a"/>
    <s v="AZIZ ANDREASYAH"/>
    <x v="0"/>
    <x v="6"/>
    <x v="1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2a"/>
    <s v="FAISOL ANWAR"/>
    <x v="0"/>
    <x v="3"/>
    <x v="2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3a"/>
    <s v="SUPARDI"/>
    <x v="0"/>
    <x v="7"/>
    <x v="0"/>
    <x v="8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4a"/>
    <s v="PRASETYO GILI AJI"/>
    <x v="0"/>
    <x v="8"/>
    <x v="0"/>
    <x v="9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5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6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7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8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9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40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41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42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5" firstHeaderRow="1" firstDataRow="2" firstDataCol="1"/>
  <pivotFields count="46">
    <pivotField showAll="0"/>
    <pivotField showAll="0"/>
    <pivotField showAll="0"/>
    <pivotField axis="axisRow" dataField="1" showAll="0">
      <items count="16">
        <item m="1" x="11"/>
        <item x="8"/>
        <item m="1" x="12"/>
        <item x="7"/>
        <item m="1" x="13"/>
        <item m="1" x="10"/>
        <item m="1" x="14"/>
        <item x="0"/>
        <item x="1"/>
        <item x="2"/>
        <item x="3"/>
        <item x="4"/>
        <item x="5"/>
        <item x="9"/>
        <item x="6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 v="1"/>
    </i>
    <i>
      <x v="3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K16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6">
        <item x="9"/>
        <item m="1" x="14"/>
        <item x="8"/>
        <item m="1" x="11"/>
        <item m="1" x="13"/>
        <item m="1" x="12"/>
        <item x="0"/>
        <item x="1"/>
        <item x="2"/>
        <item x="3"/>
        <item x="10"/>
        <item x="4"/>
        <item x="5"/>
        <item x="6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2">
    <i>
      <x/>
    </i>
    <i>
      <x v="2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4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4"/>
  <sheetViews>
    <sheetView zoomScale="85" zoomScaleNormal="85" workbookViewId="0">
      <pane ySplit="1" topLeftCell="A7" activePane="bottomLeft" state="frozen"/>
      <selection pane="bottomLeft" activeCell="D10" sqref="D10"/>
    </sheetView>
  </sheetViews>
  <sheetFormatPr defaultColWidth="8.7109375" defaultRowHeight="30" customHeight="1" x14ac:dyDescent="0.25"/>
  <cols>
    <col min="1" max="1" width="6.42578125" style="1" customWidth="1"/>
    <col min="2" max="2" width="34.140625" style="1" bestFit="1" customWidth="1"/>
    <col min="3" max="3" width="32.85546875" style="20" bestFit="1" customWidth="1"/>
    <col min="4" max="4" width="21.7109375" style="1" customWidth="1"/>
    <col min="5" max="5" width="11.42578125" style="1" customWidth="1"/>
    <col min="6" max="6" width="9.28515625" style="15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11"/>
  </cols>
  <sheetData>
    <row r="1" spans="1:1014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42</v>
      </c>
      <c r="S1" s="13" t="s">
        <v>43</v>
      </c>
      <c r="T1" s="13" t="s">
        <v>44</v>
      </c>
      <c r="U1" s="13" t="s">
        <v>45</v>
      </c>
      <c r="V1" s="13" t="s">
        <v>46</v>
      </c>
      <c r="W1" s="13" t="s">
        <v>47</v>
      </c>
      <c r="X1" s="13" t="s">
        <v>48</v>
      </c>
      <c r="Y1" s="13" t="s">
        <v>49</v>
      </c>
      <c r="Z1" s="13" t="s">
        <v>50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11"/>
    </row>
    <row r="2" spans="1:1014" ht="30" customHeight="1" thickTop="1" x14ac:dyDescent="0.25">
      <c r="A2" s="16" t="s">
        <v>61</v>
      </c>
      <c r="B2" s="17" t="s">
        <v>79</v>
      </c>
      <c r="C2" s="16" t="s">
        <v>84</v>
      </c>
      <c r="D2" s="12" t="s">
        <v>86</v>
      </c>
      <c r="E2" s="12" t="s">
        <v>32</v>
      </c>
      <c r="F2" s="12" t="s">
        <v>91</v>
      </c>
      <c r="G2" s="6" t="s">
        <v>85</v>
      </c>
      <c r="H2" s="6" t="s">
        <v>41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3"/>
      <c r="AP2" s="3"/>
      <c r="AQ2" s="10"/>
      <c r="AR2" s="11"/>
      <c r="AS2" s="10" t="s">
        <v>59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  <c r="ALZ2" s="11"/>
    </row>
    <row r="3" spans="1:1014" ht="30" customHeight="1" x14ac:dyDescent="0.25">
      <c r="A3" s="16" t="s">
        <v>62</v>
      </c>
      <c r="B3" s="18" t="s">
        <v>80</v>
      </c>
      <c r="C3" s="16" t="s">
        <v>84</v>
      </c>
      <c r="D3" s="12" t="s">
        <v>90</v>
      </c>
      <c r="E3" s="12" t="s">
        <v>32</v>
      </c>
      <c r="F3" s="12" t="s">
        <v>92</v>
      </c>
      <c r="G3" s="6" t="s">
        <v>85</v>
      </c>
      <c r="H3" s="6" t="s">
        <v>41</v>
      </c>
      <c r="R3" s="6"/>
      <c r="S3" s="6"/>
      <c r="T3" s="6"/>
      <c r="U3" s="6"/>
      <c r="V3" s="6"/>
      <c r="W3" s="6"/>
      <c r="X3" s="6"/>
      <c r="Y3" s="6"/>
      <c r="Z3" s="6"/>
      <c r="AP3" s="3"/>
      <c r="AQ3" s="10"/>
      <c r="AR3" s="11"/>
      <c r="AS3" s="10" t="s">
        <v>59</v>
      </c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  <c r="ALZ3" s="11"/>
    </row>
    <row r="4" spans="1:1014" ht="30" customHeight="1" x14ac:dyDescent="0.25">
      <c r="A4" s="16" t="s">
        <v>63</v>
      </c>
      <c r="B4" s="18" t="s">
        <v>81</v>
      </c>
      <c r="C4" s="16" t="s">
        <v>84</v>
      </c>
      <c r="D4" s="12" t="s">
        <v>87</v>
      </c>
      <c r="E4" s="12" t="s">
        <v>34</v>
      </c>
      <c r="F4" s="12" t="s">
        <v>92</v>
      </c>
      <c r="G4" s="6" t="s">
        <v>85</v>
      </c>
      <c r="H4" s="6" t="s">
        <v>41</v>
      </c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3"/>
      <c r="AQ4" s="10"/>
      <c r="AR4" s="11"/>
      <c r="AS4" s="10" t="s">
        <v>59</v>
      </c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</row>
    <row r="5" spans="1:1014" ht="30" customHeight="1" x14ac:dyDescent="0.25">
      <c r="A5" s="16" t="s">
        <v>64</v>
      </c>
      <c r="B5" s="18" t="s">
        <v>82</v>
      </c>
      <c r="C5" s="16" t="s">
        <v>84</v>
      </c>
      <c r="D5" s="12" t="s">
        <v>88</v>
      </c>
      <c r="E5" s="12" t="s">
        <v>32</v>
      </c>
      <c r="F5" s="12" t="s">
        <v>93</v>
      </c>
      <c r="G5" s="6" t="s">
        <v>85</v>
      </c>
      <c r="H5" s="6" t="s">
        <v>41</v>
      </c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3"/>
      <c r="AP5" s="3"/>
      <c r="AQ5" s="10"/>
      <c r="AR5" s="11"/>
      <c r="AS5" s="10" t="s">
        <v>59</v>
      </c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</row>
    <row r="6" spans="1:1014" ht="30" customHeight="1" x14ac:dyDescent="0.25">
      <c r="A6" s="16" t="s">
        <v>65</v>
      </c>
      <c r="B6" s="18" t="s">
        <v>83</v>
      </c>
      <c r="C6" s="16" t="s">
        <v>84</v>
      </c>
      <c r="D6" s="12" t="s">
        <v>86</v>
      </c>
      <c r="E6" s="12" t="s">
        <v>32</v>
      </c>
      <c r="F6" s="12" t="s">
        <v>91</v>
      </c>
      <c r="G6" s="6" t="s">
        <v>85</v>
      </c>
      <c r="H6" s="6" t="s">
        <v>41</v>
      </c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3"/>
      <c r="AQ6" s="10"/>
      <c r="AR6" s="11"/>
      <c r="AS6" s="10" t="s">
        <v>59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</row>
    <row r="7" spans="1:1014" ht="30" customHeight="1" x14ac:dyDescent="0.25">
      <c r="A7" s="16" t="s">
        <v>66</v>
      </c>
      <c r="B7" s="18" t="s">
        <v>94</v>
      </c>
      <c r="C7" s="16" t="s">
        <v>84</v>
      </c>
      <c r="D7" s="12" t="s">
        <v>99</v>
      </c>
      <c r="E7" s="5" t="s">
        <v>31</v>
      </c>
      <c r="F7" s="5" t="s">
        <v>93</v>
      </c>
      <c r="G7" s="6" t="s">
        <v>85</v>
      </c>
      <c r="H7" s="6" t="s">
        <v>41</v>
      </c>
      <c r="I7" s="13"/>
      <c r="J7" s="13"/>
      <c r="K7" s="13"/>
      <c r="L7" s="13"/>
      <c r="M7" s="13"/>
      <c r="N7" s="13"/>
      <c r="O7" s="13"/>
      <c r="P7" s="13"/>
      <c r="Q7" s="13"/>
      <c r="R7" s="6"/>
      <c r="S7" s="6"/>
      <c r="T7" s="6"/>
      <c r="U7" s="6"/>
      <c r="V7" s="6"/>
      <c r="W7" s="6"/>
      <c r="X7" s="6"/>
      <c r="Y7" s="6"/>
      <c r="Z7" s="6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P7" s="3"/>
      <c r="AQ7" s="10"/>
      <c r="AR7" s="11"/>
      <c r="AS7" s="10" t="s">
        <v>59</v>
      </c>
      <c r="AT7" s="11"/>
      <c r="ALZ7" s="11"/>
    </row>
    <row r="8" spans="1:1014" ht="30" customHeight="1" x14ac:dyDescent="0.25">
      <c r="A8" s="16" t="s">
        <v>67</v>
      </c>
      <c r="B8" s="18" t="s">
        <v>95</v>
      </c>
      <c r="C8" s="16" t="s">
        <v>84</v>
      </c>
      <c r="D8" s="12" t="s">
        <v>87</v>
      </c>
      <c r="E8" s="5" t="s">
        <v>34</v>
      </c>
      <c r="F8" s="5" t="s">
        <v>92</v>
      </c>
      <c r="G8" s="6" t="s">
        <v>85</v>
      </c>
      <c r="H8" s="6" t="s">
        <v>41</v>
      </c>
      <c r="I8" s="13"/>
      <c r="J8" s="13"/>
      <c r="K8" s="13"/>
      <c r="L8" s="13"/>
      <c r="M8" s="13"/>
      <c r="N8" s="13"/>
      <c r="O8" s="13"/>
      <c r="P8" s="13"/>
      <c r="Q8" s="13"/>
      <c r="R8" s="6"/>
      <c r="S8" s="6"/>
      <c r="T8" s="6"/>
      <c r="U8" s="6"/>
      <c r="V8" s="6"/>
      <c r="W8" s="6"/>
      <c r="X8" s="6"/>
      <c r="Y8" s="6"/>
      <c r="Z8" s="6"/>
      <c r="AA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3"/>
      <c r="AQ8" s="10"/>
      <c r="AR8" s="11"/>
      <c r="AS8" s="10" t="s">
        <v>59</v>
      </c>
      <c r="AT8" s="11"/>
      <c r="ALZ8" s="11"/>
    </row>
    <row r="9" spans="1:1014" ht="30" customHeight="1" x14ac:dyDescent="0.25">
      <c r="A9" s="16" t="s">
        <v>68</v>
      </c>
      <c r="B9" s="18" t="s">
        <v>96</v>
      </c>
      <c r="C9" s="16" t="s">
        <v>84</v>
      </c>
      <c r="D9" s="12" t="s">
        <v>100</v>
      </c>
      <c r="E9" s="5" t="s">
        <v>32</v>
      </c>
      <c r="F9" s="5" t="s">
        <v>92</v>
      </c>
      <c r="G9" s="6" t="s">
        <v>85</v>
      </c>
      <c r="H9" s="6" t="s">
        <v>41</v>
      </c>
      <c r="I9" s="13"/>
      <c r="J9" s="13"/>
      <c r="K9" s="13"/>
      <c r="L9" s="13"/>
      <c r="M9" s="13"/>
      <c r="N9" s="13"/>
      <c r="O9" s="13"/>
      <c r="P9" s="13"/>
      <c r="Q9" s="13"/>
      <c r="R9" s="6"/>
      <c r="S9" s="6"/>
      <c r="T9" s="6"/>
      <c r="U9" s="6"/>
      <c r="V9" s="6"/>
      <c r="W9" s="6"/>
      <c r="X9" s="6"/>
      <c r="Y9" s="6"/>
      <c r="Z9" s="6"/>
      <c r="AA9" s="13"/>
      <c r="AC9" s="13"/>
      <c r="AD9" s="13"/>
      <c r="AE9" s="13"/>
      <c r="AF9" s="13"/>
      <c r="AG9" s="13"/>
      <c r="AH9" s="3"/>
      <c r="AI9" s="13"/>
      <c r="AJ9" s="11"/>
      <c r="AK9" s="11"/>
      <c r="AL9" s="11"/>
      <c r="AM9" s="3"/>
      <c r="AN9" s="3"/>
      <c r="AO9" s="3"/>
      <c r="AP9" s="3"/>
      <c r="AQ9" s="10"/>
      <c r="AS9" s="10" t="s">
        <v>59</v>
      </c>
      <c r="ALZ9" s="11"/>
    </row>
    <row r="10" spans="1:1014" ht="30" customHeight="1" x14ac:dyDescent="0.25">
      <c r="A10" s="16" t="s">
        <v>69</v>
      </c>
      <c r="B10" s="18" t="s">
        <v>97</v>
      </c>
      <c r="C10" s="16" t="s">
        <v>84</v>
      </c>
      <c r="D10" s="12" t="s">
        <v>99</v>
      </c>
      <c r="E10" s="5" t="s">
        <v>31</v>
      </c>
      <c r="F10" s="5" t="s">
        <v>93</v>
      </c>
      <c r="G10" s="6" t="s">
        <v>85</v>
      </c>
      <c r="H10" s="6" t="s">
        <v>41</v>
      </c>
      <c r="I10" s="13"/>
      <c r="J10" s="13"/>
      <c r="K10" s="13"/>
      <c r="L10" s="13"/>
      <c r="M10" s="13"/>
      <c r="N10" s="13"/>
      <c r="O10" s="13"/>
      <c r="P10" s="13"/>
      <c r="Q10" s="13"/>
      <c r="R10" s="6"/>
      <c r="S10" s="6"/>
      <c r="T10" s="6"/>
      <c r="U10" s="6"/>
      <c r="V10" s="6"/>
      <c r="W10" s="6"/>
      <c r="X10" s="6"/>
      <c r="Y10" s="6"/>
      <c r="Z10" s="6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3"/>
      <c r="AQ10" s="10"/>
      <c r="AR10" s="11"/>
      <c r="AS10" s="10" t="s">
        <v>59</v>
      </c>
      <c r="AT10" s="11"/>
      <c r="ALZ10" s="11"/>
    </row>
    <row r="11" spans="1:1014" ht="30" customHeight="1" x14ac:dyDescent="0.25">
      <c r="A11" s="16" t="s">
        <v>70</v>
      </c>
      <c r="B11" s="18" t="s">
        <v>98</v>
      </c>
      <c r="C11" s="16" t="s">
        <v>84</v>
      </c>
      <c r="D11" s="4" t="s">
        <v>86</v>
      </c>
      <c r="E11" s="14" t="s">
        <v>32</v>
      </c>
      <c r="F11" s="4" t="s">
        <v>102</v>
      </c>
      <c r="G11" s="6" t="s">
        <v>85</v>
      </c>
      <c r="H11" s="6" t="s">
        <v>41</v>
      </c>
      <c r="I11" s="6"/>
      <c r="J11" s="13"/>
      <c r="K11" s="13"/>
      <c r="L11" s="6"/>
      <c r="M11" s="6"/>
      <c r="N11" s="13"/>
      <c r="O11" s="13"/>
      <c r="P11" s="13"/>
      <c r="Q11" s="13"/>
      <c r="R11" s="6"/>
      <c r="S11" s="6"/>
      <c r="T11" s="6"/>
      <c r="U11" s="6"/>
      <c r="V11" s="6"/>
      <c r="W11" s="6"/>
      <c r="X11" s="6"/>
      <c r="Y11" s="6"/>
      <c r="Z11" s="6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3"/>
      <c r="AQ11" s="10"/>
      <c r="AR11" s="11"/>
      <c r="AS11" s="10" t="s">
        <v>59</v>
      </c>
      <c r="AT11" s="11"/>
      <c r="ALZ11" s="11"/>
    </row>
    <row r="12" spans="1:1014" ht="30" customHeight="1" x14ac:dyDescent="0.25">
      <c r="A12" s="16" t="s">
        <v>71</v>
      </c>
      <c r="B12" s="18" t="s">
        <v>104</v>
      </c>
      <c r="C12" s="16" t="s">
        <v>84</v>
      </c>
      <c r="D12" s="12" t="s">
        <v>99</v>
      </c>
      <c r="E12" s="5" t="s">
        <v>32</v>
      </c>
      <c r="F12" s="5" t="s">
        <v>109</v>
      </c>
      <c r="G12" s="6" t="s">
        <v>85</v>
      </c>
      <c r="H12" s="6" t="s">
        <v>41</v>
      </c>
      <c r="I12" s="13"/>
      <c r="J12" s="13"/>
      <c r="K12" s="13"/>
      <c r="L12" s="13"/>
      <c r="M12" s="13"/>
      <c r="N12" s="13"/>
      <c r="O12" s="13"/>
      <c r="P12" s="13"/>
      <c r="Q12" s="13"/>
      <c r="R12" s="6"/>
      <c r="S12" s="6"/>
      <c r="T12" s="6"/>
      <c r="U12" s="6"/>
      <c r="V12" s="6"/>
      <c r="W12" s="6"/>
      <c r="X12" s="6"/>
      <c r="Y12" s="6"/>
      <c r="Z12" s="6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3"/>
      <c r="AQ12" s="10"/>
      <c r="AR12" s="11"/>
      <c r="AS12" s="10" t="s">
        <v>59</v>
      </c>
      <c r="AT12" s="11"/>
      <c r="ALZ12" s="11"/>
    </row>
    <row r="13" spans="1:1014" ht="30" customHeight="1" x14ac:dyDescent="0.25">
      <c r="A13" s="16" t="s">
        <v>72</v>
      </c>
      <c r="B13" s="18" t="s">
        <v>105</v>
      </c>
      <c r="C13" s="16" t="s">
        <v>84</v>
      </c>
      <c r="D13" s="12" t="s">
        <v>87</v>
      </c>
      <c r="E13" s="14" t="s">
        <v>31</v>
      </c>
      <c r="F13" s="4" t="s">
        <v>102</v>
      </c>
      <c r="G13" s="6" t="s">
        <v>85</v>
      </c>
      <c r="H13" s="6" t="s">
        <v>41</v>
      </c>
      <c r="R13" s="6"/>
      <c r="S13" s="6"/>
      <c r="T13" s="6"/>
      <c r="U13" s="6"/>
      <c r="V13" s="6"/>
      <c r="W13" s="6"/>
      <c r="X13" s="6"/>
      <c r="Y13" s="6"/>
      <c r="Z13" s="6"/>
      <c r="AP13" s="3"/>
      <c r="AQ13" s="10"/>
      <c r="AS13" s="10" t="s">
        <v>59</v>
      </c>
      <c r="AT13" s="11"/>
      <c r="ALZ13" s="11"/>
    </row>
    <row r="14" spans="1:1014" ht="30" customHeight="1" x14ac:dyDescent="0.25">
      <c r="A14" s="16" t="s">
        <v>73</v>
      </c>
      <c r="B14" s="18" t="s">
        <v>106</v>
      </c>
      <c r="C14" s="16" t="s">
        <v>84</v>
      </c>
      <c r="D14" s="12" t="s">
        <v>88</v>
      </c>
      <c r="E14" s="14" t="s">
        <v>32</v>
      </c>
      <c r="F14" s="4" t="s">
        <v>93</v>
      </c>
      <c r="G14" s="6" t="s">
        <v>85</v>
      </c>
      <c r="H14" s="6" t="s">
        <v>41</v>
      </c>
      <c r="R14" s="6"/>
      <c r="S14" s="6"/>
      <c r="T14" s="6"/>
      <c r="U14" s="6"/>
      <c r="V14" s="6"/>
      <c r="W14" s="6"/>
      <c r="X14" s="6"/>
      <c r="Y14" s="6"/>
      <c r="Z14" s="6"/>
      <c r="AP14" s="3"/>
      <c r="AQ14" s="10"/>
      <c r="AS14" s="10" t="s">
        <v>59</v>
      </c>
      <c r="AT14" s="11"/>
      <c r="ALZ14" s="11"/>
    </row>
    <row r="15" spans="1:1014" ht="30" customHeight="1" x14ac:dyDescent="0.25">
      <c r="A15" s="16" t="s">
        <v>74</v>
      </c>
      <c r="B15" s="18" t="s">
        <v>107</v>
      </c>
      <c r="C15" s="16" t="s">
        <v>84</v>
      </c>
      <c r="D15" s="12" t="s">
        <v>87</v>
      </c>
      <c r="E15" s="14" t="s">
        <v>32</v>
      </c>
      <c r="F15" s="4" t="s">
        <v>92</v>
      </c>
      <c r="G15" s="6" t="s">
        <v>85</v>
      </c>
      <c r="H15" s="6" t="s">
        <v>41</v>
      </c>
      <c r="R15" s="6"/>
      <c r="S15" s="6"/>
      <c r="T15" s="6"/>
      <c r="U15" s="6"/>
      <c r="V15" s="6"/>
      <c r="W15" s="6"/>
      <c r="X15" s="6"/>
      <c r="Y15" s="6"/>
      <c r="Z15" s="6"/>
      <c r="AP15" s="3"/>
      <c r="AQ15" s="10"/>
      <c r="AS15" s="10" t="s">
        <v>59</v>
      </c>
      <c r="ALZ15" s="11"/>
    </row>
    <row r="16" spans="1:1014" ht="30" customHeight="1" x14ac:dyDescent="0.25">
      <c r="A16" s="16" t="s">
        <v>75</v>
      </c>
      <c r="B16" s="18" t="s">
        <v>108</v>
      </c>
      <c r="C16" s="16" t="s">
        <v>84</v>
      </c>
      <c r="D16" s="12" t="s">
        <v>87</v>
      </c>
      <c r="E16" s="14" t="s">
        <v>34</v>
      </c>
      <c r="F16" s="4" t="s">
        <v>51</v>
      </c>
      <c r="G16" s="6" t="s">
        <v>85</v>
      </c>
      <c r="H16" s="6" t="s">
        <v>41</v>
      </c>
      <c r="R16" s="6"/>
      <c r="S16" s="6"/>
      <c r="T16" s="6"/>
      <c r="U16" s="6"/>
      <c r="V16" s="6"/>
      <c r="W16" s="6"/>
      <c r="X16" s="6"/>
      <c r="Y16" s="6"/>
      <c r="Z16" s="6"/>
      <c r="AP16" s="3"/>
      <c r="AQ16" s="10"/>
      <c r="AS16" s="10" t="s">
        <v>59</v>
      </c>
      <c r="ALZ16" s="11"/>
    </row>
    <row r="17" spans="1:1014" ht="30" customHeight="1" x14ac:dyDescent="0.25">
      <c r="A17" s="16" t="s">
        <v>76</v>
      </c>
      <c r="B17" s="18" t="s">
        <v>110</v>
      </c>
      <c r="C17" s="16" t="s">
        <v>84</v>
      </c>
      <c r="D17" s="12" t="s">
        <v>87</v>
      </c>
      <c r="E17" s="14" t="s">
        <v>34</v>
      </c>
      <c r="F17" s="4" t="s">
        <v>101</v>
      </c>
      <c r="G17" s="6" t="s">
        <v>85</v>
      </c>
      <c r="H17" s="6" t="s">
        <v>41</v>
      </c>
      <c r="R17" s="6"/>
      <c r="S17" s="6"/>
      <c r="T17" s="6"/>
      <c r="U17" s="6"/>
      <c r="V17" s="6"/>
      <c r="W17" s="6"/>
      <c r="X17" s="6"/>
      <c r="Y17" s="6"/>
      <c r="Z17" s="6"/>
      <c r="AO17" s="3"/>
      <c r="AP17" s="3"/>
      <c r="AQ17" s="10"/>
      <c r="AS17" s="10" t="s">
        <v>59</v>
      </c>
      <c r="ALZ17" s="11"/>
    </row>
    <row r="18" spans="1:1014" ht="30" customHeight="1" x14ac:dyDescent="0.25">
      <c r="A18" s="16" t="s">
        <v>77</v>
      </c>
      <c r="B18" s="18" t="s">
        <v>111</v>
      </c>
      <c r="C18" s="16" t="s">
        <v>84</v>
      </c>
      <c r="D18" s="12" t="s">
        <v>87</v>
      </c>
      <c r="E18" s="14" t="s">
        <v>33</v>
      </c>
      <c r="F18" s="1" t="s">
        <v>91</v>
      </c>
      <c r="G18" s="6" t="s">
        <v>85</v>
      </c>
      <c r="H18" s="6" t="s">
        <v>41</v>
      </c>
      <c r="R18" s="6"/>
      <c r="S18" s="6"/>
      <c r="T18" s="6"/>
      <c r="U18" s="6"/>
      <c r="V18" s="6"/>
      <c r="W18" s="6"/>
      <c r="X18" s="6"/>
      <c r="Y18" s="6"/>
      <c r="Z18" s="6"/>
      <c r="AP18" s="3"/>
      <c r="AQ18" s="10"/>
      <c r="AS18" s="10" t="s">
        <v>59</v>
      </c>
      <c r="ALZ18" s="11"/>
    </row>
    <row r="19" spans="1:1014" ht="30" customHeight="1" x14ac:dyDescent="0.25">
      <c r="A19" s="16" t="s">
        <v>78</v>
      </c>
      <c r="B19" s="18" t="s">
        <v>112</v>
      </c>
      <c r="C19" s="16" t="s">
        <v>84</v>
      </c>
      <c r="D19" s="12" t="s">
        <v>86</v>
      </c>
      <c r="E19" s="14" t="s">
        <v>34</v>
      </c>
      <c r="F19" s="4" t="s">
        <v>92</v>
      </c>
      <c r="G19" s="6" t="s">
        <v>85</v>
      </c>
      <c r="H19" s="6" t="s">
        <v>41</v>
      </c>
      <c r="R19" s="6"/>
      <c r="S19" s="6"/>
      <c r="T19" s="6"/>
      <c r="U19" s="6"/>
      <c r="V19" s="6"/>
      <c r="W19" s="6"/>
      <c r="X19" s="6"/>
      <c r="Y19" s="6"/>
      <c r="Z19" s="6"/>
      <c r="AP19" s="3"/>
      <c r="AQ19" s="10"/>
      <c r="AS19" s="10" t="s">
        <v>59</v>
      </c>
      <c r="ALZ19" s="11"/>
    </row>
    <row r="20" spans="1:1014" ht="30" customHeight="1" x14ac:dyDescent="0.25">
      <c r="A20" s="16" t="s">
        <v>130</v>
      </c>
      <c r="B20" s="18" t="s">
        <v>113</v>
      </c>
      <c r="C20" s="16" t="s">
        <v>84</v>
      </c>
      <c r="D20" s="12" t="s">
        <v>100</v>
      </c>
      <c r="E20" s="14" t="s">
        <v>32</v>
      </c>
      <c r="F20" s="4" t="s">
        <v>102</v>
      </c>
      <c r="G20" s="6" t="s">
        <v>85</v>
      </c>
      <c r="H20" s="6" t="s">
        <v>41</v>
      </c>
      <c r="R20" s="6"/>
      <c r="S20" s="6"/>
      <c r="T20" s="6"/>
      <c r="U20" s="6"/>
      <c r="V20" s="6"/>
      <c r="W20" s="6"/>
      <c r="X20" s="6"/>
      <c r="Y20" s="6"/>
      <c r="Z20" s="6"/>
      <c r="AP20" s="3"/>
      <c r="AQ20" s="10"/>
      <c r="AS20" s="10" t="s">
        <v>59</v>
      </c>
      <c r="ALZ20" s="11"/>
    </row>
    <row r="21" spans="1:1014" ht="30" customHeight="1" x14ac:dyDescent="0.25">
      <c r="A21" s="16" t="s">
        <v>131</v>
      </c>
      <c r="B21" s="18" t="s">
        <v>114</v>
      </c>
      <c r="C21" s="16" t="s">
        <v>84</v>
      </c>
      <c r="D21" s="12" t="s">
        <v>100</v>
      </c>
      <c r="E21" s="14" t="s">
        <v>34</v>
      </c>
      <c r="F21" s="4" t="s">
        <v>51</v>
      </c>
      <c r="G21" s="6" t="s">
        <v>85</v>
      </c>
      <c r="H21" s="6" t="s">
        <v>41</v>
      </c>
      <c r="R21" s="6"/>
      <c r="S21" s="6"/>
      <c r="T21" s="6"/>
      <c r="U21" s="6"/>
      <c r="V21" s="6"/>
      <c r="W21" s="6"/>
      <c r="X21" s="6"/>
      <c r="Y21" s="6"/>
      <c r="Z21" s="6"/>
      <c r="AP21" s="3"/>
      <c r="AQ21" s="10"/>
      <c r="AS21" s="10" t="s">
        <v>59</v>
      </c>
      <c r="ALZ21" s="11"/>
    </row>
    <row r="22" spans="1:1014" ht="30" customHeight="1" x14ac:dyDescent="0.25">
      <c r="A22" s="16" t="s">
        <v>132</v>
      </c>
      <c r="B22" s="18" t="s">
        <v>115</v>
      </c>
      <c r="C22" s="16" t="s">
        <v>84</v>
      </c>
      <c r="D22" s="12" t="s">
        <v>100</v>
      </c>
      <c r="E22" s="14" t="s">
        <v>31</v>
      </c>
      <c r="F22" s="4" t="s">
        <v>93</v>
      </c>
      <c r="G22" s="6" t="s">
        <v>85</v>
      </c>
      <c r="H22" s="6" t="s">
        <v>41</v>
      </c>
      <c r="R22" s="6"/>
      <c r="S22" s="6"/>
      <c r="T22" s="6"/>
      <c r="U22" s="6"/>
      <c r="V22" s="6"/>
      <c r="W22" s="6"/>
      <c r="X22" s="6"/>
      <c r="Y22" s="6"/>
      <c r="Z22" s="6"/>
      <c r="AP22" s="3"/>
      <c r="AQ22" s="10"/>
      <c r="AS22" s="10" t="s">
        <v>59</v>
      </c>
      <c r="ALZ22" s="11"/>
    </row>
    <row r="23" spans="1:1014" ht="30" customHeight="1" x14ac:dyDescent="0.25">
      <c r="A23" s="16" t="s">
        <v>133</v>
      </c>
      <c r="B23" s="18" t="s">
        <v>116</v>
      </c>
      <c r="C23" s="16" t="s">
        <v>84</v>
      </c>
      <c r="D23" s="12" t="s">
        <v>87</v>
      </c>
      <c r="E23" s="14" t="s">
        <v>34</v>
      </c>
      <c r="F23" s="4" t="s">
        <v>91</v>
      </c>
      <c r="G23" s="6" t="s">
        <v>85</v>
      </c>
      <c r="H23" s="6" t="s">
        <v>41</v>
      </c>
      <c r="R23" s="6"/>
      <c r="S23" s="6"/>
      <c r="T23" s="6"/>
      <c r="U23" s="6"/>
      <c r="V23" s="6"/>
      <c r="W23" s="6"/>
      <c r="X23" s="6"/>
      <c r="Y23" s="6"/>
      <c r="Z23" s="6"/>
      <c r="AP23" s="3"/>
      <c r="AQ23" s="10"/>
      <c r="AS23" s="10" t="s">
        <v>59</v>
      </c>
      <c r="ALZ23" s="11"/>
    </row>
    <row r="24" spans="1:1014" ht="30" customHeight="1" x14ac:dyDescent="0.25">
      <c r="A24" s="16" t="s">
        <v>134</v>
      </c>
      <c r="B24" s="18" t="s">
        <v>117</v>
      </c>
      <c r="C24" s="16" t="s">
        <v>84</v>
      </c>
      <c r="D24" s="12" t="s">
        <v>87</v>
      </c>
      <c r="E24" s="14" t="s">
        <v>34</v>
      </c>
      <c r="F24" s="4" t="s">
        <v>91</v>
      </c>
      <c r="G24" s="6" t="s">
        <v>85</v>
      </c>
      <c r="H24" s="6" t="s">
        <v>41</v>
      </c>
      <c r="R24" s="6"/>
      <c r="S24" s="6"/>
      <c r="T24" s="6"/>
      <c r="U24" s="6"/>
      <c r="V24" s="6"/>
      <c r="W24" s="6"/>
      <c r="X24" s="6"/>
      <c r="Y24" s="6"/>
      <c r="Z24" s="6"/>
      <c r="AE24" s="3"/>
      <c r="AF24" s="10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10"/>
      <c r="AS24" s="10" t="s">
        <v>59</v>
      </c>
      <c r="ALZ24" s="11"/>
    </row>
    <row r="25" spans="1:1014" ht="30" customHeight="1" x14ac:dyDescent="0.25">
      <c r="A25" s="16" t="s">
        <v>135</v>
      </c>
      <c r="B25" s="18" t="s">
        <v>119</v>
      </c>
      <c r="C25" s="16" t="s">
        <v>84</v>
      </c>
      <c r="D25" s="12" t="s">
        <v>89</v>
      </c>
      <c r="E25" s="14" t="s">
        <v>34</v>
      </c>
      <c r="F25" s="4" t="s">
        <v>91</v>
      </c>
      <c r="G25" s="6" t="s">
        <v>85</v>
      </c>
      <c r="H25" s="6" t="s">
        <v>41</v>
      </c>
      <c r="R25" s="6"/>
      <c r="S25" s="6"/>
      <c r="T25" s="6"/>
      <c r="U25" s="6"/>
      <c r="V25" s="6"/>
      <c r="W25" s="6"/>
      <c r="X25" s="6"/>
      <c r="Y25" s="6"/>
      <c r="Z25" s="6"/>
      <c r="AE25" s="3"/>
      <c r="AF25" s="10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10"/>
      <c r="AS25" s="10" t="s">
        <v>59</v>
      </c>
      <c r="ALZ25" s="11"/>
    </row>
    <row r="26" spans="1:1014" ht="30" customHeight="1" x14ac:dyDescent="0.25">
      <c r="A26" s="16" t="s">
        <v>136</v>
      </c>
      <c r="B26" s="18" t="s">
        <v>118</v>
      </c>
      <c r="C26" s="16" t="s">
        <v>84</v>
      </c>
      <c r="D26" s="12" t="s">
        <v>100</v>
      </c>
      <c r="E26" s="14" t="s">
        <v>34</v>
      </c>
      <c r="F26" s="4" t="s">
        <v>51</v>
      </c>
      <c r="G26" s="6" t="s">
        <v>85</v>
      </c>
      <c r="H26" s="6" t="s">
        <v>41</v>
      </c>
      <c r="R26" s="6"/>
      <c r="S26" s="6"/>
      <c r="T26" s="6"/>
      <c r="U26" s="6"/>
      <c r="V26" s="6"/>
      <c r="W26" s="6"/>
      <c r="X26" s="6"/>
      <c r="Y26" s="6"/>
      <c r="Z26" s="6"/>
      <c r="AE26" s="3"/>
      <c r="AF26" s="10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10"/>
      <c r="AS26" s="10" t="s">
        <v>59</v>
      </c>
      <c r="ALZ26" s="11"/>
    </row>
    <row r="27" spans="1:1014" ht="30" customHeight="1" x14ac:dyDescent="0.25">
      <c r="A27" s="16" t="s">
        <v>137</v>
      </c>
      <c r="B27" s="18" t="s">
        <v>120</v>
      </c>
      <c r="C27" s="16" t="s">
        <v>84</v>
      </c>
      <c r="D27" s="12" t="s">
        <v>86</v>
      </c>
      <c r="E27" s="14" t="s">
        <v>32</v>
      </c>
      <c r="F27" s="4" t="s">
        <v>92</v>
      </c>
      <c r="G27" s="6" t="s">
        <v>85</v>
      </c>
      <c r="H27" s="6" t="s">
        <v>41</v>
      </c>
      <c r="R27" s="6"/>
      <c r="S27" s="6"/>
      <c r="T27" s="6"/>
      <c r="U27" s="6"/>
      <c r="V27" s="6"/>
      <c r="W27" s="6"/>
      <c r="X27" s="6"/>
      <c r="Y27" s="6"/>
      <c r="Z27" s="6"/>
      <c r="AP27" s="3"/>
      <c r="AQ27" s="10"/>
      <c r="AS27" s="10" t="s">
        <v>59</v>
      </c>
      <c r="ALZ27" s="11"/>
    </row>
    <row r="28" spans="1:1014" ht="30" customHeight="1" x14ac:dyDescent="0.25">
      <c r="A28" s="16" t="s">
        <v>138</v>
      </c>
      <c r="B28" s="18" t="s">
        <v>121</v>
      </c>
      <c r="C28" s="16" t="s">
        <v>84</v>
      </c>
      <c r="D28" s="12" t="s">
        <v>87</v>
      </c>
      <c r="E28" s="14" t="s">
        <v>32</v>
      </c>
      <c r="F28" s="4" t="s">
        <v>92</v>
      </c>
      <c r="G28" s="6" t="s">
        <v>85</v>
      </c>
      <c r="H28" s="6" t="s">
        <v>41</v>
      </c>
      <c r="AG28" s="3"/>
      <c r="AH28" s="10"/>
      <c r="AI28" s="3"/>
      <c r="AJ28" s="3"/>
      <c r="AK28" s="3"/>
      <c r="AP28" s="3"/>
      <c r="AQ28" s="10"/>
      <c r="AS28" s="10" t="s">
        <v>59</v>
      </c>
      <c r="ALZ28" s="11"/>
    </row>
    <row r="29" spans="1:1014" ht="30" customHeight="1" x14ac:dyDescent="0.25">
      <c r="A29" s="16" t="s">
        <v>139</v>
      </c>
      <c r="B29" s="18" t="s">
        <v>122</v>
      </c>
      <c r="C29" s="16" t="s">
        <v>84</v>
      </c>
      <c r="D29" s="4" t="s">
        <v>87</v>
      </c>
      <c r="E29" s="14" t="s">
        <v>34</v>
      </c>
      <c r="F29" s="4" t="s">
        <v>125</v>
      </c>
      <c r="G29" s="6" t="s">
        <v>85</v>
      </c>
      <c r="H29" s="6" t="s">
        <v>41</v>
      </c>
      <c r="AP29" s="3"/>
      <c r="AQ29" s="10"/>
      <c r="AS29" s="10" t="s">
        <v>59</v>
      </c>
      <c r="ALZ29" s="11"/>
    </row>
    <row r="30" spans="1:1014" ht="30" customHeight="1" x14ac:dyDescent="0.25">
      <c r="A30" s="16" t="s">
        <v>140</v>
      </c>
      <c r="B30" s="18" t="s">
        <v>123</v>
      </c>
      <c r="C30" s="16" t="s">
        <v>84</v>
      </c>
      <c r="D30" s="4" t="s">
        <v>87</v>
      </c>
      <c r="E30" s="14" t="s">
        <v>34</v>
      </c>
      <c r="F30" s="4" t="s">
        <v>91</v>
      </c>
      <c r="G30" s="6" t="s">
        <v>85</v>
      </c>
      <c r="H30" s="6" t="s">
        <v>41</v>
      </c>
      <c r="AP30" s="3"/>
      <c r="AQ30" s="10"/>
      <c r="AS30" s="10" t="s">
        <v>59</v>
      </c>
      <c r="ALZ30" s="11"/>
    </row>
    <row r="31" spans="1:1014" ht="30" customHeight="1" x14ac:dyDescent="0.25">
      <c r="A31" s="16" t="s">
        <v>141</v>
      </c>
      <c r="B31" s="18" t="s">
        <v>124</v>
      </c>
      <c r="C31" s="16" t="s">
        <v>84</v>
      </c>
      <c r="D31" s="4" t="s">
        <v>86</v>
      </c>
      <c r="E31" s="14" t="s">
        <v>31</v>
      </c>
      <c r="F31" s="4" t="s">
        <v>125</v>
      </c>
      <c r="G31" s="6" t="s">
        <v>85</v>
      </c>
      <c r="H31" s="6" t="s">
        <v>41</v>
      </c>
      <c r="AP31" s="3"/>
      <c r="AQ31" s="10"/>
      <c r="AS31" s="10" t="s">
        <v>59</v>
      </c>
      <c r="ALZ31" s="11"/>
    </row>
    <row r="32" spans="1:1014" ht="30" customHeight="1" x14ac:dyDescent="0.25">
      <c r="A32" s="16" t="s">
        <v>142</v>
      </c>
      <c r="B32" s="18" t="s">
        <v>126</v>
      </c>
      <c r="C32" s="16" t="s">
        <v>84</v>
      </c>
      <c r="D32" s="4" t="s">
        <v>89</v>
      </c>
      <c r="E32" s="14" t="s">
        <v>34</v>
      </c>
      <c r="F32" s="4" t="s">
        <v>92</v>
      </c>
      <c r="G32" s="6" t="s">
        <v>85</v>
      </c>
      <c r="H32" s="6" t="s">
        <v>41</v>
      </c>
      <c r="AP32" s="3"/>
      <c r="AQ32" s="10"/>
      <c r="AS32" s="10" t="s">
        <v>59</v>
      </c>
      <c r="ALZ32" s="11"/>
    </row>
    <row r="33" spans="1:1014" ht="30" customHeight="1" x14ac:dyDescent="0.25">
      <c r="A33" s="16" t="s">
        <v>143</v>
      </c>
      <c r="B33" s="18" t="s">
        <v>127</v>
      </c>
      <c r="C33" s="16" t="s">
        <v>84</v>
      </c>
      <c r="D33" s="4" t="s">
        <v>88</v>
      </c>
      <c r="E33" s="14" t="s">
        <v>31</v>
      </c>
      <c r="F33" s="4" t="s">
        <v>91</v>
      </c>
      <c r="G33" s="6" t="s">
        <v>85</v>
      </c>
      <c r="H33" s="6" t="s">
        <v>41</v>
      </c>
      <c r="AP33" s="3"/>
      <c r="AQ33" s="10"/>
      <c r="AS33" s="10" t="s">
        <v>59</v>
      </c>
      <c r="ALZ33" s="11"/>
    </row>
    <row r="34" spans="1:1014" ht="30" customHeight="1" x14ac:dyDescent="0.25">
      <c r="A34" s="16" t="s">
        <v>144</v>
      </c>
      <c r="B34" s="18" t="s">
        <v>128</v>
      </c>
      <c r="C34" s="16" t="s">
        <v>84</v>
      </c>
      <c r="D34" s="21">
        <v>42</v>
      </c>
      <c r="E34" s="14" t="s">
        <v>32</v>
      </c>
      <c r="F34" s="21">
        <v>56</v>
      </c>
      <c r="G34" s="6" t="s">
        <v>85</v>
      </c>
      <c r="H34" s="6" t="s">
        <v>41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3"/>
      <c r="AQ34" s="10"/>
      <c r="AS34" s="10" t="s">
        <v>59</v>
      </c>
      <c r="ALZ34" s="11"/>
    </row>
    <row r="35" spans="1:1014" ht="30" customHeight="1" x14ac:dyDescent="0.25">
      <c r="A35" s="16" t="s">
        <v>145</v>
      </c>
      <c r="B35" s="18" t="s">
        <v>129</v>
      </c>
      <c r="C35" s="16" t="s">
        <v>84</v>
      </c>
      <c r="D35" s="21">
        <v>40</v>
      </c>
      <c r="E35" s="14" t="s">
        <v>32</v>
      </c>
      <c r="F35" s="21">
        <v>53</v>
      </c>
      <c r="G35" s="6" t="s">
        <v>85</v>
      </c>
      <c r="H35" s="6" t="s">
        <v>41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3"/>
      <c r="AO35" s="24"/>
      <c r="AP35" s="23"/>
      <c r="AQ35" s="10"/>
      <c r="AS35" s="10" t="s">
        <v>59</v>
      </c>
      <c r="ALZ35" s="11"/>
    </row>
    <row r="36" spans="1:1014" ht="30" customHeight="1" x14ac:dyDescent="0.25">
      <c r="A36" s="16" t="s">
        <v>146</v>
      </c>
      <c r="B36" s="18"/>
      <c r="C36" s="16"/>
      <c r="D36" s="21"/>
      <c r="E36" s="14"/>
      <c r="F36" s="21"/>
      <c r="G36" s="6"/>
      <c r="H36" s="6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3"/>
      <c r="AQ36" s="10"/>
      <c r="AS36" s="10" t="s">
        <v>59</v>
      </c>
      <c r="ALZ36" s="11"/>
    </row>
    <row r="37" spans="1:1014" ht="30" customHeight="1" x14ac:dyDescent="0.25">
      <c r="A37" s="16" t="s">
        <v>147</v>
      </c>
      <c r="B37" s="18"/>
      <c r="C37" s="16"/>
      <c r="D37" s="21"/>
      <c r="E37" s="14"/>
      <c r="F37" s="21"/>
      <c r="G37" s="6"/>
      <c r="H37" s="6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3"/>
      <c r="AQ37" s="10"/>
      <c r="AS37" s="10" t="s">
        <v>59</v>
      </c>
      <c r="ALZ37" s="11"/>
    </row>
    <row r="38" spans="1:1014" ht="30" customHeight="1" x14ac:dyDescent="0.25">
      <c r="A38" s="16" t="s">
        <v>148</v>
      </c>
      <c r="B38" s="18"/>
      <c r="C38" s="16"/>
      <c r="D38" s="4"/>
      <c r="E38" s="14"/>
      <c r="F38" s="4"/>
      <c r="G38" s="6"/>
      <c r="H38" s="6"/>
      <c r="AP38" s="3"/>
      <c r="AQ38" s="25"/>
      <c r="AS38" s="10" t="s">
        <v>59</v>
      </c>
      <c r="ALZ38" s="11"/>
    </row>
    <row r="39" spans="1:1014" ht="30" customHeight="1" x14ac:dyDescent="0.25">
      <c r="A39" s="16" t="s">
        <v>149</v>
      </c>
      <c r="B39" s="18"/>
      <c r="C39" s="16"/>
      <c r="D39" s="4"/>
      <c r="E39" s="14"/>
      <c r="F39" s="4"/>
      <c r="G39" s="6"/>
      <c r="H39" s="6"/>
      <c r="AP39" s="3"/>
      <c r="AQ39" s="25"/>
      <c r="AS39" s="10" t="s">
        <v>59</v>
      </c>
      <c r="ALZ39" s="11"/>
    </row>
    <row r="40" spans="1:1014" ht="30" customHeight="1" x14ac:dyDescent="0.25">
      <c r="A40" s="16" t="s">
        <v>150</v>
      </c>
      <c r="B40" s="18"/>
      <c r="C40" s="16"/>
      <c r="D40" s="4"/>
      <c r="E40" s="14"/>
      <c r="F40" s="4"/>
      <c r="G40" s="6"/>
      <c r="H40" s="6"/>
      <c r="AP40" s="3"/>
      <c r="AQ40" s="25"/>
      <c r="AS40" s="10" t="s">
        <v>59</v>
      </c>
      <c r="ALZ40" s="11"/>
    </row>
    <row r="41" spans="1:1014" ht="30" customHeight="1" x14ac:dyDescent="0.25">
      <c r="A41" s="16" t="s">
        <v>151</v>
      </c>
      <c r="B41" s="29"/>
      <c r="C41" s="16"/>
      <c r="D41" s="30"/>
      <c r="E41" s="31"/>
      <c r="F41" s="30"/>
      <c r="G41" s="6"/>
      <c r="H41" s="6"/>
      <c r="AP41" s="3"/>
      <c r="AQ41" s="25"/>
      <c r="ALZ41" s="11"/>
    </row>
    <row r="42" spans="1:1014" ht="30" customHeight="1" x14ac:dyDescent="0.25">
      <c r="A42" s="16" t="s">
        <v>152</v>
      </c>
      <c r="B42" s="29"/>
      <c r="C42" s="16"/>
      <c r="D42" s="30"/>
      <c r="E42" s="31"/>
      <c r="F42" s="30"/>
      <c r="G42" s="6"/>
      <c r="H42" s="6"/>
      <c r="AP42" s="3"/>
      <c r="AQ42" s="25"/>
      <c r="ALZ42" s="11"/>
    </row>
    <row r="43" spans="1:1014" ht="30" customHeight="1" x14ac:dyDescent="0.25">
      <c r="A43" s="16" t="s">
        <v>153</v>
      </c>
      <c r="B43" s="29"/>
      <c r="C43" s="16"/>
      <c r="D43" s="30"/>
      <c r="E43" s="31"/>
      <c r="F43" s="30"/>
      <c r="G43" s="6"/>
      <c r="H43" s="6"/>
      <c r="AP43" s="3"/>
      <c r="AQ43" s="25"/>
      <c r="ALZ43" s="11"/>
    </row>
    <row r="44" spans="1:1014" ht="30" customHeight="1" x14ac:dyDescent="0.25">
      <c r="A44" s="32" t="s">
        <v>60</v>
      </c>
      <c r="B44" s="33"/>
      <c r="C44" s="32"/>
      <c r="D44" s="34"/>
      <c r="E44" s="35"/>
      <c r="F44" s="34"/>
      <c r="G44" s="36"/>
      <c r="H44" s="36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8"/>
      <c r="AQ44" s="38"/>
      <c r="AR44" s="38"/>
      <c r="AS44" s="38"/>
      <c r="AT44" s="38">
        <f>SUBTOTAL(103,Table1[CETAK SEPATU])</f>
        <v>0</v>
      </c>
      <c r="ALZ44" s="11"/>
    </row>
    <row r="45" spans="1:1014" ht="30" customHeight="1" x14ac:dyDescent="0.25">
      <c r="A45" s="12"/>
      <c r="B45" s="12"/>
      <c r="C45" s="18"/>
      <c r="D45" s="12"/>
      <c r="E45" s="4"/>
      <c r="F45" s="14"/>
      <c r="G45" s="4"/>
      <c r="H45" s="6"/>
      <c r="I45" s="6"/>
      <c r="AR45" s="11"/>
    </row>
    <row r="46" spans="1:1014" ht="30" customHeight="1" x14ac:dyDescent="0.25">
      <c r="A46" s="12"/>
      <c r="B46" s="12"/>
      <c r="C46" s="18"/>
      <c r="D46" s="12"/>
      <c r="E46" s="4"/>
      <c r="F46" s="14"/>
      <c r="G46" s="4"/>
      <c r="H46" s="6"/>
      <c r="I46" s="6"/>
      <c r="AR46" s="11"/>
    </row>
    <row r="47" spans="1:1014" ht="30" customHeight="1" x14ac:dyDescent="0.25">
      <c r="A47" s="12"/>
      <c r="B47" s="12"/>
      <c r="C47" s="19"/>
      <c r="D47" s="12"/>
      <c r="E47" s="4"/>
      <c r="F47" s="14"/>
      <c r="G47" s="4"/>
      <c r="H47" s="6"/>
      <c r="I47" s="6"/>
      <c r="AP47" s="3"/>
      <c r="AR47" s="11"/>
    </row>
    <row r="48" spans="1:1014" ht="30" customHeight="1" x14ac:dyDescent="0.25">
      <c r="A48" s="12"/>
      <c r="B48" s="12"/>
      <c r="C48" s="19"/>
      <c r="D48" s="12"/>
      <c r="E48" s="4"/>
      <c r="F48" s="14"/>
      <c r="G48" s="4"/>
      <c r="H48" s="6"/>
      <c r="I48" s="6"/>
      <c r="AR48" s="11"/>
    </row>
    <row r="49" spans="1:44" ht="30" customHeight="1" x14ac:dyDescent="0.25">
      <c r="A49" s="12"/>
      <c r="B49" s="12"/>
      <c r="C49" s="19"/>
      <c r="D49" s="12"/>
      <c r="E49" s="4"/>
      <c r="F49" s="14"/>
      <c r="G49" s="4"/>
      <c r="H49" s="6"/>
      <c r="I49" s="6"/>
      <c r="AR49" s="11"/>
    </row>
    <row r="50" spans="1:44" ht="30" customHeight="1" x14ac:dyDescent="0.25">
      <c r="A50" s="12"/>
      <c r="B50" s="12"/>
      <c r="C50" s="19"/>
      <c r="D50" s="12"/>
      <c r="E50" s="4"/>
      <c r="F50" s="14"/>
      <c r="G50" s="4"/>
      <c r="H50" s="6"/>
      <c r="I50" s="6"/>
      <c r="AR50" s="11"/>
    </row>
    <row r="51" spans="1:44" ht="30" customHeight="1" x14ac:dyDescent="0.25">
      <c r="A51" s="12"/>
      <c r="B51" s="12"/>
      <c r="C51" s="19"/>
      <c r="D51" s="12"/>
      <c r="E51" s="4"/>
      <c r="F51" s="14"/>
      <c r="G51" s="4"/>
      <c r="H51" s="6"/>
      <c r="I51" s="6"/>
      <c r="AR51" s="11"/>
    </row>
    <row r="52" spans="1:44" ht="30" customHeight="1" x14ac:dyDescent="0.25">
      <c r="A52" s="12"/>
      <c r="B52" s="12"/>
      <c r="C52" s="19"/>
      <c r="D52" s="12"/>
      <c r="E52" s="4"/>
      <c r="F52" s="14"/>
      <c r="G52" s="4"/>
      <c r="H52" s="6"/>
      <c r="I52" s="6"/>
      <c r="AR52" s="11"/>
    </row>
    <row r="53" spans="1:44" ht="30" customHeight="1" x14ac:dyDescent="0.25">
      <c r="A53" s="12"/>
      <c r="B53" s="12"/>
      <c r="C53" s="19"/>
      <c r="D53" s="12"/>
      <c r="E53" s="4"/>
      <c r="F53" s="14"/>
      <c r="G53" s="4"/>
      <c r="H53" s="6"/>
      <c r="I53" s="6"/>
      <c r="AR53" s="11"/>
    </row>
    <row r="54" spans="1:44" ht="30" customHeight="1" x14ac:dyDescent="0.25">
      <c r="A54" s="12"/>
      <c r="B54" s="12"/>
      <c r="C54" s="19"/>
      <c r="D54" s="12"/>
      <c r="E54" s="4"/>
      <c r="F54" s="14"/>
      <c r="G54" s="4"/>
      <c r="H54" s="6"/>
      <c r="I54" s="6"/>
      <c r="AR54" s="11"/>
    </row>
    <row r="55" spans="1:44" ht="30" customHeight="1" x14ac:dyDescent="0.25">
      <c r="A55" s="12"/>
      <c r="B55" s="12"/>
      <c r="C55" s="19"/>
      <c r="D55" s="12"/>
      <c r="E55" s="4"/>
      <c r="F55" s="14"/>
      <c r="G55" s="4"/>
      <c r="H55" s="6"/>
      <c r="I55" s="6"/>
      <c r="AR55" s="11"/>
    </row>
    <row r="56" spans="1:44" ht="30" customHeight="1" x14ac:dyDescent="0.25">
      <c r="A56" s="12"/>
      <c r="B56" s="12"/>
      <c r="C56" s="19"/>
      <c r="D56" s="12"/>
      <c r="E56" s="4"/>
      <c r="F56" s="14"/>
      <c r="G56" s="4"/>
      <c r="H56" s="6"/>
      <c r="I56" s="6"/>
      <c r="AR56" s="11"/>
    </row>
    <row r="57" spans="1:44" ht="30" customHeight="1" x14ac:dyDescent="0.25">
      <c r="A57" s="12"/>
      <c r="B57" s="12"/>
      <c r="C57" s="19"/>
      <c r="D57" s="12"/>
      <c r="E57" s="4"/>
      <c r="F57" s="14"/>
      <c r="G57" s="4"/>
      <c r="H57" s="6"/>
      <c r="I57" s="6"/>
      <c r="AR57" s="11"/>
    </row>
    <row r="58" spans="1:44" ht="30" customHeight="1" x14ac:dyDescent="0.25">
      <c r="A58" s="12"/>
      <c r="B58" s="12"/>
      <c r="C58" s="19"/>
      <c r="D58" s="12"/>
      <c r="E58" s="4"/>
      <c r="F58" s="14"/>
      <c r="G58" s="4"/>
      <c r="H58" s="6"/>
      <c r="I58" s="6"/>
      <c r="AR58" s="11"/>
    </row>
    <row r="59" spans="1:44" ht="30" customHeight="1" x14ac:dyDescent="0.25">
      <c r="A59" s="12"/>
      <c r="B59" s="12"/>
      <c r="C59" s="19"/>
      <c r="D59" s="12"/>
      <c r="E59" s="4"/>
      <c r="F59" s="14"/>
      <c r="G59" s="4"/>
      <c r="H59" s="6"/>
      <c r="I59" s="6"/>
      <c r="AR59" s="11"/>
    </row>
    <row r="60" spans="1:44" ht="30" customHeight="1" x14ac:dyDescent="0.25">
      <c r="A60" s="12"/>
      <c r="B60" s="12"/>
      <c r="C60" s="19"/>
      <c r="D60" s="12"/>
      <c r="E60" s="4"/>
      <c r="F60" s="14"/>
      <c r="G60" s="4"/>
      <c r="H60" s="6"/>
      <c r="I60" s="6"/>
      <c r="AR60" s="11"/>
    </row>
    <row r="61" spans="1:44" ht="30" customHeight="1" x14ac:dyDescent="0.25">
      <c r="A61" s="12"/>
      <c r="B61" s="12"/>
      <c r="C61" s="19"/>
      <c r="D61" s="12"/>
      <c r="E61" s="4"/>
      <c r="F61" s="14"/>
      <c r="G61" s="4"/>
      <c r="H61" s="6"/>
      <c r="I61" s="6"/>
      <c r="AR61" s="11"/>
    </row>
    <row r="62" spans="1:44" ht="30" customHeight="1" x14ac:dyDescent="0.25">
      <c r="A62" s="12"/>
      <c r="B62" s="12"/>
      <c r="C62" s="19"/>
      <c r="D62" s="12"/>
      <c r="E62" s="4"/>
      <c r="F62" s="14"/>
      <c r="G62" s="4"/>
      <c r="H62" s="6"/>
      <c r="I62" s="6"/>
      <c r="AR62" s="11"/>
    </row>
    <row r="63" spans="1:44" ht="30" customHeight="1" x14ac:dyDescent="0.25">
      <c r="A63" s="12"/>
      <c r="B63" s="12"/>
      <c r="C63" s="19"/>
      <c r="D63" s="12"/>
      <c r="E63" s="4"/>
      <c r="F63" s="14"/>
      <c r="G63" s="4"/>
      <c r="H63" s="6"/>
      <c r="I63" s="6"/>
      <c r="AR63" s="11"/>
    </row>
    <row r="64" spans="1:44" ht="30" customHeight="1" x14ac:dyDescent="0.25">
      <c r="A64" s="12"/>
      <c r="B64" s="12"/>
      <c r="C64" s="19"/>
      <c r="D64" s="12"/>
      <c r="E64" s="4"/>
      <c r="F64" s="14"/>
      <c r="G64" s="4"/>
      <c r="H64" s="6"/>
      <c r="I64" s="6"/>
      <c r="AR64" s="11"/>
    </row>
    <row r="65" spans="1:44" ht="30" customHeight="1" x14ac:dyDescent="0.25">
      <c r="A65" s="12"/>
      <c r="B65" s="12"/>
      <c r="C65" s="19"/>
      <c r="D65" s="12"/>
      <c r="E65" s="4"/>
      <c r="F65" s="14"/>
      <c r="G65" s="4"/>
      <c r="H65" s="6"/>
      <c r="I65" s="6"/>
      <c r="AR65" s="11"/>
    </row>
    <row r="66" spans="1:44" ht="30" customHeight="1" x14ac:dyDescent="0.25">
      <c r="A66" s="12"/>
      <c r="B66" s="12"/>
      <c r="C66" s="19"/>
      <c r="D66" s="12"/>
      <c r="E66" s="4"/>
      <c r="F66" s="14"/>
      <c r="G66" s="4"/>
      <c r="H66" s="6"/>
      <c r="I66" s="6"/>
      <c r="AR66" s="11"/>
    </row>
    <row r="67" spans="1:44" ht="30" customHeight="1" x14ac:dyDescent="0.25">
      <c r="A67" s="12"/>
      <c r="B67" s="12"/>
      <c r="C67" s="19"/>
      <c r="D67" s="12"/>
      <c r="E67" s="4"/>
      <c r="F67" s="14"/>
      <c r="G67" s="4"/>
      <c r="H67" s="6"/>
      <c r="I67" s="6"/>
      <c r="AR67" s="11"/>
    </row>
    <row r="68" spans="1:44" ht="30" customHeight="1" x14ac:dyDescent="0.25">
      <c r="A68" s="12"/>
      <c r="B68" s="12"/>
      <c r="C68" s="19"/>
      <c r="D68" s="12"/>
      <c r="E68" s="4"/>
      <c r="F68" s="14"/>
      <c r="G68" s="4"/>
      <c r="H68" s="6"/>
      <c r="I68" s="6"/>
      <c r="AR68" s="11"/>
    </row>
    <row r="69" spans="1:44" ht="30" customHeight="1" x14ac:dyDescent="0.25">
      <c r="A69" s="12"/>
      <c r="B69" s="12"/>
      <c r="C69" s="19"/>
      <c r="D69" s="12"/>
      <c r="E69" s="4"/>
      <c r="F69" s="14"/>
      <c r="G69" s="4"/>
      <c r="H69" s="6"/>
      <c r="I69" s="6"/>
      <c r="AR69" s="11"/>
    </row>
    <row r="70" spans="1:44" ht="30" customHeight="1" x14ac:dyDescent="0.25">
      <c r="A70" s="12"/>
      <c r="B70" s="12"/>
      <c r="C70" s="19"/>
      <c r="D70" s="12"/>
      <c r="E70" s="4"/>
      <c r="F70" s="14"/>
      <c r="G70" s="4"/>
      <c r="H70" s="6"/>
      <c r="I70" s="6"/>
      <c r="AR70" s="11"/>
    </row>
    <row r="71" spans="1:44" ht="30" customHeight="1" x14ac:dyDescent="0.25">
      <c r="A71" s="12"/>
      <c r="B71" s="12"/>
      <c r="C71" s="19"/>
      <c r="D71" s="12"/>
      <c r="E71" s="4"/>
      <c r="F71" s="14"/>
      <c r="G71" s="4"/>
      <c r="H71" s="6"/>
      <c r="I71" s="6"/>
      <c r="AR71" s="11"/>
    </row>
    <row r="72" spans="1:44" ht="30" customHeight="1" x14ac:dyDescent="0.25">
      <c r="A72" s="12"/>
      <c r="B72" s="12"/>
      <c r="C72" s="19"/>
      <c r="D72" s="12"/>
      <c r="E72" s="4"/>
      <c r="F72" s="14"/>
      <c r="G72" s="4"/>
      <c r="H72" s="6"/>
      <c r="I72" s="6"/>
      <c r="AR72" s="11"/>
    </row>
    <row r="73" spans="1:44" ht="30" customHeight="1" x14ac:dyDescent="0.25">
      <c r="A73" s="12"/>
      <c r="B73" s="12"/>
      <c r="C73" s="19"/>
      <c r="D73" s="12"/>
      <c r="E73" s="4"/>
      <c r="F73" s="14"/>
      <c r="G73" s="4"/>
      <c r="H73" s="6"/>
      <c r="I73" s="6"/>
    </row>
    <row r="74" spans="1:44" ht="30" customHeight="1" x14ac:dyDescent="0.25">
      <c r="A74" s="12"/>
      <c r="B74" s="12"/>
      <c r="C74" s="19"/>
      <c r="D74" s="12"/>
      <c r="E74" s="4"/>
      <c r="F74" s="14"/>
      <c r="G74" s="4"/>
      <c r="H74" s="6"/>
      <c r="I74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K16"/>
  <sheetViews>
    <sheetView tabSelected="1" workbookViewId="0">
      <selection activeCell="C28" sqref="C28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7.28515625" bestFit="1" customWidth="1"/>
    <col min="7" max="7" width="11.28515625" bestFit="1" customWidth="1"/>
    <col min="8" max="8" width="13.28515625" bestFit="1" customWidth="1"/>
    <col min="9" max="9" width="16.28515625" bestFit="1" customWidth="1"/>
    <col min="10" max="10" width="7.28515625" bestFit="1" customWidth="1"/>
    <col min="11" max="11" width="11.28515625" bestFit="1" customWidth="1"/>
  </cols>
  <sheetData>
    <row r="3" spans="1:11" x14ac:dyDescent="0.25">
      <c r="A3" s="26" t="s">
        <v>52</v>
      </c>
      <c r="B3" t="s">
        <v>54</v>
      </c>
      <c r="D3" s="26" t="s">
        <v>55</v>
      </c>
      <c r="E3" s="26" t="s">
        <v>57</v>
      </c>
      <c r="H3" s="26" t="s">
        <v>58</v>
      </c>
      <c r="I3" s="26" t="s">
        <v>57</v>
      </c>
    </row>
    <row r="4" spans="1:11" x14ac:dyDescent="0.25">
      <c r="A4" s="27" t="s">
        <v>84</v>
      </c>
      <c r="B4" s="28">
        <v>34</v>
      </c>
      <c r="D4" s="26" t="s">
        <v>52</v>
      </c>
      <c r="E4" t="s">
        <v>41</v>
      </c>
      <c r="F4" t="s">
        <v>103</v>
      </c>
      <c r="G4" t="s">
        <v>53</v>
      </c>
      <c r="H4" s="26" t="s">
        <v>52</v>
      </c>
      <c r="I4" t="s">
        <v>41</v>
      </c>
      <c r="J4" t="s">
        <v>103</v>
      </c>
      <c r="K4" t="s">
        <v>53</v>
      </c>
    </row>
    <row r="5" spans="1:11" x14ac:dyDescent="0.25">
      <c r="A5" s="27" t="s">
        <v>103</v>
      </c>
      <c r="B5" s="28"/>
      <c r="D5" s="27">
        <v>40</v>
      </c>
      <c r="E5" s="28">
        <v>1</v>
      </c>
      <c r="F5" s="28"/>
      <c r="G5" s="28">
        <v>1</v>
      </c>
      <c r="H5" s="27">
        <v>53</v>
      </c>
      <c r="I5" s="28">
        <v>1</v>
      </c>
      <c r="J5" s="28"/>
      <c r="K5" s="28">
        <v>1</v>
      </c>
    </row>
    <row r="6" spans="1:11" x14ac:dyDescent="0.25">
      <c r="A6" s="27" t="s">
        <v>53</v>
      </c>
      <c r="B6" s="28">
        <v>34</v>
      </c>
      <c r="D6" s="27">
        <v>42</v>
      </c>
      <c r="E6" s="28">
        <v>1</v>
      </c>
      <c r="F6" s="28"/>
      <c r="G6" s="28">
        <v>1</v>
      </c>
      <c r="H6" s="27">
        <v>56</v>
      </c>
      <c r="I6" s="28">
        <v>1</v>
      </c>
      <c r="J6" s="28"/>
      <c r="K6" s="28">
        <v>1</v>
      </c>
    </row>
    <row r="7" spans="1:11" x14ac:dyDescent="0.25">
      <c r="A7" s="26" t="s">
        <v>52</v>
      </c>
      <c r="B7" t="s">
        <v>56</v>
      </c>
      <c r="D7" s="27" t="s">
        <v>86</v>
      </c>
      <c r="E7" s="28">
        <v>6</v>
      </c>
      <c r="F7" s="28"/>
      <c r="G7" s="28">
        <v>6</v>
      </c>
      <c r="H7" s="27" t="s">
        <v>91</v>
      </c>
      <c r="I7" s="28">
        <v>8</v>
      </c>
      <c r="J7" s="28"/>
      <c r="K7" s="28">
        <v>8</v>
      </c>
    </row>
    <row r="8" spans="1:11" x14ac:dyDescent="0.25">
      <c r="A8" s="27" t="s">
        <v>32</v>
      </c>
      <c r="B8" s="28">
        <v>14</v>
      </c>
      <c r="D8" s="27" t="s">
        <v>90</v>
      </c>
      <c r="E8" s="28">
        <v>1</v>
      </c>
      <c r="F8" s="28"/>
      <c r="G8" s="28">
        <v>1</v>
      </c>
      <c r="H8" s="27" t="s">
        <v>92</v>
      </c>
      <c r="I8" s="28">
        <v>9</v>
      </c>
      <c r="J8" s="28"/>
      <c r="K8" s="28">
        <v>9</v>
      </c>
    </row>
    <row r="9" spans="1:11" x14ac:dyDescent="0.25">
      <c r="A9" s="27" t="s">
        <v>31</v>
      </c>
      <c r="B9" s="28">
        <v>6</v>
      </c>
      <c r="D9" s="27" t="s">
        <v>87</v>
      </c>
      <c r="E9" s="28">
        <v>12</v>
      </c>
      <c r="F9" s="28"/>
      <c r="G9" s="28">
        <v>12</v>
      </c>
      <c r="H9" s="27" t="s">
        <v>93</v>
      </c>
      <c r="I9" s="28">
        <v>5</v>
      </c>
      <c r="J9" s="28"/>
      <c r="K9" s="28">
        <v>5</v>
      </c>
    </row>
    <row r="10" spans="1:11" x14ac:dyDescent="0.25">
      <c r="A10" s="27" t="s">
        <v>34</v>
      </c>
      <c r="B10" s="28">
        <v>13</v>
      </c>
      <c r="D10" s="27" t="s">
        <v>88</v>
      </c>
      <c r="E10" s="28">
        <v>3</v>
      </c>
      <c r="F10" s="28"/>
      <c r="G10" s="28">
        <v>3</v>
      </c>
      <c r="H10" s="27" t="s">
        <v>102</v>
      </c>
      <c r="I10" s="28">
        <v>3</v>
      </c>
      <c r="J10" s="28"/>
      <c r="K10" s="28">
        <v>3</v>
      </c>
    </row>
    <row r="11" spans="1:11" x14ac:dyDescent="0.25">
      <c r="A11" s="27" t="s">
        <v>33</v>
      </c>
      <c r="B11" s="28">
        <v>1</v>
      </c>
      <c r="D11" s="27" t="s">
        <v>99</v>
      </c>
      <c r="E11" s="28">
        <v>3</v>
      </c>
      <c r="F11" s="28"/>
      <c r="G11" s="28">
        <v>3</v>
      </c>
      <c r="H11" s="27" t="s">
        <v>103</v>
      </c>
      <c r="I11" s="28"/>
      <c r="J11" s="28"/>
      <c r="K11" s="28"/>
    </row>
    <row r="12" spans="1:11" x14ac:dyDescent="0.25">
      <c r="A12" s="27" t="s">
        <v>103</v>
      </c>
      <c r="B12" s="28"/>
      <c r="D12" s="27" t="s">
        <v>100</v>
      </c>
      <c r="E12" s="28">
        <v>5</v>
      </c>
      <c r="F12" s="28"/>
      <c r="G12" s="28">
        <v>5</v>
      </c>
      <c r="H12" s="27" t="s">
        <v>109</v>
      </c>
      <c r="I12" s="28">
        <v>1</v>
      </c>
      <c r="J12" s="28"/>
      <c r="K12" s="28">
        <v>1</v>
      </c>
    </row>
    <row r="13" spans="1:11" x14ac:dyDescent="0.25">
      <c r="A13" s="27" t="s">
        <v>53</v>
      </c>
      <c r="B13" s="28">
        <v>34</v>
      </c>
      <c r="D13" s="27" t="s">
        <v>103</v>
      </c>
      <c r="E13" s="28"/>
      <c r="F13" s="28"/>
      <c r="G13" s="28"/>
      <c r="H13" s="27" t="s">
        <v>51</v>
      </c>
      <c r="I13" s="28">
        <v>3</v>
      </c>
      <c r="J13" s="28"/>
      <c r="K13" s="28">
        <v>3</v>
      </c>
    </row>
    <row r="14" spans="1:11" x14ac:dyDescent="0.25">
      <c r="D14" s="27" t="s">
        <v>89</v>
      </c>
      <c r="E14" s="28">
        <v>2</v>
      </c>
      <c r="F14" s="28"/>
      <c r="G14" s="28">
        <v>2</v>
      </c>
      <c r="H14" s="27" t="s">
        <v>101</v>
      </c>
      <c r="I14" s="28">
        <v>1</v>
      </c>
      <c r="J14" s="28"/>
      <c r="K14" s="28">
        <v>1</v>
      </c>
    </row>
    <row r="15" spans="1:11" x14ac:dyDescent="0.25">
      <c r="D15" s="27" t="s">
        <v>53</v>
      </c>
      <c r="E15" s="28">
        <v>34</v>
      </c>
      <c r="F15" s="28"/>
      <c r="G15" s="28">
        <v>34</v>
      </c>
      <c r="H15" s="27" t="s">
        <v>125</v>
      </c>
      <c r="I15" s="28">
        <v>2</v>
      </c>
      <c r="J15" s="28"/>
      <c r="K15" s="28">
        <v>2</v>
      </c>
    </row>
    <row r="16" spans="1:11" x14ac:dyDescent="0.25">
      <c r="H16" s="27" t="s">
        <v>53</v>
      </c>
      <c r="I16" s="28">
        <v>34</v>
      </c>
      <c r="J16" s="28"/>
      <c r="K16" s="28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2021-11-26T10:03:16Z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