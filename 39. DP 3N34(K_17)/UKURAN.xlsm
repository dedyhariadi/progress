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3D454DC8-B57C-4723-B560-0BD7F49E6B2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<sst xmlns="http://schemas.openxmlformats.org/spreadsheetml/2006/main" count="403" uniqueCount="149">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</sst>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36.59056192129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49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49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8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29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29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8" maxValue="106"/>
    </cacheField>
    <cacheField name="CETAK KE" numFmtId="49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39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0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tabSelected="1" topLeftCell="C1" zoomScale="55" zoomScaleNormal="55" workbookViewId="0">
      <pane ySplit="1" topLeftCell="A20" activePane="bottomLeft" state="frozen"/>
      <selection pane="bottomLeft" activeCell="D41" sqref="D41:AQ43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6" t="s">
        <v>130</v>
      </c>
      <c r="B36" s="18" t="s">
        <v>134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6" t="s">
        <v>131</v>
      </c>
      <c r="B37" s="18" t="s">
        <v>135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6" t="s">
        <v>132</v>
      </c>
      <c r="B38" s="18" t="s">
        <v>136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6" t="s">
        <v>133</v>
      </c>
      <c r="B39" s="18" t="s">
        <v>137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6" t="s">
        <v>145</v>
      </c>
      <c r="B40" s="18" t="s">
        <v>138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33" t="s">
        <v>146</v>
      </c>
      <c r="B41" s="34" t="s">
        <v>141</v>
      </c>
      <c r="C41" s="16" t="s">
        <v>82</v>
      </c>
      <c r="D41" s="1">
        <v>44</v>
      </c>
      <c r="E41" s="15" t="s">
        <v>34</v>
      </c>
      <c r="F41" s="1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33" t="s">
        <v>147</v>
      </c>
      <c r="B42" s="34" t="s">
        <v>142</v>
      </c>
      <c r="C42" s="16" t="s">
        <v>82</v>
      </c>
      <c r="D42" s="1">
        <v>39</v>
      </c>
      <c r="E42" s="15" t="s">
        <v>31</v>
      </c>
      <c r="F42" s="1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33" t="s">
        <v>148</v>
      </c>
      <c r="B43" s="34" t="s">
        <v>143</v>
      </c>
      <c r="C43" s="16" t="s">
        <v>82</v>
      </c>
      <c r="D43" s="1">
        <v>43</v>
      </c>
      <c r="E43" s="15" t="s">
        <v>32</v>
      </c>
      <c r="F43" s="1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24" t="s">
        <v>58</v>
      </c>
      <c r="B44" s="25"/>
      <c r="C44" s="24"/>
      <c r="D44" s="26"/>
      <c r="E44" s="27"/>
      <c r="F44" s="26"/>
      <c r="G44" s="28"/>
      <c r="H44" s="28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30"/>
      <c r="AQ44" s="30"/>
      <c r="AR44" s="30"/>
      <c r="AS44" s="30"/>
      <c r="AT44" s="30">
        <f>SUBTOTAL(103,Table1[CETAK SEPATU])</f>
        <v>0</v>
      </c>
    </row>
    <row r="45" spans="1:1014" ht="30" customHeight="1" x14ac:dyDescent="0.25">
      <c r="A45" s="12"/>
      <c r="B45" s="12"/>
      <c r="C45" s="18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8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P47" s="3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H12" sqref="H12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39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3</v>
      </c>
      <c r="F5" s="23"/>
      <c r="G5" s="23">
        <v>3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39</v>
      </c>
      <c r="D6" s="22">
        <v>40</v>
      </c>
      <c r="E6" s="23">
        <v>8</v>
      </c>
      <c r="F6" s="23"/>
      <c r="G6" s="23">
        <v>8</v>
      </c>
      <c r="H6" s="22">
        <v>55</v>
      </c>
      <c r="I6" s="23">
        <v>5</v>
      </c>
      <c r="J6" s="23"/>
      <c r="K6" s="23">
        <v>5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4</v>
      </c>
      <c r="J7" s="23"/>
      <c r="K7" s="23">
        <v>4</v>
      </c>
    </row>
    <row r="8" spans="1:11" x14ac:dyDescent="0.25">
      <c r="A8" s="22" t="s">
        <v>32</v>
      </c>
      <c r="B8" s="23">
        <v>17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7</v>
      </c>
      <c r="D9" s="22">
        <v>43</v>
      </c>
      <c r="E9" s="23">
        <v>3</v>
      </c>
      <c r="F9" s="23"/>
      <c r="G9" s="23">
        <v>3</v>
      </c>
      <c r="H9" s="22">
        <v>58</v>
      </c>
      <c r="I9" s="23">
        <v>8</v>
      </c>
      <c r="J9" s="23"/>
      <c r="K9" s="23">
        <v>8</v>
      </c>
    </row>
    <row r="10" spans="1:11" x14ac:dyDescent="0.25">
      <c r="A10" s="22" t="s">
        <v>34</v>
      </c>
      <c r="B10" s="23">
        <v>14</v>
      </c>
      <c r="D10" s="22">
        <v>44</v>
      </c>
      <c r="E10" s="23">
        <v>2</v>
      </c>
      <c r="F10" s="23"/>
      <c r="G10" s="23">
        <v>2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39</v>
      </c>
      <c r="D13" s="22" t="s">
        <v>52</v>
      </c>
      <c r="E13" s="23">
        <v>39</v>
      </c>
      <c r="F13" s="23"/>
      <c r="G13" s="23">
        <v>39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39</v>
      </c>
      <c r="J14" s="23"/>
      <c r="K14" s="23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2021-12-12T14:59:28Z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