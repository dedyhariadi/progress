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40(K_5) 5T40(K_16)\"/>
    </mc:Choice>
  </mc:AlternateContent>
  <xr:revisionPtr revIDLastSave="0" documentId="13_ncr:1_{EDE780EF-0F3A-45BC-92E3-EE467B1821A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SEMUA!$A$1:$AT$43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<sst xmlns="http://schemas.openxmlformats.org/spreadsheetml/2006/main" count="282" uniqueCount="130">
  <si>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</si>
  <si>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</si>
  <si>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</si>
  <si>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</si>
  <si>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</si>
  <si>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</si>
  <si>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</si>
  <si>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</si>
  <si>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</si>
  <si>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</si>
  <si>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</si>
  <si>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</si>
  <si>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</si>
  <si>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</si>
  <si>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</si>
  <si>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</si>
  <si>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</si>
  <si>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</si>
  <si>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</si>
  <si>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</si>
  <si>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</si>
  <si>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</si>
  <si>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</si>
  <si>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</si>
  <si>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</si>
  <si>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</si>
  <si>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</si>
  <si>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</si>
  <si>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</si>
  <si>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</si>
  <si>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</si>
  <si>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</si>
  <si>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</si>
  <si>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</si>
  <si>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</si>
  <si>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</si>
  <si>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</si>
  <si>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</si>
  <si>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</si>
  <si>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</si>
  <si>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</si>
  <si>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</si>
  <si>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</si>
  <si>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</si>
  <si>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</si>
  <si>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</si>
  <si>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</si>
  <si>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</si>
  <si>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</si>
  <si>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</si>
  <si>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</si>
  <si>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</si>
  <si>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</si>
  <si>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</si>
  <si>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</si>
  <si>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</si>
  <si>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</si>
  <si>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</si>
  <si>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</si>
  <si>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</si>
  <si>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</si>
  <si>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</si>
  <si>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</si>
  <si>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</si>
  <si>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</si>
  <si>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</si>
  <si>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</si>
  <si>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</si>
  <si>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</si>
  <si>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</si>
  <si>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</si>
  <si>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</si>
  <si>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</si>
  <si>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</si>
  <si>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ANGGUN WICAKSONO</t>
  </si>
  <si>
    <t>TRI MARSUDIONO</t>
  </si>
  <si>
    <t>REZA PAHLEVY</t>
  </si>
  <si>
    <t>DP 5 NAUTIKA/40</t>
  </si>
  <si>
    <t>AMIRUDDIN MUSLIMIN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</si>
  <si>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</si>
  <si>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</si>
  <si>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</si>
  <si>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</si>
  <si>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</si>
  <si>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</si>
  <si>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</si>
  <si>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</si>
  <si>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</si>
  <si>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</si>
  <si>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</si>
  <si>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</si>
  <si>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</si>
  <si>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</si>
  <si>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</si>
  <si>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</si>
  <si>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</si>
  <si>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</si>
  <si>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</si>
  <si>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</si>
  <si>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AHMAD SYAIFUL RIJAL</t>
  </si>
  <si>
    <t>AL FAROBY</t>
  </si>
  <si>
    <t>ARIF HIDAYATULLAH</t>
  </si>
  <si>
    <t>GUFRON NUR KHANAFI</t>
  </si>
  <si>
    <t>FATKUR ROHMAN A.Y.</t>
  </si>
  <si>
    <t>FREDY ANDRYAN</t>
  </si>
  <si>
    <t>M. ARIF RIFA'I</t>
  </si>
  <si>
    <t>HALILINTAR HARIDHI</t>
  </si>
  <si>
    <t>ILHAM YANUAR ADI</t>
  </si>
  <si>
    <t>YUSUF</t>
  </si>
  <si>
    <t>YULI BAGUS PRASETYO</t>
  </si>
  <si>
    <t>ARIF HENDRA</t>
  </si>
  <si>
    <t>PUJO PRASETYO</t>
  </si>
  <si>
    <t>V15</t>
  </si>
  <si>
    <t>20 AGUSTUS</t>
  </si>
  <si>
    <t>ALI IQSAN S.</t>
  </si>
  <si>
    <t>MOCH. RIFA'I</t>
  </si>
  <si>
    <t>RYANDARI PUTRA</t>
  </si>
  <si>
    <t>M. FURKAN</t>
  </si>
  <si>
    <t>U10</t>
  </si>
  <si>
    <t>U11</t>
  </si>
  <si>
    <t>U12</t>
  </si>
  <si>
    <t>U13</t>
  </si>
  <si>
    <t>RISWANTO</t>
  </si>
  <si>
    <t>V16</t>
  </si>
  <si>
    <t>23 AGUSTUS</t>
  </si>
  <si>
    <t>V17</t>
  </si>
  <si>
    <t>STREP 1 (0,5cm)</t>
  </si>
  <si>
    <t>ANDIK WIDODO R</t>
  </si>
  <si>
    <t>U14</t>
  </si>
  <si>
    <t>FEBRIYAN PUTRA 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</si>
</sst>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0" fontId="22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left" vertical="center"/>
    </xf>
    <xf numFmtId="0" fontId="23" fillId="0" borderId="4" xfId="0" applyFont="1" applyBorder="1" applyAlignment="1">
      <alignment horizontal="center" vertical="center"/>
    </xf>
    <xf numFmtId="1" fontId="23" fillId="0" borderId="4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NumberFormat="1" applyFont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2" xfId="0" applyFont="1" applyBorder="1" applyAlignment="1">
      <alignment horizontal="center" vertical="center"/>
    </xf>
    <xf numFmtId="1" fontId="23" fillId="0" borderId="2" xfId="0" applyNumberFormat="1" applyFont="1" applyBorder="1" applyAlignment="1">
      <alignment horizontal="center" vertical="center"/>
    </xf>
    <xf numFmtId="49" fontId="22" fillId="0" borderId="2" xfId="0" applyNumberFormat="1" applyFont="1" applyBorder="1" applyAlignment="1">
      <alignment horizontal="center" vertical="center"/>
    </xf>
    <xf numFmtId="0" fontId="22" fillId="0" borderId="2" xfId="0" applyNumberFormat="1" applyFont="1" applyBorder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1" fontId="23" fillId="0" borderId="0" xfId="0" applyNumberFormat="1" applyFont="1" applyAlignment="1">
      <alignment horizontal="center" vertical="center"/>
    </xf>
    <xf numFmtId="16" fontId="0" fillId="0" borderId="0" xfId="0" applyNumberFormat="1" applyFont="1" applyAlignment="1">
      <alignment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24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4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6"/>
  <sheetViews>
    <sheetView tabSelected="1" zoomScale="55" zoomScaleNormal="55" workbookViewId="0">
      <pane ySplit="1" topLeftCell="A2" activePane="bottomLeft" state="frozen"/>
      <selection pane="bottomLeft" activeCell="AR3" sqref="AR3:AR32"/>
    </sheetView>
  </sheetViews>
  <sheetFormatPr defaultColWidth="8.7109375" defaultRowHeight="28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9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14"/>
  </cols>
  <sheetData>
    <row r="1" spans="1:1013" ht="28.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6" t="s">
        <v>6</v>
      </c>
      <c r="F1" s="34" t="s">
        <v>5</v>
      </c>
      <c r="G1" s="4" t="s">
        <v>56</v>
      </c>
      <c r="H1" s="4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28.5" customHeight="1" thickTop="1" x14ac:dyDescent="0.25">
      <c r="A2" s="15" t="s">
        <v>64</v>
      </c>
      <c r="B2" s="16" t="s">
        <v>73</v>
      </c>
      <c r="C2" s="17" t="s">
        <v>77</v>
      </c>
      <c r="D2" s="18">
        <v>40</v>
      </c>
      <c r="E2" s="17" t="s">
        <v>34</v>
      </c>
      <c r="F2" s="17">
        <v>56</v>
      </c>
      <c r="G2" s="19" t="s">
        <v>126</v>
      </c>
      <c r="H2" s="19" t="s">
        <v>45</v>
      </c>
      <c r="I2" s="20">
        <v>48</v>
      </c>
      <c r="J2" s="20">
        <v>57</v>
      </c>
      <c r="K2" s="20">
        <v>20</v>
      </c>
      <c r="L2" s="20">
        <v>15</v>
      </c>
      <c r="M2" s="20">
        <v>112</v>
      </c>
      <c r="N2" s="20">
        <v>106</v>
      </c>
      <c r="O2" s="20">
        <v>118</v>
      </c>
      <c r="P2" s="20">
        <v>71</v>
      </c>
      <c r="Q2" s="20">
        <v>41</v>
      </c>
      <c r="R2" s="10">
        <v>48</v>
      </c>
      <c r="S2" s="20">
        <v>58</v>
      </c>
      <c r="T2" s="20">
        <v>19</v>
      </c>
      <c r="U2" s="20">
        <v>13</v>
      </c>
      <c r="V2" s="20">
        <v>29</v>
      </c>
      <c r="W2" s="20">
        <v>28</v>
      </c>
      <c r="X2" s="20">
        <v>29</v>
      </c>
      <c r="Y2" s="20">
        <v>71</v>
      </c>
      <c r="Z2" s="20">
        <v>41</v>
      </c>
      <c r="AA2" s="20">
        <v>48</v>
      </c>
      <c r="AB2" s="20">
        <v>25</v>
      </c>
      <c r="AC2" s="20">
        <v>19</v>
      </c>
      <c r="AD2" s="20">
        <v>29</v>
      </c>
      <c r="AE2" s="20">
        <v>28</v>
      </c>
      <c r="AF2" s="20">
        <v>29</v>
      </c>
      <c r="AG2" s="20">
        <v>71</v>
      </c>
      <c r="AH2" s="20">
        <v>41</v>
      </c>
      <c r="AI2" s="20">
        <v>98</v>
      </c>
      <c r="AJ2" s="20">
        <v>116</v>
      </c>
      <c r="AK2" s="20">
        <v>68</v>
      </c>
      <c r="AL2" s="20">
        <v>35</v>
      </c>
      <c r="AM2" s="20">
        <v>26</v>
      </c>
      <c r="AN2" s="20">
        <v>20</v>
      </c>
      <c r="AO2" s="19">
        <v>94</v>
      </c>
      <c r="AP2" s="2">
        <v>1</v>
      </c>
      <c r="AQ2" s="14" t="s">
        <v>113</v>
      </c>
      <c r="AR2" s="31">
        <v>44446</v>
      </c>
      <c r="AS2" s="31">
        <v>44444</v>
      </c>
      <c r="AT2" s="31">
        <v>44444</v>
      </c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</row>
    <row r="3" spans="1:1013" ht="28.5" customHeight="1" x14ac:dyDescent="0.25">
      <c r="A3" s="21" t="s">
        <v>65</v>
      </c>
      <c r="B3" s="22" t="s">
        <v>74</v>
      </c>
      <c r="C3" s="23" t="s">
        <v>77</v>
      </c>
      <c r="D3" s="24">
        <v>42</v>
      </c>
      <c r="E3" s="23" t="s">
        <v>33</v>
      </c>
      <c r="F3" s="23">
        <v>58</v>
      </c>
      <c r="G3" s="19" t="s">
        <v>126</v>
      </c>
      <c r="H3" s="19" t="s">
        <v>45</v>
      </c>
      <c r="I3" s="20">
        <v>52</v>
      </c>
      <c r="J3" s="20">
        <v>58</v>
      </c>
      <c r="K3" s="20">
        <v>22</v>
      </c>
      <c r="L3" s="20">
        <v>16</v>
      </c>
      <c r="M3" s="20">
        <v>118</v>
      </c>
      <c r="N3" s="20">
        <v>115</v>
      </c>
      <c r="O3" s="20">
        <v>122</v>
      </c>
      <c r="P3" s="20">
        <v>72</v>
      </c>
      <c r="Q3" s="20">
        <v>46</v>
      </c>
      <c r="R3" s="20">
        <v>52</v>
      </c>
      <c r="S3" s="20">
        <v>59</v>
      </c>
      <c r="T3" s="20">
        <v>21</v>
      </c>
      <c r="U3" s="20">
        <v>13</v>
      </c>
      <c r="V3" s="20">
        <v>31</v>
      </c>
      <c r="W3" s="20">
        <v>29</v>
      </c>
      <c r="X3" s="20">
        <v>31</v>
      </c>
      <c r="Y3" s="20">
        <v>72</v>
      </c>
      <c r="Z3" s="20">
        <v>46</v>
      </c>
      <c r="AA3" s="20">
        <v>52</v>
      </c>
      <c r="AB3" s="20">
        <v>25</v>
      </c>
      <c r="AC3" s="20">
        <v>21</v>
      </c>
      <c r="AD3" s="20">
        <v>31</v>
      </c>
      <c r="AE3" s="20">
        <v>29</v>
      </c>
      <c r="AF3" s="20">
        <v>31</v>
      </c>
      <c r="AG3" s="20">
        <v>72</v>
      </c>
      <c r="AH3" s="20">
        <v>46</v>
      </c>
      <c r="AI3" s="20">
        <v>108</v>
      </c>
      <c r="AJ3" s="20">
        <v>118</v>
      </c>
      <c r="AK3" s="20">
        <v>71</v>
      </c>
      <c r="AL3" s="20">
        <v>37</v>
      </c>
      <c r="AM3" s="20">
        <v>27</v>
      </c>
      <c r="AN3" s="20">
        <v>22</v>
      </c>
      <c r="AO3" s="20">
        <v>94</v>
      </c>
      <c r="AP3" s="2">
        <v>1</v>
      </c>
      <c r="AQ3" s="14" t="s">
        <v>113</v>
      </c>
      <c r="AR3" s="31">
        <v>44446</v>
      </c>
      <c r="AS3" s="31">
        <v>44444</v>
      </c>
      <c r="AT3" s="31">
        <v>44444</v>
      </c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</row>
    <row r="4" spans="1:1013" ht="28.5" customHeight="1" x14ac:dyDescent="0.25">
      <c r="A4" s="21" t="s">
        <v>66</v>
      </c>
      <c r="B4" s="22" t="s">
        <v>75</v>
      </c>
      <c r="C4" s="23" t="s">
        <v>77</v>
      </c>
      <c r="D4" s="24">
        <v>41</v>
      </c>
      <c r="E4" s="23" t="s">
        <v>31</v>
      </c>
      <c r="F4" s="23">
        <v>55</v>
      </c>
      <c r="G4" s="19" t="s">
        <v>126</v>
      </c>
      <c r="H4" s="19" t="s">
        <v>45</v>
      </c>
      <c r="I4" s="20">
        <v>46</v>
      </c>
      <c r="J4" s="20">
        <v>55</v>
      </c>
      <c r="K4" s="20">
        <v>19</v>
      </c>
      <c r="L4" s="20">
        <v>14</v>
      </c>
      <c r="M4" s="20">
        <v>108</v>
      </c>
      <c r="N4" s="20">
        <v>102</v>
      </c>
      <c r="O4" s="20">
        <v>110</v>
      </c>
      <c r="P4" s="20">
        <v>70</v>
      </c>
      <c r="Q4" s="20">
        <v>43</v>
      </c>
      <c r="R4" s="20">
        <v>46</v>
      </c>
      <c r="S4" s="20">
        <v>56</v>
      </c>
      <c r="T4" s="20">
        <v>18</v>
      </c>
      <c r="U4" s="20">
        <v>13</v>
      </c>
      <c r="V4" s="20">
        <v>29</v>
      </c>
      <c r="W4" s="20">
        <v>27</v>
      </c>
      <c r="X4" s="20">
        <v>29</v>
      </c>
      <c r="Y4" s="20">
        <v>70</v>
      </c>
      <c r="Z4" s="20">
        <v>43</v>
      </c>
      <c r="AA4" s="20">
        <v>46</v>
      </c>
      <c r="AB4" s="20">
        <v>24</v>
      </c>
      <c r="AC4" s="20">
        <v>18</v>
      </c>
      <c r="AD4" s="20">
        <v>29</v>
      </c>
      <c r="AE4" s="20">
        <v>27</v>
      </c>
      <c r="AF4" s="20">
        <v>29</v>
      </c>
      <c r="AG4" s="20">
        <v>70</v>
      </c>
      <c r="AH4" s="20">
        <v>43</v>
      </c>
      <c r="AI4" s="20">
        <v>95</v>
      </c>
      <c r="AJ4" s="20">
        <v>105</v>
      </c>
      <c r="AK4" s="20">
        <v>68</v>
      </c>
      <c r="AL4" s="20">
        <v>35</v>
      </c>
      <c r="AM4" s="20">
        <v>26</v>
      </c>
      <c r="AN4" s="20">
        <v>20</v>
      </c>
      <c r="AO4" s="20">
        <v>91</v>
      </c>
      <c r="AP4" s="2">
        <v>1</v>
      </c>
      <c r="AQ4" s="14" t="s">
        <v>113</v>
      </c>
      <c r="AR4" s="31">
        <v>44446</v>
      </c>
      <c r="AS4" s="31">
        <v>44444</v>
      </c>
      <c r="AT4" s="31">
        <v>44444</v>
      </c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</row>
    <row r="5" spans="1:1013" ht="28.5" customHeight="1" x14ac:dyDescent="0.25">
      <c r="A5" s="21" t="s">
        <v>67</v>
      </c>
      <c r="B5" s="22" t="s">
        <v>76</v>
      </c>
      <c r="C5" s="23" t="s">
        <v>77</v>
      </c>
      <c r="D5" s="24">
        <v>43</v>
      </c>
      <c r="E5" s="23" t="s">
        <v>32</v>
      </c>
      <c r="F5" s="23">
        <v>58</v>
      </c>
      <c r="G5" s="19" t="s">
        <v>126</v>
      </c>
      <c r="H5" s="19" t="s">
        <v>45</v>
      </c>
      <c r="I5" s="20">
        <v>45</v>
      </c>
      <c r="J5" s="20">
        <v>57</v>
      </c>
      <c r="K5" s="20">
        <v>19</v>
      </c>
      <c r="L5" s="20">
        <v>14</v>
      </c>
      <c r="M5" s="20">
        <v>95</v>
      </c>
      <c r="N5" s="20">
        <v>92</v>
      </c>
      <c r="O5" s="20">
        <v>100</v>
      </c>
      <c r="P5" s="20">
        <v>67</v>
      </c>
      <c r="Q5" s="20">
        <v>41</v>
      </c>
      <c r="R5" s="20">
        <v>45</v>
      </c>
      <c r="S5" s="20">
        <v>58</v>
      </c>
      <c r="T5" s="20">
        <v>16</v>
      </c>
      <c r="U5" s="20">
        <v>12</v>
      </c>
      <c r="V5" s="20">
        <v>27</v>
      </c>
      <c r="W5" s="20">
        <v>25</v>
      </c>
      <c r="X5" s="20">
        <v>27</v>
      </c>
      <c r="Y5" s="20">
        <v>67</v>
      </c>
      <c r="Z5" s="20">
        <v>41</v>
      </c>
      <c r="AA5" s="20">
        <v>45</v>
      </c>
      <c r="AB5" s="20">
        <v>23</v>
      </c>
      <c r="AC5" s="20">
        <v>16</v>
      </c>
      <c r="AD5" s="20">
        <v>27</v>
      </c>
      <c r="AE5" s="20">
        <v>25</v>
      </c>
      <c r="AF5" s="20">
        <v>27</v>
      </c>
      <c r="AG5" s="20">
        <v>67</v>
      </c>
      <c r="AH5" s="20">
        <v>41</v>
      </c>
      <c r="AI5" s="20">
        <v>85</v>
      </c>
      <c r="AJ5" s="20">
        <v>97</v>
      </c>
      <c r="AK5" s="20">
        <v>64</v>
      </c>
      <c r="AL5" s="20">
        <v>32</v>
      </c>
      <c r="AM5" s="20">
        <v>24</v>
      </c>
      <c r="AN5" s="20">
        <v>19</v>
      </c>
      <c r="AO5" s="20">
        <v>90</v>
      </c>
      <c r="AP5" s="2">
        <v>1</v>
      </c>
      <c r="AQ5" s="14" t="s">
        <v>113</v>
      </c>
      <c r="AR5" s="31">
        <v>44446</v>
      </c>
      <c r="AS5" s="31">
        <v>44444</v>
      </c>
      <c r="AT5" s="31">
        <v>44444</v>
      </c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4"/>
      <c r="IW5" s="14"/>
      <c r="IX5" s="14"/>
      <c r="IY5" s="14"/>
      <c r="IZ5" s="14"/>
      <c r="JA5" s="14"/>
      <c r="JB5" s="14"/>
      <c r="JC5" s="14"/>
      <c r="JD5" s="14"/>
      <c r="JE5" s="14"/>
      <c r="JF5" s="14"/>
      <c r="JG5" s="14"/>
      <c r="JH5" s="14"/>
      <c r="JI5" s="14"/>
      <c r="JJ5" s="14"/>
      <c r="JK5" s="14"/>
      <c r="JL5" s="14"/>
      <c r="JM5" s="14"/>
      <c r="JN5" s="14"/>
      <c r="JO5" s="14"/>
      <c r="JP5" s="14"/>
      <c r="JQ5" s="14"/>
      <c r="JR5" s="14"/>
      <c r="JS5" s="14"/>
      <c r="JT5" s="14"/>
      <c r="JU5" s="14"/>
      <c r="JV5" s="14"/>
      <c r="JW5" s="14"/>
      <c r="JX5" s="14"/>
      <c r="JY5" s="14"/>
      <c r="JZ5" s="14"/>
      <c r="KA5" s="14"/>
      <c r="KB5" s="14"/>
      <c r="KC5" s="14"/>
      <c r="KD5" s="14"/>
      <c r="KE5" s="14"/>
      <c r="KF5" s="14"/>
      <c r="KG5" s="14"/>
      <c r="KH5" s="14"/>
      <c r="KI5" s="14"/>
      <c r="KJ5" s="14"/>
      <c r="KK5" s="14"/>
      <c r="KL5" s="14"/>
      <c r="KM5" s="14"/>
      <c r="KN5" s="14"/>
      <c r="KO5" s="14"/>
      <c r="KP5" s="14"/>
      <c r="KQ5" s="14"/>
      <c r="KR5" s="14"/>
      <c r="KS5" s="14"/>
      <c r="KT5" s="14"/>
      <c r="KU5" s="14"/>
      <c r="KV5" s="14"/>
      <c r="KW5" s="14"/>
      <c r="KX5" s="14"/>
      <c r="KY5" s="14"/>
      <c r="KZ5" s="14"/>
      <c r="LA5" s="14"/>
      <c r="LB5" s="14"/>
      <c r="LC5" s="14"/>
      <c r="LD5" s="14"/>
      <c r="LE5" s="14"/>
      <c r="LF5" s="14"/>
      <c r="LG5" s="14"/>
      <c r="LH5" s="14"/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/>
      <c r="LT5" s="14"/>
      <c r="LU5" s="14"/>
      <c r="LV5" s="14"/>
      <c r="LW5" s="14"/>
      <c r="LX5" s="14"/>
      <c r="LY5" s="14"/>
      <c r="LZ5" s="14"/>
      <c r="MA5" s="14"/>
      <c r="MB5" s="14"/>
      <c r="MC5" s="14"/>
      <c r="MD5" s="14"/>
      <c r="ME5" s="14"/>
      <c r="MF5" s="14"/>
      <c r="MG5" s="14"/>
      <c r="MH5" s="14"/>
      <c r="MI5" s="14"/>
      <c r="MJ5" s="14"/>
      <c r="MK5" s="14"/>
      <c r="ML5" s="14"/>
      <c r="MM5" s="14"/>
      <c r="MN5" s="14"/>
      <c r="MO5" s="14"/>
      <c r="MP5" s="14"/>
      <c r="MQ5" s="14"/>
      <c r="MR5" s="14"/>
      <c r="MS5" s="14"/>
      <c r="MT5" s="14"/>
      <c r="MU5" s="14"/>
      <c r="MV5" s="14"/>
      <c r="MW5" s="14"/>
      <c r="MX5" s="14"/>
      <c r="MY5" s="14"/>
      <c r="MZ5" s="14"/>
      <c r="NA5" s="14"/>
      <c r="NB5" s="14"/>
      <c r="NC5" s="14"/>
      <c r="ND5" s="14"/>
      <c r="NE5" s="14"/>
      <c r="NF5" s="14"/>
      <c r="NG5" s="14"/>
      <c r="NH5" s="14"/>
      <c r="NI5" s="14"/>
      <c r="NJ5" s="14"/>
      <c r="NK5" s="14"/>
      <c r="NL5" s="14"/>
      <c r="NM5" s="14"/>
      <c r="NN5" s="14"/>
      <c r="NO5" s="14"/>
      <c r="NP5" s="14"/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/>
      <c r="RD5" s="14"/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/>
      <c r="RR5" s="14"/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/>
      <c r="VD5" s="14"/>
      <c r="VE5" s="14"/>
      <c r="VF5" s="14"/>
      <c r="VG5" s="14"/>
      <c r="VH5" s="14"/>
      <c r="VI5" s="14"/>
      <c r="VJ5" s="14"/>
      <c r="VK5" s="14"/>
      <c r="VL5" s="14"/>
      <c r="VM5" s="14"/>
      <c r="VN5" s="14"/>
      <c r="VO5" s="14"/>
      <c r="VP5" s="14"/>
      <c r="VQ5" s="14"/>
      <c r="VR5" s="14"/>
      <c r="VS5" s="14"/>
      <c r="VT5" s="14"/>
      <c r="VU5" s="14"/>
      <c r="VV5" s="14"/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/>
      <c r="XF5" s="14"/>
      <c r="XG5" s="14"/>
      <c r="XH5" s="14"/>
      <c r="XI5" s="14"/>
      <c r="XJ5" s="14"/>
      <c r="XK5" s="14"/>
      <c r="XL5" s="14"/>
      <c r="XM5" s="14"/>
      <c r="XN5" s="14"/>
      <c r="XO5" s="14"/>
      <c r="XP5" s="14"/>
      <c r="XQ5" s="14"/>
      <c r="XR5" s="14"/>
      <c r="XS5" s="14"/>
      <c r="XT5" s="14"/>
      <c r="XU5" s="14"/>
      <c r="XV5" s="14"/>
      <c r="XW5" s="14"/>
      <c r="XX5" s="14"/>
      <c r="XY5" s="14"/>
      <c r="XZ5" s="14"/>
      <c r="YA5" s="14"/>
      <c r="YB5" s="14"/>
      <c r="YC5" s="14"/>
      <c r="YD5" s="14"/>
      <c r="YE5" s="14"/>
      <c r="YF5" s="14"/>
      <c r="YG5" s="14"/>
      <c r="YH5" s="14"/>
      <c r="YI5" s="14"/>
      <c r="YJ5" s="14"/>
      <c r="YK5" s="14"/>
      <c r="YL5" s="14"/>
      <c r="YM5" s="14"/>
      <c r="YN5" s="14"/>
      <c r="YO5" s="14"/>
      <c r="YP5" s="14"/>
      <c r="YQ5" s="14"/>
      <c r="YR5" s="14"/>
      <c r="YS5" s="14"/>
      <c r="YT5" s="14"/>
      <c r="YU5" s="14"/>
      <c r="YV5" s="14"/>
      <c r="YW5" s="14"/>
      <c r="YX5" s="14"/>
      <c r="YY5" s="14"/>
      <c r="YZ5" s="14"/>
      <c r="ZA5" s="14"/>
      <c r="ZB5" s="14"/>
      <c r="ZC5" s="14"/>
      <c r="ZD5" s="14"/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/>
      <c r="ZP5" s="14"/>
      <c r="ZQ5" s="14"/>
      <c r="ZR5" s="14"/>
      <c r="ZS5" s="14"/>
      <c r="ZT5" s="14"/>
      <c r="ZU5" s="14"/>
      <c r="ZV5" s="14"/>
      <c r="ZW5" s="14"/>
      <c r="ZX5" s="14"/>
      <c r="ZY5" s="14"/>
      <c r="ZZ5" s="14"/>
      <c r="AAA5" s="14"/>
      <c r="AAB5" s="14"/>
      <c r="AAC5" s="14"/>
      <c r="AAD5" s="14"/>
      <c r="AAE5" s="14"/>
      <c r="AAF5" s="14"/>
      <c r="AAG5" s="14"/>
      <c r="AAH5" s="14"/>
      <c r="AAI5" s="14"/>
      <c r="AAJ5" s="14"/>
      <c r="AAK5" s="14"/>
      <c r="AAL5" s="14"/>
      <c r="AAM5" s="14"/>
      <c r="AAN5" s="14"/>
      <c r="AAO5" s="14"/>
      <c r="AAP5" s="14"/>
      <c r="AAQ5" s="14"/>
      <c r="AAR5" s="14"/>
      <c r="AAS5" s="14"/>
      <c r="AAT5" s="14"/>
      <c r="AAU5" s="14"/>
      <c r="AAV5" s="14"/>
      <c r="AAW5" s="14"/>
      <c r="AAX5" s="14"/>
      <c r="AAY5" s="14"/>
      <c r="AAZ5" s="14"/>
      <c r="ABA5" s="14"/>
      <c r="ABB5" s="14"/>
      <c r="ABC5" s="14"/>
      <c r="ABD5" s="14"/>
      <c r="ABE5" s="14"/>
      <c r="ABF5" s="14"/>
      <c r="ABG5" s="14"/>
      <c r="ABH5" s="14"/>
      <c r="ABI5" s="14"/>
      <c r="ABJ5" s="14"/>
      <c r="ABK5" s="14"/>
      <c r="ABL5" s="14"/>
      <c r="ABM5" s="14"/>
      <c r="ABN5" s="14"/>
      <c r="ABO5" s="14"/>
      <c r="ABP5" s="14"/>
      <c r="ABQ5" s="14"/>
      <c r="ABR5" s="14"/>
      <c r="ABS5" s="14"/>
      <c r="ABT5" s="14"/>
      <c r="ABU5" s="14"/>
      <c r="ABV5" s="14"/>
      <c r="ABW5" s="14"/>
      <c r="ABX5" s="14"/>
      <c r="ABY5" s="14"/>
      <c r="ABZ5" s="14"/>
      <c r="ACA5" s="14"/>
      <c r="ACB5" s="14"/>
      <c r="ACC5" s="14"/>
      <c r="ACD5" s="14"/>
      <c r="ACE5" s="14"/>
      <c r="ACF5" s="14"/>
      <c r="ACG5" s="14"/>
      <c r="ACH5" s="14"/>
      <c r="ACI5" s="14"/>
      <c r="ACJ5" s="14"/>
      <c r="ACK5" s="14"/>
      <c r="ACL5" s="14"/>
      <c r="ACM5" s="14"/>
      <c r="ACN5" s="14"/>
      <c r="ACO5" s="14"/>
      <c r="ACP5" s="14"/>
      <c r="ACQ5" s="14"/>
      <c r="ACR5" s="14"/>
      <c r="ACS5" s="14"/>
      <c r="ACT5" s="14"/>
      <c r="ACU5" s="14"/>
      <c r="ACV5" s="14"/>
      <c r="ACW5" s="14"/>
      <c r="ACX5" s="14"/>
      <c r="ACY5" s="14"/>
      <c r="ACZ5" s="14"/>
      <c r="ADA5" s="14"/>
      <c r="ADB5" s="14"/>
      <c r="ADC5" s="14"/>
      <c r="ADD5" s="14"/>
      <c r="ADE5" s="14"/>
      <c r="ADF5" s="14"/>
      <c r="ADG5" s="14"/>
      <c r="ADH5" s="14"/>
      <c r="ADI5" s="14"/>
      <c r="ADJ5" s="14"/>
      <c r="ADK5" s="14"/>
      <c r="ADL5" s="14"/>
      <c r="ADM5" s="14"/>
      <c r="ADN5" s="14"/>
      <c r="ADO5" s="14"/>
      <c r="ADP5" s="14"/>
      <c r="ADQ5" s="14"/>
      <c r="ADR5" s="14"/>
      <c r="ADS5" s="14"/>
      <c r="ADT5" s="14"/>
      <c r="ADU5" s="14"/>
      <c r="ADV5" s="14"/>
      <c r="ADW5" s="14"/>
      <c r="ADX5" s="14"/>
      <c r="ADY5" s="14"/>
      <c r="ADZ5" s="14"/>
      <c r="AEA5" s="14"/>
      <c r="AEB5" s="14"/>
      <c r="AEC5" s="14"/>
      <c r="AED5" s="14"/>
      <c r="AEE5" s="14"/>
      <c r="AEF5" s="14"/>
      <c r="AEG5" s="14"/>
      <c r="AEH5" s="14"/>
      <c r="AEI5" s="14"/>
      <c r="AEJ5" s="14"/>
      <c r="AEK5" s="14"/>
      <c r="AEL5" s="14"/>
      <c r="AEM5" s="14"/>
      <c r="AEN5" s="14"/>
      <c r="AEO5" s="14"/>
      <c r="AEP5" s="14"/>
      <c r="AEQ5" s="14"/>
      <c r="AER5" s="14"/>
      <c r="AES5" s="14"/>
      <c r="AET5" s="14"/>
      <c r="AEU5" s="14"/>
      <c r="AEV5" s="14"/>
      <c r="AEW5" s="14"/>
      <c r="AEX5" s="14"/>
      <c r="AEY5" s="14"/>
      <c r="AEZ5" s="14"/>
      <c r="AFA5" s="14"/>
      <c r="AFB5" s="14"/>
      <c r="AFC5" s="14"/>
      <c r="AFD5" s="14"/>
      <c r="AFE5" s="14"/>
      <c r="AFF5" s="14"/>
      <c r="AFG5" s="14"/>
      <c r="AFH5" s="14"/>
      <c r="AFI5" s="14"/>
      <c r="AFJ5" s="14"/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/>
      <c r="AGB5" s="14"/>
      <c r="AGC5" s="14"/>
      <c r="AGD5" s="14"/>
      <c r="AGE5" s="14"/>
      <c r="AGF5" s="14"/>
      <c r="AGG5" s="14"/>
      <c r="AGH5" s="14"/>
      <c r="AGI5" s="14"/>
      <c r="AGJ5" s="14"/>
      <c r="AGK5" s="14"/>
      <c r="AGL5" s="14"/>
      <c r="AGM5" s="14"/>
      <c r="AGN5" s="14"/>
      <c r="AGO5" s="14"/>
      <c r="AGP5" s="14"/>
      <c r="AGQ5" s="14"/>
      <c r="AGR5" s="14"/>
      <c r="AGS5" s="14"/>
      <c r="AGT5" s="14"/>
      <c r="AGU5" s="14"/>
      <c r="AGV5" s="14"/>
      <c r="AGW5" s="14"/>
      <c r="AGX5" s="14"/>
      <c r="AGY5" s="14"/>
      <c r="AGZ5" s="14"/>
      <c r="AHA5" s="14"/>
      <c r="AHB5" s="14"/>
      <c r="AHC5" s="14"/>
      <c r="AHD5" s="14"/>
      <c r="AHE5" s="14"/>
      <c r="AHF5" s="14"/>
      <c r="AHG5" s="14"/>
      <c r="AHH5" s="14"/>
      <c r="AHI5" s="14"/>
      <c r="AHJ5" s="14"/>
      <c r="AHK5" s="14"/>
      <c r="AHL5" s="14"/>
      <c r="AHM5" s="14"/>
      <c r="AHN5" s="14"/>
      <c r="AHO5" s="14"/>
      <c r="AHP5" s="14"/>
      <c r="AHQ5" s="14"/>
      <c r="AHR5" s="14"/>
      <c r="AHS5" s="14"/>
      <c r="AHT5" s="14"/>
      <c r="AHU5" s="14"/>
      <c r="AHV5" s="14"/>
      <c r="AHW5" s="14"/>
      <c r="AHX5" s="14"/>
      <c r="AHY5" s="14"/>
      <c r="AHZ5" s="14"/>
      <c r="AIA5" s="14"/>
      <c r="AIB5" s="14"/>
      <c r="AIC5" s="14"/>
      <c r="AID5" s="14"/>
      <c r="AIE5" s="14"/>
      <c r="AIF5" s="14"/>
      <c r="AIG5" s="14"/>
      <c r="AIH5" s="14"/>
      <c r="AII5" s="14"/>
      <c r="AIJ5" s="14"/>
      <c r="AIK5" s="14"/>
      <c r="AIL5" s="14"/>
      <c r="AIM5" s="14"/>
      <c r="AIN5" s="14"/>
      <c r="AIO5" s="14"/>
      <c r="AIP5" s="14"/>
      <c r="AIQ5" s="14"/>
      <c r="AIR5" s="14"/>
      <c r="AIS5" s="14"/>
      <c r="AIT5" s="14"/>
      <c r="AIU5" s="14"/>
      <c r="AIV5" s="14"/>
      <c r="AIW5" s="14"/>
      <c r="AIX5" s="14"/>
      <c r="AIY5" s="14"/>
      <c r="AIZ5" s="14"/>
      <c r="AJA5" s="14"/>
      <c r="AJB5" s="14"/>
      <c r="AJC5" s="14"/>
      <c r="AJD5" s="14"/>
      <c r="AJE5" s="14"/>
      <c r="AJF5" s="14"/>
      <c r="AJG5" s="14"/>
      <c r="AJH5" s="14"/>
      <c r="AJI5" s="14"/>
      <c r="AJJ5" s="14"/>
      <c r="AJK5" s="14"/>
      <c r="AJL5" s="14"/>
      <c r="AJM5" s="14"/>
      <c r="AJN5" s="14"/>
      <c r="AJO5" s="14"/>
      <c r="AJP5" s="14"/>
      <c r="AJQ5" s="14"/>
      <c r="AJR5" s="14"/>
      <c r="AJS5" s="14"/>
      <c r="AJT5" s="14"/>
      <c r="AJU5" s="14"/>
      <c r="AJV5" s="14"/>
      <c r="AJW5" s="14"/>
      <c r="AJX5" s="14"/>
      <c r="AJY5" s="14"/>
      <c r="AJZ5" s="14"/>
      <c r="AKA5" s="14"/>
      <c r="AKB5" s="14"/>
      <c r="AKC5" s="14"/>
      <c r="AKD5" s="14"/>
      <c r="AKE5" s="14"/>
      <c r="AKF5" s="14"/>
      <c r="AKG5" s="14"/>
      <c r="AKH5" s="14"/>
      <c r="AKI5" s="14"/>
      <c r="AKJ5" s="14"/>
      <c r="AKK5" s="14"/>
      <c r="AKL5" s="14"/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</row>
    <row r="6" spans="1:1013" ht="28.5" customHeight="1" x14ac:dyDescent="0.25">
      <c r="A6" s="21" t="s">
        <v>68</v>
      </c>
      <c r="B6" s="22" t="s">
        <v>78</v>
      </c>
      <c r="C6" s="23" t="s">
        <v>77</v>
      </c>
      <c r="D6" s="24">
        <v>42</v>
      </c>
      <c r="E6" s="23" t="s">
        <v>32</v>
      </c>
      <c r="F6" s="23">
        <v>55</v>
      </c>
      <c r="G6" s="19" t="s">
        <v>126</v>
      </c>
      <c r="H6" s="19" t="s">
        <v>45</v>
      </c>
      <c r="I6" s="20">
        <v>46</v>
      </c>
      <c r="J6" s="20">
        <v>61</v>
      </c>
      <c r="K6" s="20">
        <v>20</v>
      </c>
      <c r="L6" s="20">
        <v>15</v>
      </c>
      <c r="M6" s="20">
        <v>110</v>
      </c>
      <c r="N6" s="20">
        <v>102</v>
      </c>
      <c r="O6" s="20">
        <v>112</v>
      </c>
      <c r="P6" s="20">
        <v>70</v>
      </c>
      <c r="Q6" s="20">
        <v>42</v>
      </c>
      <c r="R6" s="20">
        <v>46</v>
      </c>
      <c r="S6" s="20">
        <v>62</v>
      </c>
      <c r="T6" s="20">
        <v>19</v>
      </c>
      <c r="U6" s="20">
        <v>13</v>
      </c>
      <c r="V6" s="20">
        <v>29</v>
      </c>
      <c r="W6" s="20">
        <v>27</v>
      </c>
      <c r="X6" s="20">
        <v>29</v>
      </c>
      <c r="Y6" s="20">
        <v>70</v>
      </c>
      <c r="Z6" s="20">
        <v>42</v>
      </c>
      <c r="AA6" s="20">
        <v>46</v>
      </c>
      <c r="AB6" s="20">
        <v>26</v>
      </c>
      <c r="AC6" s="20">
        <v>19</v>
      </c>
      <c r="AD6" s="20">
        <v>29</v>
      </c>
      <c r="AE6" s="20">
        <v>27</v>
      </c>
      <c r="AF6" s="20">
        <v>29</v>
      </c>
      <c r="AG6" s="20">
        <v>70</v>
      </c>
      <c r="AH6" s="20">
        <v>42</v>
      </c>
      <c r="AI6" s="20">
        <v>91</v>
      </c>
      <c r="AJ6" s="20">
        <v>110</v>
      </c>
      <c r="AK6" s="20">
        <v>68</v>
      </c>
      <c r="AL6" s="20">
        <v>34</v>
      </c>
      <c r="AM6" s="20">
        <v>26</v>
      </c>
      <c r="AN6" s="20">
        <v>19</v>
      </c>
      <c r="AO6" s="20">
        <v>100</v>
      </c>
      <c r="AP6" s="2">
        <v>1</v>
      </c>
      <c r="AQ6" s="14" t="s">
        <v>113</v>
      </c>
      <c r="AR6" s="31">
        <v>44446</v>
      </c>
      <c r="AS6" s="31">
        <v>44444</v>
      </c>
      <c r="AT6" s="31">
        <v>44444</v>
      </c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  <c r="NE6" s="14"/>
      <c r="NF6" s="14"/>
      <c r="NG6" s="14"/>
      <c r="NH6" s="14"/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/>
      <c r="RR6" s="14"/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/>
      <c r="VD6" s="14"/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/>
      <c r="XL6" s="14"/>
      <c r="XM6" s="14"/>
      <c r="XN6" s="14"/>
      <c r="XO6" s="14"/>
      <c r="XP6" s="14"/>
      <c r="XQ6" s="14"/>
      <c r="XR6" s="14"/>
      <c r="XS6" s="14"/>
      <c r="XT6" s="14"/>
      <c r="XU6" s="14"/>
      <c r="XV6" s="14"/>
      <c r="XW6" s="14"/>
      <c r="XX6" s="14"/>
      <c r="XY6" s="14"/>
      <c r="XZ6" s="14"/>
      <c r="YA6" s="14"/>
      <c r="YB6" s="14"/>
      <c r="YC6" s="14"/>
      <c r="YD6" s="14"/>
      <c r="YE6" s="14"/>
      <c r="YF6" s="14"/>
      <c r="YG6" s="14"/>
      <c r="YH6" s="14"/>
      <c r="YI6" s="14"/>
      <c r="YJ6" s="14"/>
      <c r="YK6" s="14"/>
      <c r="YL6" s="14"/>
      <c r="YM6" s="14"/>
      <c r="YN6" s="14"/>
      <c r="YO6" s="14"/>
      <c r="YP6" s="14"/>
      <c r="YQ6" s="14"/>
      <c r="YR6" s="14"/>
      <c r="YS6" s="14"/>
      <c r="YT6" s="14"/>
      <c r="YU6" s="14"/>
      <c r="YV6" s="14"/>
      <c r="YW6" s="14"/>
      <c r="YX6" s="14"/>
      <c r="YY6" s="14"/>
      <c r="YZ6" s="14"/>
      <c r="ZA6" s="14"/>
      <c r="ZB6" s="14"/>
      <c r="ZC6" s="14"/>
      <c r="ZD6" s="14"/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/>
      <c r="ZP6" s="14"/>
      <c r="ZQ6" s="14"/>
      <c r="ZR6" s="14"/>
      <c r="ZS6" s="14"/>
      <c r="ZT6" s="14"/>
      <c r="ZU6" s="14"/>
      <c r="ZV6" s="14"/>
      <c r="ZW6" s="14"/>
      <c r="ZX6" s="14"/>
      <c r="ZY6" s="14"/>
      <c r="ZZ6" s="14"/>
      <c r="AAA6" s="14"/>
      <c r="AAB6" s="14"/>
      <c r="AAC6" s="14"/>
      <c r="AAD6" s="14"/>
      <c r="AAE6" s="14"/>
      <c r="AAF6" s="14"/>
      <c r="AAG6" s="14"/>
      <c r="AAH6" s="14"/>
      <c r="AAI6" s="14"/>
      <c r="AAJ6" s="14"/>
      <c r="AAK6" s="14"/>
      <c r="AAL6" s="14"/>
      <c r="AAM6" s="14"/>
      <c r="AAN6" s="14"/>
      <c r="AAO6" s="14"/>
      <c r="AAP6" s="14"/>
      <c r="AAQ6" s="14"/>
      <c r="AAR6" s="14"/>
      <c r="AAS6" s="14"/>
      <c r="AAT6" s="14"/>
      <c r="AAU6" s="14"/>
      <c r="AAV6" s="14"/>
      <c r="AAW6" s="14"/>
      <c r="AAX6" s="14"/>
      <c r="AAY6" s="14"/>
      <c r="AAZ6" s="14"/>
      <c r="ABA6" s="14"/>
      <c r="ABB6" s="14"/>
      <c r="ABC6" s="14"/>
      <c r="ABD6" s="14"/>
      <c r="ABE6" s="14"/>
      <c r="ABF6" s="14"/>
      <c r="ABG6" s="14"/>
      <c r="ABH6" s="14"/>
      <c r="ABI6" s="14"/>
      <c r="ABJ6" s="14"/>
      <c r="ABK6" s="14"/>
      <c r="ABL6" s="14"/>
      <c r="ABM6" s="14"/>
      <c r="ABN6" s="14"/>
      <c r="ABO6" s="14"/>
      <c r="ABP6" s="14"/>
      <c r="ABQ6" s="14"/>
      <c r="ABR6" s="14"/>
      <c r="ABS6" s="14"/>
      <c r="ABT6" s="14"/>
      <c r="ABU6" s="14"/>
      <c r="ABV6" s="14"/>
      <c r="ABW6" s="14"/>
      <c r="ABX6" s="14"/>
      <c r="ABY6" s="14"/>
      <c r="ABZ6" s="14"/>
      <c r="ACA6" s="14"/>
      <c r="ACB6" s="14"/>
      <c r="ACC6" s="14"/>
      <c r="ACD6" s="14"/>
      <c r="ACE6" s="14"/>
      <c r="ACF6" s="14"/>
      <c r="ACG6" s="14"/>
      <c r="ACH6" s="14"/>
      <c r="ACI6" s="14"/>
      <c r="ACJ6" s="14"/>
      <c r="ACK6" s="14"/>
      <c r="ACL6" s="14"/>
      <c r="ACM6" s="14"/>
      <c r="ACN6" s="14"/>
      <c r="ACO6" s="14"/>
      <c r="ACP6" s="14"/>
      <c r="ACQ6" s="14"/>
      <c r="ACR6" s="14"/>
      <c r="ACS6" s="14"/>
      <c r="ACT6" s="14"/>
      <c r="ACU6" s="14"/>
      <c r="ACV6" s="14"/>
      <c r="ACW6" s="14"/>
      <c r="ACX6" s="14"/>
      <c r="ACY6" s="14"/>
      <c r="ACZ6" s="14"/>
      <c r="ADA6" s="14"/>
      <c r="ADB6" s="14"/>
      <c r="ADC6" s="14"/>
      <c r="ADD6" s="14"/>
      <c r="ADE6" s="14"/>
      <c r="ADF6" s="14"/>
      <c r="ADG6" s="14"/>
      <c r="ADH6" s="14"/>
      <c r="ADI6" s="14"/>
      <c r="ADJ6" s="14"/>
      <c r="ADK6" s="14"/>
      <c r="ADL6" s="14"/>
      <c r="ADM6" s="14"/>
      <c r="ADN6" s="14"/>
      <c r="ADO6" s="14"/>
      <c r="ADP6" s="14"/>
      <c r="ADQ6" s="14"/>
      <c r="ADR6" s="14"/>
      <c r="ADS6" s="14"/>
      <c r="ADT6" s="14"/>
      <c r="ADU6" s="14"/>
      <c r="ADV6" s="14"/>
      <c r="ADW6" s="14"/>
      <c r="ADX6" s="14"/>
      <c r="ADY6" s="14"/>
      <c r="ADZ6" s="14"/>
      <c r="AEA6" s="14"/>
      <c r="AEB6" s="14"/>
      <c r="AEC6" s="14"/>
      <c r="AED6" s="14"/>
      <c r="AEE6" s="14"/>
      <c r="AEF6" s="14"/>
      <c r="AEG6" s="14"/>
      <c r="AEH6" s="14"/>
      <c r="AEI6" s="14"/>
      <c r="AEJ6" s="14"/>
      <c r="AEK6" s="14"/>
      <c r="AEL6" s="14"/>
      <c r="AEM6" s="14"/>
      <c r="AEN6" s="14"/>
      <c r="AEO6" s="14"/>
      <c r="AEP6" s="14"/>
      <c r="AEQ6" s="14"/>
      <c r="AER6" s="14"/>
      <c r="AES6" s="14"/>
      <c r="AET6" s="14"/>
      <c r="AEU6" s="14"/>
      <c r="AEV6" s="14"/>
      <c r="AEW6" s="14"/>
      <c r="AEX6" s="14"/>
      <c r="AEY6" s="14"/>
      <c r="AEZ6" s="14"/>
      <c r="AFA6" s="14"/>
      <c r="AFB6" s="14"/>
      <c r="AFC6" s="14"/>
      <c r="AFD6" s="14"/>
      <c r="AFE6" s="14"/>
      <c r="AFF6" s="14"/>
      <c r="AFG6" s="14"/>
      <c r="AFH6" s="14"/>
      <c r="AFI6" s="14"/>
      <c r="AFJ6" s="14"/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/>
      <c r="AGB6" s="14"/>
      <c r="AGC6" s="14"/>
      <c r="AGD6" s="14"/>
      <c r="AGE6" s="14"/>
      <c r="AGF6" s="14"/>
      <c r="AGG6" s="14"/>
      <c r="AGH6" s="14"/>
      <c r="AGI6" s="14"/>
      <c r="AGJ6" s="14"/>
      <c r="AGK6" s="14"/>
      <c r="AGL6" s="14"/>
      <c r="AGM6" s="14"/>
      <c r="AGN6" s="14"/>
      <c r="AGO6" s="14"/>
      <c r="AGP6" s="14"/>
      <c r="AGQ6" s="14"/>
      <c r="AGR6" s="14"/>
      <c r="AGS6" s="14"/>
      <c r="AGT6" s="14"/>
      <c r="AGU6" s="14"/>
      <c r="AGV6" s="14"/>
      <c r="AGW6" s="14"/>
      <c r="AGX6" s="14"/>
      <c r="AGY6" s="14"/>
      <c r="AGZ6" s="14"/>
      <c r="AHA6" s="14"/>
      <c r="AHB6" s="14"/>
      <c r="AHC6" s="14"/>
      <c r="AHD6" s="14"/>
      <c r="AHE6" s="14"/>
      <c r="AHF6" s="14"/>
      <c r="AHG6" s="14"/>
      <c r="AHH6" s="14"/>
      <c r="AHI6" s="14"/>
      <c r="AHJ6" s="14"/>
      <c r="AHK6" s="14"/>
      <c r="AHL6" s="14"/>
      <c r="AHM6" s="14"/>
      <c r="AHN6" s="14"/>
      <c r="AHO6" s="14"/>
      <c r="AHP6" s="14"/>
      <c r="AHQ6" s="14"/>
      <c r="AHR6" s="14"/>
      <c r="AHS6" s="14"/>
      <c r="AHT6" s="14"/>
      <c r="AHU6" s="14"/>
      <c r="AHV6" s="14"/>
      <c r="AHW6" s="14"/>
      <c r="AHX6" s="14"/>
      <c r="AHY6" s="14"/>
      <c r="AHZ6" s="14"/>
      <c r="AIA6" s="14"/>
      <c r="AIB6" s="14"/>
      <c r="AIC6" s="14"/>
      <c r="AID6" s="14"/>
      <c r="AIE6" s="14"/>
      <c r="AIF6" s="14"/>
      <c r="AIG6" s="14"/>
      <c r="AIH6" s="14"/>
      <c r="AII6" s="14"/>
      <c r="AIJ6" s="14"/>
      <c r="AIK6" s="14"/>
      <c r="AIL6" s="14"/>
      <c r="AIM6" s="14"/>
      <c r="AIN6" s="14"/>
      <c r="AIO6" s="14"/>
      <c r="AIP6" s="14"/>
      <c r="AIQ6" s="14"/>
      <c r="AIR6" s="14"/>
      <c r="AIS6" s="14"/>
      <c r="AIT6" s="14"/>
      <c r="AIU6" s="14"/>
      <c r="AIV6" s="14"/>
      <c r="AIW6" s="14"/>
      <c r="AIX6" s="14"/>
      <c r="AIY6" s="14"/>
      <c r="AIZ6" s="14"/>
      <c r="AJA6" s="14"/>
      <c r="AJB6" s="14"/>
      <c r="AJC6" s="14"/>
      <c r="AJD6" s="14"/>
      <c r="AJE6" s="14"/>
      <c r="AJF6" s="14"/>
      <c r="AJG6" s="14"/>
      <c r="AJH6" s="14"/>
      <c r="AJI6" s="14"/>
      <c r="AJJ6" s="14"/>
      <c r="AJK6" s="14"/>
      <c r="AJL6" s="14"/>
      <c r="AJM6" s="14"/>
      <c r="AJN6" s="14"/>
      <c r="AJO6" s="14"/>
      <c r="AJP6" s="14"/>
      <c r="AJQ6" s="14"/>
      <c r="AJR6" s="14"/>
      <c r="AJS6" s="14"/>
      <c r="AJT6" s="14"/>
      <c r="AJU6" s="14"/>
      <c r="AJV6" s="14"/>
      <c r="AJW6" s="14"/>
      <c r="AJX6" s="14"/>
      <c r="AJY6" s="14"/>
      <c r="AJZ6" s="14"/>
      <c r="AKA6" s="14"/>
      <c r="AKB6" s="14"/>
      <c r="AKC6" s="14"/>
      <c r="AKD6" s="14"/>
      <c r="AKE6" s="14"/>
      <c r="AKF6" s="14"/>
      <c r="AKG6" s="14"/>
      <c r="AKH6" s="14"/>
      <c r="AKI6" s="14"/>
      <c r="AKJ6" s="14"/>
      <c r="AKK6" s="14"/>
      <c r="AKL6" s="14"/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</row>
    <row r="7" spans="1:1013" ht="28.5" customHeight="1" x14ac:dyDescent="0.25">
      <c r="A7" s="21" t="s">
        <v>69</v>
      </c>
      <c r="B7" s="22" t="s">
        <v>79</v>
      </c>
      <c r="C7" s="23" t="s">
        <v>77</v>
      </c>
      <c r="D7" s="24">
        <v>42</v>
      </c>
      <c r="E7" s="25" t="s">
        <v>34</v>
      </c>
      <c r="F7" s="26">
        <v>57</v>
      </c>
      <c r="G7" s="19" t="s">
        <v>126</v>
      </c>
      <c r="H7" s="19" t="s">
        <v>45</v>
      </c>
      <c r="I7" s="27">
        <v>48</v>
      </c>
      <c r="J7" s="27">
        <v>61</v>
      </c>
      <c r="K7" s="27">
        <v>20</v>
      </c>
      <c r="L7" s="27">
        <v>15</v>
      </c>
      <c r="M7" s="27">
        <v>110</v>
      </c>
      <c r="N7" s="27">
        <v>112</v>
      </c>
      <c r="O7" s="27">
        <v>112</v>
      </c>
      <c r="P7" s="27">
        <v>74</v>
      </c>
      <c r="Q7" s="27">
        <v>44</v>
      </c>
      <c r="R7" s="27">
        <v>48</v>
      </c>
      <c r="S7" s="27">
        <v>62</v>
      </c>
      <c r="T7" s="27">
        <v>19</v>
      </c>
      <c r="U7" s="27">
        <v>13</v>
      </c>
      <c r="V7" s="27">
        <v>31</v>
      </c>
      <c r="W7" s="27">
        <v>30</v>
      </c>
      <c r="X7" s="27">
        <v>31</v>
      </c>
      <c r="Y7" s="27">
        <v>74</v>
      </c>
      <c r="Z7" s="27">
        <v>44</v>
      </c>
      <c r="AA7" s="27">
        <v>48</v>
      </c>
      <c r="AB7" s="27">
        <v>25</v>
      </c>
      <c r="AC7" s="27">
        <v>19</v>
      </c>
      <c r="AD7" s="27">
        <v>31</v>
      </c>
      <c r="AE7" s="27">
        <v>30</v>
      </c>
      <c r="AF7" s="27">
        <v>31</v>
      </c>
      <c r="AG7" s="27">
        <v>74</v>
      </c>
      <c r="AH7" s="27">
        <v>44</v>
      </c>
      <c r="AI7" s="27">
        <v>97</v>
      </c>
      <c r="AJ7" s="27">
        <v>110</v>
      </c>
      <c r="AK7" s="27">
        <v>70</v>
      </c>
      <c r="AL7" s="27">
        <v>35</v>
      </c>
      <c r="AM7" s="27">
        <v>26</v>
      </c>
      <c r="AN7" s="27">
        <v>21</v>
      </c>
      <c r="AO7" s="1">
        <v>96</v>
      </c>
      <c r="AP7" s="2">
        <v>1</v>
      </c>
      <c r="AQ7" s="14" t="s">
        <v>113</v>
      </c>
      <c r="AR7" s="31">
        <v>44446</v>
      </c>
      <c r="AS7" s="31">
        <v>44444</v>
      </c>
      <c r="AT7" s="31">
        <v>44444</v>
      </c>
    </row>
    <row r="8" spans="1:1013" ht="28.5" customHeight="1" x14ac:dyDescent="0.25">
      <c r="A8" s="21" t="s">
        <v>70</v>
      </c>
      <c r="B8" s="22" t="s">
        <v>80</v>
      </c>
      <c r="C8" s="23" t="s">
        <v>77</v>
      </c>
      <c r="D8" s="24">
        <v>39</v>
      </c>
      <c r="E8" s="25" t="s">
        <v>31</v>
      </c>
      <c r="F8" s="26">
        <v>55</v>
      </c>
      <c r="G8" s="19" t="s">
        <v>126</v>
      </c>
      <c r="H8" s="19" t="s">
        <v>45</v>
      </c>
      <c r="I8" s="27">
        <v>44</v>
      </c>
      <c r="J8" s="27">
        <v>53</v>
      </c>
      <c r="K8" s="27">
        <v>18</v>
      </c>
      <c r="L8" s="27">
        <v>14</v>
      </c>
      <c r="M8" s="27">
        <v>86</v>
      </c>
      <c r="N8" s="27">
        <v>78</v>
      </c>
      <c r="O8" s="27">
        <v>90</v>
      </c>
      <c r="P8" s="27">
        <v>65</v>
      </c>
      <c r="Q8" s="27">
        <v>39</v>
      </c>
      <c r="R8" s="27">
        <v>44</v>
      </c>
      <c r="S8" s="27">
        <v>54</v>
      </c>
      <c r="T8" s="27">
        <v>16</v>
      </c>
      <c r="U8" s="27">
        <v>12</v>
      </c>
      <c r="V8" s="10">
        <v>25</v>
      </c>
      <c r="W8" s="10">
        <v>23</v>
      </c>
      <c r="X8" s="27">
        <v>25</v>
      </c>
      <c r="Y8" s="27">
        <v>65</v>
      </c>
      <c r="Z8" s="27">
        <v>39</v>
      </c>
      <c r="AA8" s="27">
        <v>44</v>
      </c>
      <c r="AB8" s="10">
        <v>22</v>
      </c>
      <c r="AC8" s="27">
        <v>16</v>
      </c>
      <c r="AD8" s="27">
        <v>25</v>
      </c>
      <c r="AE8" s="27">
        <v>23</v>
      </c>
      <c r="AF8" s="27">
        <v>25</v>
      </c>
      <c r="AG8" s="27">
        <v>65</v>
      </c>
      <c r="AH8" s="27">
        <v>39</v>
      </c>
      <c r="AI8" s="27">
        <v>70</v>
      </c>
      <c r="AJ8" s="27">
        <v>87</v>
      </c>
      <c r="AK8" s="27">
        <v>64</v>
      </c>
      <c r="AL8" s="27">
        <v>30</v>
      </c>
      <c r="AM8" s="27">
        <v>24</v>
      </c>
      <c r="AN8" s="27">
        <v>19</v>
      </c>
      <c r="AO8" s="27">
        <v>89</v>
      </c>
      <c r="AP8" s="2">
        <v>1</v>
      </c>
      <c r="AQ8" s="14" t="s">
        <v>113</v>
      </c>
      <c r="AR8" s="31">
        <v>44446</v>
      </c>
      <c r="AS8" s="31">
        <v>44444</v>
      </c>
      <c r="AT8" s="31">
        <v>44444</v>
      </c>
    </row>
    <row r="9" spans="1:1013" ht="28.5" customHeight="1" x14ac:dyDescent="0.25">
      <c r="A9" s="21" t="s">
        <v>71</v>
      </c>
      <c r="B9" s="22" t="s">
        <v>81</v>
      </c>
      <c r="C9" s="23" t="s">
        <v>77</v>
      </c>
      <c r="D9" s="24">
        <v>40</v>
      </c>
      <c r="E9" s="25" t="s">
        <v>31</v>
      </c>
      <c r="F9" s="26">
        <v>56</v>
      </c>
      <c r="G9" s="19" t="s">
        <v>126</v>
      </c>
      <c r="H9" s="19" t="s">
        <v>45</v>
      </c>
      <c r="I9" s="27">
        <v>46</v>
      </c>
      <c r="J9" s="27">
        <v>58</v>
      </c>
      <c r="K9" s="27">
        <v>19</v>
      </c>
      <c r="L9" s="27">
        <v>14</v>
      </c>
      <c r="M9" s="27">
        <v>105</v>
      </c>
      <c r="N9" s="27">
        <v>97</v>
      </c>
      <c r="O9" s="27">
        <v>108</v>
      </c>
      <c r="P9" s="27">
        <v>70</v>
      </c>
      <c r="Q9" s="27">
        <v>42</v>
      </c>
      <c r="R9" s="27">
        <v>46</v>
      </c>
      <c r="S9" s="27">
        <v>57</v>
      </c>
      <c r="T9" s="27">
        <v>17</v>
      </c>
      <c r="U9" s="27">
        <v>13</v>
      </c>
      <c r="V9" s="27">
        <v>29</v>
      </c>
      <c r="W9" s="27">
        <v>27</v>
      </c>
      <c r="X9" s="27">
        <v>29</v>
      </c>
      <c r="Y9" s="27">
        <v>70</v>
      </c>
      <c r="Z9" s="27">
        <v>42</v>
      </c>
      <c r="AA9" s="27">
        <v>46</v>
      </c>
      <c r="AB9" s="27">
        <v>23</v>
      </c>
      <c r="AC9" s="27">
        <v>17</v>
      </c>
      <c r="AD9" s="27">
        <v>29</v>
      </c>
      <c r="AE9" s="27">
        <v>27</v>
      </c>
      <c r="AF9" s="27">
        <v>29</v>
      </c>
      <c r="AG9" s="10">
        <v>70</v>
      </c>
      <c r="AH9" s="10">
        <v>42</v>
      </c>
      <c r="AI9" s="10">
        <v>90</v>
      </c>
      <c r="AJ9" s="10">
        <v>105</v>
      </c>
      <c r="AK9" s="27">
        <v>66</v>
      </c>
      <c r="AL9" s="27">
        <v>34</v>
      </c>
      <c r="AM9" s="27">
        <v>26</v>
      </c>
      <c r="AN9" s="27">
        <v>21</v>
      </c>
      <c r="AO9" s="27">
        <v>92</v>
      </c>
      <c r="AP9" s="2">
        <v>1</v>
      </c>
      <c r="AQ9" s="14" t="s">
        <v>113</v>
      </c>
      <c r="AR9" s="31">
        <v>44446</v>
      </c>
      <c r="AS9" s="31">
        <v>44444</v>
      </c>
      <c r="AT9" s="31">
        <v>44444</v>
      </c>
    </row>
    <row r="10" spans="1:1013" ht="28.5" customHeight="1" x14ac:dyDescent="0.25">
      <c r="A10" s="21" t="s">
        <v>72</v>
      </c>
      <c r="B10" s="22" t="s">
        <v>82</v>
      </c>
      <c r="C10" s="23" t="s">
        <v>77</v>
      </c>
      <c r="D10" s="24">
        <v>42</v>
      </c>
      <c r="E10" s="25" t="s">
        <v>32</v>
      </c>
      <c r="F10" s="26">
        <v>55</v>
      </c>
      <c r="G10" s="19" t="s">
        <v>126</v>
      </c>
      <c r="H10" s="19" t="s">
        <v>45</v>
      </c>
      <c r="I10" s="27">
        <v>47</v>
      </c>
      <c r="J10" s="27">
        <v>60</v>
      </c>
      <c r="K10" s="27">
        <v>19</v>
      </c>
      <c r="L10" s="27">
        <v>14</v>
      </c>
      <c r="M10" s="27">
        <v>103</v>
      </c>
      <c r="N10" s="27">
        <v>101</v>
      </c>
      <c r="O10" s="27">
        <v>115</v>
      </c>
      <c r="P10" s="27">
        <v>74</v>
      </c>
      <c r="Q10" s="27">
        <v>41</v>
      </c>
      <c r="R10" s="27">
        <v>47</v>
      </c>
      <c r="S10" s="27">
        <v>61</v>
      </c>
      <c r="T10" s="27">
        <v>18</v>
      </c>
      <c r="U10" s="27">
        <v>13</v>
      </c>
      <c r="V10" s="27">
        <v>29</v>
      </c>
      <c r="W10" s="27">
        <v>27</v>
      </c>
      <c r="X10" s="27">
        <v>29</v>
      </c>
      <c r="Y10" s="27">
        <v>74</v>
      </c>
      <c r="Z10" s="27">
        <v>41</v>
      </c>
      <c r="AA10" s="27">
        <v>47</v>
      </c>
      <c r="AB10" s="27">
        <v>24</v>
      </c>
      <c r="AC10" s="27">
        <v>18</v>
      </c>
      <c r="AD10" s="27">
        <v>29</v>
      </c>
      <c r="AE10" s="27">
        <v>27</v>
      </c>
      <c r="AF10" s="27">
        <v>29</v>
      </c>
      <c r="AG10" s="27">
        <v>74</v>
      </c>
      <c r="AH10" s="27">
        <v>41</v>
      </c>
      <c r="AI10" s="27">
        <v>93</v>
      </c>
      <c r="AJ10" s="27">
        <v>115</v>
      </c>
      <c r="AK10" s="27">
        <v>68</v>
      </c>
      <c r="AL10" s="27">
        <v>34</v>
      </c>
      <c r="AM10" s="27">
        <v>24</v>
      </c>
      <c r="AN10" s="27">
        <v>19</v>
      </c>
      <c r="AO10" s="27">
        <v>96</v>
      </c>
      <c r="AP10" s="2">
        <v>1</v>
      </c>
      <c r="AQ10" s="14" t="s">
        <v>113</v>
      </c>
      <c r="AR10" s="31">
        <v>44446</v>
      </c>
      <c r="AS10" s="31">
        <v>44444</v>
      </c>
      <c r="AT10" s="31">
        <v>44444</v>
      </c>
    </row>
    <row r="11" spans="1:1013" ht="28.5" customHeight="1" x14ac:dyDescent="0.25">
      <c r="A11" s="21" t="s">
        <v>118</v>
      </c>
      <c r="B11" s="22" t="s">
        <v>114</v>
      </c>
      <c r="C11" s="23" t="s">
        <v>77</v>
      </c>
      <c r="D11" s="24">
        <v>41</v>
      </c>
      <c r="E11" s="25" t="s">
        <v>32</v>
      </c>
      <c r="F11" s="26">
        <v>58</v>
      </c>
      <c r="G11" s="19" t="s">
        <v>126</v>
      </c>
      <c r="H11" s="19" t="s">
        <v>45</v>
      </c>
      <c r="I11" s="27">
        <v>46</v>
      </c>
      <c r="J11" s="27">
        <v>56</v>
      </c>
      <c r="K11" s="27">
        <v>19</v>
      </c>
      <c r="L11" s="27">
        <v>14</v>
      </c>
      <c r="M11" s="27">
        <v>100</v>
      </c>
      <c r="N11" s="27">
        <v>96</v>
      </c>
      <c r="O11" s="27">
        <v>110</v>
      </c>
      <c r="P11" s="27">
        <v>71</v>
      </c>
      <c r="Q11" s="27">
        <v>40</v>
      </c>
      <c r="R11" s="27">
        <v>46</v>
      </c>
      <c r="S11" s="27">
        <v>57</v>
      </c>
      <c r="T11" s="27">
        <v>18</v>
      </c>
      <c r="U11" s="27">
        <v>13</v>
      </c>
      <c r="V11" s="27">
        <v>28</v>
      </c>
      <c r="W11" s="27">
        <v>26</v>
      </c>
      <c r="X11" s="27">
        <v>27</v>
      </c>
      <c r="Y11" s="27">
        <v>71</v>
      </c>
      <c r="Z11" s="27">
        <v>40</v>
      </c>
      <c r="AA11" s="27">
        <v>46</v>
      </c>
      <c r="AB11" s="27">
        <v>24</v>
      </c>
      <c r="AC11" s="27">
        <v>18</v>
      </c>
      <c r="AD11" s="27">
        <v>28</v>
      </c>
      <c r="AE11" s="27">
        <v>26</v>
      </c>
      <c r="AF11" s="27">
        <v>27</v>
      </c>
      <c r="AG11" s="27">
        <v>71</v>
      </c>
      <c r="AH11" s="27">
        <v>40</v>
      </c>
      <c r="AI11" s="27">
        <v>88</v>
      </c>
      <c r="AJ11" s="27">
        <v>107</v>
      </c>
      <c r="AK11" s="27">
        <v>70</v>
      </c>
      <c r="AL11" s="27">
        <v>34</v>
      </c>
      <c r="AM11" s="27">
        <v>26</v>
      </c>
      <c r="AN11" s="27">
        <v>21</v>
      </c>
      <c r="AO11" s="27">
        <v>96</v>
      </c>
      <c r="AP11" s="2">
        <v>2</v>
      </c>
      <c r="AQ11" s="14" t="s">
        <v>124</v>
      </c>
      <c r="AR11" s="31">
        <v>44446</v>
      </c>
      <c r="AS11" s="31">
        <v>44444</v>
      </c>
      <c r="AT11" s="31">
        <v>44444</v>
      </c>
    </row>
    <row r="12" spans="1:1013" ht="28.5" customHeight="1" x14ac:dyDescent="0.25">
      <c r="A12" s="21" t="s">
        <v>119</v>
      </c>
      <c r="B12" s="22" t="s">
        <v>115</v>
      </c>
      <c r="C12" s="23" t="s">
        <v>77</v>
      </c>
      <c r="D12" s="24">
        <v>42</v>
      </c>
      <c r="E12" s="25" t="s">
        <v>32</v>
      </c>
      <c r="F12" s="26">
        <v>57</v>
      </c>
      <c r="G12" s="19" t="s">
        <v>126</v>
      </c>
      <c r="H12" s="19" t="s">
        <v>45</v>
      </c>
      <c r="I12" s="27">
        <v>47</v>
      </c>
      <c r="J12" s="27">
        <v>60</v>
      </c>
      <c r="K12" s="27">
        <v>19</v>
      </c>
      <c r="L12" s="27">
        <v>14</v>
      </c>
      <c r="M12" s="27">
        <v>106</v>
      </c>
      <c r="N12" s="27">
        <v>100</v>
      </c>
      <c r="O12" s="27">
        <v>112</v>
      </c>
      <c r="P12" s="27">
        <v>72</v>
      </c>
      <c r="Q12" s="27">
        <v>42</v>
      </c>
      <c r="R12" s="27">
        <v>47</v>
      </c>
      <c r="S12" s="27">
        <v>61</v>
      </c>
      <c r="T12" s="27">
        <v>18</v>
      </c>
      <c r="U12" s="27">
        <v>13</v>
      </c>
      <c r="V12" s="27">
        <v>29</v>
      </c>
      <c r="W12" s="27">
        <v>27</v>
      </c>
      <c r="X12" s="27">
        <v>29</v>
      </c>
      <c r="Y12" s="27">
        <v>72</v>
      </c>
      <c r="Z12" s="27">
        <v>42</v>
      </c>
      <c r="AA12" s="27">
        <v>47</v>
      </c>
      <c r="AB12" s="27">
        <v>26</v>
      </c>
      <c r="AC12" s="27">
        <v>18</v>
      </c>
      <c r="AD12" s="27">
        <v>29</v>
      </c>
      <c r="AE12" s="27">
        <v>27</v>
      </c>
      <c r="AF12" s="27">
        <v>29</v>
      </c>
      <c r="AG12" s="27">
        <v>72</v>
      </c>
      <c r="AH12" s="27">
        <v>42</v>
      </c>
      <c r="AI12" s="27">
        <v>90</v>
      </c>
      <c r="AJ12" s="27">
        <v>110</v>
      </c>
      <c r="AK12" s="27">
        <v>72</v>
      </c>
      <c r="AL12" s="27">
        <v>34</v>
      </c>
      <c r="AM12" s="27">
        <v>26</v>
      </c>
      <c r="AN12" s="27">
        <v>21</v>
      </c>
      <c r="AO12" s="27">
        <v>100</v>
      </c>
      <c r="AP12" s="2">
        <v>2</v>
      </c>
      <c r="AQ12" s="14" t="s">
        <v>124</v>
      </c>
      <c r="AR12" s="31">
        <v>44446</v>
      </c>
      <c r="AS12" s="31">
        <v>44444</v>
      </c>
      <c r="AT12" s="31">
        <v>44444</v>
      </c>
    </row>
    <row r="13" spans="1:1013" ht="28.5" customHeight="1" x14ac:dyDescent="0.25">
      <c r="A13" s="21" t="s">
        <v>120</v>
      </c>
      <c r="B13" s="22" t="s">
        <v>116</v>
      </c>
      <c r="C13" s="23" t="s">
        <v>77</v>
      </c>
      <c r="D13" s="24">
        <v>43</v>
      </c>
      <c r="E13" s="25" t="s">
        <v>34</v>
      </c>
      <c r="F13" s="26">
        <v>60</v>
      </c>
      <c r="G13" s="19" t="s">
        <v>126</v>
      </c>
      <c r="H13" s="19" t="s">
        <v>45</v>
      </c>
      <c r="I13" s="27">
        <v>47</v>
      </c>
      <c r="J13" s="27">
        <v>61</v>
      </c>
      <c r="K13" s="27">
        <v>20</v>
      </c>
      <c r="L13" s="27">
        <v>15</v>
      </c>
      <c r="M13" s="27">
        <v>107</v>
      </c>
      <c r="N13" s="27">
        <v>102</v>
      </c>
      <c r="O13" s="27">
        <v>110</v>
      </c>
      <c r="P13" s="27">
        <v>75</v>
      </c>
      <c r="Q13" s="27">
        <v>43</v>
      </c>
      <c r="R13" s="27">
        <v>47</v>
      </c>
      <c r="S13" s="27">
        <v>62</v>
      </c>
      <c r="T13" s="27">
        <v>19</v>
      </c>
      <c r="U13" s="27">
        <v>13</v>
      </c>
      <c r="V13" s="27">
        <v>29</v>
      </c>
      <c r="W13" s="27">
        <v>27</v>
      </c>
      <c r="X13" s="27">
        <v>29</v>
      </c>
      <c r="Y13" s="27">
        <v>75</v>
      </c>
      <c r="Z13" s="27">
        <v>43</v>
      </c>
      <c r="AA13" s="27">
        <v>47</v>
      </c>
      <c r="AB13" s="27">
        <v>27</v>
      </c>
      <c r="AC13" s="27">
        <v>19</v>
      </c>
      <c r="AD13" s="27">
        <v>29</v>
      </c>
      <c r="AE13" s="27">
        <v>27</v>
      </c>
      <c r="AF13" s="27">
        <v>29</v>
      </c>
      <c r="AG13" s="27">
        <v>75</v>
      </c>
      <c r="AH13" s="27">
        <v>43</v>
      </c>
      <c r="AI13" s="27">
        <v>94</v>
      </c>
      <c r="AJ13" s="27">
        <v>106</v>
      </c>
      <c r="AK13" s="27">
        <v>69</v>
      </c>
      <c r="AL13" s="27">
        <v>35</v>
      </c>
      <c r="AM13" s="27">
        <v>26</v>
      </c>
      <c r="AN13" s="27">
        <v>21</v>
      </c>
      <c r="AO13" s="27">
        <v>106</v>
      </c>
      <c r="AP13" s="2">
        <v>2</v>
      </c>
      <c r="AQ13" s="14" t="s">
        <v>124</v>
      </c>
      <c r="AR13" s="31">
        <v>44446</v>
      </c>
      <c r="AS13" s="31">
        <v>44444</v>
      </c>
      <c r="AT13" s="31">
        <v>44444</v>
      </c>
    </row>
    <row r="14" spans="1:1013" ht="28.5" customHeight="1" x14ac:dyDescent="0.25">
      <c r="A14" s="21" t="s">
        <v>121</v>
      </c>
      <c r="B14" s="22" t="s">
        <v>117</v>
      </c>
      <c r="C14" s="23" t="s">
        <v>77</v>
      </c>
      <c r="D14" s="24">
        <v>42</v>
      </c>
      <c r="E14" s="25" t="s">
        <v>32</v>
      </c>
      <c r="F14" s="26">
        <v>56</v>
      </c>
      <c r="G14" s="19" t="s">
        <v>126</v>
      </c>
      <c r="H14" s="19" t="s">
        <v>45</v>
      </c>
      <c r="I14" s="27">
        <v>45</v>
      </c>
      <c r="J14" s="27">
        <v>57</v>
      </c>
      <c r="K14" s="27">
        <v>19</v>
      </c>
      <c r="L14" s="27">
        <v>14</v>
      </c>
      <c r="M14" s="27">
        <v>100</v>
      </c>
      <c r="N14" s="27">
        <v>96</v>
      </c>
      <c r="O14" s="27">
        <v>106</v>
      </c>
      <c r="P14" s="27">
        <v>71</v>
      </c>
      <c r="Q14" s="27">
        <v>40</v>
      </c>
      <c r="R14" s="27">
        <v>45</v>
      </c>
      <c r="S14" s="27">
        <v>58</v>
      </c>
      <c r="T14" s="27">
        <v>18</v>
      </c>
      <c r="U14" s="27">
        <v>12</v>
      </c>
      <c r="V14" s="27">
        <v>28</v>
      </c>
      <c r="W14" s="27">
        <v>26</v>
      </c>
      <c r="X14" s="27">
        <v>28</v>
      </c>
      <c r="Y14" s="27">
        <v>71</v>
      </c>
      <c r="Z14" s="27">
        <v>40</v>
      </c>
      <c r="AA14" s="27">
        <v>45</v>
      </c>
      <c r="AB14" s="27">
        <v>24</v>
      </c>
      <c r="AC14" s="27">
        <v>18</v>
      </c>
      <c r="AD14" s="27">
        <v>28</v>
      </c>
      <c r="AE14" s="27">
        <v>26</v>
      </c>
      <c r="AF14" s="27">
        <v>28</v>
      </c>
      <c r="AG14" s="27">
        <v>71</v>
      </c>
      <c r="AH14" s="27">
        <v>40</v>
      </c>
      <c r="AI14" s="27">
        <v>86</v>
      </c>
      <c r="AJ14" s="27">
        <v>104</v>
      </c>
      <c r="AK14" s="27">
        <v>64</v>
      </c>
      <c r="AL14" s="27">
        <v>32</v>
      </c>
      <c r="AM14" s="27">
        <v>24</v>
      </c>
      <c r="AN14" s="27">
        <v>19</v>
      </c>
      <c r="AO14" s="27">
        <v>95</v>
      </c>
      <c r="AP14" s="2">
        <v>2</v>
      </c>
      <c r="AQ14" s="14" t="s">
        <v>124</v>
      </c>
      <c r="AR14" s="31">
        <v>44446</v>
      </c>
      <c r="AS14" s="31">
        <v>44444</v>
      </c>
      <c r="AT14" s="31">
        <v>44444</v>
      </c>
    </row>
    <row r="15" spans="1:1013" ht="28.5" customHeight="1" x14ac:dyDescent="0.25">
      <c r="A15" s="21" t="s">
        <v>128</v>
      </c>
      <c r="B15" s="22" t="s">
        <v>129</v>
      </c>
      <c r="C15" s="23" t="s">
        <v>77</v>
      </c>
      <c r="D15" s="24">
        <v>41</v>
      </c>
      <c r="E15" s="25" t="s">
        <v>34</v>
      </c>
      <c r="F15" s="26">
        <v>54</v>
      </c>
      <c r="G15" s="19" t="s">
        <v>126</v>
      </c>
      <c r="H15" s="19" t="s">
        <v>45</v>
      </c>
      <c r="I15" s="27">
        <v>45</v>
      </c>
      <c r="J15" s="27">
        <v>61</v>
      </c>
      <c r="K15" s="27">
        <v>18</v>
      </c>
      <c r="L15" s="27">
        <v>14</v>
      </c>
      <c r="M15" s="27">
        <v>96</v>
      </c>
      <c r="N15" s="27">
        <v>91</v>
      </c>
      <c r="O15" s="27">
        <v>100</v>
      </c>
      <c r="P15" s="27">
        <v>70</v>
      </c>
      <c r="Q15" s="27">
        <v>41</v>
      </c>
      <c r="R15" s="27">
        <v>45</v>
      </c>
      <c r="S15" s="27">
        <v>62</v>
      </c>
      <c r="T15" s="27">
        <v>16</v>
      </c>
      <c r="U15" s="27">
        <v>12</v>
      </c>
      <c r="V15" s="27">
        <v>27</v>
      </c>
      <c r="W15" s="27">
        <v>25</v>
      </c>
      <c r="X15" s="27">
        <v>27</v>
      </c>
      <c r="Y15" s="27">
        <v>70</v>
      </c>
      <c r="Z15" s="27">
        <v>41</v>
      </c>
      <c r="AA15" s="27">
        <v>45</v>
      </c>
      <c r="AB15" s="27">
        <v>25</v>
      </c>
      <c r="AC15" s="27">
        <v>16</v>
      </c>
      <c r="AD15" s="27">
        <v>27</v>
      </c>
      <c r="AE15" s="27">
        <v>25</v>
      </c>
      <c r="AF15" s="27">
        <v>27</v>
      </c>
      <c r="AG15" s="27">
        <v>70</v>
      </c>
      <c r="AH15" s="27">
        <v>41</v>
      </c>
      <c r="AI15" s="27">
        <v>83</v>
      </c>
      <c r="AJ15" s="27">
        <v>98</v>
      </c>
      <c r="AK15" s="27">
        <v>67</v>
      </c>
      <c r="AL15" s="27">
        <v>31</v>
      </c>
      <c r="AM15" s="27">
        <v>23</v>
      </c>
      <c r="AN15" s="27">
        <v>19</v>
      </c>
      <c r="AO15" s="27">
        <v>101</v>
      </c>
      <c r="AP15" s="2">
        <v>3</v>
      </c>
      <c r="AQ15" s="31">
        <v>44444</v>
      </c>
      <c r="AR15" s="31">
        <v>44446</v>
      </c>
      <c r="AS15" s="31">
        <v>44444</v>
      </c>
      <c r="AT15" s="31">
        <v>44444</v>
      </c>
    </row>
    <row r="16" spans="1:1013" ht="28.5" customHeight="1" x14ac:dyDescent="0.25">
      <c r="A16" s="21" t="s">
        <v>83</v>
      </c>
      <c r="B16" s="22" t="s">
        <v>98</v>
      </c>
      <c r="C16" s="23" t="s">
        <v>97</v>
      </c>
      <c r="D16" s="24">
        <v>43</v>
      </c>
      <c r="E16" s="25" t="s">
        <v>34</v>
      </c>
      <c r="F16" s="26">
        <v>59</v>
      </c>
      <c r="G16" s="19" t="s">
        <v>126</v>
      </c>
      <c r="H16" s="19" t="s">
        <v>45</v>
      </c>
      <c r="I16" s="27">
        <v>46</v>
      </c>
      <c r="J16" s="27">
        <v>60</v>
      </c>
      <c r="K16" s="27">
        <v>19</v>
      </c>
      <c r="L16" s="27">
        <v>14</v>
      </c>
      <c r="M16" s="27">
        <v>110</v>
      </c>
      <c r="N16" s="27">
        <v>106</v>
      </c>
      <c r="O16" s="27">
        <v>114</v>
      </c>
      <c r="P16" s="27">
        <v>71</v>
      </c>
      <c r="Q16" s="27">
        <v>42</v>
      </c>
      <c r="R16" s="27">
        <v>46</v>
      </c>
      <c r="S16" s="27">
        <v>61</v>
      </c>
      <c r="T16" s="27">
        <v>17</v>
      </c>
      <c r="U16" s="27">
        <v>13</v>
      </c>
      <c r="V16" s="27">
        <v>29</v>
      </c>
      <c r="W16" s="27">
        <v>27</v>
      </c>
      <c r="X16" s="27">
        <v>29</v>
      </c>
      <c r="Y16" s="27">
        <v>71</v>
      </c>
      <c r="Z16" s="27">
        <v>42</v>
      </c>
      <c r="AA16" s="27">
        <v>46</v>
      </c>
      <c r="AB16" s="27">
        <v>26</v>
      </c>
      <c r="AC16" s="27">
        <v>17</v>
      </c>
      <c r="AD16" s="27">
        <v>29</v>
      </c>
      <c r="AE16" s="27">
        <v>27</v>
      </c>
      <c r="AF16" s="27">
        <v>29</v>
      </c>
      <c r="AG16" s="27">
        <v>71</v>
      </c>
      <c r="AH16" s="27">
        <v>42</v>
      </c>
      <c r="AI16" s="27">
        <v>94</v>
      </c>
      <c r="AJ16" s="27">
        <v>110</v>
      </c>
      <c r="AK16" s="27">
        <v>72</v>
      </c>
      <c r="AL16" s="27">
        <v>35</v>
      </c>
      <c r="AM16" s="27">
        <v>26</v>
      </c>
      <c r="AN16" s="27">
        <v>21</v>
      </c>
      <c r="AO16" s="27">
        <v>98</v>
      </c>
      <c r="AP16" s="2">
        <v>1</v>
      </c>
      <c r="AQ16" s="14" t="s">
        <v>113</v>
      </c>
      <c r="AR16" s="31">
        <v>44446</v>
      </c>
      <c r="AS16" s="31">
        <v>44444</v>
      </c>
      <c r="AT16" s="31">
        <v>44444</v>
      </c>
    </row>
    <row r="17" spans="1:46" ht="28.5" customHeight="1" x14ac:dyDescent="0.25">
      <c r="A17" s="21" t="s">
        <v>84</v>
      </c>
      <c r="B17" s="22" t="s">
        <v>99</v>
      </c>
      <c r="C17" s="23" t="s">
        <v>97</v>
      </c>
      <c r="D17" s="24">
        <v>40</v>
      </c>
      <c r="E17" s="25" t="s">
        <v>32</v>
      </c>
      <c r="F17" s="26">
        <v>58</v>
      </c>
      <c r="G17" s="19" t="s">
        <v>126</v>
      </c>
      <c r="H17" s="19" t="s">
        <v>45</v>
      </c>
      <c r="I17" s="27">
        <v>44</v>
      </c>
      <c r="J17" s="27">
        <v>60</v>
      </c>
      <c r="K17" s="27">
        <v>18</v>
      </c>
      <c r="L17" s="27">
        <v>14</v>
      </c>
      <c r="M17" s="27">
        <v>84</v>
      </c>
      <c r="N17" s="27">
        <v>80</v>
      </c>
      <c r="O17" s="27">
        <v>91</v>
      </c>
      <c r="P17" s="27">
        <v>70</v>
      </c>
      <c r="Q17" s="27">
        <v>39</v>
      </c>
      <c r="R17" s="27">
        <v>44</v>
      </c>
      <c r="S17" s="27">
        <v>61</v>
      </c>
      <c r="T17" s="27">
        <v>16</v>
      </c>
      <c r="U17" s="27">
        <v>12</v>
      </c>
      <c r="V17" s="27">
        <v>26</v>
      </c>
      <c r="W17" s="27">
        <v>24</v>
      </c>
      <c r="X17" s="27">
        <v>26</v>
      </c>
      <c r="Y17" s="27">
        <v>70</v>
      </c>
      <c r="Z17" s="27">
        <v>39</v>
      </c>
      <c r="AA17" s="27">
        <v>44</v>
      </c>
      <c r="AB17" s="27">
        <v>25</v>
      </c>
      <c r="AC17" s="27">
        <v>16</v>
      </c>
      <c r="AD17" s="27">
        <v>26</v>
      </c>
      <c r="AE17" s="27">
        <v>24</v>
      </c>
      <c r="AF17" s="27">
        <v>26</v>
      </c>
      <c r="AG17" s="27">
        <v>70</v>
      </c>
      <c r="AH17" s="27">
        <v>39</v>
      </c>
      <c r="AI17" s="27">
        <v>73</v>
      </c>
      <c r="AJ17" s="27">
        <v>90</v>
      </c>
      <c r="AK17" s="27">
        <v>64</v>
      </c>
      <c r="AL17" s="27">
        <v>31</v>
      </c>
      <c r="AM17" s="27">
        <v>24</v>
      </c>
      <c r="AN17" s="27">
        <v>19</v>
      </c>
      <c r="AO17" s="27">
        <v>97</v>
      </c>
      <c r="AP17" s="2">
        <v>1</v>
      </c>
      <c r="AQ17" s="14" t="s">
        <v>113</v>
      </c>
      <c r="AR17" s="31">
        <v>44446</v>
      </c>
      <c r="AS17" s="31">
        <v>44444</v>
      </c>
      <c r="AT17" s="31">
        <v>44444</v>
      </c>
    </row>
    <row r="18" spans="1:46" ht="28.5" customHeight="1" x14ac:dyDescent="0.25">
      <c r="A18" s="21" t="s">
        <v>85</v>
      </c>
      <c r="B18" s="22" t="s">
        <v>100</v>
      </c>
      <c r="C18" s="23" t="s">
        <v>97</v>
      </c>
      <c r="D18" s="24">
        <v>42</v>
      </c>
      <c r="E18" s="32" t="s">
        <v>34</v>
      </c>
      <c r="F18" s="33">
        <v>57</v>
      </c>
      <c r="G18" s="19" t="s">
        <v>126</v>
      </c>
      <c r="H18" s="19" t="s">
        <v>45</v>
      </c>
      <c r="I18" s="10">
        <v>46</v>
      </c>
      <c r="J18" s="10">
        <v>58</v>
      </c>
      <c r="K18" s="10">
        <v>19</v>
      </c>
      <c r="L18" s="10">
        <v>14</v>
      </c>
      <c r="M18" s="10">
        <v>100</v>
      </c>
      <c r="N18" s="10">
        <v>97</v>
      </c>
      <c r="O18" s="10">
        <v>104</v>
      </c>
      <c r="P18" s="10">
        <v>70</v>
      </c>
      <c r="Q18" s="10">
        <v>42</v>
      </c>
      <c r="R18" s="10">
        <v>46</v>
      </c>
      <c r="S18" s="10">
        <v>59</v>
      </c>
      <c r="T18" s="10">
        <v>17</v>
      </c>
      <c r="U18" s="10">
        <v>12</v>
      </c>
      <c r="V18" s="10">
        <v>28</v>
      </c>
      <c r="W18" s="10">
        <v>26</v>
      </c>
      <c r="X18" s="1">
        <v>28</v>
      </c>
      <c r="Y18" s="1">
        <v>70</v>
      </c>
      <c r="Z18" s="1">
        <v>42</v>
      </c>
      <c r="AA18" s="1">
        <v>46</v>
      </c>
      <c r="AB18" s="1">
        <v>25</v>
      </c>
      <c r="AC18" s="1">
        <v>17</v>
      </c>
      <c r="AD18" s="1">
        <v>28</v>
      </c>
      <c r="AE18" s="1">
        <v>26</v>
      </c>
      <c r="AF18" s="1">
        <v>28</v>
      </c>
      <c r="AG18" s="10">
        <v>70</v>
      </c>
      <c r="AH18" s="10">
        <v>42</v>
      </c>
      <c r="AI18" s="10">
        <v>89</v>
      </c>
      <c r="AJ18" s="10">
        <v>102</v>
      </c>
      <c r="AK18" s="10">
        <v>67</v>
      </c>
      <c r="AL18" s="10">
        <v>33</v>
      </c>
      <c r="AM18" s="10">
        <v>26</v>
      </c>
      <c r="AN18" s="10">
        <v>20</v>
      </c>
      <c r="AO18" s="10">
        <v>95</v>
      </c>
      <c r="AP18" s="2">
        <v>1</v>
      </c>
      <c r="AQ18" s="14" t="s">
        <v>113</v>
      </c>
      <c r="AR18" s="31">
        <v>44446</v>
      </c>
      <c r="AS18" s="31">
        <v>44444</v>
      </c>
      <c r="AT18" s="31">
        <v>44444</v>
      </c>
    </row>
    <row r="19" spans="1:46" ht="28.5" customHeight="1" x14ac:dyDescent="0.25">
      <c r="A19" s="21" t="s">
        <v>86</v>
      </c>
      <c r="B19" s="22" t="s">
        <v>101</v>
      </c>
      <c r="C19" s="23" t="s">
        <v>97</v>
      </c>
      <c r="D19" s="24">
        <v>42</v>
      </c>
      <c r="E19" s="32" t="s">
        <v>34</v>
      </c>
      <c r="F19" s="33">
        <v>56</v>
      </c>
      <c r="G19" s="19" t="s">
        <v>126</v>
      </c>
      <c r="H19" s="19" t="s">
        <v>45</v>
      </c>
      <c r="I19" s="10">
        <v>50</v>
      </c>
      <c r="J19" s="10">
        <v>57</v>
      </c>
      <c r="K19" s="10">
        <v>21</v>
      </c>
      <c r="L19" s="10">
        <v>15</v>
      </c>
      <c r="M19" s="10">
        <v>116</v>
      </c>
      <c r="N19" s="10">
        <v>110</v>
      </c>
      <c r="O19" s="10">
        <v>120</v>
      </c>
      <c r="P19" s="10">
        <v>73</v>
      </c>
      <c r="Q19" s="10">
        <v>46</v>
      </c>
      <c r="R19" s="10">
        <v>50</v>
      </c>
      <c r="S19" s="10">
        <v>58</v>
      </c>
      <c r="T19" s="10">
        <v>20</v>
      </c>
      <c r="U19" s="10">
        <v>13</v>
      </c>
      <c r="V19" s="10">
        <v>30</v>
      </c>
      <c r="W19" s="10">
        <v>28</v>
      </c>
      <c r="X19" s="1">
        <v>30</v>
      </c>
      <c r="Y19" s="1">
        <v>73</v>
      </c>
      <c r="Z19" s="1">
        <v>46</v>
      </c>
      <c r="AA19" s="1">
        <v>50</v>
      </c>
      <c r="AB19" s="1">
        <v>25</v>
      </c>
      <c r="AC19" s="1">
        <v>20</v>
      </c>
      <c r="AD19" s="1">
        <v>30</v>
      </c>
      <c r="AE19" s="1">
        <v>28</v>
      </c>
      <c r="AF19" s="1">
        <v>30</v>
      </c>
      <c r="AG19" s="10">
        <v>73</v>
      </c>
      <c r="AH19" s="10">
        <v>46</v>
      </c>
      <c r="AI19" s="10">
        <v>100</v>
      </c>
      <c r="AJ19" s="10">
        <v>116</v>
      </c>
      <c r="AK19" s="10">
        <v>69</v>
      </c>
      <c r="AL19" s="10">
        <v>36</v>
      </c>
      <c r="AM19" s="10">
        <v>27</v>
      </c>
      <c r="AN19" s="10">
        <v>22</v>
      </c>
      <c r="AO19" s="10">
        <v>103</v>
      </c>
      <c r="AP19" s="2">
        <v>1</v>
      </c>
      <c r="AQ19" s="14" t="s">
        <v>113</v>
      </c>
      <c r="AR19" s="31">
        <v>44446</v>
      </c>
      <c r="AS19" s="31">
        <v>44444</v>
      </c>
      <c r="AT19" s="31">
        <v>44444</v>
      </c>
    </row>
    <row r="20" spans="1:46" ht="28.5" customHeight="1" x14ac:dyDescent="0.25">
      <c r="A20" s="21" t="s">
        <v>87</v>
      </c>
      <c r="B20" s="22" t="s">
        <v>102</v>
      </c>
      <c r="C20" s="23" t="s">
        <v>97</v>
      </c>
      <c r="D20" s="24">
        <v>45</v>
      </c>
      <c r="E20" s="32" t="s">
        <v>34</v>
      </c>
      <c r="F20" s="33">
        <v>57</v>
      </c>
      <c r="G20" s="19" t="s">
        <v>126</v>
      </c>
      <c r="H20" s="19" t="s">
        <v>45</v>
      </c>
      <c r="I20" s="10">
        <v>50</v>
      </c>
      <c r="J20" s="10">
        <v>58</v>
      </c>
      <c r="K20" s="10">
        <v>20</v>
      </c>
      <c r="L20" s="10">
        <v>15</v>
      </c>
      <c r="M20" s="10">
        <v>116</v>
      </c>
      <c r="N20" s="10">
        <v>110</v>
      </c>
      <c r="O20" s="10">
        <v>118</v>
      </c>
      <c r="P20" s="10">
        <v>72</v>
      </c>
      <c r="Q20" s="10">
        <v>46</v>
      </c>
      <c r="R20" s="10">
        <v>50</v>
      </c>
      <c r="S20" s="10">
        <v>59</v>
      </c>
      <c r="T20" s="10">
        <v>20</v>
      </c>
      <c r="U20" s="10">
        <v>13</v>
      </c>
      <c r="V20" s="10">
        <v>30</v>
      </c>
      <c r="W20" s="10">
        <v>28</v>
      </c>
      <c r="X20" s="1">
        <v>30</v>
      </c>
      <c r="Y20" s="1">
        <v>72</v>
      </c>
      <c r="Z20" s="1">
        <v>46</v>
      </c>
      <c r="AA20" s="1">
        <v>50</v>
      </c>
      <c r="AB20" s="1">
        <v>25</v>
      </c>
      <c r="AC20" s="1">
        <v>20</v>
      </c>
      <c r="AD20" s="1">
        <v>30</v>
      </c>
      <c r="AE20" s="1">
        <v>28</v>
      </c>
      <c r="AF20" s="1">
        <v>30</v>
      </c>
      <c r="AG20" s="10">
        <v>72</v>
      </c>
      <c r="AH20" s="10">
        <v>46</v>
      </c>
      <c r="AI20" s="10">
        <v>102</v>
      </c>
      <c r="AJ20" s="10">
        <v>114</v>
      </c>
      <c r="AK20" s="10">
        <v>72</v>
      </c>
      <c r="AL20" s="10">
        <v>36</v>
      </c>
      <c r="AM20" s="10">
        <v>27</v>
      </c>
      <c r="AN20" s="10">
        <v>22</v>
      </c>
      <c r="AO20" s="10">
        <v>98</v>
      </c>
      <c r="AP20" s="2">
        <v>1</v>
      </c>
      <c r="AQ20" s="14" t="s">
        <v>113</v>
      </c>
      <c r="AR20" s="31">
        <v>44446</v>
      </c>
      <c r="AS20" s="31">
        <v>44444</v>
      </c>
      <c r="AT20" s="31">
        <v>44444</v>
      </c>
    </row>
    <row r="21" spans="1:46" ht="28.5" customHeight="1" x14ac:dyDescent="0.25">
      <c r="A21" s="21" t="s">
        <v>88</v>
      </c>
      <c r="B21" s="22" t="s">
        <v>103</v>
      </c>
      <c r="C21" s="23" t="s">
        <v>97</v>
      </c>
      <c r="D21" s="24">
        <v>44</v>
      </c>
      <c r="E21" s="32" t="s">
        <v>34</v>
      </c>
      <c r="F21" s="33">
        <v>59</v>
      </c>
      <c r="G21" s="19" t="s">
        <v>126</v>
      </c>
      <c r="H21" s="19" t="s">
        <v>45</v>
      </c>
      <c r="I21" s="10">
        <v>48</v>
      </c>
      <c r="J21" s="10">
        <v>56</v>
      </c>
      <c r="K21" s="10">
        <v>21</v>
      </c>
      <c r="L21" s="10">
        <v>15</v>
      </c>
      <c r="M21" s="10">
        <v>114</v>
      </c>
      <c r="N21" s="10">
        <v>110</v>
      </c>
      <c r="O21" s="10">
        <v>118</v>
      </c>
      <c r="P21" s="10">
        <v>72</v>
      </c>
      <c r="Q21" s="10">
        <v>44</v>
      </c>
      <c r="R21" s="10">
        <v>48</v>
      </c>
      <c r="S21" s="10">
        <v>57</v>
      </c>
      <c r="T21" s="10">
        <v>19</v>
      </c>
      <c r="U21" s="10">
        <v>13</v>
      </c>
      <c r="V21" s="10">
        <v>30</v>
      </c>
      <c r="W21" s="10">
        <v>28</v>
      </c>
      <c r="X21" s="1">
        <v>30</v>
      </c>
      <c r="Y21" s="1">
        <v>72</v>
      </c>
      <c r="Z21" s="1">
        <v>44</v>
      </c>
      <c r="AA21" s="1">
        <v>48</v>
      </c>
      <c r="AB21" s="1">
        <v>26</v>
      </c>
      <c r="AC21" s="1">
        <v>19</v>
      </c>
      <c r="AD21" s="1">
        <v>30</v>
      </c>
      <c r="AE21" s="1">
        <v>28</v>
      </c>
      <c r="AF21" s="1">
        <v>30</v>
      </c>
      <c r="AG21" s="10">
        <v>72</v>
      </c>
      <c r="AH21" s="10">
        <v>44</v>
      </c>
      <c r="AI21" s="10">
        <v>100</v>
      </c>
      <c r="AJ21" s="10">
        <v>115</v>
      </c>
      <c r="AK21" s="10">
        <v>74</v>
      </c>
      <c r="AL21" s="10">
        <v>36</v>
      </c>
      <c r="AM21" s="10">
        <v>26</v>
      </c>
      <c r="AN21" s="10">
        <v>22</v>
      </c>
      <c r="AO21" s="10">
        <v>100</v>
      </c>
      <c r="AP21" s="2">
        <v>1</v>
      </c>
      <c r="AQ21" s="14" t="s">
        <v>113</v>
      </c>
      <c r="AR21" s="31">
        <v>44446</v>
      </c>
      <c r="AS21" s="31">
        <v>44444</v>
      </c>
      <c r="AT21" s="31">
        <v>44444</v>
      </c>
    </row>
    <row r="22" spans="1:46" ht="28.5" customHeight="1" x14ac:dyDescent="0.25">
      <c r="A22" s="21" t="s">
        <v>89</v>
      </c>
      <c r="B22" s="22" t="s">
        <v>104</v>
      </c>
      <c r="C22" s="23" t="s">
        <v>97</v>
      </c>
      <c r="D22" s="24">
        <v>43</v>
      </c>
      <c r="E22" s="32" t="s">
        <v>32</v>
      </c>
      <c r="F22" s="33">
        <v>56</v>
      </c>
      <c r="G22" s="19" t="s">
        <v>126</v>
      </c>
      <c r="H22" s="19" t="s">
        <v>45</v>
      </c>
      <c r="I22" s="10">
        <v>46</v>
      </c>
      <c r="J22" s="10">
        <v>60</v>
      </c>
      <c r="K22" s="10">
        <v>19</v>
      </c>
      <c r="L22" s="10">
        <v>14</v>
      </c>
      <c r="M22" s="10">
        <v>104</v>
      </c>
      <c r="N22" s="10">
        <v>96</v>
      </c>
      <c r="O22" s="10">
        <v>107</v>
      </c>
      <c r="P22" s="10">
        <v>73</v>
      </c>
      <c r="Q22" s="10">
        <v>41</v>
      </c>
      <c r="R22" s="10">
        <v>46</v>
      </c>
      <c r="S22" s="10">
        <v>60</v>
      </c>
      <c r="T22" s="10">
        <v>16</v>
      </c>
      <c r="U22" s="10">
        <v>12</v>
      </c>
      <c r="V22" s="10">
        <v>27</v>
      </c>
      <c r="W22" s="10">
        <v>25</v>
      </c>
      <c r="X22" s="1">
        <v>27</v>
      </c>
      <c r="Y22" s="1">
        <v>73</v>
      </c>
      <c r="Z22" s="1">
        <v>41</v>
      </c>
      <c r="AA22" s="1">
        <v>46</v>
      </c>
      <c r="AB22" s="1">
        <v>25</v>
      </c>
      <c r="AC22" s="1">
        <v>16</v>
      </c>
      <c r="AD22" s="1">
        <v>27</v>
      </c>
      <c r="AE22" s="1">
        <v>25</v>
      </c>
      <c r="AF22" s="1">
        <v>27</v>
      </c>
      <c r="AG22" s="10">
        <v>73</v>
      </c>
      <c r="AH22" s="10">
        <v>41</v>
      </c>
      <c r="AI22" s="10">
        <v>86</v>
      </c>
      <c r="AJ22" s="10">
        <v>102</v>
      </c>
      <c r="AK22" s="10">
        <v>68</v>
      </c>
      <c r="AL22" s="10">
        <v>34</v>
      </c>
      <c r="AM22" s="10">
        <v>26</v>
      </c>
      <c r="AN22" s="10">
        <v>20</v>
      </c>
      <c r="AO22" s="10">
        <v>93</v>
      </c>
      <c r="AP22" s="2">
        <v>1</v>
      </c>
      <c r="AQ22" s="14" t="s">
        <v>113</v>
      </c>
      <c r="AR22" s="31">
        <v>44446</v>
      </c>
      <c r="AS22" s="31">
        <v>44444</v>
      </c>
      <c r="AT22" s="31">
        <v>44444</v>
      </c>
    </row>
    <row r="23" spans="1:46" ht="28.5" customHeight="1" x14ac:dyDescent="0.25">
      <c r="A23" s="21" t="s">
        <v>90</v>
      </c>
      <c r="B23" s="22" t="s">
        <v>105</v>
      </c>
      <c r="C23" s="23" t="s">
        <v>97</v>
      </c>
      <c r="D23" s="24">
        <v>42</v>
      </c>
      <c r="E23" s="32" t="s">
        <v>36</v>
      </c>
      <c r="F23" s="33">
        <v>60</v>
      </c>
      <c r="G23" s="19" t="s">
        <v>126</v>
      </c>
      <c r="H23" s="19" t="s">
        <v>45</v>
      </c>
      <c r="I23" s="10">
        <v>50</v>
      </c>
      <c r="J23" s="10">
        <v>58</v>
      </c>
      <c r="K23" s="10">
        <v>21</v>
      </c>
      <c r="L23" s="10">
        <v>16</v>
      </c>
      <c r="M23" s="10">
        <v>122</v>
      </c>
      <c r="N23" s="10">
        <v>115</v>
      </c>
      <c r="O23" s="10">
        <v>126</v>
      </c>
      <c r="P23" s="10">
        <v>72</v>
      </c>
      <c r="Q23" s="10">
        <v>46</v>
      </c>
      <c r="R23" s="10">
        <v>50</v>
      </c>
      <c r="S23" s="10">
        <v>59</v>
      </c>
      <c r="T23" s="10">
        <v>20</v>
      </c>
      <c r="U23" s="10">
        <v>13</v>
      </c>
      <c r="V23" s="10">
        <v>31</v>
      </c>
      <c r="W23" s="10">
        <v>29</v>
      </c>
      <c r="X23" s="1">
        <v>31</v>
      </c>
      <c r="Y23" s="1">
        <v>72</v>
      </c>
      <c r="Z23" s="1">
        <v>46</v>
      </c>
      <c r="AA23" s="1">
        <v>50</v>
      </c>
      <c r="AB23" s="1">
        <v>25</v>
      </c>
      <c r="AC23" s="1">
        <v>20</v>
      </c>
      <c r="AD23" s="1">
        <v>31</v>
      </c>
      <c r="AE23" s="1">
        <v>29</v>
      </c>
      <c r="AF23" s="1">
        <v>31</v>
      </c>
      <c r="AG23" s="10">
        <v>72</v>
      </c>
      <c r="AH23" s="10">
        <v>46</v>
      </c>
      <c r="AI23" s="10">
        <v>107</v>
      </c>
      <c r="AJ23" s="10">
        <v>124</v>
      </c>
      <c r="AK23" s="10">
        <v>78</v>
      </c>
      <c r="AL23" s="10">
        <v>38</v>
      </c>
      <c r="AM23" s="10">
        <v>27</v>
      </c>
      <c r="AN23" s="10">
        <v>22</v>
      </c>
      <c r="AO23" s="10">
        <v>95</v>
      </c>
      <c r="AP23" s="2">
        <v>1</v>
      </c>
      <c r="AQ23" s="14" t="s">
        <v>113</v>
      </c>
      <c r="AR23" s="31">
        <v>44446</v>
      </c>
      <c r="AS23" s="31">
        <v>44444</v>
      </c>
      <c r="AT23" s="31">
        <v>44444</v>
      </c>
    </row>
    <row r="24" spans="1:46" ht="28.5" customHeight="1" x14ac:dyDescent="0.25">
      <c r="A24" s="21" t="s">
        <v>91</v>
      </c>
      <c r="B24" s="22" t="s">
        <v>106</v>
      </c>
      <c r="C24" s="23" t="s">
        <v>97</v>
      </c>
      <c r="D24" s="24">
        <v>46</v>
      </c>
      <c r="E24" s="32" t="s">
        <v>32</v>
      </c>
      <c r="F24" s="33">
        <v>59</v>
      </c>
      <c r="G24" s="19" t="s">
        <v>126</v>
      </c>
      <c r="H24" s="19" t="s">
        <v>45</v>
      </c>
      <c r="I24" s="10">
        <v>45</v>
      </c>
      <c r="J24" s="10">
        <v>63</v>
      </c>
      <c r="K24" s="10">
        <v>19</v>
      </c>
      <c r="L24" s="10">
        <v>14</v>
      </c>
      <c r="M24" s="10">
        <v>108</v>
      </c>
      <c r="N24" s="10">
        <v>102</v>
      </c>
      <c r="O24" s="10">
        <v>110</v>
      </c>
      <c r="P24" s="10">
        <v>74</v>
      </c>
      <c r="Q24" s="10">
        <v>41</v>
      </c>
      <c r="R24" s="10">
        <v>45</v>
      </c>
      <c r="S24" s="10">
        <v>64</v>
      </c>
      <c r="T24" s="10">
        <v>18</v>
      </c>
      <c r="U24" s="10">
        <v>13</v>
      </c>
      <c r="V24" s="10">
        <v>29</v>
      </c>
      <c r="W24" s="10">
        <v>26</v>
      </c>
      <c r="X24" s="1">
        <v>29</v>
      </c>
      <c r="Y24" s="1">
        <v>74</v>
      </c>
      <c r="Z24" s="1">
        <v>41</v>
      </c>
      <c r="AA24" s="1">
        <v>45</v>
      </c>
      <c r="AB24" s="1">
        <v>26</v>
      </c>
      <c r="AC24" s="1">
        <v>18</v>
      </c>
      <c r="AD24" s="1">
        <v>29</v>
      </c>
      <c r="AE24" s="1">
        <v>26</v>
      </c>
      <c r="AF24" s="1">
        <v>29</v>
      </c>
      <c r="AG24" s="10">
        <v>74</v>
      </c>
      <c r="AH24" s="10">
        <v>41</v>
      </c>
      <c r="AI24" s="10">
        <v>92</v>
      </c>
      <c r="AJ24" s="10">
        <v>108</v>
      </c>
      <c r="AK24" s="10">
        <v>68</v>
      </c>
      <c r="AL24" s="10">
        <v>34</v>
      </c>
      <c r="AM24" s="10">
        <v>26</v>
      </c>
      <c r="AN24" s="10">
        <v>19</v>
      </c>
      <c r="AO24" s="10">
        <v>102</v>
      </c>
      <c r="AP24" s="2">
        <v>1</v>
      </c>
      <c r="AQ24" s="14" t="s">
        <v>113</v>
      </c>
      <c r="AR24" s="31">
        <v>44446</v>
      </c>
      <c r="AS24" s="31">
        <v>44444</v>
      </c>
      <c r="AT24" s="31">
        <v>44444</v>
      </c>
    </row>
    <row r="25" spans="1:46" ht="28.5" customHeight="1" x14ac:dyDescent="0.25">
      <c r="A25" s="21" t="s">
        <v>92</v>
      </c>
      <c r="B25" s="22" t="s">
        <v>107</v>
      </c>
      <c r="C25" s="23" t="s">
        <v>97</v>
      </c>
      <c r="D25" s="24">
        <v>40</v>
      </c>
      <c r="E25" s="32" t="s">
        <v>32</v>
      </c>
      <c r="F25" s="33">
        <v>57</v>
      </c>
      <c r="G25" s="19" t="s">
        <v>126</v>
      </c>
      <c r="H25" s="19" t="s">
        <v>45</v>
      </c>
      <c r="I25" s="10">
        <v>45</v>
      </c>
      <c r="J25" s="10">
        <v>60</v>
      </c>
      <c r="K25" s="10">
        <v>19</v>
      </c>
      <c r="L25" s="10">
        <v>14</v>
      </c>
      <c r="M25" s="10">
        <v>100</v>
      </c>
      <c r="N25" s="10">
        <v>96</v>
      </c>
      <c r="O25" s="10">
        <v>104</v>
      </c>
      <c r="P25" s="10">
        <v>68</v>
      </c>
      <c r="Q25" s="10">
        <v>39</v>
      </c>
      <c r="R25" s="10">
        <v>45</v>
      </c>
      <c r="S25" s="10">
        <v>61</v>
      </c>
      <c r="T25" s="10">
        <v>17</v>
      </c>
      <c r="U25" s="10">
        <v>12</v>
      </c>
      <c r="V25" s="10">
        <v>27</v>
      </c>
      <c r="W25" s="10">
        <v>25</v>
      </c>
      <c r="X25" s="1">
        <v>27</v>
      </c>
      <c r="Y25" s="1">
        <v>68</v>
      </c>
      <c r="Z25" s="1">
        <v>39</v>
      </c>
      <c r="AA25" s="1">
        <v>45</v>
      </c>
      <c r="AB25" s="1">
        <v>24</v>
      </c>
      <c r="AC25" s="1">
        <v>17</v>
      </c>
      <c r="AD25" s="1">
        <v>27</v>
      </c>
      <c r="AE25" s="1">
        <v>25</v>
      </c>
      <c r="AF25" s="1">
        <v>27</v>
      </c>
      <c r="AG25" s="10">
        <v>68</v>
      </c>
      <c r="AH25" s="10">
        <v>39</v>
      </c>
      <c r="AI25" s="10">
        <v>86</v>
      </c>
      <c r="AJ25" s="10">
        <v>102</v>
      </c>
      <c r="AK25" s="10">
        <v>67</v>
      </c>
      <c r="AL25" s="10">
        <v>33</v>
      </c>
      <c r="AM25" s="10">
        <v>24</v>
      </c>
      <c r="AN25" s="10">
        <v>19</v>
      </c>
      <c r="AO25" s="10">
        <v>94</v>
      </c>
      <c r="AP25" s="2">
        <v>1</v>
      </c>
      <c r="AQ25" s="14" t="s">
        <v>113</v>
      </c>
      <c r="AR25" s="31">
        <v>44446</v>
      </c>
      <c r="AS25" s="31">
        <v>44444</v>
      </c>
      <c r="AT25" s="31">
        <v>44444</v>
      </c>
    </row>
    <row r="26" spans="1:46" ht="28.5" customHeight="1" x14ac:dyDescent="0.25">
      <c r="A26" s="21" t="s">
        <v>93</v>
      </c>
      <c r="B26" s="22" t="s">
        <v>63</v>
      </c>
      <c r="C26" s="23" t="s">
        <v>97</v>
      </c>
      <c r="D26" s="24">
        <v>41</v>
      </c>
      <c r="E26" s="32" t="s">
        <v>32</v>
      </c>
      <c r="F26" s="33">
        <v>56</v>
      </c>
      <c r="G26" s="19" t="s">
        <v>126</v>
      </c>
      <c r="H26" s="19" t="s">
        <v>45</v>
      </c>
      <c r="I26" s="10">
        <v>46</v>
      </c>
      <c r="J26" s="10">
        <v>59</v>
      </c>
      <c r="K26" s="10">
        <v>19</v>
      </c>
      <c r="L26" s="10">
        <v>14</v>
      </c>
      <c r="M26" s="10">
        <v>2</v>
      </c>
      <c r="N26" s="10">
        <v>106</v>
      </c>
      <c r="O26" s="10">
        <v>112</v>
      </c>
      <c r="P26" s="10">
        <v>72</v>
      </c>
      <c r="Q26" s="10">
        <v>41</v>
      </c>
      <c r="R26" s="10">
        <v>46</v>
      </c>
      <c r="S26" s="10">
        <v>60</v>
      </c>
      <c r="T26" s="10">
        <v>17</v>
      </c>
      <c r="U26" s="10">
        <v>13</v>
      </c>
      <c r="V26" s="10">
        <v>29</v>
      </c>
      <c r="W26" s="10">
        <v>29</v>
      </c>
      <c r="X26" s="1">
        <v>29</v>
      </c>
      <c r="Y26" s="1">
        <v>72</v>
      </c>
      <c r="Z26" s="1">
        <v>41</v>
      </c>
      <c r="AA26" s="1">
        <v>46</v>
      </c>
      <c r="AB26" s="1">
        <v>26</v>
      </c>
      <c r="AC26" s="1">
        <v>17</v>
      </c>
      <c r="AD26" s="1">
        <v>29</v>
      </c>
      <c r="AE26" s="1">
        <v>29</v>
      </c>
      <c r="AF26" s="1">
        <v>29</v>
      </c>
      <c r="AG26" s="10">
        <v>72</v>
      </c>
      <c r="AH26" s="10">
        <v>41</v>
      </c>
      <c r="AI26" s="10">
        <v>92</v>
      </c>
      <c r="AJ26" s="10">
        <v>109</v>
      </c>
      <c r="AK26" s="10">
        <v>68</v>
      </c>
      <c r="AL26" s="10">
        <v>33</v>
      </c>
      <c r="AM26" s="10">
        <v>26</v>
      </c>
      <c r="AN26" s="10">
        <v>20</v>
      </c>
      <c r="AO26" s="10">
        <v>97</v>
      </c>
      <c r="AP26" s="2">
        <v>1</v>
      </c>
      <c r="AQ26" s="14" t="s">
        <v>113</v>
      </c>
      <c r="AR26" s="31">
        <v>44446</v>
      </c>
      <c r="AS26" s="31">
        <v>44444</v>
      </c>
      <c r="AT26" s="31">
        <v>44444</v>
      </c>
    </row>
    <row r="27" spans="1:46" ht="28.5" customHeight="1" x14ac:dyDescent="0.25">
      <c r="A27" s="21" t="s">
        <v>94</v>
      </c>
      <c r="B27" s="22" t="s">
        <v>108</v>
      </c>
      <c r="C27" s="23" t="s">
        <v>97</v>
      </c>
      <c r="D27" s="24">
        <v>41</v>
      </c>
      <c r="E27" s="32" t="s">
        <v>32</v>
      </c>
      <c r="F27" s="33">
        <v>54</v>
      </c>
      <c r="G27" s="19" t="s">
        <v>126</v>
      </c>
      <c r="H27" s="19" t="s">
        <v>45</v>
      </c>
      <c r="I27" s="10">
        <v>45</v>
      </c>
      <c r="J27" s="10">
        <v>59</v>
      </c>
      <c r="K27" s="10">
        <v>20</v>
      </c>
      <c r="L27" s="10">
        <v>15</v>
      </c>
      <c r="M27" s="10">
        <v>104</v>
      </c>
      <c r="N27" s="10">
        <v>99</v>
      </c>
      <c r="O27" s="10">
        <v>109</v>
      </c>
      <c r="P27" s="10">
        <v>72</v>
      </c>
      <c r="Q27" s="10">
        <v>40</v>
      </c>
      <c r="R27" s="10">
        <v>45</v>
      </c>
      <c r="S27" s="10">
        <v>60</v>
      </c>
      <c r="T27" s="10">
        <v>18</v>
      </c>
      <c r="U27" s="10">
        <v>13</v>
      </c>
      <c r="V27" s="10">
        <v>28</v>
      </c>
      <c r="W27" s="10">
        <v>26</v>
      </c>
      <c r="X27" s="1">
        <v>28</v>
      </c>
      <c r="Y27" s="1">
        <v>72</v>
      </c>
      <c r="Z27" s="1">
        <v>40</v>
      </c>
      <c r="AA27" s="1">
        <v>45</v>
      </c>
      <c r="AB27" s="1">
        <v>26</v>
      </c>
      <c r="AC27" s="1">
        <v>18</v>
      </c>
      <c r="AD27" s="1">
        <v>28</v>
      </c>
      <c r="AE27" s="1">
        <v>26</v>
      </c>
      <c r="AF27" s="1">
        <v>28</v>
      </c>
      <c r="AG27" s="10">
        <v>72</v>
      </c>
      <c r="AH27" s="10">
        <v>40</v>
      </c>
      <c r="AI27" s="10">
        <v>94</v>
      </c>
      <c r="AJ27" s="10">
        <v>106</v>
      </c>
      <c r="AK27" s="10">
        <v>72</v>
      </c>
      <c r="AL27" s="10">
        <v>52</v>
      </c>
      <c r="AM27" s="10">
        <v>39</v>
      </c>
      <c r="AN27" s="10">
        <v>19</v>
      </c>
      <c r="AO27" s="10">
        <v>99</v>
      </c>
      <c r="AP27" s="2">
        <v>1</v>
      </c>
      <c r="AQ27" s="14" t="s">
        <v>113</v>
      </c>
      <c r="AR27" s="31">
        <v>44446</v>
      </c>
      <c r="AS27" s="31">
        <v>44444</v>
      </c>
      <c r="AT27" s="31">
        <v>44444</v>
      </c>
    </row>
    <row r="28" spans="1:46" ht="28.5" customHeight="1" x14ac:dyDescent="0.25">
      <c r="A28" s="21" t="s">
        <v>95</v>
      </c>
      <c r="B28" s="22" t="s">
        <v>109</v>
      </c>
      <c r="C28" s="23" t="s">
        <v>97</v>
      </c>
      <c r="D28" s="24">
        <v>42</v>
      </c>
      <c r="E28" s="32" t="s">
        <v>32</v>
      </c>
      <c r="F28" s="33">
        <v>56</v>
      </c>
      <c r="G28" s="19" t="s">
        <v>126</v>
      </c>
      <c r="H28" s="19" t="s">
        <v>45</v>
      </c>
      <c r="I28" s="10">
        <v>48</v>
      </c>
      <c r="J28" s="10">
        <v>61</v>
      </c>
      <c r="K28" s="10">
        <v>20</v>
      </c>
      <c r="L28" s="10">
        <v>15</v>
      </c>
      <c r="M28" s="10">
        <v>108</v>
      </c>
      <c r="N28" s="10">
        <v>102</v>
      </c>
      <c r="O28" s="10">
        <v>112</v>
      </c>
      <c r="P28" s="10">
        <v>72</v>
      </c>
      <c r="Q28" s="10">
        <v>42</v>
      </c>
      <c r="R28" s="10">
        <v>48</v>
      </c>
      <c r="S28" s="10">
        <v>62</v>
      </c>
      <c r="T28" s="10">
        <v>18</v>
      </c>
      <c r="U28" s="10">
        <v>13</v>
      </c>
      <c r="V28" s="10">
        <v>29</v>
      </c>
      <c r="W28" s="10">
        <v>27</v>
      </c>
      <c r="X28" s="1">
        <v>29</v>
      </c>
      <c r="Y28" s="1">
        <v>72</v>
      </c>
      <c r="Z28" s="1">
        <v>42</v>
      </c>
      <c r="AA28" s="1">
        <v>48</v>
      </c>
      <c r="AB28" s="1">
        <v>26</v>
      </c>
      <c r="AC28" s="1">
        <v>18</v>
      </c>
      <c r="AD28" s="1">
        <v>29</v>
      </c>
      <c r="AE28" s="1">
        <v>27</v>
      </c>
      <c r="AF28" s="1">
        <v>29</v>
      </c>
      <c r="AG28" s="10">
        <v>72</v>
      </c>
      <c r="AH28" s="10">
        <v>42</v>
      </c>
      <c r="AI28" s="10">
        <v>96</v>
      </c>
      <c r="AJ28" s="10">
        <v>110</v>
      </c>
      <c r="AK28" s="10">
        <v>68</v>
      </c>
      <c r="AL28" s="10">
        <v>35</v>
      </c>
      <c r="AM28" s="10">
        <v>26</v>
      </c>
      <c r="AN28" s="10">
        <v>20</v>
      </c>
      <c r="AO28" s="10">
        <v>93</v>
      </c>
      <c r="AP28" s="2">
        <v>1</v>
      </c>
      <c r="AQ28" s="14" t="s">
        <v>113</v>
      </c>
      <c r="AR28" s="31">
        <v>44446</v>
      </c>
      <c r="AS28" s="31">
        <v>44444</v>
      </c>
      <c r="AT28" s="31">
        <v>44444</v>
      </c>
    </row>
    <row r="29" spans="1:46" ht="28.5" customHeight="1" x14ac:dyDescent="0.25">
      <c r="A29" s="21" t="s">
        <v>96</v>
      </c>
      <c r="B29" s="22" t="s">
        <v>110</v>
      </c>
      <c r="C29" s="23" t="s">
        <v>97</v>
      </c>
      <c r="D29" s="24">
        <v>43</v>
      </c>
      <c r="E29" s="32" t="s">
        <v>32</v>
      </c>
      <c r="F29" s="33">
        <v>60</v>
      </c>
      <c r="G29" s="19" t="s">
        <v>126</v>
      </c>
      <c r="H29" s="19" t="s">
        <v>45</v>
      </c>
      <c r="I29" s="10">
        <v>46</v>
      </c>
      <c r="J29" s="10">
        <v>57</v>
      </c>
      <c r="K29" s="10">
        <v>19</v>
      </c>
      <c r="L29" s="10">
        <v>14</v>
      </c>
      <c r="M29" s="10">
        <v>104</v>
      </c>
      <c r="N29" s="10">
        <v>100</v>
      </c>
      <c r="O29" s="10">
        <v>110</v>
      </c>
      <c r="P29" s="10">
        <v>70</v>
      </c>
      <c r="Q29" s="10">
        <v>43</v>
      </c>
      <c r="R29" s="10">
        <v>46</v>
      </c>
      <c r="S29" s="10">
        <v>58</v>
      </c>
      <c r="T29" s="10">
        <v>17</v>
      </c>
      <c r="U29" s="10">
        <v>12</v>
      </c>
      <c r="V29" s="10">
        <v>28</v>
      </c>
      <c r="W29" s="10">
        <v>27</v>
      </c>
      <c r="X29" s="1">
        <v>28</v>
      </c>
      <c r="Y29" s="1">
        <v>70</v>
      </c>
      <c r="Z29" s="1">
        <v>43</v>
      </c>
      <c r="AA29" s="1">
        <v>46</v>
      </c>
      <c r="AB29" s="1">
        <v>25</v>
      </c>
      <c r="AC29" s="1">
        <v>17</v>
      </c>
      <c r="AD29" s="1">
        <v>28</v>
      </c>
      <c r="AE29" s="1">
        <v>27</v>
      </c>
      <c r="AF29" s="1">
        <v>28</v>
      </c>
      <c r="AG29" s="10">
        <v>70</v>
      </c>
      <c r="AH29" s="10">
        <v>43</v>
      </c>
      <c r="AI29" s="10">
        <v>90</v>
      </c>
      <c r="AJ29" s="10">
        <v>108</v>
      </c>
      <c r="AK29" s="10">
        <v>70</v>
      </c>
      <c r="AL29" s="10">
        <v>34</v>
      </c>
      <c r="AM29" s="10">
        <v>26</v>
      </c>
      <c r="AN29" s="10">
        <v>20</v>
      </c>
      <c r="AO29" s="10">
        <v>95</v>
      </c>
      <c r="AP29" s="2">
        <v>1</v>
      </c>
      <c r="AQ29" s="14" t="s">
        <v>113</v>
      </c>
      <c r="AR29" s="31">
        <v>44446</v>
      </c>
      <c r="AS29" s="31">
        <v>44444</v>
      </c>
      <c r="AT29" s="31">
        <v>44444</v>
      </c>
    </row>
    <row r="30" spans="1:46" ht="28.5" customHeight="1" x14ac:dyDescent="0.25">
      <c r="A30" s="21" t="s">
        <v>112</v>
      </c>
      <c r="B30" s="22" t="s">
        <v>111</v>
      </c>
      <c r="C30" s="23" t="s">
        <v>97</v>
      </c>
      <c r="D30" s="24">
        <v>42</v>
      </c>
      <c r="E30" s="32" t="s">
        <v>32</v>
      </c>
      <c r="F30" s="33">
        <v>56</v>
      </c>
      <c r="G30" s="19" t="s">
        <v>126</v>
      </c>
      <c r="H30" s="19" t="s">
        <v>45</v>
      </c>
      <c r="I30" s="10">
        <v>45</v>
      </c>
      <c r="J30" s="10">
        <v>55</v>
      </c>
      <c r="K30" s="10">
        <v>19</v>
      </c>
      <c r="L30" s="10">
        <v>14</v>
      </c>
      <c r="M30" s="10">
        <v>96</v>
      </c>
      <c r="N30" s="10">
        <v>92</v>
      </c>
      <c r="O30" s="10">
        <v>102</v>
      </c>
      <c r="P30" s="10">
        <v>72</v>
      </c>
      <c r="Q30" s="10">
        <v>40</v>
      </c>
      <c r="R30" s="10">
        <v>45</v>
      </c>
      <c r="S30" s="10">
        <v>56</v>
      </c>
      <c r="T30" s="10">
        <v>16</v>
      </c>
      <c r="U30" s="10">
        <v>12</v>
      </c>
      <c r="V30" s="10">
        <v>27</v>
      </c>
      <c r="W30" s="10">
        <v>24</v>
      </c>
      <c r="X30" s="1">
        <v>27</v>
      </c>
      <c r="Y30" s="1">
        <v>72</v>
      </c>
      <c r="Z30" s="1">
        <v>40</v>
      </c>
      <c r="AA30" s="1">
        <v>45</v>
      </c>
      <c r="AB30" s="1">
        <v>26</v>
      </c>
      <c r="AC30" s="1">
        <v>16</v>
      </c>
      <c r="AD30" s="1">
        <v>27</v>
      </c>
      <c r="AE30" s="1">
        <v>24</v>
      </c>
      <c r="AF30" s="1">
        <v>27</v>
      </c>
      <c r="AG30" s="10">
        <v>72</v>
      </c>
      <c r="AH30" s="10">
        <v>40</v>
      </c>
      <c r="AI30" s="10">
        <v>84</v>
      </c>
      <c r="AJ30" s="10">
        <v>100</v>
      </c>
      <c r="AK30" s="10">
        <v>66</v>
      </c>
      <c r="AL30" s="10">
        <v>32</v>
      </c>
      <c r="AM30" s="10">
        <v>24</v>
      </c>
      <c r="AN30" s="10">
        <v>19</v>
      </c>
      <c r="AO30" s="10">
        <v>98</v>
      </c>
      <c r="AP30" s="2">
        <v>1</v>
      </c>
      <c r="AQ30" s="14" t="s">
        <v>113</v>
      </c>
      <c r="AR30" s="31">
        <v>44446</v>
      </c>
      <c r="AS30" s="31">
        <v>44444</v>
      </c>
      <c r="AT30" s="31">
        <v>44444</v>
      </c>
    </row>
    <row r="31" spans="1:46" ht="28.5" customHeight="1" x14ac:dyDescent="0.25">
      <c r="A31" s="21" t="s">
        <v>123</v>
      </c>
      <c r="B31" s="22" t="s">
        <v>122</v>
      </c>
      <c r="C31" s="23" t="s">
        <v>97</v>
      </c>
      <c r="D31" s="24">
        <v>42</v>
      </c>
      <c r="E31" s="32" t="s">
        <v>32</v>
      </c>
      <c r="F31" s="33">
        <v>54</v>
      </c>
      <c r="G31" s="19" t="s">
        <v>126</v>
      </c>
      <c r="H31" s="19" t="s">
        <v>45</v>
      </c>
      <c r="I31" s="10">
        <v>45</v>
      </c>
      <c r="J31" s="10">
        <v>55</v>
      </c>
      <c r="K31" s="10">
        <v>19</v>
      </c>
      <c r="L31" s="10">
        <v>14</v>
      </c>
      <c r="M31" s="10">
        <v>100</v>
      </c>
      <c r="N31" s="10">
        <v>95</v>
      </c>
      <c r="O31" s="10">
        <v>107</v>
      </c>
      <c r="P31" s="10">
        <v>73</v>
      </c>
      <c r="Q31" s="10">
        <v>41</v>
      </c>
      <c r="R31" s="10">
        <v>45</v>
      </c>
      <c r="S31" s="10">
        <v>56</v>
      </c>
      <c r="T31" s="10">
        <v>17</v>
      </c>
      <c r="U31" s="10">
        <v>13</v>
      </c>
      <c r="V31" s="10">
        <v>28</v>
      </c>
      <c r="W31" s="10">
        <v>26</v>
      </c>
      <c r="X31" s="1">
        <v>28</v>
      </c>
      <c r="Y31" s="1">
        <v>73</v>
      </c>
      <c r="Z31" s="1">
        <v>41</v>
      </c>
      <c r="AA31" s="1">
        <v>45</v>
      </c>
      <c r="AB31" s="1">
        <v>56</v>
      </c>
      <c r="AC31" s="1">
        <v>17</v>
      </c>
      <c r="AD31" s="1">
        <v>28</v>
      </c>
      <c r="AE31" s="1">
        <v>26</v>
      </c>
      <c r="AF31" s="1">
        <v>28</v>
      </c>
      <c r="AG31" s="10">
        <v>73</v>
      </c>
      <c r="AH31" s="10">
        <v>41</v>
      </c>
      <c r="AI31" s="10">
        <v>88</v>
      </c>
      <c r="AJ31" s="10">
        <v>105</v>
      </c>
      <c r="AK31" s="10">
        <v>67</v>
      </c>
      <c r="AL31" s="10">
        <v>34</v>
      </c>
      <c r="AM31" s="10">
        <v>24</v>
      </c>
      <c r="AN31" s="10">
        <v>20</v>
      </c>
      <c r="AO31" s="10">
        <v>94</v>
      </c>
      <c r="AP31" s="2">
        <v>2</v>
      </c>
      <c r="AQ31" s="14" t="s">
        <v>124</v>
      </c>
      <c r="AR31" s="31">
        <v>44446</v>
      </c>
      <c r="AS31" s="31">
        <v>44444</v>
      </c>
      <c r="AT31" s="31">
        <v>44444</v>
      </c>
    </row>
    <row r="32" spans="1:46" ht="28.5" customHeight="1" x14ac:dyDescent="0.25">
      <c r="A32" s="21" t="s">
        <v>125</v>
      </c>
      <c r="B32" s="22" t="s">
        <v>127</v>
      </c>
      <c r="C32" s="23" t="s">
        <v>97</v>
      </c>
      <c r="D32" s="24">
        <v>42</v>
      </c>
      <c r="E32" s="32" t="s">
        <v>32</v>
      </c>
      <c r="F32" s="33">
        <v>56</v>
      </c>
      <c r="G32" s="19" t="s">
        <v>126</v>
      </c>
      <c r="H32" s="19" t="s">
        <v>45</v>
      </c>
      <c r="I32" s="10">
        <v>46</v>
      </c>
      <c r="J32" s="10">
        <v>60</v>
      </c>
      <c r="K32" s="10">
        <v>19</v>
      </c>
      <c r="L32" s="10">
        <v>14</v>
      </c>
      <c r="M32" s="10">
        <v>100</v>
      </c>
      <c r="N32" s="10">
        <v>96</v>
      </c>
      <c r="O32" s="10">
        <v>106</v>
      </c>
      <c r="P32" s="10">
        <v>72</v>
      </c>
      <c r="Q32" s="10">
        <v>42</v>
      </c>
      <c r="R32" s="10">
        <v>46</v>
      </c>
      <c r="S32" s="10">
        <v>61</v>
      </c>
      <c r="T32" s="10">
        <v>18</v>
      </c>
      <c r="U32" s="10">
        <v>13</v>
      </c>
      <c r="V32" s="10">
        <v>29</v>
      </c>
      <c r="W32" s="10">
        <v>27</v>
      </c>
      <c r="X32" s="1">
        <v>29</v>
      </c>
      <c r="Y32" s="1">
        <v>72</v>
      </c>
      <c r="Z32" s="1">
        <v>42</v>
      </c>
      <c r="AA32" s="1">
        <v>46</v>
      </c>
      <c r="AB32" s="1">
        <v>25</v>
      </c>
      <c r="AC32" s="1">
        <v>18</v>
      </c>
      <c r="AD32" s="1">
        <v>29</v>
      </c>
      <c r="AE32" s="1">
        <v>27</v>
      </c>
      <c r="AF32" s="1">
        <v>29</v>
      </c>
      <c r="AG32" s="10">
        <v>72</v>
      </c>
      <c r="AH32" s="10">
        <v>42</v>
      </c>
      <c r="AI32" s="10">
        <v>90</v>
      </c>
      <c r="AJ32" s="10">
        <v>104</v>
      </c>
      <c r="AK32" s="10">
        <v>68</v>
      </c>
      <c r="AL32" s="10">
        <v>34</v>
      </c>
      <c r="AM32" s="10">
        <v>24</v>
      </c>
      <c r="AN32" s="10">
        <v>21</v>
      </c>
      <c r="AO32" s="10">
        <v>94</v>
      </c>
      <c r="AP32" s="2">
        <v>3</v>
      </c>
      <c r="AQ32" s="31">
        <v>44440</v>
      </c>
      <c r="AR32" s="31">
        <v>44446</v>
      </c>
      <c r="AS32" s="31">
        <v>44444</v>
      </c>
      <c r="AT32" s="31">
        <v>44444</v>
      </c>
    </row>
    <row r="33" spans="1:43" ht="28.5" customHeight="1" x14ac:dyDescent="0.25">
      <c r="A33" s="28"/>
      <c r="B33" s="29"/>
      <c r="C33" s="19"/>
      <c r="D33" s="30"/>
      <c r="F33" s="10"/>
      <c r="G33" s="19"/>
      <c r="H33" s="19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AG33" s="10"/>
      <c r="AH33" s="10"/>
      <c r="AI33" s="10"/>
      <c r="AJ33" s="10"/>
      <c r="AK33" s="10"/>
      <c r="AL33" s="10"/>
      <c r="AM33" s="10"/>
      <c r="AN33" s="10"/>
      <c r="AO33" s="10"/>
      <c r="AQ33" s="14"/>
    </row>
    <row r="34" spans="1:43" ht="28.5" customHeight="1" x14ac:dyDescent="0.25">
      <c r="A34" s="28"/>
      <c r="B34" s="29"/>
      <c r="C34" s="19"/>
      <c r="F34" s="10"/>
      <c r="G34" s="19"/>
      <c r="H34" s="1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AG34" s="10"/>
      <c r="AH34" s="10"/>
      <c r="AI34" s="10"/>
      <c r="AJ34" s="10"/>
      <c r="AK34" s="10"/>
      <c r="AL34" s="10"/>
      <c r="AM34" s="10"/>
      <c r="AN34" s="10"/>
      <c r="AO34" s="10"/>
      <c r="AQ34" s="14"/>
    </row>
    <row r="35" spans="1:43" ht="28.5" customHeight="1" x14ac:dyDescent="0.25">
      <c r="A35" s="28"/>
      <c r="B35" s="29"/>
      <c r="C35" s="19"/>
      <c r="F35" s="10"/>
      <c r="G35" s="19"/>
      <c r="H35" s="19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AG35" s="10"/>
      <c r="AH35" s="10"/>
      <c r="AI35" s="10"/>
      <c r="AJ35" s="10"/>
      <c r="AK35" s="10"/>
      <c r="AL35" s="10"/>
      <c r="AM35" s="10"/>
      <c r="AN35" s="10"/>
      <c r="AO35" s="10"/>
      <c r="AQ35" s="14"/>
    </row>
    <row r="36" spans="1:43" ht="28.5" customHeight="1" x14ac:dyDescent="0.25">
      <c r="A36" s="28"/>
      <c r="B36" s="29"/>
      <c r="C36" s="19"/>
      <c r="F36" s="10"/>
      <c r="G36" s="19"/>
      <c r="H36" s="19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AG36" s="1"/>
      <c r="AH36" s="10"/>
      <c r="AI36" s="10"/>
      <c r="AJ36" s="10"/>
      <c r="AK36" s="10"/>
      <c r="AL36" s="10"/>
      <c r="AM36" s="10"/>
      <c r="AN36" s="10"/>
      <c r="AO36" s="10"/>
      <c r="AQ36" s="14"/>
    </row>
    <row r="37" spans="1:43" ht="28.5" customHeight="1" x14ac:dyDescent="0.25">
      <c r="A37" s="28"/>
      <c r="B37" s="29"/>
      <c r="C37" s="19"/>
      <c r="F37" s="10"/>
      <c r="G37" s="19"/>
      <c r="H37" s="19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AG37" s="1"/>
      <c r="AH37" s="10"/>
      <c r="AI37" s="10"/>
      <c r="AJ37" s="10"/>
      <c r="AK37" s="10"/>
      <c r="AL37" s="10"/>
      <c r="AM37" s="10"/>
      <c r="AN37" s="10"/>
      <c r="AO37" s="10"/>
      <c r="AQ37" s="14"/>
    </row>
    <row r="38" spans="1:43" ht="28.5" customHeight="1" x14ac:dyDescent="0.25">
      <c r="A38" s="28"/>
      <c r="B38" s="29"/>
      <c r="C38" s="19"/>
      <c r="F38" s="10"/>
      <c r="G38" s="19"/>
      <c r="H38" s="19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AG38" s="10"/>
      <c r="AH38" s="10"/>
      <c r="AI38" s="10"/>
      <c r="AJ38" s="10"/>
      <c r="AK38" s="10"/>
      <c r="AL38" s="10"/>
      <c r="AM38" s="10"/>
      <c r="AN38" s="10"/>
      <c r="AO38" s="10"/>
      <c r="AQ38" s="14"/>
    </row>
    <row r="39" spans="1:43" ht="28.5" customHeight="1" x14ac:dyDescent="0.25">
      <c r="A39" s="28"/>
      <c r="B39" s="29"/>
      <c r="C39" s="19"/>
      <c r="F39" s="10"/>
      <c r="G39" s="19"/>
      <c r="H39" s="19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"/>
      <c r="AF39" s="10"/>
      <c r="AG39" s="10"/>
      <c r="AH39" s="10"/>
      <c r="AI39" s="10"/>
      <c r="AJ39" s="10"/>
      <c r="AK39" s="10"/>
      <c r="AL39" s="10"/>
      <c r="AM39" s="10"/>
      <c r="AN39" s="10"/>
      <c r="AO39" s="1"/>
      <c r="AQ39" s="14"/>
    </row>
    <row r="40" spans="1:43" ht="28.5" customHeight="1" x14ac:dyDescent="0.25">
      <c r="A40" s="28"/>
      <c r="B40" s="29"/>
      <c r="C40" s="19"/>
      <c r="F40" s="10"/>
      <c r="G40" s="19"/>
      <c r="H40" s="19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AG40" s="10"/>
      <c r="AH40" s="10"/>
      <c r="AI40" s="10"/>
      <c r="AJ40" s="10"/>
      <c r="AK40" s="10"/>
      <c r="AL40" s="10"/>
      <c r="AM40" s="10"/>
      <c r="AN40" s="10"/>
      <c r="AO40" s="10"/>
      <c r="AQ40" s="14"/>
    </row>
    <row r="41" spans="1:43" ht="28.5" customHeight="1" x14ac:dyDescent="0.25">
      <c r="A41" s="28"/>
      <c r="B41" s="29"/>
      <c r="C41" s="19"/>
      <c r="F41" s="10"/>
      <c r="G41" s="19"/>
      <c r="H41" s="19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AG41" s="10"/>
      <c r="AH41" s="10"/>
      <c r="AI41" s="10"/>
      <c r="AJ41" s="10"/>
      <c r="AK41" s="10"/>
      <c r="AL41" s="10"/>
      <c r="AM41" s="10"/>
      <c r="AN41" s="10"/>
      <c r="AO41" s="10"/>
      <c r="AQ41" s="14"/>
    </row>
    <row r="42" spans="1:43" ht="28.5" customHeight="1" x14ac:dyDescent="0.25">
      <c r="A42" s="28"/>
      <c r="B42" s="29"/>
      <c r="C42" s="19"/>
      <c r="F42" s="10"/>
      <c r="G42" s="19"/>
      <c r="H42" s="19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AG42" s="10"/>
      <c r="AH42" s="10"/>
      <c r="AI42" s="10"/>
      <c r="AJ42" s="10"/>
      <c r="AK42" s="10"/>
      <c r="AL42" s="10"/>
      <c r="AM42" s="10"/>
      <c r="AN42" s="10"/>
      <c r="AO42" s="10"/>
      <c r="AQ42" s="14"/>
    </row>
    <row r="43" spans="1:43" ht="28.5" customHeight="1" x14ac:dyDescent="0.25">
      <c r="A43" s="28"/>
      <c r="C43" s="19"/>
      <c r="F43" s="10"/>
      <c r="G43" s="19"/>
      <c r="H43" s="19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3" ht="28.5" customHeight="1" x14ac:dyDescent="0.25">
      <c r="A44" s="28"/>
      <c r="C44" s="19"/>
      <c r="F44" s="10"/>
      <c r="G44" s="19"/>
      <c r="H44" s="19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3" ht="28.5" customHeight="1" x14ac:dyDescent="0.25">
      <c r="A45" s="28"/>
      <c r="C45" s="19"/>
      <c r="F45" s="10"/>
      <c r="G45" s="19"/>
      <c r="H45" s="19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3" ht="28.5" customHeight="1" x14ac:dyDescent="0.25">
      <c r="A46" s="28"/>
      <c r="C46" s="19"/>
      <c r="F46" s="10"/>
      <c r="G46" s="19"/>
      <c r="H46" s="19"/>
      <c r="I46" s="10"/>
      <c r="J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AG46" s="10"/>
      <c r="AH46" s="10"/>
      <c r="AI46" s="10"/>
      <c r="AJ46" s="10"/>
      <c r="AK46" s="10"/>
      <c r="AL46" s="10"/>
      <c r="AM46" s="10"/>
      <c r="AN46" s="10"/>
      <c r="AO46" s="10"/>
    </row>
  </sheetData>
  <phoneticPr fontId="20" type="noConversion"/>
  <pageMargins left="0.65" right="3.9583333333333297E-2" top="0.61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5"/>
    </row>
    <row r="4" spans="6:6" ht="15.75" x14ac:dyDescent="0.25">
      <c r="F4" s="5"/>
    </row>
    <row r="5" spans="6:6" ht="15.75" x14ac:dyDescent="0.25">
      <c r="F5" s="5"/>
    </row>
    <row r="6" spans="6:6" ht="15.75" x14ac:dyDescent="0.25">
      <c r="F6" s="5"/>
    </row>
    <row r="7" spans="6:6" ht="15.75" x14ac:dyDescent="0.25">
      <c r="F7" s="5"/>
    </row>
    <row r="8" spans="6:6" ht="15.75" x14ac:dyDescent="0.25">
      <c r="F8" s="5"/>
    </row>
    <row r="9" spans="6:6" ht="15.75" x14ac:dyDescent="0.25">
      <c r="F9" s="5"/>
    </row>
    <row r="10" spans="6:6" ht="15.75" x14ac:dyDescent="0.25">
      <c r="F10" s="5"/>
    </row>
    <row r="11" spans="6:6" ht="15.75" x14ac:dyDescent="0.25">
      <c r="F11" s="5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4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1" t="s">
        <v>61</v>
      </c>
      <c r="G3" t="s">
        <v>43</v>
      </c>
      <c r="H3" t="s">
        <v>42</v>
      </c>
      <c r="K3" s="11" t="s">
        <v>61</v>
      </c>
      <c r="M3" s="1" t="s">
        <v>43</v>
      </c>
      <c r="N3" t="s">
        <v>42</v>
      </c>
      <c r="Q3" s="11" t="s">
        <v>61</v>
      </c>
    </row>
    <row r="4" spans="1:18" ht="15.75" x14ac:dyDescent="0.25">
      <c r="A4" s="1" t="s">
        <v>32</v>
      </c>
      <c r="B4">
        <f>COUNTIF(SEMUA!$E$2:$E$57,REKAP!A4)</f>
        <v>17</v>
      </c>
      <c r="C4">
        <v>3</v>
      </c>
      <c r="D4">
        <f>SUM(B4:C4)</f>
        <v>20</v>
      </c>
      <c r="E4" s="11">
        <v>25</v>
      </c>
      <c r="G4">
        <v>37</v>
      </c>
      <c r="H4">
        <f>COUNTIF(SEMUA!$D$1:$D$57,G4)</f>
        <v>0</v>
      </c>
      <c r="J4">
        <f>SUM(H4:I4)</f>
        <v>0</v>
      </c>
      <c r="K4" s="11">
        <v>0</v>
      </c>
      <c r="M4" s="6">
        <v>53</v>
      </c>
      <c r="N4">
        <f>COUNTIF(SEMUA!$F$2:$F$57,M4)</f>
        <v>0</v>
      </c>
      <c r="P4">
        <f>SUM(N4:O4)</f>
        <v>0</v>
      </c>
      <c r="Q4" s="11">
        <v>1</v>
      </c>
    </row>
    <row r="5" spans="1:18" ht="15.75" x14ac:dyDescent="0.25">
      <c r="A5" s="5" t="s">
        <v>31</v>
      </c>
      <c r="B5">
        <f>COUNTIF(SEMUA!$E$2:$E$57,REKAP!A5)</f>
        <v>3</v>
      </c>
      <c r="C5">
        <v>5</v>
      </c>
      <c r="D5">
        <f t="shared" ref="D5:D10" si="0">SUM(B5:C5)</f>
        <v>8</v>
      </c>
      <c r="E5" s="11">
        <v>16</v>
      </c>
      <c r="G5">
        <v>38</v>
      </c>
      <c r="H5">
        <f>COUNTIF(SEMUA!$D$1:$D$57,G5)</f>
        <v>0</v>
      </c>
      <c r="J5">
        <v>1</v>
      </c>
      <c r="K5" s="11">
        <v>0</v>
      </c>
      <c r="M5" s="6">
        <v>54</v>
      </c>
      <c r="N5">
        <f>COUNTIF(SEMUA!$F$2:$F$57,M5)</f>
        <v>3</v>
      </c>
      <c r="O5">
        <v>2</v>
      </c>
      <c r="P5">
        <f t="shared" ref="P5:P11" si="1">SUM(N5:O5)</f>
        <v>5</v>
      </c>
      <c r="Q5" s="11">
        <v>5</v>
      </c>
    </row>
    <row r="6" spans="1:18" ht="15.75" x14ac:dyDescent="0.25">
      <c r="A6" s="5" t="s">
        <v>35</v>
      </c>
      <c r="B6">
        <f>COUNTIF(SEMUA!$E$2:$E$57,REKAP!A6)</f>
        <v>0</v>
      </c>
      <c r="C6">
        <v>1</v>
      </c>
      <c r="D6">
        <f t="shared" si="0"/>
        <v>1</v>
      </c>
      <c r="E6" s="11">
        <v>4</v>
      </c>
      <c r="G6" s="6">
        <v>39</v>
      </c>
      <c r="H6">
        <f>COUNTIF(SEMUA!$D$1:$D$57,G6)</f>
        <v>1</v>
      </c>
      <c r="I6">
        <v>3</v>
      </c>
      <c r="J6">
        <f t="shared" ref="J6:J13" si="2">SUM(H6:I6)</f>
        <v>4</v>
      </c>
      <c r="K6" s="11">
        <v>3</v>
      </c>
      <c r="M6" s="6">
        <v>55</v>
      </c>
      <c r="N6">
        <f>COUNTIF(SEMUA!$F$2:$F$57,M6)</f>
        <v>4</v>
      </c>
      <c r="O6">
        <v>1</v>
      </c>
      <c r="P6">
        <f t="shared" si="1"/>
        <v>5</v>
      </c>
      <c r="Q6" s="11"/>
    </row>
    <row r="7" spans="1:18" ht="15.75" x14ac:dyDescent="0.25">
      <c r="A7" s="5" t="s">
        <v>34</v>
      </c>
      <c r="B7">
        <f>COUNTIF(SEMUA!$E$2:$E$57,REKAP!A7)</f>
        <v>9</v>
      </c>
      <c r="C7">
        <v>7</v>
      </c>
      <c r="D7">
        <f t="shared" si="0"/>
        <v>16</v>
      </c>
      <c r="E7" s="11">
        <v>24</v>
      </c>
      <c r="G7" s="6">
        <v>40</v>
      </c>
      <c r="H7">
        <f>COUNTIF(SEMUA!$D$1:$D$57,G7)</f>
        <v>4</v>
      </c>
      <c r="I7">
        <v>3</v>
      </c>
      <c r="J7">
        <f t="shared" si="2"/>
        <v>7</v>
      </c>
      <c r="K7" s="11">
        <v>22</v>
      </c>
      <c r="M7" s="6">
        <v>56</v>
      </c>
      <c r="N7">
        <f>COUNTIF(SEMUA!$F$2:$F$57,M7)</f>
        <v>9</v>
      </c>
      <c r="O7">
        <v>7</v>
      </c>
      <c r="P7">
        <f t="shared" si="1"/>
        <v>16</v>
      </c>
      <c r="Q7" s="11">
        <v>10</v>
      </c>
    </row>
    <row r="8" spans="1:18" ht="15.75" x14ac:dyDescent="0.25">
      <c r="A8" s="5" t="s">
        <v>33</v>
      </c>
      <c r="B8">
        <f>COUNTIF(SEMUA!$E$2:$E$57,REKAP!A8)</f>
        <v>1</v>
      </c>
      <c r="C8">
        <v>3</v>
      </c>
      <c r="D8">
        <f t="shared" si="0"/>
        <v>4</v>
      </c>
      <c r="E8" s="11">
        <v>11</v>
      </c>
      <c r="G8" s="6">
        <v>41</v>
      </c>
      <c r="H8">
        <f>COUNTIF(SEMUA!$D$1:$D$57,G8)</f>
        <v>5</v>
      </c>
      <c r="I8">
        <v>5</v>
      </c>
      <c r="J8">
        <f t="shared" si="2"/>
        <v>10</v>
      </c>
      <c r="K8" s="11">
        <v>23</v>
      </c>
      <c r="M8" s="6">
        <v>57</v>
      </c>
      <c r="N8">
        <f>COUNTIF(SEMUA!$F$2:$F$57,M8)</f>
        <v>5</v>
      </c>
      <c r="O8">
        <v>1</v>
      </c>
      <c r="P8">
        <f t="shared" si="1"/>
        <v>6</v>
      </c>
      <c r="Q8" s="11">
        <v>10</v>
      </c>
    </row>
    <row r="9" spans="1:18" ht="15.75" x14ac:dyDescent="0.25">
      <c r="A9" s="5" t="s">
        <v>36</v>
      </c>
      <c r="B9">
        <f>COUNTIF(SEMUA!$E$2:$E$57,REKAP!A9)</f>
        <v>1</v>
      </c>
      <c r="D9">
        <f t="shared" si="0"/>
        <v>1</v>
      </c>
      <c r="E9" s="11">
        <v>4</v>
      </c>
      <c r="G9" s="6">
        <v>42</v>
      </c>
      <c r="H9">
        <f>COUNTIF(SEMUA!$D$1:$D$57,G9)</f>
        <v>13</v>
      </c>
      <c r="I9">
        <v>2</v>
      </c>
      <c r="J9">
        <f t="shared" si="2"/>
        <v>15</v>
      </c>
      <c r="K9" s="11">
        <v>10</v>
      </c>
      <c r="M9" s="6">
        <v>58</v>
      </c>
      <c r="N9">
        <f>COUNTIF(SEMUA!$F$2:$F$57,M9)</f>
        <v>4</v>
      </c>
      <c r="O9">
        <v>6</v>
      </c>
      <c r="P9">
        <f t="shared" si="1"/>
        <v>10</v>
      </c>
      <c r="Q9" s="11">
        <v>9</v>
      </c>
    </row>
    <row r="10" spans="1:18" ht="15.75" x14ac:dyDescent="0.25">
      <c r="A10" s="5" t="s">
        <v>37</v>
      </c>
      <c r="B10">
        <f>COUNTIF(SEMUA!$E$2:$E$57,REKAP!A10)</f>
        <v>0</v>
      </c>
      <c r="D10">
        <f t="shared" si="0"/>
        <v>0</v>
      </c>
      <c r="E10" s="11">
        <v>1</v>
      </c>
      <c r="G10" s="6">
        <v>43</v>
      </c>
      <c r="H10">
        <f>COUNTIF(SEMUA!$D$1:$D$57,G10)</f>
        <v>5</v>
      </c>
      <c r="I10">
        <v>5</v>
      </c>
      <c r="J10">
        <f t="shared" si="2"/>
        <v>10</v>
      </c>
      <c r="K10" s="11">
        <v>10</v>
      </c>
      <c r="M10" s="6">
        <v>59</v>
      </c>
      <c r="N10">
        <f>COUNTIF(SEMUA!$F$2:$F$57,M10)</f>
        <v>3</v>
      </c>
      <c r="P10">
        <f t="shared" si="1"/>
        <v>3</v>
      </c>
      <c r="Q10" s="11"/>
    </row>
    <row r="11" spans="1:18" ht="15.75" x14ac:dyDescent="0.25">
      <c r="A11" s="7" t="s">
        <v>44</v>
      </c>
      <c r="B11" s="8">
        <f>SUM(B4:B10)</f>
        <v>31</v>
      </c>
      <c r="C11" s="8"/>
      <c r="D11" s="8">
        <f>SUM(D4:D10)</f>
        <v>50</v>
      </c>
      <c r="E11" s="12">
        <f>SUM(E4:E10)</f>
        <v>85</v>
      </c>
      <c r="F11" s="8"/>
      <c r="G11" s="6">
        <v>44</v>
      </c>
      <c r="H11">
        <f>COUNTIF(SEMUA!$D$1:$D$57,G11)</f>
        <v>1</v>
      </c>
      <c r="J11">
        <f t="shared" si="2"/>
        <v>1</v>
      </c>
      <c r="K11" s="11">
        <v>1</v>
      </c>
      <c r="M11" s="1">
        <v>60</v>
      </c>
      <c r="N11">
        <f>COUNTIF(SEMUA!$F$2:$F$57,M11)</f>
        <v>3</v>
      </c>
      <c r="O11">
        <v>2</v>
      </c>
      <c r="P11">
        <f t="shared" si="1"/>
        <v>5</v>
      </c>
      <c r="Q11" s="11">
        <v>5</v>
      </c>
    </row>
    <row r="12" spans="1:18" ht="15.75" x14ac:dyDescent="0.25">
      <c r="G12" s="6">
        <v>45</v>
      </c>
      <c r="H12">
        <f>COUNTIF(SEMUA!$D$1:$D$57,G12)</f>
        <v>1</v>
      </c>
      <c r="I12">
        <v>1</v>
      </c>
      <c r="J12">
        <f t="shared" si="2"/>
        <v>2</v>
      </c>
      <c r="K12" s="11">
        <v>0</v>
      </c>
      <c r="N12">
        <f>SUM(N4:N11)</f>
        <v>31</v>
      </c>
      <c r="O12">
        <f>SUM(O4:O11)</f>
        <v>19</v>
      </c>
      <c r="Q12" s="11">
        <f>SUM(Q4:Q11)</f>
        <v>40</v>
      </c>
    </row>
    <row r="13" spans="1:18" ht="15.75" x14ac:dyDescent="0.25">
      <c r="G13" s="6">
        <v>46</v>
      </c>
      <c r="H13">
        <f>COUNTIF(SEMUA!$D$1:$D$57,G13)</f>
        <v>1</v>
      </c>
      <c r="J13">
        <f t="shared" si="2"/>
        <v>1</v>
      </c>
      <c r="K13" s="11">
        <v>1</v>
      </c>
      <c r="Q13" s="11"/>
    </row>
    <row r="14" spans="1:18" ht="15.75" x14ac:dyDescent="0.25">
      <c r="G14" s="6"/>
      <c r="H14">
        <f>SUM(H4:H13)</f>
        <v>31</v>
      </c>
      <c r="I14">
        <f>SUM(I4:I13)</f>
        <v>19</v>
      </c>
      <c r="K14" s="11">
        <f>SUM(K4:K13)</f>
        <v>70</v>
      </c>
      <c r="P14" t="s">
        <v>62</v>
      </c>
      <c r="Q14" s="11">
        <v>57</v>
      </c>
      <c r="R14">
        <v>1</v>
      </c>
    </row>
    <row r="15" spans="1:18" ht="15.75" x14ac:dyDescent="0.25">
      <c r="G15" s="6"/>
    </row>
    <row r="16" spans="1:18" ht="15.75" x14ac:dyDescent="0.25">
      <c r="G16" s="6"/>
    </row>
    <row r="17" spans="7:7" ht="15.75" x14ac:dyDescent="0.25">
      <c r="G17" s="6"/>
    </row>
    <row r="18" spans="7:7" ht="15.75" x14ac:dyDescent="0.25">
      <c r="G18" s="6"/>
    </row>
    <row r="19" spans="7:7" ht="15.75" x14ac:dyDescent="0.25">
      <c r="G19" s="6"/>
    </row>
    <row r="20" spans="7:7" ht="15.75" x14ac:dyDescent="0.25">
      <c r="G20" s="6"/>
    </row>
    <row r="21" spans="7:7" ht="15.75" x14ac:dyDescent="0.25">
      <c r="G21" s="6"/>
    </row>
    <row r="22" spans="7:7" ht="15.75" x14ac:dyDescent="0.25">
      <c r="G22" s="6"/>
    </row>
    <row r="23" spans="7:7" ht="15.75" x14ac:dyDescent="0.25">
      <c r="G23" s="6"/>
    </row>
    <row r="24" spans="7:7" ht="15.75" x14ac:dyDescent="0.25">
      <c r="G24" s="6"/>
    </row>
    <row r="25" spans="7:7" ht="15.75" x14ac:dyDescent="0.25">
      <c r="G25" s="6"/>
    </row>
    <row r="26" spans="7:7" ht="15.75" x14ac:dyDescent="0.25">
      <c r="G26" s="6"/>
    </row>
    <row r="27" spans="7:7" ht="15.75" x14ac:dyDescent="0.25">
      <c r="G27" s="6"/>
    </row>
    <row r="28" spans="7:7" ht="15.75" x14ac:dyDescent="0.25">
      <c r="G28" s="6"/>
    </row>
    <row r="29" spans="7:7" ht="15.75" x14ac:dyDescent="0.25">
      <c r="G29" s="6"/>
    </row>
    <row r="30" spans="7:7" ht="15.75" x14ac:dyDescent="0.25">
      <c r="G30" s="6"/>
    </row>
    <row r="31" spans="7:7" ht="15.75" x14ac:dyDescent="0.25">
      <c r="G31" s="6"/>
    </row>
    <row r="32" spans="7:7" ht="15.75" x14ac:dyDescent="0.25">
      <c r="G32" s="6"/>
    </row>
    <row r="33" spans="7:7" ht="15.75" x14ac:dyDescent="0.25">
      <c r="G33" s="6"/>
    </row>
    <row r="34" spans="7:7" ht="15.75" x14ac:dyDescent="0.25">
      <c r="G34" s="6"/>
    </row>
    <row r="35" spans="7:7" ht="15.75" x14ac:dyDescent="0.25">
      <c r="G35" s="6"/>
    </row>
    <row r="36" spans="7:7" ht="15.75" x14ac:dyDescent="0.25">
      <c r="G36" s="6"/>
    </row>
    <row r="37" spans="7:7" ht="15.75" x14ac:dyDescent="0.25">
      <c r="G37" s="6"/>
    </row>
    <row r="38" spans="7:7" ht="15.75" x14ac:dyDescent="0.25">
      <c r="G38" s="6"/>
    </row>
    <row r="39" spans="7:7" ht="15.75" x14ac:dyDescent="0.25">
      <c r="G39" s="6"/>
    </row>
    <row r="40" spans="7:7" ht="15.75" x14ac:dyDescent="0.25">
      <c r="G40" s="6"/>
    </row>
    <row r="41" spans="7:7" ht="15.75" x14ac:dyDescent="0.25">
      <c r="G41" s="6"/>
    </row>
    <row r="42" spans="7:7" ht="15.75" x14ac:dyDescent="0.25">
      <c r="G42" s="6"/>
    </row>
    <row r="43" spans="7:7" ht="15.75" x14ac:dyDescent="0.25">
      <c r="G43" s="6"/>
    </row>
    <row r="44" spans="7:7" ht="15.75" x14ac:dyDescent="0.25">
      <c r="G44" s="6"/>
    </row>
    <row r="45" spans="7:7" ht="15.75" x14ac:dyDescent="0.25">
      <c r="G45" s="6"/>
    </row>
    <row r="46" spans="7:7" ht="15.75" x14ac:dyDescent="0.25">
      <c r="G46" s="6"/>
    </row>
    <row r="47" spans="7:7" ht="15.75" x14ac:dyDescent="0.25">
      <c r="G47" s="6"/>
    </row>
    <row r="48" spans="7:7" ht="15.75" x14ac:dyDescent="0.25">
      <c r="G48" s="6"/>
    </row>
    <row r="49" spans="7:7" ht="15.75" x14ac:dyDescent="0.25">
      <c r="G49" s="6"/>
    </row>
    <row r="50" spans="7:7" ht="15.75" x14ac:dyDescent="0.25">
      <c r="G50" s="6"/>
    </row>
    <row r="51" spans="7:7" ht="15.75" x14ac:dyDescent="0.25">
      <c r="G51" s="6"/>
    </row>
    <row r="52" spans="7:7" ht="15.75" x14ac:dyDescent="0.25">
      <c r="G52" s="6"/>
    </row>
    <row r="53" spans="7:7" ht="15.75" x14ac:dyDescent="0.25">
      <c r="G53" s="6"/>
    </row>
    <row r="54" spans="7:7" ht="15.75" x14ac:dyDescent="0.25">
      <c r="G54" s="6"/>
    </row>
    <row r="55" spans="7:7" ht="15.75" x14ac:dyDescent="0.25">
      <c r="G55" s="6"/>
    </row>
    <row r="56" spans="7:7" ht="15.75" x14ac:dyDescent="0.25">
      <c r="G56" s="6"/>
    </row>
    <row r="57" spans="7:7" ht="15.75" x14ac:dyDescent="0.25">
      <c r="G57" s="6"/>
    </row>
    <row r="58" spans="7:7" ht="15.75" x14ac:dyDescent="0.25">
      <c r="G58" s="6"/>
    </row>
    <row r="59" spans="7:7" ht="15.75" x14ac:dyDescent="0.25">
      <c r="G59" s="6"/>
    </row>
    <row r="60" spans="7:7" ht="15.75" x14ac:dyDescent="0.25">
      <c r="G60" s="6"/>
    </row>
    <row r="61" spans="7:7" ht="15.75" x14ac:dyDescent="0.25">
      <c r="G61" s="6"/>
    </row>
    <row r="62" spans="7:7" ht="15.75" x14ac:dyDescent="0.25">
      <c r="G62" s="6"/>
    </row>
    <row r="63" spans="7:7" ht="15.75" x14ac:dyDescent="0.25">
      <c r="G63" s="6"/>
    </row>
    <row r="64" spans="7:7" ht="15.75" x14ac:dyDescent="0.25">
      <c r="G64" s="6"/>
    </row>
    <row r="65" spans="7:7" ht="15.75" x14ac:dyDescent="0.25">
      <c r="G65" s="6"/>
    </row>
    <row r="66" spans="7:7" ht="15.75" x14ac:dyDescent="0.25">
      <c r="G66" s="6"/>
    </row>
    <row r="67" spans="7:7" ht="15.75" x14ac:dyDescent="0.25">
      <c r="G67" s="6"/>
    </row>
    <row r="68" spans="7:7" ht="15.75" x14ac:dyDescent="0.25">
      <c r="G68" s="6"/>
    </row>
    <row r="69" spans="7:7" ht="15.75" x14ac:dyDescent="0.25">
      <c r="G69" s="6"/>
    </row>
    <row r="70" spans="7:7" ht="15.75" x14ac:dyDescent="0.25">
      <c r="G70" s="6"/>
    </row>
    <row r="71" spans="7:7" ht="15.75" x14ac:dyDescent="0.25">
      <c r="G71" s="6"/>
    </row>
    <row r="72" spans="7:7" ht="15.75" x14ac:dyDescent="0.25">
      <c r="G72" s="6"/>
    </row>
    <row r="73" spans="7:7" ht="15.75" x14ac:dyDescent="0.25">
      <c r="G73" s="6"/>
    </row>
    <row r="74" spans="7:7" ht="15.75" x14ac:dyDescent="0.25">
      <c r="G74" s="6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2021-09-02T22:01:10Z</cp:lastPrinted>
  <dcterms:created xsi:type="dcterms:W3CDTF">2016-10-31T03:59:44Z</dcterms:created>
  <dcterms:modified xsi:type="dcterms:W3CDTF">2021-09-06T22:06:59Z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