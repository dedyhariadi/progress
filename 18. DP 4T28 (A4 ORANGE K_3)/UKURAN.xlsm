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85B53D9D-FE14-412C-8974-06DF46F0480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<sst xmlns="http://schemas.openxmlformats.org/spreadsheetml/2006/main" count="382" uniqueCount="136">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</sst>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Font="1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Fill="1"/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4"/>
  <sheetViews>
    <sheetView tabSelected="1" zoomScale="55" zoomScaleNormal="55" workbookViewId="0">
      <pane ySplit="1" topLeftCell="A2" activePane="bottomLeft" state="frozen"/>
      <selection pane="bottomLeft" activeCell="AK27" sqref="AK2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104</v>
      </c>
      <c r="B2" s="16" t="s">
        <v>105</v>
      </c>
      <c r="C2" s="17" t="s">
        <v>131</v>
      </c>
      <c r="D2" s="18">
        <v>40</v>
      </c>
      <c r="E2" s="17">
        <v>56</v>
      </c>
      <c r="F2" s="17" t="s">
        <v>103</v>
      </c>
      <c r="G2" s="17" t="s">
        <v>46</v>
      </c>
      <c r="H2" s="17" t="s">
        <v>32</v>
      </c>
      <c r="I2" s="48">
        <v>46</v>
      </c>
      <c r="J2" s="48">
        <v>60</v>
      </c>
      <c r="K2" s="48">
        <v>20</v>
      </c>
      <c r="L2" s="48">
        <v>15</v>
      </c>
      <c r="M2" s="48">
        <v>108</v>
      </c>
      <c r="N2" s="48">
        <v>98</v>
      </c>
      <c r="O2" s="48">
        <v>110</v>
      </c>
      <c r="P2" s="48">
        <v>70</v>
      </c>
      <c r="Q2" s="48">
        <v>43</v>
      </c>
      <c r="R2" s="49">
        <v>45</v>
      </c>
      <c r="S2" s="48">
        <v>61</v>
      </c>
      <c r="T2" s="48">
        <v>19</v>
      </c>
      <c r="U2" s="48">
        <v>13</v>
      </c>
      <c r="V2" s="48">
        <v>28</v>
      </c>
      <c r="W2" s="48">
        <v>26</v>
      </c>
      <c r="X2" s="48">
        <v>28</v>
      </c>
      <c r="Y2" s="48">
        <v>69</v>
      </c>
      <c r="Z2" s="48">
        <v>43</v>
      </c>
      <c r="AA2" s="48">
        <v>45</v>
      </c>
      <c r="AB2" s="48">
        <v>25</v>
      </c>
      <c r="AC2" s="48">
        <v>20</v>
      </c>
      <c r="AD2" s="48">
        <v>28</v>
      </c>
      <c r="AE2" s="48">
        <v>26</v>
      </c>
      <c r="AF2" s="48">
        <v>28</v>
      </c>
      <c r="AG2" s="48">
        <v>69</v>
      </c>
      <c r="AH2" s="48">
        <v>43</v>
      </c>
      <c r="AI2" s="48">
        <v>90</v>
      </c>
      <c r="AJ2" s="48">
        <v>105</v>
      </c>
      <c r="AK2" s="48">
        <v>68</v>
      </c>
      <c r="AL2" s="48">
        <v>34</v>
      </c>
      <c r="AM2" s="48">
        <v>24</v>
      </c>
      <c r="AN2" s="48">
        <v>20</v>
      </c>
      <c r="AO2" s="48">
        <v>93</v>
      </c>
      <c r="AP2" s="17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110</v>
      </c>
      <c r="B3" s="16" t="s">
        <v>106</v>
      </c>
      <c r="C3" s="17" t="s">
        <v>131</v>
      </c>
      <c r="D3" s="18">
        <v>39</v>
      </c>
      <c r="E3" s="17">
        <v>55</v>
      </c>
      <c r="F3" s="17" t="s">
        <v>103</v>
      </c>
      <c r="G3" s="17" t="s">
        <v>46</v>
      </c>
      <c r="H3" s="17" t="s">
        <v>31</v>
      </c>
      <c r="I3" s="48">
        <v>44</v>
      </c>
      <c r="J3" s="48">
        <v>55</v>
      </c>
      <c r="K3" s="48">
        <v>19</v>
      </c>
      <c r="L3" s="48">
        <v>14</v>
      </c>
      <c r="M3" s="48">
        <v>92</v>
      </c>
      <c r="N3" s="48">
        <v>88</v>
      </c>
      <c r="O3" s="48">
        <v>104</v>
      </c>
      <c r="P3" s="48">
        <v>70</v>
      </c>
      <c r="Q3" s="48">
        <v>43</v>
      </c>
      <c r="R3" s="48">
        <v>44</v>
      </c>
      <c r="S3" s="48">
        <v>56</v>
      </c>
      <c r="T3" s="48">
        <v>16</v>
      </c>
      <c r="U3" s="48">
        <v>12</v>
      </c>
      <c r="V3" s="48">
        <v>26</v>
      </c>
      <c r="W3" s="48">
        <v>23</v>
      </c>
      <c r="X3" s="48">
        <v>26</v>
      </c>
      <c r="Y3" s="48">
        <v>70</v>
      </c>
      <c r="Z3" s="48">
        <v>40</v>
      </c>
      <c r="AA3" s="48">
        <v>44</v>
      </c>
      <c r="AB3" s="48">
        <v>25</v>
      </c>
      <c r="AC3" s="48">
        <v>16</v>
      </c>
      <c r="AD3" s="48">
        <v>26</v>
      </c>
      <c r="AE3" s="48">
        <v>23</v>
      </c>
      <c r="AF3" s="48">
        <v>26</v>
      </c>
      <c r="AG3" s="48">
        <v>70</v>
      </c>
      <c r="AH3" s="48">
        <v>40</v>
      </c>
      <c r="AI3" s="48">
        <v>82</v>
      </c>
      <c r="AJ3" s="48">
        <v>100</v>
      </c>
      <c r="AK3" s="48">
        <v>64</v>
      </c>
      <c r="AL3" s="48">
        <v>30</v>
      </c>
      <c r="AM3" s="48">
        <v>24</v>
      </c>
      <c r="AN3" s="48">
        <v>19</v>
      </c>
      <c r="AO3" s="48">
        <v>90</v>
      </c>
      <c r="AP3" s="17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111</v>
      </c>
      <c r="B4" s="16" t="s">
        <v>107</v>
      </c>
      <c r="C4" s="17" t="s">
        <v>131</v>
      </c>
      <c r="D4" s="18">
        <v>41</v>
      </c>
      <c r="E4" s="17">
        <v>54</v>
      </c>
      <c r="F4" s="17" t="s">
        <v>103</v>
      </c>
      <c r="G4" s="17" t="s">
        <v>46</v>
      </c>
      <c r="H4" s="17" t="s">
        <v>32</v>
      </c>
      <c r="I4" s="48">
        <v>45</v>
      </c>
      <c r="J4" s="48">
        <v>59</v>
      </c>
      <c r="K4" s="48">
        <v>21</v>
      </c>
      <c r="L4" s="48">
        <v>15</v>
      </c>
      <c r="M4" s="48">
        <v>104</v>
      </c>
      <c r="N4" s="48">
        <v>98</v>
      </c>
      <c r="O4" s="48">
        <v>109</v>
      </c>
      <c r="P4" s="48">
        <v>74</v>
      </c>
      <c r="Q4" s="48">
        <v>43</v>
      </c>
      <c r="R4" s="48">
        <v>45</v>
      </c>
      <c r="S4" s="48">
        <v>60</v>
      </c>
      <c r="T4" s="48">
        <v>19</v>
      </c>
      <c r="U4" s="48">
        <v>13</v>
      </c>
      <c r="V4" s="48">
        <v>28</v>
      </c>
      <c r="W4" s="48">
        <v>27</v>
      </c>
      <c r="X4" s="48">
        <v>28</v>
      </c>
      <c r="Y4" s="48">
        <v>74</v>
      </c>
      <c r="Z4" s="48">
        <v>43</v>
      </c>
      <c r="AA4" s="48">
        <v>45</v>
      </c>
      <c r="AB4" s="48">
        <v>25</v>
      </c>
      <c r="AC4" s="48">
        <v>19</v>
      </c>
      <c r="AD4" s="48">
        <v>28</v>
      </c>
      <c r="AE4" s="48">
        <v>27</v>
      </c>
      <c r="AF4" s="48">
        <v>28</v>
      </c>
      <c r="AG4" s="48">
        <v>73</v>
      </c>
      <c r="AH4" s="48">
        <v>43</v>
      </c>
      <c r="AI4" s="48">
        <v>90</v>
      </c>
      <c r="AJ4" s="48">
        <v>106</v>
      </c>
      <c r="AK4" s="48">
        <v>66</v>
      </c>
      <c r="AL4" s="48">
        <v>34</v>
      </c>
      <c r="AM4" s="48">
        <v>25</v>
      </c>
      <c r="AN4" s="48">
        <v>20</v>
      </c>
      <c r="AO4" s="48">
        <v>90</v>
      </c>
      <c r="AP4" s="17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112</v>
      </c>
      <c r="B5" s="16" t="s">
        <v>108</v>
      </c>
      <c r="C5" s="17" t="s">
        <v>131</v>
      </c>
      <c r="D5" s="18">
        <v>42</v>
      </c>
      <c r="E5" s="17">
        <v>58</v>
      </c>
      <c r="F5" s="17" t="s">
        <v>103</v>
      </c>
      <c r="G5" s="17" t="s">
        <v>46</v>
      </c>
      <c r="H5" s="17" t="s">
        <v>32</v>
      </c>
      <c r="I5" s="48">
        <v>47</v>
      </c>
      <c r="J5" s="48">
        <v>62</v>
      </c>
      <c r="K5" s="48">
        <v>20</v>
      </c>
      <c r="L5" s="48">
        <v>16</v>
      </c>
      <c r="M5" s="48">
        <v>108</v>
      </c>
      <c r="N5" s="48">
        <v>106</v>
      </c>
      <c r="O5" s="48">
        <v>124</v>
      </c>
      <c r="P5" s="48">
        <v>72</v>
      </c>
      <c r="Q5" s="48">
        <v>44</v>
      </c>
      <c r="R5" s="48">
        <v>47</v>
      </c>
      <c r="S5" s="48">
        <v>59</v>
      </c>
      <c r="T5" s="48">
        <v>19</v>
      </c>
      <c r="U5" s="48">
        <v>13</v>
      </c>
      <c r="V5" s="48">
        <v>29</v>
      </c>
      <c r="W5" s="48">
        <v>28</v>
      </c>
      <c r="X5" s="48">
        <v>29</v>
      </c>
      <c r="Y5" s="48">
        <v>71</v>
      </c>
      <c r="Z5" s="48">
        <v>44</v>
      </c>
      <c r="AA5" s="48">
        <v>47</v>
      </c>
      <c r="AB5" s="48">
        <v>28</v>
      </c>
      <c r="AC5" s="48">
        <v>20</v>
      </c>
      <c r="AD5" s="48">
        <v>29</v>
      </c>
      <c r="AE5" s="48">
        <v>28</v>
      </c>
      <c r="AF5" s="48">
        <v>29</v>
      </c>
      <c r="AG5" s="48">
        <v>71</v>
      </c>
      <c r="AH5" s="48">
        <v>44</v>
      </c>
      <c r="AI5" s="48">
        <v>98</v>
      </c>
      <c r="AJ5" s="48">
        <v>118</v>
      </c>
      <c r="AK5" s="48">
        <v>72</v>
      </c>
      <c r="AL5" s="48">
        <v>36</v>
      </c>
      <c r="AM5" s="48">
        <v>26</v>
      </c>
      <c r="AN5" s="48">
        <v>21</v>
      </c>
      <c r="AO5" s="48">
        <v>94</v>
      </c>
      <c r="AP5" s="17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113</v>
      </c>
      <c r="B6" s="16" t="s">
        <v>109</v>
      </c>
      <c r="C6" s="17" t="s">
        <v>131</v>
      </c>
      <c r="D6" s="18">
        <v>39</v>
      </c>
      <c r="E6" s="17">
        <v>53</v>
      </c>
      <c r="F6" s="17" t="s">
        <v>103</v>
      </c>
      <c r="G6" s="17" t="s">
        <v>46</v>
      </c>
      <c r="H6" s="17" t="s">
        <v>32</v>
      </c>
      <c r="I6" s="48">
        <v>46</v>
      </c>
      <c r="J6" s="48">
        <v>59</v>
      </c>
      <c r="K6" s="48">
        <v>20</v>
      </c>
      <c r="L6" s="48">
        <v>15</v>
      </c>
      <c r="M6" s="48">
        <v>108</v>
      </c>
      <c r="N6" s="48">
        <v>100</v>
      </c>
      <c r="O6" s="48">
        <v>110</v>
      </c>
      <c r="P6" s="48">
        <v>69</v>
      </c>
      <c r="Q6" s="48">
        <v>43</v>
      </c>
      <c r="R6" s="48">
        <v>46</v>
      </c>
      <c r="S6" s="48">
        <v>60</v>
      </c>
      <c r="T6" s="48">
        <v>18</v>
      </c>
      <c r="U6" s="48">
        <v>13</v>
      </c>
      <c r="V6" s="48">
        <v>29</v>
      </c>
      <c r="W6" s="48">
        <v>27</v>
      </c>
      <c r="X6" s="48">
        <v>29</v>
      </c>
      <c r="Y6" s="48">
        <v>69</v>
      </c>
      <c r="Z6" s="48">
        <v>43</v>
      </c>
      <c r="AA6" s="48">
        <v>46</v>
      </c>
      <c r="AB6" s="48">
        <v>28</v>
      </c>
      <c r="AC6" s="48">
        <v>18</v>
      </c>
      <c r="AD6" s="48">
        <v>29</v>
      </c>
      <c r="AE6" s="48">
        <v>27</v>
      </c>
      <c r="AF6" s="48">
        <v>29</v>
      </c>
      <c r="AG6" s="48">
        <v>69</v>
      </c>
      <c r="AH6" s="48">
        <v>43</v>
      </c>
      <c r="AI6" s="48">
        <v>90</v>
      </c>
      <c r="AJ6" s="48">
        <v>106</v>
      </c>
      <c r="AK6" s="48">
        <v>68</v>
      </c>
      <c r="AL6" s="48">
        <v>34</v>
      </c>
      <c r="AM6" s="48">
        <v>24</v>
      </c>
      <c r="AN6" s="48">
        <v>19</v>
      </c>
      <c r="AO6" s="48">
        <v>87</v>
      </c>
      <c r="AP6" s="17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114</v>
      </c>
      <c r="B7" s="13" t="s">
        <v>122</v>
      </c>
      <c r="C7" s="17" t="s">
        <v>131</v>
      </c>
      <c r="D7" s="19">
        <v>42</v>
      </c>
      <c r="E7" s="38">
        <v>55</v>
      </c>
      <c r="F7" s="17" t="s">
        <v>103</v>
      </c>
      <c r="G7" s="17" t="s">
        <v>46</v>
      </c>
      <c r="H7" s="15" t="s">
        <v>34</v>
      </c>
      <c r="I7" s="50">
        <v>44</v>
      </c>
      <c r="J7" s="50">
        <v>57</v>
      </c>
      <c r="K7" s="50">
        <v>20</v>
      </c>
      <c r="L7" s="50">
        <v>15</v>
      </c>
      <c r="M7" s="50">
        <v>102</v>
      </c>
      <c r="N7" s="50">
        <v>98</v>
      </c>
      <c r="O7" s="50">
        <v>108</v>
      </c>
      <c r="P7" s="50">
        <v>71</v>
      </c>
      <c r="Q7" s="50">
        <v>44</v>
      </c>
      <c r="R7" s="50">
        <v>44</v>
      </c>
      <c r="S7" s="50">
        <v>58</v>
      </c>
      <c r="T7" s="50">
        <v>18</v>
      </c>
      <c r="U7" s="50">
        <v>13</v>
      </c>
      <c r="V7" s="50">
        <v>28</v>
      </c>
      <c r="W7" s="50">
        <v>27</v>
      </c>
      <c r="X7" s="50">
        <v>28</v>
      </c>
      <c r="Y7" s="50">
        <v>70</v>
      </c>
      <c r="Z7" s="50">
        <v>44</v>
      </c>
      <c r="AA7" s="50">
        <v>44</v>
      </c>
      <c r="AB7" s="50">
        <v>25</v>
      </c>
      <c r="AC7" s="50">
        <v>18</v>
      </c>
      <c r="AD7" s="50">
        <v>28</v>
      </c>
      <c r="AE7" s="50">
        <v>27</v>
      </c>
      <c r="AF7" s="50">
        <v>28</v>
      </c>
      <c r="AG7" s="50">
        <v>70</v>
      </c>
      <c r="AH7" s="50">
        <v>44</v>
      </c>
      <c r="AI7" s="50">
        <v>88</v>
      </c>
      <c r="AJ7" s="50">
        <v>103</v>
      </c>
      <c r="AK7" s="50">
        <v>70</v>
      </c>
      <c r="AL7" s="50">
        <v>33</v>
      </c>
      <c r="AM7" s="50">
        <v>26</v>
      </c>
      <c r="AN7" s="50">
        <v>20</v>
      </c>
      <c r="AO7" s="50">
        <v>89</v>
      </c>
      <c r="AP7" s="17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16" t="s">
        <v>115</v>
      </c>
      <c r="B8" s="13" t="s">
        <v>123</v>
      </c>
      <c r="C8" s="17" t="s">
        <v>131</v>
      </c>
      <c r="D8" s="19">
        <v>40</v>
      </c>
      <c r="E8" s="38">
        <v>54</v>
      </c>
      <c r="F8" s="17" t="s">
        <v>103</v>
      </c>
      <c r="G8" s="17" t="s">
        <v>46</v>
      </c>
      <c r="H8" s="15" t="s">
        <v>34</v>
      </c>
      <c r="I8" s="50">
        <v>48</v>
      </c>
      <c r="J8" s="50">
        <v>59</v>
      </c>
      <c r="K8" s="50">
        <v>22</v>
      </c>
      <c r="L8" s="50">
        <v>16</v>
      </c>
      <c r="M8" s="50">
        <v>115</v>
      </c>
      <c r="N8" s="50">
        <v>110</v>
      </c>
      <c r="O8" s="50">
        <v>124</v>
      </c>
      <c r="P8" s="50">
        <v>71</v>
      </c>
      <c r="Q8" s="50">
        <v>43</v>
      </c>
      <c r="R8" s="50">
        <v>48</v>
      </c>
      <c r="S8" s="50">
        <v>56</v>
      </c>
      <c r="T8" s="50">
        <v>21</v>
      </c>
      <c r="U8" s="50">
        <v>13</v>
      </c>
      <c r="V8" s="49">
        <v>31</v>
      </c>
      <c r="W8" s="49">
        <v>29</v>
      </c>
      <c r="X8" s="50">
        <v>31</v>
      </c>
      <c r="Y8" s="50">
        <v>70</v>
      </c>
      <c r="Z8" s="50">
        <v>43</v>
      </c>
      <c r="AA8" s="50">
        <v>48</v>
      </c>
      <c r="AB8" s="49">
        <v>27</v>
      </c>
      <c r="AC8" s="50">
        <v>20</v>
      </c>
      <c r="AD8" s="50">
        <v>31</v>
      </c>
      <c r="AE8" s="50">
        <v>29</v>
      </c>
      <c r="AF8" s="50">
        <v>31</v>
      </c>
      <c r="AG8" s="50">
        <v>70</v>
      </c>
      <c r="AH8" s="50">
        <v>43</v>
      </c>
      <c r="AI8" s="50">
        <v>102</v>
      </c>
      <c r="AJ8" s="50">
        <v>116</v>
      </c>
      <c r="AK8" s="50">
        <v>76</v>
      </c>
      <c r="AL8" s="50">
        <v>36</v>
      </c>
      <c r="AM8" s="50">
        <v>28</v>
      </c>
      <c r="AN8" s="50">
        <v>21</v>
      </c>
      <c r="AO8" s="50">
        <v>92</v>
      </c>
      <c r="AP8" s="17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16" t="s">
        <v>116</v>
      </c>
      <c r="B9" s="13" t="s">
        <v>124</v>
      </c>
      <c r="C9" s="17" t="s">
        <v>131</v>
      </c>
      <c r="D9" s="19">
        <v>42</v>
      </c>
      <c r="E9" s="38">
        <v>57</v>
      </c>
      <c r="F9" s="17" t="s">
        <v>103</v>
      </c>
      <c r="G9" s="17" t="s">
        <v>46</v>
      </c>
      <c r="H9" s="15" t="s">
        <v>34</v>
      </c>
      <c r="I9" s="50">
        <v>49</v>
      </c>
      <c r="J9" s="50">
        <v>60</v>
      </c>
      <c r="K9" s="50">
        <v>21</v>
      </c>
      <c r="L9" s="50">
        <v>16</v>
      </c>
      <c r="M9" s="50">
        <v>120</v>
      </c>
      <c r="N9" s="50">
        <v>116</v>
      </c>
      <c r="O9" s="50">
        <v>126</v>
      </c>
      <c r="P9" s="50">
        <v>76</v>
      </c>
      <c r="Q9" s="50">
        <v>46</v>
      </c>
      <c r="R9" s="50">
        <v>49</v>
      </c>
      <c r="S9" s="50">
        <v>57</v>
      </c>
      <c r="T9" s="50">
        <v>21</v>
      </c>
      <c r="U9" s="50">
        <v>13</v>
      </c>
      <c r="V9" s="50">
        <v>31</v>
      </c>
      <c r="W9" s="50">
        <v>29</v>
      </c>
      <c r="X9" s="50">
        <v>31</v>
      </c>
      <c r="Y9" s="50">
        <v>76</v>
      </c>
      <c r="Z9" s="50">
        <v>46</v>
      </c>
      <c r="AA9" s="50">
        <v>49</v>
      </c>
      <c r="AB9" s="50">
        <v>25</v>
      </c>
      <c r="AC9" s="50">
        <v>20</v>
      </c>
      <c r="AD9" s="50">
        <v>31</v>
      </c>
      <c r="AE9" s="50">
        <v>29</v>
      </c>
      <c r="AF9" s="50">
        <v>31</v>
      </c>
      <c r="AG9" s="49">
        <v>76</v>
      </c>
      <c r="AH9" s="49">
        <v>46</v>
      </c>
      <c r="AI9" s="49">
        <v>105</v>
      </c>
      <c r="AJ9" s="49">
        <v>123</v>
      </c>
      <c r="AK9" s="50">
        <v>75</v>
      </c>
      <c r="AL9" s="50">
        <v>37</v>
      </c>
      <c r="AM9" s="50">
        <v>28</v>
      </c>
      <c r="AN9" s="50">
        <v>22</v>
      </c>
      <c r="AO9" s="50">
        <v>94</v>
      </c>
      <c r="AP9" s="17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16" t="s">
        <v>117</v>
      </c>
      <c r="B10" s="13" t="s">
        <v>125</v>
      </c>
      <c r="C10" s="17" t="s">
        <v>131</v>
      </c>
      <c r="D10" s="19">
        <v>42</v>
      </c>
      <c r="E10" s="38">
        <v>55</v>
      </c>
      <c r="F10" s="17" t="s">
        <v>103</v>
      </c>
      <c r="G10" s="17" t="s">
        <v>46</v>
      </c>
      <c r="H10" s="15" t="s">
        <v>32</v>
      </c>
      <c r="I10" s="50">
        <v>44</v>
      </c>
      <c r="J10" s="50">
        <v>60</v>
      </c>
      <c r="K10" s="50">
        <v>20</v>
      </c>
      <c r="L10" s="50">
        <v>15</v>
      </c>
      <c r="M10" s="50">
        <v>102</v>
      </c>
      <c r="N10" s="50">
        <v>96</v>
      </c>
      <c r="O10" s="50">
        <v>108</v>
      </c>
      <c r="P10" s="50">
        <v>72</v>
      </c>
      <c r="Q10" s="50">
        <v>43</v>
      </c>
      <c r="R10" s="50">
        <v>44</v>
      </c>
      <c r="S10" s="50">
        <v>61</v>
      </c>
      <c r="T10" s="50">
        <v>20</v>
      </c>
      <c r="U10" s="50">
        <v>13</v>
      </c>
      <c r="V10" s="50">
        <v>28</v>
      </c>
      <c r="W10" s="50">
        <v>27</v>
      </c>
      <c r="X10" s="50">
        <v>28</v>
      </c>
      <c r="Y10" s="50">
        <v>71</v>
      </c>
      <c r="Z10" s="50">
        <v>43</v>
      </c>
      <c r="AA10" s="50">
        <v>44</v>
      </c>
      <c r="AB10" s="50">
        <v>25</v>
      </c>
      <c r="AC10" s="50">
        <v>19</v>
      </c>
      <c r="AD10" s="50">
        <v>28</v>
      </c>
      <c r="AE10" s="50">
        <v>27</v>
      </c>
      <c r="AF10" s="50">
        <v>28</v>
      </c>
      <c r="AG10" s="50">
        <v>72</v>
      </c>
      <c r="AH10" s="50">
        <v>43</v>
      </c>
      <c r="AI10" s="50">
        <v>88</v>
      </c>
      <c r="AJ10" s="50">
        <v>102</v>
      </c>
      <c r="AK10" s="50">
        <v>65</v>
      </c>
      <c r="AL10" s="50">
        <v>33</v>
      </c>
      <c r="AM10" s="50">
        <v>24</v>
      </c>
      <c r="AN10" s="50">
        <v>19</v>
      </c>
      <c r="AO10" s="50">
        <v>92</v>
      </c>
      <c r="AP10" s="17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16" t="s">
        <v>118</v>
      </c>
      <c r="B11" s="13" t="s">
        <v>126</v>
      </c>
      <c r="C11" s="17" t="s">
        <v>131</v>
      </c>
      <c r="D11" s="19">
        <v>40</v>
      </c>
      <c r="E11" s="38">
        <v>54</v>
      </c>
      <c r="F11" s="17" t="s">
        <v>103</v>
      </c>
      <c r="G11" s="17" t="s">
        <v>46</v>
      </c>
      <c r="H11" s="15" t="s">
        <v>31</v>
      </c>
      <c r="I11" s="50">
        <v>42</v>
      </c>
      <c r="J11" s="50">
        <v>59</v>
      </c>
      <c r="K11" s="50">
        <v>19</v>
      </c>
      <c r="L11" s="50">
        <v>14</v>
      </c>
      <c r="M11" s="50">
        <v>90</v>
      </c>
      <c r="N11" s="50">
        <v>82</v>
      </c>
      <c r="O11" s="50">
        <v>98</v>
      </c>
      <c r="P11" s="50">
        <v>74</v>
      </c>
      <c r="Q11" s="50">
        <v>40</v>
      </c>
      <c r="R11" s="50">
        <v>42</v>
      </c>
      <c r="S11" s="50">
        <v>60</v>
      </c>
      <c r="T11" s="50">
        <v>16</v>
      </c>
      <c r="U11" s="50">
        <v>12</v>
      </c>
      <c r="V11" s="50">
        <v>25</v>
      </c>
      <c r="W11" s="50">
        <v>24</v>
      </c>
      <c r="X11" s="50">
        <v>26</v>
      </c>
      <c r="Y11" s="50">
        <v>72</v>
      </c>
      <c r="Z11" s="50">
        <v>40</v>
      </c>
      <c r="AA11" s="50">
        <v>42</v>
      </c>
      <c r="AB11" s="50">
        <v>24</v>
      </c>
      <c r="AC11" s="50">
        <v>16</v>
      </c>
      <c r="AD11" s="50">
        <v>25</v>
      </c>
      <c r="AE11" s="50">
        <v>24</v>
      </c>
      <c r="AF11" s="49">
        <v>25</v>
      </c>
      <c r="AG11" s="50">
        <v>70</v>
      </c>
      <c r="AH11" s="50">
        <v>40</v>
      </c>
      <c r="AI11" s="50">
        <v>77</v>
      </c>
      <c r="AJ11" s="50">
        <v>90</v>
      </c>
      <c r="AK11" s="50">
        <v>64</v>
      </c>
      <c r="AL11" s="50">
        <v>30</v>
      </c>
      <c r="AM11" s="50">
        <v>24</v>
      </c>
      <c r="AN11" s="50">
        <v>18</v>
      </c>
      <c r="AO11" s="50">
        <v>90</v>
      </c>
      <c r="AP11" s="17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16" t="s">
        <v>119</v>
      </c>
      <c r="B12" s="13" t="s">
        <v>127</v>
      </c>
      <c r="C12" s="17" t="s">
        <v>131</v>
      </c>
      <c r="D12" s="19">
        <v>41</v>
      </c>
      <c r="E12" s="38">
        <v>54</v>
      </c>
      <c r="F12" s="17" t="s">
        <v>103</v>
      </c>
      <c r="G12" s="17" t="s">
        <v>46</v>
      </c>
      <c r="H12" s="15" t="s">
        <v>34</v>
      </c>
      <c r="I12" s="50">
        <v>48</v>
      </c>
      <c r="J12" s="50">
        <v>60</v>
      </c>
      <c r="K12" s="50">
        <v>21</v>
      </c>
      <c r="L12" s="50">
        <v>16</v>
      </c>
      <c r="M12" s="50">
        <v>118</v>
      </c>
      <c r="N12" s="50">
        <v>110</v>
      </c>
      <c r="O12" s="50">
        <v>122</v>
      </c>
      <c r="P12" s="50">
        <v>74</v>
      </c>
      <c r="Q12" s="50">
        <v>46</v>
      </c>
      <c r="R12" s="50">
        <v>48</v>
      </c>
      <c r="S12" s="50">
        <v>61</v>
      </c>
      <c r="T12" s="50">
        <v>20</v>
      </c>
      <c r="U12" s="50">
        <v>13</v>
      </c>
      <c r="V12" s="50">
        <v>30</v>
      </c>
      <c r="W12" s="50">
        <v>28</v>
      </c>
      <c r="X12" s="50">
        <v>30</v>
      </c>
      <c r="Y12" s="50">
        <v>74</v>
      </c>
      <c r="Z12" s="50">
        <v>46</v>
      </c>
      <c r="AA12" s="50">
        <v>48</v>
      </c>
      <c r="AB12" s="50">
        <v>26</v>
      </c>
      <c r="AC12" s="50">
        <v>20</v>
      </c>
      <c r="AD12" s="50">
        <v>30</v>
      </c>
      <c r="AE12" s="50">
        <v>28</v>
      </c>
      <c r="AF12" s="50">
        <v>30</v>
      </c>
      <c r="AG12" s="50">
        <v>75</v>
      </c>
      <c r="AH12" s="50">
        <v>46</v>
      </c>
      <c r="AI12" s="50">
        <v>102</v>
      </c>
      <c r="AJ12" s="50">
        <v>118</v>
      </c>
      <c r="AK12" s="50">
        <v>76</v>
      </c>
      <c r="AL12" s="50">
        <v>37</v>
      </c>
      <c r="AM12" s="50">
        <v>27</v>
      </c>
      <c r="AN12" s="50">
        <v>23</v>
      </c>
      <c r="AO12" s="50">
        <v>89</v>
      </c>
      <c r="AP12" s="17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16" t="s">
        <v>120</v>
      </c>
      <c r="B13" s="13" t="s">
        <v>128</v>
      </c>
      <c r="C13" s="17" t="s">
        <v>131</v>
      </c>
      <c r="D13" s="19">
        <v>39</v>
      </c>
      <c r="E13" s="38">
        <v>55</v>
      </c>
      <c r="F13" s="17" t="s">
        <v>103</v>
      </c>
      <c r="G13" s="17" t="s">
        <v>46</v>
      </c>
      <c r="H13" s="15" t="s">
        <v>32</v>
      </c>
      <c r="I13" s="50">
        <v>43</v>
      </c>
      <c r="J13" s="50">
        <v>59</v>
      </c>
      <c r="K13" s="50">
        <v>19</v>
      </c>
      <c r="L13" s="50">
        <v>14</v>
      </c>
      <c r="M13" s="50">
        <v>93</v>
      </c>
      <c r="N13" s="50">
        <v>88</v>
      </c>
      <c r="O13" s="50">
        <v>102</v>
      </c>
      <c r="P13" s="50">
        <v>72</v>
      </c>
      <c r="Q13" s="50">
        <v>40</v>
      </c>
      <c r="R13" s="50">
        <v>43</v>
      </c>
      <c r="S13" s="50">
        <v>60</v>
      </c>
      <c r="T13" s="50">
        <v>16</v>
      </c>
      <c r="U13" s="50">
        <v>12</v>
      </c>
      <c r="V13" s="50">
        <v>26</v>
      </c>
      <c r="W13" s="50">
        <v>24</v>
      </c>
      <c r="X13" s="50">
        <v>26</v>
      </c>
      <c r="Y13" s="50">
        <v>72</v>
      </c>
      <c r="Z13" s="50">
        <v>40</v>
      </c>
      <c r="AA13" s="50">
        <v>43</v>
      </c>
      <c r="AB13" s="50">
        <v>24</v>
      </c>
      <c r="AC13" s="50">
        <v>16</v>
      </c>
      <c r="AD13" s="50">
        <v>26</v>
      </c>
      <c r="AE13" s="50">
        <v>24</v>
      </c>
      <c r="AF13" s="50">
        <v>26</v>
      </c>
      <c r="AG13" s="50">
        <v>72</v>
      </c>
      <c r="AH13" s="50">
        <v>40</v>
      </c>
      <c r="AI13" s="50">
        <v>82</v>
      </c>
      <c r="AJ13" s="50">
        <v>100</v>
      </c>
      <c r="AK13" s="50">
        <v>67</v>
      </c>
      <c r="AL13" s="50">
        <v>31</v>
      </c>
      <c r="AM13" s="50">
        <v>23</v>
      </c>
      <c r="AN13" s="50">
        <v>20</v>
      </c>
      <c r="AO13" s="50">
        <v>94</v>
      </c>
      <c r="AP13" s="17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16" t="s">
        <v>121</v>
      </c>
      <c r="B14" s="13" t="s">
        <v>129</v>
      </c>
      <c r="C14" s="17" t="s">
        <v>131</v>
      </c>
      <c r="D14" s="19">
        <v>41</v>
      </c>
      <c r="E14" s="38">
        <v>57</v>
      </c>
      <c r="F14" s="17" t="s">
        <v>103</v>
      </c>
      <c r="G14" s="17" t="s">
        <v>46</v>
      </c>
      <c r="H14" s="15" t="s">
        <v>32</v>
      </c>
      <c r="I14" s="50">
        <v>45</v>
      </c>
      <c r="J14" s="50">
        <v>58</v>
      </c>
      <c r="K14" s="50">
        <v>20</v>
      </c>
      <c r="L14" s="50">
        <v>15</v>
      </c>
      <c r="M14" s="50">
        <v>106</v>
      </c>
      <c r="N14" s="50">
        <v>99</v>
      </c>
      <c r="O14" s="50">
        <v>112</v>
      </c>
      <c r="P14" s="50">
        <v>73</v>
      </c>
      <c r="Q14" s="50">
        <v>43</v>
      </c>
      <c r="R14" s="50">
        <v>45</v>
      </c>
      <c r="S14" s="50">
        <v>59</v>
      </c>
      <c r="T14" s="50">
        <v>18</v>
      </c>
      <c r="U14" s="50">
        <v>13</v>
      </c>
      <c r="V14" s="50">
        <v>29</v>
      </c>
      <c r="W14" s="50">
        <v>27</v>
      </c>
      <c r="X14" s="50">
        <v>29</v>
      </c>
      <c r="Y14" s="50">
        <v>72</v>
      </c>
      <c r="Z14" s="50">
        <v>43</v>
      </c>
      <c r="AA14" s="50">
        <v>45</v>
      </c>
      <c r="AB14" s="50">
        <v>24</v>
      </c>
      <c r="AC14" s="50">
        <v>18</v>
      </c>
      <c r="AD14" s="50">
        <v>29</v>
      </c>
      <c r="AE14" s="50">
        <v>27</v>
      </c>
      <c r="AF14" s="50">
        <v>29</v>
      </c>
      <c r="AG14" s="50">
        <v>72</v>
      </c>
      <c r="AH14" s="50">
        <v>43</v>
      </c>
      <c r="AI14" s="50">
        <v>92</v>
      </c>
      <c r="AJ14" s="50">
        <v>110</v>
      </c>
      <c r="AK14" s="50">
        <v>69</v>
      </c>
      <c r="AL14" s="50">
        <v>34</v>
      </c>
      <c r="AM14" s="50">
        <v>26</v>
      </c>
      <c r="AN14" s="50">
        <v>19</v>
      </c>
      <c r="AO14" s="50">
        <v>90</v>
      </c>
      <c r="AP14" s="17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16" t="s">
        <v>132</v>
      </c>
      <c r="B15" s="13" t="s">
        <v>133</v>
      </c>
      <c r="C15" s="17" t="s">
        <v>131</v>
      </c>
      <c r="D15" s="19">
        <v>41</v>
      </c>
      <c r="E15" s="38">
        <v>57</v>
      </c>
      <c r="F15" s="17" t="s">
        <v>103</v>
      </c>
      <c r="G15" s="17" t="s">
        <v>46</v>
      </c>
      <c r="H15" s="15" t="s">
        <v>34</v>
      </c>
      <c r="I15" s="50">
        <v>50</v>
      </c>
      <c r="J15" s="50">
        <v>60</v>
      </c>
      <c r="K15" s="50">
        <v>21</v>
      </c>
      <c r="L15" s="50">
        <v>16</v>
      </c>
      <c r="M15" s="50">
        <v>118</v>
      </c>
      <c r="N15" s="50">
        <v>114</v>
      </c>
      <c r="O15" s="50">
        <v>122</v>
      </c>
      <c r="P15" s="50">
        <v>71</v>
      </c>
      <c r="Q15" s="50">
        <v>46</v>
      </c>
      <c r="R15" s="50">
        <v>50</v>
      </c>
      <c r="S15" s="50">
        <v>61</v>
      </c>
      <c r="T15" s="50">
        <v>20</v>
      </c>
      <c r="U15" s="50">
        <v>13</v>
      </c>
      <c r="V15" s="50">
        <v>31</v>
      </c>
      <c r="W15" s="50">
        <v>29</v>
      </c>
      <c r="X15" s="50">
        <v>31</v>
      </c>
      <c r="Y15" s="50">
        <v>70</v>
      </c>
      <c r="Z15" s="50">
        <v>46</v>
      </c>
      <c r="AA15" s="2">
        <v>50</v>
      </c>
      <c r="AB15" s="2">
        <v>26</v>
      </c>
      <c r="AC15" s="2">
        <v>20</v>
      </c>
      <c r="AD15" s="2">
        <v>31</v>
      </c>
      <c r="AE15" s="2">
        <v>29</v>
      </c>
      <c r="AF15" s="2">
        <v>31</v>
      </c>
      <c r="AG15" s="49">
        <v>70</v>
      </c>
      <c r="AH15" s="49">
        <v>46</v>
      </c>
      <c r="AI15" s="49">
        <v>106</v>
      </c>
      <c r="AJ15" s="49">
        <v>120</v>
      </c>
      <c r="AK15" s="49">
        <v>75</v>
      </c>
      <c r="AL15" s="49">
        <v>37</v>
      </c>
      <c r="AM15" s="49">
        <v>28</v>
      </c>
      <c r="AN15" s="49">
        <v>22</v>
      </c>
      <c r="AO15" s="49">
        <v>94</v>
      </c>
      <c r="AP15" s="17">
        <v>1</v>
      </c>
      <c r="AQ15" s="51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16"/>
      <c r="B16" s="13"/>
      <c r="C16" s="17"/>
      <c r="D16" s="19"/>
      <c r="E16" s="38"/>
      <c r="F16" s="17" t="s">
        <v>103</v>
      </c>
      <c r="G16" s="17" t="s">
        <v>46</v>
      </c>
      <c r="H16" s="15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17"/>
      <c r="AQ16"/>
      <c r="AR16"/>
      <c r="AS16"/>
      <c r="AT16"/>
    </row>
    <row r="17" spans="1:1014" ht="28.15" customHeight="1" x14ac:dyDescent="0.25">
      <c r="A17" s="16"/>
      <c r="B17" s="39"/>
      <c r="C17" s="17"/>
      <c r="D17" s="40"/>
      <c r="E17" s="40"/>
      <c r="F17" s="17" t="s">
        <v>103</v>
      </c>
      <c r="G17" s="17" t="s">
        <v>46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17"/>
      <c r="AQ17"/>
      <c r="AR17"/>
      <c r="AS17"/>
      <c r="AT17"/>
    </row>
    <row r="18" spans="1:1014" ht="28.15" customHeight="1" x14ac:dyDescent="0.25">
      <c r="A18" s="16"/>
      <c r="B18" s="39"/>
      <c r="C18" s="17"/>
      <c r="D18" s="40"/>
      <c r="E18" s="40"/>
      <c r="F18" s="17" t="s">
        <v>103</v>
      </c>
      <c r="G18" s="17" t="s">
        <v>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17"/>
      <c r="AQ18"/>
      <c r="AR18"/>
      <c r="AS18"/>
      <c r="AT18"/>
    </row>
    <row r="19" spans="1:1014" ht="28.15" customHeight="1" x14ac:dyDescent="0.25">
      <c r="A19" s="16"/>
      <c r="B19" s="39"/>
      <c r="C19" s="17"/>
      <c r="D19" s="40"/>
      <c r="E19" s="40"/>
      <c r="F19" s="17" t="s">
        <v>103</v>
      </c>
      <c r="G19" s="17" t="s">
        <v>46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17"/>
      <c r="AQ19"/>
      <c r="AR19"/>
      <c r="AS19"/>
      <c r="AT19"/>
    </row>
    <row r="20" spans="1:1014" ht="28.15" customHeight="1" x14ac:dyDescent="0.25">
      <c r="A20" s="16"/>
      <c r="B20" s="39"/>
      <c r="C20" s="17"/>
      <c r="D20" s="40"/>
      <c r="E20" s="40"/>
      <c r="F20" s="17" t="s">
        <v>103</v>
      </c>
      <c r="G20" s="17" t="s">
        <v>46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17"/>
      <c r="AQ20"/>
      <c r="AR20"/>
      <c r="AS20"/>
      <c r="AT20"/>
    </row>
    <row r="21" spans="1:1014" ht="28.15" customHeight="1" x14ac:dyDescent="0.25">
      <c r="A21" s="16"/>
      <c r="B21" s="39"/>
      <c r="C21" s="17"/>
      <c r="D21" s="40"/>
      <c r="E21" s="40"/>
      <c r="F21" s="17" t="s">
        <v>103</v>
      </c>
      <c r="G21" s="17" t="s">
        <v>46</v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17"/>
      <c r="AQ21"/>
      <c r="AR21"/>
      <c r="AS21"/>
      <c r="AT21"/>
    </row>
    <row r="22" spans="1:1014" ht="27.75" customHeight="1" x14ac:dyDescent="0.25">
      <c r="A22" s="16"/>
      <c r="B22" s="39"/>
      <c r="C22" s="17"/>
      <c r="D22" s="40"/>
      <c r="E22" s="40"/>
      <c r="F22" s="17" t="s">
        <v>103</v>
      </c>
      <c r="G22" s="17" t="s">
        <v>46</v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17"/>
      <c r="AQ22"/>
      <c r="AR22"/>
      <c r="AS22"/>
      <c r="AT22"/>
    </row>
    <row r="23" spans="1:1014" s="45" customFormat="1" ht="28.15" customHeight="1" x14ac:dyDescent="0.25">
      <c r="A23" s="41"/>
      <c r="B23" s="42"/>
      <c r="C23" s="43"/>
      <c r="D23" s="44"/>
      <c r="E23" s="44"/>
      <c r="F23" s="17" t="s">
        <v>103</v>
      </c>
      <c r="G23" s="17" t="s">
        <v>46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3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  <c r="IZ23" s="46"/>
      <c r="JA23" s="46"/>
      <c r="JB23" s="46"/>
      <c r="JC23" s="46"/>
      <c r="JD23" s="46"/>
      <c r="JE23" s="46"/>
      <c r="JF23" s="46"/>
      <c r="JG23" s="46"/>
      <c r="JH23" s="46"/>
      <c r="JI23" s="46"/>
      <c r="JJ23" s="46"/>
      <c r="JK23" s="46"/>
      <c r="JL23" s="46"/>
      <c r="JM23" s="46"/>
      <c r="JN23" s="46"/>
      <c r="JO23" s="46"/>
      <c r="JP23" s="46"/>
      <c r="JQ23" s="46"/>
      <c r="JR23" s="46"/>
      <c r="JS23" s="46"/>
      <c r="JT23" s="46"/>
      <c r="JU23" s="46"/>
      <c r="JV23" s="46"/>
      <c r="JW23" s="46"/>
      <c r="JX23" s="46"/>
      <c r="JY23" s="46"/>
      <c r="JZ23" s="46"/>
      <c r="KA23" s="46"/>
      <c r="KB23" s="46"/>
      <c r="KC23" s="46"/>
      <c r="KD23" s="46"/>
      <c r="KE23" s="46"/>
      <c r="KF23" s="46"/>
      <c r="KG23" s="46"/>
      <c r="KH23" s="46"/>
      <c r="KI23" s="46"/>
      <c r="KJ23" s="46"/>
      <c r="KK23" s="46"/>
      <c r="KL23" s="46"/>
      <c r="KM23" s="46"/>
      <c r="KN23" s="46"/>
      <c r="KO23" s="46"/>
      <c r="KP23" s="46"/>
      <c r="KQ23" s="46"/>
      <c r="KR23" s="46"/>
      <c r="KS23" s="46"/>
      <c r="KT23" s="46"/>
      <c r="KU23" s="46"/>
      <c r="KV23" s="46"/>
      <c r="KW23" s="46"/>
      <c r="KX23" s="46"/>
      <c r="KY23" s="46"/>
      <c r="KZ23" s="46"/>
      <c r="LA23" s="46"/>
      <c r="LB23" s="46"/>
      <c r="LC23" s="46"/>
      <c r="LD23" s="46"/>
      <c r="LE23" s="46"/>
      <c r="LF23" s="46"/>
      <c r="LG23" s="46"/>
      <c r="LH23" s="46"/>
      <c r="LI23" s="46"/>
      <c r="LJ23" s="46"/>
      <c r="LK23" s="46"/>
      <c r="LL23" s="46"/>
      <c r="LM23" s="46"/>
      <c r="LN23" s="46"/>
      <c r="LO23" s="46"/>
      <c r="LP23" s="46"/>
      <c r="LQ23" s="46"/>
      <c r="LR23" s="46"/>
      <c r="LS23" s="46"/>
      <c r="LT23" s="46"/>
      <c r="LU23" s="46"/>
      <c r="LV23" s="46"/>
      <c r="LW23" s="46"/>
      <c r="LX23" s="46"/>
      <c r="LY23" s="46"/>
      <c r="LZ23" s="46"/>
      <c r="MA23" s="46"/>
      <c r="MB23" s="46"/>
      <c r="MC23" s="46"/>
      <c r="MD23" s="46"/>
      <c r="ME23" s="46"/>
      <c r="MF23" s="46"/>
      <c r="MG23" s="46"/>
      <c r="MH23" s="46"/>
      <c r="MI23" s="46"/>
      <c r="MJ23" s="46"/>
      <c r="MK23" s="46"/>
      <c r="ML23" s="46"/>
      <c r="MM23" s="46"/>
      <c r="MN23" s="46"/>
      <c r="MO23" s="46"/>
      <c r="MP23" s="46"/>
      <c r="MQ23" s="46"/>
      <c r="MR23" s="46"/>
      <c r="MS23" s="46"/>
      <c r="MT23" s="46"/>
      <c r="MU23" s="46"/>
      <c r="MV23" s="46"/>
      <c r="MW23" s="46"/>
      <c r="MX23" s="46"/>
      <c r="MY23" s="46"/>
      <c r="MZ23" s="46"/>
      <c r="NA23" s="46"/>
      <c r="NB23" s="46"/>
      <c r="NC23" s="46"/>
      <c r="ND23" s="46"/>
      <c r="NE23" s="46"/>
      <c r="NF23" s="46"/>
      <c r="NG23" s="46"/>
      <c r="NH23" s="46"/>
      <c r="NI23" s="46"/>
      <c r="NJ23" s="46"/>
      <c r="NK23" s="46"/>
      <c r="NL23" s="46"/>
      <c r="NM23" s="46"/>
      <c r="NN23" s="46"/>
      <c r="NO23" s="46"/>
      <c r="NP23" s="46"/>
      <c r="NQ23" s="46"/>
      <c r="NR23" s="46"/>
      <c r="NS23" s="46"/>
      <c r="NT23" s="46"/>
      <c r="NU23" s="46"/>
      <c r="NV23" s="46"/>
      <c r="NW23" s="46"/>
      <c r="NX23" s="46"/>
      <c r="NY23" s="46"/>
      <c r="NZ23" s="46"/>
      <c r="OA23" s="46"/>
      <c r="OB23" s="46"/>
      <c r="OC23" s="46"/>
      <c r="OD23" s="46"/>
      <c r="OE23" s="46"/>
      <c r="OF23" s="46"/>
      <c r="OG23" s="46"/>
      <c r="OH23" s="46"/>
      <c r="OI23" s="46"/>
      <c r="OJ23" s="46"/>
      <c r="OK23" s="46"/>
      <c r="OL23" s="46"/>
      <c r="OM23" s="46"/>
      <c r="ON23" s="46"/>
      <c r="OO23" s="46"/>
      <c r="OP23" s="46"/>
      <c r="OQ23" s="46"/>
      <c r="OR23" s="46"/>
      <c r="OS23" s="46"/>
      <c r="OT23" s="46"/>
      <c r="OU23" s="46"/>
      <c r="OV23" s="46"/>
      <c r="OW23" s="46"/>
      <c r="OX23" s="46"/>
      <c r="OY23" s="46"/>
      <c r="OZ23" s="46"/>
      <c r="PA23" s="46"/>
      <c r="PB23" s="46"/>
      <c r="PC23" s="46"/>
      <c r="PD23" s="46"/>
      <c r="PE23" s="46"/>
      <c r="PF23" s="46"/>
      <c r="PG23" s="46"/>
      <c r="PH23" s="46"/>
      <c r="PI23" s="46"/>
      <c r="PJ23" s="46"/>
      <c r="PK23" s="46"/>
      <c r="PL23" s="46"/>
      <c r="PM23" s="46"/>
      <c r="PN23" s="46"/>
      <c r="PO23" s="46"/>
      <c r="PP23" s="46"/>
      <c r="PQ23" s="46"/>
      <c r="PR23" s="46"/>
      <c r="PS23" s="46"/>
      <c r="PT23" s="46"/>
      <c r="PU23" s="46"/>
      <c r="PV23" s="46"/>
      <c r="PW23" s="46"/>
      <c r="PX23" s="46"/>
      <c r="PY23" s="46"/>
      <c r="PZ23" s="46"/>
      <c r="QA23" s="46"/>
      <c r="QB23" s="46"/>
      <c r="QC23" s="46"/>
      <c r="QD23" s="46"/>
      <c r="QE23" s="46"/>
      <c r="QF23" s="46"/>
      <c r="QG23" s="46"/>
      <c r="QH23" s="46"/>
      <c r="QI23" s="46"/>
      <c r="QJ23" s="46"/>
      <c r="QK23" s="46"/>
      <c r="QL23" s="46"/>
      <c r="QM23" s="46"/>
      <c r="QN23" s="46"/>
      <c r="QO23" s="46"/>
      <c r="QP23" s="46"/>
      <c r="QQ23" s="46"/>
      <c r="QR23" s="46"/>
      <c r="QS23" s="46"/>
      <c r="QT23" s="46"/>
      <c r="QU23" s="46"/>
      <c r="QV23" s="46"/>
      <c r="QW23" s="46"/>
      <c r="QX23" s="46"/>
      <c r="QY23" s="46"/>
      <c r="QZ23" s="46"/>
      <c r="RA23" s="46"/>
      <c r="RB23" s="46"/>
      <c r="RC23" s="46"/>
      <c r="RD23" s="46"/>
      <c r="RE23" s="46"/>
      <c r="RF23" s="46"/>
      <c r="RG23" s="46"/>
      <c r="RH23" s="46"/>
      <c r="RI23" s="46"/>
      <c r="RJ23" s="46"/>
      <c r="RK23" s="46"/>
      <c r="RL23" s="46"/>
      <c r="RM23" s="46"/>
      <c r="RN23" s="46"/>
      <c r="RO23" s="46"/>
      <c r="RP23" s="46"/>
      <c r="RQ23" s="46"/>
      <c r="RR23" s="46"/>
      <c r="RS23" s="46"/>
      <c r="RT23" s="46"/>
      <c r="RU23" s="46"/>
      <c r="RV23" s="46"/>
      <c r="RW23" s="46"/>
      <c r="RX23" s="46"/>
      <c r="RY23" s="46"/>
      <c r="RZ23" s="46"/>
      <c r="SA23" s="46"/>
      <c r="SB23" s="46"/>
      <c r="SC23" s="46"/>
      <c r="SD23" s="46"/>
      <c r="SE23" s="46"/>
      <c r="SF23" s="46"/>
      <c r="SG23" s="46"/>
      <c r="SH23" s="46"/>
      <c r="SI23" s="46"/>
      <c r="SJ23" s="46"/>
      <c r="SK23" s="46"/>
      <c r="SL23" s="46"/>
      <c r="SM23" s="46"/>
      <c r="SN23" s="46"/>
      <c r="SO23" s="46"/>
      <c r="SP23" s="46"/>
      <c r="SQ23" s="46"/>
      <c r="SR23" s="46"/>
      <c r="SS23" s="46"/>
      <c r="ST23" s="46"/>
      <c r="SU23" s="46"/>
      <c r="SV23" s="46"/>
      <c r="SW23" s="46"/>
      <c r="SX23" s="46"/>
      <c r="SY23" s="46"/>
      <c r="SZ23" s="46"/>
      <c r="TA23" s="46"/>
      <c r="TB23" s="46"/>
      <c r="TC23" s="46"/>
      <c r="TD23" s="46"/>
      <c r="TE23" s="46"/>
      <c r="TF23" s="46"/>
      <c r="TG23" s="46"/>
      <c r="TH23" s="46"/>
      <c r="TI23" s="46"/>
      <c r="TJ23" s="46"/>
      <c r="TK23" s="46"/>
      <c r="TL23" s="46"/>
      <c r="TM23" s="46"/>
      <c r="TN23" s="46"/>
      <c r="TO23" s="46"/>
      <c r="TP23" s="46"/>
      <c r="TQ23" s="46"/>
      <c r="TR23" s="46"/>
      <c r="TS23" s="46"/>
      <c r="TT23" s="46"/>
      <c r="TU23" s="46"/>
      <c r="TV23" s="46"/>
      <c r="TW23" s="46"/>
      <c r="TX23" s="46"/>
      <c r="TY23" s="46"/>
      <c r="TZ23" s="46"/>
      <c r="UA23" s="46"/>
      <c r="UB23" s="46"/>
      <c r="UC23" s="46"/>
      <c r="UD23" s="46"/>
      <c r="UE23" s="46"/>
      <c r="UF23" s="46"/>
      <c r="UG23" s="46"/>
      <c r="UH23" s="46"/>
      <c r="UI23" s="46"/>
      <c r="UJ23" s="46"/>
      <c r="UK23" s="46"/>
      <c r="UL23" s="46"/>
      <c r="UM23" s="46"/>
      <c r="UN23" s="46"/>
      <c r="UO23" s="46"/>
      <c r="UP23" s="46"/>
      <c r="UQ23" s="46"/>
      <c r="UR23" s="46"/>
      <c r="US23" s="46"/>
      <c r="UT23" s="46"/>
      <c r="UU23" s="46"/>
      <c r="UV23" s="46"/>
      <c r="UW23" s="46"/>
      <c r="UX23" s="46"/>
      <c r="UY23" s="46"/>
      <c r="UZ23" s="46"/>
      <c r="VA23" s="46"/>
      <c r="VB23" s="46"/>
      <c r="VC23" s="46"/>
      <c r="VD23" s="46"/>
      <c r="VE23" s="46"/>
      <c r="VF23" s="46"/>
      <c r="VG23" s="46"/>
      <c r="VH23" s="46"/>
      <c r="VI23" s="46"/>
      <c r="VJ23" s="46"/>
      <c r="VK23" s="46"/>
      <c r="VL23" s="46"/>
      <c r="VM23" s="46"/>
      <c r="VN23" s="46"/>
      <c r="VO23" s="46"/>
      <c r="VP23" s="46"/>
      <c r="VQ23" s="46"/>
      <c r="VR23" s="46"/>
      <c r="VS23" s="46"/>
      <c r="VT23" s="46"/>
      <c r="VU23" s="46"/>
      <c r="VV23" s="46"/>
      <c r="VW23" s="46"/>
      <c r="VX23" s="46"/>
      <c r="VY23" s="46"/>
      <c r="VZ23" s="46"/>
      <c r="WA23" s="46"/>
      <c r="WB23" s="46"/>
      <c r="WC23" s="46"/>
      <c r="WD23" s="46"/>
      <c r="WE23" s="46"/>
      <c r="WF23" s="46"/>
      <c r="WG23" s="46"/>
      <c r="WH23" s="46"/>
      <c r="WI23" s="46"/>
      <c r="WJ23" s="46"/>
      <c r="WK23" s="46"/>
      <c r="WL23" s="46"/>
      <c r="WM23" s="46"/>
      <c r="WN23" s="46"/>
      <c r="WO23" s="46"/>
      <c r="WP23" s="46"/>
      <c r="WQ23" s="46"/>
      <c r="WR23" s="46"/>
      <c r="WS23" s="46"/>
      <c r="WT23" s="46"/>
      <c r="WU23" s="46"/>
      <c r="WV23" s="46"/>
      <c r="WW23" s="46"/>
      <c r="WX23" s="46"/>
      <c r="WY23" s="46"/>
      <c r="WZ23" s="46"/>
      <c r="XA23" s="46"/>
      <c r="XB23" s="46"/>
      <c r="XC23" s="46"/>
      <c r="XD23" s="46"/>
      <c r="XE23" s="46"/>
      <c r="XF23" s="46"/>
      <c r="XG23" s="46"/>
      <c r="XH23" s="46"/>
      <c r="XI23" s="46"/>
      <c r="XJ23" s="46"/>
      <c r="XK23" s="46"/>
      <c r="XL23" s="46"/>
      <c r="XM23" s="46"/>
      <c r="XN23" s="46"/>
      <c r="XO23" s="46"/>
      <c r="XP23" s="46"/>
      <c r="XQ23" s="46"/>
      <c r="XR23" s="46"/>
      <c r="XS23" s="46"/>
      <c r="XT23" s="46"/>
      <c r="XU23" s="46"/>
      <c r="XV23" s="46"/>
      <c r="XW23" s="46"/>
      <c r="XX23" s="46"/>
      <c r="XY23" s="46"/>
      <c r="XZ23" s="46"/>
      <c r="YA23" s="46"/>
      <c r="YB23" s="46"/>
      <c r="YC23" s="46"/>
      <c r="YD23" s="46"/>
      <c r="YE23" s="46"/>
      <c r="YF23" s="46"/>
      <c r="YG23" s="46"/>
      <c r="YH23" s="46"/>
      <c r="YI23" s="46"/>
      <c r="YJ23" s="46"/>
      <c r="YK23" s="46"/>
      <c r="YL23" s="46"/>
      <c r="YM23" s="46"/>
      <c r="YN23" s="46"/>
      <c r="YO23" s="46"/>
      <c r="YP23" s="46"/>
      <c r="YQ23" s="46"/>
      <c r="YR23" s="46"/>
      <c r="YS23" s="46"/>
      <c r="YT23" s="46"/>
      <c r="YU23" s="46"/>
      <c r="YV23" s="46"/>
      <c r="YW23" s="46"/>
      <c r="YX23" s="46"/>
      <c r="YY23" s="46"/>
      <c r="YZ23" s="46"/>
      <c r="ZA23" s="46"/>
      <c r="ZB23" s="46"/>
      <c r="ZC23" s="46"/>
      <c r="ZD23" s="46"/>
      <c r="ZE23" s="46"/>
      <c r="ZF23" s="46"/>
      <c r="ZG23" s="46"/>
      <c r="ZH23" s="46"/>
      <c r="ZI23" s="46"/>
      <c r="ZJ23" s="46"/>
      <c r="ZK23" s="46"/>
      <c r="ZL23" s="46"/>
      <c r="ZM23" s="46"/>
      <c r="ZN23" s="46"/>
      <c r="ZO23" s="46"/>
      <c r="ZP23" s="46"/>
      <c r="ZQ23" s="46"/>
      <c r="ZR23" s="46"/>
      <c r="ZS23" s="46"/>
      <c r="ZT23" s="46"/>
      <c r="ZU23" s="46"/>
      <c r="ZV23" s="46"/>
      <c r="ZW23" s="46"/>
      <c r="ZX23" s="46"/>
      <c r="ZY23" s="46"/>
      <c r="ZZ23" s="46"/>
      <c r="AAA23" s="46"/>
      <c r="AAB23" s="46"/>
      <c r="AAC23" s="46"/>
      <c r="AAD23" s="46"/>
      <c r="AAE23" s="46"/>
      <c r="AAF23" s="46"/>
      <c r="AAG23" s="46"/>
      <c r="AAH23" s="46"/>
      <c r="AAI23" s="46"/>
      <c r="AAJ23" s="46"/>
      <c r="AAK23" s="46"/>
      <c r="AAL23" s="46"/>
      <c r="AAM23" s="46"/>
      <c r="AAN23" s="46"/>
      <c r="AAO23" s="46"/>
      <c r="AAP23" s="46"/>
      <c r="AAQ23" s="46"/>
      <c r="AAR23" s="46"/>
      <c r="AAS23" s="46"/>
      <c r="AAT23" s="46"/>
      <c r="AAU23" s="46"/>
      <c r="AAV23" s="46"/>
      <c r="AAW23" s="46"/>
      <c r="AAX23" s="46"/>
      <c r="AAY23" s="46"/>
      <c r="AAZ23" s="46"/>
      <c r="ABA23" s="46"/>
      <c r="ABB23" s="46"/>
      <c r="ABC23" s="46"/>
      <c r="ABD23" s="46"/>
      <c r="ABE23" s="46"/>
      <c r="ABF23" s="46"/>
      <c r="ABG23" s="46"/>
      <c r="ABH23" s="46"/>
      <c r="ABI23" s="46"/>
      <c r="ABJ23" s="46"/>
      <c r="ABK23" s="46"/>
      <c r="ABL23" s="46"/>
      <c r="ABM23" s="46"/>
      <c r="ABN23" s="46"/>
      <c r="ABO23" s="46"/>
      <c r="ABP23" s="46"/>
      <c r="ABQ23" s="46"/>
      <c r="ABR23" s="46"/>
      <c r="ABS23" s="46"/>
      <c r="ABT23" s="46"/>
      <c r="ABU23" s="46"/>
      <c r="ABV23" s="46"/>
      <c r="ABW23" s="46"/>
      <c r="ABX23" s="46"/>
      <c r="ABY23" s="46"/>
      <c r="ABZ23" s="46"/>
      <c r="ACA23" s="46"/>
      <c r="ACB23" s="46"/>
      <c r="ACC23" s="46"/>
      <c r="ACD23" s="46"/>
      <c r="ACE23" s="46"/>
      <c r="ACF23" s="46"/>
      <c r="ACG23" s="46"/>
      <c r="ACH23" s="46"/>
      <c r="ACI23" s="46"/>
      <c r="ACJ23" s="46"/>
      <c r="ACK23" s="46"/>
      <c r="ACL23" s="46"/>
      <c r="ACM23" s="46"/>
      <c r="ACN23" s="46"/>
      <c r="ACO23" s="46"/>
      <c r="ACP23" s="46"/>
      <c r="ACQ23" s="46"/>
      <c r="ACR23" s="46"/>
      <c r="ACS23" s="46"/>
      <c r="ACT23" s="46"/>
      <c r="ACU23" s="46"/>
      <c r="ACV23" s="46"/>
      <c r="ACW23" s="46"/>
      <c r="ACX23" s="46"/>
      <c r="ACY23" s="46"/>
      <c r="ACZ23" s="46"/>
      <c r="ADA23" s="46"/>
      <c r="ADB23" s="46"/>
      <c r="ADC23" s="46"/>
      <c r="ADD23" s="46"/>
      <c r="ADE23" s="46"/>
      <c r="ADF23" s="46"/>
      <c r="ADG23" s="46"/>
      <c r="ADH23" s="46"/>
      <c r="ADI23" s="46"/>
      <c r="ADJ23" s="46"/>
      <c r="ADK23" s="46"/>
      <c r="ADL23" s="46"/>
      <c r="ADM23" s="46"/>
      <c r="ADN23" s="46"/>
      <c r="ADO23" s="46"/>
      <c r="ADP23" s="46"/>
      <c r="ADQ23" s="46"/>
      <c r="ADR23" s="46"/>
      <c r="ADS23" s="46"/>
      <c r="ADT23" s="46"/>
      <c r="ADU23" s="46"/>
      <c r="ADV23" s="46"/>
      <c r="ADW23" s="46"/>
      <c r="ADX23" s="46"/>
      <c r="ADY23" s="46"/>
      <c r="ADZ23" s="46"/>
      <c r="AEA23" s="46"/>
      <c r="AEB23" s="46"/>
      <c r="AEC23" s="46"/>
      <c r="AED23" s="46"/>
      <c r="AEE23" s="46"/>
      <c r="AEF23" s="46"/>
      <c r="AEG23" s="46"/>
      <c r="AEH23" s="46"/>
      <c r="AEI23" s="46"/>
      <c r="AEJ23" s="46"/>
      <c r="AEK23" s="46"/>
      <c r="AEL23" s="46"/>
      <c r="AEM23" s="46"/>
      <c r="AEN23" s="46"/>
      <c r="AEO23" s="46"/>
      <c r="AEP23" s="46"/>
      <c r="AEQ23" s="46"/>
      <c r="AER23" s="46"/>
      <c r="AES23" s="46"/>
      <c r="AET23" s="46"/>
      <c r="AEU23" s="46"/>
      <c r="AEV23" s="46"/>
      <c r="AEW23" s="46"/>
      <c r="AEX23" s="46"/>
      <c r="AEY23" s="46"/>
      <c r="AEZ23" s="46"/>
      <c r="AFA23" s="46"/>
      <c r="AFB23" s="46"/>
      <c r="AFC23" s="46"/>
      <c r="AFD23" s="46"/>
      <c r="AFE23" s="46"/>
      <c r="AFF23" s="46"/>
      <c r="AFG23" s="46"/>
      <c r="AFH23" s="46"/>
      <c r="AFI23" s="46"/>
      <c r="AFJ23" s="46"/>
      <c r="AFK23" s="46"/>
      <c r="AFL23" s="46"/>
      <c r="AFM23" s="46"/>
      <c r="AFN23" s="46"/>
      <c r="AFO23" s="46"/>
      <c r="AFP23" s="46"/>
      <c r="AFQ23" s="46"/>
      <c r="AFR23" s="46"/>
      <c r="AFS23" s="46"/>
      <c r="AFT23" s="46"/>
      <c r="AFU23" s="46"/>
      <c r="AFV23" s="46"/>
      <c r="AFW23" s="46"/>
      <c r="AFX23" s="46"/>
      <c r="AFY23" s="46"/>
      <c r="AFZ23" s="46"/>
      <c r="AGA23" s="46"/>
      <c r="AGB23" s="46"/>
      <c r="AGC23" s="46"/>
      <c r="AGD23" s="46"/>
      <c r="AGE23" s="46"/>
      <c r="AGF23" s="46"/>
      <c r="AGG23" s="46"/>
      <c r="AGH23" s="46"/>
      <c r="AGI23" s="46"/>
      <c r="AGJ23" s="46"/>
      <c r="AGK23" s="46"/>
      <c r="AGL23" s="46"/>
      <c r="AGM23" s="46"/>
      <c r="AGN23" s="46"/>
      <c r="AGO23" s="46"/>
      <c r="AGP23" s="46"/>
      <c r="AGQ23" s="46"/>
      <c r="AGR23" s="46"/>
      <c r="AGS23" s="46"/>
      <c r="AGT23" s="46"/>
      <c r="AGU23" s="46"/>
      <c r="AGV23" s="46"/>
      <c r="AGW23" s="46"/>
      <c r="AGX23" s="46"/>
      <c r="AGY23" s="46"/>
      <c r="AGZ23" s="46"/>
      <c r="AHA23" s="46"/>
      <c r="AHB23" s="46"/>
      <c r="AHC23" s="46"/>
      <c r="AHD23" s="46"/>
      <c r="AHE23" s="46"/>
      <c r="AHF23" s="46"/>
      <c r="AHG23" s="46"/>
      <c r="AHH23" s="46"/>
      <c r="AHI23" s="46"/>
      <c r="AHJ23" s="46"/>
      <c r="AHK23" s="46"/>
      <c r="AHL23" s="46"/>
      <c r="AHM23" s="46"/>
      <c r="AHN23" s="46"/>
      <c r="AHO23" s="46"/>
      <c r="AHP23" s="46"/>
      <c r="AHQ23" s="46"/>
      <c r="AHR23" s="46"/>
      <c r="AHS23" s="46"/>
      <c r="AHT23" s="46"/>
      <c r="AHU23" s="46"/>
      <c r="AHV23" s="46"/>
      <c r="AHW23" s="46"/>
      <c r="AHX23" s="46"/>
      <c r="AHY23" s="46"/>
      <c r="AHZ23" s="46"/>
      <c r="AIA23" s="46"/>
      <c r="AIB23" s="46"/>
      <c r="AIC23" s="46"/>
      <c r="AID23" s="46"/>
      <c r="AIE23" s="46"/>
      <c r="AIF23" s="46"/>
      <c r="AIG23" s="46"/>
      <c r="AIH23" s="46"/>
      <c r="AII23" s="46"/>
      <c r="AIJ23" s="46"/>
      <c r="AIK23" s="46"/>
      <c r="AIL23" s="46"/>
      <c r="AIM23" s="46"/>
      <c r="AIN23" s="46"/>
      <c r="AIO23" s="46"/>
      <c r="AIP23" s="46"/>
      <c r="AIQ23" s="46"/>
      <c r="AIR23" s="46"/>
      <c r="AIS23" s="46"/>
      <c r="AIT23" s="46"/>
      <c r="AIU23" s="46"/>
      <c r="AIV23" s="46"/>
      <c r="AIW23" s="46"/>
      <c r="AIX23" s="46"/>
      <c r="AIY23" s="46"/>
      <c r="AIZ23" s="46"/>
      <c r="AJA23" s="46"/>
      <c r="AJB23" s="46"/>
      <c r="AJC23" s="46"/>
      <c r="AJD23" s="46"/>
      <c r="AJE23" s="46"/>
      <c r="AJF23" s="46"/>
      <c r="AJG23" s="46"/>
      <c r="AJH23" s="46"/>
      <c r="AJI23" s="46"/>
      <c r="AJJ23" s="46"/>
      <c r="AJK23" s="46"/>
      <c r="AJL23" s="46"/>
      <c r="AJM23" s="46"/>
      <c r="AJN23" s="46"/>
      <c r="AJO23" s="46"/>
      <c r="AJP23" s="46"/>
      <c r="AJQ23" s="46"/>
      <c r="AJR23" s="46"/>
      <c r="AJS23" s="46"/>
      <c r="AJT23" s="46"/>
      <c r="AJU23" s="46"/>
      <c r="AJV23" s="46"/>
      <c r="AJW23" s="46"/>
      <c r="AJX23" s="46"/>
      <c r="AJY23" s="46"/>
      <c r="AJZ23" s="46"/>
      <c r="AKA23" s="46"/>
      <c r="AKB23" s="46"/>
      <c r="AKC23" s="46"/>
      <c r="AKD23" s="46"/>
      <c r="AKE23" s="46"/>
      <c r="AKF23" s="46"/>
      <c r="AKG23" s="46"/>
      <c r="AKH23" s="46"/>
      <c r="AKI23" s="46"/>
      <c r="AKJ23" s="46"/>
      <c r="AKK23" s="46"/>
      <c r="AKL23" s="46"/>
      <c r="AKM23" s="46"/>
      <c r="AKN23" s="46"/>
      <c r="AKO23" s="46"/>
      <c r="AKP23" s="46"/>
      <c r="AKQ23" s="46"/>
      <c r="AKR23" s="46"/>
      <c r="AKS23" s="46"/>
      <c r="AKT23" s="46"/>
      <c r="AKU23" s="46"/>
      <c r="AKV23" s="46"/>
      <c r="AKW23" s="46"/>
      <c r="AKX23" s="46"/>
      <c r="AKY23" s="46"/>
      <c r="AKZ23" s="46"/>
      <c r="ALA23" s="46"/>
      <c r="ALB23" s="46"/>
      <c r="ALC23" s="46"/>
      <c r="ALD23" s="46"/>
      <c r="ALE23" s="46"/>
      <c r="ALF23" s="46"/>
      <c r="ALG23" s="46"/>
      <c r="ALH23" s="46"/>
      <c r="ALI23" s="46"/>
      <c r="ALJ23" s="46"/>
      <c r="ALK23" s="46"/>
      <c r="ALL23" s="46"/>
      <c r="ALM23" s="46"/>
      <c r="ALN23" s="46"/>
      <c r="ALO23" s="46"/>
      <c r="ALP23" s="46"/>
      <c r="ALQ23" s="46"/>
      <c r="ALR23" s="46"/>
      <c r="ALS23" s="46"/>
      <c r="ALT23" s="46"/>
      <c r="ALU23" s="46"/>
      <c r="ALV23" s="46"/>
      <c r="ALW23" s="46"/>
      <c r="ALX23" s="46"/>
      <c r="ALY23" s="46"/>
      <c r="ALZ23" s="47"/>
    </row>
    <row r="24" spans="1:1014" ht="28.15" customHeight="1" x14ac:dyDescent="0.25">
      <c r="A24" s="16"/>
      <c r="B24" s="39"/>
      <c r="C24" s="17"/>
      <c r="D24" s="40"/>
      <c r="E24" s="40"/>
      <c r="F24" s="17" t="s">
        <v>103</v>
      </c>
      <c r="G24" s="17" t="s">
        <v>46</v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17"/>
      <c r="AQ24"/>
      <c r="AR24"/>
      <c r="AS24"/>
      <c r="AT24"/>
    </row>
    <row r="25" spans="1:1014" ht="28.15" customHeight="1" x14ac:dyDescent="0.25">
      <c r="A25" s="16"/>
      <c r="B25" s="39"/>
      <c r="C25" s="17"/>
      <c r="D25" s="40"/>
      <c r="E25" s="40"/>
      <c r="F25" s="17" t="s">
        <v>103</v>
      </c>
      <c r="G25" s="17" t="s">
        <v>46</v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17"/>
      <c r="AQ25"/>
      <c r="AR25"/>
      <c r="AS25"/>
      <c r="AT25"/>
    </row>
    <row r="26" spans="1:1014" ht="28.15" customHeight="1" x14ac:dyDescent="0.25">
      <c r="A26" s="16"/>
      <c r="B26" s="39"/>
      <c r="C26" s="17"/>
      <c r="D26" s="40"/>
      <c r="E26" s="40"/>
      <c r="F26" s="17" t="s">
        <v>103</v>
      </c>
      <c r="G26" s="17" t="s">
        <v>46</v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17"/>
      <c r="AQ26"/>
      <c r="AR26"/>
      <c r="AS26"/>
      <c r="AT26"/>
    </row>
    <row r="27" spans="1:1014" ht="15.75" x14ac:dyDescent="0.25">
      <c r="F27" s="17" t="s">
        <v>103</v>
      </c>
      <c r="G27" s="17" t="s">
        <v>46</v>
      </c>
    </row>
    <row r="28" spans="1:1014" ht="15.75" x14ac:dyDescent="0.25">
      <c r="F28" s="17" t="s">
        <v>103</v>
      </c>
      <c r="G28" s="17" t="s">
        <v>46</v>
      </c>
    </row>
    <row r="29" spans="1:1014" ht="15.75" x14ac:dyDescent="0.25">
      <c r="F29" s="17" t="s">
        <v>103</v>
      </c>
      <c r="G29" s="17" t="s">
        <v>46</v>
      </c>
    </row>
    <row r="30" spans="1:1014" ht="15.75" x14ac:dyDescent="0.25">
      <c r="F30" s="17" t="s">
        <v>103</v>
      </c>
      <c r="G30" s="17" t="s">
        <v>46</v>
      </c>
    </row>
    <row r="31" spans="1:1014" ht="15.75" x14ac:dyDescent="0.25">
      <c r="F31" s="17" t="s">
        <v>103</v>
      </c>
      <c r="G31" s="17" t="s">
        <v>46</v>
      </c>
    </row>
    <row r="32" spans="1:1014" ht="15.75" x14ac:dyDescent="0.25">
      <c r="F32" s="17" t="s">
        <v>103</v>
      </c>
      <c r="G32" s="17" t="s">
        <v>46</v>
      </c>
    </row>
    <row r="33" spans="6:7" ht="15.75" x14ac:dyDescent="0.25">
      <c r="F33" s="17" t="s">
        <v>103</v>
      </c>
      <c r="G33" s="17" t="s">
        <v>46</v>
      </c>
    </row>
    <row r="34" spans="6:7" ht="15.75" x14ac:dyDescent="0.25">
      <c r="F34" s="17" t="s">
        <v>103</v>
      </c>
      <c r="G34" s="17" t="s">
        <v>46</v>
      </c>
    </row>
    <row r="35" spans="6:7" ht="15.75" x14ac:dyDescent="0.25">
      <c r="F35" s="17" t="s">
        <v>103</v>
      </c>
      <c r="G35" s="17" t="s">
        <v>46</v>
      </c>
    </row>
    <row r="36" spans="6:7" ht="15.75" x14ac:dyDescent="0.25">
      <c r="F36" s="17" t="s">
        <v>103</v>
      </c>
      <c r="G36" s="17" t="s">
        <v>46</v>
      </c>
    </row>
    <row r="37" spans="6:7" ht="15.75" x14ac:dyDescent="0.25">
      <c r="F37" s="17" t="s">
        <v>103</v>
      </c>
      <c r="G37" s="17" t="s">
        <v>46</v>
      </c>
    </row>
    <row r="38" spans="6:7" ht="15.75" x14ac:dyDescent="0.25">
      <c r="F38" s="17" t="s">
        <v>103</v>
      </c>
      <c r="G38" s="17" t="s">
        <v>46</v>
      </c>
    </row>
    <row r="39" spans="6:7" ht="15.75" x14ac:dyDescent="0.25">
      <c r="F39" s="17" t="s">
        <v>103</v>
      </c>
      <c r="G39" s="17" t="s">
        <v>46</v>
      </c>
    </row>
    <row r="40" spans="6:7" ht="15.75" x14ac:dyDescent="0.25">
      <c r="F40" s="17" t="s">
        <v>103</v>
      </c>
      <c r="G40" s="17" t="s">
        <v>46</v>
      </c>
    </row>
    <row r="41" spans="6:7" ht="15.75" x14ac:dyDescent="0.25">
      <c r="F41" s="17" t="s">
        <v>103</v>
      </c>
      <c r="G41" s="17" t="s">
        <v>46</v>
      </c>
    </row>
    <row r="42" spans="6:7" ht="15.75" x14ac:dyDescent="0.25">
      <c r="F42" s="17" t="s">
        <v>103</v>
      </c>
      <c r="G42" s="17" t="s">
        <v>46</v>
      </c>
    </row>
    <row r="43" spans="6:7" ht="15.75" x14ac:dyDescent="0.25">
      <c r="F43" s="17" t="s">
        <v>103</v>
      </c>
      <c r="G43" s="17" t="s">
        <v>46</v>
      </c>
    </row>
    <row r="44" spans="6:7" ht="15.75" x14ac:dyDescent="0.25">
      <c r="F44" s="17" t="s">
        <v>103</v>
      </c>
      <c r="G44" s="17" t="s">
        <v>46</v>
      </c>
    </row>
    <row r="45" spans="6:7" ht="15.75" x14ac:dyDescent="0.25">
      <c r="F45" s="17" t="s">
        <v>103</v>
      </c>
      <c r="G45" s="17" t="s">
        <v>46</v>
      </c>
    </row>
    <row r="46" spans="6:7" ht="15.75" x14ac:dyDescent="0.25">
      <c r="F46" s="17" t="s">
        <v>103</v>
      </c>
      <c r="G46" s="17" t="s">
        <v>46</v>
      </c>
    </row>
    <row r="47" spans="6:7" ht="15.75" x14ac:dyDescent="0.25">
      <c r="F47" s="17" t="s">
        <v>103</v>
      </c>
      <c r="G47" s="17" t="s">
        <v>46</v>
      </c>
    </row>
    <row r="48" spans="6:7" ht="15.75" x14ac:dyDescent="0.25">
      <c r="F48" s="17" t="s">
        <v>103</v>
      </c>
      <c r="G48" s="17" t="s">
        <v>46</v>
      </c>
    </row>
    <row r="49" spans="6:7" ht="15.75" x14ac:dyDescent="0.25">
      <c r="F49" s="17" t="s">
        <v>103</v>
      </c>
      <c r="G49" s="17" t="s">
        <v>46</v>
      </c>
    </row>
    <row r="50" spans="6:7" ht="15.75" x14ac:dyDescent="0.25">
      <c r="F50" s="17" t="s">
        <v>103</v>
      </c>
      <c r="G50" s="17" t="s">
        <v>46</v>
      </c>
    </row>
    <row r="51" spans="6:7" ht="15.75" x14ac:dyDescent="0.25">
      <c r="F51" s="17" t="s">
        <v>103</v>
      </c>
      <c r="G51" s="17" t="s">
        <v>46</v>
      </c>
    </row>
    <row r="52" spans="6:7" ht="15.75" x14ac:dyDescent="0.25">
      <c r="F52" s="17" t="s">
        <v>103</v>
      </c>
      <c r="G52" s="17" t="s">
        <v>46</v>
      </c>
    </row>
    <row r="53" spans="6:7" ht="15.75" x14ac:dyDescent="0.25">
      <c r="F53" s="17" t="s">
        <v>103</v>
      </c>
      <c r="G53" s="17" t="s">
        <v>46</v>
      </c>
    </row>
    <row r="54" spans="6:7" ht="15.75" x14ac:dyDescent="0.25">
      <c r="F54" s="17" t="s">
        <v>103</v>
      </c>
      <c r="G54" s="17" t="s">
        <v>46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7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2</v>
      </c>
      <c r="D5">
        <v>38</v>
      </c>
      <c r="E5">
        <f>COUNTIF(SEMUA!$D$1:$D$26,D5)</f>
        <v>0</v>
      </c>
      <c r="J5" s="8">
        <v>54</v>
      </c>
      <c r="K5">
        <f>COUNTIF(SEMUA!$E$2:$E$26,J5)</f>
        <v>4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3</v>
      </c>
      <c r="G6">
        <f>F6+E6</f>
        <v>3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5</v>
      </c>
      <c r="C7">
        <v>2</v>
      </c>
      <c r="D7" s="8">
        <v>40</v>
      </c>
      <c r="E7">
        <f>COUNTIF(SEMUA!$D$1:$D$26,D7)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1</v>
      </c>
      <c r="M7" s="7"/>
      <c r="N7" s="7"/>
    </row>
    <row r="8" spans="1:15" ht="15.75" x14ac:dyDescent="0.25">
      <c r="A8" s="7" t="s">
        <v>33</v>
      </c>
      <c r="B8">
        <f>COUNTIF(SEMUA!$H$2:$H$26,REKAP!A8)</f>
        <v>0</v>
      </c>
      <c r="C8">
        <v>1</v>
      </c>
      <c r="D8" s="8">
        <v>41</v>
      </c>
      <c r="E8">
        <f>COUNTIF(SEMUA!$D$1:$D$26,D8)</f>
        <v>4</v>
      </c>
      <c r="F8">
        <v>7</v>
      </c>
      <c r="G8">
        <f t="shared" si="0"/>
        <v>11</v>
      </c>
      <c r="J8" s="8">
        <v>57</v>
      </c>
      <c r="K8">
        <f>COUNTIF(SEMUA!$E$2:$E$26,J8)</f>
        <v>3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1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0</v>
      </c>
      <c r="F10">
        <v>7</v>
      </c>
      <c r="G10">
        <f t="shared" si="0"/>
        <v>7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COUNTIF(SEMUA!$D$1:$D$26,D11)</f>
        <v>0</v>
      </c>
      <c r="G11">
        <f t="shared" si="0"/>
        <v>0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14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14</v>
      </c>
      <c r="F14">
        <f>SUM(F4:F13)</f>
        <v>34</v>
      </c>
      <c r="G14">
        <f>SUM(G4:G13)</f>
        <v>48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2021-07-06T20:57:28Z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