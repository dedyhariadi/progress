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73707836-3BD9-42D8-A216-7B219991E57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5" i="3" l="1"/>
  <c r="E6" i="3"/>
  <c r="G6" i="3" s="1"/>
  <c r="E7" i="3"/>
  <c r="G7" i="3" s="1"/>
  <c r="E8" i="3"/>
  <c r="E9" i="3"/>
  <c r="E10" i="3"/>
  <c r="G10" i="3" s="1"/>
  <c r="E11" i="3"/>
  <c r="G11" i="3" s="1"/>
  <c r="E12" i="3"/>
  <c r="G12" i="3" s="1"/>
  <c r="E13" i="3"/>
  <c r="E4" i="3"/>
  <c r="K5" i="3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G13" i="3"/>
  <c r="G9" i="3"/>
  <c r="G8" i="3"/>
  <c r="E14" i="3" l="1"/>
  <c r="G14" i="3"/>
  <c r="B11" i="3"/>
  <c r="K12" i="3"/>
</calcChain>
</file>

<file path=xl/sharedStrings.xml><?xml version="1.0" encoding="utf-8"?>
<sst xmlns="http://schemas.openxmlformats.org/spreadsheetml/2006/main" count="365" uniqueCount="152">
  <si>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</si>
  <si>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</si>
  <si>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</si>
  <si>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</si>
  <si>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</si>
  <si>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</si>
  <si>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</si>
  <si>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</si>
  <si>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</si>
  <si>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</si>
  <si>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</si>
  <si>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</si>
  <si>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</si>
  <si>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</si>
  <si>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</si>
  <si>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</si>
  <si>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</si>
  <si>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</si>
  <si>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</si>
  <si>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</si>
  <si>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</si>
  <si>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</si>
  <si>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</si>
  <si>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</si>
  <si>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</si>
  <si>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</si>
  <si>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</si>
  <si>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</si>
  <si>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</si>
  <si>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</si>
  <si>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</si>
  <si>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</si>
  <si>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</si>
  <si>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</si>
  <si>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</si>
  <si>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</si>
  <si>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</si>
  <si>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</si>
  <si>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</si>
  <si>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</si>
  <si>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</si>
  <si>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</si>
  <si>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</si>
  <si>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</si>
  <si>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</si>
  <si>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</si>
  <si>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</si>
  <si>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</si>
  <si>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</si>
  <si>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</si>
  <si>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</si>
  <si>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</si>
  <si>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</si>
  <si>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</si>
  <si>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</si>
  <si>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</si>
  <si>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</si>
  <si>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</si>
  <si>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</si>
  <si>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</si>
  <si>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</si>
  <si>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</si>
  <si>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</si>
  <si>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</si>
  <si>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</si>
  <si>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</si>
  <si>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</si>
  <si>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</si>
  <si>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</si>
  <si>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</si>
  <si>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</si>
  <si>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</si>
  <si>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</si>
  <si>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</si>
  <si>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</si>
  <si>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</si>
  <si>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</si>
  <si>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</si>
  <si>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</si>
  <si>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</si>
  <si>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</si>
  <si>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</si>
  <si>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</si>
  <si>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</si>
  <si>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</si>
  <si>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</si>
  <si>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</si>
  <si>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</si>
  <si>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</si>
  <si>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</si>
  <si>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</si>
  <si>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</si>
  <si>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</si>
  <si>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</si>
  <si>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</si>
  <si>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</si>
  <si>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</si>
  <si>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</si>
  <si>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</si>
  <si>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</si>
  <si>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</si>
  <si>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</si>
  <si>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</si>
  <si>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</si>
  <si>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</si>
  <si>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</si>
  <si>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</si>
  <si>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</si>
  <si>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</si>
  <si>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</si>
  <si>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</si>
  <si>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</si>
  <si>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</si>
  <si>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</si>
  <si>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</si>
  <si>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</si>
  <si>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</si>
  <si>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</si>
  <si>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</si>
  <si>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</si>
  <si>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</si>
  <si>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</si>
  <si>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</si>
  <si>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</si>
  <si>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</si>
  <si>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</si>
  <si>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</si>
  <si>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</si>
  <si>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</si>
  <si>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</si>
  <si>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</si>
  <si>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</si>
  <si>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</si>
  <si>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</si>
  <si>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</si>
  <si>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</si>
  <si>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</si>
  <si>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</si>
  <si>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</si>
  <si>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</si>
  <si>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</si>
  <si>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</si>
  <si>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</si>
  <si>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</si>
  <si>
    <t>N19</t>
  </si>
  <si>
    <t>N20</t>
  </si>
  <si>
    <t>N21</t>
  </si>
  <si>
    <t>EDI SUSANTO</t>
  </si>
  <si>
    <t>ADNAN PRAYOGI</t>
  </si>
  <si>
    <t>BENYAMIN</t>
  </si>
  <si>
    <t>27 JULI</t>
  </si>
  <si>
    <t>02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</si>
</sst>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  <xf numFmtId="16" fontId="0" fillId="0" borderId="0" xfId="0" applyNumberForma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2"/>
  <sheetViews>
    <sheetView tabSelected="1" zoomScale="55" zoomScaleNormal="55" workbookViewId="0">
      <pane ySplit="1" topLeftCell="A2" activePane="bottomLeft" state="frozen"/>
      <selection pane="bottomLeft" activeCell="D2" sqref="D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57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46</v>
      </c>
      <c r="AQ1" s="2" t="s">
        <v>98</v>
      </c>
      <c r="AR1" s="2" t="s">
        <v>58</v>
      </c>
      <c r="AS1" s="2" t="s">
        <v>99</v>
      </c>
      <c r="AT1" s="2" t="s">
        <v>100</v>
      </c>
    </row>
    <row r="2" spans="1:1014" ht="28.15" customHeight="1" thickTop="1" x14ac:dyDescent="0.25">
      <c r="A2" s="44" t="s">
        <v>103</v>
      </c>
      <c r="B2" s="44" t="s">
        <v>104</v>
      </c>
      <c r="C2" s="29" t="s">
        <v>130</v>
      </c>
      <c r="D2" s="45">
        <v>40</v>
      </c>
      <c r="E2" s="29">
        <v>56</v>
      </c>
      <c r="F2" s="29" t="s">
        <v>45</v>
      </c>
      <c r="G2" s="29" t="s">
        <v>32</v>
      </c>
      <c r="H2" s="29" t="s">
        <v>102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129</v>
      </c>
      <c r="AR2" s="49">
        <v>44448</v>
      </c>
      <c r="AS2" t="s">
        <v>134</v>
      </c>
      <c r="AT2" t="s">
        <v>134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109</v>
      </c>
      <c r="B3" s="37" t="s">
        <v>105</v>
      </c>
      <c r="C3" s="38" t="s">
        <v>130</v>
      </c>
      <c r="D3" s="39">
        <v>39</v>
      </c>
      <c r="E3" s="38">
        <v>55</v>
      </c>
      <c r="F3" s="38" t="s">
        <v>45</v>
      </c>
      <c r="G3" s="38" t="s">
        <v>31</v>
      </c>
      <c r="H3" s="38" t="s">
        <v>102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129</v>
      </c>
      <c r="AR3" s="49">
        <v>44448</v>
      </c>
      <c r="AS3" t="s">
        <v>134</v>
      </c>
      <c r="AT3" t="s">
        <v>134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110</v>
      </c>
      <c r="B4" s="37" t="s">
        <v>106</v>
      </c>
      <c r="C4" s="38" t="s">
        <v>130</v>
      </c>
      <c r="D4" s="39">
        <v>41</v>
      </c>
      <c r="E4" s="38">
        <v>54</v>
      </c>
      <c r="F4" s="38" t="s">
        <v>45</v>
      </c>
      <c r="G4" s="38" t="s">
        <v>32</v>
      </c>
      <c r="H4" s="38" t="s">
        <v>102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129</v>
      </c>
      <c r="AR4" s="49">
        <v>44448</v>
      </c>
      <c r="AS4" t="s">
        <v>134</v>
      </c>
      <c r="AT4" t="s">
        <v>134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111</v>
      </c>
      <c r="B5" s="37" t="s">
        <v>107</v>
      </c>
      <c r="C5" s="38" t="s">
        <v>130</v>
      </c>
      <c r="D5" s="39">
        <v>42</v>
      </c>
      <c r="E5" s="38">
        <v>58</v>
      </c>
      <c r="F5" s="38" t="s">
        <v>45</v>
      </c>
      <c r="G5" s="38" t="s">
        <v>32</v>
      </c>
      <c r="H5" s="38" t="s">
        <v>102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129</v>
      </c>
      <c r="AR5" s="49">
        <v>44448</v>
      </c>
      <c r="AS5" t="s">
        <v>134</v>
      </c>
      <c r="AT5" t="s">
        <v>134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112</v>
      </c>
      <c r="B6" s="37" t="s">
        <v>108</v>
      </c>
      <c r="C6" s="38" t="s">
        <v>130</v>
      </c>
      <c r="D6" s="39">
        <v>39</v>
      </c>
      <c r="E6" s="38">
        <v>53</v>
      </c>
      <c r="F6" s="38" t="s">
        <v>45</v>
      </c>
      <c r="G6" s="38" t="s">
        <v>32</v>
      </c>
      <c r="H6" s="38" t="s">
        <v>102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129</v>
      </c>
      <c r="AR6" s="49">
        <v>44448</v>
      </c>
      <c r="AS6" t="s">
        <v>134</v>
      </c>
      <c r="AT6" t="s">
        <v>134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113</v>
      </c>
      <c r="B7" s="40" t="s">
        <v>121</v>
      </c>
      <c r="C7" s="38" t="s">
        <v>130</v>
      </c>
      <c r="D7" s="41">
        <v>42</v>
      </c>
      <c r="E7" s="42">
        <v>55</v>
      </c>
      <c r="F7" s="38" t="s">
        <v>45</v>
      </c>
      <c r="G7" s="43" t="s">
        <v>34</v>
      </c>
      <c r="H7" s="38" t="s">
        <v>102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129</v>
      </c>
      <c r="AR7" s="49">
        <v>44448</v>
      </c>
      <c r="AS7" t="s">
        <v>134</v>
      </c>
      <c r="AT7" t="s">
        <v>134</v>
      </c>
    </row>
    <row r="8" spans="1:1014" ht="28.15" customHeight="1" x14ac:dyDescent="0.25">
      <c r="A8" s="37" t="s">
        <v>114</v>
      </c>
      <c r="B8" s="40" t="s">
        <v>122</v>
      </c>
      <c r="C8" s="38" t="s">
        <v>130</v>
      </c>
      <c r="D8" s="41">
        <v>40</v>
      </c>
      <c r="E8" s="42">
        <v>54</v>
      </c>
      <c r="F8" s="38" t="s">
        <v>45</v>
      </c>
      <c r="G8" s="43" t="s">
        <v>34</v>
      </c>
      <c r="H8" s="38" t="s">
        <v>102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129</v>
      </c>
      <c r="AR8" s="49">
        <v>44448</v>
      </c>
      <c r="AS8" t="s">
        <v>134</v>
      </c>
      <c r="AT8" t="s">
        <v>134</v>
      </c>
    </row>
    <row r="9" spans="1:1014" ht="28.15" customHeight="1" x14ac:dyDescent="0.25">
      <c r="A9" s="37" t="s">
        <v>115</v>
      </c>
      <c r="B9" s="40" t="s">
        <v>123</v>
      </c>
      <c r="C9" s="38" t="s">
        <v>130</v>
      </c>
      <c r="D9" s="41">
        <v>42</v>
      </c>
      <c r="E9" s="42">
        <v>57</v>
      </c>
      <c r="F9" s="38" t="s">
        <v>45</v>
      </c>
      <c r="G9" s="43" t="s">
        <v>34</v>
      </c>
      <c r="H9" s="38" t="s">
        <v>102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129</v>
      </c>
      <c r="AR9" s="49">
        <v>44448</v>
      </c>
      <c r="AS9" t="s">
        <v>134</v>
      </c>
      <c r="AT9" t="s">
        <v>134</v>
      </c>
    </row>
    <row r="10" spans="1:1014" ht="28.15" customHeight="1" x14ac:dyDescent="0.25">
      <c r="A10" s="37" t="s">
        <v>116</v>
      </c>
      <c r="B10" s="40" t="s">
        <v>124</v>
      </c>
      <c r="C10" s="38" t="s">
        <v>130</v>
      </c>
      <c r="D10" s="41">
        <v>42</v>
      </c>
      <c r="E10" s="42">
        <v>55</v>
      </c>
      <c r="F10" s="38" t="s">
        <v>45</v>
      </c>
      <c r="G10" s="43" t="s">
        <v>32</v>
      </c>
      <c r="H10" s="38" t="s">
        <v>102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129</v>
      </c>
      <c r="AR10" s="49">
        <v>44448</v>
      </c>
      <c r="AS10" t="s">
        <v>134</v>
      </c>
      <c r="AT10" t="s">
        <v>134</v>
      </c>
    </row>
    <row r="11" spans="1:1014" ht="28.15" customHeight="1" x14ac:dyDescent="0.25">
      <c r="A11" s="37" t="s">
        <v>117</v>
      </c>
      <c r="B11" s="40" t="s">
        <v>125</v>
      </c>
      <c r="C11" s="38" t="s">
        <v>130</v>
      </c>
      <c r="D11" s="41">
        <v>40</v>
      </c>
      <c r="E11" s="42">
        <v>54</v>
      </c>
      <c r="F11" s="38" t="s">
        <v>45</v>
      </c>
      <c r="G11" s="43" t="s">
        <v>31</v>
      </c>
      <c r="H11" s="38" t="s">
        <v>102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129</v>
      </c>
      <c r="AR11" s="49">
        <v>44448</v>
      </c>
      <c r="AS11" t="s">
        <v>134</v>
      </c>
      <c r="AT11" t="s">
        <v>134</v>
      </c>
    </row>
    <row r="12" spans="1:1014" ht="28.15" customHeight="1" x14ac:dyDescent="0.25">
      <c r="A12" s="37" t="s">
        <v>118</v>
      </c>
      <c r="B12" s="40" t="s">
        <v>126</v>
      </c>
      <c r="C12" s="38" t="s">
        <v>130</v>
      </c>
      <c r="D12" s="41">
        <v>41</v>
      </c>
      <c r="E12" s="42">
        <v>54</v>
      </c>
      <c r="F12" s="38" t="s">
        <v>45</v>
      </c>
      <c r="G12" s="43" t="s">
        <v>34</v>
      </c>
      <c r="H12" s="38" t="s">
        <v>102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129</v>
      </c>
      <c r="AR12" s="49">
        <v>44448</v>
      </c>
      <c r="AS12" t="s">
        <v>134</v>
      </c>
      <c r="AT12" t="s">
        <v>134</v>
      </c>
    </row>
    <row r="13" spans="1:1014" ht="28.15" customHeight="1" x14ac:dyDescent="0.25">
      <c r="A13" s="37" t="s">
        <v>119</v>
      </c>
      <c r="B13" s="40" t="s">
        <v>127</v>
      </c>
      <c r="C13" s="38" t="s">
        <v>130</v>
      </c>
      <c r="D13" s="41">
        <v>39</v>
      </c>
      <c r="E13" s="42">
        <v>55</v>
      </c>
      <c r="F13" s="38" t="s">
        <v>45</v>
      </c>
      <c r="G13" s="43" t="s">
        <v>32</v>
      </c>
      <c r="H13" s="38" t="s">
        <v>102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129</v>
      </c>
      <c r="AR13" s="49">
        <v>44448</v>
      </c>
      <c r="AS13" t="s">
        <v>134</v>
      </c>
      <c r="AT13" t="s">
        <v>134</v>
      </c>
    </row>
    <row r="14" spans="1:1014" ht="28.15" customHeight="1" x14ac:dyDescent="0.25">
      <c r="A14" s="37" t="s">
        <v>120</v>
      </c>
      <c r="B14" s="40" t="s">
        <v>128</v>
      </c>
      <c r="C14" s="38" t="s">
        <v>130</v>
      </c>
      <c r="D14" s="41">
        <v>41</v>
      </c>
      <c r="E14" s="42">
        <v>57</v>
      </c>
      <c r="F14" s="38" t="s">
        <v>45</v>
      </c>
      <c r="G14" s="43" t="s">
        <v>32</v>
      </c>
      <c r="H14" s="38" t="s">
        <v>102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129</v>
      </c>
      <c r="AR14" s="49">
        <v>44448</v>
      </c>
      <c r="AS14" t="s">
        <v>134</v>
      </c>
      <c r="AT14" t="s">
        <v>134</v>
      </c>
    </row>
    <row r="15" spans="1:1014" ht="28.15" customHeight="1" x14ac:dyDescent="0.25">
      <c r="A15" s="37" t="s">
        <v>131</v>
      </c>
      <c r="B15" s="40" t="s">
        <v>132</v>
      </c>
      <c r="C15" s="38" t="s">
        <v>130</v>
      </c>
      <c r="D15" s="41">
        <v>41</v>
      </c>
      <c r="E15" s="42">
        <v>57</v>
      </c>
      <c r="F15" s="38" t="s">
        <v>45</v>
      </c>
      <c r="G15" s="43" t="s">
        <v>34</v>
      </c>
      <c r="H15" s="38" t="s">
        <v>102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133</v>
      </c>
      <c r="AR15" s="49">
        <v>44448</v>
      </c>
      <c r="AS15" t="s">
        <v>134</v>
      </c>
      <c r="AT15" t="s">
        <v>134</v>
      </c>
    </row>
    <row r="16" spans="1:1014" ht="28.15" customHeight="1" x14ac:dyDescent="0.25">
      <c r="A16" s="37" t="s">
        <v>140</v>
      </c>
      <c r="B16" s="40" t="s">
        <v>135</v>
      </c>
      <c r="C16" s="38" t="s">
        <v>130</v>
      </c>
      <c r="D16" s="41">
        <v>41</v>
      </c>
      <c r="E16" s="42">
        <v>56</v>
      </c>
      <c r="F16" s="38" t="s">
        <v>45</v>
      </c>
      <c r="G16" s="43" t="s">
        <v>32</v>
      </c>
      <c r="H16" s="38" t="s">
        <v>102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139</v>
      </c>
      <c r="AR16" s="49">
        <v>44448</v>
      </c>
      <c r="AS16" s="31" t="s">
        <v>139</v>
      </c>
      <c r="AT16" s="31" t="s">
        <v>139</v>
      </c>
    </row>
    <row r="17" spans="1:46" ht="28.15" customHeight="1" x14ac:dyDescent="0.25">
      <c r="A17" s="37" t="s">
        <v>141</v>
      </c>
      <c r="B17" s="40" t="s">
        <v>136</v>
      </c>
      <c r="C17" s="38" t="s">
        <v>130</v>
      </c>
      <c r="D17" s="41">
        <v>41</v>
      </c>
      <c r="E17" s="42">
        <v>56</v>
      </c>
      <c r="F17" s="38" t="s">
        <v>45</v>
      </c>
      <c r="G17" s="43" t="s">
        <v>32</v>
      </c>
      <c r="H17" s="38" t="s">
        <v>102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139</v>
      </c>
      <c r="AR17" s="49">
        <v>44448</v>
      </c>
      <c r="AS17" s="31" t="s">
        <v>139</v>
      </c>
      <c r="AT17" s="31" t="s">
        <v>139</v>
      </c>
    </row>
    <row r="18" spans="1:46" ht="28.15" customHeight="1" x14ac:dyDescent="0.25">
      <c r="A18" s="37" t="s">
        <v>142</v>
      </c>
      <c r="B18" s="40" t="s">
        <v>137</v>
      </c>
      <c r="C18" s="38" t="s">
        <v>130</v>
      </c>
      <c r="D18" s="41">
        <v>43</v>
      </c>
      <c r="E18" s="42">
        <v>58</v>
      </c>
      <c r="F18" s="38" t="s">
        <v>45</v>
      </c>
      <c r="G18" s="43" t="s">
        <v>34</v>
      </c>
      <c r="H18" s="38" t="s">
        <v>102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139</v>
      </c>
      <c r="AR18" s="49">
        <v>44448</v>
      </c>
      <c r="AS18" s="31" t="s">
        <v>139</v>
      </c>
      <c r="AT18" s="31" t="s">
        <v>139</v>
      </c>
    </row>
    <row r="19" spans="1:46" ht="28.15" customHeight="1" x14ac:dyDescent="0.25">
      <c r="A19" s="37" t="s">
        <v>143</v>
      </c>
      <c r="B19" s="40" t="s">
        <v>138</v>
      </c>
      <c r="C19" s="38" t="s">
        <v>130</v>
      </c>
      <c r="D19" s="41">
        <v>39</v>
      </c>
      <c r="E19" s="42">
        <v>55</v>
      </c>
      <c r="F19" s="38" t="s">
        <v>45</v>
      </c>
      <c r="G19" s="43" t="s">
        <v>35</v>
      </c>
      <c r="H19" s="38" t="s">
        <v>102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139</v>
      </c>
      <c r="AR19" s="49">
        <v>44448</v>
      </c>
      <c r="AS19" s="31" t="s">
        <v>139</v>
      </c>
      <c r="AT19" s="31" t="s">
        <v>139</v>
      </c>
    </row>
    <row r="20" spans="1:46" ht="28.5" x14ac:dyDescent="0.25">
      <c r="A20" s="37" t="s">
        <v>144</v>
      </c>
      <c r="B20" s="2" t="s">
        <v>147</v>
      </c>
      <c r="C20" s="38" t="s">
        <v>130</v>
      </c>
      <c r="D20" s="1">
        <v>40</v>
      </c>
      <c r="E20" s="34">
        <v>55</v>
      </c>
      <c r="F20" s="38" t="s">
        <v>45</v>
      </c>
      <c r="G20" s="11" t="s">
        <v>32</v>
      </c>
      <c r="H20" s="38" t="s">
        <v>102</v>
      </c>
      <c r="I20" s="34">
        <v>46</v>
      </c>
      <c r="J20" s="34">
        <v>56</v>
      </c>
      <c r="K20" s="34">
        <v>19</v>
      </c>
      <c r="L20" s="34">
        <v>14</v>
      </c>
      <c r="M20" s="34">
        <v>104</v>
      </c>
      <c r="N20" s="34">
        <v>96</v>
      </c>
      <c r="O20" s="34">
        <v>108</v>
      </c>
      <c r="P20" s="34">
        <v>71</v>
      </c>
      <c r="Q20" s="34">
        <v>42</v>
      </c>
      <c r="R20" s="34">
        <v>46</v>
      </c>
      <c r="S20" s="34">
        <v>57</v>
      </c>
      <c r="T20" s="34">
        <v>17</v>
      </c>
      <c r="U20" s="34">
        <v>13</v>
      </c>
      <c r="V20" s="34">
        <v>28</v>
      </c>
      <c r="W20" s="34">
        <v>26</v>
      </c>
      <c r="X20" s="1">
        <v>28</v>
      </c>
      <c r="Y20" s="2">
        <v>71</v>
      </c>
      <c r="Z20" s="2">
        <v>42</v>
      </c>
      <c r="AA20" s="2">
        <v>46</v>
      </c>
      <c r="AB20" s="2">
        <v>25</v>
      </c>
      <c r="AC20" s="2">
        <v>17</v>
      </c>
      <c r="AD20" s="2">
        <v>28</v>
      </c>
      <c r="AE20" s="2">
        <v>26</v>
      </c>
      <c r="AF20" s="2">
        <v>28</v>
      </c>
      <c r="AG20" s="34">
        <v>71</v>
      </c>
      <c r="AH20" s="34">
        <v>42</v>
      </c>
      <c r="AI20" s="34">
        <v>89</v>
      </c>
      <c r="AJ20" s="34">
        <v>104</v>
      </c>
      <c r="AK20" s="34">
        <v>67</v>
      </c>
      <c r="AL20" s="34">
        <v>33</v>
      </c>
      <c r="AM20" s="34">
        <v>26</v>
      </c>
      <c r="AN20" s="34">
        <v>20</v>
      </c>
      <c r="AO20" s="34">
        <v>96</v>
      </c>
      <c r="AP20" s="2">
        <v>3</v>
      </c>
      <c r="AQ20" s="2" t="s">
        <v>150</v>
      </c>
      <c r="AR20" s="49">
        <v>44448</v>
      </c>
      <c r="AS20" s="2" t="s">
        <v>151</v>
      </c>
      <c r="AT20" s="2" t="s">
        <v>151</v>
      </c>
    </row>
    <row r="21" spans="1:46" ht="28.5" x14ac:dyDescent="0.25">
      <c r="A21" s="37" t="s">
        <v>145</v>
      </c>
      <c r="B21" s="2" t="s">
        <v>148</v>
      </c>
      <c r="C21" s="38" t="s">
        <v>130</v>
      </c>
      <c r="D21" s="1">
        <v>40</v>
      </c>
      <c r="E21" s="34">
        <v>56</v>
      </c>
      <c r="F21" s="38" t="s">
        <v>45</v>
      </c>
      <c r="G21" s="11" t="s">
        <v>32</v>
      </c>
      <c r="H21" s="38" t="s">
        <v>102</v>
      </c>
      <c r="I21" s="34">
        <v>43</v>
      </c>
      <c r="J21" s="34">
        <v>53</v>
      </c>
      <c r="K21" s="34">
        <v>18</v>
      </c>
      <c r="L21" s="34">
        <v>14</v>
      </c>
      <c r="M21" s="34">
        <v>91</v>
      </c>
      <c r="N21" s="34">
        <v>85</v>
      </c>
      <c r="O21" s="34">
        <v>100</v>
      </c>
      <c r="P21" s="34">
        <v>66</v>
      </c>
      <c r="Q21" s="34">
        <v>39</v>
      </c>
      <c r="R21" s="34">
        <v>43</v>
      </c>
      <c r="S21" s="34">
        <v>54</v>
      </c>
      <c r="T21" s="34">
        <v>16</v>
      </c>
      <c r="U21" s="34">
        <v>12</v>
      </c>
      <c r="V21" s="34">
        <v>26</v>
      </c>
      <c r="W21" s="34">
        <v>24</v>
      </c>
      <c r="X21" s="1">
        <v>26</v>
      </c>
      <c r="Y21" s="2">
        <v>66</v>
      </c>
      <c r="Z21" s="2">
        <v>39</v>
      </c>
      <c r="AA21" s="2">
        <v>43</v>
      </c>
      <c r="AB21" s="2">
        <v>23</v>
      </c>
      <c r="AC21" s="2">
        <v>16</v>
      </c>
      <c r="AD21" s="2">
        <v>26</v>
      </c>
      <c r="AE21" s="2">
        <v>24</v>
      </c>
      <c r="AF21" s="2">
        <v>26</v>
      </c>
      <c r="AG21" s="34">
        <v>66</v>
      </c>
      <c r="AH21" s="34">
        <v>39</v>
      </c>
      <c r="AI21" s="34">
        <v>77</v>
      </c>
      <c r="AJ21" s="34">
        <v>99</v>
      </c>
      <c r="AK21" s="34">
        <v>67</v>
      </c>
      <c r="AL21" s="34">
        <v>30</v>
      </c>
      <c r="AM21" s="34">
        <v>24</v>
      </c>
      <c r="AN21" s="34">
        <v>19</v>
      </c>
      <c r="AO21" s="34">
        <v>91</v>
      </c>
      <c r="AP21" s="2">
        <v>3</v>
      </c>
      <c r="AQ21" s="2" t="s">
        <v>150</v>
      </c>
      <c r="AR21" s="49">
        <v>44448</v>
      </c>
      <c r="AS21" s="2" t="s">
        <v>151</v>
      </c>
      <c r="AT21" s="2" t="s">
        <v>151</v>
      </c>
    </row>
    <row r="22" spans="1:46" ht="28.5" x14ac:dyDescent="0.25">
      <c r="A22" s="37" t="s">
        <v>146</v>
      </c>
      <c r="B22" s="2" t="s">
        <v>149</v>
      </c>
      <c r="C22" s="38" t="s">
        <v>130</v>
      </c>
      <c r="D22" s="1">
        <v>41</v>
      </c>
      <c r="E22" s="34">
        <v>54</v>
      </c>
      <c r="F22" s="38" t="s">
        <v>45</v>
      </c>
      <c r="G22" s="11" t="s">
        <v>32</v>
      </c>
      <c r="H22" s="38" t="s">
        <v>102</v>
      </c>
      <c r="I22" s="34">
        <v>44</v>
      </c>
      <c r="J22" s="34">
        <v>55</v>
      </c>
      <c r="K22" s="34">
        <v>19</v>
      </c>
      <c r="L22" s="34">
        <v>14</v>
      </c>
      <c r="M22" s="34">
        <v>100</v>
      </c>
      <c r="N22" s="34">
        <v>97</v>
      </c>
      <c r="O22" s="34">
        <v>106</v>
      </c>
      <c r="P22" s="34">
        <v>68</v>
      </c>
      <c r="Q22" s="34">
        <v>39</v>
      </c>
      <c r="R22" s="34">
        <v>44</v>
      </c>
      <c r="S22" s="34">
        <v>56</v>
      </c>
      <c r="T22" s="34">
        <v>17</v>
      </c>
      <c r="U22" s="34">
        <v>12</v>
      </c>
      <c r="V22" s="34">
        <v>28</v>
      </c>
      <c r="W22" s="34">
        <v>26</v>
      </c>
      <c r="X22" s="1">
        <v>28</v>
      </c>
      <c r="Y22" s="2">
        <v>67</v>
      </c>
      <c r="Z22" s="2">
        <v>39</v>
      </c>
      <c r="AA22" s="2">
        <v>44</v>
      </c>
      <c r="AB22" s="2">
        <v>22</v>
      </c>
      <c r="AC22" s="2">
        <v>17</v>
      </c>
      <c r="AD22" s="2">
        <v>28</v>
      </c>
      <c r="AE22" s="2">
        <v>26</v>
      </c>
      <c r="AF22" s="2">
        <v>28</v>
      </c>
      <c r="AG22" s="34">
        <v>67</v>
      </c>
      <c r="AH22" s="34">
        <v>39</v>
      </c>
      <c r="AI22" s="34">
        <v>89</v>
      </c>
      <c r="AJ22" s="34">
        <v>102</v>
      </c>
      <c r="AK22" s="34">
        <v>66</v>
      </c>
      <c r="AL22" s="34">
        <v>33</v>
      </c>
      <c r="AM22" s="34">
        <v>34</v>
      </c>
      <c r="AN22" s="34">
        <v>19</v>
      </c>
      <c r="AO22" s="34">
        <v>91</v>
      </c>
      <c r="AP22" s="2">
        <v>3</v>
      </c>
      <c r="AQ22" s="2" t="s">
        <v>150</v>
      </c>
      <c r="AR22" s="49">
        <v>44448</v>
      </c>
      <c r="AS22" s="2" t="s">
        <v>151</v>
      </c>
      <c r="AT22" s="2" t="s">
        <v>151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101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59</v>
      </c>
      <c r="B2" s="22" t="s">
        <v>61</v>
      </c>
      <c r="C2" s="23" t="s">
        <v>56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45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60</v>
      </c>
      <c r="B5" s="22" t="s">
        <v>62</v>
      </c>
      <c r="C5" s="23" t="s">
        <v>56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45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66</v>
      </c>
      <c r="B8" s="22" t="s">
        <v>63</v>
      </c>
      <c r="C8" s="23" t="s">
        <v>56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45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67</v>
      </c>
      <c r="B11" s="22" t="s">
        <v>64</v>
      </c>
      <c r="C11" s="23" t="s">
        <v>56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45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68</v>
      </c>
      <c r="B14" s="22" t="s">
        <v>65</v>
      </c>
      <c r="C14" s="23" t="s">
        <v>56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45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69</v>
      </c>
      <c r="B17" s="22" t="s">
        <v>79</v>
      </c>
      <c r="C17" s="23" t="s">
        <v>56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45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70</v>
      </c>
      <c r="B20" s="22" t="s">
        <v>80</v>
      </c>
      <c r="C20" s="23" t="s">
        <v>56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45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71</v>
      </c>
      <c r="B23" s="22" t="s">
        <v>81</v>
      </c>
      <c r="C23" s="23" t="s">
        <v>56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45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72</v>
      </c>
      <c r="B26" s="22" t="s">
        <v>82</v>
      </c>
      <c r="C26" s="23" t="s">
        <v>56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45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73</v>
      </c>
      <c r="B29" s="22" t="s">
        <v>83</v>
      </c>
      <c r="C29" s="23" t="s">
        <v>56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45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74</v>
      </c>
      <c r="B32" s="22" t="s">
        <v>84</v>
      </c>
      <c r="C32" s="23" t="s">
        <v>56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45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75</v>
      </c>
      <c r="B35" s="22" t="s">
        <v>85</v>
      </c>
      <c r="C35" s="23" t="s">
        <v>56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45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76</v>
      </c>
      <c r="B38" s="22" t="s">
        <v>86</v>
      </c>
      <c r="C38" s="23" t="s">
        <v>56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45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77</v>
      </c>
      <c r="B41" s="22" t="s">
        <v>87</v>
      </c>
      <c r="C41" s="23" t="s">
        <v>56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45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78</v>
      </c>
      <c r="B44" s="22" t="s">
        <v>88</v>
      </c>
      <c r="C44" s="23" t="s">
        <v>56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45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89</v>
      </c>
      <c r="B47" s="22" t="s">
        <v>94</v>
      </c>
      <c r="C47" s="23" t="s">
        <v>56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45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90</v>
      </c>
      <c r="B50" s="22" t="s">
        <v>95</v>
      </c>
      <c r="C50" s="23" t="s">
        <v>56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45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91</v>
      </c>
      <c r="B53" s="22" t="s">
        <v>96</v>
      </c>
      <c r="C53" s="23" t="s">
        <v>56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45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92</v>
      </c>
      <c r="B56" s="22" t="s">
        <v>97</v>
      </c>
      <c r="C56" s="23" t="s">
        <v>56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45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93</v>
      </c>
      <c r="B59" s="22"/>
      <c r="C59" s="23" t="s">
        <v>56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45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79"/>
  <sheetViews>
    <sheetView topLeftCell="C1" zoomScale="145" zoomScaleNormal="145" workbookViewId="0">
      <selection activeCell="M3" sqref="M3:O4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4" x14ac:dyDescent="0.25">
      <c r="J1" s="5"/>
    </row>
    <row r="2" spans="1:14" x14ac:dyDescent="0.25">
      <c r="A2" t="s">
        <v>38</v>
      </c>
      <c r="D2" t="s">
        <v>39</v>
      </c>
      <c r="J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</row>
    <row r="4" spans="1:14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COUNTIF(SEMUA!$D$1:$D$30,D4)</f>
        <v>0</v>
      </c>
      <c r="J4" s="8">
        <v>53</v>
      </c>
      <c r="K4">
        <f>COUNTIF(SEMUA!$E$2:$E$22,J4)</f>
        <v>1</v>
      </c>
      <c r="M4" s="7"/>
      <c r="N4" s="7"/>
    </row>
    <row r="5" spans="1:14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COUNTIF(SEMUA!$D$1:$D$30,D5)</f>
        <v>0</v>
      </c>
      <c r="J5" s="8">
        <v>54</v>
      </c>
      <c r="K5">
        <f>COUNTIF(SEMUA!$E$2:$E$22,J5)</f>
        <v>5</v>
      </c>
      <c r="M5" s="7"/>
      <c r="N5" s="7"/>
    </row>
    <row r="6" spans="1:14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COUNTIF(SEMUA!$D$1:$D$30,D6)</f>
        <v>4</v>
      </c>
      <c r="G6">
        <f>F6+E6</f>
        <v>4</v>
      </c>
      <c r="H6">
        <v>2</v>
      </c>
      <c r="J6" s="8">
        <v>55</v>
      </c>
      <c r="K6">
        <f>COUNTIF(SEMUA!$E$2:$E$22,J6)</f>
        <v>6</v>
      </c>
      <c r="M6" s="7"/>
      <c r="N6" s="7"/>
    </row>
    <row r="7" spans="1:14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COUNTIF(SEMUA!$D$1:$D$30,D7)</f>
        <v>5</v>
      </c>
      <c r="F7">
        <v>9</v>
      </c>
      <c r="G7">
        <f t="shared" ref="G7:G13" si="0">F7+E7</f>
        <v>14</v>
      </c>
      <c r="J7" s="8">
        <v>56</v>
      </c>
      <c r="K7">
        <f>COUNTIF(SEMUA!$E$2:$E$22,J7)</f>
        <v>4</v>
      </c>
      <c r="M7" s="7"/>
      <c r="N7" s="7"/>
    </row>
    <row r="8" spans="1:14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COUNTIF(SEMUA!$D$1:$D$30,D8)</f>
        <v>7</v>
      </c>
      <c r="F8">
        <v>7</v>
      </c>
      <c r="G8">
        <f t="shared" si="0"/>
        <v>14</v>
      </c>
      <c r="J8" s="8">
        <v>57</v>
      </c>
      <c r="K8">
        <f>COUNTIF(SEMUA!$E$2:$E$22,J8)</f>
        <v>3</v>
      </c>
      <c r="M8" s="7"/>
      <c r="N8" s="7"/>
    </row>
    <row r="9" spans="1:14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COUNTIF(SEMUA!$D$1:$D$30,D9)</f>
        <v>4</v>
      </c>
      <c r="F9">
        <v>11</v>
      </c>
      <c r="G9">
        <f t="shared" si="0"/>
        <v>15</v>
      </c>
      <c r="J9" s="8">
        <v>58</v>
      </c>
      <c r="K9">
        <f>COUNTIF(SEMUA!$E$2:$E$22,J9)</f>
        <v>2</v>
      </c>
      <c r="M9" s="7"/>
    </row>
    <row r="10" spans="1:14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COUNTIF(SEMUA!$D$1:$D$30,D10)</f>
        <v>1</v>
      </c>
      <c r="F10">
        <v>7</v>
      </c>
      <c r="G10">
        <f t="shared" si="0"/>
        <v>8</v>
      </c>
      <c r="J10" s="8">
        <v>59</v>
      </c>
      <c r="K10">
        <f>COUNTIF(SEMUA!$E$2:$E$22,J10)</f>
        <v>0</v>
      </c>
      <c r="M10" s="7"/>
    </row>
    <row r="11" spans="1:14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COUNTIF(SEMUA!$D$1:$D$30,D11)</f>
        <v>0</v>
      </c>
      <c r="G11">
        <f t="shared" si="0"/>
        <v>0</v>
      </c>
      <c r="J11" s="1">
        <v>60</v>
      </c>
      <c r="K11">
        <f>COUNTIF(SEMUA!$E$2:$E$22,J11)</f>
        <v>0</v>
      </c>
      <c r="M11" s="7"/>
    </row>
    <row r="12" spans="1:14" ht="15.75" x14ac:dyDescent="0.25">
      <c r="D12" s="8">
        <v>45</v>
      </c>
      <c r="E12">
        <f>COUNTIF(SEMUA!$D$1:$D$30,D12)</f>
        <v>0</v>
      </c>
      <c r="G12">
        <f t="shared" si="0"/>
        <v>0</v>
      </c>
      <c r="K12">
        <f>SUM(K4:K11)</f>
        <v>21</v>
      </c>
      <c r="M12" s="7"/>
    </row>
    <row r="13" spans="1:14" ht="15.75" x14ac:dyDescent="0.25">
      <c r="D13" s="8">
        <v>46</v>
      </c>
      <c r="E13">
        <f>COUNTIF(SEMUA!$D$1:$D$30,D13)</f>
        <v>0</v>
      </c>
      <c r="G13">
        <f t="shared" si="0"/>
        <v>0</v>
      </c>
    </row>
    <row r="14" spans="1:14" ht="15.75" x14ac:dyDescent="0.25">
      <c r="D14" s="8"/>
      <c r="E14">
        <f>SUM(E4:E13)</f>
        <v>21</v>
      </c>
      <c r="F14">
        <f>SUM(F4:F13)</f>
        <v>34</v>
      </c>
      <c r="G14">
        <f>SUM(G4:G13)</f>
        <v>55</v>
      </c>
    </row>
    <row r="15" spans="1:14" ht="15.75" x14ac:dyDescent="0.25">
      <c r="D15" s="8"/>
    </row>
    <row r="16" spans="1:14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2021-07-12T12:07:25Z</cp:lastPrinted>
  <dcterms:created xsi:type="dcterms:W3CDTF">2016-10-31T03:59:44Z</dcterms:created>
  <dcterms:modified xsi:type="dcterms:W3CDTF">2021-10-21T05:07:42Z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