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5BAC8991-BEE4-48D1-A92E-704D4C12AF1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<sst xmlns="http://schemas.openxmlformats.org/spreadsheetml/2006/main" count="240" uniqueCount="118">
  <si>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</si>
  <si>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</si>
  <si>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</si>
  <si>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</si>
  <si>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</si>
  <si>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</si>
  <si>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</si>
  <si>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</si>
  <si>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</si>
  <si>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</si>
  <si>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</si>
  <si>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</si>
  <si>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</si>
  <si>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</si>
  <si>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</si>
  <si>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</si>
  <si>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</si>
  <si>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</si>
  <si>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</si>
  <si>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</si>
  <si>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</si>
  <si>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</si>
  <si>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</si>
  <si>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</si>
  <si>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</si>
  <si>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</si>
  <si>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</si>
  <si>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</si>
  <si>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</si>
  <si>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</si>
  <si>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</si>
  <si>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</si>
  <si>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</si>
  <si>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</si>
  <si>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</si>
  <si>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</si>
  <si>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</si>
  <si>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</si>
  <si>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</si>
  <si>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</si>
  <si>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</si>
  <si>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</si>
  <si>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</si>
  <si>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</si>
  <si>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</si>
  <si>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</si>
  <si>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</si>
  <si>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</si>
  <si>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</si>
  <si>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</si>
  <si>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</si>
  <si>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</si>
  <si>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</si>
  <si>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</si>
  <si>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</si>
  <si>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</si>
  <si>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</si>
  <si>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</si>
  <si>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</si>
  <si>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</si>
  <si>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</si>
  <si>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</si>
  <si>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</si>
  <si>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</si>
  <si>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</si>
  <si>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</si>
  <si>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</si>
  <si>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</si>
  <si>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</si>
  <si>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</si>
  <si>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</si>
  <si>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</si>
  <si>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</si>
  <si>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</si>
  <si>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</si>
  <si>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</si>
  <si>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</si>
  <si>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</si>
  <si>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</si>
  <si>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</si>
  <si>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</si>
  <si>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</si>
  <si>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</si>
  <si>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</si>
  <si>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</si>
  <si>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</si>
  <si>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</si>
  <si>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</si>
  <si>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</si>
  <si>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ARDINA INDRA</t>
  </si>
  <si>
    <t>YOHANES CHRIST</t>
  </si>
  <si>
    <t>ANANG GIANAN</t>
  </si>
  <si>
    <t>ALAMSYAH JAKA</t>
  </si>
  <si>
    <t>ACHMAT ANGGA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</si>
  <si>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</si>
  <si>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</si>
  <si>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</si>
  <si>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</si>
  <si>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</si>
  <si>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</si>
  <si>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</si>
  <si>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</si>
  <si>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</si>
  <si>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</si>
  <si>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</si>
  <si>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</si>
  <si>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</si>
  <si>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</si>
  <si>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</si>
  <si>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DERY NASRULLAH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</si>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</sst>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70" zoomScaleNormal="70" workbookViewId="0">
      <pane ySplit="1" topLeftCell="A14" activePane="bottomLeft" state="frozen"/>
      <selection pane="bottomLeft" activeCell="AQ2" sqref="AQ2:AQ26"/>
    </sheetView>
  </sheetViews>
  <sheetFormatPr defaultColWidth="8.7109375" defaultRowHeight="30" customHeight="1" x14ac:dyDescent="0.25"/>
  <cols>
    <col min="1" max="1" width="5.7109375" style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1" customWidth="1"/>
    <col min="6" max="6" width="9.28515625" style="3" customWidth="1"/>
    <col min="7" max="7" width="11.85546875" style="3" bestFit="1" customWidth="1"/>
    <col min="8" max="8" width="11.28515625" style="3" customWidth="1"/>
    <col min="9" max="17" width="7.7109375" style="3" customWidth="1"/>
    <col min="18" max="23" width="7.7109375" style="3" hidden="1" customWidth="1"/>
    <col min="24" max="24" width="6.7109375" style="3" hidden="1" customWidth="1"/>
    <col min="25" max="26" width="8.28515625" style="3" hidden="1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9" t="s">
        <v>7</v>
      </c>
      <c r="AB1" s="29" t="s">
        <v>8</v>
      </c>
      <c r="AC1" s="29" t="s">
        <v>9</v>
      </c>
      <c r="AD1" s="29" t="s">
        <v>10</v>
      </c>
      <c r="AE1" s="29" t="s">
        <v>11</v>
      </c>
      <c r="AF1" s="29" t="s">
        <v>12</v>
      </c>
      <c r="AG1" s="29" t="s">
        <v>13</v>
      </c>
      <c r="AH1" s="29" t="s">
        <v>14</v>
      </c>
      <c r="AI1" s="29" t="s">
        <v>15</v>
      </c>
      <c r="AJ1" s="29" t="s">
        <v>16</v>
      </c>
      <c r="AK1" s="29" t="s">
        <v>17</v>
      </c>
      <c r="AL1" s="29" t="s">
        <v>18</v>
      </c>
      <c r="AM1" s="29" t="s">
        <v>19</v>
      </c>
      <c r="AN1" s="29" t="s">
        <v>20</v>
      </c>
      <c r="AO1" s="29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79</v>
      </c>
      <c r="C2" s="20" t="s">
        <v>78</v>
      </c>
      <c r="D2" s="28">
        <v>42</v>
      </c>
      <c r="E2" s="28" t="s">
        <v>32</v>
      </c>
      <c r="F2" s="28">
        <v>57</v>
      </c>
      <c r="G2" s="15" t="s">
        <v>84</v>
      </c>
      <c r="H2" s="15" t="s">
        <v>85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/>
      <c r="S2" s="15"/>
      <c r="T2" s="15"/>
      <c r="U2" s="15"/>
      <c r="V2" s="15"/>
      <c r="W2" s="15"/>
      <c r="X2" s="15"/>
      <c r="Y2" s="15"/>
      <c r="Z2" s="15"/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2" t="s">
        <v>64</v>
      </c>
      <c r="B3" s="16" t="s">
        <v>80</v>
      </c>
      <c r="C3" s="20" t="s">
        <v>78</v>
      </c>
      <c r="D3" s="28">
        <v>43</v>
      </c>
      <c r="E3" s="31" t="s">
        <v>33</v>
      </c>
      <c r="F3" s="3">
        <v>60</v>
      </c>
      <c r="G3" s="15" t="s">
        <v>84</v>
      </c>
      <c r="H3" s="15" t="s">
        <v>85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81</v>
      </c>
      <c r="C4" s="20" t="s">
        <v>78</v>
      </c>
      <c r="D4" s="28">
        <v>40</v>
      </c>
      <c r="E4" s="28" t="s">
        <v>32</v>
      </c>
      <c r="F4" s="28">
        <v>56</v>
      </c>
      <c r="G4" s="15" t="s">
        <v>84</v>
      </c>
      <c r="H4" s="15" t="s">
        <v>85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/>
      <c r="S4" s="15"/>
      <c r="T4" s="15"/>
      <c r="V4" s="15"/>
      <c r="W4" s="15"/>
      <c r="X4" s="15"/>
      <c r="Y4" s="15"/>
      <c r="Z4" s="15"/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2" t="s">
        <v>66</v>
      </c>
      <c r="B5" s="16" t="s">
        <v>82</v>
      </c>
      <c r="C5" s="20" t="s">
        <v>78</v>
      </c>
      <c r="D5" s="28">
        <v>40</v>
      </c>
      <c r="E5" s="28" t="s">
        <v>31</v>
      </c>
      <c r="F5" s="28">
        <v>57</v>
      </c>
      <c r="G5" s="15" t="s">
        <v>84</v>
      </c>
      <c r="H5" s="15" t="s">
        <v>85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/>
      <c r="S5" s="15"/>
      <c r="T5" s="15"/>
      <c r="U5" s="15"/>
      <c r="V5" s="15"/>
      <c r="W5" s="15"/>
      <c r="X5" s="15"/>
      <c r="Y5" s="15"/>
      <c r="Z5" s="15"/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83</v>
      </c>
      <c r="C6" s="20" t="s">
        <v>78</v>
      </c>
      <c r="D6" s="28">
        <v>44</v>
      </c>
      <c r="E6" s="28" t="s">
        <v>34</v>
      </c>
      <c r="F6" s="28">
        <v>57</v>
      </c>
      <c r="G6" s="15" t="s">
        <v>84</v>
      </c>
      <c r="H6" s="15" t="s">
        <v>85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/>
      <c r="S6" s="15"/>
      <c r="T6" s="15"/>
      <c r="U6" s="15"/>
      <c r="V6" s="15"/>
      <c r="W6" s="15"/>
      <c r="X6" s="15"/>
      <c r="Y6" s="15"/>
      <c r="Z6" s="15"/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2" t="s">
        <v>68</v>
      </c>
      <c r="B7" s="16" t="s">
        <v>86</v>
      </c>
      <c r="C7" s="20" t="s">
        <v>78</v>
      </c>
      <c r="D7" s="28">
        <v>40</v>
      </c>
      <c r="E7" s="13" t="s">
        <v>31</v>
      </c>
      <c r="F7" s="13">
        <v>56</v>
      </c>
      <c r="G7" s="15" t="s">
        <v>84</v>
      </c>
      <c r="H7" s="15" t="s">
        <v>85</v>
      </c>
      <c r="I7" s="29">
        <v>43</v>
      </c>
      <c r="J7" s="29">
        <v>59</v>
      </c>
      <c r="K7" s="29">
        <v>19</v>
      </c>
      <c r="L7" s="29">
        <v>15</v>
      </c>
      <c r="M7" s="29">
        <v>110</v>
      </c>
      <c r="N7" s="29">
        <v>104</v>
      </c>
      <c r="O7" s="29">
        <v>112</v>
      </c>
      <c r="P7" s="29">
        <v>70</v>
      </c>
      <c r="Q7" s="29">
        <v>39</v>
      </c>
      <c r="R7" s="29"/>
      <c r="S7" s="29"/>
      <c r="T7" s="29"/>
      <c r="U7" s="29"/>
      <c r="V7" s="29"/>
      <c r="W7" s="29"/>
      <c r="X7" s="29"/>
      <c r="Y7" s="29"/>
      <c r="Z7" s="29"/>
      <c r="AA7" s="29">
        <v>43</v>
      </c>
      <c r="AB7" s="29">
        <v>24</v>
      </c>
      <c r="AC7" s="29">
        <v>19</v>
      </c>
      <c r="AD7" s="29">
        <v>28</v>
      </c>
      <c r="AE7" s="29">
        <v>27</v>
      </c>
      <c r="AF7" s="29">
        <v>28</v>
      </c>
      <c r="AG7" s="29">
        <v>69</v>
      </c>
      <c r="AH7" s="29">
        <v>39</v>
      </c>
      <c r="AI7" s="29">
        <v>93</v>
      </c>
      <c r="AJ7" s="29">
        <v>109</v>
      </c>
      <c r="AK7" s="29">
        <v>68</v>
      </c>
      <c r="AL7" s="29">
        <v>34</v>
      </c>
      <c r="AM7" s="29">
        <v>25</v>
      </c>
      <c r="AN7" s="29">
        <v>20</v>
      </c>
      <c r="AO7" s="3">
        <v>89</v>
      </c>
      <c r="AP7" s="2">
        <v>1</v>
      </c>
      <c r="AQ7" s="25" t="s">
        <v>117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87</v>
      </c>
      <c r="C8" s="20" t="s">
        <v>78</v>
      </c>
      <c r="D8" s="28">
        <v>42</v>
      </c>
      <c r="E8" s="13" t="s">
        <v>33</v>
      </c>
      <c r="F8" s="13">
        <v>57</v>
      </c>
      <c r="G8" s="15" t="s">
        <v>84</v>
      </c>
      <c r="H8" s="15" t="s">
        <v>85</v>
      </c>
      <c r="I8" s="29">
        <v>44</v>
      </c>
      <c r="J8" s="29">
        <v>62</v>
      </c>
      <c r="K8" s="29">
        <v>19</v>
      </c>
      <c r="L8" s="29">
        <v>15</v>
      </c>
      <c r="M8" s="29">
        <v>111</v>
      </c>
      <c r="N8" s="29">
        <v>109</v>
      </c>
      <c r="O8" s="29">
        <v>117</v>
      </c>
      <c r="P8" s="29">
        <v>75</v>
      </c>
      <c r="Q8" s="29">
        <v>44</v>
      </c>
      <c r="R8" s="29"/>
      <c r="S8" s="29"/>
      <c r="T8" s="29"/>
      <c r="U8" s="29"/>
      <c r="X8" s="29"/>
      <c r="Y8" s="29"/>
      <c r="Z8" s="29"/>
      <c r="AA8" s="29">
        <v>44</v>
      </c>
      <c r="AB8" s="3">
        <v>28</v>
      </c>
      <c r="AC8" s="29">
        <v>19</v>
      </c>
      <c r="AD8" s="29">
        <v>29</v>
      </c>
      <c r="AE8" s="29">
        <v>28</v>
      </c>
      <c r="AF8" s="29">
        <v>29</v>
      </c>
      <c r="AG8" s="29">
        <v>74</v>
      </c>
      <c r="AH8" s="29">
        <v>44</v>
      </c>
      <c r="AI8" s="29">
        <v>95</v>
      </c>
      <c r="AJ8" s="29">
        <v>113</v>
      </c>
      <c r="AK8" s="29">
        <v>70</v>
      </c>
      <c r="AL8" s="29">
        <v>34</v>
      </c>
      <c r="AM8" s="29">
        <v>25</v>
      </c>
      <c r="AN8" s="29">
        <v>20</v>
      </c>
      <c r="AO8" s="29">
        <v>100</v>
      </c>
      <c r="AP8" s="2">
        <v>1</v>
      </c>
      <c r="AQ8" s="25" t="s">
        <v>117</v>
      </c>
      <c r="AR8" s="4"/>
      <c r="AS8" s="4"/>
      <c r="AT8" s="4"/>
    </row>
    <row r="9" spans="1:1013" ht="30" customHeight="1" x14ac:dyDescent="0.25">
      <c r="A9" s="12" t="s">
        <v>70</v>
      </c>
      <c r="B9" s="16" t="s">
        <v>88</v>
      </c>
      <c r="C9" s="20" t="s">
        <v>78</v>
      </c>
      <c r="D9" s="28">
        <v>42</v>
      </c>
      <c r="E9" s="13" t="s">
        <v>32</v>
      </c>
      <c r="F9" s="13">
        <v>58</v>
      </c>
      <c r="G9" s="15" t="s">
        <v>84</v>
      </c>
      <c r="H9" s="15" t="s">
        <v>85</v>
      </c>
      <c r="I9" s="29">
        <v>44</v>
      </c>
      <c r="J9" s="29">
        <v>65</v>
      </c>
      <c r="K9" s="29">
        <v>19</v>
      </c>
      <c r="L9" s="29">
        <v>15</v>
      </c>
      <c r="M9" s="29">
        <v>110</v>
      </c>
      <c r="N9" s="29">
        <v>109</v>
      </c>
      <c r="O9" s="29">
        <v>118</v>
      </c>
      <c r="P9" s="29">
        <v>75</v>
      </c>
      <c r="Q9" s="29">
        <v>42</v>
      </c>
      <c r="R9" s="29"/>
      <c r="S9" s="29"/>
      <c r="T9" s="29"/>
      <c r="V9" s="29"/>
      <c r="W9" s="29"/>
      <c r="X9" s="29"/>
      <c r="Y9" s="29"/>
      <c r="Z9" s="29"/>
      <c r="AA9" s="29">
        <v>44</v>
      </c>
      <c r="AB9" s="3">
        <v>25</v>
      </c>
      <c r="AC9" s="29">
        <v>19</v>
      </c>
      <c r="AD9" s="29">
        <v>28</v>
      </c>
      <c r="AE9" s="29">
        <v>27</v>
      </c>
      <c r="AF9" s="29">
        <v>28</v>
      </c>
      <c r="AG9" s="29">
        <v>75</v>
      </c>
      <c r="AH9" s="10">
        <v>42</v>
      </c>
      <c r="AI9" s="29">
        <v>98</v>
      </c>
      <c r="AJ9" s="27">
        <v>112</v>
      </c>
      <c r="AK9" s="27">
        <v>69</v>
      </c>
      <c r="AL9" s="27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117</v>
      </c>
    </row>
    <row r="10" spans="1:1013" ht="30" customHeight="1" x14ac:dyDescent="0.25">
      <c r="A10" s="20" t="s">
        <v>71</v>
      </c>
      <c r="B10" s="16" t="s">
        <v>89</v>
      </c>
      <c r="C10" s="20" t="s">
        <v>78</v>
      </c>
      <c r="D10" s="28">
        <v>41</v>
      </c>
      <c r="E10" s="13" t="s">
        <v>32</v>
      </c>
      <c r="F10" s="13">
        <v>56</v>
      </c>
      <c r="G10" s="15" t="s">
        <v>84</v>
      </c>
      <c r="H10" s="15" t="s">
        <v>85</v>
      </c>
      <c r="I10" s="29">
        <v>43</v>
      </c>
      <c r="J10" s="29">
        <v>64</v>
      </c>
      <c r="K10" s="29">
        <v>18</v>
      </c>
      <c r="L10" s="29">
        <v>15</v>
      </c>
      <c r="M10" s="29">
        <v>98</v>
      </c>
      <c r="N10" s="29">
        <v>95</v>
      </c>
      <c r="O10" s="29">
        <v>116</v>
      </c>
      <c r="P10" s="29">
        <v>74</v>
      </c>
      <c r="Q10" s="29">
        <v>40</v>
      </c>
      <c r="R10" s="29"/>
      <c r="S10" s="29"/>
      <c r="T10" s="29"/>
      <c r="U10" s="29"/>
      <c r="V10" s="29"/>
      <c r="W10" s="29"/>
      <c r="X10" s="29"/>
      <c r="Y10" s="29"/>
      <c r="Z10" s="29"/>
      <c r="AA10" s="29">
        <v>43</v>
      </c>
      <c r="AB10" s="29">
        <v>26</v>
      </c>
      <c r="AC10" s="29">
        <v>19</v>
      </c>
      <c r="AD10" s="29">
        <v>27</v>
      </c>
      <c r="AE10" s="29">
        <v>26</v>
      </c>
      <c r="AF10" s="29">
        <v>27</v>
      </c>
      <c r="AG10" s="29">
        <v>74</v>
      </c>
      <c r="AH10" s="29">
        <v>40</v>
      </c>
      <c r="AI10" s="29">
        <v>88</v>
      </c>
      <c r="AJ10" s="29">
        <v>109</v>
      </c>
      <c r="AK10" s="29">
        <v>67</v>
      </c>
      <c r="AL10" s="29">
        <v>33</v>
      </c>
      <c r="AM10" s="29">
        <v>25</v>
      </c>
      <c r="AN10" s="29">
        <v>19</v>
      </c>
      <c r="AO10" s="29">
        <v>103</v>
      </c>
      <c r="AP10" s="2">
        <v>1</v>
      </c>
      <c r="AQ10" s="25" t="s">
        <v>117</v>
      </c>
      <c r="AR10" s="4"/>
      <c r="AS10" s="4"/>
      <c r="AT10" s="4"/>
    </row>
    <row r="11" spans="1:1013" ht="30" customHeight="1" x14ac:dyDescent="0.25">
      <c r="A11" s="12" t="s">
        <v>72</v>
      </c>
      <c r="B11" s="16" t="s">
        <v>90</v>
      </c>
      <c r="C11" s="20" t="s">
        <v>78</v>
      </c>
      <c r="D11" s="11">
        <v>42</v>
      </c>
      <c r="E11" s="30" t="s">
        <v>32</v>
      </c>
      <c r="F11" s="11">
        <v>59</v>
      </c>
      <c r="G11" s="15" t="s">
        <v>84</v>
      </c>
      <c r="H11" s="15" t="s">
        <v>85</v>
      </c>
      <c r="I11" s="15">
        <v>43</v>
      </c>
      <c r="J11" s="29">
        <v>59</v>
      </c>
      <c r="K11" s="29">
        <v>21</v>
      </c>
      <c r="L11" s="15">
        <v>15</v>
      </c>
      <c r="M11" s="15">
        <v>108</v>
      </c>
      <c r="N11" s="29">
        <v>106</v>
      </c>
      <c r="O11" s="29">
        <v>116</v>
      </c>
      <c r="P11" s="29">
        <v>69</v>
      </c>
      <c r="Q11" s="29">
        <v>44</v>
      </c>
      <c r="R11" s="29"/>
      <c r="S11" s="29"/>
      <c r="T11" s="29"/>
      <c r="U11" s="29"/>
      <c r="V11" s="29"/>
      <c r="W11" s="29"/>
      <c r="X11" s="29"/>
      <c r="Y11" s="29"/>
      <c r="Z11" s="29"/>
      <c r="AA11" s="29">
        <v>43</v>
      </c>
      <c r="AB11" s="29">
        <v>23</v>
      </c>
      <c r="AC11" s="29">
        <v>19</v>
      </c>
      <c r="AD11" s="29">
        <v>29</v>
      </c>
      <c r="AE11" s="29">
        <v>28</v>
      </c>
      <c r="AF11" s="29">
        <v>29</v>
      </c>
      <c r="AG11" s="29">
        <v>69</v>
      </c>
      <c r="AH11" s="29">
        <v>44</v>
      </c>
      <c r="AI11" s="29">
        <v>94</v>
      </c>
      <c r="AJ11" s="29">
        <v>113</v>
      </c>
      <c r="AK11" s="29">
        <v>70</v>
      </c>
      <c r="AL11" s="29">
        <v>36</v>
      </c>
      <c r="AM11" s="29">
        <v>25</v>
      </c>
      <c r="AN11" s="29">
        <v>20</v>
      </c>
      <c r="AO11" s="29">
        <v>92</v>
      </c>
      <c r="AP11" s="2">
        <v>1</v>
      </c>
      <c r="AQ11" s="25" t="s">
        <v>117</v>
      </c>
      <c r="AR11" s="4"/>
      <c r="AS11" s="4"/>
      <c r="AT11" s="4"/>
    </row>
    <row r="12" spans="1:1013" ht="30" customHeight="1" x14ac:dyDescent="0.25">
      <c r="A12" s="20" t="s">
        <v>73</v>
      </c>
      <c r="B12" s="16" t="s">
        <v>91</v>
      </c>
      <c r="C12" s="20" t="s">
        <v>78</v>
      </c>
      <c r="D12" s="28">
        <v>43</v>
      </c>
      <c r="E12" s="13" t="s">
        <v>34</v>
      </c>
      <c r="F12" s="13">
        <v>56</v>
      </c>
      <c r="G12" s="15" t="s">
        <v>84</v>
      </c>
      <c r="H12" s="15" t="s">
        <v>85</v>
      </c>
      <c r="I12" s="29">
        <v>47</v>
      </c>
      <c r="J12" s="29">
        <v>64</v>
      </c>
      <c r="K12" s="29">
        <v>20</v>
      </c>
      <c r="L12" s="29">
        <v>16</v>
      </c>
      <c r="M12" s="29">
        <v>113</v>
      </c>
      <c r="N12" s="29">
        <v>111</v>
      </c>
      <c r="O12" s="29">
        <v>119</v>
      </c>
      <c r="P12" s="29">
        <v>76</v>
      </c>
      <c r="Q12" s="29">
        <v>41</v>
      </c>
      <c r="R12" s="29"/>
      <c r="S12" s="29"/>
      <c r="T12" s="29"/>
      <c r="U12" s="29"/>
      <c r="V12" s="29"/>
      <c r="W12" s="29"/>
      <c r="X12" s="29"/>
      <c r="Y12" s="29"/>
      <c r="Z12" s="29"/>
      <c r="AA12" s="29">
        <v>47</v>
      </c>
      <c r="AB12" s="29">
        <v>28</v>
      </c>
      <c r="AC12" s="29">
        <v>220</v>
      </c>
      <c r="AD12" s="29">
        <v>31</v>
      </c>
      <c r="AE12" s="29">
        <v>30</v>
      </c>
      <c r="AF12" s="29">
        <v>31</v>
      </c>
      <c r="AG12" s="29">
        <v>76</v>
      </c>
      <c r="AH12" s="29">
        <v>41</v>
      </c>
      <c r="AI12" s="29">
        <v>102</v>
      </c>
      <c r="AJ12" s="29">
        <v>118</v>
      </c>
      <c r="AK12" s="29">
        <v>72</v>
      </c>
      <c r="AL12" s="29">
        <v>36</v>
      </c>
      <c r="AM12" s="29">
        <v>26</v>
      </c>
      <c r="AN12" s="29">
        <v>20</v>
      </c>
      <c r="AO12" s="29">
        <v>100</v>
      </c>
      <c r="AP12" s="2">
        <v>1</v>
      </c>
      <c r="AQ12" s="25" t="s">
        <v>117</v>
      </c>
      <c r="AR12" s="4"/>
      <c r="AS12" s="4"/>
      <c r="AT12" s="4"/>
    </row>
    <row r="13" spans="1:1013" ht="30" customHeight="1" x14ac:dyDescent="0.25">
      <c r="A13" s="12" t="s">
        <v>74</v>
      </c>
      <c r="B13" s="16" t="s">
        <v>92</v>
      </c>
      <c r="C13" s="20" t="s">
        <v>78</v>
      </c>
      <c r="D13" s="28">
        <v>43</v>
      </c>
      <c r="E13" s="30" t="s">
        <v>32</v>
      </c>
      <c r="F13" s="11">
        <v>57</v>
      </c>
      <c r="G13" s="15" t="s">
        <v>84</v>
      </c>
      <c r="H13" s="15" t="s">
        <v>85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117</v>
      </c>
      <c r="AS13" s="4"/>
      <c r="AT13" s="4"/>
    </row>
    <row r="14" spans="1:1013" ht="30" customHeight="1" x14ac:dyDescent="0.25">
      <c r="A14" s="20" t="s">
        <v>95</v>
      </c>
      <c r="B14" s="16" t="s">
        <v>93</v>
      </c>
      <c r="C14" s="20" t="s">
        <v>78</v>
      </c>
      <c r="D14" s="28">
        <v>41</v>
      </c>
      <c r="E14" s="30" t="s">
        <v>32</v>
      </c>
      <c r="F14" s="11">
        <v>57</v>
      </c>
      <c r="G14" s="15" t="s">
        <v>84</v>
      </c>
      <c r="H14" s="15" t="s">
        <v>85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117</v>
      </c>
      <c r="AS14" s="4"/>
      <c r="AT14" s="4"/>
    </row>
    <row r="15" spans="1:1013" ht="30" customHeight="1" x14ac:dyDescent="0.25">
      <c r="A15" s="12" t="s">
        <v>75</v>
      </c>
      <c r="B15" s="16" t="s">
        <v>94</v>
      </c>
      <c r="C15" s="20" t="s">
        <v>78</v>
      </c>
      <c r="D15" s="28">
        <v>44</v>
      </c>
      <c r="E15" s="30" t="s">
        <v>34</v>
      </c>
      <c r="F15" s="11">
        <v>56</v>
      </c>
      <c r="G15" s="15" t="s">
        <v>84</v>
      </c>
      <c r="H15" s="15" t="s">
        <v>85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117</v>
      </c>
    </row>
    <row r="16" spans="1:1013" ht="30" customHeight="1" x14ac:dyDescent="0.25">
      <c r="A16" s="20" t="s">
        <v>76</v>
      </c>
      <c r="B16" s="16" t="s">
        <v>104</v>
      </c>
      <c r="C16" s="20" t="s">
        <v>106</v>
      </c>
      <c r="D16" s="28">
        <v>43</v>
      </c>
      <c r="E16" s="30" t="s">
        <v>34</v>
      </c>
      <c r="F16" s="11">
        <v>57</v>
      </c>
      <c r="G16" s="15" t="s">
        <v>84</v>
      </c>
      <c r="H16" s="15" t="s">
        <v>85</v>
      </c>
      <c r="I16" s="3">
        <v>46</v>
      </c>
      <c r="J16" s="3">
        <v>63</v>
      </c>
      <c r="K16" s="3">
        <v>20</v>
      </c>
      <c r="L16" s="3">
        <v>15</v>
      </c>
      <c r="M16" s="3">
        <v>110</v>
      </c>
      <c r="N16" s="3">
        <v>101</v>
      </c>
      <c r="O16" s="3">
        <v>115</v>
      </c>
      <c r="P16" s="3">
        <v>73</v>
      </c>
      <c r="Q16" s="3">
        <v>42</v>
      </c>
      <c r="AA16" s="3">
        <v>46</v>
      </c>
      <c r="AB16" s="3">
        <v>27</v>
      </c>
      <c r="AC16" s="3">
        <v>20</v>
      </c>
      <c r="AD16" s="3">
        <v>30</v>
      </c>
      <c r="AE16" s="3">
        <v>29</v>
      </c>
      <c r="AF16" s="3">
        <v>30</v>
      </c>
      <c r="AG16" s="3">
        <v>72</v>
      </c>
      <c r="AH16" s="3">
        <v>42</v>
      </c>
      <c r="AI16" s="3">
        <v>93</v>
      </c>
      <c r="AJ16" s="3">
        <v>112</v>
      </c>
      <c r="AK16" s="3">
        <v>70</v>
      </c>
      <c r="AL16" s="3">
        <v>35</v>
      </c>
      <c r="AM16" s="3">
        <v>25</v>
      </c>
      <c r="AN16" s="3">
        <v>20</v>
      </c>
      <c r="AO16" s="3">
        <v>94</v>
      </c>
      <c r="AP16" s="2">
        <v>1</v>
      </c>
      <c r="AQ16" s="25" t="s">
        <v>117</v>
      </c>
    </row>
    <row r="17" spans="1:43" ht="30" customHeight="1" x14ac:dyDescent="0.25">
      <c r="A17" s="12" t="s">
        <v>77</v>
      </c>
      <c r="B17" s="16" t="s">
        <v>105</v>
      </c>
      <c r="C17" s="20" t="s">
        <v>106</v>
      </c>
      <c r="D17" s="28">
        <v>42</v>
      </c>
      <c r="E17" s="30" t="s">
        <v>34</v>
      </c>
      <c r="F17" s="11">
        <v>55</v>
      </c>
      <c r="G17" s="15" t="s">
        <v>84</v>
      </c>
      <c r="H17" s="15" t="s">
        <v>85</v>
      </c>
      <c r="I17" s="3">
        <v>42</v>
      </c>
      <c r="J17" s="3">
        <v>61</v>
      </c>
      <c r="K17" s="3">
        <v>18</v>
      </c>
      <c r="L17" s="3">
        <v>14</v>
      </c>
      <c r="M17" s="3">
        <v>93</v>
      </c>
      <c r="N17" s="3">
        <v>82</v>
      </c>
      <c r="O17" s="3">
        <v>102</v>
      </c>
      <c r="P17" s="3">
        <v>72</v>
      </c>
      <c r="Q17" s="3">
        <v>37</v>
      </c>
      <c r="AA17" s="3">
        <v>42</v>
      </c>
      <c r="AB17" s="3">
        <v>25</v>
      </c>
      <c r="AC17" s="3">
        <v>18</v>
      </c>
      <c r="AD17" s="3">
        <v>27</v>
      </c>
      <c r="AE17" s="3">
        <v>26</v>
      </c>
      <c r="AF17" s="3">
        <v>27</v>
      </c>
      <c r="AG17" s="3">
        <v>72</v>
      </c>
      <c r="AH17" s="3">
        <v>37</v>
      </c>
      <c r="AI17" s="3">
        <v>72</v>
      </c>
      <c r="AJ17" s="3">
        <v>93</v>
      </c>
      <c r="AK17" s="3">
        <v>64</v>
      </c>
      <c r="AL17" s="3">
        <v>31</v>
      </c>
      <c r="AM17" s="3">
        <v>23</v>
      </c>
      <c r="AN17" s="3">
        <v>19</v>
      </c>
      <c r="AO17" s="10">
        <v>100</v>
      </c>
      <c r="AP17" s="2">
        <v>1</v>
      </c>
      <c r="AQ17" s="25" t="s">
        <v>117</v>
      </c>
    </row>
    <row r="18" spans="1:43" ht="30" customHeight="1" x14ac:dyDescent="0.25">
      <c r="A18" s="20" t="s">
        <v>96</v>
      </c>
      <c r="B18" s="16" t="s">
        <v>107</v>
      </c>
      <c r="C18" s="20" t="s">
        <v>106</v>
      </c>
      <c r="D18" s="28">
        <v>41</v>
      </c>
      <c r="E18" s="30" t="s">
        <v>32</v>
      </c>
      <c r="F18" s="3">
        <v>58</v>
      </c>
      <c r="G18" s="15" t="s">
        <v>84</v>
      </c>
      <c r="H18" s="15" t="s">
        <v>85</v>
      </c>
      <c r="I18" s="3">
        <v>44</v>
      </c>
      <c r="J18" s="3">
        <v>59</v>
      </c>
      <c r="K18" s="3">
        <v>19</v>
      </c>
      <c r="L18" s="3">
        <v>15</v>
      </c>
      <c r="M18" s="3">
        <v>105</v>
      </c>
      <c r="N18" s="3">
        <v>101</v>
      </c>
      <c r="O18" s="3">
        <v>117</v>
      </c>
      <c r="P18" s="3">
        <v>73</v>
      </c>
      <c r="Q18" s="3">
        <v>43</v>
      </c>
      <c r="AA18" s="3">
        <v>44</v>
      </c>
      <c r="AB18" s="3">
        <v>24</v>
      </c>
      <c r="AC18" s="3">
        <v>19</v>
      </c>
      <c r="AD18" s="3">
        <v>30</v>
      </c>
      <c r="AE18" s="3">
        <v>29</v>
      </c>
      <c r="AF18" s="3">
        <v>30</v>
      </c>
      <c r="AG18" s="3">
        <v>73</v>
      </c>
      <c r="AH18" s="3">
        <v>43</v>
      </c>
      <c r="AI18" s="3">
        <v>90</v>
      </c>
      <c r="AJ18" s="3">
        <v>113</v>
      </c>
      <c r="AK18" s="3">
        <v>71</v>
      </c>
      <c r="AL18" s="3">
        <v>35</v>
      </c>
      <c r="AM18" s="3">
        <v>25</v>
      </c>
      <c r="AN18" s="3">
        <v>19</v>
      </c>
      <c r="AO18" s="3">
        <v>94</v>
      </c>
      <c r="AP18" s="2">
        <v>1</v>
      </c>
      <c r="AQ18" s="25" t="s">
        <v>117</v>
      </c>
    </row>
    <row r="19" spans="1:43" ht="30" customHeight="1" x14ac:dyDescent="0.25">
      <c r="A19" s="12" t="s">
        <v>97</v>
      </c>
      <c r="B19" s="16" t="s">
        <v>108</v>
      </c>
      <c r="C19" s="20" t="s">
        <v>106</v>
      </c>
      <c r="D19" s="28">
        <v>39</v>
      </c>
      <c r="E19" s="30" t="s">
        <v>34</v>
      </c>
      <c r="F19" s="11">
        <v>57</v>
      </c>
      <c r="G19" s="15" t="s">
        <v>84</v>
      </c>
      <c r="H19" s="15" t="s">
        <v>85</v>
      </c>
      <c r="I19" s="3">
        <v>47</v>
      </c>
      <c r="J19" s="3">
        <v>59</v>
      </c>
      <c r="K19" s="3">
        <v>21</v>
      </c>
      <c r="L19" s="3">
        <v>16</v>
      </c>
      <c r="M19" s="3">
        <v>122</v>
      </c>
      <c r="N19" s="3">
        <v>112</v>
      </c>
      <c r="O19" s="3">
        <v>120</v>
      </c>
      <c r="P19" s="3">
        <v>71</v>
      </c>
      <c r="Q19" s="3">
        <v>44</v>
      </c>
      <c r="AA19" s="3">
        <v>47</v>
      </c>
      <c r="AB19" s="3">
        <v>22</v>
      </c>
      <c r="AC19" s="3">
        <v>21</v>
      </c>
      <c r="AD19" s="3">
        <v>31</v>
      </c>
      <c r="AE19" s="3">
        <v>30</v>
      </c>
      <c r="AF19" s="3">
        <v>31</v>
      </c>
      <c r="AG19" s="3">
        <v>70</v>
      </c>
      <c r="AH19" s="3">
        <v>44</v>
      </c>
      <c r="AI19" s="3">
        <v>99</v>
      </c>
      <c r="AJ19" s="3">
        <v>114</v>
      </c>
      <c r="AK19" s="3">
        <v>72</v>
      </c>
      <c r="AL19" s="3">
        <v>36</v>
      </c>
      <c r="AM19" s="3">
        <v>26</v>
      </c>
      <c r="AN19" s="3">
        <v>20</v>
      </c>
      <c r="AO19" s="3">
        <v>90</v>
      </c>
      <c r="AP19" s="2">
        <v>1</v>
      </c>
      <c r="AQ19" s="25" t="s">
        <v>117</v>
      </c>
    </row>
    <row r="20" spans="1:43" ht="30" customHeight="1" x14ac:dyDescent="0.25">
      <c r="A20" s="20" t="s">
        <v>98</v>
      </c>
      <c r="B20" s="16" t="s">
        <v>109</v>
      </c>
      <c r="C20" s="20" t="s">
        <v>106</v>
      </c>
      <c r="D20" s="28">
        <v>41</v>
      </c>
      <c r="E20" s="30" t="s">
        <v>32</v>
      </c>
      <c r="F20" s="11">
        <v>58</v>
      </c>
      <c r="G20" s="15" t="s">
        <v>84</v>
      </c>
      <c r="H20" s="15" t="s">
        <v>85</v>
      </c>
      <c r="I20" s="3">
        <v>44</v>
      </c>
      <c r="J20" s="3">
        <v>60</v>
      </c>
      <c r="K20" s="3">
        <v>20</v>
      </c>
      <c r="L20" s="3">
        <v>15</v>
      </c>
      <c r="M20" s="3">
        <v>113</v>
      </c>
      <c r="N20" s="3">
        <v>108</v>
      </c>
      <c r="O20" s="3">
        <v>116</v>
      </c>
      <c r="P20" s="3">
        <v>74</v>
      </c>
      <c r="Q20" s="3">
        <v>42</v>
      </c>
      <c r="AA20" s="3">
        <v>44</v>
      </c>
      <c r="AB20" s="3">
        <v>25</v>
      </c>
      <c r="AC20" s="3">
        <v>19</v>
      </c>
      <c r="AD20" s="3">
        <v>30</v>
      </c>
      <c r="AE20" s="3">
        <v>29</v>
      </c>
      <c r="AF20" s="3">
        <v>30</v>
      </c>
      <c r="AG20" s="3">
        <v>73</v>
      </c>
      <c r="AH20" s="3">
        <v>42</v>
      </c>
      <c r="AI20" s="3">
        <v>96</v>
      </c>
      <c r="AJ20" s="3">
        <v>113</v>
      </c>
      <c r="AK20" s="3">
        <v>70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25" t="s">
        <v>117</v>
      </c>
    </row>
    <row r="21" spans="1:43" ht="30" customHeight="1" x14ac:dyDescent="0.25">
      <c r="A21" s="12" t="s">
        <v>99</v>
      </c>
      <c r="B21" s="16" t="s">
        <v>110</v>
      </c>
      <c r="C21" s="20" t="s">
        <v>106</v>
      </c>
      <c r="D21" s="28">
        <v>42</v>
      </c>
      <c r="E21" s="30" t="s">
        <v>32</v>
      </c>
      <c r="F21" s="11">
        <v>57</v>
      </c>
      <c r="G21" s="15" t="s">
        <v>84</v>
      </c>
      <c r="H21" s="15" t="s">
        <v>85</v>
      </c>
      <c r="I21" s="3">
        <v>44</v>
      </c>
      <c r="J21" s="3">
        <v>63</v>
      </c>
      <c r="K21" s="3">
        <v>18</v>
      </c>
      <c r="L21" s="3">
        <v>15</v>
      </c>
      <c r="M21" s="3">
        <v>103</v>
      </c>
      <c r="N21" s="3">
        <v>99</v>
      </c>
      <c r="O21" s="3">
        <v>113</v>
      </c>
      <c r="P21" s="3">
        <v>74</v>
      </c>
      <c r="Q21" s="3">
        <v>40</v>
      </c>
      <c r="AA21" s="3">
        <v>44</v>
      </c>
      <c r="AB21" s="3">
        <v>26</v>
      </c>
      <c r="AC21" s="3">
        <v>19</v>
      </c>
      <c r="AD21" s="3">
        <v>29</v>
      </c>
      <c r="AE21" s="3">
        <v>28</v>
      </c>
      <c r="AF21" s="3">
        <v>29</v>
      </c>
      <c r="AG21" s="3">
        <v>74</v>
      </c>
      <c r="AH21" s="3">
        <v>40</v>
      </c>
      <c r="AI21" s="3">
        <v>89</v>
      </c>
      <c r="AJ21" s="3">
        <v>109</v>
      </c>
      <c r="AK21" s="3">
        <v>68</v>
      </c>
      <c r="AL21" s="3">
        <v>34</v>
      </c>
      <c r="AM21" s="3">
        <v>25</v>
      </c>
      <c r="AN21" s="3">
        <v>19</v>
      </c>
      <c r="AO21" s="3">
        <v>94</v>
      </c>
      <c r="AP21" s="2">
        <v>1</v>
      </c>
      <c r="AQ21" s="25" t="s">
        <v>117</v>
      </c>
    </row>
    <row r="22" spans="1:43" ht="30" customHeight="1" x14ac:dyDescent="0.25">
      <c r="A22" s="20" t="s">
        <v>100</v>
      </c>
      <c r="B22" s="16" t="s">
        <v>111</v>
      </c>
      <c r="C22" s="20" t="s">
        <v>106</v>
      </c>
      <c r="D22" s="28">
        <v>41</v>
      </c>
      <c r="E22" s="30" t="s">
        <v>31</v>
      </c>
      <c r="F22" s="11">
        <v>54</v>
      </c>
      <c r="G22" s="15" t="s">
        <v>84</v>
      </c>
      <c r="H22" s="15" t="s">
        <v>85</v>
      </c>
      <c r="I22" s="3">
        <v>42</v>
      </c>
      <c r="J22" s="3">
        <v>61</v>
      </c>
      <c r="K22" s="3">
        <v>18</v>
      </c>
      <c r="L22" s="3">
        <v>14</v>
      </c>
      <c r="M22" s="3">
        <v>95</v>
      </c>
      <c r="N22" s="3">
        <v>88</v>
      </c>
      <c r="O22" s="3">
        <v>107</v>
      </c>
      <c r="P22" s="3">
        <v>73</v>
      </c>
      <c r="Q22" s="3">
        <v>38</v>
      </c>
      <c r="AA22" s="3">
        <v>42</v>
      </c>
      <c r="AB22" s="3">
        <v>25</v>
      </c>
      <c r="AC22" s="3">
        <v>18</v>
      </c>
      <c r="AD22" s="3">
        <v>26</v>
      </c>
      <c r="AE22" s="3">
        <v>25</v>
      </c>
      <c r="AF22" s="3">
        <v>26</v>
      </c>
      <c r="AG22" s="3">
        <v>73</v>
      </c>
      <c r="AH22" s="3">
        <v>38</v>
      </c>
      <c r="AI22" s="3">
        <v>81</v>
      </c>
      <c r="AJ22" s="3">
        <v>104</v>
      </c>
      <c r="AK22" s="3">
        <v>64</v>
      </c>
      <c r="AL22" s="3">
        <v>32</v>
      </c>
      <c r="AM22" s="3">
        <v>24</v>
      </c>
      <c r="AN22" s="3">
        <v>19</v>
      </c>
      <c r="AO22" s="3">
        <v>93</v>
      </c>
      <c r="AP22" s="2">
        <v>1</v>
      </c>
      <c r="AQ22" s="25" t="s">
        <v>117</v>
      </c>
    </row>
    <row r="23" spans="1:43" ht="30" customHeight="1" x14ac:dyDescent="0.25">
      <c r="A23" s="12" t="s">
        <v>101</v>
      </c>
      <c r="B23" s="16" t="s">
        <v>112</v>
      </c>
      <c r="C23" s="20" t="s">
        <v>106</v>
      </c>
      <c r="D23" s="28">
        <v>43</v>
      </c>
      <c r="E23" s="30" t="s">
        <v>34</v>
      </c>
      <c r="F23" s="11">
        <v>57</v>
      </c>
      <c r="G23" s="15" t="s">
        <v>84</v>
      </c>
      <c r="H23" s="15" t="s">
        <v>85</v>
      </c>
      <c r="I23" s="3">
        <v>47</v>
      </c>
      <c r="J23" s="3">
        <v>59</v>
      </c>
      <c r="K23" s="3">
        <v>21</v>
      </c>
      <c r="L23" s="3">
        <v>16</v>
      </c>
      <c r="M23" s="3">
        <v>120</v>
      </c>
      <c r="N23" s="3">
        <v>118</v>
      </c>
      <c r="O23" s="3">
        <v>130</v>
      </c>
      <c r="P23" s="3">
        <v>73</v>
      </c>
      <c r="Q23" s="3">
        <v>43</v>
      </c>
      <c r="AA23" s="3">
        <v>47</v>
      </c>
      <c r="AB23" s="3">
        <v>26</v>
      </c>
      <c r="AC23" s="3">
        <v>21</v>
      </c>
      <c r="AD23" s="3">
        <v>32</v>
      </c>
      <c r="AE23" s="3">
        <v>31</v>
      </c>
      <c r="AF23" s="3">
        <v>32</v>
      </c>
      <c r="AG23" s="3">
        <v>72</v>
      </c>
      <c r="AH23" s="3">
        <v>43</v>
      </c>
      <c r="AI23" s="3">
        <v>110</v>
      </c>
      <c r="AJ23" s="3">
        <v>128</v>
      </c>
      <c r="AK23" s="3">
        <v>75</v>
      </c>
      <c r="AL23" s="3">
        <v>41</v>
      </c>
      <c r="AM23" s="3">
        <v>28</v>
      </c>
      <c r="AN23" s="3">
        <v>21</v>
      </c>
      <c r="AO23" s="3">
        <v>95</v>
      </c>
      <c r="AP23" s="2">
        <v>1</v>
      </c>
      <c r="AQ23" s="25" t="s">
        <v>117</v>
      </c>
    </row>
    <row r="24" spans="1:43" ht="30" customHeight="1" x14ac:dyDescent="0.25">
      <c r="A24" s="20" t="s">
        <v>102</v>
      </c>
      <c r="B24" s="16" t="s">
        <v>113</v>
      </c>
      <c r="C24" s="20" t="s">
        <v>106</v>
      </c>
      <c r="D24" s="28">
        <v>46</v>
      </c>
      <c r="E24" s="30" t="s">
        <v>33</v>
      </c>
      <c r="F24" s="11">
        <v>57</v>
      </c>
      <c r="G24" s="15" t="s">
        <v>84</v>
      </c>
      <c r="H24" s="15" t="s">
        <v>85</v>
      </c>
      <c r="I24" s="3">
        <v>51</v>
      </c>
      <c r="J24" s="3">
        <v>68</v>
      </c>
      <c r="K24" s="3">
        <v>21</v>
      </c>
      <c r="L24" s="3">
        <v>16</v>
      </c>
      <c r="M24" s="3">
        <v>125</v>
      </c>
      <c r="N24" s="3">
        <v>125</v>
      </c>
      <c r="O24" s="3">
        <v>131</v>
      </c>
      <c r="P24" s="3">
        <v>81</v>
      </c>
      <c r="Q24" s="3">
        <v>45</v>
      </c>
      <c r="AA24" s="3">
        <v>51</v>
      </c>
      <c r="AB24" s="3">
        <v>29</v>
      </c>
      <c r="AC24" s="3">
        <v>21</v>
      </c>
      <c r="AD24" s="3">
        <v>33</v>
      </c>
      <c r="AE24" s="10">
        <v>32</v>
      </c>
      <c r="AF24" s="24">
        <v>33</v>
      </c>
      <c r="AG24" s="10">
        <v>80</v>
      </c>
      <c r="AH24" s="10">
        <v>45</v>
      </c>
      <c r="AI24" s="10">
        <v>110</v>
      </c>
      <c r="AJ24" s="10">
        <v>128</v>
      </c>
      <c r="AK24" s="10">
        <v>76</v>
      </c>
      <c r="AL24" s="10">
        <v>38</v>
      </c>
      <c r="AM24" s="10">
        <v>27</v>
      </c>
      <c r="AN24" s="10">
        <v>20</v>
      </c>
      <c r="AO24" s="10">
        <v>107</v>
      </c>
      <c r="AP24" s="2">
        <v>1</v>
      </c>
      <c r="AQ24" s="25" t="s">
        <v>117</v>
      </c>
    </row>
    <row r="25" spans="1:43" ht="30" customHeight="1" x14ac:dyDescent="0.25">
      <c r="A25" s="12" t="s">
        <v>115</v>
      </c>
      <c r="B25" s="16" t="s">
        <v>114</v>
      </c>
      <c r="C25" s="20" t="s">
        <v>106</v>
      </c>
      <c r="D25" s="28">
        <v>43</v>
      </c>
      <c r="E25" s="30" t="s">
        <v>33</v>
      </c>
      <c r="F25" s="11">
        <v>57</v>
      </c>
      <c r="G25" s="15" t="s">
        <v>84</v>
      </c>
      <c r="H25" s="15" t="s">
        <v>85</v>
      </c>
      <c r="I25" s="3">
        <v>51</v>
      </c>
      <c r="J25" s="3">
        <v>68</v>
      </c>
      <c r="K25" s="3">
        <v>21</v>
      </c>
      <c r="L25" s="3">
        <v>16</v>
      </c>
      <c r="M25" s="3">
        <v>125</v>
      </c>
      <c r="N25" s="3">
        <v>125</v>
      </c>
      <c r="O25" s="3">
        <v>131</v>
      </c>
      <c r="P25" s="3">
        <v>81</v>
      </c>
      <c r="Q25" s="3">
        <v>45</v>
      </c>
      <c r="AA25" s="3">
        <v>51</v>
      </c>
      <c r="AB25" s="3">
        <v>29</v>
      </c>
      <c r="AC25" s="3">
        <v>21</v>
      </c>
      <c r="AD25" s="3">
        <v>33</v>
      </c>
      <c r="AE25" s="10">
        <v>32</v>
      </c>
      <c r="AF25" s="24">
        <v>33</v>
      </c>
      <c r="AG25" s="10">
        <v>80</v>
      </c>
      <c r="AH25" s="10">
        <v>45</v>
      </c>
      <c r="AI25" s="10">
        <v>110</v>
      </c>
      <c r="AJ25" s="10">
        <v>128</v>
      </c>
      <c r="AK25" s="10">
        <v>76</v>
      </c>
      <c r="AL25" s="10">
        <v>38</v>
      </c>
      <c r="AM25" s="10">
        <v>27</v>
      </c>
      <c r="AN25" s="10">
        <v>20</v>
      </c>
      <c r="AO25" s="10">
        <v>107</v>
      </c>
      <c r="AP25" s="2">
        <v>1</v>
      </c>
      <c r="AQ25" s="25" t="s">
        <v>117</v>
      </c>
    </row>
    <row r="26" spans="1:43" ht="30" customHeight="1" x14ac:dyDescent="0.25">
      <c r="A26" s="20" t="s">
        <v>103</v>
      </c>
      <c r="B26" s="16" t="s">
        <v>116</v>
      </c>
      <c r="C26" s="20" t="s">
        <v>106</v>
      </c>
      <c r="D26" s="28">
        <v>41</v>
      </c>
      <c r="E26" s="30" t="s">
        <v>32</v>
      </c>
      <c r="F26" s="11">
        <v>56</v>
      </c>
      <c r="G26" s="15" t="s">
        <v>84</v>
      </c>
      <c r="H26" s="15" t="s">
        <v>85</v>
      </c>
      <c r="I26" s="3">
        <v>42</v>
      </c>
      <c r="J26" s="3">
        <v>62</v>
      </c>
      <c r="K26" s="3">
        <v>19</v>
      </c>
      <c r="L26" s="3">
        <v>15</v>
      </c>
      <c r="M26" s="3">
        <v>105</v>
      </c>
      <c r="N26" s="3">
        <v>103</v>
      </c>
      <c r="O26" s="3">
        <v>113</v>
      </c>
      <c r="P26" s="3">
        <v>71</v>
      </c>
      <c r="Q26" s="3">
        <v>42</v>
      </c>
      <c r="AA26" s="3">
        <v>42</v>
      </c>
      <c r="AB26" s="3">
        <v>25</v>
      </c>
      <c r="AC26" s="3">
        <v>19</v>
      </c>
      <c r="AD26" s="3">
        <v>29</v>
      </c>
      <c r="AE26" s="10">
        <v>28</v>
      </c>
      <c r="AF26" s="24">
        <v>29</v>
      </c>
      <c r="AG26" s="10">
        <v>71</v>
      </c>
      <c r="AH26" s="10">
        <v>42</v>
      </c>
      <c r="AI26" s="10">
        <v>90</v>
      </c>
      <c r="AJ26" s="10">
        <v>109</v>
      </c>
      <c r="AK26" s="10">
        <v>69</v>
      </c>
      <c r="AL26" s="10">
        <v>34</v>
      </c>
      <c r="AM26" s="10">
        <v>25</v>
      </c>
      <c r="AN26" s="10">
        <v>20</v>
      </c>
      <c r="AO26" s="10">
        <v>92</v>
      </c>
      <c r="AP26" s="2">
        <v>1</v>
      </c>
      <c r="AQ26" s="25" t="s">
        <v>117</v>
      </c>
    </row>
    <row r="27" spans="1:43" ht="30" customHeight="1" x14ac:dyDescent="0.25">
      <c r="A27" s="12"/>
      <c r="B27" s="16"/>
      <c r="C27" s="20"/>
      <c r="D27" s="28"/>
      <c r="E27" s="30"/>
      <c r="F27" s="11"/>
      <c r="G27" s="15"/>
      <c r="H27" s="15"/>
      <c r="AQ27" s="25"/>
    </row>
    <row r="28" spans="1:43" ht="30" customHeight="1" x14ac:dyDescent="0.25">
      <c r="A28" s="20"/>
      <c r="B28" s="16"/>
      <c r="C28" s="20"/>
      <c r="D28" s="28"/>
      <c r="E28" s="30"/>
      <c r="F28" s="11"/>
      <c r="G28" s="15"/>
      <c r="H28" s="15"/>
      <c r="AQ28" s="25"/>
    </row>
    <row r="29" spans="1:43" ht="30" customHeight="1" x14ac:dyDescent="0.25">
      <c r="A29" s="12"/>
      <c r="B29" s="16"/>
      <c r="C29" s="20"/>
      <c r="D29" s="11"/>
      <c r="E29" s="30"/>
      <c r="F29" s="11"/>
      <c r="G29" s="15"/>
      <c r="H29" s="15"/>
      <c r="AQ29" s="25"/>
    </row>
    <row r="30" spans="1:43" ht="30" customHeight="1" x14ac:dyDescent="0.25">
      <c r="A30" s="20"/>
      <c r="B30" s="16"/>
      <c r="C30" s="20"/>
      <c r="D30" s="11"/>
      <c r="E30" s="30"/>
      <c r="F30" s="11"/>
      <c r="G30" s="15"/>
      <c r="H30" s="15"/>
      <c r="AQ30" s="25"/>
    </row>
    <row r="31" spans="1:43" ht="30" customHeight="1" x14ac:dyDescent="0.25">
      <c r="A31" s="12"/>
      <c r="B31" s="16"/>
      <c r="C31" s="20"/>
      <c r="D31" s="11"/>
      <c r="E31" s="30"/>
      <c r="F31" s="11"/>
      <c r="G31" s="15"/>
      <c r="H31" s="15"/>
      <c r="AQ31" s="25"/>
    </row>
    <row r="32" spans="1:43" ht="30" customHeight="1" x14ac:dyDescent="0.25">
      <c r="A32" s="20"/>
      <c r="B32" s="16"/>
      <c r="C32" s="20"/>
      <c r="D32" s="11"/>
      <c r="E32" s="30"/>
      <c r="F32" s="11"/>
      <c r="G32" s="15"/>
      <c r="H32" s="15"/>
      <c r="AQ32" s="26"/>
    </row>
    <row r="33" spans="1:43" ht="30" customHeight="1" x14ac:dyDescent="0.25">
      <c r="A33" s="12"/>
      <c r="B33" s="16"/>
      <c r="C33" s="20"/>
      <c r="D33" s="11"/>
      <c r="E33" s="30"/>
      <c r="F33" s="11"/>
      <c r="G33" s="15"/>
      <c r="H33" s="15"/>
      <c r="AQ33" s="26"/>
    </row>
    <row r="34" spans="1:43" ht="30" customHeight="1" x14ac:dyDescent="0.25">
      <c r="A34" s="20"/>
      <c r="B34" s="16"/>
      <c r="C34" s="20"/>
      <c r="D34" s="11"/>
      <c r="E34" s="30"/>
      <c r="F34" s="11"/>
      <c r="G34" s="15"/>
      <c r="H34" s="15"/>
      <c r="AQ34" s="26"/>
    </row>
    <row r="35" spans="1:43" ht="30" customHeight="1" x14ac:dyDescent="0.25">
      <c r="A35" s="12"/>
      <c r="B35" s="16"/>
      <c r="C35" s="20"/>
      <c r="D35" s="11"/>
      <c r="E35" s="30"/>
      <c r="F35" s="11"/>
      <c r="G35" s="15"/>
      <c r="H35" s="15"/>
      <c r="AN35" s="10"/>
      <c r="AO35" s="27"/>
      <c r="AQ35" s="26"/>
    </row>
    <row r="36" spans="1:43" ht="30" customHeight="1" x14ac:dyDescent="0.25">
      <c r="A36" s="20"/>
      <c r="B36" s="16"/>
      <c r="C36" s="20"/>
      <c r="D36" s="11"/>
      <c r="E36" s="30"/>
      <c r="F36" s="11"/>
      <c r="G36" s="15"/>
      <c r="H36" s="15"/>
      <c r="AQ36" s="26"/>
    </row>
    <row r="37" spans="1:43" ht="30" customHeight="1" x14ac:dyDescent="0.25">
      <c r="A37" s="12"/>
      <c r="B37" s="16"/>
      <c r="C37" s="20"/>
      <c r="D37" s="11"/>
      <c r="E37" s="30"/>
      <c r="F37" s="11"/>
      <c r="G37" s="15"/>
      <c r="H37" s="15"/>
      <c r="AQ37" s="26"/>
    </row>
    <row r="38" spans="1:43" ht="30" customHeight="1" x14ac:dyDescent="0.25">
      <c r="A38" s="12"/>
      <c r="B38" s="16"/>
      <c r="C38" s="12"/>
      <c r="D38" s="11"/>
      <c r="E38" s="30"/>
      <c r="F38" s="11"/>
      <c r="G38" s="15"/>
      <c r="H38" s="15"/>
    </row>
    <row r="39" spans="1:43" ht="30" customHeight="1" x14ac:dyDescent="0.25">
      <c r="A39" s="12"/>
      <c r="B39" s="16"/>
      <c r="C39" s="12"/>
      <c r="D39" s="11"/>
      <c r="E39" s="30"/>
      <c r="F39" s="11"/>
      <c r="G39" s="15"/>
      <c r="H39" s="15"/>
    </row>
    <row r="40" spans="1:43" ht="30" customHeight="1" x14ac:dyDescent="0.25">
      <c r="A40" s="12"/>
      <c r="B40" s="16"/>
      <c r="C40" s="12"/>
      <c r="D40" s="11"/>
      <c r="E40" s="30"/>
      <c r="F40" s="11"/>
      <c r="G40" s="15"/>
      <c r="H40" s="15"/>
    </row>
    <row r="41" spans="1:43" ht="30" customHeight="1" x14ac:dyDescent="0.25">
      <c r="A41" s="12"/>
      <c r="B41" s="16"/>
      <c r="C41" s="12"/>
      <c r="D41" s="11"/>
      <c r="E41" s="30"/>
      <c r="F41" s="11"/>
      <c r="G41" s="15"/>
      <c r="H41" s="15"/>
    </row>
    <row r="42" spans="1:43" ht="30" customHeight="1" x14ac:dyDescent="0.25">
      <c r="A42" s="12"/>
      <c r="B42" s="16"/>
      <c r="C42" s="12"/>
      <c r="D42" s="11"/>
      <c r="E42" s="30"/>
      <c r="F42" s="11"/>
      <c r="G42" s="15"/>
      <c r="H42" s="15"/>
      <c r="AQ42" s="14"/>
    </row>
    <row r="43" spans="1:43" ht="30" customHeight="1" x14ac:dyDescent="0.25">
      <c r="A43" s="12"/>
      <c r="B43" s="16"/>
      <c r="C43" s="12"/>
      <c r="D43" s="11"/>
      <c r="E43" s="30"/>
      <c r="F43" s="11"/>
      <c r="G43" s="15"/>
      <c r="H43" s="15"/>
      <c r="AQ43" s="14"/>
    </row>
    <row r="44" spans="1:43" ht="30" customHeight="1" x14ac:dyDescent="0.25">
      <c r="A44" s="12"/>
      <c r="B44" s="16"/>
      <c r="C44" s="12"/>
      <c r="D44" s="11"/>
      <c r="E44" s="30"/>
      <c r="F44" s="11"/>
      <c r="G44" s="15"/>
      <c r="H44" s="15"/>
      <c r="AQ44" s="4"/>
    </row>
    <row r="45" spans="1:43" ht="30" customHeight="1" x14ac:dyDescent="0.25">
      <c r="A45" s="12"/>
      <c r="B45" s="16"/>
      <c r="C45" s="12"/>
      <c r="D45" s="11"/>
      <c r="E45" s="30"/>
      <c r="F45" s="11"/>
      <c r="G45" s="15"/>
      <c r="H45" s="15"/>
      <c r="AQ45" s="4"/>
    </row>
    <row r="46" spans="1:43" ht="30" customHeight="1" x14ac:dyDescent="0.25">
      <c r="A46" s="12"/>
      <c r="B46" s="17"/>
      <c r="C46" s="12"/>
      <c r="D46" s="11"/>
      <c r="E46" s="30"/>
      <c r="F46" s="11"/>
      <c r="G46" s="15"/>
      <c r="H46" s="15"/>
      <c r="AO46" s="10"/>
      <c r="AQ46" s="4"/>
    </row>
    <row r="47" spans="1:43" ht="30" customHeight="1" x14ac:dyDescent="0.25">
      <c r="A47" s="12"/>
      <c r="B47" s="17"/>
      <c r="C47" s="12"/>
      <c r="D47" s="11"/>
      <c r="E47" s="30"/>
      <c r="F47" s="11"/>
      <c r="G47" s="15"/>
      <c r="H47" s="15"/>
      <c r="AQ47" s="4"/>
    </row>
    <row r="48" spans="1:43" ht="30" customHeight="1" x14ac:dyDescent="0.25">
      <c r="A48" s="12"/>
      <c r="B48" s="17"/>
      <c r="C48" s="12"/>
      <c r="D48" s="11"/>
      <c r="E48" s="30"/>
      <c r="F48" s="11"/>
      <c r="G48" s="15"/>
      <c r="H48" s="15"/>
      <c r="AQ48" s="4"/>
    </row>
    <row r="49" spans="1:43" ht="30" customHeight="1" x14ac:dyDescent="0.25">
      <c r="A49" s="12"/>
      <c r="B49" s="17"/>
      <c r="C49" s="12"/>
      <c r="D49" s="11"/>
      <c r="E49" s="30"/>
      <c r="F49" s="11"/>
      <c r="G49" s="15"/>
      <c r="H49" s="15"/>
      <c r="AQ49" s="4"/>
    </row>
    <row r="50" spans="1:43" ht="30" customHeight="1" x14ac:dyDescent="0.25">
      <c r="A50" s="12"/>
      <c r="B50" s="17"/>
      <c r="C50" s="12"/>
      <c r="D50" s="11"/>
      <c r="E50" s="30"/>
      <c r="F50" s="11"/>
      <c r="G50" s="15"/>
      <c r="H50" s="15"/>
      <c r="AQ50" s="4"/>
    </row>
    <row r="51" spans="1:43" ht="30" customHeight="1" x14ac:dyDescent="0.25">
      <c r="A51" s="12"/>
      <c r="B51" s="17"/>
      <c r="C51" s="12"/>
      <c r="D51" s="11"/>
      <c r="E51" s="30"/>
      <c r="F51" s="11"/>
      <c r="G51" s="15"/>
      <c r="H51" s="15"/>
      <c r="AQ51" s="4"/>
    </row>
    <row r="52" spans="1:43" ht="30" customHeight="1" x14ac:dyDescent="0.25">
      <c r="A52" s="12"/>
      <c r="B52" s="17"/>
      <c r="C52" s="12"/>
      <c r="D52" s="11"/>
      <c r="E52" s="30"/>
      <c r="F52" s="11"/>
      <c r="G52" s="15"/>
      <c r="H52" s="15"/>
      <c r="AQ52" s="4"/>
    </row>
    <row r="53" spans="1:43" ht="30" customHeight="1" x14ac:dyDescent="0.25">
      <c r="A53" s="12"/>
      <c r="B53" s="17"/>
      <c r="C53" s="12"/>
      <c r="D53" s="11"/>
      <c r="E53" s="30"/>
      <c r="F53" s="11"/>
      <c r="G53" s="15"/>
      <c r="H53" s="15"/>
      <c r="AQ53" s="4"/>
    </row>
    <row r="54" spans="1:43" ht="30" customHeight="1" x14ac:dyDescent="0.25">
      <c r="A54" s="12"/>
      <c r="B54" s="17"/>
      <c r="C54" s="12"/>
      <c r="D54" s="11"/>
      <c r="E54" s="30"/>
      <c r="F54" s="11"/>
      <c r="G54" s="15"/>
      <c r="H54" s="15"/>
      <c r="AQ54" s="4"/>
    </row>
    <row r="55" spans="1:43" ht="30" customHeight="1" x14ac:dyDescent="0.25">
      <c r="A55" s="12"/>
      <c r="B55" s="17"/>
      <c r="C55" s="12"/>
      <c r="D55" s="11"/>
      <c r="E55" s="30"/>
      <c r="F55" s="11"/>
      <c r="G55" s="15"/>
      <c r="H55" s="15"/>
      <c r="AQ55" s="4"/>
    </row>
    <row r="56" spans="1:43" ht="30" customHeight="1" x14ac:dyDescent="0.25">
      <c r="A56" s="12"/>
      <c r="B56" s="17"/>
      <c r="C56" s="12"/>
      <c r="D56" s="11"/>
      <c r="E56" s="30"/>
      <c r="F56" s="11"/>
      <c r="G56" s="15"/>
      <c r="H56" s="15"/>
      <c r="AQ56" s="4"/>
    </row>
    <row r="57" spans="1:43" ht="30" customHeight="1" x14ac:dyDescent="0.25">
      <c r="A57" s="12"/>
      <c r="B57" s="17"/>
      <c r="C57" s="12"/>
      <c r="D57" s="11"/>
      <c r="E57" s="30"/>
      <c r="F57" s="11"/>
      <c r="G57" s="15"/>
      <c r="H57" s="15"/>
      <c r="AQ57" s="4"/>
    </row>
    <row r="58" spans="1:43" ht="30" customHeight="1" x14ac:dyDescent="0.25">
      <c r="A58" s="12"/>
      <c r="B58" s="17"/>
      <c r="C58" s="12"/>
      <c r="D58" s="11"/>
      <c r="E58" s="30"/>
      <c r="F58" s="11"/>
      <c r="G58" s="15"/>
      <c r="H58" s="15"/>
      <c r="AQ58" s="4"/>
    </row>
    <row r="59" spans="1:43" ht="30" customHeight="1" x14ac:dyDescent="0.25">
      <c r="A59" s="12"/>
      <c r="B59" s="17"/>
      <c r="C59" s="12"/>
      <c r="D59" s="11"/>
      <c r="E59" s="30"/>
      <c r="F59" s="11"/>
      <c r="G59" s="15"/>
      <c r="H59" s="15"/>
      <c r="AQ59" s="4"/>
    </row>
    <row r="60" spans="1:43" ht="30" customHeight="1" x14ac:dyDescent="0.25">
      <c r="A60" s="12"/>
      <c r="B60" s="17"/>
      <c r="C60" s="12"/>
      <c r="D60" s="11"/>
      <c r="E60" s="30"/>
      <c r="F60" s="11"/>
      <c r="G60" s="15"/>
      <c r="H60" s="15"/>
      <c r="AQ60" s="4"/>
    </row>
    <row r="61" spans="1:43" ht="30" customHeight="1" x14ac:dyDescent="0.25">
      <c r="A61" s="12"/>
      <c r="B61" s="17"/>
      <c r="C61" s="12"/>
      <c r="D61" s="11"/>
      <c r="E61" s="30"/>
      <c r="F61" s="11"/>
      <c r="G61" s="15"/>
      <c r="H61" s="15"/>
      <c r="AQ61" s="4"/>
    </row>
    <row r="62" spans="1:43" ht="30" customHeight="1" x14ac:dyDescent="0.25">
      <c r="A62" s="12"/>
      <c r="B62" s="17"/>
      <c r="C62" s="12"/>
      <c r="D62" s="11"/>
      <c r="E62" s="30"/>
      <c r="F62" s="11"/>
      <c r="G62" s="15"/>
      <c r="H62" s="15"/>
      <c r="AQ62" s="4"/>
    </row>
    <row r="63" spans="1:43" ht="30" customHeight="1" x14ac:dyDescent="0.25">
      <c r="A63" s="12"/>
      <c r="B63" s="17"/>
      <c r="C63" s="12"/>
      <c r="D63" s="11"/>
      <c r="E63" s="30"/>
      <c r="F63" s="11"/>
      <c r="G63" s="15"/>
      <c r="H63" s="15"/>
      <c r="AQ63" s="4"/>
    </row>
    <row r="64" spans="1:43" ht="30" customHeight="1" x14ac:dyDescent="0.25">
      <c r="A64" s="12"/>
      <c r="B64" s="17"/>
      <c r="C64" s="12"/>
      <c r="D64" s="11"/>
      <c r="E64" s="30"/>
      <c r="F64" s="11"/>
      <c r="G64" s="15"/>
      <c r="H64" s="15"/>
      <c r="AQ64" s="4"/>
    </row>
    <row r="65" spans="1:43" ht="30" customHeight="1" x14ac:dyDescent="0.25">
      <c r="A65" s="12"/>
      <c r="B65" s="17"/>
      <c r="C65" s="12"/>
      <c r="D65" s="11"/>
      <c r="E65" s="30"/>
      <c r="F65" s="11"/>
      <c r="G65" s="15"/>
      <c r="H65" s="15"/>
      <c r="AQ65" s="4"/>
    </row>
    <row r="66" spans="1:43" ht="30" customHeight="1" x14ac:dyDescent="0.25">
      <c r="A66" s="12"/>
      <c r="B66" s="17"/>
      <c r="C66" s="12"/>
      <c r="D66" s="11"/>
      <c r="E66" s="30"/>
      <c r="F66" s="11"/>
      <c r="G66" s="15"/>
      <c r="H66" s="15"/>
      <c r="AQ66" s="4"/>
    </row>
    <row r="67" spans="1:43" ht="30" customHeight="1" x14ac:dyDescent="0.25">
      <c r="A67" s="12"/>
      <c r="B67" s="17"/>
      <c r="C67" s="12"/>
      <c r="D67" s="11"/>
      <c r="E67" s="30"/>
      <c r="F67" s="11"/>
      <c r="G67" s="15"/>
      <c r="H67" s="15"/>
      <c r="AQ67" s="4"/>
    </row>
    <row r="68" spans="1:43" ht="30" customHeight="1" x14ac:dyDescent="0.25">
      <c r="A68" s="12"/>
      <c r="B68" s="17"/>
      <c r="C68" s="12"/>
      <c r="D68" s="11"/>
      <c r="E68" s="30"/>
      <c r="F68" s="11"/>
      <c r="G68" s="15"/>
      <c r="H68" s="15"/>
      <c r="AQ68" s="4"/>
    </row>
    <row r="69" spans="1:43" ht="30" customHeight="1" x14ac:dyDescent="0.25">
      <c r="A69" s="12"/>
      <c r="B69" s="17"/>
      <c r="C69" s="12"/>
      <c r="D69" s="11"/>
      <c r="E69" s="30"/>
      <c r="F69" s="11"/>
      <c r="G69" s="15"/>
      <c r="H69" s="15"/>
      <c r="AQ69" s="4"/>
    </row>
    <row r="70" spans="1:43" ht="30" customHeight="1" x14ac:dyDescent="0.25">
      <c r="A70" s="12"/>
      <c r="B70" s="17"/>
      <c r="C70" s="12"/>
      <c r="D70" s="11"/>
      <c r="E70" s="30"/>
      <c r="F70" s="11"/>
      <c r="G70" s="15"/>
      <c r="H70" s="15"/>
      <c r="AQ70" s="4"/>
    </row>
    <row r="71" spans="1:43" ht="30" customHeight="1" x14ac:dyDescent="0.25">
      <c r="A71" s="12"/>
      <c r="B71" s="17"/>
      <c r="C71" s="12"/>
      <c r="D71" s="11"/>
      <c r="E71" s="30"/>
      <c r="F71" s="11"/>
      <c r="G71" s="15"/>
      <c r="H71" s="15"/>
      <c r="AQ71" s="4"/>
    </row>
    <row r="72" spans="1:43" ht="30" customHeight="1" x14ac:dyDescent="0.25">
      <c r="A72" s="12"/>
      <c r="B72" s="17"/>
      <c r="C72" s="12"/>
      <c r="D72" s="11"/>
      <c r="E72" s="30"/>
      <c r="F72" s="11"/>
      <c r="G72" s="15"/>
      <c r="H72" s="15"/>
    </row>
    <row r="73" spans="1:43" ht="30" customHeight="1" x14ac:dyDescent="0.25">
      <c r="A73" s="12"/>
      <c r="B73" s="17"/>
      <c r="C73" s="12"/>
      <c r="D73" s="11"/>
      <c r="E73" s="30"/>
      <c r="F73" s="11"/>
      <c r="G73" s="15"/>
      <c r="H73" s="15"/>
      <c r="AQ73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11</v>
      </c>
      <c r="E4">
        <v>37</v>
      </c>
      <c r="F4">
        <f>COUNTIF(SEMUA!$D$1:$D$60,E4)</f>
        <v>0</v>
      </c>
      <c r="J4" s="7">
        <v>53</v>
      </c>
      <c r="K4">
        <f>COUNTIF(SEMUA!$F$2:$F$60,J4)</f>
        <v>0</v>
      </c>
    </row>
    <row r="5" spans="1:11" ht="15.75" x14ac:dyDescent="0.25">
      <c r="A5" s="6" t="s">
        <v>31</v>
      </c>
      <c r="B5">
        <f>COUNTIF(SEMUA!$E$2:$E$60,REKAP!A5)</f>
        <v>3</v>
      </c>
      <c r="E5">
        <v>38</v>
      </c>
      <c r="F5">
        <f>COUNTIF(SEMUA!$D$1:$D$60,E5)</f>
        <v>0</v>
      </c>
      <c r="J5" s="7">
        <v>54</v>
      </c>
      <c r="K5">
        <f>COUNTIF(SEMUA!$F$2:$F$60,J5)</f>
        <v>1</v>
      </c>
    </row>
    <row r="6" spans="1:11" ht="15.75" x14ac:dyDescent="0.25">
      <c r="A6" s="6" t="s">
        <v>35</v>
      </c>
      <c r="B6">
        <f>COUNTIF(SEMUA!$E$2:$E$60,REKAP!A6)</f>
        <v>0</v>
      </c>
      <c r="E6" s="7">
        <v>39</v>
      </c>
      <c r="F6">
        <f>COUNTIF(SEMUA!$D$1:$D$60,E6)</f>
        <v>1</v>
      </c>
      <c r="G6">
        <v>4</v>
      </c>
      <c r="H6">
        <v>7</v>
      </c>
      <c r="J6" s="7">
        <v>55</v>
      </c>
      <c r="K6">
        <f>COUNTIF(SEMUA!$F$2:$F$60,J6)</f>
        <v>1</v>
      </c>
    </row>
    <row r="7" spans="1:11" ht="15.75" x14ac:dyDescent="0.25">
      <c r="A7" s="6" t="s">
        <v>34</v>
      </c>
      <c r="B7">
        <f>COUNTIF(SEMUA!$E$2:$E$60,REKAP!A7)</f>
        <v>7</v>
      </c>
      <c r="E7" s="7">
        <v>40</v>
      </c>
      <c r="F7">
        <f>COUNTIF(SEMUA!$D$1:$D$60,E7)</f>
        <v>3</v>
      </c>
      <c r="G7">
        <v>2</v>
      </c>
      <c r="H7">
        <v>6</v>
      </c>
      <c r="J7" s="7">
        <v>56</v>
      </c>
      <c r="K7">
        <f>COUNTIF(SEMUA!$F$2:$F$60,J7)</f>
        <v>6</v>
      </c>
    </row>
    <row r="8" spans="1:11" ht="15.75" x14ac:dyDescent="0.25">
      <c r="A8" s="6" t="s">
        <v>33</v>
      </c>
      <c r="B8">
        <f>COUNTIF(SEMUA!$E$2:$E$60,REKAP!A8)</f>
        <v>4</v>
      </c>
      <c r="E8" s="7">
        <v>41</v>
      </c>
      <c r="F8">
        <f>COUNTIF(SEMUA!$D$1:$D$60,E8)</f>
        <v>6</v>
      </c>
      <c r="H8">
        <v>5</v>
      </c>
      <c r="J8" s="7">
        <v>57</v>
      </c>
      <c r="K8">
        <f>COUNTIF(SEMUA!$F$2:$F$60,J8)</f>
        <v>12</v>
      </c>
    </row>
    <row r="9" spans="1:11" ht="15.75" x14ac:dyDescent="0.25">
      <c r="A9" s="6" t="s">
        <v>36</v>
      </c>
      <c r="B9">
        <f>COUNTIF(SEMUA!$E$2:$E$60,REKAP!A9)</f>
        <v>0</v>
      </c>
      <c r="E9" s="7">
        <v>42</v>
      </c>
      <c r="F9">
        <f>COUNTIF(SEMUA!$D$1:$D$60,E9)</f>
        <v>6</v>
      </c>
      <c r="H9">
        <v>5</v>
      </c>
      <c r="J9" s="7">
        <v>58</v>
      </c>
      <c r="K9">
        <f>COUNTIF(SEMUA!$F$2:$F$60,J9)</f>
        <v>3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6</v>
      </c>
      <c r="H10">
        <v>2</v>
      </c>
      <c r="J10" s="7">
        <v>59</v>
      </c>
      <c r="K10">
        <f>COUNTIF(SEMUA!$F$2:$F$60,J10)</f>
        <v>1</v>
      </c>
    </row>
    <row r="11" spans="1:11" ht="15.75" x14ac:dyDescent="0.25">
      <c r="A11" s="8" t="s">
        <v>44</v>
      </c>
      <c r="B11" s="9">
        <f>SUM(B4:B10)</f>
        <v>25</v>
      </c>
      <c r="C11" s="9">
        <f>SUM(C4:C10)</f>
        <v>0</v>
      </c>
      <c r="D11" s="9"/>
      <c r="E11" s="7">
        <v>44</v>
      </c>
      <c r="F11">
        <f>COUNTIF(SEMUA!$D$1:$D$60,E11)</f>
        <v>2</v>
      </c>
      <c r="J11" s="1">
        <v>60</v>
      </c>
      <c r="K11">
        <f>COUNTIF(SEMUA!$F$2:$F$60,J11)</f>
        <v>1</v>
      </c>
    </row>
    <row r="12" spans="1:11" ht="15.75" x14ac:dyDescent="0.25">
      <c r="E12" s="7">
        <v>45</v>
      </c>
      <c r="F12">
        <f>COUNTIF(SEMUA!$D$1:$D$60,E12)</f>
        <v>0</v>
      </c>
      <c r="K12">
        <f>SUM(K4:K11)</f>
        <v>25</v>
      </c>
    </row>
    <row r="13" spans="1:11" ht="15.75" x14ac:dyDescent="0.25">
      <c r="E13" s="7">
        <v>46</v>
      </c>
      <c r="F13">
        <f>COUNTIF(SEMUA!$D$1:$D$60,E13)</f>
        <v>1</v>
      </c>
    </row>
    <row r="14" spans="1:11" ht="15.75" x14ac:dyDescent="0.25">
      <c r="E14" s="7"/>
      <c r="F14">
        <f>SUM(F4:F13)</f>
        <v>25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2021-10-26T03:58:51Z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