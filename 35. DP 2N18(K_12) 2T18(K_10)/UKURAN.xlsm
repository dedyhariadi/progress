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8168499B-DE77-413E-B9FF-82858ECF0AA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SEMUA!$A$1:$AT$103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4" l="1"/>
  <c r="AP133" i="1"/>
  <c r="AJ133" i="1"/>
  <c r="AK133" i="1"/>
  <c r="AL133" i="1"/>
  <c r="AM133" i="1"/>
  <c r="AN133" i="1"/>
  <c r="AO133" i="1"/>
  <c r="AI133" i="1"/>
  <c r="AB133" i="1"/>
  <c r="AC133" i="1"/>
  <c r="AD133" i="1"/>
  <c r="AE133" i="1"/>
  <c r="AF133" i="1"/>
  <c r="AG133" i="1"/>
  <c r="AH133" i="1"/>
  <c r="AA133" i="1"/>
  <c r="Z133" i="1"/>
  <c r="Y133" i="1"/>
  <c r="X133" i="1"/>
  <c r="W133" i="1"/>
  <c r="V133" i="1"/>
  <c r="S133" i="1"/>
  <c r="T133" i="1"/>
  <c r="U133" i="1"/>
  <c r="R133" i="1"/>
  <c r="K133" i="1"/>
  <c r="L133" i="1"/>
  <c r="M133" i="1"/>
  <c r="N133" i="1"/>
  <c r="O133" i="1"/>
  <c r="P133" i="1"/>
  <c r="Q133" i="1"/>
  <c r="I133" i="1"/>
  <c r="I132" i="1"/>
  <c r="J132" i="1"/>
  <c r="AT133" i="1"/>
  <c r="J133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T132" i="1"/>
</calcChain>
</file>

<file path=xl/sharedStrings.xml><?xml version="1.0" encoding="utf-8"?>
<sst xmlns="http://schemas.openxmlformats.org/spreadsheetml/2006/main" count="1235" uniqueCount="343">
  <si>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</si>
  <si>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</si>
  <si>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</si>
  <si>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</si>
  <si>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</si>
  <si>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</si>
  <si>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</si>
  <si>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</si>
  <si>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</si>
  <si>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</si>
  <si>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</si>
  <si>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</si>
  <si>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</si>
  <si>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</si>
  <si>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</si>
  <si>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</si>
  <si>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</si>
  <si>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</si>
  <si>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</si>
  <si>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</si>
  <si>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</si>
  <si>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</si>
  <si>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</si>
  <si>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</si>
  <si>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</si>
  <si>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</si>
  <si>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</si>
  <si>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</si>
  <si>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</si>
  <si>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</si>
  <si>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</si>
  <si>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</si>
  <si>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</si>
  <si>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</si>
  <si>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</si>
  <si>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</si>
  <si>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</si>
  <si>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</si>
  <si>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</si>
  <si>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</si>
  <si>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</si>
  <si>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</si>
  <si>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</si>
  <si>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</si>
  <si>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</si>
  <si>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</si>
  <si>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</si>
  <si>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</si>
  <si>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</si>
  <si>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</si>
  <si>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</si>
  <si>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</si>
  <si>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</si>
  <si>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</si>
  <si>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</si>
  <si>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</si>
  <si>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</si>
  <si>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</si>
  <si>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</si>
  <si>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</si>
  <si>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</si>
  <si>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</si>
  <si>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</si>
  <si>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</si>
  <si>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</si>
  <si>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</si>
  <si>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</si>
  <si>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</si>
  <si>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</si>
  <si>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</si>
  <si>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</si>
  <si>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</si>
  <si>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</si>
  <si>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</si>
  <si>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</si>
  <si>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</si>
  <si>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</si>
  <si>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</si>
  <si>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</si>
  <si>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</si>
  <si>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</si>
  <si>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</si>
  <si>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</si>
  <si>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</si>
  <si>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</si>
  <si>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</si>
  <si>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</si>
  <si>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</si>
  <si>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</si>
  <si>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</si>
  <si>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</si>
  <si>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</si>
  <si>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</si>
  <si>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</si>
  <si>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</si>
  <si>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</si>
  <si>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</si>
  <si>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</si>
  <si>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</si>
  <si>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</si>
  <si>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</si>
  <si>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</si>
  <si>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</si>
  <si>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</si>
  <si>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</si>
  <si>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</si>
  <si>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</si>
  <si>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</si>
  <si>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</si>
  <si>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</si>
  <si>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</si>
  <si>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</si>
  <si>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</si>
  <si>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</si>
  <si>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</si>
  <si>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</si>
  <si>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</si>
  <si>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</si>
  <si>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</si>
  <si>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</si>
  <si>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</si>
  <si>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</si>
  <si>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</si>
  <si>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</si>
  <si>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</si>
  <si>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</si>
  <si>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</si>
  <si>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</si>
  <si>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</si>
  <si>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</si>
  <si>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</si>
  <si>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</si>
  <si>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</si>
  <si>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</si>
  <si>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</si>
  <si>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</si>
  <si>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</si>
  <si>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</si>
  <si>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</si>
  <si>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</si>
  <si>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</si>
  <si>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</si>
  <si>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</si>
  <si>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</si>
  <si>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</si>
  <si>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</si>
  <si>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</si>
  <si>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</si>
  <si>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</si>
  <si>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</si>
  <si>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</si>
  <si>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</si>
  <si>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</si>
  <si>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</si>
  <si>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</si>
  <si>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</si>
  <si>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</si>
  <si>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</si>
  <si>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</si>
  <si>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</si>
  <si>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</si>
  <si>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</si>
  <si>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</si>
  <si>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</si>
  <si>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</si>
  <si>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</si>
  <si>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</si>
  <si>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</si>
  <si>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</si>
  <si>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</si>
  <si>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</si>
  <si>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</si>
  <si>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</si>
  <si>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</si>
  <si>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</si>
  <si>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</si>
  <si>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</si>
  <si>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</si>
  <si>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</si>
  <si>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</si>
  <si>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</si>
  <si>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</si>
  <si>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</si>
  <si>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</si>
  <si>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</si>
  <si>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</si>
  <si>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</si>
  <si>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</si>
  <si>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</si>
  <si>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</si>
  <si>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</si>
  <si>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</si>
  <si>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</si>
  <si>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</si>
  <si>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</si>
  <si>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</si>
  <si>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</si>
  <si>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</si>
  <si>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</si>
  <si>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</si>
  <si>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</si>
  <si>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</si>
  <si>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</si>
  <si>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</si>
  <si>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</si>
  <si>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</si>
  <si>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</si>
  <si>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</si>
  <si>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</si>
  <si>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</si>
  <si>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</si>
  <si>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</si>
  <si>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</si>
  <si>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</si>
  <si>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</si>
  <si>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</si>
  <si>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</si>
  <si>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</si>
  <si>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</si>
  <si>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</si>
  <si>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</si>
  <si>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</si>
  <si>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</si>
  <si>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</si>
  <si>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</si>
  <si>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</si>
  <si>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</si>
  <si>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</si>
  <si>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</si>
  <si>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</si>
  <si>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</si>
  <si>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</si>
  <si>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</si>
  <si>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</si>
  <si>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</si>
  <si>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</si>
  <si>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</si>
  <si>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</si>
  <si>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</si>
  <si>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</si>
  <si>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</si>
  <si>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</si>
  <si>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</si>
  <si>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</si>
  <si>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</si>
  <si>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</si>
  <si>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</si>
  <si>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</si>
  <si>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</si>
  <si>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</si>
  <si>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</si>
  <si>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</si>
  <si>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</si>
  <si>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</si>
  <si>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</si>
  <si>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</si>
  <si>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</si>
  <si>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</si>
  <si>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</si>
  <si>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</si>
  <si>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</si>
  <si>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</si>
  <si>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</si>
  <si>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</si>
  <si>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</si>
  <si>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</si>
  <si>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</si>
  <si>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</si>
  <si>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</si>
  <si>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</si>
  <si>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</si>
  <si>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</si>
  <si>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</si>
  <si>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</si>
  <si>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</si>
  <si>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</si>
  <si>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</si>
  <si>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</si>
  <si>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</si>
  <si>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</si>
  <si>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</si>
  <si>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</si>
  <si>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</si>
  <si>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</si>
  <si>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</si>
  <si>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</si>
  <si>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</si>
  <si>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</si>
  <si>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</si>
  <si>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</si>
  <si>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</si>
  <si>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</si>
  <si>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</si>
  <si>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</si>
  <si>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</si>
  <si>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</si>
  <si>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</si>
  <si>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</si>
  <si>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</si>
  <si>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</si>
  <si>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</si>
  <si>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</si>
  <si>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</si>
  <si>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</si>
  <si>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</si>
  <si>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</si>
  <si>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</si>
  <si>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</si>
  <si>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</si>
  <si>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</si>
  <si>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SUPARMAN</t>
  </si>
  <si>
    <t>M. SIRRIL WAFA</t>
  </si>
  <si>
    <t>M58</t>
  </si>
  <si>
    <t>M59</t>
  </si>
  <si>
    <t>M. GATTUR</t>
  </si>
  <si>
    <t>M60</t>
  </si>
  <si>
    <t>07 DES</t>
  </si>
  <si>
    <t>07 des</t>
  </si>
  <si>
    <t>RENDY FITRA HANANI</t>
  </si>
  <si>
    <t>GARY WIJAKSONO</t>
  </si>
  <si>
    <t>21 NOV</t>
  </si>
  <si>
    <t>L60a</t>
  </si>
  <si>
    <t>L61a</t>
  </si>
  <si>
    <t>AGUS ABDUR RAZEK</t>
  </si>
  <si>
    <t>L62a</t>
  </si>
  <si>
    <t>ARDIAN Y PRATAMA</t>
  </si>
  <si>
    <t>12 DES</t>
  </si>
  <si>
    <t>L63a</t>
  </si>
  <si>
    <t>UUN TIO HARTANTO</t>
  </si>
  <si>
    <t>M61a</t>
  </si>
  <si>
    <t>M62a</t>
  </si>
  <si>
    <t>MISERI</t>
  </si>
  <si>
    <t>14 des</t>
  </si>
  <si>
    <t>M. HOLILIH</t>
  </si>
  <si>
    <t>L64</t>
  </si>
  <si>
    <t>SOFIYA NUR F.R.S</t>
  </si>
  <si>
    <t>70; 36</t>
  </si>
  <si>
    <t>19 DES</t>
  </si>
  <si>
    <t>L65</t>
  </si>
  <si>
    <t>ZHAFRAN ZAKY</t>
  </si>
  <si>
    <t>L66</t>
  </si>
  <si>
    <t>M63</t>
  </si>
  <si>
    <t>ROLAND JULIAN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</si>
</sst>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  <xf numFmtId="0" fontId="18" fillId="0" borderId="0" xfId="0" applyNumberFormat="1" applyFont="1" applyAlignment="1">
      <alignment horizontal="center" vertical="center"/>
    </xf>
    <xf numFmtId="0" fontId="13" fillId="0" borderId="0" xfId="17" quotePrefix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4.418249652779" createdVersion="7" refreshedVersion="7" minRefreshableVersion="3" recordCount="125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8" maxValue="46" count="10">
        <n v="42"/>
        <n v="43"/>
        <n v="40"/>
        <n v="44"/>
        <n v="41"/>
        <n v="45"/>
        <n v="39"/>
        <n v="46"/>
        <n v="38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84" maxValue="135"/>
    </cacheField>
    <cacheField name="UBN_6" numFmtId="0">
      <sharedItems containsString="0" containsBlank="1" containsNumber="1" containsInteger="1" minValue="78" maxValue="135"/>
    </cacheField>
    <cacheField name="UBN_7" numFmtId="0">
      <sharedItems containsString="0" containsBlank="1" containsNumber="1" containsInteger="1" minValue="90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0" maxValue="126"/>
    </cacheField>
    <cacheField name="UC_2" numFmtId="0">
      <sharedItems containsString="0" containsBlank="1" containsNumber="1" containsInteger="1" minValue="87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s v="12 DES"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s v="12 DES"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s v="12 DES"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s v="12 DES"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s v="12 DES"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s v="12 DES"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s v="12 DES"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s v="12 DES"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s v="12 DES"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s v="12 DES"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s v="12 DES"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s v="12 DES"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s v="12 DES"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s v="12 DES"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s v="12 DES"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s v="12 DES"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s v="12 DES"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s v="12 DES"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s v="12 DES"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s v="12 DES"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s v="12 DES"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s v="12 DES"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s v="12 DES"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s v="12 DES"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s v="12 DES"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s v="12 DES"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s v="12 DES"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s v="12 DES"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s v="12 DES"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s v="12 DES"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s v="12 DES"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s v="12 DES"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s v="12 DES"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s v="12 DES"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s v="12 DES"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s v="12 DES"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s v="12 DES"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s v="12 DES"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s v="12 DES"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s v="12 DES"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s v="12 DES"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s v="12 DES"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s v="12 DES"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s v="12 DES"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s v="12 DES"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s v="12 DES"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s v="07 des"/>
    <s v="12 DES"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s v="07 des"/>
    <s v="12 DES"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s v="07 des"/>
    <s v="12 DES"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s v="07 des"/>
    <s v="12 DES"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s v="07 des"/>
    <s v="12 DES"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s v="07 des"/>
    <s v="12 DES"/>
  </r>
  <r>
    <s v="L60a"/>
    <s v="RENDY FITRA HANANI"/>
    <x v="0"/>
    <x v="3"/>
    <x v="3"/>
    <x v="3"/>
    <s v="STREP 3"/>
    <x v="0"/>
    <n v="50"/>
    <n v="64"/>
    <n v="22"/>
    <n v="16"/>
    <n v="126"/>
    <n v="124"/>
    <n v="128"/>
    <n v="77"/>
    <n v="46"/>
    <n v="50"/>
    <n v="65"/>
    <n v="21"/>
    <n v="13"/>
    <n v="33"/>
    <n v="33"/>
    <n v="33"/>
    <n v="77"/>
    <n v="46"/>
    <n v="50"/>
    <n v="27"/>
    <n v="21"/>
    <n v="33"/>
    <n v="33"/>
    <n v="33"/>
    <n v="77"/>
    <n v="46"/>
    <n v="114"/>
    <n v="124"/>
    <n v="78"/>
    <n v="40"/>
    <n v="30"/>
    <n v="23"/>
    <n v="105"/>
    <n v="4"/>
    <s v="21 NOV"/>
    <m/>
    <s v="14 des"/>
    <s v="12 DES"/>
  </r>
  <r>
    <s v="L61a"/>
    <s v="GARY WIJAKSONO"/>
    <x v="0"/>
    <x v="3"/>
    <x v="3"/>
    <x v="3"/>
    <s v="STREP 3"/>
    <x v="0"/>
    <n v="48"/>
    <n v="58"/>
    <n v="21"/>
    <n v="15"/>
    <n v="114"/>
    <n v="112"/>
    <n v="117"/>
    <n v="70"/>
    <n v="45"/>
    <n v="48"/>
    <n v="59"/>
    <n v="20"/>
    <n v="13"/>
    <n v="30"/>
    <n v="28"/>
    <n v="30"/>
    <n v="70"/>
    <n v="45"/>
    <n v="48"/>
    <n v="25"/>
    <n v="20"/>
    <n v="30"/>
    <n v="28"/>
    <n v="30"/>
    <n v="70"/>
    <n v="45"/>
    <n v="106"/>
    <n v="115"/>
    <n v="72"/>
    <n v="37"/>
    <n v="27"/>
    <n v="23"/>
    <n v="95"/>
    <n v="4"/>
    <s v="21 NOV"/>
    <m/>
    <s v="14 des"/>
    <s v="12 DES"/>
  </r>
  <r>
    <s v="L62a"/>
    <s v="AGUS ABDUR RAZEK"/>
    <x v="0"/>
    <x v="0"/>
    <x v="0"/>
    <x v="0"/>
    <s v="STREP 3"/>
    <x v="0"/>
    <n v="47"/>
    <n v="63"/>
    <n v="20"/>
    <n v="15"/>
    <n v="104"/>
    <n v="98"/>
    <n v="117"/>
    <n v="75"/>
    <n v="42"/>
    <n v="47"/>
    <n v="64"/>
    <n v="18"/>
    <n v="13"/>
    <n v="28"/>
    <n v="26"/>
    <n v="28"/>
    <n v="75"/>
    <n v="42"/>
    <n v="47"/>
    <n v="26"/>
    <n v="18"/>
    <n v="28"/>
    <n v="26"/>
    <n v="28"/>
    <n v="75"/>
    <n v="42"/>
    <n v="89"/>
    <n v="113"/>
    <n v="69"/>
    <n v="35"/>
    <n v="26"/>
    <n v="20"/>
    <n v="104"/>
    <n v="4"/>
    <s v="07 des"/>
    <m/>
    <s v="14 des"/>
    <s v="12 DES"/>
  </r>
  <r>
    <s v="L63a"/>
    <s v="ARDIAN Y PRATAMA"/>
    <x v="0"/>
    <x v="4"/>
    <x v="0"/>
    <x v="2"/>
    <s v="STREP 3"/>
    <x v="0"/>
    <n v="45"/>
    <n v="58"/>
    <n v="19"/>
    <n v="14"/>
    <n v="108"/>
    <n v="104"/>
    <n v="114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14"/>
    <n v="67"/>
    <n v="35"/>
    <n v="26"/>
    <n v="21"/>
    <n v="92"/>
    <n v="4"/>
    <s v="12 DES"/>
    <m/>
    <s v="14 des"/>
    <s v="12 DES"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s v="12 DES"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s v="12 DES"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s v="12 DES"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s v="12 DES"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s v="12 DES"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s v="12 DES"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s v="12 DES"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s v="12 DES"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s v="12 DES"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s v="12 DES"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s v="12 DES"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s v="12 DES"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s v="12 DES"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s v="12 DES"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s v="12 DES"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s v="12 DES"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s v="12 DES"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s v="12 DES"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s v="12 DES"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s v="12 DES"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s v="12 DES"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s v="12 DES"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s v="12 DES"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s v="12 DES"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s v="12 DES"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s v="12 DES"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s v="12 DES"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s v="12 DES"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s v="12 DES"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s v="12 DES"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s v="12 DES"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s v="12 DES"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s v="12 DES"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s v="12 DES"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s v="12 DES"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s v="12 DES"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s v="12 DES"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s v="12 DES"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s v="12 DES"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s v="12 DES"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s v="12 DES"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s v="12 DES"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s v="12 DES"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s v="12 DES"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s v="12 DES"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s v="12 DES"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s v="12 DES"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s v="12 DES"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s v="12 DES"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s v="12 DES"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s v="12 DES"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s v="12 DES"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s v="12 DES"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s v="12 DES"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s v="12 DES"/>
  </r>
  <r>
    <s v="M58"/>
    <s v="SUPARMAN"/>
    <x v="1"/>
    <x v="8"/>
    <x v="2"/>
    <x v="0"/>
    <s v="STREP 3"/>
    <x v="0"/>
    <n v="43"/>
    <n v="59"/>
    <n v="18"/>
    <n v="14"/>
    <n v="95"/>
    <n v="86"/>
    <n v="98"/>
    <n v="68"/>
    <n v="37"/>
    <n v="43"/>
    <n v="60"/>
    <n v="16"/>
    <n v="12"/>
    <n v="26"/>
    <n v="24"/>
    <n v="26"/>
    <n v="68"/>
    <n v="37"/>
    <n v="43"/>
    <n v="25"/>
    <n v="16"/>
    <n v="26"/>
    <n v="24"/>
    <n v="26"/>
    <n v="68"/>
    <n v="37"/>
    <n v="75"/>
    <n v="90"/>
    <n v="65"/>
    <n v="29"/>
    <n v="24"/>
    <n v="19"/>
    <n v="87"/>
    <n v="4"/>
    <s v="07 des"/>
    <m/>
    <s v="07 des"/>
    <s v="12 DES"/>
  </r>
  <r>
    <s v="M59"/>
    <s v="M. SIRRIL WAFA"/>
    <x v="1"/>
    <x v="4"/>
    <x v="2"/>
    <x v="0"/>
    <s v="STREP 3"/>
    <x v="0"/>
    <n v="43"/>
    <n v="61"/>
    <n v="18"/>
    <n v="14"/>
    <n v="84"/>
    <n v="78"/>
    <n v="90"/>
    <n v="71"/>
    <n v="36"/>
    <n v="43"/>
    <n v="62"/>
    <n v="16"/>
    <n v="12"/>
    <n v="26"/>
    <n v="23"/>
    <n v="26"/>
    <n v="71"/>
    <n v="36"/>
    <n v="43"/>
    <n v="25"/>
    <n v="16"/>
    <n v="26"/>
    <n v="23"/>
    <n v="26"/>
    <n v="71"/>
    <n v="36"/>
    <n v="70"/>
    <n v="87"/>
    <n v="63"/>
    <n v="29"/>
    <n v="23"/>
    <n v="18"/>
    <n v="95"/>
    <n v="4"/>
    <s v="07 des"/>
    <m/>
    <s v="07 des"/>
    <s v="12 DES"/>
  </r>
  <r>
    <s v="M60"/>
    <s v="M. GATTUR"/>
    <x v="1"/>
    <x v="6"/>
    <x v="2"/>
    <x v="6"/>
    <s v="STREP 3"/>
    <x v="0"/>
    <n v="44"/>
    <n v="59"/>
    <n v="18"/>
    <n v="14"/>
    <n v="94"/>
    <n v="88"/>
    <n v="102"/>
    <n v="72"/>
    <n v="40"/>
    <n v="44"/>
    <n v="60"/>
    <n v="16"/>
    <n v="12"/>
    <n v="26"/>
    <n v="24"/>
    <n v="26"/>
    <n v="72"/>
    <n v="40"/>
    <n v="44"/>
    <n v="26"/>
    <n v="16"/>
    <n v="26"/>
    <n v="24"/>
    <n v="26"/>
    <n v="72"/>
    <n v="40"/>
    <n v="78"/>
    <n v="98"/>
    <n v="66"/>
    <n v="31"/>
    <n v="24"/>
    <n v="19"/>
    <n v="99"/>
    <n v="4"/>
    <s v="07 des"/>
    <m/>
    <s v="07 des"/>
    <s v="12 DES"/>
  </r>
  <r>
    <s v="M61a"/>
    <s v="UUN TIO HARTANTO"/>
    <x v="1"/>
    <x v="0"/>
    <x v="3"/>
    <x v="3"/>
    <s v="STREP 3"/>
    <x v="0"/>
    <n v="45"/>
    <n v="59"/>
    <n v="19"/>
    <n v="14"/>
    <n v="108"/>
    <n v="102"/>
    <n v="112"/>
    <n v="70"/>
    <n v="42"/>
    <n v="45"/>
    <n v="60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7"/>
    <n v="34"/>
    <n v="26"/>
    <n v="20"/>
    <n v="95"/>
    <n v="4"/>
    <s v="12 DES"/>
    <m/>
    <s v="14 des"/>
    <s v="12 DES"/>
  </r>
  <r>
    <s v="M62a"/>
    <s v="MISERI"/>
    <x v="1"/>
    <x v="0"/>
    <x v="0"/>
    <x v="3"/>
    <s v="STREP 3"/>
    <x v="0"/>
    <n v="46"/>
    <n v="63"/>
    <n v="20"/>
    <n v="15"/>
    <n v="105"/>
    <n v="101"/>
    <n v="108"/>
    <n v="75"/>
    <n v="42"/>
    <n v="46"/>
    <n v="64"/>
    <n v="18"/>
    <n v="13"/>
    <n v="29"/>
    <n v="27"/>
    <n v="29"/>
    <n v="70"/>
    <n v="42"/>
    <n v="46"/>
    <n v="27"/>
    <n v="18"/>
    <n v="29"/>
    <n v="27"/>
    <n v="29"/>
    <n v="70"/>
    <n v="42"/>
    <n v="94"/>
    <n v="106"/>
    <n v="68"/>
    <n v="34"/>
    <n v="26"/>
    <n v="20"/>
    <n v="105"/>
    <n v="4"/>
    <s v="12 DES"/>
    <m/>
    <s v="14 des"/>
    <s v="12 DES"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4" firstHeaderRow="1" firstDataRow="2" firstDataCol="1"/>
  <pivotFields count="46">
    <pivotField showAll="0"/>
    <pivotField showAll="0"/>
    <pivotField showAll="0"/>
    <pivotField axis="axisRow" dataField="1" showAll="0">
      <items count="11">
        <item x="6"/>
        <item x="2"/>
        <item x="4"/>
        <item x="0"/>
        <item x="1"/>
        <item x="3"/>
        <item x="5"/>
        <item x="7"/>
        <item x="9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32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38"/>
  <sheetViews>
    <sheetView tabSelected="1" zoomScale="55" zoomScaleNormal="55" workbookViewId="0">
      <pane ySplit="1" topLeftCell="A99" activePane="bottomLeft" state="frozen"/>
      <selection pane="bottomLeft" activeCell="B130" sqref="B130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8.5703125" style="3" bestFit="1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0" t="s">
        <v>294</v>
      </c>
      <c r="AT2" s="50" t="s">
        <v>326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0" t="s">
        <v>294</v>
      </c>
      <c r="AT3" s="53" t="s">
        <v>326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0" t="s">
        <v>294</v>
      </c>
      <c r="AT4" s="53" t="s">
        <v>326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0" t="s">
        <v>294</v>
      </c>
      <c r="AT5" s="53" t="s">
        <v>326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0" t="s">
        <v>294</v>
      </c>
      <c r="AT6" s="53" t="s">
        <v>326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0" t="s">
        <v>294</v>
      </c>
      <c r="AT7" s="53" t="s">
        <v>326</v>
      </c>
    </row>
    <row r="8" spans="1:1013" ht="30" customHeight="1" x14ac:dyDescent="0.2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0" t="s">
        <v>294</v>
      </c>
      <c r="AT8" s="53" t="s">
        <v>326</v>
      </c>
    </row>
    <row r="9" spans="1:1013" ht="30" customHeight="1" x14ac:dyDescent="0.2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0" t="s">
        <v>294</v>
      </c>
      <c r="AT9" s="53" t="s">
        <v>326</v>
      </c>
    </row>
    <row r="10" spans="1:1013" ht="30" customHeight="1" x14ac:dyDescent="0.2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0" t="s">
        <v>294</v>
      </c>
      <c r="AT10" s="53" t="s">
        <v>326</v>
      </c>
    </row>
    <row r="11" spans="1:1013" ht="30" customHeight="1" x14ac:dyDescent="0.2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0" t="s">
        <v>294</v>
      </c>
      <c r="AT11" s="53" t="s">
        <v>326</v>
      </c>
    </row>
    <row r="12" spans="1:1013" ht="30" customHeight="1" x14ac:dyDescent="0.2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0" t="s">
        <v>294</v>
      </c>
      <c r="AT12" s="53" t="s">
        <v>326</v>
      </c>
    </row>
    <row r="13" spans="1:1013" ht="30" customHeight="1" x14ac:dyDescent="0.2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0" t="s">
        <v>294</v>
      </c>
      <c r="AT13" s="53" t="s">
        <v>326</v>
      </c>
    </row>
    <row r="14" spans="1:1013" ht="30" customHeight="1" x14ac:dyDescent="0.2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0" t="s">
        <v>294</v>
      </c>
      <c r="AT14" s="53" t="s">
        <v>326</v>
      </c>
    </row>
    <row r="15" spans="1:1013" ht="30" customHeight="1" x14ac:dyDescent="0.2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0" t="s">
        <v>294</v>
      </c>
      <c r="AT15" s="53" t="s">
        <v>326</v>
      </c>
    </row>
    <row r="16" spans="1:1013" ht="30" customHeight="1" x14ac:dyDescent="0.2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0" t="s">
        <v>294</v>
      </c>
      <c r="AT16" s="53" t="s">
        <v>326</v>
      </c>
    </row>
    <row r="17" spans="1:46" ht="30" customHeight="1" x14ac:dyDescent="0.2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0" t="s">
        <v>294</v>
      </c>
      <c r="AT17" s="53" t="s">
        <v>326</v>
      </c>
    </row>
    <row r="18" spans="1:46" ht="30" customHeight="1" x14ac:dyDescent="0.2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0" t="s">
        <v>294</v>
      </c>
      <c r="AT18" s="53" t="s">
        <v>326</v>
      </c>
    </row>
    <row r="19" spans="1:46" ht="30" customHeight="1" x14ac:dyDescent="0.2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0" t="s">
        <v>294</v>
      </c>
      <c r="AT19" s="53" t="s">
        <v>326</v>
      </c>
    </row>
    <row r="20" spans="1:46" ht="30" customHeight="1" x14ac:dyDescent="0.2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0" t="s">
        <v>294</v>
      </c>
      <c r="AT20" s="53" t="s">
        <v>326</v>
      </c>
    </row>
    <row r="21" spans="1:46" ht="30" customHeight="1" x14ac:dyDescent="0.2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0" t="s">
        <v>294</v>
      </c>
      <c r="AT21" s="53" t="s">
        <v>326</v>
      </c>
    </row>
    <row r="22" spans="1:46" ht="30" customHeight="1" x14ac:dyDescent="0.2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0" t="s">
        <v>294</v>
      </c>
      <c r="AT22" s="53" t="s">
        <v>326</v>
      </c>
    </row>
    <row r="23" spans="1:46" ht="30" customHeight="1" x14ac:dyDescent="0.2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0" t="s">
        <v>294</v>
      </c>
      <c r="AT23" s="53" t="s">
        <v>326</v>
      </c>
    </row>
    <row r="24" spans="1:46" ht="30" customHeight="1" x14ac:dyDescent="0.2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0" t="s">
        <v>294</v>
      </c>
      <c r="AT24" s="53" t="s">
        <v>326</v>
      </c>
    </row>
    <row r="25" spans="1:46" ht="30" customHeight="1" x14ac:dyDescent="0.2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0" t="s">
        <v>294</v>
      </c>
      <c r="AT25" s="53" t="s">
        <v>326</v>
      </c>
    </row>
    <row r="26" spans="1:46" ht="30" customHeight="1" x14ac:dyDescent="0.2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0" t="s">
        <v>294</v>
      </c>
      <c r="AT26" s="53" t="s">
        <v>326</v>
      </c>
    </row>
    <row r="27" spans="1:46" ht="30" customHeight="1" x14ac:dyDescent="0.2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0" t="s">
        <v>294</v>
      </c>
      <c r="AT27" s="53" t="s">
        <v>326</v>
      </c>
    </row>
    <row r="28" spans="1:46" ht="30" customHeight="1" x14ac:dyDescent="0.2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0" t="s">
        <v>294</v>
      </c>
      <c r="AT28" s="53" t="s">
        <v>326</v>
      </c>
    </row>
    <row r="29" spans="1:46" ht="30" customHeight="1" x14ac:dyDescent="0.2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0" t="s">
        <v>294</v>
      </c>
      <c r="AT29" s="53" t="s">
        <v>326</v>
      </c>
    </row>
    <row r="30" spans="1:46" ht="30" customHeight="1" x14ac:dyDescent="0.2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0" t="s">
        <v>294</v>
      </c>
      <c r="AT30" s="53" t="s">
        <v>326</v>
      </c>
    </row>
    <row r="31" spans="1:46" ht="30" customHeight="1" x14ac:dyDescent="0.2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0" t="s">
        <v>294</v>
      </c>
      <c r="AT31" s="53" t="s">
        <v>326</v>
      </c>
    </row>
    <row r="32" spans="1:46" ht="30" customHeight="1" x14ac:dyDescent="0.2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0" t="s">
        <v>294</v>
      </c>
      <c r="AT32" s="53" t="s">
        <v>326</v>
      </c>
    </row>
    <row r="33" spans="1:46" ht="30" customHeight="1" x14ac:dyDescent="0.2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0" t="s">
        <v>294</v>
      </c>
      <c r="AT33" s="53" t="s">
        <v>326</v>
      </c>
    </row>
    <row r="34" spans="1:46" ht="30" customHeight="1" x14ac:dyDescent="0.2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0" t="s">
        <v>294</v>
      </c>
      <c r="AT34" s="53" t="s">
        <v>326</v>
      </c>
    </row>
    <row r="35" spans="1:46" ht="30" customHeight="1" x14ac:dyDescent="0.2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0" t="s">
        <v>294</v>
      </c>
      <c r="AT35" s="53" t="s">
        <v>326</v>
      </c>
    </row>
    <row r="36" spans="1:46" ht="30" customHeight="1" x14ac:dyDescent="0.2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0" t="s">
        <v>294</v>
      </c>
      <c r="AT36" s="53" t="s">
        <v>326</v>
      </c>
    </row>
    <row r="37" spans="1:46" ht="30" customHeight="1" x14ac:dyDescent="0.2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0" t="s">
        <v>294</v>
      </c>
      <c r="AT37" s="53" t="s">
        <v>326</v>
      </c>
    </row>
    <row r="38" spans="1:46" ht="30" customHeight="1" x14ac:dyDescent="0.2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0" t="s">
        <v>294</v>
      </c>
      <c r="AT38" s="53" t="s">
        <v>326</v>
      </c>
    </row>
    <row r="39" spans="1:46" ht="30" customHeight="1" x14ac:dyDescent="0.2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0" t="s">
        <v>294</v>
      </c>
      <c r="AT39" s="53" t="s">
        <v>326</v>
      </c>
    </row>
    <row r="40" spans="1:46" ht="30" customHeight="1" x14ac:dyDescent="0.2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0" t="s">
        <v>294</v>
      </c>
      <c r="AT40" s="53" t="s">
        <v>326</v>
      </c>
    </row>
    <row r="41" spans="1:46" ht="30" customHeight="1" x14ac:dyDescent="0.2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0" t="s">
        <v>294</v>
      </c>
      <c r="AT41" s="53" t="s">
        <v>326</v>
      </c>
    </row>
    <row r="42" spans="1:46" ht="30" customHeight="1" x14ac:dyDescent="0.2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0" t="s">
        <v>294</v>
      </c>
      <c r="AT42" s="53" t="s">
        <v>326</v>
      </c>
    </row>
    <row r="43" spans="1:46" ht="30" customHeight="1" x14ac:dyDescent="0.2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0" t="s">
        <v>294</v>
      </c>
      <c r="AT43" s="53" t="s">
        <v>326</v>
      </c>
    </row>
    <row r="44" spans="1:46" ht="30" customHeight="1" x14ac:dyDescent="0.2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0" t="s">
        <v>294</v>
      </c>
      <c r="AT44" s="53" t="s">
        <v>326</v>
      </c>
    </row>
    <row r="45" spans="1:46" ht="30" customHeight="1" x14ac:dyDescent="0.2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0" t="s">
        <v>294</v>
      </c>
      <c r="AT45" s="53" t="s">
        <v>326</v>
      </c>
    </row>
    <row r="46" spans="1:46" ht="30" customHeight="1" x14ac:dyDescent="0.2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0" t="s">
        <v>294</v>
      </c>
      <c r="AT46" s="53" t="s">
        <v>326</v>
      </c>
    </row>
    <row r="47" spans="1:46" ht="30" customHeight="1" x14ac:dyDescent="0.2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0" t="s">
        <v>294</v>
      </c>
      <c r="AT47" s="53" t="s">
        <v>326</v>
      </c>
    </row>
    <row r="48" spans="1:46" ht="30" customHeight="1" x14ac:dyDescent="0.2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0" t="s">
        <v>294</v>
      </c>
      <c r="AT48" s="53" t="s">
        <v>326</v>
      </c>
    </row>
    <row r="49" spans="1:1013" ht="30" customHeight="1" x14ac:dyDescent="0.2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0" t="s">
        <v>294</v>
      </c>
      <c r="AT49" s="53" t="s">
        <v>326</v>
      </c>
    </row>
    <row r="50" spans="1:1013" ht="30" customHeight="1" x14ac:dyDescent="0.2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0" t="s">
        <v>294</v>
      </c>
      <c r="AT50" s="53" t="s">
        <v>326</v>
      </c>
    </row>
    <row r="51" spans="1:1013" ht="30" customHeight="1" x14ac:dyDescent="0.2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0" t="s">
        <v>294</v>
      </c>
      <c r="AT51" s="53" t="s">
        <v>326</v>
      </c>
    </row>
    <row r="52" spans="1:1013" ht="30" customHeight="1" x14ac:dyDescent="0.2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0" t="s">
        <v>294</v>
      </c>
      <c r="AT52" s="53" t="s">
        <v>326</v>
      </c>
    </row>
    <row r="53" spans="1:1013" ht="30" customHeight="1" x14ac:dyDescent="0.2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0" t="s">
        <v>294</v>
      </c>
      <c r="AT53" s="53" t="s">
        <v>326</v>
      </c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0" t="s">
        <v>317</v>
      </c>
      <c r="AT54" s="53" t="s">
        <v>326</v>
      </c>
    </row>
    <row r="55" spans="1:1013" ht="30" customHeight="1" x14ac:dyDescent="0.2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0" t="s">
        <v>317</v>
      </c>
      <c r="AT55" s="53" t="s">
        <v>326</v>
      </c>
    </row>
    <row r="56" spans="1:1013" ht="30" customHeight="1" x14ac:dyDescent="0.2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0" t="s">
        <v>317</v>
      </c>
      <c r="AT56" s="53" t="s">
        <v>326</v>
      </c>
    </row>
    <row r="57" spans="1:1013" ht="30" customHeight="1" x14ac:dyDescent="0.2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0" t="s">
        <v>317</v>
      </c>
      <c r="AT57" s="53" t="s">
        <v>326</v>
      </c>
    </row>
    <row r="58" spans="1:1013" ht="30" customHeight="1" x14ac:dyDescent="0.2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0" t="s">
        <v>317</v>
      </c>
      <c r="AT58" s="53" t="s">
        <v>326</v>
      </c>
    </row>
    <row r="59" spans="1:1013" ht="30" customHeight="1" x14ac:dyDescent="0.2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0" t="s">
        <v>317</v>
      </c>
      <c r="AT59" s="53" t="s">
        <v>326</v>
      </c>
    </row>
    <row r="60" spans="1:1013" ht="30" customHeight="1" x14ac:dyDescent="0.2">
      <c r="A60" s="16" t="s">
        <v>321</v>
      </c>
      <c r="B60" s="12" t="s">
        <v>318</v>
      </c>
      <c r="C60" s="16" t="s">
        <v>66</v>
      </c>
      <c r="D60" s="29">
        <v>44</v>
      </c>
      <c r="E60" s="23" t="s">
        <v>34</v>
      </c>
      <c r="F60" s="23">
        <v>58</v>
      </c>
      <c r="G60" s="11" t="s">
        <v>71</v>
      </c>
      <c r="H60" s="11" t="s">
        <v>72</v>
      </c>
      <c r="I60" s="11">
        <v>50</v>
      </c>
      <c r="J60" s="11">
        <v>64</v>
      </c>
      <c r="K60" s="11">
        <v>22</v>
      </c>
      <c r="L60" s="11">
        <v>16</v>
      </c>
      <c r="M60" s="11">
        <v>126</v>
      </c>
      <c r="N60" s="11">
        <v>124</v>
      </c>
      <c r="O60" s="11">
        <v>128</v>
      </c>
      <c r="P60" s="11">
        <v>77</v>
      </c>
      <c r="Q60" s="11">
        <v>46</v>
      </c>
      <c r="R60" s="11">
        <v>50</v>
      </c>
      <c r="S60" s="11">
        <v>65</v>
      </c>
      <c r="T60" s="11">
        <v>21</v>
      </c>
      <c r="U60" s="11">
        <v>13</v>
      </c>
      <c r="V60" s="11">
        <v>33</v>
      </c>
      <c r="W60" s="11">
        <v>33</v>
      </c>
      <c r="X60" s="11">
        <v>33</v>
      </c>
      <c r="Y60" s="11">
        <v>77</v>
      </c>
      <c r="Z60" s="11">
        <v>46</v>
      </c>
      <c r="AA60" s="11">
        <v>50</v>
      </c>
      <c r="AB60" s="11">
        <v>27</v>
      </c>
      <c r="AC60" s="11">
        <v>21</v>
      </c>
      <c r="AD60" s="11">
        <v>33</v>
      </c>
      <c r="AE60" s="11">
        <v>33</v>
      </c>
      <c r="AF60" s="11">
        <v>33</v>
      </c>
      <c r="AG60" s="11">
        <v>77</v>
      </c>
      <c r="AH60" s="11">
        <v>46</v>
      </c>
      <c r="AI60" s="11">
        <v>114</v>
      </c>
      <c r="AJ60" s="11">
        <v>124</v>
      </c>
      <c r="AK60" s="11">
        <v>78</v>
      </c>
      <c r="AL60" s="11">
        <v>40</v>
      </c>
      <c r="AM60" s="11">
        <v>30</v>
      </c>
      <c r="AN60" s="11">
        <v>23</v>
      </c>
      <c r="AO60" s="6">
        <v>105</v>
      </c>
      <c r="AP60" s="6">
        <v>4</v>
      </c>
      <c r="AQ60" s="20" t="s">
        <v>320</v>
      </c>
      <c r="AR60" s="4"/>
      <c r="AS60" s="50" t="s">
        <v>332</v>
      </c>
      <c r="AT60" s="53" t="s">
        <v>326</v>
      </c>
    </row>
    <row r="61" spans="1:1013" ht="30" customHeight="1" x14ac:dyDescent="0.2">
      <c r="A61" s="16" t="s">
        <v>322</v>
      </c>
      <c r="B61" s="12" t="s">
        <v>319</v>
      </c>
      <c r="C61" s="16" t="s">
        <v>66</v>
      </c>
      <c r="D61" s="29">
        <v>44</v>
      </c>
      <c r="E61" s="23" t="s">
        <v>34</v>
      </c>
      <c r="F61" s="23">
        <v>58</v>
      </c>
      <c r="G61" s="11" t="s">
        <v>71</v>
      </c>
      <c r="H61" s="11" t="s">
        <v>72</v>
      </c>
      <c r="I61" s="11">
        <v>48</v>
      </c>
      <c r="J61" s="11">
        <v>58</v>
      </c>
      <c r="K61" s="11">
        <v>21</v>
      </c>
      <c r="L61" s="11">
        <v>15</v>
      </c>
      <c r="M61" s="11">
        <v>114</v>
      </c>
      <c r="N61" s="11">
        <v>112</v>
      </c>
      <c r="O61" s="11">
        <v>117</v>
      </c>
      <c r="P61" s="11">
        <v>70</v>
      </c>
      <c r="Q61" s="11">
        <v>45</v>
      </c>
      <c r="R61" s="11">
        <v>48</v>
      </c>
      <c r="S61" s="11">
        <v>59</v>
      </c>
      <c r="T61" s="11">
        <v>20</v>
      </c>
      <c r="U61" s="11">
        <v>13</v>
      </c>
      <c r="V61" s="11">
        <v>30</v>
      </c>
      <c r="W61" s="11">
        <v>28</v>
      </c>
      <c r="X61" s="11">
        <v>30</v>
      </c>
      <c r="Y61" s="11">
        <v>70</v>
      </c>
      <c r="Z61" s="11">
        <v>45</v>
      </c>
      <c r="AA61" s="11">
        <v>48</v>
      </c>
      <c r="AB61" s="11">
        <v>25</v>
      </c>
      <c r="AC61" s="11">
        <v>20</v>
      </c>
      <c r="AD61" s="11">
        <v>30</v>
      </c>
      <c r="AE61" s="11">
        <v>28</v>
      </c>
      <c r="AF61" s="11">
        <v>30</v>
      </c>
      <c r="AG61" s="11">
        <v>70</v>
      </c>
      <c r="AH61" s="11">
        <v>45</v>
      </c>
      <c r="AI61" s="11">
        <v>106</v>
      </c>
      <c r="AJ61" s="11">
        <v>115</v>
      </c>
      <c r="AK61" s="11">
        <v>72</v>
      </c>
      <c r="AL61" s="11">
        <v>37</v>
      </c>
      <c r="AM61" s="11">
        <v>27</v>
      </c>
      <c r="AN61" s="11">
        <v>23</v>
      </c>
      <c r="AO61" s="6">
        <v>95</v>
      </c>
      <c r="AP61" s="6">
        <v>4</v>
      </c>
      <c r="AQ61" s="20" t="s">
        <v>320</v>
      </c>
      <c r="AR61" s="4"/>
      <c r="AS61" s="50" t="s">
        <v>332</v>
      </c>
      <c r="AT61" s="53" t="s">
        <v>326</v>
      </c>
    </row>
    <row r="62" spans="1:1013" ht="30" customHeight="1" x14ac:dyDescent="0.2">
      <c r="A62" s="16" t="s">
        <v>324</v>
      </c>
      <c r="B62" s="12" t="s">
        <v>323</v>
      </c>
      <c r="C62" s="16" t="s">
        <v>66</v>
      </c>
      <c r="D62" s="29">
        <v>42</v>
      </c>
      <c r="E62" s="23" t="s">
        <v>32</v>
      </c>
      <c r="F62" s="23">
        <v>57</v>
      </c>
      <c r="G62" s="11" t="s">
        <v>71</v>
      </c>
      <c r="H62" s="11" t="s">
        <v>72</v>
      </c>
      <c r="I62" s="11">
        <v>47</v>
      </c>
      <c r="J62" s="11">
        <v>63</v>
      </c>
      <c r="K62" s="11">
        <v>20</v>
      </c>
      <c r="L62" s="11">
        <v>15</v>
      </c>
      <c r="M62" s="11">
        <v>104</v>
      </c>
      <c r="N62" s="11">
        <v>98</v>
      </c>
      <c r="O62" s="11">
        <v>117</v>
      </c>
      <c r="P62" s="11">
        <v>75</v>
      </c>
      <c r="Q62" s="11">
        <v>42</v>
      </c>
      <c r="R62" s="11">
        <v>47</v>
      </c>
      <c r="S62" s="11">
        <v>64</v>
      </c>
      <c r="T62" s="11">
        <v>18</v>
      </c>
      <c r="U62" s="11">
        <v>13</v>
      </c>
      <c r="V62" s="11">
        <v>28</v>
      </c>
      <c r="W62" s="11">
        <v>26</v>
      </c>
      <c r="X62" s="11">
        <v>28</v>
      </c>
      <c r="Y62" s="11">
        <v>75</v>
      </c>
      <c r="Z62" s="11">
        <v>42</v>
      </c>
      <c r="AA62" s="11">
        <v>47</v>
      </c>
      <c r="AB62" s="11">
        <v>26</v>
      </c>
      <c r="AC62" s="11">
        <v>18</v>
      </c>
      <c r="AD62" s="11">
        <v>28</v>
      </c>
      <c r="AE62" s="11">
        <v>26</v>
      </c>
      <c r="AF62" s="11">
        <v>28</v>
      </c>
      <c r="AG62" s="11">
        <v>75</v>
      </c>
      <c r="AH62" s="11">
        <v>42</v>
      </c>
      <c r="AI62" s="11">
        <v>89</v>
      </c>
      <c r="AJ62" s="11">
        <v>113</v>
      </c>
      <c r="AK62" s="11">
        <v>69</v>
      </c>
      <c r="AL62" s="11">
        <v>35</v>
      </c>
      <c r="AM62" s="11">
        <v>26</v>
      </c>
      <c r="AN62" s="11">
        <v>20</v>
      </c>
      <c r="AO62" s="6">
        <v>104</v>
      </c>
      <c r="AP62" s="6">
        <v>4</v>
      </c>
      <c r="AQ62" s="20" t="s">
        <v>317</v>
      </c>
      <c r="AR62" s="4"/>
      <c r="AS62" s="50" t="s">
        <v>332</v>
      </c>
      <c r="AT62" s="53" t="s">
        <v>326</v>
      </c>
    </row>
    <row r="63" spans="1:1013" ht="30" customHeight="1" x14ac:dyDescent="0.2">
      <c r="A63" s="16" t="s">
        <v>327</v>
      </c>
      <c r="B63" s="12" t="s">
        <v>325</v>
      </c>
      <c r="C63" s="16" t="s">
        <v>66</v>
      </c>
      <c r="D63" s="29">
        <v>41</v>
      </c>
      <c r="E63" s="23" t="s">
        <v>32</v>
      </c>
      <c r="F63" s="29">
        <v>56</v>
      </c>
      <c r="G63" s="11" t="s">
        <v>71</v>
      </c>
      <c r="H63" s="11" t="s">
        <v>72</v>
      </c>
      <c r="I63" s="52">
        <v>45</v>
      </c>
      <c r="J63" s="52">
        <v>58</v>
      </c>
      <c r="K63" s="52">
        <v>19</v>
      </c>
      <c r="L63" s="52">
        <v>14</v>
      </c>
      <c r="M63" s="52">
        <v>108</v>
      </c>
      <c r="N63" s="52">
        <v>104</v>
      </c>
      <c r="O63" s="52">
        <v>114</v>
      </c>
      <c r="P63" s="52">
        <v>70</v>
      </c>
      <c r="Q63" s="52">
        <v>42</v>
      </c>
      <c r="R63" s="52">
        <v>45</v>
      </c>
      <c r="S63" s="52">
        <v>59</v>
      </c>
      <c r="T63" s="52">
        <v>18</v>
      </c>
      <c r="U63" s="52">
        <v>13</v>
      </c>
      <c r="V63" s="52">
        <v>29</v>
      </c>
      <c r="W63" s="52">
        <v>27</v>
      </c>
      <c r="X63" s="52">
        <v>29</v>
      </c>
      <c r="Y63" s="52">
        <v>70</v>
      </c>
      <c r="Z63" s="52">
        <v>42</v>
      </c>
      <c r="AA63" s="52">
        <v>45</v>
      </c>
      <c r="AB63" s="52">
        <v>25</v>
      </c>
      <c r="AC63" s="52">
        <v>18</v>
      </c>
      <c r="AD63" s="52">
        <v>29</v>
      </c>
      <c r="AE63" s="52">
        <v>27</v>
      </c>
      <c r="AF63" s="52">
        <v>29</v>
      </c>
      <c r="AG63" s="52">
        <v>70</v>
      </c>
      <c r="AH63" s="52">
        <v>42</v>
      </c>
      <c r="AI63" s="52">
        <v>94</v>
      </c>
      <c r="AJ63" s="52">
        <v>114</v>
      </c>
      <c r="AK63" s="52">
        <v>67</v>
      </c>
      <c r="AL63" s="52">
        <v>35</v>
      </c>
      <c r="AM63" s="52">
        <v>26</v>
      </c>
      <c r="AN63" s="52">
        <v>21</v>
      </c>
      <c r="AO63" s="32">
        <v>92</v>
      </c>
      <c r="AP63" s="32">
        <v>4</v>
      </c>
      <c r="AQ63" s="20" t="s">
        <v>326</v>
      </c>
      <c r="AR63" s="4"/>
      <c r="AS63" s="50" t="s">
        <v>332</v>
      </c>
      <c r="AT63" s="53" t="s">
        <v>326</v>
      </c>
    </row>
    <row r="64" spans="1:1013" ht="30" customHeight="1" x14ac:dyDescent="0.2">
      <c r="A64" s="16" t="s">
        <v>334</v>
      </c>
      <c r="B64" s="12" t="s">
        <v>333</v>
      </c>
      <c r="C64" s="16" t="s">
        <v>66</v>
      </c>
      <c r="D64" s="29">
        <v>42</v>
      </c>
      <c r="E64" s="23" t="s">
        <v>32</v>
      </c>
      <c r="F64" s="29">
        <v>57</v>
      </c>
      <c r="G64" s="11" t="s">
        <v>71</v>
      </c>
      <c r="H64" s="11" t="s">
        <v>72</v>
      </c>
      <c r="I64" s="52">
        <v>48</v>
      </c>
      <c r="J64" s="52">
        <v>62</v>
      </c>
      <c r="K64" s="52">
        <v>20</v>
      </c>
      <c r="L64" s="52">
        <v>15</v>
      </c>
      <c r="M64" s="52">
        <v>114</v>
      </c>
      <c r="N64" s="52">
        <v>110</v>
      </c>
      <c r="O64" s="52">
        <v>118</v>
      </c>
      <c r="P64" s="52">
        <v>73</v>
      </c>
      <c r="Q64" s="52">
        <v>44</v>
      </c>
      <c r="R64" s="52">
        <v>48</v>
      </c>
      <c r="S64" s="52">
        <v>63</v>
      </c>
      <c r="T64" s="52">
        <v>19</v>
      </c>
      <c r="U64" s="52">
        <v>13</v>
      </c>
      <c r="V64" s="52">
        <v>30</v>
      </c>
      <c r="W64" s="52">
        <v>28</v>
      </c>
      <c r="X64" s="52">
        <v>30</v>
      </c>
      <c r="Y64" s="52">
        <v>73</v>
      </c>
      <c r="Z64" s="52">
        <v>44</v>
      </c>
      <c r="AA64" s="52">
        <v>48</v>
      </c>
      <c r="AB64" s="52">
        <v>27</v>
      </c>
      <c r="AC64" s="52">
        <v>19</v>
      </c>
      <c r="AD64" s="52">
        <v>30</v>
      </c>
      <c r="AE64" s="52">
        <v>28</v>
      </c>
      <c r="AF64" s="52">
        <v>30</v>
      </c>
      <c r="AG64" s="52">
        <v>73</v>
      </c>
      <c r="AH64" s="52">
        <v>44</v>
      </c>
      <c r="AI64" s="52">
        <v>103</v>
      </c>
      <c r="AJ64" s="52">
        <v>114</v>
      </c>
      <c r="AK64" s="52">
        <v>74</v>
      </c>
      <c r="AL64" s="52">
        <v>37</v>
      </c>
      <c r="AM64" s="52">
        <v>28</v>
      </c>
      <c r="AN64" s="52">
        <v>23</v>
      </c>
      <c r="AO64" s="32">
        <v>105</v>
      </c>
      <c r="AP64" s="32">
        <v>4</v>
      </c>
      <c r="AQ64" s="20" t="s">
        <v>326</v>
      </c>
      <c r="AR64" s="4"/>
      <c r="AS64" s="50" t="s">
        <v>332</v>
      </c>
      <c r="AT64" s="53" t="s">
        <v>326</v>
      </c>
    </row>
    <row r="65" spans="1:46" ht="30" customHeight="1" x14ac:dyDescent="0.2">
      <c r="A65" s="16" t="s">
        <v>338</v>
      </c>
      <c r="B65" s="12" t="s">
        <v>335</v>
      </c>
      <c r="C65" s="16" t="s">
        <v>66</v>
      </c>
      <c r="D65" s="29">
        <v>39</v>
      </c>
      <c r="E65" s="23" t="s">
        <v>31</v>
      </c>
      <c r="F65" s="29">
        <v>54</v>
      </c>
      <c r="G65" s="11" t="s">
        <v>71</v>
      </c>
      <c r="H65" s="11" t="s">
        <v>116</v>
      </c>
      <c r="I65" s="11">
        <v>39</v>
      </c>
      <c r="J65" s="11">
        <v>54</v>
      </c>
      <c r="K65" s="11">
        <v>18</v>
      </c>
      <c r="L65" s="11">
        <v>14</v>
      </c>
      <c r="M65" s="11">
        <v>94</v>
      </c>
      <c r="N65" s="11">
        <v>83</v>
      </c>
      <c r="O65" s="11">
        <v>105</v>
      </c>
      <c r="P65" s="11">
        <v>70</v>
      </c>
      <c r="Q65" s="11">
        <v>36</v>
      </c>
      <c r="R65" s="11">
        <v>39</v>
      </c>
      <c r="S65" s="11">
        <v>55</v>
      </c>
      <c r="T65" s="11">
        <v>16</v>
      </c>
      <c r="U65" s="11">
        <v>12</v>
      </c>
      <c r="V65" s="11">
        <v>26</v>
      </c>
      <c r="W65" s="11">
        <v>23</v>
      </c>
      <c r="X65" s="11">
        <v>26</v>
      </c>
      <c r="Y65" s="11">
        <v>70</v>
      </c>
      <c r="Z65" s="11">
        <v>36</v>
      </c>
      <c r="AA65" s="11">
        <v>39</v>
      </c>
      <c r="AB65" s="11">
        <v>55</v>
      </c>
      <c r="AC65" s="11">
        <v>16</v>
      </c>
      <c r="AD65" s="11">
        <v>12</v>
      </c>
      <c r="AE65" s="11">
        <v>26</v>
      </c>
      <c r="AF65" s="11">
        <v>23</v>
      </c>
      <c r="AG65" s="11">
        <v>26</v>
      </c>
      <c r="AH65" s="11" t="s">
        <v>336</v>
      </c>
      <c r="AI65" s="11">
        <v>77</v>
      </c>
      <c r="AJ65" s="39">
        <v>102</v>
      </c>
      <c r="AK65" s="39">
        <v>66</v>
      </c>
      <c r="AL65" s="39">
        <v>32</v>
      </c>
      <c r="AM65" s="39">
        <v>23</v>
      </c>
      <c r="AN65" s="3">
        <v>18</v>
      </c>
      <c r="AO65" s="3">
        <v>92</v>
      </c>
      <c r="AP65" s="28">
        <v>4</v>
      </c>
      <c r="AQ65" s="50" t="s">
        <v>337</v>
      </c>
      <c r="AR65" s="4"/>
      <c r="AS65" s="50" t="s">
        <v>337</v>
      </c>
      <c r="AT65" s="53" t="s">
        <v>337</v>
      </c>
    </row>
    <row r="66" spans="1:46" ht="30" customHeight="1" x14ac:dyDescent="0.2">
      <c r="A66" s="16" t="s">
        <v>340</v>
      </c>
      <c r="B66" s="12" t="s">
        <v>339</v>
      </c>
      <c r="C66" s="16" t="s">
        <v>66</v>
      </c>
      <c r="D66" s="29">
        <v>42</v>
      </c>
      <c r="E66" s="23" t="s">
        <v>31</v>
      </c>
      <c r="F66" s="29">
        <v>56</v>
      </c>
      <c r="G66" s="11" t="s">
        <v>71</v>
      </c>
      <c r="H66" s="11" t="s">
        <v>72</v>
      </c>
      <c r="I66" s="11">
        <v>45</v>
      </c>
      <c r="J66" s="11">
        <v>60</v>
      </c>
      <c r="K66" s="11">
        <v>18</v>
      </c>
      <c r="L66" s="11">
        <v>14</v>
      </c>
      <c r="M66" s="11">
        <v>94</v>
      </c>
      <c r="N66" s="11">
        <v>87</v>
      </c>
      <c r="O66" s="11">
        <v>100</v>
      </c>
      <c r="P66" s="11">
        <v>72</v>
      </c>
      <c r="Q66" s="11">
        <v>39</v>
      </c>
      <c r="R66" s="11">
        <v>45</v>
      </c>
      <c r="S66" s="11">
        <v>61</v>
      </c>
      <c r="T66" s="11">
        <v>16</v>
      </c>
      <c r="U66" s="11">
        <v>12</v>
      </c>
      <c r="V66" s="11">
        <v>27</v>
      </c>
      <c r="W66" s="11">
        <v>24</v>
      </c>
      <c r="X66" s="11">
        <v>27</v>
      </c>
      <c r="Y66" s="11">
        <v>72</v>
      </c>
      <c r="Z66" s="11">
        <v>39</v>
      </c>
      <c r="AA66" s="11">
        <v>45</v>
      </c>
      <c r="AB66" s="11">
        <v>26</v>
      </c>
      <c r="AC66" s="11">
        <v>16</v>
      </c>
      <c r="AD66" s="11">
        <v>27</v>
      </c>
      <c r="AE66" s="11">
        <v>24</v>
      </c>
      <c r="AF66" s="11">
        <v>27</v>
      </c>
      <c r="AG66" s="11">
        <v>72</v>
      </c>
      <c r="AH66" s="11">
        <v>39</v>
      </c>
      <c r="AI66" s="11">
        <v>81</v>
      </c>
      <c r="AJ66" s="39">
        <v>98</v>
      </c>
      <c r="AK66" s="39">
        <v>63</v>
      </c>
      <c r="AL66" s="39">
        <v>31</v>
      </c>
      <c r="AM66" s="39">
        <v>24</v>
      </c>
      <c r="AN66" s="3">
        <v>19</v>
      </c>
      <c r="AO66" s="3">
        <v>100</v>
      </c>
      <c r="AP66" s="28">
        <v>4</v>
      </c>
      <c r="AQ66" s="50" t="s">
        <v>337</v>
      </c>
      <c r="AR66" s="4"/>
      <c r="AS66" s="50" t="s">
        <v>337</v>
      </c>
      <c r="AT66" s="53" t="s">
        <v>337</v>
      </c>
    </row>
    <row r="67" spans="1:46" ht="30" customHeight="1" x14ac:dyDescent="0.2">
      <c r="A67" s="16" t="s">
        <v>64</v>
      </c>
      <c r="B67" s="12" t="s">
        <v>88</v>
      </c>
      <c r="C67" s="16" t="s">
        <v>90</v>
      </c>
      <c r="D67" s="23">
        <v>43</v>
      </c>
      <c r="E67" s="25" t="s">
        <v>34</v>
      </c>
      <c r="F67" s="7">
        <v>57</v>
      </c>
      <c r="G67" s="11" t="s">
        <v>71</v>
      </c>
      <c r="H67" s="11" t="s">
        <v>72</v>
      </c>
      <c r="I67" s="3">
        <v>46</v>
      </c>
      <c r="J67" s="3">
        <v>63</v>
      </c>
      <c r="K67" s="3">
        <v>20</v>
      </c>
      <c r="L67" s="3">
        <v>15</v>
      </c>
      <c r="M67" s="3">
        <v>110</v>
      </c>
      <c r="N67" s="3">
        <v>101</v>
      </c>
      <c r="O67" s="3">
        <v>115</v>
      </c>
      <c r="P67" s="3">
        <v>73</v>
      </c>
      <c r="Q67" s="3">
        <v>42</v>
      </c>
      <c r="R67" s="11">
        <v>46</v>
      </c>
      <c r="S67" s="11">
        <v>64</v>
      </c>
      <c r="T67" s="11">
        <v>18</v>
      </c>
      <c r="U67" s="11">
        <v>13</v>
      </c>
      <c r="V67" s="11">
        <v>30</v>
      </c>
      <c r="W67" s="11">
        <v>29</v>
      </c>
      <c r="X67" s="11">
        <v>30</v>
      </c>
      <c r="Y67" s="11">
        <v>72</v>
      </c>
      <c r="Z67" s="11">
        <v>42</v>
      </c>
      <c r="AA67" s="3">
        <v>46</v>
      </c>
      <c r="AB67" s="3">
        <v>27</v>
      </c>
      <c r="AC67" s="3">
        <v>20</v>
      </c>
      <c r="AD67" s="3">
        <v>30</v>
      </c>
      <c r="AE67" s="3">
        <v>29</v>
      </c>
      <c r="AF67" s="3">
        <v>30</v>
      </c>
      <c r="AG67" s="3">
        <v>72</v>
      </c>
      <c r="AH67" s="3">
        <v>42</v>
      </c>
      <c r="AI67" s="3">
        <v>93</v>
      </c>
      <c r="AJ67" s="3">
        <v>112</v>
      </c>
      <c r="AK67" s="3">
        <v>70</v>
      </c>
      <c r="AL67" s="3">
        <v>35</v>
      </c>
      <c r="AM67" s="3">
        <v>25</v>
      </c>
      <c r="AN67" s="3">
        <v>20</v>
      </c>
      <c r="AO67" s="3">
        <v>94</v>
      </c>
      <c r="AP67" s="2">
        <v>1</v>
      </c>
      <c r="AQ67" s="21" t="s">
        <v>100</v>
      </c>
      <c r="AS67" s="50" t="s">
        <v>294</v>
      </c>
      <c r="AT67" s="53" t="s">
        <v>326</v>
      </c>
    </row>
    <row r="68" spans="1:46" ht="30" customHeight="1" x14ac:dyDescent="0.2">
      <c r="A68" s="8" t="s">
        <v>65</v>
      </c>
      <c r="B68" s="12" t="s">
        <v>89</v>
      </c>
      <c r="C68" s="16" t="s">
        <v>90</v>
      </c>
      <c r="D68" s="23">
        <v>42</v>
      </c>
      <c r="E68" s="25" t="s">
        <v>34</v>
      </c>
      <c r="F68" s="7">
        <v>55</v>
      </c>
      <c r="G68" s="11" t="s">
        <v>71</v>
      </c>
      <c r="H68" s="11" t="s">
        <v>72</v>
      </c>
      <c r="I68" s="3">
        <v>42</v>
      </c>
      <c r="J68" s="3">
        <v>61</v>
      </c>
      <c r="K68" s="3">
        <v>18</v>
      </c>
      <c r="L68" s="3">
        <v>14</v>
      </c>
      <c r="M68" s="3">
        <v>93</v>
      </c>
      <c r="N68" s="3">
        <v>82</v>
      </c>
      <c r="O68" s="3">
        <v>102</v>
      </c>
      <c r="P68" s="3">
        <v>72</v>
      </c>
      <c r="Q68" s="3">
        <v>37</v>
      </c>
      <c r="R68" s="11">
        <v>42</v>
      </c>
      <c r="S68" s="11">
        <v>62</v>
      </c>
      <c r="T68" s="11">
        <v>16</v>
      </c>
      <c r="U68" s="11">
        <v>12</v>
      </c>
      <c r="V68" s="11">
        <v>27</v>
      </c>
      <c r="W68" s="11">
        <v>26</v>
      </c>
      <c r="X68" s="11">
        <v>27</v>
      </c>
      <c r="Y68" s="11">
        <v>72</v>
      </c>
      <c r="Z68" s="11">
        <v>37</v>
      </c>
      <c r="AA68" s="3">
        <v>42</v>
      </c>
      <c r="AB68" s="3">
        <v>25</v>
      </c>
      <c r="AC68" s="3">
        <v>18</v>
      </c>
      <c r="AD68" s="3">
        <v>27</v>
      </c>
      <c r="AE68" s="3">
        <v>26</v>
      </c>
      <c r="AF68" s="3">
        <v>27</v>
      </c>
      <c r="AG68" s="3">
        <v>72</v>
      </c>
      <c r="AH68" s="3">
        <v>37</v>
      </c>
      <c r="AI68" s="3">
        <v>72</v>
      </c>
      <c r="AJ68" s="3">
        <v>93</v>
      </c>
      <c r="AK68" s="3">
        <v>64</v>
      </c>
      <c r="AL68" s="3">
        <v>31</v>
      </c>
      <c r="AM68" s="3">
        <v>23</v>
      </c>
      <c r="AN68" s="3">
        <v>19</v>
      </c>
      <c r="AO68" s="6">
        <v>100</v>
      </c>
      <c r="AP68" s="2">
        <v>1</v>
      </c>
      <c r="AQ68" s="21" t="s">
        <v>100</v>
      </c>
      <c r="AS68" s="50" t="s">
        <v>294</v>
      </c>
      <c r="AT68" s="53" t="s">
        <v>326</v>
      </c>
    </row>
    <row r="69" spans="1:46" ht="30" customHeight="1" x14ac:dyDescent="0.2">
      <c r="A69" s="16" t="s">
        <v>80</v>
      </c>
      <c r="B69" s="12" t="s">
        <v>91</v>
      </c>
      <c r="C69" s="16" t="s">
        <v>90</v>
      </c>
      <c r="D69" s="23">
        <v>41</v>
      </c>
      <c r="E69" s="25" t="s">
        <v>32</v>
      </c>
      <c r="F69" s="3">
        <v>58</v>
      </c>
      <c r="G69" s="11" t="s">
        <v>71</v>
      </c>
      <c r="H69" s="11" t="s">
        <v>72</v>
      </c>
      <c r="I69" s="3">
        <v>44</v>
      </c>
      <c r="J69" s="3">
        <v>59</v>
      </c>
      <c r="K69" s="3">
        <v>19</v>
      </c>
      <c r="L69" s="3">
        <v>15</v>
      </c>
      <c r="M69" s="3">
        <v>105</v>
      </c>
      <c r="N69" s="3">
        <v>101</v>
      </c>
      <c r="O69" s="3">
        <v>117</v>
      </c>
      <c r="P69" s="3">
        <v>73</v>
      </c>
      <c r="Q69" s="3">
        <v>43</v>
      </c>
      <c r="R69" s="11">
        <v>44</v>
      </c>
      <c r="S69" s="11">
        <v>60</v>
      </c>
      <c r="T69" s="11">
        <v>17</v>
      </c>
      <c r="U69" s="11">
        <v>13</v>
      </c>
      <c r="V69" s="11">
        <v>30</v>
      </c>
      <c r="W69" s="11">
        <v>29</v>
      </c>
      <c r="X69" s="11">
        <v>30</v>
      </c>
      <c r="Y69" s="11">
        <v>73</v>
      </c>
      <c r="Z69" s="11">
        <v>43</v>
      </c>
      <c r="AA69" s="3">
        <v>44</v>
      </c>
      <c r="AB69" s="3">
        <v>24</v>
      </c>
      <c r="AC69" s="3">
        <v>19</v>
      </c>
      <c r="AD69" s="3">
        <v>30</v>
      </c>
      <c r="AE69" s="3">
        <v>29</v>
      </c>
      <c r="AF69" s="3">
        <v>30</v>
      </c>
      <c r="AG69" s="3">
        <v>73</v>
      </c>
      <c r="AH69" s="3">
        <v>43</v>
      </c>
      <c r="AI69" s="3">
        <v>90</v>
      </c>
      <c r="AJ69" s="3">
        <v>113</v>
      </c>
      <c r="AK69" s="3">
        <v>71</v>
      </c>
      <c r="AL69" s="3">
        <v>35</v>
      </c>
      <c r="AM69" s="3">
        <v>25</v>
      </c>
      <c r="AN69" s="3">
        <v>19</v>
      </c>
      <c r="AO69" s="3">
        <v>94</v>
      </c>
      <c r="AP69" s="2">
        <v>1</v>
      </c>
      <c r="AQ69" s="21" t="s">
        <v>100</v>
      </c>
      <c r="AS69" s="50" t="s">
        <v>294</v>
      </c>
      <c r="AT69" s="53" t="s">
        <v>326</v>
      </c>
    </row>
    <row r="70" spans="1:46" ht="30" customHeight="1" x14ac:dyDescent="0.2">
      <c r="A70" s="8" t="s">
        <v>81</v>
      </c>
      <c r="B70" s="12" t="s">
        <v>92</v>
      </c>
      <c r="C70" s="16" t="s">
        <v>90</v>
      </c>
      <c r="D70" s="23">
        <v>39</v>
      </c>
      <c r="E70" s="25" t="s">
        <v>34</v>
      </c>
      <c r="F70" s="7">
        <v>57</v>
      </c>
      <c r="G70" s="11" t="s">
        <v>71</v>
      </c>
      <c r="H70" s="11" t="s">
        <v>72</v>
      </c>
      <c r="I70" s="3">
        <v>47</v>
      </c>
      <c r="J70" s="3">
        <v>59</v>
      </c>
      <c r="K70" s="3">
        <v>21</v>
      </c>
      <c r="L70" s="3">
        <v>16</v>
      </c>
      <c r="M70" s="3">
        <v>122</v>
      </c>
      <c r="N70" s="3">
        <v>112</v>
      </c>
      <c r="O70" s="3">
        <v>120</v>
      </c>
      <c r="P70" s="3">
        <v>71</v>
      </c>
      <c r="Q70" s="3">
        <v>44</v>
      </c>
      <c r="R70" s="11">
        <v>47</v>
      </c>
      <c r="S70" s="11">
        <v>60</v>
      </c>
      <c r="T70" s="11">
        <v>19</v>
      </c>
      <c r="U70" s="11">
        <v>14</v>
      </c>
      <c r="V70" s="11">
        <v>31</v>
      </c>
      <c r="W70" s="11">
        <v>30</v>
      </c>
      <c r="X70" s="11">
        <v>31</v>
      </c>
      <c r="Y70" s="11">
        <v>70</v>
      </c>
      <c r="Z70" s="11">
        <v>44</v>
      </c>
      <c r="AA70" s="3">
        <v>47</v>
      </c>
      <c r="AB70" s="3">
        <v>22</v>
      </c>
      <c r="AC70" s="3">
        <v>21</v>
      </c>
      <c r="AD70" s="3">
        <v>31</v>
      </c>
      <c r="AE70" s="3">
        <v>30</v>
      </c>
      <c r="AF70" s="3">
        <v>31</v>
      </c>
      <c r="AG70" s="3">
        <v>70</v>
      </c>
      <c r="AH70" s="3">
        <v>44</v>
      </c>
      <c r="AI70" s="3">
        <v>99</v>
      </c>
      <c r="AJ70" s="3">
        <v>114</v>
      </c>
      <c r="AK70" s="3">
        <v>72</v>
      </c>
      <c r="AL70" s="3">
        <v>36</v>
      </c>
      <c r="AM70" s="3">
        <v>26</v>
      </c>
      <c r="AN70" s="3">
        <v>20</v>
      </c>
      <c r="AO70" s="3">
        <v>90</v>
      </c>
      <c r="AP70" s="2">
        <v>1</v>
      </c>
      <c r="AQ70" s="21" t="s">
        <v>100</v>
      </c>
      <c r="AS70" s="50" t="s">
        <v>294</v>
      </c>
      <c r="AT70" s="53" t="s">
        <v>326</v>
      </c>
    </row>
    <row r="71" spans="1:46" ht="30" customHeight="1" x14ac:dyDescent="0.2">
      <c r="A71" s="16" t="s">
        <v>82</v>
      </c>
      <c r="B71" s="12" t="s">
        <v>197</v>
      </c>
      <c r="C71" s="16" t="s">
        <v>90</v>
      </c>
      <c r="D71" s="23">
        <v>41</v>
      </c>
      <c r="E71" s="25" t="s">
        <v>32</v>
      </c>
      <c r="F71" s="7">
        <v>58</v>
      </c>
      <c r="G71" s="11" t="s">
        <v>71</v>
      </c>
      <c r="H71" s="11" t="s">
        <v>72</v>
      </c>
      <c r="I71" s="3">
        <v>44</v>
      </c>
      <c r="J71" s="3">
        <v>60</v>
      </c>
      <c r="K71" s="3">
        <v>20</v>
      </c>
      <c r="L71" s="3">
        <v>15</v>
      </c>
      <c r="M71" s="3">
        <v>113</v>
      </c>
      <c r="N71" s="3">
        <v>108</v>
      </c>
      <c r="O71" s="3">
        <v>116</v>
      </c>
      <c r="P71" s="3">
        <v>74</v>
      </c>
      <c r="Q71" s="3">
        <v>42</v>
      </c>
      <c r="R71" s="11">
        <v>44</v>
      </c>
      <c r="S71" s="11">
        <v>61</v>
      </c>
      <c r="T71" s="11">
        <v>18</v>
      </c>
      <c r="U71" s="11">
        <v>13</v>
      </c>
      <c r="V71" s="11">
        <v>30</v>
      </c>
      <c r="W71" s="11">
        <v>29</v>
      </c>
      <c r="X71" s="11">
        <v>30</v>
      </c>
      <c r="Y71" s="11">
        <v>73</v>
      </c>
      <c r="Z71" s="11">
        <v>42</v>
      </c>
      <c r="AA71" s="3">
        <v>44</v>
      </c>
      <c r="AB71" s="3">
        <v>25</v>
      </c>
      <c r="AC71" s="3">
        <v>19</v>
      </c>
      <c r="AD71" s="3">
        <v>30</v>
      </c>
      <c r="AE71" s="3">
        <v>29</v>
      </c>
      <c r="AF71" s="3">
        <v>30</v>
      </c>
      <c r="AG71" s="3">
        <v>73</v>
      </c>
      <c r="AH71" s="3">
        <v>42</v>
      </c>
      <c r="AI71" s="3">
        <v>96</v>
      </c>
      <c r="AJ71" s="3">
        <v>113</v>
      </c>
      <c r="AK71" s="3">
        <v>70</v>
      </c>
      <c r="AL71" s="3">
        <v>35</v>
      </c>
      <c r="AM71" s="3">
        <v>25</v>
      </c>
      <c r="AN71" s="3">
        <v>20</v>
      </c>
      <c r="AO71" s="3">
        <v>94</v>
      </c>
      <c r="AP71" s="2">
        <v>1</v>
      </c>
      <c r="AQ71" s="21" t="s">
        <v>100</v>
      </c>
      <c r="AS71" s="50" t="s">
        <v>294</v>
      </c>
      <c r="AT71" s="53" t="s">
        <v>326</v>
      </c>
    </row>
    <row r="72" spans="1:46" ht="30" customHeight="1" x14ac:dyDescent="0.2">
      <c r="A72" s="8" t="s">
        <v>83</v>
      </c>
      <c r="B72" s="12" t="s">
        <v>93</v>
      </c>
      <c r="C72" s="16" t="s">
        <v>90</v>
      </c>
      <c r="D72" s="23">
        <v>42</v>
      </c>
      <c r="E72" s="25" t="s">
        <v>32</v>
      </c>
      <c r="F72" s="7">
        <v>57</v>
      </c>
      <c r="G72" s="11" t="s">
        <v>71</v>
      </c>
      <c r="H72" s="11" t="s">
        <v>72</v>
      </c>
      <c r="I72" s="3">
        <v>44</v>
      </c>
      <c r="J72" s="3">
        <v>63</v>
      </c>
      <c r="K72" s="3">
        <v>18</v>
      </c>
      <c r="L72" s="3">
        <v>15</v>
      </c>
      <c r="M72" s="3">
        <v>103</v>
      </c>
      <c r="N72" s="3">
        <v>99</v>
      </c>
      <c r="O72" s="3">
        <v>113</v>
      </c>
      <c r="P72" s="3">
        <v>74</v>
      </c>
      <c r="Q72" s="3">
        <v>40</v>
      </c>
      <c r="R72" s="11">
        <v>44</v>
      </c>
      <c r="S72" s="11">
        <v>64</v>
      </c>
      <c r="T72" s="11">
        <v>16</v>
      </c>
      <c r="U72" s="11">
        <v>13</v>
      </c>
      <c r="V72" s="11">
        <v>29</v>
      </c>
      <c r="W72" s="11">
        <v>28</v>
      </c>
      <c r="X72" s="11">
        <v>29</v>
      </c>
      <c r="Y72" s="11">
        <v>74</v>
      </c>
      <c r="Z72" s="11">
        <v>40</v>
      </c>
      <c r="AA72" s="3">
        <v>44</v>
      </c>
      <c r="AB72" s="3">
        <v>26</v>
      </c>
      <c r="AC72" s="3">
        <v>19</v>
      </c>
      <c r="AD72" s="3">
        <v>29</v>
      </c>
      <c r="AE72" s="3">
        <v>28</v>
      </c>
      <c r="AF72" s="3">
        <v>29</v>
      </c>
      <c r="AG72" s="3">
        <v>74</v>
      </c>
      <c r="AH72" s="3">
        <v>40</v>
      </c>
      <c r="AI72" s="3">
        <v>89</v>
      </c>
      <c r="AJ72" s="3">
        <v>109</v>
      </c>
      <c r="AK72" s="3">
        <v>68</v>
      </c>
      <c r="AL72" s="3">
        <v>34</v>
      </c>
      <c r="AM72" s="3">
        <v>25</v>
      </c>
      <c r="AN72" s="3">
        <v>19</v>
      </c>
      <c r="AO72" s="3">
        <v>94</v>
      </c>
      <c r="AP72" s="2">
        <v>1</v>
      </c>
      <c r="AQ72" s="21" t="s">
        <v>100</v>
      </c>
      <c r="AS72" s="50" t="s">
        <v>294</v>
      </c>
      <c r="AT72" s="53" t="s">
        <v>326</v>
      </c>
    </row>
    <row r="73" spans="1:46" ht="30" customHeight="1" x14ac:dyDescent="0.2">
      <c r="A73" s="16" t="s">
        <v>84</v>
      </c>
      <c r="B73" s="12" t="s">
        <v>94</v>
      </c>
      <c r="C73" s="16" t="s">
        <v>90</v>
      </c>
      <c r="D73" s="23">
        <v>41</v>
      </c>
      <c r="E73" s="25" t="s">
        <v>31</v>
      </c>
      <c r="F73" s="7">
        <v>54</v>
      </c>
      <c r="G73" s="11" t="s">
        <v>71</v>
      </c>
      <c r="H73" s="11" t="s">
        <v>72</v>
      </c>
      <c r="I73" s="3">
        <v>42</v>
      </c>
      <c r="J73" s="3">
        <v>61</v>
      </c>
      <c r="K73" s="3">
        <v>18</v>
      </c>
      <c r="L73" s="3">
        <v>14</v>
      </c>
      <c r="M73" s="3">
        <v>95</v>
      </c>
      <c r="N73" s="3">
        <v>88</v>
      </c>
      <c r="O73" s="3">
        <v>107</v>
      </c>
      <c r="P73" s="3">
        <v>73</v>
      </c>
      <c r="Q73" s="3">
        <v>38</v>
      </c>
      <c r="R73" s="11">
        <v>42</v>
      </c>
      <c r="S73" s="11">
        <v>62</v>
      </c>
      <c r="T73" s="11">
        <v>16</v>
      </c>
      <c r="U73" s="11">
        <v>12</v>
      </c>
      <c r="V73" s="11">
        <v>26</v>
      </c>
      <c r="W73" s="11">
        <v>25</v>
      </c>
      <c r="X73" s="11">
        <v>26</v>
      </c>
      <c r="Y73" s="11">
        <v>73</v>
      </c>
      <c r="Z73" s="11">
        <v>38</v>
      </c>
      <c r="AA73" s="3">
        <v>42</v>
      </c>
      <c r="AB73" s="3">
        <v>25</v>
      </c>
      <c r="AC73" s="3">
        <v>18</v>
      </c>
      <c r="AD73" s="3">
        <v>26</v>
      </c>
      <c r="AE73" s="3">
        <v>25</v>
      </c>
      <c r="AF73" s="3">
        <v>26</v>
      </c>
      <c r="AG73" s="3">
        <v>73</v>
      </c>
      <c r="AH73" s="3">
        <v>38</v>
      </c>
      <c r="AI73" s="3">
        <v>81</v>
      </c>
      <c r="AJ73" s="3">
        <v>104</v>
      </c>
      <c r="AK73" s="3">
        <v>64</v>
      </c>
      <c r="AL73" s="3">
        <v>32</v>
      </c>
      <c r="AM73" s="3">
        <v>24</v>
      </c>
      <c r="AN73" s="3">
        <v>19</v>
      </c>
      <c r="AO73" s="3">
        <v>93</v>
      </c>
      <c r="AP73" s="2">
        <v>1</v>
      </c>
      <c r="AQ73" s="21" t="s">
        <v>100</v>
      </c>
      <c r="AS73" s="50" t="s">
        <v>294</v>
      </c>
      <c r="AT73" s="53" t="s">
        <v>326</v>
      </c>
    </row>
    <row r="74" spans="1:46" ht="30" customHeight="1" x14ac:dyDescent="0.2">
      <c r="A74" s="8" t="s">
        <v>85</v>
      </c>
      <c r="B74" s="12" t="s">
        <v>95</v>
      </c>
      <c r="C74" s="16" t="s">
        <v>90</v>
      </c>
      <c r="D74" s="23">
        <v>43</v>
      </c>
      <c r="E74" s="25" t="s">
        <v>34</v>
      </c>
      <c r="F74" s="7">
        <v>57</v>
      </c>
      <c r="G74" s="11" t="s">
        <v>71</v>
      </c>
      <c r="H74" s="11" t="s">
        <v>72</v>
      </c>
      <c r="I74" s="3">
        <v>47</v>
      </c>
      <c r="J74" s="3">
        <v>59</v>
      </c>
      <c r="K74" s="3">
        <v>21</v>
      </c>
      <c r="L74" s="3">
        <v>16</v>
      </c>
      <c r="M74" s="3">
        <v>120</v>
      </c>
      <c r="N74" s="3">
        <v>118</v>
      </c>
      <c r="O74" s="3">
        <v>130</v>
      </c>
      <c r="P74" s="3">
        <v>73</v>
      </c>
      <c r="Q74" s="3">
        <v>43</v>
      </c>
      <c r="R74" s="11">
        <v>47</v>
      </c>
      <c r="S74" s="11">
        <v>60</v>
      </c>
      <c r="T74" s="11">
        <v>19</v>
      </c>
      <c r="U74" s="11">
        <v>14</v>
      </c>
      <c r="V74" s="11">
        <v>32</v>
      </c>
      <c r="W74" s="11">
        <v>31</v>
      </c>
      <c r="X74" s="11">
        <v>32</v>
      </c>
      <c r="Y74" s="11">
        <v>72</v>
      </c>
      <c r="Z74" s="11">
        <v>43</v>
      </c>
      <c r="AA74" s="3">
        <v>47</v>
      </c>
      <c r="AB74" s="3">
        <v>26</v>
      </c>
      <c r="AC74" s="3">
        <v>21</v>
      </c>
      <c r="AD74" s="3">
        <v>32</v>
      </c>
      <c r="AE74" s="3">
        <v>31</v>
      </c>
      <c r="AF74" s="3">
        <v>32</v>
      </c>
      <c r="AG74" s="3">
        <v>72</v>
      </c>
      <c r="AH74" s="3">
        <v>43</v>
      </c>
      <c r="AI74" s="3">
        <v>110</v>
      </c>
      <c r="AJ74" s="3">
        <v>128</v>
      </c>
      <c r="AK74" s="3">
        <v>75</v>
      </c>
      <c r="AL74" s="3">
        <v>41</v>
      </c>
      <c r="AM74" s="3">
        <v>28</v>
      </c>
      <c r="AN74" s="3">
        <v>21</v>
      </c>
      <c r="AO74" s="3">
        <v>95</v>
      </c>
      <c r="AP74" s="2">
        <v>1</v>
      </c>
      <c r="AQ74" s="21" t="s">
        <v>100</v>
      </c>
      <c r="AS74" s="50" t="s">
        <v>294</v>
      </c>
      <c r="AT74" s="53" t="s">
        <v>326</v>
      </c>
    </row>
    <row r="75" spans="1:46" ht="30" customHeight="1" x14ac:dyDescent="0.2">
      <c r="A75" s="16" t="s">
        <v>86</v>
      </c>
      <c r="B75" s="12" t="s">
        <v>96</v>
      </c>
      <c r="C75" s="16" t="s">
        <v>90</v>
      </c>
      <c r="D75" s="23">
        <v>46</v>
      </c>
      <c r="E75" s="25" t="s">
        <v>33</v>
      </c>
      <c r="F75" s="7">
        <v>57</v>
      </c>
      <c r="G75" s="11" t="s">
        <v>71</v>
      </c>
      <c r="H75" s="11" t="s">
        <v>72</v>
      </c>
      <c r="I75" s="3">
        <v>51</v>
      </c>
      <c r="J75" s="3">
        <v>68</v>
      </c>
      <c r="K75" s="3">
        <v>21</v>
      </c>
      <c r="L75" s="3">
        <v>16</v>
      </c>
      <c r="M75" s="3">
        <v>125</v>
      </c>
      <c r="N75" s="3">
        <v>125</v>
      </c>
      <c r="O75" s="3">
        <v>131</v>
      </c>
      <c r="P75" s="3">
        <v>81</v>
      </c>
      <c r="Q75" s="3">
        <v>45</v>
      </c>
      <c r="R75" s="11">
        <v>51</v>
      </c>
      <c r="S75" s="11">
        <v>69</v>
      </c>
      <c r="T75" s="11">
        <v>19</v>
      </c>
      <c r="U75" s="11">
        <v>14</v>
      </c>
      <c r="V75" s="11">
        <v>33</v>
      </c>
      <c r="W75" s="11">
        <v>32</v>
      </c>
      <c r="X75" s="11">
        <v>33</v>
      </c>
      <c r="Y75" s="11">
        <v>80</v>
      </c>
      <c r="Z75" s="11">
        <v>45</v>
      </c>
      <c r="AA75" s="3">
        <v>51</v>
      </c>
      <c r="AB75" s="3">
        <v>29</v>
      </c>
      <c r="AC75" s="3">
        <v>21</v>
      </c>
      <c r="AD75" s="3">
        <v>33</v>
      </c>
      <c r="AE75" s="6">
        <v>32</v>
      </c>
      <c r="AF75" s="20">
        <v>33</v>
      </c>
      <c r="AG75" s="6">
        <v>80</v>
      </c>
      <c r="AH75" s="6">
        <v>45</v>
      </c>
      <c r="AI75" s="6">
        <v>110</v>
      </c>
      <c r="AJ75" s="6">
        <v>128</v>
      </c>
      <c r="AK75" s="6">
        <v>76</v>
      </c>
      <c r="AL75" s="6">
        <v>38</v>
      </c>
      <c r="AM75" s="6">
        <v>27</v>
      </c>
      <c r="AN75" s="6">
        <v>20</v>
      </c>
      <c r="AO75" s="6">
        <v>107</v>
      </c>
      <c r="AP75" s="2">
        <v>1</v>
      </c>
      <c r="AQ75" s="21" t="s">
        <v>100</v>
      </c>
      <c r="AS75" s="50" t="s">
        <v>294</v>
      </c>
      <c r="AT75" s="53" t="s">
        <v>326</v>
      </c>
    </row>
    <row r="76" spans="1:46" ht="30" customHeight="1" x14ac:dyDescent="0.2">
      <c r="A76" s="8" t="s">
        <v>98</v>
      </c>
      <c r="B76" s="12" t="s">
        <v>97</v>
      </c>
      <c r="C76" s="16" t="s">
        <v>90</v>
      </c>
      <c r="D76" s="23">
        <v>43</v>
      </c>
      <c r="E76" s="25" t="s">
        <v>33</v>
      </c>
      <c r="F76" s="7">
        <v>57</v>
      </c>
      <c r="G76" s="11" t="s">
        <v>71</v>
      </c>
      <c r="H76" s="11" t="s">
        <v>72</v>
      </c>
      <c r="I76" s="3">
        <v>51</v>
      </c>
      <c r="J76" s="3">
        <v>68</v>
      </c>
      <c r="K76" s="3">
        <v>21</v>
      </c>
      <c r="L76" s="3">
        <v>16</v>
      </c>
      <c r="M76" s="3">
        <v>125</v>
      </c>
      <c r="N76" s="3">
        <v>125</v>
      </c>
      <c r="O76" s="3">
        <v>131</v>
      </c>
      <c r="P76" s="3">
        <v>81</v>
      </c>
      <c r="Q76" s="3">
        <v>45</v>
      </c>
      <c r="R76" s="11">
        <v>51</v>
      </c>
      <c r="S76" s="11">
        <v>69</v>
      </c>
      <c r="T76" s="11">
        <v>19</v>
      </c>
      <c r="U76" s="11">
        <v>14</v>
      </c>
      <c r="V76" s="11">
        <v>33</v>
      </c>
      <c r="W76" s="11">
        <v>32</v>
      </c>
      <c r="X76" s="11">
        <v>33</v>
      </c>
      <c r="Y76" s="11">
        <v>80</v>
      </c>
      <c r="Z76" s="11">
        <v>45</v>
      </c>
      <c r="AA76" s="3">
        <v>51</v>
      </c>
      <c r="AB76" s="3">
        <v>29</v>
      </c>
      <c r="AC76" s="3">
        <v>21</v>
      </c>
      <c r="AD76" s="3">
        <v>33</v>
      </c>
      <c r="AE76" s="6">
        <v>32</v>
      </c>
      <c r="AF76" s="20">
        <v>33</v>
      </c>
      <c r="AG76" s="6">
        <v>80</v>
      </c>
      <c r="AH76" s="6">
        <v>45</v>
      </c>
      <c r="AI76" s="6">
        <v>110</v>
      </c>
      <c r="AJ76" s="6">
        <v>128</v>
      </c>
      <c r="AK76" s="6">
        <v>76</v>
      </c>
      <c r="AL76" s="6">
        <v>38</v>
      </c>
      <c r="AM76" s="6">
        <v>27</v>
      </c>
      <c r="AN76" s="6">
        <v>20</v>
      </c>
      <c r="AO76" s="6">
        <v>107</v>
      </c>
      <c r="AP76" s="2">
        <v>1</v>
      </c>
      <c r="AQ76" s="21" t="s">
        <v>100</v>
      </c>
      <c r="AS76" s="50" t="s">
        <v>294</v>
      </c>
      <c r="AT76" s="53" t="s">
        <v>326</v>
      </c>
    </row>
    <row r="77" spans="1:46" ht="30" customHeight="1" x14ac:dyDescent="0.2">
      <c r="A77" s="16" t="s">
        <v>87</v>
      </c>
      <c r="B77" s="12" t="s">
        <v>99</v>
      </c>
      <c r="C77" s="16" t="s">
        <v>90</v>
      </c>
      <c r="D77" s="23">
        <v>41</v>
      </c>
      <c r="E77" s="25" t="s">
        <v>32</v>
      </c>
      <c r="F77" s="7">
        <v>56</v>
      </c>
      <c r="G77" s="11" t="s">
        <v>71</v>
      </c>
      <c r="H77" s="11" t="s">
        <v>72</v>
      </c>
      <c r="I77" s="3">
        <v>42</v>
      </c>
      <c r="J77" s="3">
        <v>62</v>
      </c>
      <c r="K77" s="3">
        <v>19</v>
      </c>
      <c r="L77" s="3">
        <v>15</v>
      </c>
      <c r="M77" s="3">
        <v>105</v>
      </c>
      <c r="N77" s="3">
        <v>103</v>
      </c>
      <c r="O77" s="3">
        <v>113</v>
      </c>
      <c r="P77" s="3">
        <v>71</v>
      </c>
      <c r="Q77" s="3">
        <v>42</v>
      </c>
      <c r="R77" s="11">
        <v>42</v>
      </c>
      <c r="S77" s="11">
        <v>63</v>
      </c>
      <c r="T77" s="11">
        <v>17</v>
      </c>
      <c r="U77" s="11">
        <v>13</v>
      </c>
      <c r="V77" s="11">
        <v>29</v>
      </c>
      <c r="W77" s="11">
        <v>28</v>
      </c>
      <c r="X77" s="11">
        <v>29</v>
      </c>
      <c r="Y77" s="11">
        <v>71</v>
      </c>
      <c r="Z77" s="11">
        <v>42</v>
      </c>
      <c r="AA77" s="3">
        <v>42</v>
      </c>
      <c r="AB77" s="3">
        <v>25</v>
      </c>
      <c r="AC77" s="3">
        <v>19</v>
      </c>
      <c r="AD77" s="3">
        <v>29</v>
      </c>
      <c r="AE77" s="6">
        <v>28</v>
      </c>
      <c r="AF77" s="20">
        <v>29</v>
      </c>
      <c r="AG77" s="6">
        <v>71</v>
      </c>
      <c r="AH77" s="6">
        <v>42</v>
      </c>
      <c r="AI77" s="6">
        <v>90</v>
      </c>
      <c r="AJ77" s="6">
        <v>109</v>
      </c>
      <c r="AK77" s="6">
        <v>69</v>
      </c>
      <c r="AL77" s="6">
        <v>34</v>
      </c>
      <c r="AM77" s="6">
        <v>25</v>
      </c>
      <c r="AN77" s="6">
        <v>20</v>
      </c>
      <c r="AO77" s="6">
        <v>92</v>
      </c>
      <c r="AP77" s="2">
        <v>1</v>
      </c>
      <c r="AQ77" s="21" t="s">
        <v>100</v>
      </c>
      <c r="AS77" s="50" t="s">
        <v>294</v>
      </c>
      <c r="AT77" s="53" t="s">
        <v>326</v>
      </c>
    </row>
    <row r="78" spans="1:46" ht="30" customHeight="1" x14ac:dyDescent="0.2">
      <c r="A78" s="16" t="s">
        <v>101</v>
      </c>
      <c r="B78" s="12" t="s">
        <v>109</v>
      </c>
      <c r="C78" s="16" t="s">
        <v>90</v>
      </c>
      <c r="D78" s="23">
        <v>44</v>
      </c>
      <c r="E78" s="25" t="s">
        <v>33</v>
      </c>
      <c r="F78" s="7">
        <v>58</v>
      </c>
      <c r="G78" s="11" t="s">
        <v>71</v>
      </c>
      <c r="H78" s="11" t="s">
        <v>72</v>
      </c>
      <c r="I78" s="3">
        <v>53</v>
      </c>
      <c r="J78" s="3">
        <v>62</v>
      </c>
      <c r="K78" s="3">
        <v>23</v>
      </c>
      <c r="L78" s="3">
        <v>16</v>
      </c>
      <c r="M78" s="3">
        <v>135</v>
      </c>
      <c r="N78" s="3">
        <v>135</v>
      </c>
      <c r="O78" s="3">
        <v>135</v>
      </c>
      <c r="P78" s="3">
        <v>80</v>
      </c>
      <c r="Q78" s="3">
        <v>47</v>
      </c>
      <c r="R78" s="3">
        <v>53</v>
      </c>
      <c r="S78" s="3">
        <v>63</v>
      </c>
      <c r="T78" s="3">
        <v>22</v>
      </c>
      <c r="U78" s="3">
        <v>13.5</v>
      </c>
      <c r="V78" s="3">
        <v>35</v>
      </c>
      <c r="W78" s="3">
        <v>35</v>
      </c>
      <c r="X78" s="3">
        <v>35</v>
      </c>
      <c r="Y78" s="3">
        <v>80</v>
      </c>
      <c r="Z78" s="3">
        <v>47</v>
      </c>
      <c r="AA78" s="3">
        <v>53</v>
      </c>
      <c r="AB78" s="3">
        <v>27</v>
      </c>
      <c r="AC78" s="3">
        <v>22</v>
      </c>
      <c r="AD78" s="3">
        <v>35</v>
      </c>
      <c r="AE78" s="3">
        <v>35</v>
      </c>
      <c r="AF78" s="3">
        <v>35</v>
      </c>
      <c r="AG78" s="3">
        <v>80</v>
      </c>
      <c r="AH78" s="3">
        <v>47</v>
      </c>
      <c r="AI78" s="3">
        <v>118</v>
      </c>
      <c r="AJ78" s="3">
        <v>130</v>
      </c>
      <c r="AK78" s="3">
        <v>78</v>
      </c>
      <c r="AL78" s="3">
        <v>40</v>
      </c>
      <c r="AM78" s="3">
        <v>29</v>
      </c>
      <c r="AN78" s="3">
        <v>23</v>
      </c>
      <c r="AO78" s="3">
        <v>100</v>
      </c>
      <c r="AP78" s="2">
        <v>2</v>
      </c>
      <c r="AQ78" s="21" t="s">
        <v>132</v>
      </c>
      <c r="AS78" s="50" t="s">
        <v>294</v>
      </c>
      <c r="AT78" s="53" t="s">
        <v>326</v>
      </c>
    </row>
    <row r="79" spans="1:46" ht="30" customHeight="1" x14ac:dyDescent="0.2">
      <c r="A79" s="16" t="s">
        <v>102</v>
      </c>
      <c r="B79" s="12" t="s">
        <v>110</v>
      </c>
      <c r="C79" s="16" t="s">
        <v>90</v>
      </c>
      <c r="D79" s="23">
        <v>43</v>
      </c>
      <c r="E79" s="25" t="s">
        <v>34</v>
      </c>
      <c r="F79" s="7">
        <v>58</v>
      </c>
      <c r="G79" s="11" t="s">
        <v>71</v>
      </c>
      <c r="H79" s="11" t="s">
        <v>72</v>
      </c>
      <c r="I79" s="3">
        <v>48</v>
      </c>
      <c r="J79" s="3">
        <v>65</v>
      </c>
      <c r="K79" s="3">
        <v>20</v>
      </c>
      <c r="L79" s="3">
        <v>15</v>
      </c>
      <c r="M79" s="3">
        <v>110</v>
      </c>
      <c r="N79" s="3">
        <v>106</v>
      </c>
      <c r="O79" s="3">
        <v>116</v>
      </c>
      <c r="P79" s="3">
        <v>77</v>
      </c>
      <c r="Q79" s="3">
        <v>43</v>
      </c>
      <c r="R79" s="3">
        <v>48</v>
      </c>
      <c r="S79" s="3">
        <v>66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77</v>
      </c>
      <c r="Z79" s="3">
        <v>43</v>
      </c>
      <c r="AA79" s="3">
        <v>48</v>
      </c>
      <c r="AB79" s="3">
        <v>27</v>
      </c>
      <c r="AC79" s="3">
        <v>19</v>
      </c>
      <c r="AD79" s="3">
        <v>29</v>
      </c>
      <c r="AE79" s="3">
        <v>27</v>
      </c>
      <c r="AF79" s="3">
        <v>29</v>
      </c>
      <c r="AG79" s="3">
        <v>77</v>
      </c>
      <c r="AH79" s="3">
        <v>43</v>
      </c>
      <c r="AI79" s="3">
        <v>99</v>
      </c>
      <c r="AJ79" s="3">
        <v>114</v>
      </c>
      <c r="AK79" s="3">
        <v>70</v>
      </c>
      <c r="AL79" s="3">
        <v>36</v>
      </c>
      <c r="AM79" s="3">
        <v>27</v>
      </c>
      <c r="AN79" s="3">
        <v>20</v>
      </c>
      <c r="AO79" s="6">
        <v>103</v>
      </c>
      <c r="AP79" s="2">
        <v>2</v>
      </c>
      <c r="AQ79" s="21" t="s">
        <v>132</v>
      </c>
      <c r="AS79" s="50" t="s">
        <v>294</v>
      </c>
      <c r="AT79" s="53" t="s">
        <v>326</v>
      </c>
    </row>
    <row r="80" spans="1:46" ht="30" customHeight="1" x14ac:dyDescent="0.2">
      <c r="A80" s="16" t="s">
        <v>103</v>
      </c>
      <c r="B80" s="12" t="s">
        <v>111</v>
      </c>
      <c r="C80" s="16" t="s">
        <v>90</v>
      </c>
      <c r="D80" s="7">
        <v>41</v>
      </c>
      <c r="E80" s="25" t="s">
        <v>32</v>
      </c>
      <c r="F80" s="7">
        <v>57</v>
      </c>
      <c r="G80" s="11" t="s">
        <v>71</v>
      </c>
      <c r="H80" s="11" t="s">
        <v>72</v>
      </c>
      <c r="I80" s="3">
        <v>46</v>
      </c>
      <c r="J80" s="3">
        <v>60</v>
      </c>
      <c r="K80" s="3">
        <v>19</v>
      </c>
      <c r="L80" s="3">
        <v>14</v>
      </c>
      <c r="M80" s="3">
        <v>98</v>
      </c>
      <c r="N80" s="3">
        <v>95</v>
      </c>
      <c r="O80" s="3">
        <v>104</v>
      </c>
      <c r="P80" s="3">
        <v>70</v>
      </c>
      <c r="Q80" s="3">
        <v>41</v>
      </c>
      <c r="R80" s="3">
        <v>46</v>
      </c>
      <c r="S80" s="3">
        <v>61</v>
      </c>
      <c r="T80" s="3">
        <v>17</v>
      </c>
      <c r="U80" s="3">
        <v>13</v>
      </c>
      <c r="V80" s="3">
        <v>27</v>
      </c>
      <c r="W80" s="3">
        <v>25</v>
      </c>
      <c r="X80" s="3">
        <v>27</v>
      </c>
      <c r="Y80" s="3">
        <v>70</v>
      </c>
      <c r="Z80" s="3">
        <v>41</v>
      </c>
      <c r="AA80" s="3">
        <v>46</v>
      </c>
      <c r="AB80" s="3">
        <v>25</v>
      </c>
      <c r="AC80" s="3">
        <v>17</v>
      </c>
      <c r="AD80" s="3">
        <v>27</v>
      </c>
      <c r="AE80" s="3">
        <v>25</v>
      </c>
      <c r="AF80" s="3">
        <v>27</v>
      </c>
      <c r="AG80" s="3">
        <v>70</v>
      </c>
      <c r="AH80" s="3">
        <v>41</v>
      </c>
      <c r="AI80" s="3">
        <v>85</v>
      </c>
      <c r="AJ80" s="3">
        <v>100</v>
      </c>
      <c r="AK80" s="3">
        <v>66</v>
      </c>
      <c r="AL80" s="3">
        <v>32</v>
      </c>
      <c r="AM80" s="3">
        <v>24</v>
      </c>
      <c r="AN80" s="3">
        <v>19</v>
      </c>
      <c r="AO80" s="3">
        <v>98</v>
      </c>
      <c r="AP80" s="2">
        <v>2</v>
      </c>
      <c r="AQ80" s="21" t="s">
        <v>132</v>
      </c>
      <c r="AS80" s="50" t="s">
        <v>294</v>
      </c>
      <c r="AT80" s="53" t="s">
        <v>326</v>
      </c>
    </row>
    <row r="81" spans="1:46" ht="30" customHeight="1" x14ac:dyDescent="0.2">
      <c r="A81" s="16" t="s">
        <v>104</v>
      </c>
      <c r="B81" s="12" t="s">
        <v>112</v>
      </c>
      <c r="C81" s="16" t="s">
        <v>90</v>
      </c>
      <c r="D81" s="7">
        <v>42</v>
      </c>
      <c r="E81" s="25" t="s">
        <v>31</v>
      </c>
      <c r="F81" s="7">
        <v>57</v>
      </c>
      <c r="G81" s="11" t="s">
        <v>71</v>
      </c>
      <c r="H81" s="11" t="s">
        <v>72</v>
      </c>
      <c r="I81" s="3">
        <v>45</v>
      </c>
      <c r="J81" s="3">
        <v>64</v>
      </c>
      <c r="K81" s="3">
        <v>19</v>
      </c>
      <c r="L81" s="3">
        <v>14</v>
      </c>
      <c r="M81" s="3">
        <v>102</v>
      </c>
      <c r="N81" s="3">
        <v>96</v>
      </c>
      <c r="O81" s="3">
        <v>110</v>
      </c>
      <c r="P81" s="3">
        <v>71</v>
      </c>
      <c r="Q81" s="3">
        <v>42</v>
      </c>
      <c r="R81" s="3">
        <v>45</v>
      </c>
      <c r="S81" s="3">
        <v>65</v>
      </c>
      <c r="T81" s="3">
        <v>18</v>
      </c>
      <c r="U81" s="3">
        <v>13</v>
      </c>
      <c r="V81" s="3">
        <v>28</v>
      </c>
      <c r="W81" s="3">
        <v>27</v>
      </c>
      <c r="X81" s="3">
        <v>28</v>
      </c>
      <c r="Y81" s="3">
        <v>71</v>
      </c>
      <c r="Z81" s="3">
        <v>42</v>
      </c>
      <c r="AA81" s="3">
        <v>45</v>
      </c>
      <c r="AB81" s="3">
        <v>26</v>
      </c>
      <c r="AC81" s="3">
        <v>18</v>
      </c>
      <c r="AD81" s="3">
        <v>28</v>
      </c>
      <c r="AE81" s="3">
        <v>27</v>
      </c>
      <c r="AF81" s="3">
        <v>28</v>
      </c>
      <c r="AG81" s="3">
        <v>71</v>
      </c>
      <c r="AH81" s="3">
        <v>42</v>
      </c>
      <c r="AI81" s="3">
        <v>90</v>
      </c>
      <c r="AJ81" s="3">
        <v>107</v>
      </c>
      <c r="AK81" s="3">
        <v>66</v>
      </c>
      <c r="AL81" s="3">
        <v>34</v>
      </c>
      <c r="AM81" s="3">
        <v>24</v>
      </c>
      <c r="AN81" s="3">
        <v>19</v>
      </c>
      <c r="AO81" s="3">
        <v>100</v>
      </c>
      <c r="AP81" s="2">
        <v>2</v>
      </c>
      <c r="AQ81" s="21" t="s">
        <v>132</v>
      </c>
      <c r="AS81" s="50" t="s">
        <v>294</v>
      </c>
      <c r="AT81" s="53" t="s">
        <v>326</v>
      </c>
    </row>
    <row r="82" spans="1:46" ht="30" customHeight="1" x14ac:dyDescent="0.2">
      <c r="A82" s="16" t="s">
        <v>105</v>
      </c>
      <c r="B82" s="12" t="s">
        <v>113</v>
      </c>
      <c r="C82" s="16" t="s">
        <v>90</v>
      </c>
      <c r="D82" s="7">
        <v>43</v>
      </c>
      <c r="E82" s="25" t="s">
        <v>34</v>
      </c>
      <c r="F82" s="7">
        <v>59</v>
      </c>
      <c r="G82" s="11" t="s">
        <v>71</v>
      </c>
      <c r="H82" s="11" t="s">
        <v>72</v>
      </c>
      <c r="I82" s="3">
        <v>48</v>
      </c>
      <c r="J82" s="3">
        <v>58</v>
      </c>
      <c r="K82" s="3">
        <v>20</v>
      </c>
      <c r="L82" s="3">
        <v>15</v>
      </c>
      <c r="M82" s="3">
        <v>110</v>
      </c>
      <c r="N82" s="3">
        <v>110</v>
      </c>
      <c r="O82" s="3">
        <v>115</v>
      </c>
      <c r="P82" s="3">
        <v>74</v>
      </c>
      <c r="Q82" s="3">
        <v>43</v>
      </c>
      <c r="R82" s="3">
        <v>48</v>
      </c>
      <c r="S82" s="3">
        <v>59</v>
      </c>
      <c r="T82" s="3">
        <v>18</v>
      </c>
      <c r="U82" s="3">
        <v>13</v>
      </c>
      <c r="V82" s="3">
        <v>29</v>
      </c>
      <c r="W82" s="3">
        <v>27</v>
      </c>
      <c r="X82" s="3">
        <v>29</v>
      </c>
      <c r="Y82" s="3">
        <v>74</v>
      </c>
      <c r="Z82" s="3">
        <v>43</v>
      </c>
      <c r="AA82" s="3">
        <v>48</v>
      </c>
      <c r="AB82" s="3">
        <v>26</v>
      </c>
      <c r="AC82" s="3">
        <v>18</v>
      </c>
      <c r="AD82" s="3">
        <v>29</v>
      </c>
      <c r="AE82" s="3">
        <v>27</v>
      </c>
      <c r="AF82" s="3">
        <v>29</v>
      </c>
      <c r="AG82" s="3">
        <v>74</v>
      </c>
      <c r="AH82" s="3">
        <v>43</v>
      </c>
      <c r="AI82" s="3">
        <v>98</v>
      </c>
      <c r="AJ82" s="3">
        <v>110</v>
      </c>
      <c r="AK82" s="3">
        <v>74</v>
      </c>
      <c r="AL82" s="3">
        <v>36</v>
      </c>
      <c r="AM82" s="3">
        <v>26</v>
      </c>
      <c r="AN82" s="3">
        <v>20</v>
      </c>
      <c r="AO82" s="3">
        <v>103</v>
      </c>
      <c r="AP82" s="2">
        <v>2</v>
      </c>
      <c r="AQ82" s="21" t="s">
        <v>132</v>
      </c>
      <c r="AS82" s="50" t="s">
        <v>294</v>
      </c>
      <c r="AT82" s="53" t="s">
        <v>326</v>
      </c>
    </row>
    <row r="83" spans="1:46" ht="30" customHeight="1" x14ac:dyDescent="0.2">
      <c r="A83" s="16" t="s">
        <v>106</v>
      </c>
      <c r="B83" s="12" t="s">
        <v>119</v>
      </c>
      <c r="C83" s="16" t="s">
        <v>90</v>
      </c>
      <c r="D83" s="7">
        <v>43</v>
      </c>
      <c r="E83" s="25" t="s">
        <v>34</v>
      </c>
      <c r="F83" s="7">
        <v>58</v>
      </c>
      <c r="G83" s="11" t="s">
        <v>71</v>
      </c>
      <c r="H83" s="11" t="s">
        <v>72</v>
      </c>
      <c r="I83" s="3">
        <v>47</v>
      </c>
      <c r="J83" s="3">
        <v>63</v>
      </c>
      <c r="K83" s="3">
        <v>20</v>
      </c>
      <c r="L83" s="3">
        <v>15</v>
      </c>
      <c r="M83" s="3">
        <v>106</v>
      </c>
      <c r="N83" s="3">
        <v>96</v>
      </c>
      <c r="O83" s="3">
        <v>110</v>
      </c>
      <c r="P83" s="3">
        <v>73</v>
      </c>
      <c r="Q83" s="3">
        <v>44</v>
      </c>
      <c r="R83" s="3">
        <v>47</v>
      </c>
      <c r="S83" s="3">
        <v>64</v>
      </c>
      <c r="T83" s="3">
        <v>19</v>
      </c>
      <c r="U83" s="3">
        <v>14</v>
      </c>
      <c r="V83" s="3">
        <v>28</v>
      </c>
      <c r="W83" s="3">
        <v>27</v>
      </c>
      <c r="X83" s="3">
        <v>28</v>
      </c>
      <c r="Y83" s="3">
        <v>73</v>
      </c>
      <c r="Z83" s="3">
        <v>44</v>
      </c>
      <c r="AA83" s="3">
        <v>47</v>
      </c>
      <c r="AB83" s="3">
        <v>26</v>
      </c>
      <c r="AC83" s="3">
        <v>19</v>
      </c>
      <c r="AD83" s="3">
        <v>28</v>
      </c>
      <c r="AE83" s="3">
        <v>27</v>
      </c>
      <c r="AF83" s="3">
        <v>28</v>
      </c>
      <c r="AG83" s="3">
        <v>73</v>
      </c>
      <c r="AH83" s="3">
        <v>44</v>
      </c>
      <c r="AI83" s="3">
        <v>92</v>
      </c>
      <c r="AJ83" s="3">
        <v>109</v>
      </c>
      <c r="AK83" s="3">
        <v>66</v>
      </c>
      <c r="AL83" s="3">
        <v>34</v>
      </c>
      <c r="AM83" s="3">
        <v>24</v>
      </c>
      <c r="AN83" s="3">
        <v>20</v>
      </c>
      <c r="AO83" s="3">
        <v>98</v>
      </c>
      <c r="AP83" s="2">
        <v>2</v>
      </c>
      <c r="AQ83" s="21" t="s">
        <v>132</v>
      </c>
      <c r="AS83" s="50" t="s">
        <v>294</v>
      </c>
      <c r="AT83" s="53" t="s">
        <v>326</v>
      </c>
    </row>
    <row r="84" spans="1:46" ht="30" customHeight="1" x14ac:dyDescent="0.2">
      <c r="A84" s="16" t="s">
        <v>107</v>
      </c>
      <c r="B84" s="12" t="s">
        <v>120</v>
      </c>
      <c r="C84" s="16" t="s">
        <v>90</v>
      </c>
      <c r="D84" s="7">
        <v>44</v>
      </c>
      <c r="E84" s="25" t="s">
        <v>32</v>
      </c>
      <c r="F84" s="7">
        <v>57</v>
      </c>
      <c r="G84" s="11" t="s">
        <v>71</v>
      </c>
      <c r="H84" s="11" t="s">
        <v>72</v>
      </c>
      <c r="I84" s="3">
        <v>46</v>
      </c>
      <c r="J84" s="3">
        <v>63</v>
      </c>
      <c r="K84" s="3">
        <v>19</v>
      </c>
      <c r="L84" s="3">
        <v>14</v>
      </c>
      <c r="M84" s="3">
        <v>102</v>
      </c>
      <c r="N84" s="3">
        <v>97</v>
      </c>
      <c r="O84" s="3">
        <v>110</v>
      </c>
      <c r="P84" s="3">
        <v>77</v>
      </c>
      <c r="Q84" s="3">
        <v>42</v>
      </c>
      <c r="R84" s="3">
        <v>46</v>
      </c>
      <c r="S84" s="3">
        <v>64</v>
      </c>
      <c r="T84" s="3">
        <v>18</v>
      </c>
      <c r="U84" s="3">
        <v>13</v>
      </c>
      <c r="V84" s="3">
        <v>29</v>
      </c>
      <c r="W84" s="3">
        <v>27</v>
      </c>
      <c r="X84" s="3">
        <v>29</v>
      </c>
      <c r="Y84" s="3">
        <v>77</v>
      </c>
      <c r="Z84" s="3">
        <v>42</v>
      </c>
      <c r="AA84" s="3">
        <v>46</v>
      </c>
      <c r="AB84" s="3">
        <v>27</v>
      </c>
      <c r="AC84" s="3">
        <v>18</v>
      </c>
      <c r="AD84" s="3">
        <v>29</v>
      </c>
      <c r="AE84" s="3">
        <v>27</v>
      </c>
      <c r="AF84" s="3">
        <v>29</v>
      </c>
      <c r="AG84" s="3">
        <v>77</v>
      </c>
      <c r="AH84" s="3">
        <v>42</v>
      </c>
      <c r="AI84" s="3">
        <v>94</v>
      </c>
      <c r="AJ84" s="3">
        <v>108</v>
      </c>
      <c r="AK84" s="3">
        <v>66</v>
      </c>
      <c r="AL84" s="3">
        <v>35</v>
      </c>
      <c r="AM84" s="3">
        <v>26</v>
      </c>
      <c r="AN84" s="3">
        <v>22</v>
      </c>
      <c r="AO84" s="3">
        <v>104</v>
      </c>
      <c r="AP84" s="2">
        <v>2</v>
      </c>
      <c r="AQ84" s="21" t="s">
        <v>132</v>
      </c>
      <c r="AS84" s="50" t="s">
        <v>294</v>
      </c>
      <c r="AT84" s="53" t="s">
        <v>326</v>
      </c>
    </row>
    <row r="85" spans="1:46" ht="30" customHeight="1" x14ac:dyDescent="0.2">
      <c r="A85" s="16" t="s">
        <v>108</v>
      </c>
      <c r="B85" s="12" t="s">
        <v>121</v>
      </c>
      <c r="C85" s="16" t="s">
        <v>90</v>
      </c>
      <c r="D85" s="7">
        <v>44</v>
      </c>
      <c r="E85" s="25" t="s">
        <v>34</v>
      </c>
      <c r="F85" s="7">
        <v>57</v>
      </c>
      <c r="G85" s="11" t="s">
        <v>71</v>
      </c>
      <c r="H85" s="11" t="s">
        <v>72</v>
      </c>
      <c r="I85" s="3">
        <v>47</v>
      </c>
      <c r="J85" s="3">
        <v>63</v>
      </c>
      <c r="K85" s="3">
        <v>21</v>
      </c>
      <c r="L85" s="3">
        <v>15</v>
      </c>
      <c r="M85" s="3">
        <v>118</v>
      </c>
      <c r="N85" s="3">
        <v>115</v>
      </c>
      <c r="O85" s="3">
        <v>120</v>
      </c>
      <c r="P85" s="3">
        <v>75</v>
      </c>
      <c r="Q85" s="3">
        <v>44</v>
      </c>
      <c r="R85" s="3">
        <v>47</v>
      </c>
      <c r="S85" s="3">
        <v>64</v>
      </c>
      <c r="T85" s="3">
        <v>20</v>
      </c>
      <c r="U85" s="3">
        <v>13</v>
      </c>
      <c r="V85" s="3">
        <v>30</v>
      </c>
      <c r="W85" s="3">
        <v>28</v>
      </c>
      <c r="X85" s="3">
        <v>30</v>
      </c>
      <c r="Y85" s="3">
        <v>75</v>
      </c>
      <c r="Z85" s="3">
        <v>44</v>
      </c>
      <c r="AA85" s="3">
        <v>47</v>
      </c>
      <c r="AB85" s="3">
        <v>28</v>
      </c>
      <c r="AC85" s="3">
        <v>20</v>
      </c>
      <c r="AD85" s="3">
        <v>30</v>
      </c>
      <c r="AE85" s="3">
        <v>28</v>
      </c>
      <c r="AF85" s="3">
        <v>30</v>
      </c>
      <c r="AG85" s="3">
        <v>75</v>
      </c>
      <c r="AH85" s="3">
        <v>44</v>
      </c>
      <c r="AI85" s="3">
        <v>104</v>
      </c>
      <c r="AJ85" s="3">
        <v>116</v>
      </c>
      <c r="AK85" s="3">
        <v>76</v>
      </c>
      <c r="AL85" s="3">
        <v>37</v>
      </c>
      <c r="AM85" s="3">
        <v>27</v>
      </c>
      <c r="AN85" s="3">
        <v>21</v>
      </c>
      <c r="AO85" s="3">
        <v>103</v>
      </c>
      <c r="AP85" s="2">
        <v>2</v>
      </c>
      <c r="AQ85" s="21" t="s">
        <v>132</v>
      </c>
      <c r="AS85" s="50" t="s">
        <v>294</v>
      </c>
      <c r="AT85" s="53" t="s">
        <v>326</v>
      </c>
    </row>
    <row r="86" spans="1:46" ht="30" customHeight="1" x14ac:dyDescent="0.2">
      <c r="A86" s="16" t="s">
        <v>127</v>
      </c>
      <c r="B86" s="12" t="s">
        <v>122</v>
      </c>
      <c r="C86" s="16" t="s">
        <v>90</v>
      </c>
      <c r="D86" s="7">
        <v>42</v>
      </c>
      <c r="E86" s="25" t="s">
        <v>34</v>
      </c>
      <c r="F86" s="7">
        <v>60</v>
      </c>
      <c r="G86" s="11" t="s">
        <v>71</v>
      </c>
      <c r="H86" s="11" t="s">
        <v>72</v>
      </c>
      <c r="I86" s="3">
        <v>48</v>
      </c>
      <c r="J86" s="3">
        <v>60</v>
      </c>
      <c r="K86" s="3">
        <v>20</v>
      </c>
      <c r="L86" s="3">
        <v>15</v>
      </c>
      <c r="M86" s="3">
        <v>108</v>
      </c>
      <c r="N86" s="3">
        <v>102</v>
      </c>
      <c r="O86" s="3">
        <v>114</v>
      </c>
      <c r="P86" s="3">
        <v>75</v>
      </c>
      <c r="Q86" s="3">
        <v>43</v>
      </c>
      <c r="R86" s="3">
        <v>48</v>
      </c>
      <c r="S86" s="3">
        <v>61</v>
      </c>
      <c r="T86" s="3">
        <v>19</v>
      </c>
      <c r="U86" s="3">
        <v>13</v>
      </c>
      <c r="V86" s="3">
        <v>29</v>
      </c>
      <c r="W86" s="3">
        <v>27</v>
      </c>
      <c r="X86" s="3">
        <v>29</v>
      </c>
      <c r="Y86" s="3">
        <v>75</v>
      </c>
      <c r="Z86" s="3">
        <v>43</v>
      </c>
      <c r="AA86" s="3">
        <v>48</v>
      </c>
      <c r="AB86" s="3">
        <v>26</v>
      </c>
      <c r="AC86" s="3">
        <v>19</v>
      </c>
      <c r="AD86" s="3">
        <v>29</v>
      </c>
      <c r="AE86" s="3">
        <v>27</v>
      </c>
      <c r="AF86" s="3">
        <v>29</v>
      </c>
      <c r="AG86" s="3">
        <v>75</v>
      </c>
      <c r="AH86" s="3">
        <v>43</v>
      </c>
      <c r="AI86" s="3">
        <v>98</v>
      </c>
      <c r="AJ86" s="3">
        <v>110</v>
      </c>
      <c r="AK86" s="3">
        <v>69</v>
      </c>
      <c r="AL86" s="3">
        <v>36</v>
      </c>
      <c r="AM86" s="3">
        <v>27</v>
      </c>
      <c r="AN86" s="6">
        <v>22</v>
      </c>
      <c r="AO86" s="22">
        <v>100</v>
      </c>
      <c r="AP86" s="2">
        <v>2</v>
      </c>
      <c r="AQ86" s="21" t="s">
        <v>132</v>
      </c>
      <c r="AS86" s="50" t="s">
        <v>294</v>
      </c>
      <c r="AT86" s="53" t="s">
        <v>326</v>
      </c>
    </row>
    <row r="87" spans="1:46" ht="30" customHeight="1" x14ac:dyDescent="0.2">
      <c r="A87" s="16" t="s">
        <v>128</v>
      </c>
      <c r="B87" s="12" t="s">
        <v>123</v>
      </c>
      <c r="C87" s="16" t="s">
        <v>90</v>
      </c>
      <c r="D87" s="7">
        <v>41</v>
      </c>
      <c r="E87" s="25" t="s">
        <v>32</v>
      </c>
      <c r="F87" s="7">
        <v>57</v>
      </c>
      <c r="G87" s="11" t="s">
        <v>71</v>
      </c>
      <c r="H87" s="11" t="s">
        <v>72</v>
      </c>
      <c r="I87" s="3">
        <v>45</v>
      </c>
      <c r="J87" s="3">
        <v>63</v>
      </c>
      <c r="K87" s="3">
        <v>18</v>
      </c>
      <c r="L87" s="3">
        <v>14</v>
      </c>
      <c r="M87" s="3">
        <v>98</v>
      </c>
      <c r="N87" s="3">
        <v>94</v>
      </c>
      <c r="O87" s="3">
        <v>103</v>
      </c>
      <c r="P87" s="3">
        <v>72</v>
      </c>
      <c r="Q87" s="3">
        <v>40</v>
      </c>
      <c r="R87" s="3">
        <v>45</v>
      </c>
      <c r="S87" s="3">
        <v>64</v>
      </c>
      <c r="T87" s="3">
        <v>16</v>
      </c>
      <c r="U87" s="3">
        <v>12</v>
      </c>
      <c r="V87" s="3">
        <v>27</v>
      </c>
      <c r="W87" s="3">
        <v>25</v>
      </c>
      <c r="X87" s="3">
        <v>27</v>
      </c>
      <c r="Y87" s="3">
        <v>72</v>
      </c>
      <c r="Z87" s="3">
        <v>40</v>
      </c>
      <c r="AA87" s="3">
        <v>45</v>
      </c>
      <c r="AB87" s="3">
        <v>26</v>
      </c>
      <c r="AC87" s="3">
        <v>16</v>
      </c>
      <c r="AD87" s="3">
        <v>27</v>
      </c>
      <c r="AE87" s="3">
        <v>25</v>
      </c>
      <c r="AF87" s="3">
        <v>27</v>
      </c>
      <c r="AG87" s="3">
        <v>72</v>
      </c>
      <c r="AH87" s="3">
        <v>40</v>
      </c>
      <c r="AI87" s="3">
        <v>84</v>
      </c>
      <c r="AJ87" s="3">
        <v>100</v>
      </c>
      <c r="AK87" s="3">
        <v>66</v>
      </c>
      <c r="AL87" s="3">
        <v>32</v>
      </c>
      <c r="AM87" s="3">
        <v>24</v>
      </c>
      <c r="AN87" s="3">
        <v>19</v>
      </c>
      <c r="AO87" s="3">
        <v>104</v>
      </c>
      <c r="AP87" s="2">
        <v>2</v>
      </c>
      <c r="AQ87" s="21" t="s">
        <v>132</v>
      </c>
      <c r="AS87" s="50" t="s">
        <v>294</v>
      </c>
      <c r="AT87" s="53" t="s">
        <v>326</v>
      </c>
    </row>
    <row r="88" spans="1:46" ht="30" customHeight="1" x14ac:dyDescent="0.2">
      <c r="A88" s="16" t="s">
        <v>129</v>
      </c>
      <c r="B88" s="12" t="s">
        <v>124</v>
      </c>
      <c r="C88" s="16" t="s">
        <v>90</v>
      </c>
      <c r="D88" s="7">
        <v>41</v>
      </c>
      <c r="E88" s="25" t="s">
        <v>32</v>
      </c>
      <c r="F88" s="7">
        <v>57</v>
      </c>
      <c r="G88" s="11" t="s">
        <v>71</v>
      </c>
      <c r="H88" s="11" t="s">
        <v>72</v>
      </c>
      <c r="I88" s="3">
        <v>45</v>
      </c>
      <c r="J88" s="3">
        <v>60</v>
      </c>
      <c r="K88" s="3">
        <v>19</v>
      </c>
      <c r="L88" s="3">
        <v>14</v>
      </c>
      <c r="M88" s="3">
        <v>104</v>
      </c>
      <c r="N88" s="3">
        <v>99</v>
      </c>
      <c r="O88" s="3">
        <v>108</v>
      </c>
      <c r="P88" s="3">
        <v>68</v>
      </c>
      <c r="Q88" s="3">
        <v>42</v>
      </c>
      <c r="R88" s="3">
        <v>45</v>
      </c>
      <c r="S88" s="3">
        <v>61</v>
      </c>
      <c r="T88" s="3">
        <v>18</v>
      </c>
      <c r="U88" s="3">
        <v>13</v>
      </c>
      <c r="V88" s="3">
        <v>29</v>
      </c>
      <c r="W88" s="3">
        <v>27</v>
      </c>
      <c r="X88" s="3">
        <v>29</v>
      </c>
      <c r="Y88" s="3">
        <v>68</v>
      </c>
      <c r="Z88" s="3">
        <v>42</v>
      </c>
      <c r="AA88" s="3">
        <v>45</v>
      </c>
      <c r="AB88" s="3">
        <v>25</v>
      </c>
      <c r="AC88" s="3">
        <v>18</v>
      </c>
      <c r="AD88" s="3">
        <v>29</v>
      </c>
      <c r="AE88" s="3">
        <v>27</v>
      </c>
      <c r="AF88" s="3">
        <v>29</v>
      </c>
      <c r="AG88" s="3">
        <v>68</v>
      </c>
      <c r="AH88" s="3">
        <v>42</v>
      </c>
      <c r="AI88" s="3">
        <v>93</v>
      </c>
      <c r="AJ88" s="3">
        <v>106</v>
      </c>
      <c r="AK88" s="3">
        <v>68</v>
      </c>
      <c r="AL88" s="3">
        <v>34</v>
      </c>
      <c r="AM88" s="3">
        <v>25</v>
      </c>
      <c r="AN88" s="3">
        <v>19</v>
      </c>
      <c r="AO88" s="3">
        <v>96</v>
      </c>
      <c r="AP88" s="2">
        <v>2</v>
      </c>
      <c r="AQ88" s="21" t="s">
        <v>132</v>
      </c>
      <c r="AS88" s="50" t="s">
        <v>294</v>
      </c>
      <c r="AT88" s="53" t="s">
        <v>326</v>
      </c>
    </row>
    <row r="89" spans="1:46" ht="30" customHeight="1" x14ac:dyDescent="0.2">
      <c r="A89" s="16" t="s">
        <v>130</v>
      </c>
      <c r="B89" s="12" t="s">
        <v>125</v>
      </c>
      <c r="C89" s="16" t="s">
        <v>90</v>
      </c>
      <c r="D89" s="7">
        <v>40</v>
      </c>
      <c r="E89" s="25" t="s">
        <v>32</v>
      </c>
      <c r="F89" s="7">
        <v>54</v>
      </c>
      <c r="G89" s="11" t="s">
        <v>71</v>
      </c>
      <c r="H89" s="11" t="s">
        <v>72</v>
      </c>
      <c r="I89" s="3">
        <v>47</v>
      </c>
      <c r="J89" s="27"/>
      <c r="K89" s="3">
        <v>20</v>
      </c>
      <c r="L89" s="3">
        <v>15</v>
      </c>
      <c r="M89" s="3">
        <v>110</v>
      </c>
      <c r="N89" s="3">
        <v>106</v>
      </c>
      <c r="O89" s="3">
        <v>118</v>
      </c>
      <c r="P89" s="3">
        <v>73</v>
      </c>
      <c r="Q89" s="3">
        <v>42</v>
      </c>
      <c r="R89" s="3">
        <v>47</v>
      </c>
      <c r="S89" s="27"/>
      <c r="T89" s="3">
        <v>18</v>
      </c>
      <c r="U89" s="3">
        <v>13</v>
      </c>
      <c r="V89" s="3">
        <v>29</v>
      </c>
      <c r="W89" s="3">
        <v>27</v>
      </c>
      <c r="X89" s="3">
        <v>29</v>
      </c>
      <c r="Y89" s="3">
        <v>73</v>
      </c>
      <c r="Z89" s="3">
        <v>42</v>
      </c>
      <c r="AA89" s="3">
        <v>47</v>
      </c>
      <c r="AB89" s="3">
        <v>25</v>
      </c>
      <c r="AC89" s="3">
        <v>18</v>
      </c>
      <c r="AD89" s="3">
        <v>29</v>
      </c>
      <c r="AE89" s="3">
        <v>27</v>
      </c>
      <c r="AF89" s="3">
        <v>29</v>
      </c>
      <c r="AG89" s="3">
        <v>73</v>
      </c>
      <c r="AH89" s="3">
        <v>42</v>
      </c>
      <c r="AI89" s="3">
        <v>96</v>
      </c>
      <c r="AJ89" s="3">
        <v>116</v>
      </c>
      <c r="AK89" s="3">
        <v>68</v>
      </c>
      <c r="AL89" s="3">
        <v>35</v>
      </c>
      <c r="AM89" s="3">
        <v>25</v>
      </c>
      <c r="AN89" s="3">
        <v>19</v>
      </c>
      <c r="AO89" s="3">
        <v>98</v>
      </c>
      <c r="AP89" s="2">
        <v>2</v>
      </c>
      <c r="AQ89" s="21" t="s">
        <v>132</v>
      </c>
      <c r="AS89" s="50" t="s">
        <v>294</v>
      </c>
      <c r="AT89" s="53" t="s">
        <v>326</v>
      </c>
    </row>
    <row r="90" spans="1:46" ht="30" customHeight="1" x14ac:dyDescent="0.2">
      <c r="A90" s="16" t="s">
        <v>131</v>
      </c>
      <c r="B90" s="12" t="s">
        <v>126</v>
      </c>
      <c r="C90" s="16" t="s">
        <v>90</v>
      </c>
      <c r="D90" s="7">
        <v>40</v>
      </c>
      <c r="E90" s="25" t="s">
        <v>32</v>
      </c>
      <c r="F90" s="7">
        <v>59</v>
      </c>
      <c r="G90" s="11" t="s">
        <v>71</v>
      </c>
      <c r="H90" s="11" t="s">
        <v>72</v>
      </c>
      <c r="I90" s="3">
        <v>47</v>
      </c>
      <c r="J90" s="3">
        <v>58</v>
      </c>
      <c r="K90" s="3">
        <v>19</v>
      </c>
      <c r="L90" s="3">
        <v>14</v>
      </c>
      <c r="M90" s="3">
        <v>106</v>
      </c>
      <c r="N90" s="3">
        <v>102</v>
      </c>
      <c r="O90" s="3">
        <v>110</v>
      </c>
      <c r="P90" s="3">
        <v>68</v>
      </c>
      <c r="Q90" s="3">
        <v>42</v>
      </c>
      <c r="R90" s="3">
        <v>47</v>
      </c>
      <c r="S90" s="3">
        <v>59</v>
      </c>
      <c r="T90" s="3">
        <v>18</v>
      </c>
      <c r="U90" s="3">
        <v>13</v>
      </c>
      <c r="V90" s="3">
        <v>29</v>
      </c>
      <c r="W90" s="3">
        <v>27</v>
      </c>
      <c r="X90" s="3">
        <v>29</v>
      </c>
      <c r="Y90" s="3">
        <v>68</v>
      </c>
      <c r="Z90" s="3">
        <v>42</v>
      </c>
      <c r="AA90" s="3">
        <v>47</v>
      </c>
      <c r="AB90" s="3">
        <v>24</v>
      </c>
      <c r="AC90" s="3">
        <v>18</v>
      </c>
      <c r="AD90" s="3">
        <v>29</v>
      </c>
      <c r="AE90" s="3">
        <v>27</v>
      </c>
      <c r="AF90" s="3">
        <v>29</v>
      </c>
      <c r="AG90" s="3">
        <v>68</v>
      </c>
      <c r="AH90" s="3">
        <v>42</v>
      </c>
      <c r="AI90" s="3">
        <v>94</v>
      </c>
      <c r="AJ90" s="3">
        <v>108</v>
      </c>
      <c r="AK90" s="3">
        <v>68</v>
      </c>
      <c r="AL90" s="3">
        <v>35</v>
      </c>
      <c r="AM90" s="3">
        <v>26</v>
      </c>
      <c r="AN90" s="3">
        <v>19</v>
      </c>
      <c r="AO90" s="3">
        <v>94</v>
      </c>
      <c r="AP90" s="2">
        <v>2</v>
      </c>
      <c r="AQ90" s="21" t="s">
        <v>132</v>
      </c>
      <c r="AS90" s="50" t="s">
        <v>294</v>
      </c>
      <c r="AT90" s="53" t="s">
        <v>326</v>
      </c>
    </row>
    <row r="91" spans="1:46" ht="30" customHeight="1" x14ac:dyDescent="0.2">
      <c r="A91" s="16" t="s">
        <v>184</v>
      </c>
      <c r="B91" s="12" t="s">
        <v>171</v>
      </c>
      <c r="C91" s="16" t="s">
        <v>90</v>
      </c>
      <c r="D91" s="7">
        <v>45</v>
      </c>
      <c r="E91" s="25" t="s">
        <v>33</v>
      </c>
      <c r="F91" s="7">
        <v>60</v>
      </c>
      <c r="G91" s="11" t="s">
        <v>71</v>
      </c>
      <c r="H91" s="11" t="s">
        <v>72</v>
      </c>
      <c r="I91" s="3">
        <v>50</v>
      </c>
      <c r="J91" s="3">
        <v>64</v>
      </c>
      <c r="K91" s="3">
        <v>20</v>
      </c>
      <c r="L91" s="3">
        <v>15</v>
      </c>
      <c r="M91" s="3">
        <v>114</v>
      </c>
      <c r="N91" s="3">
        <v>112</v>
      </c>
      <c r="O91" s="3">
        <v>126</v>
      </c>
      <c r="P91" s="3">
        <v>73</v>
      </c>
      <c r="Q91" s="3">
        <v>44</v>
      </c>
      <c r="R91" s="3">
        <v>50</v>
      </c>
      <c r="S91" s="3">
        <v>65</v>
      </c>
      <c r="T91" s="3">
        <v>19</v>
      </c>
      <c r="U91" s="3">
        <v>13</v>
      </c>
      <c r="V91" s="3">
        <v>30</v>
      </c>
      <c r="W91" s="3">
        <v>28</v>
      </c>
      <c r="X91" s="3">
        <v>30</v>
      </c>
      <c r="Y91" s="3">
        <v>73</v>
      </c>
      <c r="Z91" s="3">
        <v>44</v>
      </c>
      <c r="AA91" s="3">
        <v>50</v>
      </c>
      <c r="AB91" s="3">
        <v>26</v>
      </c>
      <c r="AC91" s="3">
        <v>19</v>
      </c>
      <c r="AD91" s="3">
        <v>30</v>
      </c>
      <c r="AE91" s="3">
        <v>28</v>
      </c>
      <c r="AF91" s="3">
        <v>30</v>
      </c>
      <c r="AG91" s="3">
        <v>73</v>
      </c>
      <c r="AH91" s="3">
        <v>44</v>
      </c>
      <c r="AI91" s="3">
        <v>102</v>
      </c>
      <c r="AJ91" s="3">
        <v>122</v>
      </c>
      <c r="AK91" s="3">
        <v>77</v>
      </c>
      <c r="AL91" s="3">
        <v>38</v>
      </c>
      <c r="AM91" s="3">
        <v>27</v>
      </c>
      <c r="AN91" s="3">
        <v>23</v>
      </c>
      <c r="AO91" s="3">
        <v>101</v>
      </c>
      <c r="AP91" s="2">
        <v>3</v>
      </c>
      <c r="AQ91" s="21" t="s">
        <v>170</v>
      </c>
      <c r="AS91" s="50" t="s">
        <v>294</v>
      </c>
      <c r="AT91" s="53" t="s">
        <v>326</v>
      </c>
    </row>
    <row r="92" spans="1:46" ht="30" customHeight="1" x14ac:dyDescent="0.2">
      <c r="A92" s="16" t="s">
        <v>185</v>
      </c>
      <c r="B92" s="12" t="s">
        <v>172</v>
      </c>
      <c r="C92" s="16" t="s">
        <v>90</v>
      </c>
      <c r="D92" s="7">
        <v>41</v>
      </c>
      <c r="E92" s="25" t="s">
        <v>32</v>
      </c>
      <c r="F92" s="7">
        <v>57</v>
      </c>
      <c r="G92" s="11" t="s">
        <v>71</v>
      </c>
      <c r="H92" s="11" t="s">
        <v>72</v>
      </c>
      <c r="I92" s="3">
        <v>47</v>
      </c>
      <c r="J92" s="3">
        <v>60</v>
      </c>
      <c r="K92" s="3">
        <v>20</v>
      </c>
      <c r="L92" s="3">
        <v>15</v>
      </c>
      <c r="M92" s="3">
        <v>108</v>
      </c>
      <c r="N92" s="3">
        <v>104</v>
      </c>
      <c r="O92" s="3">
        <v>114</v>
      </c>
      <c r="P92" s="3">
        <v>70</v>
      </c>
      <c r="Q92" s="3">
        <v>42</v>
      </c>
      <c r="R92" s="3">
        <v>47</v>
      </c>
      <c r="S92" s="3">
        <v>61</v>
      </c>
      <c r="T92" s="3">
        <v>19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47</v>
      </c>
      <c r="AB92" s="3">
        <v>26</v>
      </c>
      <c r="AC92" s="3">
        <v>19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97</v>
      </c>
      <c r="AJ92" s="3">
        <v>112</v>
      </c>
      <c r="AK92" s="3">
        <v>68</v>
      </c>
      <c r="AL92" s="3">
        <v>35</v>
      </c>
      <c r="AM92" s="3">
        <v>25</v>
      </c>
      <c r="AN92" s="3">
        <v>19</v>
      </c>
      <c r="AO92" s="3">
        <v>100</v>
      </c>
      <c r="AP92" s="2">
        <v>3</v>
      </c>
      <c r="AQ92" s="21" t="s">
        <v>170</v>
      </c>
      <c r="AS92" s="50" t="s">
        <v>294</v>
      </c>
      <c r="AT92" s="53" t="s">
        <v>326</v>
      </c>
    </row>
    <row r="93" spans="1:46" ht="30" customHeight="1" x14ac:dyDescent="0.2">
      <c r="A93" s="16" t="s">
        <v>186</v>
      </c>
      <c r="B93" s="12" t="s">
        <v>173</v>
      </c>
      <c r="C93" s="16" t="s">
        <v>90</v>
      </c>
      <c r="D93" s="7">
        <v>39</v>
      </c>
      <c r="E93" s="25" t="s">
        <v>31</v>
      </c>
      <c r="F93" s="7">
        <v>55</v>
      </c>
      <c r="G93" s="11" t="s">
        <v>71</v>
      </c>
      <c r="H93" s="11" t="s">
        <v>72</v>
      </c>
      <c r="I93" s="3">
        <v>43</v>
      </c>
      <c r="J93" s="3">
        <v>56</v>
      </c>
      <c r="K93" s="3">
        <v>18</v>
      </c>
      <c r="L93" s="3">
        <v>14</v>
      </c>
      <c r="M93" s="3">
        <v>98</v>
      </c>
      <c r="N93" s="3">
        <v>93</v>
      </c>
      <c r="O93" s="3">
        <v>101</v>
      </c>
      <c r="P93" s="3">
        <v>69</v>
      </c>
      <c r="Q93" s="3">
        <v>40</v>
      </c>
      <c r="R93" s="3">
        <v>43</v>
      </c>
      <c r="S93" s="3">
        <v>57</v>
      </c>
      <c r="T93" s="3">
        <v>17</v>
      </c>
      <c r="U93" s="3">
        <v>12</v>
      </c>
      <c r="V93" s="3">
        <v>26</v>
      </c>
      <c r="W93" s="3">
        <v>25</v>
      </c>
      <c r="X93" s="3">
        <v>26</v>
      </c>
      <c r="Y93" s="3">
        <v>69</v>
      </c>
      <c r="Z93" s="3">
        <v>40</v>
      </c>
      <c r="AA93" s="3">
        <v>43</v>
      </c>
      <c r="AB93" s="3">
        <v>23</v>
      </c>
      <c r="AC93" s="3">
        <v>17</v>
      </c>
      <c r="AD93" s="3">
        <v>26.5</v>
      </c>
      <c r="AE93" s="3">
        <v>25</v>
      </c>
      <c r="AF93" s="3">
        <v>26.5</v>
      </c>
      <c r="AG93" s="3">
        <v>69</v>
      </c>
      <c r="AH93" s="3">
        <v>40</v>
      </c>
      <c r="AI93" s="3">
        <v>85</v>
      </c>
      <c r="AJ93" s="3">
        <v>98</v>
      </c>
      <c r="AK93" s="3">
        <v>65</v>
      </c>
      <c r="AL93" s="3">
        <v>32</v>
      </c>
      <c r="AM93" s="3">
        <v>25</v>
      </c>
      <c r="AN93" s="3">
        <v>20</v>
      </c>
      <c r="AO93" s="3">
        <v>90</v>
      </c>
      <c r="AP93" s="2">
        <v>3</v>
      </c>
      <c r="AQ93" s="21" t="s">
        <v>170</v>
      </c>
      <c r="AS93" s="50" t="s">
        <v>294</v>
      </c>
      <c r="AT93" s="53" t="s">
        <v>326</v>
      </c>
    </row>
    <row r="94" spans="1:46" ht="30" customHeight="1" x14ac:dyDescent="0.2">
      <c r="A94" s="16" t="s">
        <v>188</v>
      </c>
      <c r="B94" s="12" t="s">
        <v>174</v>
      </c>
      <c r="C94" s="16" t="s">
        <v>90</v>
      </c>
      <c r="D94" s="7">
        <v>41</v>
      </c>
      <c r="E94" s="25" t="s">
        <v>32</v>
      </c>
      <c r="F94" s="7">
        <v>56</v>
      </c>
      <c r="G94" s="11" t="s">
        <v>71</v>
      </c>
      <c r="H94" s="11" t="s">
        <v>72</v>
      </c>
      <c r="I94" s="3">
        <v>46</v>
      </c>
      <c r="J94" s="3">
        <v>58</v>
      </c>
      <c r="K94" s="3">
        <v>19</v>
      </c>
      <c r="L94" s="3">
        <v>14</v>
      </c>
      <c r="M94" s="3">
        <v>103</v>
      </c>
      <c r="N94" s="3">
        <v>96</v>
      </c>
      <c r="O94" s="3">
        <v>110</v>
      </c>
      <c r="P94" s="3">
        <v>68</v>
      </c>
      <c r="Q94" s="3">
        <v>42</v>
      </c>
      <c r="R94" s="3">
        <v>46</v>
      </c>
      <c r="S94" s="3">
        <v>59</v>
      </c>
      <c r="T94" s="3">
        <v>17</v>
      </c>
      <c r="U94" s="3">
        <v>13</v>
      </c>
      <c r="V94" s="3">
        <v>28</v>
      </c>
      <c r="W94" s="3">
        <v>26</v>
      </c>
      <c r="X94" s="3">
        <v>28</v>
      </c>
      <c r="Y94" s="3">
        <v>68</v>
      </c>
      <c r="Z94" s="3">
        <v>42</v>
      </c>
      <c r="AA94" s="3">
        <v>46</v>
      </c>
      <c r="AB94" s="3">
        <v>24</v>
      </c>
      <c r="AC94" s="3">
        <v>17</v>
      </c>
      <c r="AD94" s="3">
        <v>28</v>
      </c>
      <c r="AE94" s="3">
        <v>26</v>
      </c>
      <c r="AF94" s="3">
        <v>28</v>
      </c>
      <c r="AG94" s="3">
        <v>68</v>
      </c>
      <c r="AH94" s="3">
        <v>42</v>
      </c>
      <c r="AI94" s="3">
        <v>89</v>
      </c>
      <c r="AJ94" s="3">
        <v>107</v>
      </c>
      <c r="AK94" s="3">
        <v>64</v>
      </c>
      <c r="AL94" s="3">
        <v>33</v>
      </c>
      <c r="AM94" s="3">
        <v>24</v>
      </c>
      <c r="AN94" s="3">
        <v>20</v>
      </c>
      <c r="AO94" s="3">
        <v>95</v>
      </c>
      <c r="AP94" s="2">
        <v>3</v>
      </c>
      <c r="AQ94" s="21" t="s">
        <v>170</v>
      </c>
      <c r="AS94" s="50" t="s">
        <v>294</v>
      </c>
      <c r="AT94" s="53" t="s">
        <v>326</v>
      </c>
    </row>
    <row r="95" spans="1:46" ht="30" customHeight="1" x14ac:dyDescent="0.2">
      <c r="A95" s="16" t="s">
        <v>189</v>
      </c>
      <c r="B95" s="12" t="s">
        <v>175</v>
      </c>
      <c r="C95" s="16" t="s">
        <v>90</v>
      </c>
      <c r="D95" s="7">
        <v>40</v>
      </c>
      <c r="E95" s="25" t="s">
        <v>31</v>
      </c>
      <c r="F95" s="7">
        <v>57</v>
      </c>
      <c r="G95" s="11" t="s">
        <v>71</v>
      </c>
      <c r="H95" s="11" t="s">
        <v>72</v>
      </c>
      <c r="I95" s="3">
        <v>45</v>
      </c>
      <c r="J95" s="3">
        <v>58</v>
      </c>
      <c r="K95" s="3">
        <v>19</v>
      </c>
      <c r="L95" s="3">
        <v>14</v>
      </c>
      <c r="M95" s="3">
        <v>104</v>
      </c>
      <c r="N95" s="3">
        <v>96</v>
      </c>
      <c r="O95" s="3">
        <v>108</v>
      </c>
      <c r="P95" s="3">
        <v>68</v>
      </c>
      <c r="Q95" s="3">
        <v>42</v>
      </c>
      <c r="R95" s="3">
        <v>45</v>
      </c>
      <c r="S95" s="3">
        <v>59</v>
      </c>
      <c r="T95" s="3">
        <v>17</v>
      </c>
      <c r="U95" s="3">
        <v>13</v>
      </c>
      <c r="V95" s="3">
        <v>28</v>
      </c>
      <c r="W95" s="3">
        <v>27</v>
      </c>
      <c r="X95" s="3">
        <v>28</v>
      </c>
      <c r="Y95" s="3">
        <v>68</v>
      </c>
      <c r="Z95" s="3">
        <v>42</v>
      </c>
      <c r="AA95" s="3">
        <v>45</v>
      </c>
      <c r="AB95" s="3">
        <v>24</v>
      </c>
      <c r="AC95" s="3">
        <v>17</v>
      </c>
      <c r="AD95" s="3">
        <v>28</v>
      </c>
      <c r="AE95" s="3">
        <v>27</v>
      </c>
      <c r="AF95" s="3">
        <v>28</v>
      </c>
      <c r="AG95" s="3">
        <v>68</v>
      </c>
      <c r="AH95" s="3">
        <v>42</v>
      </c>
      <c r="AI95" s="3">
        <v>90</v>
      </c>
      <c r="AJ95" s="3">
        <v>107</v>
      </c>
      <c r="AK95" s="3">
        <v>68</v>
      </c>
      <c r="AL95" s="3">
        <v>34</v>
      </c>
      <c r="AM95" s="3">
        <v>25</v>
      </c>
      <c r="AN95" s="3">
        <v>19</v>
      </c>
      <c r="AO95" s="3">
        <v>95</v>
      </c>
      <c r="AP95" s="2">
        <v>3</v>
      </c>
      <c r="AQ95" s="21" t="s">
        <v>170</v>
      </c>
      <c r="AS95" s="50" t="s">
        <v>294</v>
      </c>
      <c r="AT95" s="53" t="s">
        <v>326</v>
      </c>
    </row>
    <row r="96" spans="1:46" ht="30" customHeight="1" x14ac:dyDescent="0.2">
      <c r="A96" s="16" t="s">
        <v>190</v>
      </c>
      <c r="B96" s="12" t="s">
        <v>176</v>
      </c>
      <c r="C96" s="16" t="s">
        <v>90</v>
      </c>
      <c r="D96" s="7">
        <v>43</v>
      </c>
      <c r="E96" s="25" t="s">
        <v>34</v>
      </c>
      <c r="F96" s="7">
        <v>58</v>
      </c>
      <c r="G96" s="11" t="s">
        <v>71</v>
      </c>
      <c r="H96" s="11" t="s">
        <v>72</v>
      </c>
      <c r="I96" s="3">
        <v>47</v>
      </c>
      <c r="J96" s="3">
        <v>63</v>
      </c>
      <c r="K96" s="3">
        <v>19</v>
      </c>
      <c r="L96" s="3">
        <v>14</v>
      </c>
      <c r="M96" s="3">
        <v>106</v>
      </c>
      <c r="N96" s="3">
        <v>96</v>
      </c>
      <c r="O96" s="3">
        <v>110</v>
      </c>
      <c r="P96" s="3">
        <v>73</v>
      </c>
      <c r="Q96" s="3">
        <v>42</v>
      </c>
      <c r="R96" s="3">
        <v>47</v>
      </c>
      <c r="S96" s="3">
        <v>64</v>
      </c>
      <c r="T96" s="3">
        <v>18</v>
      </c>
      <c r="U96" s="3">
        <v>13</v>
      </c>
      <c r="V96" s="3">
        <v>28</v>
      </c>
      <c r="W96" s="3">
        <v>27</v>
      </c>
      <c r="X96" s="3">
        <v>28</v>
      </c>
      <c r="Y96" s="3">
        <v>73</v>
      </c>
      <c r="Z96" s="3">
        <v>42</v>
      </c>
      <c r="AA96" s="3">
        <v>47</v>
      </c>
      <c r="AB96" s="3">
        <v>26</v>
      </c>
      <c r="AC96" s="3">
        <v>18</v>
      </c>
      <c r="AD96" s="3">
        <v>28</v>
      </c>
      <c r="AE96" s="3">
        <v>27</v>
      </c>
      <c r="AF96" s="3">
        <v>28</v>
      </c>
      <c r="AG96" s="3">
        <v>73</v>
      </c>
      <c r="AH96" s="3">
        <v>42</v>
      </c>
      <c r="AI96" s="3">
        <v>92</v>
      </c>
      <c r="AJ96" s="3">
        <v>107</v>
      </c>
      <c r="AK96" s="3">
        <v>66</v>
      </c>
      <c r="AL96" s="3">
        <v>34</v>
      </c>
      <c r="AM96" s="3">
        <v>24</v>
      </c>
      <c r="AN96" s="3">
        <v>20</v>
      </c>
      <c r="AO96" s="3">
        <v>98</v>
      </c>
      <c r="AP96" s="2">
        <v>3</v>
      </c>
      <c r="AQ96" s="21" t="s">
        <v>170</v>
      </c>
      <c r="AS96" s="50" t="s">
        <v>294</v>
      </c>
      <c r="AT96" s="53" t="s">
        <v>326</v>
      </c>
    </row>
    <row r="97" spans="1:46" ht="30" customHeight="1" x14ac:dyDescent="0.2">
      <c r="A97" s="16" t="s">
        <v>191</v>
      </c>
      <c r="B97" s="13" t="s">
        <v>177</v>
      </c>
      <c r="C97" s="16" t="s">
        <v>90</v>
      </c>
      <c r="D97" s="7">
        <v>41</v>
      </c>
      <c r="E97" s="25" t="s">
        <v>31</v>
      </c>
      <c r="F97" s="7">
        <v>58</v>
      </c>
      <c r="G97" s="11" t="s">
        <v>71</v>
      </c>
      <c r="H97" s="11" t="s">
        <v>72</v>
      </c>
      <c r="I97" s="3">
        <v>44</v>
      </c>
      <c r="J97" s="3">
        <v>61</v>
      </c>
      <c r="K97" s="3">
        <v>19</v>
      </c>
      <c r="L97" s="3">
        <v>14</v>
      </c>
      <c r="M97" s="3">
        <v>100</v>
      </c>
      <c r="N97" s="3">
        <v>94</v>
      </c>
      <c r="O97" s="3">
        <v>104</v>
      </c>
      <c r="P97" s="3">
        <v>72</v>
      </c>
      <c r="Q97" s="3">
        <v>41</v>
      </c>
      <c r="R97" s="3">
        <v>44</v>
      </c>
      <c r="S97" s="3">
        <v>62</v>
      </c>
      <c r="T97" s="3">
        <v>16</v>
      </c>
      <c r="U97" s="3">
        <v>12</v>
      </c>
      <c r="V97" s="3">
        <v>27</v>
      </c>
      <c r="W97" s="3">
        <v>25</v>
      </c>
      <c r="X97" s="3">
        <v>27</v>
      </c>
      <c r="Y97" s="3">
        <v>72</v>
      </c>
      <c r="Z97" s="3">
        <v>41</v>
      </c>
      <c r="AA97" s="3">
        <v>44</v>
      </c>
      <c r="AB97" s="3">
        <v>26</v>
      </c>
      <c r="AC97" s="3">
        <v>16</v>
      </c>
      <c r="AD97" s="3">
        <v>27</v>
      </c>
      <c r="AE97" s="3">
        <v>25</v>
      </c>
      <c r="AF97" s="3">
        <v>27</v>
      </c>
      <c r="AG97" s="3">
        <v>72</v>
      </c>
      <c r="AH97" s="3">
        <v>41</v>
      </c>
      <c r="AI97" s="3">
        <v>85</v>
      </c>
      <c r="AJ97" s="3">
        <v>103</v>
      </c>
      <c r="AK97" s="3">
        <v>66</v>
      </c>
      <c r="AL97" s="3">
        <v>32</v>
      </c>
      <c r="AM97" s="3">
        <v>24</v>
      </c>
      <c r="AN97" s="3">
        <v>20</v>
      </c>
      <c r="AO97" s="6">
        <v>104</v>
      </c>
      <c r="AP97" s="2">
        <v>3</v>
      </c>
      <c r="AQ97" s="21" t="s">
        <v>170</v>
      </c>
      <c r="AS97" s="50" t="s">
        <v>294</v>
      </c>
      <c r="AT97" s="53" t="s">
        <v>326</v>
      </c>
    </row>
    <row r="98" spans="1:46" ht="30" customHeight="1" x14ac:dyDescent="0.2">
      <c r="A98" s="16" t="s">
        <v>192</v>
      </c>
      <c r="B98" s="13" t="s">
        <v>178</v>
      </c>
      <c r="C98" s="16" t="s">
        <v>90</v>
      </c>
      <c r="D98" s="7">
        <v>41</v>
      </c>
      <c r="E98" s="25" t="s">
        <v>31</v>
      </c>
      <c r="F98" s="7">
        <v>55</v>
      </c>
      <c r="G98" s="11" t="s">
        <v>71</v>
      </c>
      <c r="H98" s="11" t="s">
        <v>72</v>
      </c>
      <c r="I98" s="3">
        <v>44</v>
      </c>
      <c r="J98" s="3">
        <v>58</v>
      </c>
      <c r="K98" s="3">
        <v>18</v>
      </c>
      <c r="L98" s="3">
        <v>14</v>
      </c>
      <c r="M98" s="3">
        <v>99</v>
      </c>
      <c r="N98" s="3">
        <v>89</v>
      </c>
      <c r="O98" s="3">
        <v>105</v>
      </c>
      <c r="P98" s="3">
        <v>70</v>
      </c>
      <c r="Q98" s="3">
        <v>40</v>
      </c>
      <c r="R98" s="3">
        <v>44</v>
      </c>
      <c r="S98" s="3">
        <v>59</v>
      </c>
      <c r="T98" s="3">
        <v>16</v>
      </c>
      <c r="U98" s="3">
        <v>12</v>
      </c>
      <c r="V98" s="3">
        <v>27</v>
      </c>
      <c r="W98" s="3">
        <v>24</v>
      </c>
      <c r="X98" s="3">
        <v>27</v>
      </c>
      <c r="Y98" s="3">
        <v>70</v>
      </c>
      <c r="Z98" s="3">
        <v>40</v>
      </c>
      <c r="AA98" s="3">
        <v>44</v>
      </c>
      <c r="AB98" s="3">
        <v>25</v>
      </c>
      <c r="AC98" s="3">
        <v>16</v>
      </c>
      <c r="AD98" s="3">
        <v>27</v>
      </c>
      <c r="AE98" s="3">
        <v>24</v>
      </c>
      <c r="AF98" s="3">
        <v>27</v>
      </c>
      <c r="AG98" s="3">
        <v>70</v>
      </c>
      <c r="AH98" s="3">
        <v>40</v>
      </c>
      <c r="AI98" s="3">
        <v>82</v>
      </c>
      <c r="AJ98" s="3">
        <v>101</v>
      </c>
      <c r="AK98" s="3">
        <v>64</v>
      </c>
      <c r="AL98" s="3">
        <v>31</v>
      </c>
      <c r="AM98" s="3">
        <v>24</v>
      </c>
      <c r="AN98" s="3">
        <v>19</v>
      </c>
      <c r="AO98" s="3">
        <v>95</v>
      </c>
      <c r="AP98" s="2">
        <v>3</v>
      </c>
      <c r="AQ98" s="21" t="s">
        <v>170</v>
      </c>
      <c r="AS98" s="50" t="s">
        <v>294</v>
      </c>
      <c r="AT98" s="53" t="s">
        <v>326</v>
      </c>
    </row>
    <row r="99" spans="1:46" ht="30" customHeight="1" x14ac:dyDescent="0.2">
      <c r="A99" s="16" t="s">
        <v>193</v>
      </c>
      <c r="B99" s="13" t="s">
        <v>179</v>
      </c>
      <c r="C99" s="16" t="s">
        <v>90</v>
      </c>
      <c r="D99" s="7">
        <v>42</v>
      </c>
      <c r="E99" s="25" t="s">
        <v>32</v>
      </c>
      <c r="F99" s="7">
        <v>55</v>
      </c>
      <c r="G99" s="11" t="s">
        <v>71</v>
      </c>
      <c r="H99" s="11" t="s">
        <v>72</v>
      </c>
      <c r="I99" s="3">
        <v>44</v>
      </c>
      <c r="J99" s="3">
        <v>60</v>
      </c>
      <c r="K99" s="3">
        <v>18</v>
      </c>
      <c r="L99" s="3">
        <v>14</v>
      </c>
      <c r="M99" s="3">
        <v>94</v>
      </c>
      <c r="N99" s="3">
        <v>88</v>
      </c>
      <c r="O99" s="3">
        <v>102</v>
      </c>
      <c r="P99" s="3">
        <v>70</v>
      </c>
      <c r="Q99" s="3">
        <v>39</v>
      </c>
      <c r="R99" s="3">
        <v>44</v>
      </c>
      <c r="S99" s="3">
        <v>61</v>
      </c>
      <c r="T99" s="3">
        <v>16</v>
      </c>
      <c r="U99" s="3">
        <v>12</v>
      </c>
      <c r="V99" s="3">
        <v>27</v>
      </c>
      <c r="W99" s="3">
        <v>24</v>
      </c>
      <c r="X99" s="3">
        <v>27</v>
      </c>
      <c r="Y99" s="3">
        <v>70</v>
      </c>
      <c r="Z99" s="3">
        <v>39</v>
      </c>
      <c r="AA99" s="3">
        <v>44</v>
      </c>
      <c r="AB99" s="3">
        <v>26</v>
      </c>
      <c r="AC99" s="3">
        <v>16</v>
      </c>
      <c r="AD99" s="3">
        <v>27</v>
      </c>
      <c r="AE99" s="3">
        <v>24</v>
      </c>
      <c r="AF99" s="3">
        <v>27</v>
      </c>
      <c r="AG99" s="3">
        <v>70</v>
      </c>
      <c r="AH99" s="3">
        <v>39</v>
      </c>
      <c r="AI99" s="3">
        <v>82</v>
      </c>
      <c r="AJ99" s="3">
        <v>98</v>
      </c>
      <c r="AK99" s="3">
        <v>62</v>
      </c>
      <c r="AL99" s="3">
        <v>31</v>
      </c>
      <c r="AM99" s="3">
        <v>24</v>
      </c>
      <c r="AN99" s="3">
        <v>20</v>
      </c>
      <c r="AO99" s="3">
        <v>102</v>
      </c>
      <c r="AP99" s="2">
        <v>3</v>
      </c>
      <c r="AQ99" s="21" t="s">
        <v>170</v>
      </c>
      <c r="AS99" s="50" t="s">
        <v>294</v>
      </c>
      <c r="AT99" s="53" t="s">
        <v>326</v>
      </c>
    </row>
    <row r="100" spans="1:46" ht="30" customHeight="1" x14ac:dyDescent="0.2">
      <c r="A100" s="16" t="s">
        <v>194</v>
      </c>
      <c r="B100" s="13" t="s">
        <v>180</v>
      </c>
      <c r="C100" s="16" t="s">
        <v>90</v>
      </c>
      <c r="D100" s="7">
        <v>39</v>
      </c>
      <c r="E100" s="25" t="s">
        <v>34</v>
      </c>
      <c r="F100" s="7">
        <v>57</v>
      </c>
      <c r="G100" s="11" t="s">
        <v>71</v>
      </c>
      <c r="H100" s="11" t="s">
        <v>72</v>
      </c>
      <c r="I100" s="3">
        <v>48</v>
      </c>
      <c r="J100" s="3">
        <v>54</v>
      </c>
      <c r="K100" s="3">
        <v>20</v>
      </c>
      <c r="L100" s="3">
        <v>15</v>
      </c>
      <c r="M100" s="3">
        <v>110</v>
      </c>
      <c r="N100" s="3">
        <v>106</v>
      </c>
      <c r="O100" s="3">
        <v>114</v>
      </c>
      <c r="P100" s="3">
        <v>67</v>
      </c>
      <c r="Q100" s="3">
        <v>42</v>
      </c>
      <c r="R100" s="3">
        <v>48</v>
      </c>
      <c r="S100" s="3">
        <v>55</v>
      </c>
      <c r="T100" s="3">
        <v>19</v>
      </c>
      <c r="U100" s="3">
        <v>13</v>
      </c>
      <c r="V100" s="3">
        <v>29</v>
      </c>
      <c r="W100" s="3">
        <v>27</v>
      </c>
      <c r="X100" s="3">
        <v>29</v>
      </c>
      <c r="Y100" s="3">
        <v>67</v>
      </c>
      <c r="Z100" s="3">
        <v>42</v>
      </c>
      <c r="AA100" s="3">
        <v>48</v>
      </c>
      <c r="AB100" s="3">
        <v>23</v>
      </c>
      <c r="AC100" s="3">
        <v>19</v>
      </c>
      <c r="AD100" s="3">
        <v>29</v>
      </c>
      <c r="AE100" s="3">
        <v>27</v>
      </c>
      <c r="AF100" s="3">
        <v>29</v>
      </c>
      <c r="AG100" s="3">
        <v>67</v>
      </c>
      <c r="AH100" s="3">
        <v>42</v>
      </c>
      <c r="AI100" s="3">
        <v>98</v>
      </c>
      <c r="AJ100" s="3">
        <v>110</v>
      </c>
      <c r="AK100" s="3">
        <v>70</v>
      </c>
      <c r="AL100" s="3">
        <v>36</v>
      </c>
      <c r="AM100" s="3">
        <v>26</v>
      </c>
      <c r="AN100" s="3">
        <v>21</v>
      </c>
      <c r="AO100" s="3">
        <v>86</v>
      </c>
      <c r="AP100" s="2">
        <v>3</v>
      </c>
      <c r="AQ100" s="21" t="s">
        <v>170</v>
      </c>
      <c r="AS100" s="50" t="s">
        <v>294</v>
      </c>
      <c r="AT100" s="53" t="s">
        <v>326</v>
      </c>
    </row>
    <row r="101" spans="1:46" ht="30" customHeight="1" x14ac:dyDescent="0.2">
      <c r="A101" s="16" t="s">
        <v>195</v>
      </c>
      <c r="B101" s="13" t="s">
        <v>181</v>
      </c>
      <c r="C101" s="16" t="s">
        <v>90</v>
      </c>
      <c r="D101" s="7">
        <v>41</v>
      </c>
      <c r="E101" s="25" t="s">
        <v>32</v>
      </c>
      <c r="F101" s="7">
        <v>53</v>
      </c>
      <c r="G101" s="11" t="s">
        <v>71</v>
      </c>
      <c r="H101" s="11" t="s">
        <v>72</v>
      </c>
      <c r="I101" s="3">
        <v>45</v>
      </c>
      <c r="J101" s="3">
        <v>60</v>
      </c>
      <c r="K101" s="3">
        <v>18</v>
      </c>
      <c r="L101" s="3">
        <v>14</v>
      </c>
      <c r="M101" s="3">
        <v>98</v>
      </c>
      <c r="N101" s="3">
        <v>92</v>
      </c>
      <c r="O101" s="3">
        <v>102</v>
      </c>
      <c r="P101" s="3">
        <v>72</v>
      </c>
      <c r="Q101" s="3">
        <v>39</v>
      </c>
      <c r="R101" s="3">
        <v>45</v>
      </c>
      <c r="S101" s="3">
        <v>61</v>
      </c>
      <c r="T101" s="3">
        <v>16</v>
      </c>
      <c r="U101" s="3">
        <v>12</v>
      </c>
      <c r="V101" s="3">
        <v>26</v>
      </c>
      <c r="W101" s="3">
        <v>24</v>
      </c>
      <c r="X101" s="3">
        <v>26</v>
      </c>
      <c r="Y101" s="3">
        <v>72</v>
      </c>
      <c r="Z101" s="3">
        <v>39</v>
      </c>
      <c r="AA101" s="3">
        <v>45</v>
      </c>
      <c r="AB101" s="3">
        <v>25</v>
      </c>
      <c r="AC101" s="3">
        <v>16</v>
      </c>
      <c r="AD101" s="3">
        <v>26</v>
      </c>
      <c r="AE101" s="3">
        <v>24</v>
      </c>
      <c r="AF101" s="3">
        <v>26</v>
      </c>
      <c r="AG101" s="3">
        <v>72</v>
      </c>
      <c r="AH101" s="3">
        <v>39</v>
      </c>
      <c r="AI101" s="3">
        <v>80</v>
      </c>
      <c r="AJ101" s="3">
        <v>102</v>
      </c>
      <c r="AK101" s="3">
        <v>64</v>
      </c>
      <c r="AL101" s="3">
        <v>29</v>
      </c>
      <c r="AM101" s="3">
        <v>23</v>
      </c>
      <c r="AN101" s="3">
        <v>18</v>
      </c>
      <c r="AO101" s="3">
        <v>96</v>
      </c>
      <c r="AP101" s="2">
        <v>3</v>
      </c>
      <c r="AQ101" s="21" t="s">
        <v>170</v>
      </c>
      <c r="AS101" s="50" t="s">
        <v>294</v>
      </c>
      <c r="AT101" s="53" t="s">
        <v>326</v>
      </c>
    </row>
    <row r="102" spans="1:46" ht="30" customHeight="1" x14ac:dyDescent="0.2">
      <c r="A102" s="16" t="s">
        <v>196</v>
      </c>
      <c r="B102" s="13" t="s">
        <v>182</v>
      </c>
      <c r="C102" s="16" t="s">
        <v>90</v>
      </c>
      <c r="D102" s="7">
        <v>40</v>
      </c>
      <c r="E102" s="25" t="s">
        <v>31</v>
      </c>
      <c r="F102" s="7">
        <v>56</v>
      </c>
      <c r="G102" s="11" t="s">
        <v>71</v>
      </c>
      <c r="H102" s="11" t="s">
        <v>72</v>
      </c>
      <c r="I102" s="3">
        <v>46</v>
      </c>
      <c r="J102" s="3">
        <v>53</v>
      </c>
      <c r="K102" s="3">
        <v>18</v>
      </c>
      <c r="L102" s="3">
        <v>14</v>
      </c>
      <c r="M102" s="3">
        <v>100</v>
      </c>
      <c r="N102" s="3">
        <v>88</v>
      </c>
      <c r="O102" s="3">
        <v>104</v>
      </c>
      <c r="P102" s="3">
        <v>67</v>
      </c>
      <c r="Q102" s="3">
        <v>40</v>
      </c>
      <c r="R102" s="3">
        <v>46</v>
      </c>
      <c r="S102" s="3">
        <v>54</v>
      </c>
      <c r="T102" s="3">
        <v>17</v>
      </c>
      <c r="U102" s="3">
        <v>13</v>
      </c>
      <c r="V102" s="3">
        <v>27</v>
      </c>
      <c r="W102" s="3">
        <v>24</v>
      </c>
      <c r="X102" s="3">
        <v>27</v>
      </c>
      <c r="Y102" s="3">
        <v>67</v>
      </c>
      <c r="Z102" s="3">
        <v>40</v>
      </c>
      <c r="AA102" s="3">
        <v>46</v>
      </c>
      <c r="AB102" s="3">
        <v>24</v>
      </c>
      <c r="AC102" s="3">
        <v>17</v>
      </c>
      <c r="AD102" s="3">
        <v>27</v>
      </c>
      <c r="AE102" s="3">
        <v>24</v>
      </c>
      <c r="AF102" s="3">
        <v>27</v>
      </c>
      <c r="AG102" s="3">
        <v>67</v>
      </c>
      <c r="AH102" s="3">
        <v>40</v>
      </c>
      <c r="AI102" s="3">
        <v>85</v>
      </c>
      <c r="AJ102" s="3">
        <v>100</v>
      </c>
      <c r="AK102" s="3">
        <v>69</v>
      </c>
      <c r="AL102" s="3">
        <v>33</v>
      </c>
      <c r="AM102" s="3">
        <v>24</v>
      </c>
      <c r="AN102" s="3">
        <v>19</v>
      </c>
      <c r="AO102" s="3">
        <v>89</v>
      </c>
      <c r="AP102" s="2">
        <v>3</v>
      </c>
      <c r="AQ102" s="21" t="s">
        <v>170</v>
      </c>
      <c r="AS102" s="50" t="s">
        <v>294</v>
      </c>
      <c r="AT102" s="53" t="s">
        <v>326</v>
      </c>
    </row>
    <row r="103" spans="1:46" ht="30" customHeight="1" x14ac:dyDescent="0.2">
      <c r="A103" s="16" t="s">
        <v>187</v>
      </c>
      <c r="B103" s="13" t="s">
        <v>183</v>
      </c>
      <c r="C103" s="16" t="s">
        <v>90</v>
      </c>
      <c r="D103" s="7">
        <v>43</v>
      </c>
      <c r="E103" s="25" t="s">
        <v>34</v>
      </c>
      <c r="F103" s="7">
        <v>57</v>
      </c>
      <c r="G103" s="11" t="s">
        <v>71</v>
      </c>
      <c r="H103" s="11" t="s">
        <v>72</v>
      </c>
      <c r="I103" s="3">
        <v>49</v>
      </c>
      <c r="J103" s="3">
        <v>60</v>
      </c>
      <c r="K103" s="3">
        <v>20</v>
      </c>
      <c r="L103" s="3">
        <v>15</v>
      </c>
      <c r="M103" s="3">
        <v>110</v>
      </c>
      <c r="N103" s="3">
        <v>106</v>
      </c>
      <c r="O103" s="3">
        <v>116</v>
      </c>
      <c r="P103" s="3">
        <v>71</v>
      </c>
      <c r="Q103" s="3">
        <v>42</v>
      </c>
      <c r="R103" s="3">
        <v>49</v>
      </c>
      <c r="S103" s="3">
        <v>61</v>
      </c>
      <c r="T103" s="3">
        <v>19</v>
      </c>
      <c r="U103" s="3">
        <v>13</v>
      </c>
      <c r="V103" s="3">
        <v>30</v>
      </c>
      <c r="W103" s="3">
        <v>30</v>
      </c>
      <c r="X103" s="3">
        <v>30</v>
      </c>
      <c r="Y103" s="3">
        <v>71</v>
      </c>
      <c r="Z103" s="3">
        <v>42</v>
      </c>
      <c r="AA103" s="3">
        <v>49</v>
      </c>
      <c r="AB103" s="3">
        <v>25</v>
      </c>
      <c r="AC103" s="3">
        <v>19</v>
      </c>
      <c r="AD103" s="3">
        <v>30</v>
      </c>
      <c r="AE103" s="3">
        <v>30</v>
      </c>
      <c r="AF103" s="3">
        <v>30</v>
      </c>
      <c r="AG103" s="3">
        <v>71</v>
      </c>
      <c r="AH103" s="3">
        <v>42</v>
      </c>
      <c r="AI103" s="3">
        <v>100</v>
      </c>
      <c r="AJ103" s="3">
        <v>114</v>
      </c>
      <c r="AK103" s="3">
        <v>70</v>
      </c>
      <c r="AL103" s="3">
        <v>36</v>
      </c>
      <c r="AM103" s="3">
        <v>27</v>
      </c>
      <c r="AN103" s="3">
        <v>22</v>
      </c>
      <c r="AO103" s="3">
        <v>100</v>
      </c>
      <c r="AP103" s="2">
        <v>3</v>
      </c>
      <c r="AQ103" s="21" t="s">
        <v>170</v>
      </c>
      <c r="AS103" s="50" t="s">
        <v>294</v>
      </c>
      <c r="AT103" s="53" t="s">
        <v>326</v>
      </c>
    </row>
    <row r="104" spans="1:46" ht="30" customHeight="1" x14ac:dyDescent="0.2">
      <c r="A104" s="16" t="s">
        <v>213</v>
      </c>
      <c r="B104" s="13" t="s">
        <v>209</v>
      </c>
      <c r="C104" s="16" t="s">
        <v>90</v>
      </c>
      <c r="D104" s="7">
        <v>41</v>
      </c>
      <c r="E104" s="25" t="s">
        <v>31</v>
      </c>
      <c r="F104" s="7">
        <v>57</v>
      </c>
      <c r="G104" s="11" t="s">
        <v>71</v>
      </c>
      <c r="H104" s="11" t="s">
        <v>72</v>
      </c>
      <c r="I104" s="3">
        <v>45</v>
      </c>
      <c r="J104" s="3">
        <v>58</v>
      </c>
      <c r="K104" s="3">
        <v>18</v>
      </c>
      <c r="L104" s="3">
        <v>14</v>
      </c>
      <c r="M104" s="3">
        <v>102</v>
      </c>
      <c r="N104" s="3">
        <v>94</v>
      </c>
      <c r="O104" s="3">
        <v>104</v>
      </c>
      <c r="P104" s="3">
        <v>67</v>
      </c>
      <c r="Q104" s="3">
        <v>38</v>
      </c>
      <c r="R104" s="3">
        <v>45</v>
      </c>
      <c r="S104" s="3">
        <v>59</v>
      </c>
      <c r="T104" s="3">
        <v>16</v>
      </c>
      <c r="U104" s="3">
        <v>12</v>
      </c>
      <c r="V104" s="3">
        <v>27</v>
      </c>
      <c r="W104" s="3">
        <v>25</v>
      </c>
      <c r="X104" s="3">
        <v>27</v>
      </c>
      <c r="Y104" s="3">
        <v>67</v>
      </c>
      <c r="Z104" s="3">
        <v>38</v>
      </c>
      <c r="AA104" s="3">
        <v>45</v>
      </c>
      <c r="AB104" s="3">
        <v>24</v>
      </c>
      <c r="AC104" s="3">
        <v>17</v>
      </c>
      <c r="AD104" s="3">
        <v>27</v>
      </c>
      <c r="AE104" s="3">
        <v>25</v>
      </c>
      <c r="AF104" s="3">
        <v>27</v>
      </c>
      <c r="AG104" s="3">
        <v>67</v>
      </c>
      <c r="AH104" s="3">
        <v>38</v>
      </c>
      <c r="AI104" s="22">
        <v>81</v>
      </c>
      <c r="AJ104" s="6">
        <v>102</v>
      </c>
      <c r="AK104" s="6">
        <v>66</v>
      </c>
      <c r="AL104" s="6">
        <v>32</v>
      </c>
      <c r="AM104" s="6">
        <v>23</v>
      </c>
      <c r="AN104" s="6">
        <v>19</v>
      </c>
      <c r="AO104" s="3" t="s">
        <v>246</v>
      </c>
      <c r="AP104" s="28">
        <v>4</v>
      </c>
      <c r="AQ104" s="33" t="s">
        <v>229</v>
      </c>
      <c r="AS104" s="50" t="s">
        <v>294</v>
      </c>
      <c r="AT104" s="53" t="s">
        <v>326</v>
      </c>
    </row>
    <row r="105" spans="1:46" ht="30" customHeight="1" x14ac:dyDescent="0.2">
      <c r="A105" s="8" t="s">
        <v>240</v>
      </c>
      <c r="B105" s="13" t="s">
        <v>234</v>
      </c>
      <c r="C105" s="16" t="s">
        <v>90</v>
      </c>
      <c r="D105" s="7">
        <v>43</v>
      </c>
      <c r="E105" s="25" t="s">
        <v>33</v>
      </c>
      <c r="F105" s="7">
        <v>59</v>
      </c>
      <c r="G105" s="11" t="s">
        <v>71</v>
      </c>
      <c r="H105" s="11" t="s">
        <v>72</v>
      </c>
      <c r="I105" s="3">
        <v>48</v>
      </c>
      <c r="J105" s="3">
        <v>59</v>
      </c>
      <c r="K105" s="3">
        <v>21</v>
      </c>
      <c r="L105" s="3">
        <v>16</v>
      </c>
      <c r="M105" s="3">
        <v>120</v>
      </c>
      <c r="N105" s="3">
        <v>118</v>
      </c>
      <c r="O105" s="3">
        <v>126</v>
      </c>
      <c r="P105" s="3">
        <v>70</v>
      </c>
      <c r="Q105" s="3">
        <v>45</v>
      </c>
      <c r="R105" s="3">
        <v>48</v>
      </c>
      <c r="S105" s="3">
        <v>60</v>
      </c>
      <c r="T105" s="3">
        <v>20</v>
      </c>
      <c r="U105" s="3">
        <v>13</v>
      </c>
      <c r="V105" s="3">
        <v>31</v>
      </c>
      <c r="W105" s="3">
        <v>29</v>
      </c>
      <c r="X105" s="3">
        <v>31</v>
      </c>
      <c r="Y105" s="3">
        <v>70</v>
      </c>
      <c r="Z105" s="3">
        <v>45</v>
      </c>
      <c r="AA105" s="3">
        <v>48</v>
      </c>
      <c r="AB105" s="3">
        <v>26</v>
      </c>
      <c r="AC105" s="3">
        <v>20</v>
      </c>
      <c r="AD105" s="3">
        <v>31</v>
      </c>
      <c r="AE105" s="3">
        <v>29</v>
      </c>
      <c r="AF105" s="3">
        <v>31</v>
      </c>
      <c r="AG105" s="3">
        <v>70</v>
      </c>
      <c r="AH105" s="3">
        <v>45</v>
      </c>
      <c r="AI105" s="3">
        <v>106</v>
      </c>
      <c r="AJ105" s="3">
        <v>120</v>
      </c>
      <c r="AK105" s="3">
        <v>72</v>
      </c>
      <c r="AL105" s="3">
        <v>37</v>
      </c>
      <c r="AM105" s="3">
        <v>27</v>
      </c>
      <c r="AN105" s="3">
        <v>21</v>
      </c>
      <c r="AO105" s="3">
        <v>91</v>
      </c>
      <c r="AP105" s="28">
        <v>4</v>
      </c>
      <c r="AQ105" s="33" t="s">
        <v>229</v>
      </c>
      <c r="AS105" s="50" t="s">
        <v>294</v>
      </c>
      <c r="AT105" s="53" t="s">
        <v>326</v>
      </c>
    </row>
    <row r="106" spans="1:46" ht="30" customHeight="1" x14ac:dyDescent="0.2">
      <c r="A106" s="8" t="s">
        <v>241</v>
      </c>
      <c r="B106" s="13" t="s">
        <v>235</v>
      </c>
      <c r="C106" s="16" t="s">
        <v>90</v>
      </c>
      <c r="D106" s="7">
        <v>40</v>
      </c>
      <c r="E106" s="25" t="s">
        <v>31</v>
      </c>
      <c r="F106" s="7">
        <v>57</v>
      </c>
      <c r="G106" s="11" t="s">
        <v>71</v>
      </c>
      <c r="H106" s="11" t="s">
        <v>72</v>
      </c>
      <c r="I106" s="3">
        <v>44</v>
      </c>
      <c r="J106" s="3">
        <v>55</v>
      </c>
      <c r="K106" s="3">
        <v>18</v>
      </c>
      <c r="L106" s="3">
        <v>14</v>
      </c>
      <c r="M106" s="3">
        <v>98</v>
      </c>
      <c r="N106" s="3">
        <v>93</v>
      </c>
      <c r="O106" s="3">
        <v>104</v>
      </c>
      <c r="P106" s="3">
        <v>68</v>
      </c>
      <c r="Q106" s="3">
        <v>39</v>
      </c>
      <c r="R106" s="3">
        <v>44</v>
      </c>
      <c r="S106" s="3">
        <v>56</v>
      </c>
      <c r="T106" s="3">
        <v>16</v>
      </c>
      <c r="U106" s="3">
        <v>12</v>
      </c>
      <c r="V106" s="3">
        <v>27</v>
      </c>
      <c r="W106" s="3">
        <v>24</v>
      </c>
      <c r="X106" s="3">
        <v>27</v>
      </c>
      <c r="Y106" s="3">
        <v>68</v>
      </c>
      <c r="Z106" s="3">
        <v>39</v>
      </c>
      <c r="AA106" s="3">
        <v>44</v>
      </c>
      <c r="AB106" s="3">
        <v>23</v>
      </c>
      <c r="AC106" s="3">
        <v>16</v>
      </c>
      <c r="AD106" s="3">
        <v>27</v>
      </c>
      <c r="AE106" s="3">
        <v>24</v>
      </c>
      <c r="AF106" s="3">
        <v>27</v>
      </c>
      <c r="AG106" s="3">
        <v>68</v>
      </c>
      <c r="AH106" s="3">
        <v>39</v>
      </c>
      <c r="AI106" s="3">
        <v>83</v>
      </c>
      <c r="AJ106" s="3">
        <v>102</v>
      </c>
      <c r="AK106" s="3">
        <v>66</v>
      </c>
      <c r="AL106" s="3">
        <v>31</v>
      </c>
      <c r="AM106" s="3">
        <v>24</v>
      </c>
      <c r="AN106" s="3">
        <v>20</v>
      </c>
      <c r="AO106" s="3">
        <v>90</v>
      </c>
      <c r="AP106" s="28">
        <v>4</v>
      </c>
      <c r="AQ106" s="33" t="s">
        <v>229</v>
      </c>
      <c r="AS106" s="50" t="s">
        <v>294</v>
      </c>
      <c r="AT106" s="53" t="s">
        <v>326</v>
      </c>
    </row>
    <row r="107" spans="1:46" ht="30" customHeight="1" x14ac:dyDescent="0.2">
      <c r="A107" s="8" t="s">
        <v>242</v>
      </c>
      <c r="B107" s="13" t="s">
        <v>236</v>
      </c>
      <c r="C107" s="16" t="s">
        <v>90</v>
      </c>
      <c r="D107" s="7">
        <v>40</v>
      </c>
      <c r="E107" s="25" t="s">
        <v>31</v>
      </c>
      <c r="F107" s="7">
        <v>57</v>
      </c>
      <c r="G107" s="11" t="s">
        <v>71</v>
      </c>
      <c r="H107" s="11" t="s">
        <v>72</v>
      </c>
      <c r="I107" s="3">
        <v>44</v>
      </c>
      <c r="J107" s="3">
        <v>60</v>
      </c>
      <c r="K107" s="3">
        <v>18</v>
      </c>
      <c r="L107" s="3">
        <v>14</v>
      </c>
      <c r="M107" s="3">
        <v>98</v>
      </c>
      <c r="N107" s="3">
        <v>90</v>
      </c>
      <c r="O107" s="3">
        <v>106</v>
      </c>
      <c r="P107" s="3">
        <v>70</v>
      </c>
      <c r="Q107" s="3">
        <v>40</v>
      </c>
      <c r="R107" s="3">
        <v>44</v>
      </c>
      <c r="S107" s="3">
        <v>61</v>
      </c>
      <c r="T107" s="3">
        <v>16</v>
      </c>
      <c r="U107" s="3">
        <v>12</v>
      </c>
      <c r="V107" s="3">
        <v>26</v>
      </c>
      <c r="W107" s="3">
        <v>24</v>
      </c>
      <c r="X107" s="3">
        <v>26</v>
      </c>
      <c r="Y107" s="3">
        <v>70</v>
      </c>
      <c r="Z107" s="3">
        <v>40</v>
      </c>
      <c r="AA107" s="3">
        <v>44</v>
      </c>
      <c r="AB107" s="3">
        <v>26</v>
      </c>
      <c r="AC107" s="3">
        <v>16</v>
      </c>
      <c r="AD107" s="3">
        <v>26</v>
      </c>
      <c r="AE107" s="3">
        <v>24</v>
      </c>
      <c r="AF107" s="3">
        <v>26</v>
      </c>
      <c r="AG107" s="3">
        <v>70</v>
      </c>
      <c r="AH107" s="3">
        <v>40</v>
      </c>
      <c r="AI107" s="3">
        <v>80</v>
      </c>
      <c r="AJ107" s="3">
        <v>104</v>
      </c>
      <c r="AK107" s="3">
        <v>66</v>
      </c>
      <c r="AL107" s="3">
        <v>31</v>
      </c>
      <c r="AM107" s="3">
        <v>24</v>
      </c>
      <c r="AN107" s="3">
        <v>19</v>
      </c>
      <c r="AO107" s="3">
        <v>95</v>
      </c>
      <c r="AP107" s="28">
        <v>4</v>
      </c>
      <c r="AQ107" s="33" t="s">
        <v>229</v>
      </c>
      <c r="AS107" s="50" t="s">
        <v>294</v>
      </c>
      <c r="AT107" s="53" t="s">
        <v>326</v>
      </c>
    </row>
    <row r="108" spans="1:46" ht="30" customHeight="1" x14ac:dyDescent="0.2">
      <c r="A108" s="8" t="s">
        <v>243</v>
      </c>
      <c r="B108" s="13" t="s">
        <v>237</v>
      </c>
      <c r="C108" s="16" t="s">
        <v>90</v>
      </c>
      <c r="D108" s="7">
        <v>42</v>
      </c>
      <c r="E108" s="25" t="s">
        <v>32</v>
      </c>
      <c r="F108" s="7">
        <v>58</v>
      </c>
      <c r="G108" s="11" t="s">
        <v>71</v>
      </c>
      <c r="H108" s="11" t="s">
        <v>72</v>
      </c>
      <c r="I108" s="3">
        <v>46</v>
      </c>
      <c r="J108" s="3">
        <v>61</v>
      </c>
      <c r="K108" s="3">
        <v>20</v>
      </c>
      <c r="L108" s="3">
        <v>15</v>
      </c>
      <c r="M108" s="3">
        <v>112</v>
      </c>
      <c r="N108" s="3">
        <v>108</v>
      </c>
      <c r="O108" s="3">
        <v>115</v>
      </c>
      <c r="P108" s="3">
        <v>72</v>
      </c>
      <c r="Q108" s="3">
        <v>42</v>
      </c>
      <c r="R108" s="3">
        <v>46</v>
      </c>
      <c r="S108" s="3">
        <v>62</v>
      </c>
      <c r="T108" s="3">
        <v>19</v>
      </c>
      <c r="U108" s="3">
        <v>13</v>
      </c>
      <c r="V108" s="3">
        <v>30</v>
      </c>
      <c r="W108" s="3">
        <v>28</v>
      </c>
      <c r="X108" s="3">
        <v>30</v>
      </c>
      <c r="Y108" s="3">
        <v>72</v>
      </c>
      <c r="Z108" s="3">
        <v>42</v>
      </c>
      <c r="AA108" s="3">
        <v>46</v>
      </c>
      <c r="AB108" s="3">
        <v>26</v>
      </c>
      <c r="AC108" s="3">
        <v>19</v>
      </c>
      <c r="AD108" s="3">
        <v>30</v>
      </c>
      <c r="AE108" s="3">
        <v>28</v>
      </c>
      <c r="AF108" s="3">
        <v>30</v>
      </c>
      <c r="AG108" s="3">
        <v>72</v>
      </c>
      <c r="AH108" s="3">
        <v>42</v>
      </c>
      <c r="AI108" s="3">
        <v>99</v>
      </c>
      <c r="AJ108" s="3">
        <v>112</v>
      </c>
      <c r="AK108" s="3">
        <v>70</v>
      </c>
      <c r="AL108" s="3">
        <v>35</v>
      </c>
      <c r="AM108" s="3">
        <v>26</v>
      </c>
      <c r="AN108" s="3">
        <v>21</v>
      </c>
      <c r="AO108" s="3">
        <v>95</v>
      </c>
      <c r="AP108" s="28">
        <v>4</v>
      </c>
      <c r="AQ108" s="33" t="s">
        <v>229</v>
      </c>
      <c r="AS108" s="50" t="s">
        <v>294</v>
      </c>
      <c r="AT108" s="53" t="s">
        <v>326</v>
      </c>
    </row>
    <row r="109" spans="1:46" ht="30" customHeight="1" x14ac:dyDescent="0.2">
      <c r="A109" s="8" t="s">
        <v>244</v>
      </c>
      <c r="B109" s="13" t="s">
        <v>238</v>
      </c>
      <c r="C109" s="16" t="s">
        <v>90</v>
      </c>
      <c r="D109" s="7">
        <v>42</v>
      </c>
      <c r="E109" s="25" t="s">
        <v>32</v>
      </c>
      <c r="F109" s="7">
        <v>57</v>
      </c>
      <c r="G109" s="11" t="s">
        <v>71</v>
      </c>
      <c r="H109" s="11" t="s">
        <v>72</v>
      </c>
      <c r="I109" s="3">
        <v>48</v>
      </c>
      <c r="J109" s="3">
        <v>59</v>
      </c>
      <c r="K109" s="3">
        <v>19</v>
      </c>
      <c r="L109" s="3">
        <v>14</v>
      </c>
      <c r="M109" s="3">
        <v>107</v>
      </c>
      <c r="N109" s="3">
        <v>98</v>
      </c>
      <c r="O109" s="3">
        <v>112</v>
      </c>
      <c r="P109" s="3">
        <v>73</v>
      </c>
      <c r="Q109" s="3">
        <v>41</v>
      </c>
      <c r="R109" s="3">
        <v>45</v>
      </c>
      <c r="S109" s="3">
        <v>60</v>
      </c>
      <c r="T109" s="3">
        <v>18</v>
      </c>
      <c r="U109" s="3">
        <v>13</v>
      </c>
      <c r="V109" s="3">
        <v>28</v>
      </c>
      <c r="W109" s="3">
        <v>26</v>
      </c>
      <c r="X109" s="3">
        <v>28</v>
      </c>
      <c r="Y109" s="3">
        <v>73</v>
      </c>
      <c r="Z109" s="3">
        <v>41</v>
      </c>
      <c r="AA109" s="3">
        <v>45</v>
      </c>
      <c r="AB109" s="3">
        <v>26</v>
      </c>
      <c r="AC109" s="3">
        <v>18</v>
      </c>
      <c r="AD109" s="3">
        <v>28</v>
      </c>
      <c r="AE109" s="3">
        <v>26</v>
      </c>
      <c r="AF109" s="3">
        <v>28</v>
      </c>
      <c r="AG109" s="3">
        <v>73</v>
      </c>
      <c r="AH109" s="3">
        <v>41</v>
      </c>
      <c r="AI109" s="3">
        <v>90</v>
      </c>
      <c r="AJ109" s="3">
        <v>110</v>
      </c>
      <c r="AK109" s="3">
        <v>71</v>
      </c>
      <c r="AL109" s="3">
        <v>34</v>
      </c>
      <c r="AM109" s="3">
        <v>26</v>
      </c>
      <c r="AN109" s="3">
        <v>21</v>
      </c>
      <c r="AO109" s="3">
        <v>99</v>
      </c>
      <c r="AP109" s="28">
        <v>4</v>
      </c>
      <c r="AQ109" s="33" t="s">
        <v>229</v>
      </c>
      <c r="AS109" s="50" t="s">
        <v>294</v>
      </c>
      <c r="AT109" s="53" t="s">
        <v>326</v>
      </c>
    </row>
    <row r="110" spans="1:46" ht="30" customHeight="1" x14ac:dyDescent="0.2">
      <c r="A110" s="8" t="s">
        <v>245</v>
      </c>
      <c r="B110" s="13" t="s">
        <v>239</v>
      </c>
      <c r="C110" s="16" t="s">
        <v>90</v>
      </c>
      <c r="D110" s="7">
        <v>41</v>
      </c>
      <c r="E110" s="25" t="s">
        <v>32</v>
      </c>
      <c r="F110" s="7">
        <v>55</v>
      </c>
      <c r="G110" s="11" t="s">
        <v>71</v>
      </c>
      <c r="H110" s="11" t="s">
        <v>72</v>
      </c>
      <c r="I110" s="3">
        <v>45</v>
      </c>
      <c r="J110" s="3">
        <v>61</v>
      </c>
      <c r="K110" s="3">
        <v>18</v>
      </c>
      <c r="L110" s="3">
        <v>14</v>
      </c>
      <c r="M110" s="3">
        <v>96</v>
      </c>
      <c r="N110" s="3">
        <v>92</v>
      </c>
      <c r="O110" s="3">
        <v>106</v>
      </c>
      <c r="P110" s="3">
        <v>69</v>
      </c>
      <c r="Q110" s="3">
        <v>38</v>
      </c>
      <c r="R110" s="3">
        <v>45</v>
      </c>
      <c r="S110" s="3">
        <v>62</v>
      </c>
      <c r="T110" s="3">
        <v>17</v>
      </c>
      <c r="U110" s="3">
        <v>13</v>
      </c>
      <c r="V110" s="3">
        <v>28</v>
      </c>
      <c r="W110" s="3">
        <v>27</v>
      </c>
      <c r="X110" s="3">
        <v>28</v>
      </c>
      <c r="Y110" s="3">
        <v>69</v>
      </c>
      <c r="Z110" s="3">
        <v>38</v>
      </c>
      <c r="AA110" s="3">
        <v>45</v>
      </c>
      <c r="AB110" s="3">
        <v>24</v>
      </c>
      <c r="AC110" s="3">
        <v>17</v>
      </c>
      <c r="AD110" s="3">
        <v>28</v>
      </c>
      <c r="AE110" s="3">
        <v>27</v>
      </c>
      <c r="AF110" s="3">
        <v>28</v>
      </c>
      <c r="AG110" s="3">
        <v>69</v>
      </c>
      <c r="AH110" s="3">
        <v>38</v>
      </c>
      <c r="AI110" s="3">
        <v>87</v>
      </c>
      <c r="AJ110" s="3">
        <v>105</v>
      </c>
      <c r="AK110" s="3">
        <v>68</v>
      </c>
      <c r="AL110" s="3">
        <v>34</v>
      </c>
      <c r="AM110" s="3">
        <v>26</v>
      </c>
      <c r="AN110" s="3">
        <v>20</v>
      </c>
      <c r="AO110" s="3">
        <v>97</v>
      </c>
      <c r="AP110" s="28">
        <v>4</v>
      </c>
      <c r="AQ110" s="33" t="s">
        <v>229</v>
      </c>
      <c r="AS110" s="50" t="s">
        <v>294</v>
      </c>
      <c r="AT110" s="53" t="s">
        <v>326</v>
      </c>
    </row>
    <row r="111" spans="1:46" ht="30" customHeight="1" x14ac:dyDescent="0.2">
      <c r="A111" s="35" t="s">
        <v>254</v>
      </c>
      <c r="B111" s="36" t="s">
        <v>247</v>
      </c>
      <c r="C111" s="16" t="s">
        <v>90</v>
      </c>
      <c r="D111" s="37">
        <v>40</v>
      </c>
      <c r="E111" s="38" t="s">
        <v>32</v>
      </c>
      <c r="F111" s="37">
        <v>57</v>
      </c>
      <c r="G111" s="11" t="s">
        <v>71</v>
      </c>
      <c r="H111" s="11" t="s">
        <v>72</v>
      </c>
      <c r="I111" s="3">
        <v>46</v>
      </c>
      <c r="J111" s="3">
        <v>60</v>
      </c>
      <c r="K111" s="3">
        <v>19</v>
      </c>
      <c r="L111" s="3">
        <v>14</v>
      </c>
      <c r="M111" s="3">
        <v>104</v>
      </c>
      <c r="N111" s="3">
        <v>98</v>
      </c>
      <c r="O111" s="3">
        <v>112</v>
      </c>
      <c r="P111" s="3">
        <v>70</v>
      </c>
      <c r="Q111" s="3">
        <v>42</v>
      </c>
      <c r="R111" s="3">
        <v>46</v>
      </c>
      <c r="S111" s="3">
        <v>61</v>
      </c>
      <c r="T111" s="3">
        <v>18</v>
      </c>
      <c r="U111" s="3">
        <v>13</v>
      </c>
      <c r="V111" s="3">
        <v>28</v>
      </c>
      <c r="W111" s="3">
        <v>28</v>
      </c>
      <c r="X111" s="3">
        <v>28</v>
      </c>
      <c r="Y111" s="3">
        <v>70</v>
      </c>
      <c r="Z111" s="3">
        <v>42</v>
      </c>
      <c r="AA111" s="3">
        <v>46</v>
      </c>
      <c r="AB111" s="3">
        <v>26</v>
      </c>
      <c r="AC111" s="3">
        <v>18</v>
      </c>
      <c r="AD111" s="3">
        <v>28</v>
      </c>
      <c r="AE111" s="3">
        <v>28</v>
      </c>
      <c r="AF111" s="3">
        <v>28</v>
      </c>
      <c r="AG111" s="3">
        <v>70</v>
      </c>
      <c r="AH111" s="3">
        <v>42</v>
      </c>
      <c r="AI111" s="3">
        <v>92</v>
      </c>
      <c r="AJ111" s="3">
        <v>110</v>
      </c>
      <c r="AK111" s="3">
        <v>68</v>
      </c>
      <c r="AL111" s="3">
        <v>34</v>
      </c>
      <c r="AM111" s="3">
        <v>26</v>
      </c>
      <c r="AN111" s="3">
        <v>20</v>
      </c>
      <c r="AO111" s="3">
        <v>98</v>
      </c>
      <c r="AP111" s="28">
        <v>4</v>
      </c>
      <c r="AQ111" s="40" t="s">
        <v>270</v>
      </c>
      <c r="AS111" s="50" t="s">
        <v>294</v>
      </c>
      <c r="AT111" s="53" t="s">
        <v>326</v>
      </c>
    </row>
    <row r="112" spans="1:46" ht="30" customHeight="1" x14ac:dyDescent="0.2">
      <c r="A112" s="35" t="s">
        <v>255</v>
      </c>
      <c r="B112" s="36" t="s">
        <v>248</v>
      </c>
      <c r="C112" s="16" t="s">
        <v>90</v>
      </c>
      <c r="D112" s="37">
        <v>42</v>
      </c>
      <c r="E112" s="38" t="s">
        <v>31</v>
      </c>
      <c r="F112" s="37">
        <v>58</v>
      </c>
      <c r="G112" s="11" t="s">
        <v>71</v>
      </c>
      <c r="H112" s="11" t="s">
        <v>72</v>
      </c>
      <c r="I112" s="3">
        <v>44</v>
      </c>
      <c r="J112" s="3">
        <v>59</v>
      </c>
      <c r="K112" s="3">
        <v>18</v>
      </c>
      <c r="L112" s="3">
        <v>14</v>
      </c>
      <c r="M112" s="3">
        <v>94</v>
      </c>
      <c r="N112" s="3">
        <v>87</v>
      </c>
      <c r="O112" s="3">
        <v>98</v>
      </c>
      <c r="P112" s="3">
        <v>70</v>
      </c>
      <c r="Q112" s="3">
        <v>38</v>
      </c>
      <c r="R112" s="3">
        <v>44</v>
      </c>
      <c r="S112" s="3">
        <v>60</v>
      </c>
      <c r="T112" s="3">
        <v>16</v>
      </c>
      <c r="U112" s="3">
        <v>12</v>
      </c>
      <c r="V112" s="3">
        <v>26</v>
      </c>
      <c r="W112" s="3">
        <v>24</v>
      </c>
      <c r="X112" s="3">
        <v>26</v>
      </c>
      <c r="Y112" s="3">
        <v>70</v>
      </c>
      <c r="Z112" s="3">
        <v>38</v>
      </c>
      <c r="AA112" s="3">
        <v>44</v>
      </c>
      <c r="AB112" s="3">
        <v>26</v>
      </c>
      <c r="AC112" s="3">
        <v>16</v>
      </c>
      <c r="AD112" s="3">
        <v>26</v>
      </c>
      <c r="AE112" s="3">
        <v>24</v>
      </c>
      <c r="AF112" s="3">
        <v>26</v>
      </c>
      <c r="AG112" s="3">
        <v>70</v>
      </c>
      <c r="AH112" s="3">
        <v>38</v>
      </c>
      <c r="AI112" s="3">
        <v>78</v>
      </c>
      <c r="AJ112" s="3">
        <v>92</v>
      </c>
      <c r="AK112" s="3">
        <v>66</v>
      </c>
      <c r="AL112" s="3">
        <v>30</v>
      </c>
      <c r="AM112" s="3">
        <v>24</v>
      </c>
      <c r="AN112" s="3">
        <v>19</v>
      </c>
      <c r="AO112" s="3">
        <v>99</v>
      </c>
      <c r="AP112" s="28">
        <v>4</v>
      </c>
      <c r="AQ112" s="40" t="s">
        <v>270</v>
      </c>
      <c r="AS112" s="50" t="s">
        <v>294</v>
      </c>
      <c r="AT112" s="53" t="s">
        <v>326</v>
      </c>
    </row>
    <row r="113" spans="1:46" ht="30" customHeight="1" x14ac:dyDescent="0.2">
      <c r="A113" s="35" t="s">
        <v>256</v>
      </c>
      <c r="B113" s="36" t="s">
        <v>249</v>
      </c>
      <c r="C113" s="16" t="s">
        <v>90</v>
      </c>
      <c r="D113" s="37">
        <v>42</v>
      </c>
      <c r="E113" s="38" t="s">
        <v>34</v>
      </c>
      <c r="F113" s="37">
        <v>58</v>
      </c>
      <c r="G113" s="11" t="s">
        <v>71</v>
      </c>
      <c r="H113" s="11" t="s">
        <v>72</v>
      </c>
      <c r="I113" s="3">
        <v>46</v>
      </c>
      <c r="J113" s="3">
        <v>62</v>
      </c>
      <c r="K113" s="3">
        <v>18</v>
      </c>
      <c r="L113" s="3">
        <v>14</v>
      </c>
      <c r="M113" s="3">
        <v>100</v>
      </c>
      <c r="N113" s="3">
        <v>94</v>
      </c>
      <c r="O113" s="3">
        <v>108</v>
      </c>
      <c r="P113" s="3">
        <v>74</v>
      </c>
      <c r="Q113" s="3">
        <v>40</v>
      </c>
      <c r="R113" s="3">
        <v>46</v>
      </c>
      <c r="S113" s="3">
        <v>63</v>
      </c>
      <c r="T113" s="3">
        <v>16</v>
      </c>
      <c r="U113" s="3">
        <v>12</v>
      </c>
      <c r="V113" s="3">
        <v>27</v>
      </c>
      <c r="W113" s="3">
        <v>24</v>
      </c>
      <c r="X113" s="3">
        <v>27</v>
      </c>
      <c r="Y113" s="3">
        <v>74</v>
      </c>
      <c r="Z113" s="3">
        <v>40</v>
      </c>
      <c r="AA113" s="3">
        <v>46</v>
      </c>
      <c r="AB113" s="3">
        <v>26</v>
      </c>
      <c r="AC113" s="3">
        <v>16</v>
      </c>
      <c r="AD113" s="3">
        <v>27</v>
      </c>
      <c r="AE113" s="3">
        <v>24</v>
      </c>
      <c r="AF113" s="3">
        <v>27</v>
      </c>
      <c r="AG113" s="3">
        <v>74</v>
      </c>
      <c r="AH113" s="3">
        <v>40</v>
      </c>
      <c r="AI113" s="3">
        <v>84</v>
      </c>
      <c r="AJ113" s="3">
        <v>104</v>
      </c>
      <c r="AK113" s="3">
        <v>70</v>
      </c>
      <c r="AL113" s="3">
        <v>32</v>
      </c>
      <c r="AM113" s="3">
        <v>26</v>
      </c>
      <c r="AN113" s="3">
        <v>19</v>
      </c>
      <c r="AO113" s="3">
        <v>102</v>
      </c>
      <c r="AP113" s="28">
        <v>4</v>
      </c>
      <c r="AQ113" s="40" t="s">
        <v>270</v>
      </c>
      <c r="AS113" s="50" t="s">
        <v>294</v>
      </c>
      <c r="AT113" s="53" t="s">
        <v>326</v>
      </c>
    </row>
    <row r="114" spans="1:46" ht="30" customHeight="1" x14ac:dyDescent="0.2">
      <c r="A114" s="35" t="s">
        <v>257</v>
      </c>
      <c r="B114" s="36" t="s">
        <v>250</v>
      </c>
      <c r="C114" s="16" t="s">
        <v>90</v>
      </c>
      <c r="D114" s="37">
        <v>41</v>
      </c>
      <c r="E114" s="38" t="s">
        <v>32</v>
      </c>
      <c r="F114" s="37">
        <v>57</v>
      </c>
      <c r="G114" s="11" t="s">
        <v>71</v>
      </c>
      <c r="H114" s="11" t="s">
        <v>72</v>
      </c>
      <c r="I114" s="3">
        <v>44</v>
      </c>
      <c r="J114" s="3">
        <v>63</v>
      </c>
      <c r="K114" s="3">
        <v>18</v>
      </c>
      <c r="L114" s="3">
        <v>14</v>
      </c>
      <c r="M114" s="3">
        <v>98</v>
      </c>
      <c r="N114" s="3">
        <v>93</v>
      </c>
      <c r="O114" s="3">
        <v>104</v>
      </c>
      <c r="P114" s="3">
        <v>71</v>
      </c>
      <c r="Q114" s="3">
        <v>40</v>
      </c>
      <c r="R114" s="3">
        <v>44</v>
      </c>
      <c r="S114" s="3">
        <v>64</v>
      </c>
      <c r="T114" s="3">
        <v>16</v>
      </c>
      <c r="U114" s="3">
        <v>12</v>
      </c>
      <c r="V114" s="3">
        <v>27</v>
      </c>
      <c r="W114" s="3">
        <v>25</v>
      </c>
      <c r="X114" s="3">
        <v>27</v>
      </c>
      <c r="Y114" s="3">
        <v>74</v>
      </c>
      <c r="Z114" s="3">
        <v>40</v>
      </c>
      <c r="AA114" s="3">
        <v>44</v>
      </c>
      <c r="AB114" s="3">
        <v>26</v>
      </c>
      <c r="AC114" s="3">
        <v>16</v>
      </c>
      <c r="AD114" s="3">
        <v>27</v>
      </c>
      <c r="AE114" s="3">
        <v>25</v>
      </c>
      <c r="AF114" s="3">
        <v>27</v>
      </c>
      <c r="AG114" s="3">
        <v>74</v>
      </c>
      <c r="AH114" s="3">
        <v>40</v>
      </c>
      <c r="AI114" s="3">
        <v>85</v>
      </c>
      <c r="AJ114" s="3">
        <v>100</v>
      </c>
      <c r="AK114" s="3">
        <v>64</v>
      </c>
      <c r="AL114" s="3">
        <v>32</v>
      </c>
      <c r="AM114" s="3">
        <v>25</v>
      </c>
      <c r="AN114" s="3">
        <v>19</v>
      </c>
      <c r="AO114" s="3">
        <v>103</v>
      </c>
      <c r="AP114" s="28">
        <v>4</v>
      </c>
      <c r="AQ114" s="40" t="s">
        <v>270</v>
      </c>
      <c r="AS114" s="50" t="s">
        <v>294</v>
      </c>
      <c r="AT114" s="53" t="s">
        <v>326</v>
      </c>
    </row>
    <row r="115" spans="1:46" ht="30" customHeight="1" x14ac:dyDescent="0.2">
      <c r="A115" s="35" t="s">
        <v>258</v>
      </c>
      <c r="B115" s="36" t="s">
        <v>251</v>
      </c>
      <c r="C115" s="16" t="s">
        <v>90</v>
      </c>
      <c r="D115" s="37">
        <v>41</v>
      </c>
      <c r="E115" s="38" t="s">
        <v>32</v>
      </c>
      <c r="F115" s="37">
        <v>60</v>
      </c>
      <c r="G115" s="11" t="s">
        <v>71</v>
      </c>
      <c r="H115" s="11" t="s">
        <v>72</v>
      </c>
      <c r="I115" s="3">
        <v>45</v>
      </c>
      <c r="J115" s="3">
        <v>60</v>
      </c>
      <c r="K115" s="3">
        <v>19</v>
      </c>
      <c r="L115" s="3">
        <v>14</v>
      </c>
      <c r="M115" s="3">
        <v>104</v>
      </c>
      <c r="N115" s="3">
        <v>100</v>
      </c>
      <c r="O115" s="3">
        <v>108</v>
      </c>
      <c r="P115" s="3">
        <v>70</v>
      </c>
      <c r="Q115" s="3">
        <v>41</v>
      </c>
      <c r="R115" s="3">
        <v>45</v>
      </c>
      <c r="S115" s="3">
        <v>61</v>
      </c>
      <c r="T115" s="3">
        <v>18</v>
      </c>
      <c r="U115" s="3">
        <v>13</v>
      </c>
      <c r="V115" s="3">
        <v>28</v>
      </c>
      <c r="W115" s="3">
        <v>28</v>
      </c>
      <c r="X115" s="3">
        <v>28</v>
      </c>
      <c r="Y115" s="3">
        <v>70</v>
      </c>
      <c r="Z115" s="3">
        <v>41</v>
      </c>
      <c r="AA115" s="3">
        <v>45</v>
      </c>
      <c r="AB115" s="3">
        <v>24</v>
      </c>
      <c r="AC115" s="3">
        <v>18</v>
      </c>
      <c r="AD115" s="3">
        <v>28</v>
      </c>
      <c r="AE115" s="3">
        <v>28</v>
      </c>
      <c r="AF115" s="3">
        <v>28</v>
      </c>
      <c r="AG115" s="3">
        <v>70</v>
      </c>
      <c r="AH115" s="3">
        <v>41</v>
      </c>
      <c r="AI115" s="3">
        <v>92</v>
      </c>
      <c r="AJ115" s="3">
        <v>106</v>
      </c>
      <c r="AK115" s="3">
        <v>66</v>
      </c>
      <c r="AL115" s="3">
        <v>34</v>
      </c>
      <c r="AM115" s="3">
        <v>26</v>
      </c>
      <c r="AN115" s="3">
        <v>20</v>
      </c>
      <c r="AO115" s="3">
        <v>94</v>
      </c>
      <c r="AP115" s="28">
        <v>4</v>
      </c>
      <c r="AQ115" s="40" t="s">
        <v>270</v>
      </c>
      <c r="AS115" s="50" t="s">
        <v>294</v>
      </c>
      <c r="AT115" s="53" t="s">
        <v>326</v>
      </c>
    </row>
    <row r="116" spans="1:46" ht="30" customHeight="1" x14ac:dyDescent="0.2">
      <c r="A116" s="35" t="s">
        <v>259</v>
      </c>
      <c r="B116" s="36" t="s">
        <v>252</v>
      </c>
      <c r="C116" s="16" t="s">
        <v>90</v>
      </c>
      <c r="D116" s="37">
        <v>42</v>
      </c>
      <c r="E116" s="38" t="s">
        <v>34</v>
      </c>
      <c r="F116" s="37">
        <v>57</v>
      </c>
      <c r="G116" s="11" t="s">
        <v>71</v>
      </c>
      <c r="H116" s="11" t="s">
        <v>72</v>
      </c>
      <c r="I116" s="3">
        <v>45</v>
      </c>
      <c r="J116" s="3">
        <v>56</v>
      </c>
      <c r="K116" s="3">
        <v>19</v>
      </c>
      <c r="L116" s="3">
        <v>14</v>
      </c>
      <c r="M116" s="3">
        <v>106</v>
      </c>
      <c r="N116" s="3">
        <v>100</v>
      </c>
      <c r="O116" s="3">
        <v>112</v>
      </c>
      <c r="P116" s="3">
        <v>73</v>
      </c>
      <c r="Q116" s="3">
        <v>40</v>
      </c>
      <c r="R116" s="3">
        <v>45</v>
      </c>
      <c r="S116" s="3">
        <v>57</v>
      </c>
      <c r="T116" s="3">
        <v>18</v>
      </c>
      <c r="U116" s="3">
        <v>13</v>
      </c>
      <c r="V116" s="3">
        <v>28</v>
      </c>
      <c r="W116" s="3">
        <v>28</v>
      </c>
      <c r="X116" s="3">
        <v>28</v>
      </c>
      <c r="Y116" s="3">
        <v>73</v>
      </c>
      <c r="Z116" s="3">
        <v>40</v>
      </c>
      <c r="AA116" s="3">
        <v>45</v>
      </c>
      <c r="AB116" s="3">
        <v>26</v>
      </c>
      <c r="AC116" s="3">
        <v>18</v>
      </c>
      <c r="AD116" s="3">
        <v>28</v>
      </c>
      <c r="AE116" s="3">
        <v>28</v>
      </c>
      <c r="AF116" s="39">
        <v>28</v>
      </c>
      <c r="AG116" s="3">
        <v>73</v>
      </c>
      <c r="AH116" s="3">
        <v>40</v>
      </c>
      <c r="AI116" s="3">
        <v>92</v>
      </c>
      <c r="AJ116" s="3">
        <v>110</v>
      </c>
      <c r="AK116" s="3">
        <v>67</v>
      </c>
      <c r="AL116" s="3">
        <v>34</v>
      </c>
      <c r="AM116" s="3">
        <v>26</v>
      </c>
      <c r="AN116" s="3">
        <v>22</v>
      </c>
      <c r="AO116" s="3">
        <v>100</v>
      </c>
      <c r="AP116" s="28">
        <v>4</v>
      </c>
      <c r="AQ116" s="40" t="s">
        <v>270</v>
      </c>
      <c r="AS116" s="50" t="s">
        <v>294</v>
      </c>
      <c r="AT116" s="53" t="s">
        <v>326</v>
      </c>
    </row>
    <row r="117" spans="1:46" ht="30" customHeight="1" x14ac:dyDescent="0.2">
      <c r="A117" s="35" t="s">
        <v>260</v>
      </c>
      <c r="B117" s="36" t="s">
        <v>253</v>
      </c>
      <c r="C117" s="16" t="s">
        <v>90</v>
      </c>
      <c r="D117" s="37">
        <v>43</v>
      </c>
      <c r="E117" s="38" t="s">
        <v>34</v>
      </c>
      <c r="F117" s="37">
        <v>59</v>
      </c>
      <c r="G117" s="11" t="s">
        <v>71</v>
      </c>
      <c r="H117" s="11" t="s">
        <v>72</v>
      </c>
      <c r="I117" s="3">
        <v>46</v>
      </c>
      <c r="J117" s="3">
        <v>62</v>
      </c>
      <c r="K117" s="3">
        <v>20</v>
      </c>
      <c r="L117" s="3">
        <v>14</v>
      </c>
      <c r="M117" s="3">
        <v>107</v>
      </c>
      <c r="N117" s="3">
        <v>104</v>
      </c>
      <c r="O117" s="3">
        <v>114</v>
      </c>
      <c r="P117" s="3">
        <v>73</v>
      </c>
      <c r="Q117" s="3">
        <v>43</v>
      </c>
      <c r="R117" s="3">
        <v>46</v>
      </c>
      <c r="S117" s="3">
        <v>63</v>
      </c>
      <c r="T117" s="3">
        <v>18</v>
      </c>
      <c r="U117" s="3">
        <v>13</v>
      </c>
      <c r="V117" s="3">
        <v>28</v>
      </c>
      <c r="W117" s="3">
        <v>27</v>
      </c>
      <c r="X117" s="3">
        <v>28</v>
      </c>
      <c r="Y117" s="3">
        <v>73</v>
      </c>
      <c r="Z117" s="3">
        <v>43</v>
      </c>
      <c r="AA117" s="3">
        <v>46</v>
      </c>
      <c r="AB117" s="3">
        <v>26</v>
      </c>
      <c r="AC117" s="3">
        <v>18</v>
      </c>
      <c r="AD117" s="3">
        <v>28</v>
      </c>
      <c r="AE117" s="3">
        <v>27</v>
      </c>
      <c r="AF117" s="3">
        <v>28</v>
      </c>
      <c r="AG117" s="3">
        <v>73</v>
      </c>
      <c r="AH117" s="3">
        <v>43</v>
      </c>
      <c r="AI117" s="3">
        <v>94</v>
      </c>
      <c r="AJ117" s="3">
        <v>108</v>
      </c>
      <c r="AK117" s="3">
        <v>68</v>
      </c>
      <c r="AL117" s="3">
        <v>35</v>
      </c>
      <c r="AM117" s="3">
        <v>26</v>
      </c>
      <c r="AN117" s="3">
        <v>21</v>
      </c>
      <c r="AO117" s="3">
        <v>99</v>
      </c>
      <c r="AP117" s="28">
        <v>4</v>
      </c>
      <c r="AQ117" s="40" t="s">
        <v>270</v>
      </c>
      <c r="AS117" s="50" t="s">
        <v>294</v>
      </c>
      <c r="AT117" s="53" t="s">
        <v>326</v>
      </c>
    </row>
    <row r="118" spans="1:46" ht="30" customHeight="1" x14ac:dyDescent="0.2">
      <c r="A118" s="35" t="s">
        <v>282</v>
      </c>
      <c r="B118" s="36" t="s">
        <v>280</v>
      </c>
      <c r="C118" s="16" t="s">
        <v>90</v>
      </c>
      <c r="D118" s="49">
        <v>42</v>
      </c>
      <c r="E118" s="38" t="s">
        <v>32</v>
      </c>
      <c r="F118" s="49">
        <v>58</v>
      </c>
      <c r="G118" s="11" t="s">
        <v>71</v>
      </c>
      <c r="H118" s="11" t="s">
        <v>72</v>
      </c>
      <c r="I118" s="31">
        <v>45</v>
      </c>
      <c r="J118" s="31">
        <v>59</v>
      </c>
      <c r="K118" s="31">
        <v>19</v>
      </c>
      <c r="L118" s="31">
        <v>14</v>
      </c>
      <c r="M118" s="31">
        <v>106</v>
      </c>
      <c r="N118" s="31">
        <v>100</v>
      </c>
      <c r="O118" s="31">
        <v>110</v>
      </c>
      <c r="P118" s="31">
        <v>70</v>
      </c>
      <c r="Q118" s="31">
        <v>42</v>
      </c>
      <c r="R118" s="31">
        <v>45</v>
      </c>
      <c r="S118" s="31">
        <v>60</v>
      </c>
      <c r="T118" s="31">
        <v>18</v>
      </c>
      <c r="U118" s="31">
        <v>13</v>
      </c>
      <c r="V118" s="31">
        <v>29</v>
      </c>
      <c r="W118" s="31">
        <v>27</v>
      </c>
      <c r="X118" s="31">
        <v>29</v>
      </c>
      <c r="Y118" s="31">
        <v>70</v>
      </c>
      <c r="Z118" s="31">
        <v>42</v>
      </c>
      <c r="AA118" s="31">
        <v>45</v>
      </c>
      <c r="AB118" s="31">
        <v>26</v>
      </c>
      <c r="AC118" s="31">
        <v>18</v>
      </c>
      <c r="AD118" s="31">
        <v>29</v>
      </c>
      <c r="AE118" s="31">
        <v>27</v>
      </c>
      <c r="AF118" s="31">
        <v>29</v>
      </c>
      <c r="AG118" s="31">
        <v>70</v>
      </c>
      <c r="AH118" s="31">
        <v>42</v>
      </c>
      <c r="AI118" s="31">
        <v>94</v>
      </c>
      <c r="AJ118" s="31">
        <v>108</v>
      </c>
      <c r="AK118" s="31">
        <v>67</v>
      </c>
      <c r="AL118" s="31">
        <v>34</v>
      </c>
      <c r="AM118" s="31">
        <v>24</v>
      </c>
      <c r="AN118" s="31">
        <v>19</v>
      </c>
      <c r="AO118" s="31">
        <v>95</v>
      </c>
      <c r="AP118" s="28">
        <v>4</v>
      </c>
      <c r="AQ118" s="40" t="s">
        <v>281</v>
      </c>
      <c r="AS118" s="50" t="s">
        <v>294</v>
      </c>
      <c r="AT118" s="53" t="s">
        <v>326</v>
      </c>
    </row>
    <row r="119" spans="1:46" ht="30" customHeight="1" x14ac:dyDescent="0.2">
      <c r="A119" s="35" t="s">
        <v>289</v>
      </c>
      <c r="B119" s="36" t="s">
        <v>284</v>
      </c>
      <c r="C119" s="16" t="s">
        <v>90</v>
      </c>
      <c r="D119" s="49">
        <v>42</v>
      </c>
      <c r="E119" s="38" t="s">
        <v>31</v>
      </c>
      <c r="F119" s="49">
        <v>56</v>
      </c>
      <c r="G119" s="11" t="s">
        <v>71</v>
      </c>
      <c r="H119" s="11" t="s">
        <v>72</v>
      </c>
      <c r="I119" s="31">
        <v>44</v>
      </c>
      <c r="J119" s="31">
        <v>60</v>
      </c>
      <c r="K119" s="31">
        <v>18</v>
      </c>
      <c r="L119" s="31">
        <v>14</v>
      </c>
      <c r="M119" s="31">
        <v>96</v>
      </c>
      <c r="N119" s="31">
        <v>87</v>
      </c>
      <c r="O119" s="31">
        <v>102</v>
      </c>
      <c r="P119" s="31">
        <v>70</v>
      </c>
      <c r="Q119" s="31">
        <v>40</v>
      </c>
      <c r="R119" s="31">
        <v>44</v>
      </c>
      <c r="S119" s="31">
        <v>60</v>
      </c>
      <c r="T119" s="31">
        <v>17</v>
      </c>
      <c r="U119" s="31">
        <v>13</v>
      </c>
      <c r="V119" s="31">
        <v>27</v>
      </c>
      <c r="W119" s="31">
        <v>25</v>
      </c>
      <c r="X119" s="31">
        <v>27</v>
      </c>
      <c r="Y119" s="31">
        <v>70</v>
      </c>
      <c r="Z119" s="31">
        <v>40</v>
      </c>
      <c r="AA119" s="31">
        <v>44</v>
      </c>
      <c r="AB119" s="31">
        <v>24</v>
      </c>
      <c r="AC119" s="31">
        <v>16</v>
      </c>
      <c r="AD119" s="31">
        <v>27</v>
      </c>
      <c r="AE119" s="31">
        <v>25</v>
      </c>
      <c r="AF119" s="31">
        <v>27</v>
      </c>
      <c r="AG119" s="31">
        <v>70</v>
      </c>
      <c r="AH119" s="31">
        <v>40</v>
      </c>
      <c r="AI119" s="31">
        <v>82</v>
      </c>
      <c r="AJ119" s="31">
        <v>100</v>
      </c>
      <c r="AK119" s="31">
        <v>63</v>
      </c>
      <c r="AL119" s="31">
        <v>30</v>
      </c>
      <c r="AM119" s="31">
        <v>24</v>
      </c>
      <c r="AN119" s="31">
        <v>19</v>
      </c>
      <c r="AO119" s="31">
        <v>102</v>
      </c>
      <c r="AP119" s="28">
        <v>4</v>
      </c>
      <c r="AQ119" s="40" t="s">
        <v>281</v>
      </c>
      <c r="AS119" s="50" t="s">
        <v>294</v>
      </c>
      <c r="AT119" s="53" t="s">
        <v>326</v>
      </c>
    </row>
    <row r="120" spans="1:46" ht="30" customHeight="1" x14ac:dyDescent="0.2">
      <c r="A120" s="35" t="s">
        <v>290</v>
      </c>
      <c r="B120" s="36" t="s">
        <v>285</v>
      </c>
      <c r="C120" s="16" t="s">
        <v>90</v>
      </c>
      <c r="D120" s="49">
        <v>42</v>
      </c>
      <c r="E120" s="38" t="s">
        <v>34</v>
      </c>
      <c r="F120" s="49">
        <v>59</v>
      </c>
      <c r="G120" s="11" t="s">
        <v>71</v>
      </c>
      <c r="H120" s="11" t="s">
        <v>72</v>
      </c>
      <c r="I120" s="31">
        <v>48</v>
      </c>
      <c r="J120" s="31">
        <v>61</v>
      </c>
      <c r="K120" s="31">
        <v>21</v>
      </c>
      <c r="L120" s="31">
        <v>15</v>
      </c>
      <c r="M120" s="31">
        <v>115</v>
      </c>
      <c r="N120" s="31">
        <v>110</v>
      </c>
      <c r="O120" s="31">
        <v>118</v>
      </c>
      <c r="P120" s="31">
        <v>75</v>
      </c>
      <c r="Q120" s="31">
        <v>45</v>
      </c>
      <c r="R120" s="31">
        <v>48</v>
      </c>
      <c r="S120" s="31">
        <v>61</v>
      </c>
      <c r="T120" s="31">
        <v>20</v>
      </c>
      <c r="U120" s="31">
        <v>14</v>
      </c>
      <c r="V120" s="31">
        <v>32</v>
      </c>
      <c r="W120" s="31">
        <v>31</v>
      </c>
      <c r="X120" s="31">
        <v>32</v>
      </c>
      <c r="Y120" s="31">
        <v>75</v>
      </c>
      <c r="Z120" s="31">
        <v>45</v>
      </c>
      <c r="AA120" s="31">
        <v>48</v>
      </c>
      <c r="AB120" s="31">
        <v>27</v>
      </c>
      <c r="AC120" s="31">
        <v>20</v>
      </c>
      <c r="AD120" s="31">
        <v>32</v>
      </c>
      <c r="AE120" s="31">
        <v>31</v>
      </c>
      <c r="AF120" s="31">
        <v>32</v>
      </c>
      <c r="AG120" s="31">
        <v>75</v>
      </c>
      <c r="AH120" s="31">
        <v>45</v>
      </c>
      <c r="AI120" s="31">
        <v>105</v>
      </c>
      <c r="AJ120" s="31">
        <v>115</v>
      </c>
      <c r="AK120" s="31">
        <v>69</v>
      </c>
      <c r="AL120" s="31">
        <v>36</v>
      </c>
      <c r="AM120" s="31">
        <v>26</v>
      </c>
      <c r="AN120" s="31">
        <v>22</v>
      </c>
      <c r="AO120" s="31">
        <v>106</v>
      </c>
      <c r="AP120" s="28">
        <v>4</v>
      </c>
      <c r="AQ120" s="40" t="s">
        <v>281</v>
      </c>
      <c r="AS120" s="50" t="s">
        <v>294</v>
      </c>
      <c r="AT120" s="53" t="s">
        <v>326</v>
      </c>
    </row>
    <row r="121" spans="1:46" ht="30" customHeight="1" x14ac:dyDescent="0.2">
      <c r="A121" s="35" t="s">
        <v>291</v>
      </c>
      <c r="B121" s="36" t="s">
        <v>286</v>
      </c>
      <c r="C121" s="16" t="s">
        <v>90</v>
      </c>
      <c r="D121" s="49">
        <v>42</v>
      </c>
      <c r="E121" s="38" t="s">
        <v>32</v>
      </c>
      <c r="F121" s="49">
        <v>58</v>
      </c>
      <c r="G121" s="11" t="s">
        <v>71</v>
      </c>
      <c r="H121" s="11" t="s">
        <v>72</v>
      </c>
      <c r="I121" s="31">
        <v>48</v>
      </c>
      <c r="J121" s="31">
        <v>55</v>
      </c>
      <c r="K121" s="31">
        <v>20</v>
      </c>
      <c r="L121" s="31">
        <v>15</v>
      </c>
      <c r="M121" s="31">
        <v>110</v>
      </c>
      <c r="N121" s="31">
        <v>107</v>
      </c>
      <c r="O121" s="31">
        <v>114</v>
      </c>
      <c r="P121" s="31">
        <v>73</v>
      </c>
      <c r="Q121" s="31">
        <v>44</v>
      </c>
      <c r="R121" s="31">
        <v>48</v>
      </c>
      <c r="S121" s="31">
        <v>55</v>
      </c>
      <c r="T121" s="31">
        <v>20</v>
      </c>
      <c r="U121" s="31">
        <v>15</v>
      </c>
      <c r="V121" s="31">
        <v>31</v>
      </c>
      <c r="W121" s="31">
        <v>30</v>
      </c>
      <c r="X121" s="31">
        <v>31</v>
      </c>
      <c r="Y121" s="31">
        <v>73</v>
      </c>
      <c r="Z121" s="31">
        <v>44</v>
      </c>
      <c r="AA121" s="31">
        <v>48</v>
      </c>
      <c r="AB121" s="31">
        <v>26</v>
      </c>
      <c r="AC121" s="31">
        <v>19</v>
      </c>
      <c r="AD121" s="31">
        <v>31</v>
      </c>
      <c r="AE121" s="31">
        <v>30</v>
      </c>
      <c r="AF121" s="31">
        <v>31</v>
      </c>
      <c r="AG121" s="31">
        <v>73</v>
      </c>
      <c r="AH121" s="31">
        <v>44</v>
      </c>
      <c r="AI121" s="31">
        <v>99</v>
      </c>
      <c r="AJ121" s="31">
        <v>111</v>
      </c>
      <c r="AK121" s="31">
        <v>75</v>
      </c>
      <c r="AL121" s="31">
        <v>36</v>
      </c>
      <c r="AM121" s="31">
        <v>27</v>
      </c>
      <c r="AN121" s="31">
        <v>22</v>
      </c>
      <c r="AO121" s="31">
        <v>94</v>
      </c>
      <c r="AP121" s="28">
        <v>4</v>
      </c>
      <c r="AQ121" s="40" t="s">
        <v>281</v>
      </c>
      <c r="AS121" s="50" t="s">
        <v>294</v>
      </c>
      <c r="AT121" s="53" t="s">
        <v>326</v>
      </c>
    </row>
    <row r="122" spans="1:46" ht="30" customHeight="1" x14ac:dyDescent="0.2">
      <c r="A122" s="35" t="s">
        <v>292</v>
      </c>
      <c r="B122" s="36" t="s">
        <v>287</v>
      </c>
      <c r="C122" s="16" t="s">
        <v>90</v>
      </c>
      <c r="D122" s="49">
        <v>43</v>
      </c>
      <c r="E122" s="38" t="s">
        <v>34</v>
      </c>
      <c r="F122" s="49">
        <v>59</v>
      </c>
      <c r="G122" s="11" t="s">
        <v>71</v>
      </c>
      <c r="H122" s="11" t="s">
        <v>72</v>
      </c>
      <c r="I122" s="31">
        <v>50</v>
      </c>
      <c r="J122" s="31">
        <v>61</v>
      </c>
      <c r="K122" s="31">
        <v>21</v>
      </c>
      <c r="L122" s="31">
        <v>15</v>
      </c>
      <c r="M122" s="31">
        <v>112</v>
      </c>
      <c r="N122" s="31">
        <v>108</v>
      </c>
      <c r="O122" s="31">
        <v>118</v>
      </c>
      <c r="P122" s="31">
        <v>73</v>
      </c>
      <c r="Q122" s="31">
        <v>43</v>
      </c>
      <c r="R122" s="31">
        <v>50</v>
      </c>
      <c r="S122" s="31">
        <v>61</v>
      </c>
      <c r="T122" s="31">
        <v>21</v>
      </c>
      <c r="U122" s="31">
        <v>15</v>
      </c>
      <c r="V122" s="31">
        <v>32</v>
      </c>
      <c r="W122" s="31">
        <v>31</v>
      </c>
      <c r="X122" s="31">
        <v>32</v>
      </c>
      <c r="Y122" s="31">
        <v>73</v>
      </c>
      <c r="Z122" s="31">
        <v>43</v>
      </c>
      <c r="AA122" s="31">
        <v>49</v>
      </c>
      <c r="AB122" s="31">
        <v>26</v>
      </c>
      <c r="AC122" s="31">
        <v>19</v>
      </c>
      <c r="AD122" s="31">
        <v>32</v>
      </c>
      <c r="AE122" s="31">
        <v>31</v>
      </c>
      <c r="AF122" s="31">
        <v>32</v>
      </c>
      <c r="AG122" s="31">
        <v>73</v>
      </c>
      <c r="AH122" s="31">
        <v>43</v>
      </c>
      <c r="AI122" s="31">
        <v>103</v>
      </c>
      <c r="AJ122" s="31">
        <v>116</v>
      </c>
      <c r="AK122" s="31">
        <v>70</v>
      </c>
      <c r="AL122" s="31">
        <v>36</v>
      </c>
      <c r="AM122" s="31">
        <v>26</v>
      </c>
      <c r="AN122" s="31">
        <v>21</v>
      </c>
      <c r="AO122" s="31">
        <v>97</v>
      </c>
      <c r="AP122" s="28">
        <v>4</v>
      </c>
      <c r="AQ122" s="40" t="s">
        <v>281</v>
      </c>
      <c r="AS122" s="50" t="s">
        <v>294</v>
      </c>
      <c r="AT122" s="53" t="s">
        <v>326</v>
      </c>
    </row>
    <row r="123" spans="1:46" ht="30" customHeight="1" x14ac:dyDescent="0.2">
      <c r="A123" s="35" t="s">
        <v>293</v>
      </c>
      <c r="B123" s="36" t="s">
        <v>288</v>
      </c>
      <c r="C123" s="16" t="s">
        <v>90</v>
      </c>
      <c r="D123" s="49">
        <v>43</v>
      </c>
      <c r="E123" s="38" t="s">
        <v>34</v>
      </c>
      <c r="F123" s="49">
        <v>60</v>
      </c>
      <c r="G123" s="11" t="s">
        <v>71</v>
      </c>
      <c r="H123" s="11" t="s">
        <v>72</v>
      </c>
      <c r="I123" s="31">
        <v>48</v>
      </c>
      <c r="J123" s="31">
        <v>62</v>
      </c>
      <c r="K123" s="31">
        <v>19</v>
      </c>
      <c r="L123" s="31">
        <v>14</v>
      </c>
      <c r="M123" s="31">
        <v>110</v>
      </c>
      <c r="N123" s="31">
        <v>105</v>
      </c>
      <c r="O123" s="31">
        <v>114</v>
      </c>
      <c r="P123" s="31">
        <v>73</v>
      </c>
      <c r="Q123" s="31">
        <v>43</v>
      </c>
      <c r="R123" s="31">
        <v>48</v>
      </c>
      <c r="S123" s="31">
        <v>62</v>
      </c>
      <c r="T123" s="31">
        <v>19</v>
      </c>
      <c r="U123" s="31">
        <v>14</v>
      </c>
      <c r="V123" s="31">
        <v>31</v>
      </c>
      <c r="W123" s="31">
        <v>29</v>
      </c>
      <c r="X123" s="31">
        <v>31</v>
      </c>
      <c r="Y123" s="31">
        <v>73</v>
      </c>
      <c r="Z123" s="31">
        <v>43</v>
      </c>
      <c r="AA123" s="31">
        <v>48</v>
      </c>
      <c r="AB123" s="31">
        <v>27</v>
      </c>
      <c r="AC123" s="31">
        <v>18</v>
      </c>
      <c r="AD123" s="31">
        <v>31</v>
      </c>
      <c r="AE123" s="31">
        <v>29</v>
      </c>
      <c r="AF123" s="31">
        <v>31</v>
      </c>
      <c r="AG123" s="31">
        <v>73</v>
      </c>
      <c r="AH123" s="31">
        <v>43</v>
      </c>
      <c r="AI123" s="31">
        <v>97</v>
      </c>
      <c r="AJ123" s="31">
        <v>109</v>
      </c>
      <c r="AK123" s="31">
        <v>72</v>
      </c>
      <c r="AL123" s="31">
        <v>35</v>
      </c>
      <c r="AM123" s="31">
        <v>27</v>
      </c>
      <c r="AN123" s="31">
        <v>20</v>
      </c>
      <c r="AO123" s="31">
        <v>96</v>
      </c>
      <c r="AP123" s="28">
        <v>4</v>
      </c>
      <c r="AQ123" s="40" t="s">
        <v>281</v>
      </c>
      <c r="AS123" s="50" t="s">
        <v>294</v>
      </c>
      <c r="AT123" s="53" t="s">
        <v>326</v>
      </c>
    </row>
    <row r="124" spans="1:46" ht="30" customHeight="1" x14ac:dyDescent="0.2">
      <c r="A124" s="16" t="s">
        <v>312</v>
      </c>
      <c r="B124" s="12" t="s">
        <v>310</v>
      </c>
      <c r="C124" s="16" t="s">
        <v>90</v>
      </c>
      <c r="D124" s="29">
        <v>38</v>
      </c>
      <c r="E124" s="23" t="s">
        <v>31</v>
      </c>
      <c r="F124" s="23">
        <v>57</v>
      </c>
      <c r="G124" s="11" t="s">
        <v>71</v>
      </c>
      <c r="H124" s="11" t="s">
        <v>72</v>
      </c>
      <c r="I124" s="11">
        <v>43</v>
      </c>
      <c r="J124" s="11">
        <v>59</v>
      </c>
      <c r="K124" s="11">
        <v>18</v>
      </c>
      <c r="L124" s="11">
        <v>14</v>
      </c>
      <c r="M124" s="11">
        <v>95</v>
      </c>
      <c r="N124" s="11">
        <v>86</v>
      </c>
      <c r="O124" s="11">
        <v>98</v>
      </c>
      <c r="P124" s="11">
        <v>68</v>
      </c>
      <c r="Q124" s="11">
        <v>37</v>
      </c>
      <c r="R124" s="11">
        <v>43</v>
      </c>
      <c r="S124" s="11">
        <v>60</v>
      </c>
      <c r="T124" s="11">
        <v>16</v>
      </c>
      <c r="U124" s="11">
        <v>12</v>
      </c>
      <c r="V124" s="11">
        <v>26</v>
      </c>
      <c r="W124" s="11">
        <v>24</v>
      </c>
      <c r="X124" s="11">
        <v>26</v>
      </c>
      <c r="Y124" s="11">
        <v>68</v>
      </c>
      <c r="Z124" s="11">
        <v>37</v>
      </c>
      <c r="AA124" s="11">
        <v>43</v>
      </c>
      <c r="AB124" s="11">
        <v>25</v>
      </c>
      <c r="AC124" s="11">
        <v>16</v>
      </c>
      <c r="AD124" s="11">
        <v>26</v>
      </c>
      <c r="AE124" s="11">
        <v>24</v>
      </c>
      <c r="AF124" s="11">
        <v>26</v>
      </c>
      <c r="AG124" s="11">
        <v>68</v>
      </c>
      <c r="AH124" s="11">
        <v>37</v>
      </c>
      <c r="AI124" s="11">
        <v>75</v>
      </c>
      <c r="AJ124" s="11">
        <v>90</v>
      </c>
      <c r="AK124" s="11">
        <v>65</v>
      </c>
      <c r="AL124" s="11">
        <v>29</v>
      </c>
      <c r="AM124" s="11">
        <v>24</v>
      </c>
      <c r="AN124" s="11">
        <v>19</v>
      </c>
      <c r="AO124" s="6">
        <v>87</v>
      </c>
      <c r="AP124" s="6">
        <v>4</v>
      </c>
      <c r="AQ124" s="20" t="s">
        <v>316</v>
      </c>
      <c r="AR124" s="4"/>
      <c r="AS124" s="50" t="s">
        <v>317</v>
      </c>
      <c r="AT124" s="53" t="s">
        <v>326</v>
      </c>
    </row>
    <row r="125" spans="1:46" ht="30" customHeight="1" x14ac:dyDescent="0.2">
      <c r="A125" s="16" t="s">
        <v>313</v>
      </c>
      <c r="B125" s="12" t="s">
        <v>311</v>
      </c>
      <c r="C125" s="16" t="s">
        <v>90</v>
      </c>
      <c r="D125" s="29">
        <v>41</v>
      </c>
      <c r="E125" s="23" t="s">
        <v>31</v>
      </c>
      <c r="F125" s="23">
        <v>57</v>
      </c>
      <c r="G125" s="11" t="s">
        <v>71</v>
      </c>
      <c r="H125" s="11" t="s">
        <v>72</v>
      </c>
      <c r="I125" s="11">
        <v>43</v>
      </c>
      <c r="J125" s="11">
        <v>61</v>
      </c>
      <c r="K125" s="11">
        <v>18</v>
      </c>
      <c r="L125" s="11">
        <v>14</v>
      </c>
      <c r="M125" s="11">
        <v>84</v>
      </c>
      <c r="N125" s="11">
        <v>78</v>
      </c>
      <c r="O125" s="11">
        <v>90</v>
      </c>
      <c r="P125" s="11">
        <v>71</v>
      </c>
      <c r="Q125" s="11">
        <v>36</v>
      </c>
      <c r="R125" s="11">
        <v>43</v>
      </c>
      <c r="S125" s="11">
        <v>62</v>
      </c>
      <c r="T125" s="11">
        <v>16</v>
      </c>
      <c r="U125" s="11">
        <v>12</v>
      </c>
      <c r="V125" s="11">
        <v>26</v>
      </c>
      <c r="W125" s="11">
        <v>23</v>
      </c>
      <c r="X125" s="11">
        <v>26</v>
      </c>
      <c r="Y125" s="11">
        <v>71</v>
      </c>
      <c r="Z125" s="11">
        <v>36</v>
      </c>
      <c r="AA125" s="11">
        <v>43</v>
      </c>
      <c r="AB125" s="11">
        <v>25</v>
      </c>
      <c r="AC125" s="11">
        <v>16</v>
      </c>
      <c r="AD125" s="11">
        <v>26</v>
      </c>
      <c r="AE125" s="11">
        <v>23</v>
      </c>
      <c r="AF125" s="11">
        <v>26</v>
      </c>
      <c r="AG125" s="11">
        <v>71</v>
      </c>
      <c r="AH125" s="11">
        <v>36</v>
      </c>
      <c r="AI125" s="11">
        <v>70</v>
      </c>
      <c r="AJ125" s="11">
        <v>87</v>
      </c>
      <c r="AK125" s="11">
        <v>63</v>
      </c>
      <c r="AL125" s="11">
        <v>29</v>
      </c>
      <c r="AM125" s="11">
        <v>23</v>
      </c>
      <c r="AN125" s="11">
        <v>18</v>
      </c>
      <c r="AO125" s="6">
        <v>95</v>
      </c>
      <c r="AP125" s="6">
        <v>4</v>
      </c>
      <c r="AQ125" s="20" t="s">
        <v>316</v>
      </c>
      <c r="AR125" s="4"/>
      <c r="AS125" s="50" t="s">
        <v>317</v>
      </c>
      <c r="AT125" s="53" t="s">
        <v>326</v>
      </c>
    </row>
    <row r="126" spans="1:46" ht="30" customHeight="1" x14ac:dyDescent="0.2">
      <c r="A126" s="35" t="s">
        <v>315</v>
      </c>
      <c r="B126" s="36" t="s">
        <v>314</v>
      </c>
      <c r="C126" s="16" t="s">
        <v>90</v>
      </c>
      <c r="D126" s="49">
        <v>39</v>
      </c>
      <c r="E126" s="38" t="s">
        <v>31</v>
      </c>
      <c r="F126" s="37">
        <v>55</v>
      </c>
      <c r="G126" s="11" t="s">
        <v>71</v>
      </c>
      <c r="H126" s="11" t="s">
        <v>72</v>
      </c>
      <c r="I126" s="3">
        <v>44</v>
      </c>
      <c r="J126" s="3">
        <v>59</v>
      </c>
      <c r="K126" s="3">
        <v>18</v>
      </c>
      <c r="L126" s="3">
        <v>14</v>
      </c>
      <c r="M126" s="3">
        <v>94</v>
      </c>
      <c r="N126" s="3">
        <v>88</v>
      </c>
      <c r="O126" s="3">
        <v>102</v>
      </c>
      <c r="P126" s="3">
        <v>72</v>
      </c>
      <c r="Q126" s="3">
        <v>40</v>
      </c>
      <c r="R126" s="3">
        <v>44</v>
      </c>
      <c r="S126" s="3">
        <v>60</v>
      </c>
      <c r="T126" s="3">
        <v>16</v>
      </c>
      <c r="U126" s="3">
        <v>12</v>
      </c>
      <c r="V126" s="3">
        <v>26</v>
      </c>
      <c r="W126" s="3">
        <v>24</v>
      </c>
      <c r="X126" s="3">
        <v>26</v>
      </c>
      <c r="Y126" s="3">
        <v>72</v>
      </c>
      <c r="Z126" s="3">
        <v>40</v>
      </c>
      <c r="AA126" s="3">
        <v>44</v>
      </c>
      <c r="AB126" s="3">
        <v>26</v>
      </c>
      <c r="AC126" s="3">
        <v>16</v>
      </c>
      <c r="AD126" s="3">
        <v>26</v>
      </c>
      <c r="AE126" s="3">
        <v>24</v>
      </c>
      <c r="AF126" s="3">
        <v>26</v>
      </c>
      <c r="AG126" s="3">
        <v>72</v>
      </c>
      <c r="AH126" s="3">
        <v>40</v>
      </c>
      <c r="AI126" s="3">
        <v>78</v>
      </c>
      <c r="AJ126" s="3">
        <v>98</v>
      </c>
      <c r="AK126" s="3">
        <v>66</v>
      </c>
      <c r="AL126" s="3">
        <v>31</v>
      </c>
      <c r="AM126" s="3">
        <v>24</v>
      </c>
      <c r="AN126" s="3">
        <v>19</v>
      </c>
      <c r="AO126" s="3">
        <v>99</v>
      </c>
      <c r="AP126" s="51">
        <v>4</v>
      </c>
      <c r="AQ126" s="20" t="s">
        <v>316</v>
      </c>
      <c r="AS126" s="50" t="s">
        <v>317</v>
      </c>
      <c r="AT126" s="53" t="s">
        <v>326</v>
      </c>
    </row>
    <row r="127" spans="1:46" ht="30" customHeight="1" x14ac:dyDescent="0.2">
      <c r="A127" s="35" t="s">
        <v>329</v>
      </c>
      <c r="B127" s="36" t="s">
        <v>328</v>
      </c>
      <c r="C127" s="16" t="s">
        <v>90</v>
      </c>
      <c r="D127" s="49">
        <v>42</v>
      </c>
      <c r="E127" s="38" t="s">
        <v>34</v>
      </c>
      <c r="F127" s="49">
        <v>58</v>
      </c>
      <c r="G127" s="11" t="s">
        <v>71</v>
      </c>
      <c r="H127" s="11" t="s">
        <v>72</v>
      </c>
      <c r="I127" s="31">
        <v>45</v>
      </c>
      <c r="J127" s="31">
        <v>59</v>
      </c>
      <c r="K127" s="31">
        <v>19</v>
      </c>
      <c r="L127" s="31">
        <v>14</v>
      </c>
      <c r="M127" s="31">
        <v>108</v>
      </c>
      <c r="N127" s="31">
        <v>102</v>
      </c>
      <c r="O127" s="31">
        <v>112</v>
      </c>
      <c r="P127" s="31">
        <v>70</v>
      </c>
      <c r="Q127" s="31">
        <v>42</v>
      </c>
      <c r="R127" s="31">
        <v>45</v>
      </c>
      <c r="S127" s="31">
        <v>60</v>
      </c>
      <c r="T127" s="31">
        <v>18</v>
      </c>
      <c r="U127" s="31">
        <v>13</v>
      </c>
      <c r="V127" s="31">
        <v>29</v>
      </c>
      <c r="W127" s="31">
        <v>27</v>
      </c>
      <c r="X127" s="31">
        <v>29</v>
      </c>
      <c r="Y127" s="31">
        <v>70</v>
      </c>
      <c r="Z127" s="31">
        <v>42</v>
      </c>
      <c r="AA127" s="31">
        <v>45</v>
      </c>
      <c r="AB127" s="31">
        <v>25</v>
      </c>
      <c r="AC127" s="31">
        <v>18</v>
      </c>
      <c r="AD127" s="31">
        <v>29</v>
      </c>
      <c r="AE127" s="31">
        <v>27</v>
      </c>
      <c r="AF127" s="31">
        <v>29</v>
      </c>
      <c r="AG127" s="31">
        <v>70</v>
      </c>
      <c r="AH127" s="31">
        <v>42</v>
      </c>
      <c r="AI127" s="31">
        <v>94</v>
      </c>
      <c r="AJ127" s="31">
        <v>108</v>
      </c>
      <c r="AK127" s="31">
        <v>67</v>
      </c>
      <c r="AL127" s="31">
        <v>34</v>
      </c>
      <c r="AM127" s="31">
        <v>26</v>
      </c>
      <c r="AN127" s="31">
        <v>20</v>
      </c>
      <c r="AO127" s="31">
        <v>95</v>
      </c>
      <c r="AP127" s="28">
        <v>4</v>
      </c>
      <c r="AQ127" s="40" t="s">
        <v>326</v>
      </c>
      <c r="AS127" s="2" t="s">
        <v>332</v>
      </c>
      <c r="AT127" s="53" t="s">
        <v>326</v>
      </c>
    </row>
    <row r="128" spans="1:46" ht="30" customHeight="1" x14ac:dyDescent="0.2">
      <c r="A128" s="35" t="s">
        <v>330</v>
      </c>
      <c r="B128" s="36" t="s">
        <v>331</v>
      </c>
      <c r="C128" s="16" t="s">
        <v>90</v>
      </c>
      <c r="D128" s="49">
        <v>42</v>
      </c>
      <c r="E128" s="38" t="s">
        <v>32</v>
      </c>
      <c r="F128" s="49">
        <v>58</v>
      </c>
      <c r="G128" s="11" t="s">
        <v>71</v>
      </c>
      <c r="H128" s="11" t="s">
        <v>72</v>
      </c>
      <c r="I128" s="31">
        <v>46</v>
      </c>
      <c r="J128" s="31">
        <v>63</v>
      </c>
      <c r="K128" s="31">
        <v>20</v>
      </c>
      <c r="L128" s="31">
        <v>15</v>
      </c>
      <c r="M128" s="31">
        <v>105</v>
      </c>
      <c r="N128" s="31">
        <v>101</v>
      </c>
      <c r="O128" s="31">
        <v>108</v>
      </c>
      <c r="P128" s="31">
        <v>75</v>
      </c>
      <c r="Q128" s="31">
        <v>42</v>
      </c>
      <c r="R128" s="31">
        <v>46</v>
      </c>
      <c r="S128" s="31">
        <v>64</v>
      </c>
      <c r="T128" s="31">
        <v>18</v>
      </c>
      <c r="U128" s="31">
        <v>13</v>
      </c>
      <c r="V128" s="31">
        <v>29</v>
      </c>
      <c r="W128" s="31">
        <v>27</v>
      </c>
      <c r="X128" s="31">
        <v>29</v>
      </c>
      <c r="Y128" s="31">
        <v>70</v>
      </c>
      <c r="Z128" s="31">
        <v>42</v>
      </c>
      <c r="AA128" s="31">
        <v>46</v>
      </c>
      <c r="AB128" s="31">
        <v>27</v>
      </c>
      <c r="AC128" s="31">
        <v>18</v>
      </c>
      <c r="AD128" s="31">
        <v>29</v>
      </c>
      <c r="AE128" s="31">
        <v>27</v>
      </c>
      <c r="AF128" s="31">
        <v>29</v>
      </c>
      <c r="AG128" s="31">
        <v>70</v>
      </c>
      <c r="AH128" s="31">
        <v>42</v>
      </c>
      <c r="AI128" s="31">
        <v>94</v>
      </c>
      <c r="AJ128" s="31">
        <v>106</v>
      </c>
      <c r="AK128" s="31">
        <v>68</v>
      </c>
      <c r="AL128" s="31">
        <v>34</v>
      </c>
      <c r="AM128" s="31">
        <v>26</v>
      </c>
      <c r="AN128" s="31">
        <v>20</v>
      </c>
      <c r="AO128" s="31">
        <v>105</v>
      </c>
      <c r="AP128" s="28">
        <v>4</v>
      </c>
      <c r="AQ128" s="40" t="s">
        <v>326</v>
      </c>
      <c r="AS128" s="2" t="s">
        <v>332</v>
      </c>
      <c r="AT128" s="53" t="s">
        <v>326</v>
      </c>
    </row>
    <row r="129" spans="1:46" ht="30" customHeight="1" x14ac:dyDescent="0.25">
      <c r="A129" s="35" t="s">
        <v>341</v>
      </c>
      <c r="B129" s="36" t="s">
        <v>342</v>
      </c>
      <c r="C129" s="16" t="s">
        <v>90</v>
      </c>
      <c r="D129" s="37">
        <v>41</v>
      </c>
      <c r="E129" s="38" t="s">
        <v>34</v>
      </c>
      <c r="F129" s="37">
        <v>57</v>
      </c>
      <c r="G129" s="11" t="s">
        <v>71</v>
      </c>
      <c r="H129" s="11" t="s">
        <v>72</v>
      </c>
      <c r="I129" s="39">
        <v>47</v>
      </c>
      <c r="J129" s="3">
        <v>59</v>
      </c>
      <c r="K129" s="3">
        <v>20</v>
      </c>
      <c r="L129" s="3">
        <v>15</v>
      </c>
      <c r="M129" s="3">
        <v>112</v>
      </c>
      <c r="N129" s="3">
        <v>108</v>
      </c>
      <c r="O129" s="3">
        <v>114</v>
      </c>
      <c r="P129" s="3">
        <v>72</v>
      </c>
      <c r="Q129" s="3">
        <v>43</v>
      </c>
      <c r="R129" s="3">
        <v>47</v>
      </c>
      <c r="S129" s="3">
        <v>60</v>
      </c>
      <c r="T129" s="3">
        <v>19</v>
      </c>
      <c r="U129" s="3">
        <v>13</v>
      </c>
      <c r="V129" s="3">
        <v>30</v>
      </c>
      <c r="W129" s="3">
        <v>28</v>
      </c>
      <c r="X129" s="3">
        <v>30</v>
      </c>
      <c r="Y129" s="3">
        <v>72</v>
      </c>
      <c r="Z129" s="3">
        <v>43</v>
      </c>
      <c r="AA129" s="3">
        <v>47</v>
      </c>
      <c r="AB129" s="3">
        <v>25</v>
      </c>
      <c r="AC129" s="3">
        <v>19</v>
      </c>
      <c r="AD129" s="3">
        <v>30</v>
      </c>
      <c r="AE129" s="3">
        <v>28</v>
      </c>
      <c r="AF129" s="3">
        <v>30</v>
      </c>
      <c r="AG129" s="3">
        <v>72</v>
      </c>
      <c r="AH129" s="3">
        <v>43</v>
      </c>
      <c r="AI129" s="3">
        <v>102</v>
      </c>
      <c r="AJ129" s="3">
        <v>112</v>
      </c>
      <c r="AK129" s="3">
        <v>72</v>
      </c>
      <c r="AL129" s="3">
        <v>36</v>
      </c>
      <c r="AM129" s="3">
        <v>27</v>
      </c>
      <c r="AN129" s="3">
        <v>22</v>
      </c>
      <c r="AO129" s="3">
        <v>94</v>
      </c>
      <c r="AP129" s="28">
        <v>4</v>
      </c>
      <c r="AQ129" s="2" t="s">
        <v>337</v>
      </c>
      <c r="AS129" s="2" t="s">
        <v>337</v>
      </c>
      <c r="AT129" s="2" t="s">
        <v>337</v>
      </c>
    </row>
    <row r="130" spans="1:46" ht="30" customHeight="1" x14ac:dyDescent="0.25">
      <c r="A130" s="45"/>
      <c r="C130" s="45"/>
      <c r="G130" s="11"/>
      <c r="H130" s="11"/>
      <c r="I130" s="48"/>
      <c r="AP130" s="28"/>
    </row>
    <row r="131" spans="1:46" ht="30" customHeight="1" x14ac:dyDescent="0.25">
      <c r="A131" s="45"/>
      <c r="C131" s="45"/>
      <c r="G131" s="11"/>
      <c r="H131" s="11"/>
      <c r="I131" s="48"/>
      <c r="AP131" s="28"/>
    </row>
    <row r="132" spans="1:46" ht="30" customHeight="1" x14ac:dyDescent="0.25">
      <c r="A132" s="45" t="s">
        <v>278</v>
      </c>
      <c r="C132" s="45"/>
      <c r="D132" s="1"/>
      <c r="E132" s="46"/>
      <c r="F132" s="1"/>
      <c r="G132" s="47"/>
      <c r="H132" s="47"/>
      <c r="I132" s="48">
        <f>SUBTOTAL(104,Table3[UBN_1])</f>
        <v>54</v>
      </c>
      <c r="J132" s="48">
        <f>SUBTOTAL(104,Table3[UBN_2])</f>
        <v>68</v>
      </c>
      <c r="K132" s="48">
        <f>SUBTOTAL(104,Table3[UBN_3])</f>
        <v>23</v>
      </c>
      <c r="L132" s="48">
        <f>SUBTOTAL(104,Table3[UBN_4])</f>
        <v>18</v>
      </c>
      <c r="M132" s="48">
        <f>SUBTOTAL(104,Table3[UBN_5])</f>
        <v>135</v>
      </c>
      <c r="N132" s="48">
        <f>SUBTOTAL(104,Table3[UBN_6])</f>
        <v>135</v>
      </c>
      <c r="O132" s="48">
        <f>SUBTOTAL(104,Table3[UBN_7])</f>
        <v>145</v>
      </c>
      <c r="P132" s="48">
        <f>SUBTOTAL(104,Table3[UBN_8])</f>
        <v>81</v>
      </c>
      <c r="Q132" s="48">
        <f>SUBTOTAL(104,Table3[UBN_9])</f>
        <v>47</v>
      </c>
      <c r="R132" s="48">
        <f>SUBTOTAL(104,Table3[UH_1])</f>
        <v>54</v>
      </c>
      <c r="S132" s="48">
        <f>SUBTOTAL(104,Table3[UH_2])</f>
        <v>69</v>
      </c>
      <c r="T132" s="48">
        <f>SUBTOTAL(104,Table3[UH_3])</f>
        <v>22</v>
      </c>
      <c r="U132" s="48">
        <f>SUBTOTAL(104,Table3[UH_4])</f>
        <v>16</v>
      </c>
      <c r="V132" s="48">
        <f>SUBTOTAL(104,Table3[UH_5])</f>
        <v>37</v>
      </c>
      <c r="W132" s="48">
        <f>SUBTOTAL(104,Table3[UH_6])</f>
        <v>37</v>
      </c>
      <c r="X132" s="48">
        <f>SUBTOTAL(104,Table3[UH_7])</f>
        <v>37</v>
      </c>
      <c r="Y132" s="48">
        <f>SUBTOTAL(104,Table3[UH_8])</f>
        <v>80</v>
      </c>
      <c r="Z132" s="48">
        <f>SUBTOTAL(104,Table3[UH_9])</f>
        <v>47</v>
      </c>
      <c r="AA132" s="48">
        <f>SUBTOTAL(104,Table3[UB_1])</f>
        <v>54</v>
      </c>
      <c r="AB132" s="48">
        <f>SUBTOTAL(104,Table3[UB_2])</f>
        <v>55</v>
      </c>
      <c r="AC132" s="48">
        <f>SUBTOTAL(104,Table3[UB_3])</f>
        <v>22</v>
      </c>
      <c r="AD132" s="48">
        <f>SUBTOTAL(104,Table3[UB_4])</f>
        <v>37</v>
      </c>
      <c r="AE132" s="48">
        <f>SUBTOTAL(104,Table3[UB_5])</f>
        <v>37</v>
      </c>
      <c r="AF132" s="48">
        <f>SUBTOTAL(104,Table3[UB_6])</f>
        <v>37</v>
      </c>
      <c r="AG132" s="48">
        <f>SUBTOTAL(104,Table3[UB_7])</f>
        <v>80</v>
      </c>
      <c r="AH132" s="48">
        <f>SUBTOTAL(104,Table3[UB_8])</f>
        <v>47</v>
      </c>
      <c r="AI132" s="48">
        <f>SUBTOTAL(104,Table3[UC_1])</f>
        <v>126</v>
      </c>
      <c r="AJ132" s="48">
        <f>SUBTOTAL(104,Table3[UC_2])</f>
        <v>140</v>
      </c>
      <c r="AK132" s="48">
        <f>SUBTOTAL(104,Table3[UC_3])</f>
        <v>80</v>
      </c>
      <c r="AL132" s="48">
        <f>SUBTOTAL(104,Table3[UC_4])</f>
        <v>43</v>
      </c>
      <c r="AM132" s="48">
        <f>SUBTOTAL(104,Table3[UC_5])</f>
        <v>32</v>
      </c>
      <c r="AN132" s="48">
        <f>SUBTOTAL(104,Table3[UC_6])</f>
        <v>24</v>
      </c>
      <c r="AO132" s="48">
        <f>SUBTOTAL(104,Table3[UC_7])</f>
        <v>107</v>
      </c>
      <c r="AP132" s="48">
        <f>SUBTOTAL(104,Table3[CETAK KE])</f>
        <v>4</v>
      </c>
      <c r="AQ132" s="44"/>
      <c r="AR132" s="44"/>
      <c r="AS132" s="44"/>
      <c r="AT132" s="44">
        <f>SUBTOTAL(103,Table3[CETAK SEPATU])</f>
        <v>128</v>
      </c>
    </row>
    <row r="133" spans="1:46" ht="30" customHeight="1" x14ac:dyDescent="0.25">
      <c r="A133" s="45" t="s">
        <v>277</v>
      </c>
      <c r="C133" s="45"/>
      <c r="D133" s="1"/>
      <c r="E133" s="46"/>
      <c r="F133" s="1"/>
      <c r="G133" s="47"/>
      <c r="H133" s="47"/>
      <c r="I133" s="48">
        <f>SUBTOTAL(105,Table3[UBN_1])</f>
        <v>38</v>
      </c>
      <c r="J133" s="48">
        <f>SUBTOTAL(105,Table3[UBN_2])</f>
        <v>53</v>
      </c>
      <c r="K133" s="48">
        <f>SUBTOTAL(105,Table3[UBN_3])</f>
        <v>17</v>
      </c>
      <c r="L133" s="48">
        <f>SUBTOTAL(105,Table3[UBN_4])</f>
        <v>14</v>
      </c>
      <c r="M133" s="48">
        <f>SUBTOTAL(105,Table3[UBN_5])</f>
        <v>84</v>
      </c>
      <c r="N133" s="48">
        <f>SUBTOTAL(105,Table3[UBN_6])</f>
        <v>78</v>
      </c>
      <c r="O133" s="48">
        <f>SUBTOTAL(105,Table3[UBN_7])</f>
        <v>90</v>
      </c>
      <c r="P133" s="48">
        <f>SUBTOTAL(105,Table3[UBN_8])</f>
        <v>65</v>
      </c>
      <c r="Q133" s="48">
        <f>SUBTOTAL(105,Table3[UBN_9])</f>
        <v>35</v>
      </c>
      <c r="R133" s="48">
        <f>SUBTOTAL(105,Table3[UH_1])</f>
        <v>38</v>
      </c>
      <c r="S133" s="48">
        <f>SUBTOTAL(105,Table3[UH_2])</f>
        <v>54</v>
      </c>
      <c r="T133" s="48">
        <f>SUBTOTAL(105,Table3[UH_3])</f>
        <v>16</v>
      </c>
      <c r="U133" s="48">
        <f>SUBTOTAL(105,Table3[UH_4])</f>
        <v>12</v>
      </c>
      <c r="V133" s="48">
        <f>SUBTOTAL(105,Table3[UH_5])</f>
        <v>25</v>
      </c>
      <c r="W133" s="48">
        <f>SUBTOTAL(105,Table3[UH_6])</f>
        <v>22</v>
      </c>
      <c r="X133" s="48">
        <f>SUBTOTAL(105,Table3[UH_7])</f>
        <v>25</v>
      </c>
      <c r="Y133" s="48">
        <f>SUBTOTAL(105,Table3[UH_8])</f>
        <v>65</v>
      </c>
      <c r="Z133" s="48">
        <f>SUBTOTAL(105,Table3[UH_9])</f>
        <v>35</v>
      </c>
      <c r="AA133" s="48">
        <f>SUBTOTAL(105,Table3[UB_1])</f>
        <v>38</v>
      </c>
      <c r="AB133" s="48">
        <f>SUBTOTAL(105,Table3[UB_2])</f>
        <v>22</v>
      </c>
      <c r="AC133" s="48">
        <f>SUBTOTAL(105,Table3[UB_3])</f>
        <v>15</v>
      </c>
      <c r="AD133" s="48">
        <f>SUBTOTAL(105,Table3[UB_4])</f>
        <v>12</v>
      </c>
      <c r="AE133" s="48">
        <f>SUBTOTAL(105,Table3[UB_5])</f>
        <v>22</v>
      </c>
      <c r="AF133" s="48">
        <f>SUBTOTAL(105,Table3[UB_6])</f>
        <v>23</v>
      </c>
      <c r="AG133" s="48">
        <f>SUBTOTAL(105,Table3[UB_7])</f>
        <v>26</v>
      </c>
      <c r="AH133" s="48">
        <f>SUBTOTAL(105,Table3[UB_8])</f>
        <v>35</v>
      </c>
      <c r="AI133" s="48">
        <f>SUBTOTAL(105,Table3[UC_1])</f>
        <v>70</v>
      </c>
      <c r="AJ133" s="48">
        <f>SUBTOTAL(105,Table3[UC_2])</f>
        <v>87</v>
      </c>
      <c r="AK133" s="48">
        <f>SUBTOTAL(105,Table3[UC_3])</f>
        <v>60</v>
      </c>
      <c r="AL133" s="48">
        <f>SUBTOTAL(105,Table3[UC_4])</f>
        <v>29</v>
      </c>
      <c r="AM133" s="48">
        <f>SUBTOTAL(105,Table3[UC_5])</f>
        <v>23</v>
      </c>
      <c r="AN133" s="48">
        <f>SUBTOTAL(105,Table3[UC_6])</f>
        <v>14</v>
      </c>
      <c r="AO133" s="48">
        <f>SUBTOTAL(105,Table3[UC_7])</f>
        <v>86</v>
      </c>
      <c r="AP133" s="48">
        <f>SUBTOTAL(105,Table3[UBN_6])</f>
        <v>78</v>
      </c>
      <c r="AQ133" s="44"/>
      <c r="AR133" s="44"/>
      <c r="AS133" s="44"/>
      <c r="AT133" s="44">
        <f>SUBTOTAL(103,Table3[CETAK SEPATU])</f>
        <v>128</v>
      </c>
    </row>
    <row r="134" spans="1:46" ht="30" customHeight="1" x14ac:dyDescent="0.25">
      <c r="A134" s="8"/>
      <c r="B134" s="13"/>
      <c r="C134" s="8"/>
      <c r="D134" s="7"/>
      <c r="E134" s="25"/>
      <c r="F134" s="7"/>
      <c r="G134" s="11"/>
      <c r="H134" s="11"/>
      <c r="I134" s="48"/>
      <c r="AQ134" s="4"/>
    </row>
    <row r="135" spans="1:46" ht="30" customHeight="1" x14ac:dyDescent="0.25">
      <c r="A135" s="8"/>
      <c r="B135" s="13"/>
      <c r="C135" s="8"/>
      <c r="D135" s="7"/>
      <c r="E135" s="25"/>
      <c r="F135" s="7"/>
      <c r="G135" s="11"/>
      <c r="H135" s="11"/>
      <c r="AQ135" s="4"/>
    </row>
    <row r="136" spans="1:46" ht="30" customHeight="1" x14ac:dyDescent="0.25">
      <c r="A136" s="8"/>
      <c r="B136" s="13"/>
      <c r="C136" s="8"/>
      <c r="D136" s="7"/>
      <c r="E136" s="25"/>
      <c r="F136" s="7"/>
      <c r="G136" s="11"/>
      <c r="H136" s="11"/>
      <c r="AQ136" s="4"/>
    </row>
    <row r="137" spans="1:46" ht="30" customHeight="1" x14ac:dyDescent="0.25">
      <c r="A137" s="8"/>
      <c r="B137" s="13"/>
      <c r="C137" s="8"/>
      <c r="D137" s="7"/>
      <c r="E137" s="25"/>
      <c r="F137" s="7"/>
      <c r="G137" s="11"/>
      <c r="H137" s="11"/>
    </row>
    <row r="138" spans="1:46" ht="30" customHeight="1" x14ac:dyDescent="0.25">
      <c r="A138" s="8"/>
      <c r="B138" s="13"/>
      <c r="C138" s="8"/>
      <c r="D138" s="7"/>
      <c r="E138" s="25"/>
      <c r="F138" s="7"/>
      <c r="G138" s="11"/>
      <c r="H138" s="11"/>
      <c r="AQ138" s="10"/>
    </row>
  </sheetData>
  <phoneticPr fontId="16" type="noConversion"/>
  <dataValidations count="2">
    <dataValidation type="custom" allowBlank="1" showInputMessage="1" showErrorMessage="1" errorTitle="Data Duplikat" error="Nama sudah ada atau sudah ukur" sqref="B1" xr:uid="{52A088BD-5F02-4F86-BD8F-C231D87D94AF}">
      <formula1>COUNTIF(B:B,B1048448)&lt;=1</formula1>
    </dataValidation>
    <dataValidation type="custom" allowBlank="1" showInputMessage="1" showErrorMessage="1" errorTitle="Data Duplikat" error="Nama sudah ada atau sudah ukur" sqref="B2:B131" xr:uid="{7B76ABB5-EF22-4E55-9265-A03F03B0143E}">
      <formula1>COUNTIF(B:B,B2)&lt;=1</formula1>
    </dataValidation>
  </dataValidations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4"/>
  <sheetViews>
    <sheetView workbookViewId="0">
      <selection activeCell="P19" sqref="P19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6" bestFit="1" customWidth="1"/>
    <col min="7" max="7" width="5.140625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62</v>
      </c>
      <c r="F4" s="42" t="s">
        <v>32</v>
      </c>
      <c r="G4" s="43">
        <v>56</v>
      </c>
      <c r="H4">
        <v>18</v>
      </c>
    </row>
    <row r="5" spans="1:11" x14ac:dyDescent="0.25">
      <c r="A5" s="42" t="s">
        <v>90</v>
      </c>
      <c r="B5" s="43">
        <v>62</v>
      </c>
      <c r="F5" s="42" t="s">
        <v>31</v>
      </c>
      <c r="G5" s="43">
        <v>23</v>
      </c>
      <c r="H5">
        <v>10</v>
      </c>
    </row>
    <row r="6" spans="1:11" x14ac:dyDescent="0.25">
      <c r="A6" s="42" t="s">
        <v>283</v>
      </c>
      <c r="B6" s="43"/>
      <c r="F6" s="42" t="s">
        <v>34</v>
      </c>
      <c r="G6" s="43">
        <v>33</v>
      </c>
      <c r="H6">
        <v>8</v>
      </c>
    </row>
    <row r="7" spans="1:11" x14ac:dyDescent="0.25">
      <c r="A7" s="42" t="s">
        <v>272</v>
      </c>
      <c r="B7" s="43">
        <v>124</v>
      </c>
      <c r="F7" s="42" t="s">
        <v>33</v>
      </c>
      <c r="G7" s="43">
        <v>11</v>
      </c>
      <c r="H7">
        <v>12</v>
      </c>
    </row>
    <row r="8" spans="1:11" x14ac:dyDescent="0.25">
      <c r="F8" s="42" t="s">
        <v>35</v>
      </c>
      <c r="G8" s="43">
        <v>1</v>
      </c>
      <c r="H8">
        <v>2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124</v>
      </c>
      <c r="H10">
        <f>SUM(H4:H8)</f>
        <v>50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8</v>
      </c>
      <c r="C13" s="43"/>
      <c r="D13" s="43"/>
      <c r="E13" s="43">
        <v>8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18</v>
      </c>
      <c r="C14" s="43">
        <v>1</v>
      </c>
      <c r="D14" s="43"/>
      <c r="E14" s="43">
        <v>19</v>
      </c>
      <c r="F14" s="42">
        <v>39</v>
      </c>
      <c r="G14" s="43">
        <v>5</v>
      </c>
      <c r="H14" s="43"/>
      <c r="I14" s="43"/>
      <c r="J14" s="43">
        <v>5</v>
      </c>
      <c r="K14" s="43">
        <v>11</v>
      </c>
    </row>
    <row r="15" spans="1:11" x14ac:dyDescent="0.25">
      <c r="A15" s="42">
        <v>57</v>
      </c>
      <c r="B15" s="43">
        <v>45</v>
      </c>
      <c r="C15" s="43"/>
      <c r="D15" s="43"/>
      <c r="E15" s="43">
        <v>45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29</v>
      </c>
      <c r="C16" s="43"/>
      <c r="D16" s="43"/>
      <c r="E16" s="43">
        <v>29</v>
      </c>
      <c r="F16" s="42">
        <v>41</v>
      </c>
      <c r="G16" s="43">
        <v>29</v>
      </c>
      <c r="H16" s="43"/>
      <c r="I16" s="43"/>
      <c r="J16" s="43">
        <v>29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33</v>
      </c>
      <c r="H17" s="43"/>
      <c r="I17" s="43"/>
      <c r="J17" s="43">
        <v>33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8</v>
      </c>
      <c r="H19" s="43"/>
      <c r="I19" s="43"/>
      <c r="J19" s="43">
        <v>8</v>
      </c>
      <c r="K19" s="43">
        <v>10</v>
      </c>
    </row>
    <row r="20" spans="1:11" x14ac:dyDescent="0.25">
      <c r="A20" s="42" t="s">
        <v>272</v>
      </c>
      <c r="B20" s="43">
        <v>123</v>
      </c>
      <c r="C20" s="43">
        <v>1</v>
      </c>
      <c r="D20" s="43"/>
      <c r="E20" s="43">
        <v>124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>
        <v>38</v>
      </c>
      <c r="G23" s="43">
        <v>1</v>
      </c>
      <c r="H23" s="43"/>
      <c r="I23" s="43"/>
      <c r="J23" s="43">
        <v>1</v>
      </c>
    </row>
    <row r="24" spans="1:11" x14ac:dyDescent="0.25">
      <c r="F24" s="42" t="s">
        <v>272</v>
      </c>
      <c r="G24" s="43">
        <v>123</v>
      </c>
      <c r="H24" s="43">
        <v>1</v>
      </c>
      <c r="I24" s="43"/>
      <c r="J24" s="43">
        <v>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2021-12-06T21:58:22Z</cp:lastPrinted>
  <dcterms:created xsi:type="dcterms:W3CDTF">2016-10-31T03:59:44Z</dcterms:created>
  <dcterms:modified xsi:type="dcterms:W3CDTF">2021-12-20T21:47:03Z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