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35. DP 2N18(K_12) 2T18(K_10)\"/>
    </mc:Choice>
  </mc:AlternateContent>
  <xr:revisionPtr revIDLastSave="0" documentId="13_ncr:1_{D9BE38EF-142D-4731-8867-602CD6408E1A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4" r:id="rId2"/>
  </sheets>
  <definedNames>
    <definedName name="_xlnm._FilterDatabase" localSheetId="0" hidden="1">SEMUA!$A$1:$AT$90</definedName>
    <definedName name="_xlnm.Print_Titles" localSheetId="0">SEMUA!$1:$1</definedName>
  </definedNames>
  <calcPr calcId="191029"/>
  <pivotCaches>
    <pivotCache cacheId="0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P107" i="1" l="1"/>
  <c r="AJ107" i="1"/>
  <c r="AK107" i="1"/>
  <c r="AL107" i="1"/>
  <c r="AM107" i="1"/>
  <c r="AN107" i="1"/>
  <c r="AO107" i="1"/>
  <c r="AI107" i="1"/>
  <c r="AB107" i="1"/>
  <c r="AC107" i="1"/>
  <c r="AD107" i="1"/>
  <c r="AE107" i="1"/>
  <c r="AF107" i="1"/>
  <c r="AG107" i="1"/>
  <c r="AH107" i="1"/>
  <c r="AA107" i="1"/>
  <c r="Z107" i="1"/>
  <c r="Y107" i="1"/>
  <c r="X107" i="1"/>
  <c r="W107" i="1"/>
  <c r="V107" i="1"/>
  <c r="S107" i="1"/>
  <c r="T107" i="1"/>
  <c r="U107" i="1"/>
  <c r="R107" i="1"/>
  <c r="K107" i="1"/>
  <c r="L107" i="1"/>
  <c r="M107" i="1"/>
  <c r="N107" i="1"/>
  <c r="O107" i="1"/>
  <c r="P107" i="1"/>
  <c r="Q107" i="1"/>
  <c r="I107" i="1"/>
  <c r="I106" i="1"/>
  <c r="J106" i="1"/>
  <c r="AT107" i="1"/>
  <c r="J107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AT106" i="1"/>
</calcChain>
</file>

<file path=xl/sharedStrings.xml><?xml version="1.0" encoding="utf-8"?>
<sst xmlns="http://schemas.openxmlformats.org/spreadsheetml/2006/main" count="798" uniqueCount="282">
  <si>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</si>
  <si>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</si>
  <si>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</si>
  <si>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</si>
  <si>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</si>
  <si>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</si>
  <si>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</si>
  <si>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</si>
  <si>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</si>
  <si>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</si>
  <si>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</si>
  <si>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</si>
  <si>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</si>
  <si>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</si>
  <si>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</si>
  <si>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</si>
  <si>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</si>
  <si>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</si>
  <si>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</si>
  <si>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</si>
  <si>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</si>
  <si>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</si>
  <si>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</si>
  <si>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</si>
  <si>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</si>
  <si>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</si>
  <si>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</si>
  <si>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</si>
  <si>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</si>
  <si>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</si>
  <si>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</si>
  <si>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</si>
  <si>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</si>
  <si>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</si>
  <si>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</si>
  <si>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XXXL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</si>
  <si>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</si>
  <si>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</si>
  <si>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</si>
  <si>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</si>
  <si>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</si>
  <si>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</si>
  <si>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</si>
  <si>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</si>
  <si>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</si>
  <si>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</si>
  <si>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</si>
  <si>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</si>
  <si>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</si>
  <si>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</si>
  <si>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</si>
  <si>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</si>
  <si>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</si>
  <si>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</si>
  <si>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</si>
  <si>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</si>
  <si>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</si>
  <si>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</si>
  <si>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</si>
  <si>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</si>
  <si>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</si>
  <si>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</si>
  <si>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</si>
  <si>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L14</t>
  </si>
  <si>
    <t>M1</t>
  </si>
  <si>
    <t>M2</t>
  </si>
  <si>
    <t>DP 2 NAUTIKA / 18</t>
  </si>
  <si>
    <t>SANDY YANUARTA</t>
  </si>
  <si>
    <t>ZUFAR HUDZAIL</t>
  </si>
  <si>
    <t>BAYU LAKSONO</t>
  </si>
  <si>
    <t>NANANG SETYO C.</t>
  </si>
  <si>
    <t>STREP 3</t>
  </si>
  <si>
    <t>PRIA</t>
  </si>
  <si>
    <t>SULAIMAN</t>
  </si>
  <si>
    <t>HENDRO WAHYU</t>
  </si>
  <si>
    <t>SUMANTRI KUSUMA</t>
  </si>
  <si>
    <t>YOHANES CHRIST</t>
  </si>
  <si>
    <t>ANANG GIANAN</t>
  </si>
  <si>
    <t>M. IQBAL F</t>
  </si>
  <si>
    <t>L13a</t>
  </si>
  <si>
    <t>M3</t>
  </si>
  <si>
    <t>M4</t>
  </si>
  <si>
    <t>M5</t>
  </si>
  <si>
    <t>M6</t>
  </si>
  <si>
    <t>M7</t>
  </si>
  <si>
    <t>M8</t>
  </si>
  <si>
    <t>M9</t>
  </si>
  <si>
    <t>M11</t>
  </si>
  <si>
    <t>AGUS JUNAIDI</t>
  </si>
  <si>
    <t>HAMSAH</t>
  </si>
  <si>
    <t>DP 2 TEKNIKA / 18</t>
  </si>
  <si>
    <t>ISMAIL GHOZALI</t>
  </si>
  <si>
    <t>VIKY HENDRA</t>
  </si>
  <si>
    <t>ACHMAD ARWANI</t>
  </si>
  <si>
    <t>ARIP HIDAYATULLAH</t>
  </si>
  <si>
    <t>EDO PUTRA P</t>
  </si>
  <si>
    <t>FERDINAND SIMAMORA</t>
  </si>
  <si>
    <t>ROY</t>
  </si>
  <si>
    <t>M10a</t>
  </si>
  <si>
    <t>SULIANTO</t>
  </si>
  <si>
    <t>26 OKT</t>
  </si>
  <si>
    <t>M12a</t>
  </si>
  <si>
    <t>M13a</t>
  </si>
  <si>
    <t>M14a</t>
  </si>
  <si>
    <t>M15a</t>
  </si>
  <si>
    <t>M16a</t>
  </si>
  <si>
    <t>M17a</t>
  </si>
  <si>
    <t>M18a</t>
  </si>
  <si>
    <t>M19a</t>
  </si>
  <si>
    <t>BAGUS SAPUTRO</t>
  </si>
  <si>
    <t>GOTA ARIZKY</t>
  </si>
  <si>
    <t>SUWITO</t>
  </si>
  <si>
    <t>MOH AJIB</t>
  </si>
  <si>
    <t>YUDI DWI PURNOMO</t>
  </si>
  <si>
    <t>MEILAN</t>
  </si>
  <si>
    <t>AHMAD FIRDAUS</t>
  </si>
  <si>
    <t>WANITA</t>
  </si>
  <si>
    <t>L15</t>
  </si>
  <si>
    <t>L16</t>
  </si>
  <si>
    <t>DERA WIDAGDO</t>
  </si>
  <si>
    <t>ANTOK ADITYA</t>
  </si>
  <si>
    <t>FEBRIAL BAYU S</t>
  </si>
  <si>
    <t>ACHMAD LATIFUDDIN</t>
  </si>
  <si>
    <t>SONATA WIBIKSANA</t>
  </si>
  <si>
    <t>GURUH ANDRIYANTO</t>
  </si>
  <si>
    <t>HENDRIK SUDIARTO</t>
  </si>
  <si>
    <t>YUDHA SALI PERMADI</t>
  </si>
  <si>
    <t>M20a</t>
  </si>
  <si>
    <t>M21a</t>
  </si>
  <si>
    <t>M22a</t>
  </si>
  <si>
    <t>M23</t>
  </si>
  <si>
    <t>M24a</t>
  </si>
  <si>
    <t>27 OKT</t>
  </si>
  <si>
    <t>BRAPOS SUHARTO</t>
  </si>
  <si>
    <t>HAGI OSEANIKO J</t>
  </si>
  <si>
    <t>RAMAH TAMAH G</t>
  </si>
  <si>
    <t>CHRISTIANTO REIN</t>
  </si>
  <si>
    <t>DAVID AJIE</t>
  </si>
  <si>
    <t>19</t>
  </si>
  <si>
    <t>AGUS ANSORI</t>
  </si>
  <si>
    <t>EKO ARYO W</t>
  </si>
  <si>
    <t>MOHAMMAD ARIFIN</t>
  </si>
  <si>
    <t>ONY PASLAH</t>
  </si>
  <si>
    <t>BAMBANG BP</t>
  </si>
  <si>
    <t>YOGA DWI ABDILLAH</t>
  </si>
  <si>
    <t>WAHYU EKO</t>
  </si>
  <si>
    <t>DEDI APRIYADI</t>
  </si>
  <si>
    <t>KETUT AGUS KARYAWAN</t>
  </si>
  <si>
    <t>WAHYU TEGUH P</t>
  </si>
  <si>
    <t>ARYO PAMUNGKAS</t>
  </si>
  <si>
    <t>BOBI SETIAWAN</t>
  </si>
  <si>
    <t>LUTVI NURAZIZ</t>
  </si>
  <si>
    <t>L28</t>
  </si>
  <si>
    <t>L32</t>
  </si>
  <si>
    <t>L33</t>
  </si>
  <si>
    <t>L34</t>
  </si>
  <si>
    <t>L17a</t>
  </si>
  <si>
    <t>L18a</t>
  </si>
  <si>
    <t>L19a</t>
  </si>
  <si>
    <t>L20a</t>
  </si>
  <si>
    <t>L21a</t>
  </si>
  <si>
    <t>L22a</t>
  </si>
  <si>
    <t>L23a</t>
  </si>
  <si>
    <t>L24a</t>
  </si>
  <si>
    <t>L25a</t>
  </si>
  <si>
    <t>L26a</t>
  </si>
  <si>
    <t>L27a</t>
  </si>
  <si>
    <t>L29a</t>
  </si>
  <si>
    <t>L30a</t>
  </si>
  <si>
    <t>L31a</t>
  </si>
  <si>
    <t>02 NOV</t>
  </si>
  <si>
    <t>AGUNG SUKOWIBOWO</t>
  </si>
  <si>
    <t>JHONSON SIHOMBING</t>
  </si>
  <si>
    <t>SYAHRIYANTO</t>
  </si>
  <si>
    <t>M. ZULFIKAR</t>
  </si>
  <si>
    <t>TRI NUGROHO</t>
  </si>
  <si>
    <t>DHIDY S RANDA L</t>
  </si>
  <si>
    <t>ALI FACHMI</t>
  </si>
  <si>
    <t>YERIA NATANEL S</t>
  </si>
  <si>
    <t>ERICK ERLANGGA</t>
  </si>
  <si>
    <t>ISMU ARIYANTO</t>
  </si>
  <si>
    <t>M. TAUFIQURROHMAN</t>
  </si>
  <si>
    <t>FRENGKY CHANDRA</t>
  </si>
  <si>
    <t>DEDI SUKAMTO</t>
  </si>
  <si>
    <t>M25</t>
  </si>
  <si>
    <t>M26</t>
  </si>
  <si>
    <t>M27</t>
  </si>
  <si>
    <t>M37</t>
  </si>
  <si>
    <t>M28a</t>
  </si>
  <si>
    <t>M29a</t>
  </si>
  <si>
    <t>M30a</t>
  </si>
  <si>
    <t>M31a</t>
  </si>
  <si>
    <t>M32a</t>
  </si>
  <si>
    <t>M33a</t>
  </si>
  <si>
    <t>M34a</t>
  </si>
  <si>
    <t>M35a</t>
  </si>
  <si>
    <t>M36a</t>
  </si>
  <si>
    <t>DERY NASRULLAH</t>
  </si>
  <si>
    <t>L35a</t>
  </si>
  <si>
    <t>L36a</t>
  </si>
  <si>
    <t>L37a</t>
  </si>
  <si>
    <t>L38a</t>
  </si>
  <si>
    <t>L39a</t>
  </si>
  <si>
    <t>SLAMET SUGIHARTO</t>
  </si>
  <si>
    <t>RINO BAHARUDIN</t>
  </si>
  <si>
    <t>YUDA ISWAHYUDI</t>
  </si>
  <si>
    <t>BINTANG ADI YUDHA</t>
  </si>
  <si>
    <t>05 NOV</t>
  </si>
  <si>
    <t>NASRRUM</t>
  </si>
  <si>
    <t>SARBINI</t>
  </si>
  <si>
    <t>SIGIT OKTAVIANA S.</t>
  </si>
  <si>
    <t>09 NOV</t>
  </si>
  <si>
    <t>L41</t>
  </si>
  <si>
    <t>M38</t>
  </si>
  <si>
    <t>40</t>
  </si>
  <si>
    <t>56</t>
  </si>
  <si>
    <t>ARDINA INDRA K.</t>
  </si>
  <si>
    <t>ALAMSYAH JAKA P.</t>
  </si>
  <si>
    <t>ACHMAD ANGGA D.P.</t>
  </si>
  <si>
    <t>R. AHMAD SHADIQ</t>
  </si>
  <si>
    <t>HARIONO</t>
  </si>
  <si>
    <t>HENDIK MASNURUL H</t>
  </si>
  <si>
    <t>ERI SUSANTO</t>
  </si>
  <si>
    <t>FAISAL TOUWE</t>
  </si>
  <si>
    <t>UNTUNG PRASTIYONO</t>
  </si>
  <si>
    <t>L42a</t>
  </si>
  <si>
    <t>L43a</t>
  </si>
  <si>
    <t>L44a</t>
  </si>
  <si>
    <t>L45a</t>
  </si>
  <si>
    <t>L46a</t>
  </si>
  <si>
    <t>L47a</t>
  </si>
  <si>
    <t>13 NOV</t>
  </si>
  <si>
    <t>L48a</t>
  </si>
  <si>
    <t>DHANU NADHIF M</t>
  </si>
  <si>
    <t>M. FAHRIL RIZA</t>
  </si>
  <si>
    <t>L49a</t>
  </si>
  <si>
    <t>DAEROBI</t>
  </si>
  <si>
    <t>M. DEAGO FALZ D</t>
  </si>
  <si>
    <t>STENDLI MAKAKOMBO</t>
  </si>
  <si>
    <t>MHD WANTO SUNDARNOTO</t>
  </si>
  <si>
    <t>MAIKEL LABIRO</t>
  </si>
  <si>
    <t>IMSYAK YUNAIDY</t>
  </si>
  <si>
    <t>M39a</t>
  </si>
  <si>
    <t>M40a</t>
  </si>
  <si>
    <t>M41a</t>
  </si>
  <si>
    <t>M42a</t>
  </si>
  <si>
    <t>M43a</t>
  </si>
  <si>
    <t>M44a</t>
  </si>
  <si>
    <t>92</t>
  </si>
  <si>
    <t>MUNASIR</t>
  </si>
  <si>
    <t>ACHMAD RIYADI SANTOSO</t>
  </si>
  <si>
    <t>OKY YUDHA</t>
  </si>
  <si>
    <t>ENDRI TRILAKSONO</t>
  </si>
  <si>
    <t>AGUS ARFIANTO</t>
  </si>
  <si>
    <t>DIMAS SETYO W</t>
  </si>
  <si>
    <t>RIANI PURWANTO</t>
  </si>
  <si>
    <t>M45a</t>
  </si>
  <si>
    <t>M46a</t>
  </si>
  <si>
    <t>M47a</t>
  </si>
  <si>
    <t>M48a</t>
  </si>
  <si>
    <t>M49a</t>
  </si>
  <si>
    <t>M50a</t>
  </si>
  <si>
    <t>M51a</t>
  </si>
  <si>
    <t>YOVI EKA LESMANA</t>
  </si>
  <si>
    <t>ISNAN ANIS C.</t>
  </si>
  <si>
    <t>ALDO ANJASMARA</t>
  </si>
  <si>
    <t>ANIS RUDIYAR</t>
  </si>
  <si>
    <t>L50a</t>
  </si>
  <si>
    <t>L51a</t>
  </si>
  <si>
    <t>L52a</t>
  </si>
  <si>
    <t>L53a</t>
  </si>
  <si>
    <t>4</t>
  </si>
  <si>
    <t>14 NOV</t>
  </si>
  <si>
    <t>Row Labels</t>
  </si>
  <si>
    <t>Grand Total</t>
  </si>
  <si>
    <t>Count of KELAS</t>
  </si>
  <si>
    <t>Count of KAOS</t>
  </si>
  <si>
    <t>Count of SEPATU</t>
  </si>
  <si>
    <t>Count of TOPI</t>
  </si>
  <si>
    <t>MIN</t>
  </si>
  <si>
    <t>MAX</t>
  </si>
  <si>
    <t>FREDI SETYO 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</si>
</sst>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19" fillId="0" borderId="0"/>
  </cellStyleXfs>
  <cellXfs count="50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15" fillId="0" borderId="0" xfId="0" applyNumberFormat="1" applyFont="1" applyBorder="1" applyAlignment="1">
      <alignment vertical="center" wrapText="1"/>
    </xf>
    <xf numFmtId="49" fontId="15" fillId="0" borderId="2" xfId="0" applyNumberFormat="1" applyFont="1" applyBorder="1" applyAlignment="1">
      <alignment horizontal="center" vertical="center" wrapText="1"/>
    </xf>
    <xf numFmtId="0" fontId="18" fillId="0" borderId="2" xfId="0" applyFont="1" applyBorder="1" applyAlignment="1">
      <alignment horizontal="center" vertical="center"/>
    </xf>
    <xf numFmtId="49" fontId="17" fillId="0" borderId="2" xfId="0" applyNumberFormat="1" applyFont="1" applyBorder="1" applyAlignment="1">
      <alignment horizontal="center" vertical="center"/>
    </xf>
    <xf numFmtId="16" fontId="15" fillId="0" borderId="0" xfId="0" applyNumberFormat="1" applyFont="1" applyBorder="1" applyAlignment="1">
      <alignment vertical="center" wrapText="1"/>
    </xf>
    <xf numFmtId="49" fontId="18" fillId="0" borderId="0" xfId="0" applyNumberFormat="1" applyFont="1" applyAlignment="1">
      <alignment horizontal="center" vertical="center"/>
    </xf>
    <xf numFmtId="0" fontId="18" fillId="0" borderId="2" xfId="0" applyFont="1" applyBorder="1" applyAlignment="1">
      <alignment horizontal="left" vertical="center" indent="1"/>
    </xf>
    <xf numFmtId="0" fontId="15" fillId="0" borderId="2" xfId="0" applyFont="1" applyBorder="1" applyAlignment="1">
      <alignment horizontal="left" vertical="center" wrapText="1" indent="1"/>
    </xf>
    <xf numFmtId="0" fontId="15" fillId="0" borderId="0" xfId="0" applyFont="1" applyBorder="1" applyAlignment="1">
      <alignment horizontal="left" vertical="center" wrapText="1" indent="1"/>
    </xf>
    <xf numFmtId="0" fontId="18" fillId="0" borderId="4" xfId="0" applyFont="1" applyBorder="1" applyAlignment="1">
      <alignment horizontal="left" vertical="center" indent="1"/>
    </xf>
    <xf numFmtId="0" fontId="18" fillId="0" borderId="4" xfId="0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 indent="1"/>
    </xf>
    <xf numFmtId="49" fontId="15" fillId="0" borderId="3" xfId="0" applyNumberFormat="1" applyFont="1" applyFill="1" applyBorder="1" applyAlignment="1">
      <alignment horizontal="center" vertical="center"/>
    </xf>
    <xf numFmtId="49" fontId="0" fillId="0" borderId="0" xfId="0" quotePrefix="1" applyNumberFormat="1" applyAlignment="1">
      <alignment vertical="center"/>
    </xf>
    <xf numFmtId="16" fontId="0" fillId="0" borderId="0" xfId="0" quotePrefix="1" applyNumberFormat="1" applyAlignment="1">
      <alignment vertical="center"/>
    </xf>
    <xf numFmtId="49" fontId="0" fillId="0" borderId="0" xfId="0" applyNumberFormat="1" applyAlignment="1">
      <alignment vertical="center"/>
    </xf>
    <xf numFmtId="49" fontId="18" fillId="0" borderId="2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5" fillId="0" borderId="2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horizontal="center" vertical="center" wrapText="1"/>
    </xf>
    <xf numFmtId="0" fontId="15" fillId="0" borderId="0" xfId="0" applyFont="1" applyBorder="1" applyAlignment="1">
      <alignment vertical="center"/>
    </xf>
    <xf numFmtId="0" fontId="18" fillId="0" borderId="2" xfId="0" applyNumberFormat="1" applyFont="1" applyBorder="1" applyAlignment="1">
      <alignment horizontal="center" vertical="center"/>
    </xf>
    <xf numFmtId="0" fontId="15" fillId="0" borderId="2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0" fontId="15" fillId="0" borderId="0" xfId="0" applyNumberFormat="1" applyFont="1" applyBorder="1" applyAlignment="1">
      <alignment vertical="center" wrapText="1"/>
    </xf>
    <xf numFmtId="0" fontId="15" fillId="0" borderId="0" xfId="0" quotePrefix="1" applyFont="1" applyBorder="1" applyAlignment="1">
      <alignment vertical="center" wrapText="1"/>
    </xf>
    <xf numFmtId="0" fontId="17" fillId="0" borderId="0" xfId="0" applyNumberFormat="1" applyFont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15" fillId="0" borderId="5" xfId="0" applyFont="1" applyBorder="1" applyAlignment="1">
      <alignment horizontal="left" vertical="center" wrapText="1" indent="1"/>
    </xf>
    <xf numFmtId="49" fontId="15" fillId="0" borderId="5" xfId="0" applyNumberFormat="1" applyFont="1" applyBorder="1" applyAlignment="1">
      <alignment horizontal="center" vertical="center" wrapText="1"/>
    </xf>
    <xf numFmtId="49" fontId="15" fillId="0" borderId="5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Alignment="1">
      <alignment horizontal="center" vertical="center" wrapText="1"/>
    </xf>
    <xf numFmtId="16" fontId="15" fillId="0" borderId="0" xfId="0" quotePrefix="1" applyNumberFormat="1" applyFont="1" applyBorder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5" fillId="0" borderId="0" xfId="0" applyFont="1" applyAlignment="1">
      <alignment vertical="center" wrapText="1"/>
    </xf>
    <xf numFmtId="0" fontId="18" fillId="0" borderId="0" xfId="0" applyFont="1" applyBorder="1" applyAlignment="1">
      <alignment horizontal="center" vertical="center"/>
    </xf>
    <xf numFmtId="49" fontId="18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5" fillId="0" borderId="0" xfId="0" applyNumberFormat="1" applyFont="1" applyAlignment="1">
      <alignment horizontal="center" vertical="center" wrapText="1"/>
    </xf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9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numFmt numFmtId="30" formatCode="@"/>
      <alignment horizontal="center" vertical="center" textRotation="0" wrapText="1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left" vertical="center" textRotation="0" wrapText="1" indent="1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charset val="1"/>
        <scheme val="none"/>
      </font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taf" refreshedDate="44514.33904097222" createdVersion="7" refreshedVersion="7" minRefreshableVersion="3" recordCount="103" xr:uid="{72FAEF25-A41D-4B78-8A37-1CAA56926ED8}">
  <cacheSource type="worksheet">
    <worksheetSource name="Table3"/>
  </cacheSource>
  <cacheFields count="46">
    <cacheField name="NO" numFmtId="0">
      <sharedItems/>
    </cacheField>
    <cacheField name="NAMA" numFmtId="0">
      <sharedItems/>
    </cacheField>
    <cacheField name="KELAS" numFmtId="0">
      <sharedItems count="2">
        <s v="DP 2 NAUTIKA / 18"/>
        <s v="DP 2 TEKNIKA / 18"/>
      </sharedItems>
    </cacheField>
    <cacheField name="SEPATU" numFmtId="0">
      <sharedItems containsMixedTypes="1" containsNumber="1" containsInteger="1" minValue="39" maxValue="46" count="9">
        <n v="42"/>
        <n v="43"/>
        <n v="40"/>
        <n v="44"/>
        <n v="41"/>
        <n v="45"/>
        <s v="40"/>
        <n v="39"/>
        <n v="46"/>
      </sharedItems>
    </cacheField>
    <cacheField name="KAOS" numFmtId="49">
      <sharedItems count="5">
        <s v="L"/>
        <s v="XXL"/>
        <s v="M"/>
        <s v="XL"/>
        <s v="XXXL"/>
      </sharedItems>
    </cacheField>
    <cacheField name="TOPI" numFmtId="0">
      <sharedItems containsMixedTypes="1" containsNumber="1" containsInteger="1" minValue="53" maxValue="60" count="9">
        <n v="57"/>
        <n v="60"/>
        <n v="56"/>
        <n v="58"/>
        <n v="59"/>
        <n v="54"/>
        <n v="55"/>
        <s v="56"/>
        <n v="53"/>
      </sharedItems>
    </cacheField>
    <cacheField name="STREP" numFmtId="49">
      <sharedItems/>
    </cacheField>
    <cacheField name="GENDER" numFmtId="49">
      <sharedItems count="2">
        <s v="PRIA"/>
        <s v="WANITA"/>
      </sharedItems>
    </cacheField>
    <cacheField name="UBN_1" numFmtId="0">
      <sharedItems containsSemiMixedTypes="0" containsString="0" containsNumber="1" containsInteger="1" minValue="38" maxValue="54"/>
    </cacheField>
    <cacheField name="UBN_2" numFmtId="0">
      <sharedItems containsString="0" containsBlank="1" containsNumber="1" containsInteger="1" minValue="53" maxValue="68"/>
    </cacheField>
    <cacheField name="UBN_3" numFmtId="0">
      <sharedItems containsSemiMixedTypes="0" containsString="0" containsNumber="1" containsInteger="1" minValue="17" maxValue="23"/>
    </cacheField>
    <cacheField name="UBN_4" numFmtId="0">
      <sharedItems containsSemiMixedTypes="0" containsString="0" containsNumber="1" containsInteger="1" minValue="14" maxValue="18"/>
    </cacheField>
    <cacheField name="UBN_5" numFmtId="0">
      <sharedItems containsSemiMixedTypes="0" containsString="0" containsNumber="1" containsInteger="1" minValue="90" maxValue="135"/>
    </cacheField>
    <cacheField name="UBN_6" numFmtId="0">
      <sharedItems containsSemiMixedTypes="0" containsString="0" containsNumber="1" containsInteger="1" minValue="80" maxValue="135"/>
    </cacheField>
    <cacheField name="UBN_7" numFmtId="0">
      <sharedItems containsSemiMixedTypes="0" containsString="0" containsNumber="1" containsInteger="1" minValue="96" maxValue="145"/>
    </cacheField>
    <cacheField name="UBN_8" numFmtId="0">
      <sharedItems containsSemiMixedTypes="0" containsString="0" containsNumber="1" containsInteger="1" minValue="65" maxValue="81"/>
    </cacheField>
    <cacheField name="UBN_9" numFmtId="0">
      <sharedItems containsSemiMixedTypes="0" containsString="0" containsNumber="1" containsInteger="1" minValue="35" maxValue="47"/>
    </cacheField>
    <cacheField name="UH_1" numFmtId="0">
      <sharedItems containsSemiMixedTypes="0" containsString="0" containsNumber="1" containsInteger="1" minValue="38" maxValue="54"/>
    </cacheField>
    <cacheField name="UH_2" numFmtId="0">
      <sharedItems containsString="0" containsBlank="1" containsNumber="1" containsInteger="1" minValue="54" maxValue="69"/>
    </cacheField>
    <cacheField name="UH_3" numFmtId="0">
      <sharedItems containsSemiMixedTypes="0" containsString="0" containsNumber="1" containsInteger="1" minValue="16" maxValue="22"/>
    </cacheField>
    <cacheField name="UH_4" numFmtId="0">
      <sharedItems containsSemiMixedTypes="0" containsString="0" containsNumber="1" minValue="12" maxValue="16"/>
    </cacheField>
    <cacheField name="UH_5" numFmtId="0">
      <sharedItems containsSemiMixedTypes="0" containsString="0" containsNumber="1" containsInteger="1" minValue="25" maxValue="37"/>
    </cacheField>
    <cacheField name="UH_6" numFmtId="0">
      <sharedItems containsSemiMixedTypes="0" containsString="0" containsNumber="1" containsInteger="1" minValue="22" maxValue="37"/>
    </cacheField>
    <cacheField name="UH_7" numFmtId="0">
      <sharedItems containsSemiMixedTypes="0" containsString="0" containsNumber="1" containsInteger="1" minValue="25" maxValue="37"/>
    </cacheField>
    <cacheField name="UH_8" numFmtId="0">
      <sharedItems containsSemiMixedTypes="0" containsString="0" containsNumber="1" containsInteger="1" minValue="65" maxValue="80"/>
    </cacheField>
    <cacheField name="UH_9" numFmtId="0">
      <sharedItems containsSemiMixedTypes="0" containsString="0" containsNumber="1" containsInteger="1" minValue="35" maxValue="47"/>
    </cacheField>
    <cacheField name="UB_1" numFmtId="0">
      <sharedItems containsSemiMixedTypes="0" containsString="0" containsNumber="1" containsInteger="1" minValue="38" maxValue="54"/>
    </cacheField>
    <cacheField name="UB_2" numFmtId="0">
      <sharedItems containsSemiMixedTypes="0" containsString="0" containsNumber="1" containsInteger="1" minValue="22" maxValue="29"/>
    </cacheField>
    <cacheField name="UB_3" numFmtId="0">
      <sharedItems containsSemiMixedTypes="0" containsString="0" containsNumber="1" containsInteger="1" minValue="15" maxValue="22"/>
    </cacheField>
    <cacheField name="UB_4" numFmtId="0">
      <sharedItems containsSemiMixedTypes="0" containsString="0" containsNumber="1" minValue="25" maxValue="37"/>
    </cacheField>
    <cacheField name="UB_5" numFmtId="0">
      <sharedItems containsSemiMixedTypes="0" containsString="0" containsNumber="1" containsInteger="1" minValue="22" maxValue="37"/>
    </cacheField>
    <cacheField name="UB_6" numFmtId="0">
      <sharedItems containsSemiMixedTypes="0" containsString="0" containsNumber="1" minValue="25" maxValue="37"/>
    </cacheField>
    <cacheField name="UB_7" numFmtId="0">
      <sharedItems containsSemiMixedTypes="0" containsString="0" containsNumber="1" containsInteger="1" minValue="65" maxValue="80"/>
    </cacheField>
    <cacheField name="UB_8" numFmtId="0">
      <sharedItems containsSemiMixedTypes="0" containsString="0" containsNumber="1" containsInteger="1" minValue="35" maxValue="47"/>
    </cacheField>
    <cacheField name="UC_1" numFmtId="0">
      <sharedItems containsSemiMixedTypes="0" containsString="0" containsNumber="1" containsInteger="1" minValue="72" maxValue="126"/>
    </cacheField>
    <cacheField name="UC_2" numFmtId="0">
      <sharedItems containsSemiMixedTypes="0" containsString="0" containsNumber="1" containsInteger="1" minValue="92" maxValue="140"/>
    </cacheField>
    <cacheField name="UC_3" numFmtId="0">
      <sharedItems containsSemiMixedTypes="0" containsString="0" containsNumber="1" containsInteger="1" minValue="60" maxValue="80"/>
    </cacheField>
    <cacheField name="UC_4" numFmtId="0">
      <sharedItems containsSemiMixedTypes="0" containsString="0" containsNumber="1" containsInteger="1" minValue="29" maxValue="43"/>
    </cacheField>
    <cacheField name="UC_5" numFmtId="0">
      <sharedItems containsSemiMixedTypes="0" containsString="0" containsNumber="1" containsInteger="1" minValue="23" maxValue="32"/>
    </cacheField>
    <cacheField name="UC_6" numFmtId="0">
      <sharedItems containsMixedTypes="1" containsNumber="1" containsInteger="1" minValue="14" maxValue="24"/>
    </cacheField>
    <cacheField name="UC_7" numFmtId="0">
      <sharedItems containsMixedTypes="1" containsNumber="1" containsInteger="1" minValue="86" maxValue="107"/>
    </cacheField>
    <cacheField name="CETAK KE" numFmtId="0">
      <sharedItems containsMixedTypes="1" containsNumber="1" containsInteger="1" minValue="1" maxValue="4" count="5">
        <n v="1"/>
        <n v="2"/>
        <n v="3"/>
        <n v="4"/>
        <s v="4"/>
      </sharedItems>
    </cacheField>
    <cacheField name="CETAK PDH" numFmtId="0">
      <sharedItems count="7">
        <s v="26 OKT"/>
        <s v="27 OKT"/>
        <s v="02 NOV"/>
        <s v="05 NOV"/>
        <s v="09 NOV"/>
        <s v="13 NOV"/>
        <s v="14 NOV"/>
      </sharedItems>
    </cacheField>
    <cacheField name="CETAK BN" numFmtId="0">
      <sharedItems containsNonDate="0" containsString="0" containsBlank="1"/>
    </cacheField>
    <cacheField name="CETAK KAOS" numFmtId="0">
      <sharedItems containsNonDate="0" containsString="0" containsBlank="1"/>
    </cacheField>
    <cacheField name="CETAK SEPATU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18676049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3">
  <r>
    <s v="L1"/>
    <s v="SANDY YANUARTA"/>
    <x v="0"/>
    <x v="0"/>
    <x v="0"/>
    <x v="0"/>
    <s v="STREP 3"/>
    <x v="0"/>
    <n v="43"/>
    <n v="61"/>
    <n v="19"/>
    <n v="15"/>
    <n v="105"/>
    <n v="97"/>
    <n v="110"/>
    <n v="74"/>
    <n v="41"/>
    <n v="43"/>
    <n v="62"/>
    <n v="17"/>
    <n v="13"/>
    <n v="27"/>
    <n v="26"/>
    <n v="27"/>
    <n v="74"/>
    <n v="41"/>
    <n v="43"/>
    <n v="25"/>
    <n v="18"/>
    <n v="27"/>
    <n v="26"/>
    <n v="27"/>
    <n v="74"/>
    <n v="41"/>
    <n v="87"/>
    <n v="109"/>
    <n v="68"/>
    <n v="34"/>
    <n v="25"/>
    <n v="20"/>
    <n v="95"/>
    <x v="0"/>
    <x v="0"/>
    <m/>
    <m/>
    <m/>
  </r>
  <r>
    <s v="L2"/>
    <s v="ZUFAR HUDZAIL"/>
    <x v="0"/>
    <x v="1"/>
    <x v="1"/>
    <x v="1"/>
    <s v="STREP 3"/>
    <x v="0"/>
    <n v="47"/>
    <n v="59"/>
    <n v="22"/>
    <n v="18"/>
    <n v="125"/>
    <n v="125"/>
    <n v="129"/>
    <n v="72"/>
    <n v="45"/>
    <n v="47"/>
    <n v="60"/>
    <n v="20"/>
    <n v="16"/>
    <n v="33"/>
    <n v="32"/>
    <n v="33"/>
    <n v="72"/>
    <n v="45"/>
    <n v="47"/>
    <n v="26"/>
    <n v="21"/>
    <n v="33"/>
    <n v="32"/>
    <n v="33"/>
    <n v="72"/>
    <n v="45"/>
    <n v="115"/>
    <n v="124"/>
    <n v="76"/>
    <n v="39"/>
    <n v="28"/>
    <n v="22"/>
    <n v="92"/>
    <x v="0"/>
    <x v="0"/>
    <m/>
    <m/>
    <m/>
  </r>
  <r>
    <s v="L3"/>
    <s v="BAYU LAKSONO"/>
    <x v="0"/>
    <x v="2"/>
    <x v="0"/>
    <x v="2"/>
    <s v="STREP 3"/>
    <x v="0"/>
    <n v="43"/>
    <n v="61"/>
    <n v="19"/>
    <n v="15"/>
    <n v="109"/>
    <n v="104"/>
    <n v="112"/>
    <n v="74"/>
    <n v="41"/>
    <n v="43"/>
    <n v="62"/>
    <n v="17"/>
    <n v="13"/>
    <n v="29"/>
    <n v="28"/>
    <n v="29"/>
    <n v="72"/>
    <n v="41"/>
    <n v="43"/>
    <n v="25"/>
    <n v="19"/>
    <n v="29"/>
    <n v="28"/>
    <n v="29"/>
    <n v="72"/>
    <n v="41"/>
    <n v="90"/>
    <n v="108"/>
    <n v="68"/>
    <n v="33"/>
    <n v="25"/>
    <n v="20"/>
    <n v="98"/>
    <x v="0"/>
    <x v="0"/>
    <m/>
    <m/>
    <m/>
  </r>
  <r>
    <s v="L4"/>
    <s v="NANANG SETYO C."/>
    <x v="0"/>
    <x v="2"/>
    <x v="2"/>
    <x v="0"/>
    <s v="STREP 3"/>
    <x v="0"/>
    <n v="42"/>
    <n v="61"/>
    <n v="18"/>
    <n v="14"/>
    <n v="94"/>
    <n v="85"/>
    <n v="102"/>
    <n v="70"/>
    <n v="40"/>
    <n v="42"/>
    <n v="62"/>
    <n v="16"/>
    <n v="12"/>
    <n v="26"/>
    <n v="25"/>
    <n v="26"/>
    <n v="70"/>
    <n v="40"/>
    <n v="42"/>
    <n v="24"/>
    <n v="18"/>
    <n v="26"/>
    <n v="25"/>
    <n v="26"/>
    <n v="70"/>
    <n v="40"/>
    <n v="75"/>
    <n v="98"/>
    <n v="64"/>
    <n v="33"/>
    <n v="24"/>
    <n v="20"/>
    <n v="97"/>
    <x v="0"/>
    <x v="0"/>
    <m/>
    <m/>
    <m/>
  </r>
  <r>
    <s v="L5"/>
    <s v="FREDY SETYONUGROHO"/>
    <x v="0"/>
    <x v="3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x v="0"/>
    <x v="0"/>
    <m/>
    <m/>
    <m/>
  </r>
  <r>
    <s v="L6"/>
    <s v="SULAIMAN"/>
    <x v="0"/>
    <x v="2"/>
    <x v="2"/>
    <x v="2"/>
    <s v="STREP 3"/>
    <x v="0"/>
    <n v="43"/>
    <n v="59"/>
    <n v="19"/>
    <n v="15"/>
    <n v="110"/>
    <n v="104"/>
    <n v="112"/>
    <n v="70"/>
    <n v="39"/>
    <n v="43"/>
    <n v="60"/>
    <n v="17"/>
    <n v="13"/>
    <n v="28"/>
    <n v="27"/>
    <n v="28"/>
    <n v="69"/>
    <n v="39"/>
    <n v="43"/>
    <n v="24"/>
    <n v="19"/>
    <n v="28"/>
    <n v="27"/>
    <n v="28"/>
    <n v="69"/>
    <n v="39"/>
    <n v="93"/>
    <n v="109"/>
    <n v="68"/>
    <n v="34"/>
    <n v="25"/>
    <n v="20"/>
    <n v="89"/>
    <x v="0"/>
    <x v="0"/>
    <m/>
    <m/>
    <m/>
  </r>
  <r>
    <s v="L7"/>
    <s v="HENDRO WAHYU"/>
    <x v="0"/>
    <x v="0"/>
    <x v="1"/>
    <x v="0"/>
    <s v="STREP 3"/>
    <x v="0"/>
    <n v="44"/>
    <n v="62"/>
    <n v="19"/>
    <n v="15"/>
    <n v="111"/>
    <n v="109"/>
    <n v="117"/>
    <n v="75"/>
    <n v="44"/>
    <n v="44"/>
    <n v="63"/>
    <n v="17"/>
    <n v="13"/>
    <n v="29"/>
    <n v="28"/>
    <n v="29"/>
    <n v="74"/>
    <n v="44"/>
    <n v="44"/>
    <n v="28"/>
    <n v="19"/>
    <n v="29"/>
    <n v="28"/>
    <n v="29"/>
    <n v="74"/>
    <n v="44"/>
    <n v="95"/>
    <n v="113"/>
    <n v="70"/>
    <n v="34"/>
    <n v="25"/>
    <n v="20"/>
    <n v="100"/>
    <x v="0"/>
    <x v="0"/>
    <m/>
    <m/>
    <m/>
  </r>
  <r>
    <s v="L8"/>
    <s v="SUMANTRI KUSUMA"/>
    <x v="0"/>
    <x v="0"/>
    <x v="0"/>
    <x v="3"/>
    <s v="STREP 3"/>
    <x v="0"/>
    <n v="44"/>
    <n v="65"/>
    <n v="19"/>
    <n v="15"/>
    <n v="110"/>
    <n v="109"/>
    <n v="118"/>
    <n v="75"/>
    <n v="42"/>
    <n v="44"/>
    <n v="66"/>
    <n v="17"/>
    <n v="13"/>
    <n v="28"/>
    <n v="27"/>
    <n v="28"/>
    <n v="75"/>
    <n v="42"/>
    <n v="44"/>
    <n v="25"/>
    <n v="19"/>
    <n v="28"/>
    <n v="27"/>
    <n v="28"/>
    <n v="75"/>
    <n v="42"/>
    <n v="98"/>
    <n v="112"/>
    <n v="69"/>
    <n v="35"/>
    <n v="26"/>
    <n v="20"/>
    <n v="100"/>
    <x v="0"/>
    <x v="0"/>
    <m/>
    <m/>
    <m/>
  </r>
  <r>
    <s v="L9"/>
    <s v="ARDINA INDRA K."/>
    <x v="0"/>
    <x v="4"/>
    <x v="0"/>
    <x v="2"/>
    <s v="STREP 3"/>
    <x v="0"/>
    <n v="43"/>
    <n v="64"/>
    <n v="18"/>
    <n v="15"/>
    <n v="98"/>
    <n v="95"/>
    <n v="116"/>
    <n v="74"/>
    <n v="40"/>
    <n v="43"/>
    <n v="65"/>
    <n v="16"/>
    <n v="13"/>
    <n v="27"/>
    <n v="26"/>
    <n v="27"/>
    <n v="74"/>
    <n v="40"/>
    <n v="43"/>
    <n v="26"/>
    <n v="19"/>
    <n v="27"/>
    <n v="26"/>
    <n v="27"/>
    <n v="74"/>
    <n v="40"/>
    <n v="88"/>
    <n v="109"/>
    <n v="67"/>
    <n v="33"/>
    <n v="25"/>
    <n v="19"/>
    <n v="103"/>
    <x v="0"/>
    <x v="0"/>
    <m/>
    <m/>
    <m/>
  </r>
  <r>
    <s v="L10"/>
    <s v="YOHANES CHRIST"/>
    <x v="0"/>
    <x v="0"/>
    <x v="0"/>
    <x v="4"/>
    <s v="STREP 3"/>
    <x v="0"/>
    <n v="43"/>
    <n v="59"/>
    <n v="21"/>
    <n v="15"/>
    <n v="108"/>
    <n v="106"/>
    <n v="116"/>
    <n v="69"/>
    <n v="44"/>
    <n v="43"/>
    <n v="60"/>
    <n v="19"/>
    <n v="13"/>
    <n v="29"/>
    <n v="28"/>
    <n v="29"/>
    <n v="69"/>
    <n v="44"/>
    <n v="43"/>
    <n v="23"/>
    <n v="19"/>
    <n v="29"/>
    <n v="28"/>
    <n v="29"/>
    <n v="69"/>
    <n v="44"/>
    <n v="94"/>
    <n v="113"/>
    <n v="70"/>
    <n v="36"/>
    <n v="25"/>
    <n v="20"/>
    <n v="92"/>
    <x v="0"/>
    <x v="0"/>
    <m/>
    <m/>
    <m/>
  </r>
  <r>
    <s v="L11"/>
    <s v="ANANG GIANAN"/>
    <x v="0"/>
    <x v="1"/>
    <x v="3"/>
    <x v="2"/>
    <s v="STREP 3"/>
    <x v="0"/>
    <n v="47"/>
    <n v="64"/>
    <n v="20"/>
    <n v="16"/>
    <n v="113"/>
    <n v="111"/>
    <n v="119"/>
    <n v="76"/>
    <n v="41"/>
    <n v="47"/>
    <n v="65"/>
    <n v="18"/>
    <n v="14"/>
    <n v="31"/>
    <n v="30"/>
    <n v="31"/>
    <n v="76"/>
    <n v="41"/>
    <n v="47"/>
    <n v="28"/>
    <n v="20"/>
    <n v="31"/>
    <n v="30"/>
    <n v="31"/>
    <n v="76"/>
    <n v="41"/>
    <n v="102"/>
    <n v="118"/>
    <n v="72"/>
    <n v="36"/>
    <n v="26"/>
    <n v="20"/>
    <n v="100"/>
    <x v="0"/>
    <x v="0"/>
    <m/>
    <m/>
    <m/>
  </r>
  <r>
    <s v="L12"/>
    <s v="ALAMSYAH JAKA P.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x v="0"/>
    <x v="0"/>
    <m/>
    <m/>
    <m/>
  </r>
  <r>
    <s v="L13a"/>
    <s v="ACHMAD ANGGA D.P."/>
    <x v="0"/>
    <x v="4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x v="0"/>
    <x v="0"/>
    <m/>
    <m/>
    <m/>
  </r>
  <r>
    <s v="L14"/>
    <s v="M. IQBAL F"/>
    <x v="0"/>
    <x v="3"/>
    <x v="3"/>
    <x v="2"/>
    <s v="STREP 3"/>
    <x v="0"/>
    <n v="45"/>
    <n v="65"/>
    <n v="20"/>
    <n v="15"/>
    <n v="115"/>
    <n v="101"/>
    <n v="121"/>
    <n v="77"/>
    <n v="41"/>
    <n v="45"/>
    <n v="66"/>
    <n v="18"/>
    <n v="13"/>
    <n v="30"/>
    <n v="29"/>
    <n v="30"/>
    <n v="77"/>
    <n v="41"/>
    <n v="45"/>
    <n v="28"/>
    <n v="20"/>
    <n v="30"/>
    <n v="29"/>
    <n v="30"/>
    <n v="77"/>
    <n v="41"/>
    <n v="99"/>
    <n v="116"/>
    <n v="72"/>
    <n v="36"/>
    <n v="26"/>
    <n v="21"/>
    <n v="104"/>
    <x v="0"/>
    <x v="0"/>
    <m/>
    <m/>
    <m/>
  </r>
  <r>
    <s v="L15"/>
    <s v="MEILAN"/>
    <x v="0"/>
    <x v="2"/>
    <x v="2"/>
    <x v="2"/>
    <s v="STREP 3"/>
    <x v="1"/>
    <n v="38"/>
    <n v="58"/>
    <n v="17"/>
    <n v="14"/>
    <n v="90"/>
    <n v="80"/>
    <n v="99"/>
    <n v="65"/>
    <n v="35"/>
    <n v="38"/>
    <n v="59"/>
    <n v="16"/>
    <n v="12"/>
    <n v="25"/>
    <n v="22"/>
    <n v="25"/>
    <n v="65"/>
    <n v="35"/>
    <n v="38"/>
    <n v="23"/>
    <n v="15"/>
    <n v="25"/>
    <n v="22"/>
    <n v="25"/>
    <n v="65"/>
    <n v="35"/>
    <n v="79"/>
    <n v="98"/>
    <n v="60"/>
    <n v="29"/>
    <n v="23"/>
    <n v="18"/>
    <n v="92"/>
    <x v="1"/>
    <x v="1"/>
    <m/>
    <m/>
    <m/>
  </r>
  <r>
    <s v="L16"/>
    <s v="AHMAD FIRDAUS"/>
    <x v="0"/>
    <x v="4"/>
    <x v="2"/>
    <x v="5"/>
    <s v="STREP 3"/>
    <x v="0"/>
    <n v="44"/>
    <n v="56"/>
    <n v="18"/>
    <n v="14"/>
    <n v="96"/>
    <n v="90"/>
    <n v="106"/>
    <n v="70"/>
    <n v="37"/>
    <n v="44"/>
    <n v="57"/>
    <n v="18"/>
    <n v="13"/>
    <n v="27"/>
    <n v="25"/>
    <n v="27"/>
    <n v="70"/>
    <n v="37"/>
    <n v="44"/>
    <n v="23"/>
    <n v="17"/>
    <n v="27"/>
    <n v="25"/>
    <n v="27"/>
    <n v="70"/>
    <n v="37"/>
    <n v="85"/>
    <n v="103"/>
    <n v="66"/>
    <n v="33"/>
    <n v="24"/>
    <s v="19"/>
    <n v="94"/>
    <x v="1"/>
    <x v="1"/>
    <m/>
    <m/>
    <m/>
  </r>
  <r>
    <s v="L17a"/>
    <s v="BRAPOS SUHARTO"/>
    <x v="0"/>
    <x v="0"/>
    <x v="2"/>
    <x v="1"/>
    <s v="STREP 3"/>
    <x v="0"/>
    <n v="46"/>
    <n v="62"/>
    <n v="18"/>
    <n v="14"/>
    <n v="100"/>
    <n v="96"/>
    <n v="108"/>
    <n v="72"/>
    <n v="41"/>
    <n v="46"/>
    <n v="63"/>
    <n v="16"/>
    <n v="12"/>
    <n v="27"/>
    <n v="25"/>
    <n v="27"/>
    <n v="72"/>
    <n v="41"/>
    <n v="46"/>
    <n v="26"/>
    <n v="16"/>
    <n v="27"/>
    <n v="25"/>
    <n v="27"/>
    <n v="72"/>
    <n v="41"/>
    <n v="85"/>
    <n v="106"/>
    <n v="63"/>
    <n v="31"/>
    <n v="23"/>
    <n v="18"/>
    <n v="107"/>
    <x v="2"/>
    <x v="2"/>
    <m/>
    <m/>
    <m/>
  </r>
  <r>
    <s v="L18a"/>
    <s v="HAGI OSEANIKO J"/>
    <x v="0"/>
    <x v="5"/>
    <x v="1"/>
    <x v="0"/>
    <s v="STREP 3"/>
    <x v="0"/>
    <n v="48"/>
    <n v="64"/>
    <n v="20"/>
    <n v="15"/>
    <n v="110"/>
    <n v="106"/>
    <n v="122"/>
    <n v="74"/>
    <n v="43"/>
    <n v="48"/>
    <n v="65"/>
    <n v="19"/>
    <n v="13"/>
    <n v="29"/>
    <n v="28"/>
    <n v="29"/>
    <n v="74"/>
    <n v="43"/>
    <n v="48"/>
    <n v="27"/>
    <n v="19"/>
    <n v="29"/>
    <n v="28"/>
    <n v="29"/>
    <n v="74"/>
    <n v="43"/>
    <n v="99"/>
    <n v="120"/>
    <n v="76"/>
    <n v="37"/>
    <n v="27"/>
    <n v="22"/>
    <n v="100"/>
    <x v="2"/>
    <x v="2"/>
    <m/>
    <m/>
    <m/>
  </r>
  <r>
    <s v="L19a"/>
    <s v="RAMAH TAMAH G"/>
    <x v="0"/>
    <x v="4"/>
    <x v="0"/>
    <x v="0"/>
    <s v="STREP 3"/>
    <x v="0"/>
    <n v="47"/>
    <n v="63"/>
    <n v="19"/>
    <n v="14"/>
    <n v="102"/>
    <n v="96"/>
    <n v="106"/>
    <n v="74"/>
    <n v="42"/>
    <n v="47"/>
    <n v="64"/>
    <n v="18"/>
    <n v="13"/>
    <n v="28"/>
    <n v="27"/>
    <n v="28"/>
    <n v="74"/>
    <n v="42"/>
    <n v="47"/>
    <n v="26"/>
    <n v="18"/>
    <n v="28"/>
    <n v="27"/>
    <n v="28"/>
    <n v="74"/>
    <n v="42"/>
    <n v="91"/>
    <n v="104"/>
    <n v="73"/>
    <n v="33"/>
    <n v="24"/>
    <n v="19"/>
    <n v="98"/>
    <x v="2"/>
    <x v="2"/>
    <m/>
    <m/>
    <m/>
  </r>
  <r>
    <s v="L20a"/>
    <s v="CHRISTIANTO REIN"/>
    <x v="0"/>
    <x v="1"/>
    <x v="4"/>
    <x v="3"/>
    <s v="STREP 3"/>
    <x v="0"/>
    <n v="52"/>
    <n v="62"/>
    <n v="22"/>
    <n v="16"/>
    <n v="134"/>
    <n v="130"/>
    <n v="140"/>
    <n v="79"/>
    <n v="47"/>
    <n v="52"/>
    <n v="63"/>
    <n v="21"/>
    <n v="13"/>
    <n v="36"/>
    <n v="36"/>
    <n v="36"/>
    <n v="79"/>
    <n v="47"/>
    <n v="52"/>
    <n v="27"/>
    <n v="21"/>
    <n v="36"/>
    <n v="36"/>
    <n v="36"/>
    <n v="79"/>
    <n v="47"/>
    <n v="120"/>
    <n v="132"/>
    <n v="78"/>
    <n v="41"/>
    <n v="30"/>
    <n v="23"/>
    <n v="98"/>
    <x v="2"/>
    <x v="2"/>
    <m/>
    <m/>
    <m/>
  </r>
  <r>
    <s v="L21a"/>
    <s v="DAVID AJIE"/>
    <x v="0"/>
    <x v="0"/>
    <x v="3"/>
    <x v="3"/>
    <s v="STREP 3"/>
    <x v="0"/>
    <n v="46"/>
    <n v="62"/>
    <n v="18"/>
    <n v="14"/>
    <n v="102"/>
    <n v="94"/>
    <n v="110"/>
    <n v="75"/>
    <n v="41"/>
    <n v="46"/>
    <n v="63"/>
    <n v="16"/>
    <n v="12"/>
    <n v="27"/>
    <n v="24"/>
    <n v="27"/>
    <n v="75"/>
    <n v="41"/>
    <n v="46"/>
    <n v="26"/>
    <n v="16"/>
    <n v="27"/>
    <n v="24"/>
    <n v="27"/>
    <n v="75"/>
    <n v="41"/>
    <n v="84"/>
    <n v="108"/>
    <n v="70"/>
    <n v="32"/>
    <n v="26"/>
    <n v="19"/>
    <n v="102"/>
    <x v="2"/>
    <x v="2"/>
    <m/>
    <m/>
    <m/>
  </r>
  <r>
    <s v="L22a"/>
    <s v="AGUS ANSORI"/>
    <x v="0"/>
    <x v="1"/>
    <x v="1"/>
    <x v="4"/>
    <s v="STREP 3"/>
    <x v="0"/>
    <n v="54"/>
    <n v="59"/>
    <n v="23"/>
    <n v="16"/>
    <n v="135"/>
    <n v="135"/>
    <n v="145"/>
    <n v="74"/>
    <n v="46"/>
    <n v="54"/>
    <n v="60"/>
    <n v="22"/>
    <n v="13.5"/>
    <n v="37"/>
    <n v="37"/>
    <n v="37"/>
    <n v="74"/>
    <n v="46"/>
    <n v="54"/>
    <n v="28"/>
    <n v="22"/>
    <n v="37"/>
    <n v="37"/>
    <n v="37"/>
    <n v="74"/>
    <n v="46"/>
    <n v="126"/>
    <n v="140"/>
    <n v="80"/>
    <n v="43"/>
    <n v="32"/>
    <n v="24"/>
    <n v="96"/>
    <x v="2"/>
    <x v="2"/>
    <m/>
    <m/>
    <m/>
  </r>
  <r>
    <s v="L23a"/>
    <s v="EKO ARYO W"/>
    <x v="0"/>
    <x v="2"/>
    <x v="2"/>
    <x v="6"/>
    <s v="STREP 3"/>
    <x v="0"/>
    <n v="42"/>
    <n v="58"/>
    <n v="18"/>
    <n v="14"/>
    <n v="92"/>
    <n v="86"/>
    <n v="96"/>
    <n v="66"/>
    <n v="39"/>
    <n v="42"/>
    <n v="59"/>
    <n v="16"/>
    <n v="12"/>
    <n v="26"/>
    <n v="24"/>
    <n v="26"/>
    <n v="66"/>
    <n v="39"/>
    <n v="42"/>
    <n v="23"/>
    <n v="16"/>
    <n v="26"/>
    <n v="24"/>
    <n v="26"/>
    <n v="66"/>
    <n v="39"/>
    <n v="77"/>
    <n v="94"/>
    <n v="63"/>
    <n v="30"/>
    <n v="23"/>
    <n v="18"/>
    <n v="90"/>
    <x v="2"/>
    <x v="2"/>
    <m/>
    <m/>
    <m/>
  </r>
  <r>
    <s v="L24a"/>
    <s v="MOHAMMAD ARIFIN"/>
    <x v="0"/>
    <x v="3"/>
    <x v="3"/>
    <x v="3"/>
    <s v="STREP 3"/>
    <x v="0"/>
    <n v="48"/>
    <n v="62"/>
    <n v="20"/>
    <n v="15"/>
    <n v="110"/>
    <n v="106"/>
    <n v="116"/>
    <n v="74"/>
    <n v="43"/>
    <n v="48"/>
    <n v="63"/>
    <n v="19"/>
    <n v="13"/>
    <n v="29"/>
    <n v="28"/>
    <n v="29"/>
    <n v="74"/>
    <n v="43"/>
    <n v="48"/>
    <n v="27"/>
    <n v="19"/>
    <n v="29"/>
    <n v="28"/>
    <n v="29"/>
    <n v="74"/>
    <n v="43"/>
    <n v="99"/>
    <n v="114"/>
    <n v="70"/>
    <n v="36"/>
    <n v="26"/>
    <n v="21"/>
    <n v="106"/>
    <x v="2"/>
    <x v="2"/>
    <m/>
    <m/>
    <m/>
  </r>
  <r>
    <s v="L25a"/>
    <s v="ONY PASLAH"/>
    <x v="0"/>
    <x v="0"/>
    <x v="3"/>
    <x v="0"/>
    <s v="STREP 3"/>
    <x v="0"/>
    <n v="49"/>
    <n v="59"/>
    <n v="21"/>
    <n v="15"/>
    <n v="118"/>
    <n v="118"/>
    <n v="128"/>
    <n v="76"/>
    <n v="43"/>
    <n v="49"/>
    <n v="60"/>
    <n v="20"/>
    <n v="13"/>
    <n v="30"/>
    <n v="30"/>
    <n v="30"/>
    <n v="76"/>
    <n v="43"/>
    <n v="49"/>
    <n v="26"/>
    <n v="20"/>
    <n v="30"/>
    <n v="30"/>
    <n v="30"/>
    <n v="76"/>
    <n v="43"/>
    <n v="105"/>
    <n v="125"/>
    <n v="71"/>
    <n v="38"/>
    <n v="28"/>
    <n v="22"/>
    <n v="96"/>
    <x v="2"/>
    <x v="2"/>
    <m/>
    <m/>
    <m/>
  </r>
  <r>
    <s v="L26a"/>
    <s v="BAMBANG BP"/>
    <x v="0"/>
    <x v="4"/>
    <x v="0"/>
    <x v="3"/>
    <s v="STREP 3"/>
    <x v="0"/>
    <n v="45"/>
    <n v="59"/>
    <n v="19"/>
    <n v="14"/>
    <n v="102"/>
    <n v="98"/>
    <n v="108"/>
    <n v="66"/>
    <n v="40"/>
    <n v="45"/>
    <n v="60"/>
    <n v="18"/>
    <n v="13"/>
    <n v="28"/>
    <n v="27"/>
    <n v="28"/>
    <n v="66"/>
    <n v="40"/>
    <n v="45"/>
    <n v="24"/>
    <n v="18"/>
    <n v="28"/>
    <n v="27"/>
    <n v="28"/>
    <n v="66"/>
    <n v="40"/>
    <n v="92"/>
    <n v="106"/>
    <n v="67"/>
    <n v="34"/>
    <n v="26"/>
    <n v="19"/>
    <n v="92"/>
    <x v="2"/>
    <x v="2"/>
    <m/>
    <m/>
    <m/>
  </r>
  <r>
    <s v="L27a"/>
    <s v="YOGA DWI ABDILLAH"/>
    <x v="0"/>
    <x v="4"/>
    <x v="0"/>
    <x v="3"/>
    <s v="STREP 3"/>
    <x v="0"/>
    <n v="48"/>
    <n v="53"/>
    <n v="20"/>
    <n v="15"/>
    <n v="108"/>
    <n v="104"/>
    <n v="114"/>
    <n v="66"/>
    <n v="42"/>
    <n v="48"/>
    <n v="54"/>
    <n v="18"/>
    <n v="13"/>
    <n v="29"/>
    <n v="27"/>
    <n v="29"/>
    <n v="66"/>
    <n v="42"/>
    <n v="48"/>
    <n v="23"/>
    <n v="18"/>
    <n v="29"/>
    <n v="27"/>
    <n v="29"/>
    <n v="66"/>
    <n v="42"/>
    <n v="97"/>
    <n v="110"/>
    <n v="68"/>
    <n v="34"/>
    <n v="26"/>
    <n v="19"/>
    <n v="86"/>
    <x v="2"/>
    <x v="2"/>
    <m/>
    <m/>
    <m/>
  </r>
  <r>
    <s v="L28"/>
    <s v="WAHYU EKO"/>
    <x v="0"/>
    <x v="2"/>
    <x v="0"/>
    <x v="3"/>
    <s v="STREP 3"/>
    <x v="0"/>
    <n v="45"/>
    <n v="58"/>
    <n v="19"/>
    <n v="14"/>
    <n v="98"/>
    <n v="96"/>
    <n v="104"/>
    <n v="68"/>
    <n v="42"/>
    <n v="45"/>
    <n v="59"/>
    <n v="17"/>
    <n v="13"/>
    <n v="28"/>
    <n v="27"/>
    <n v="28"/>
    <n v="68"/>
    <n v="42"/>
    <n v="45"/>
    <n v="25"/>
    <n v="17"/>
    <n v="28"/>
    <n v="27"/>
    <n v="28"/>
    <n v="68"/>
    <n v="42"/>
    <n v="91"/>
    <n v="102"/>
    <n v="66"/>
    <n v="34"/>
    <n v="24"/>
    <n v="19"/>
    <n v="97"/>
    <x v="2"/>
    <x v="2"/>
    <m/>
    <m/>
    <m/>
  </r>
  <r>
    <s v="L29a"/>
    <s v="DEDI APRIYADI"/>
    <x v="0"/>
    <x v="0"/>
    <x v="0"/>
    <x v="2"/>
    <s v="STREP 3"/>
    <x v="0"/>
    <n v="46"/>
    <m/>
    <n v="19"/>
    <n v="14"/>
    <n v="104"/>
    <n v="96"/>
    <n v="112"/>
    <n v="70"/>
    <n v="42"/>
    <n v="46"/>
    <m/>
    <n v="17"/>
    <n v="13"/>
    <n v="28"/>
    <n v="26"/>
    <n v="28"/>
    <n v="70"/>
    <n v="42"/>
    <n v="46"/>
    <n v="24"/>
    <n v="17"/>
    <n v="28"/>
    <n v="26"/>
    <n v="28"/>
    <n v="70"/>
    <n v="42"/>
    <n v="90"/>
    <n v="110"/>
    <n v="70"/>
    <n v="34"/>
    <n v="24"/>
    <n v="19"/>
    <n v="97"/>
    <x v="2"/>
    <x v="2"/>
    <m/>
    <m/>
    <m/>
  </r>
  <r>
    <s v="L30a"/>
    <s v="KETUT AGUS KARYAWAN"/>
    <x v="0"/>
    <x v="0"/>
    <x v="0"/>
    <x v="3"/>
    <s v="STREP 3"/>
    <x v="0"/>
    <n v="44"/>
    <n v="59"/>
    <n v="19"/>
    <n v="14"/>
    <n v="100"/>
    <n v="95"/>
    <n v="106"/>
    <n v="72"/>
    <n v="39"/>
    <n v="44"/>
    <n v="60"/>
    <n v="17"/>
    <n v="13"/>
    <n v="27"/>
    <n v="25"/>
    <n v="27"/>
    <n v="72"/>
    <n v="39"/>
    <n v="44"/>
    <n v="26"/>
    <n v="17"/>
    <n v="27"/>
    <n v="25"/>
    <n v="27"/>
    <n v="72"/>
    <n v="39"/>
    <n v="85"/>
    <n v="104"/>
    <n v="66"/>
    <n v="32"/>
    <n v="24"/>
    <n v="19"/>
    <n v="103"/>
    <x v="2"/>
    <x v="2"/>
    <m/>
    <m/>
    <m/>
  </r>
  <r>
    <s v="L31a"/>
    <s v="WAHYU TEGUH P"/>
    <x v="0"/>
    <x v="2"/>
    <x v="0"/>
    <x v="3"/>
    <s v="STREP 3"/>
    <x v="0"/>
    <n v="45"/>
    <n v="60"/>
    <n v="18"/>
    <n v="14"/>
    <n v="100"/>
    <n v="96"/>
    <n v="106"/>
    <n v="74"/>
    <n v="39"/>
    <n v="45"/>
    <n v="61"/>
    <n v="16"/>
    <n v="12"/>
    <n v="27"/>
    <n v="25"/>
    <n v="27"/>
    <n v="74"/>
    <n v="39"/>
    <n v="45"/>
    <n v="27"/>
    <n v="16"/>
    <n v="27"/>
    <n v="25"/>
    <n v="27"/>
    <n v="74"/>
    <n v="39"/>
    <n v="84"/>
    <n v="104"/>
    <n v="68"/>
    <n v="32"/>
    <n v="24"/>
    <n v="19"/>
    <n v="104"/>
    <x v="2"/>
    <x v="2"/>
    <m/>
    <m/>
    <m/>
  </r>
  <r>
    <s v="L32"/>
    <s v="ARYO PAMUNGKAS"/>
    <x v="0"/>
    <x v="0"/>
    <x v="3"/>
    <x v="2"/>
    <s v="STREP 3"/>
    <x v="0"/>
    <n v="47"/>
    <n v="60"/>
    <n v="20"/>
    <n v="14"/>
    <n v="108"/>
    <n v="100"/>
    <n v="110"/>
    <n v="72"/>
    <n v="42"/>
    <n v="47"/>
    <n v="61"/>
    <n v="18"/>
    <n v="13"/>
    <n v="29"/>
    <n v="27"/>
    <n v="29"/>
    <n v="72"/>
    <n v="42"/>
    <n v="47"/>
    <n v="26"/>
    <n v="18"/>
    <n v="29"/>
    <n v="27"/>
    <n v="29"/>
    <n v="72"/>
    <n v="42"/>
    <n v="95"/>
    <n v="108"/>
    <n v="70"/>
    <n v="35"/>
    <n v="26"/>
    <n v="20"/>
    <n v="102"/>
    <x v="2"/>
    <x v="2"/>
    <m/>
    <m/>
    <m/>
  </r>
  <r>
    <s v="L33"/>
    <s v="BOBI SETIAWAN"/>
    <x v="0"/>
    <x v="1"/>
    <x v="0"/>
    <x v="0"/>
    <s v="STREP 3"/>
    <x v="0"/>
    <n v="44"/>
    <n v="64"/>
    <n v="18"/>
    <n v="14"/>
    <n v="100"/>
    <n v="92"/>
    <n v="104"/>
    <n v="76"/>
    <n v="39"/>
    <n v="44"/>
    <n v="65"/>
    <n v="16"/>
    <n v="12"/>
    <n v="27"/>
    <n v="25"/>
    <n v="27"/>
    <n v="76"/>
    <n v="39"/>
    <n v="44"/>
    <n v="27"/>
    <n v="16"/>
    <n v="27"/>
    <n v="25"/>
    <n v="27"/>
    <n v="76"/>
    <n v="39"/>
    <n v="85"/>
    <n v="102"/>
    <n v="66"/>
    <n v="32"/>
    <n v="24"/>
    <n v="19"/>
    <n v="105"/>
    <x v="2"/>
    <x v="2"/>
    <m/>
    <m/>
    <m/>
  </r>
  <r>
    <s v="L34"/>
    <s v="LUTVI NURAZIZ"/>
    <x v="0"/>
    <x v="4"/>
    <x v="0"/>
    <x v="2"/>
    <s v="STREP 3"/>
    <x v="0"/>
    <n v="44"/>
    <n v="56"/>
    <n v="18"/>
    <n v="14"/>
    <n v="94"/>
    <n v="88"/>
    <n v="108"/>
    <n v="68"/>
    <n v="38"/>
    <n v="44"/>
    <n v="57"/>
    <n v="16"/>
    <n v="12"/>
    <n v="27"/>
    <n v="25"/>
    <n v="27"/>
    <n v="68"/>
    <n v="38"/>
    <n v="44"/>
    <n v="23"/>
    <n v="16"/>
    <n v="27"/>
    <n v="25"/>
    <n v="27"/>
    <n v="68"/>
    <n v="38"/>
    <n v="84"/>
    <n v="104"/>
    <n v="67"/>
    <n v="34"/>
    <n v="25"/>
    <n v="20"/>
    <n v="95"/>
    <x v="2"/>
    <x v="2"/>
    <m/>
    <m/>
    <m/>
  </r>
  <r>
    <s v="L35a"/>
    <s v="SLAMET SUGIHARTO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x v="3"/>
    <x v="3"/>
    <m/>
    <m/>
    <m/>
  </r>
  <r>
    <s v="L36a"/>
    <s v="RINO BAHARUDIN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x v="3"/>
    <x v="3"/>
    <m/>
    <m/>
    <m/>
  </r>
  <r>
    <s v="L37a"/>
    <s v="YUDA ISWAHYUDI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x v="3"/>
    <x v="3"/>
    <m/>
    <m/>
    <m/>
  </r>
  <r>
    <s v="L38a"/>
    <s v="BINTANG ADI YUDHA"/>
    <x v="0"/>
    <x v="6"/>
    <x v="2"/>
    <x v="7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x v="3"/>
    <x v="3"/>
    <m/>
    <m/>
    <m/>
  </r>
  <r>
    <s v="L39a"/>
    <s v="NASRRUM"/>
    <x v="0"/>
    <x v="0"/>
    <x v="0"/>
    <x v="1"/>
    <s v="STREP 3"/>
    <x v="0"/>
    <n v="45"/>
    <n v="59"/>
    <n v="19"/>
    <n v="14"/>
    <n v="106"/>
    <n v="92"/>
    <n v="108"/>
    <n v="72"/>
    <n v="42"/>
    <n v="45"/>
    <n v="60"/>
    <n v="18"/>
    <n v="13"/>
    <n v="28"/>
    <n v="27"/>
    <n v="28"/>
    <n v="72"/>
    <n v="42"/>
    <n v="45"/>
    <n v="25"/>
    <n v="18"/>
    <n v="28"/>
    <n v="27"/>
    <n v="28"/>
    <n v="72"/>
    <n v="42"/>
    <n v="94"/>
    <n v="106"/>
    <n v="68"/>
    <n v="34"/>
    <n v="24"/>
    <n v="20"/>
    <n v="98"/>
    <x v="3"/>
    <x v="3"/>
    <m/>
    <m/>
    <m/>
  </r>
  <r>
    <s v="L41"/>
    <s v="SIGIT OKTAVIANA S."/>
    <x v="0"/>
    <x v="0"/>
    <x v="0"/>
    <x v="4"/>
    <s v="STREP 3"/>
    <x v="0"/>
    <n v="48"/>
    <n v="60"/>
    <n v="20"/>
    <n v="15"/>
    <n v="110"/>
    <n v="102"/>
    <n v="112"/>
    <n v="68"/>
    <n v="42"/>
    <n v="48"/>
    <n v="61"/>
    <n v="19"/>
    <n v="13"/>
    <n v="29"/>
    <n v="27"/>
    <n v="29"/>
    <n v="68"/>
    <n v="42"/>
    <n v="48"/>
    <n v="24"/>
    <n v="19"/>
    <n v="29"/>
    <n v="27"/>
    <n v="29"/>
    <n v="68"/>
    <n v="42"/>
    <n v="95"/>
    <n v="110"/>
    <n v="70"/>
    <n v="35"/>
    <n v="25"/>
    <n v="20"/>
    <n v="86"/>
    <x v="3"/>
    <x v="4"/>
    <m/>
    <m/>
    <m/>
  </r>
  <r>
    <s v="L42a"/>
    <s v="R. AHMAD SHADIQ"/>
    <x v="0"/>
    <x v="7"/>
    <x v="0"/>
    <x v="5"/>
    <s v="STREP 3"/>
    <x v="0"/>
    <n v="45"/>
    <n v="57"/>
    <n v="18"/>
    <n v="14"/>
    <n v="102"/>
    <n v="96"/>
    <n v="106"/>
    <n v="70"/>
    <n v="40"/>
    <n v="45"/>
    <n v="58"/>
    <n v="16"/>
    <n v="12"/>
    <n v="27"/>
    <n v="25"/>
    <n v="27"/>
    <n v="70"/>
    <n v="40"/>
    <n v="45"/>
    <n v="24"/>
    <n v="16"/>
    <n v="27"/>
    <n v="25"/>
    <n v="27"/>
    <n v="70"/>
    <n v="40"/>
    <n v="85"/>
    <n v="104"/>
    <n v="67"/>
    <n v="33"/>
    <n v="24"/>
    <n v="19"/>
    <n v="93"/>
    <x v="3"/>
    <x v="5"/>
    <m/>
    <m/>
    <m/>
  </r>
  <r>
    <s v="L43a"/>
    <s v="HARIONO"/>
    <x v="0"/>
    <x v="2"/>
    <x v="0"/>
    <x v="2"/>
    <s v="STREP 3"/>
    <x v="0"/>
    <n v="44"/>
    <n v="58"/>
    <n v="18"/>
    <n v="14"/>
    <n v="96"/>
    <n v="90"/>
    <n v="105"/>
    <n v="74"/>
    <n v="40"/>
    <n v="44"/>
    <n v="59"/>
    <n v="16"/>
    <n v="12"/>
    <n v="26"/>
    <n v="24"/>
    <n v="26"/>
    <n v="74"/>
    <n v="40"/>
    <n v="44"/>
    <n v="25"/>
    <n v="16"/>
    <n v="26"/>
    <n v="24"/>
    <n v="26"/>
    <n v="74"/>
    <n v="40"/>
    <n v="79"/>
    <n v="102"/>
    <n v="68"/>
    <n v="31"/>
    <n v="24"/>
    <n v="22"/>
    <n v="99"/>
    <x v="3"/>
    <x v="5"/>
    <m/>
    <m/>
    <m/>
  </r>
  <r>
    <s v="L44a"/>
    <s v="HENDIK MASNURUL H"/>
    <x v="0"/>
    <x v="2"/>
    <x v="0"/>
    <x v="1"/>
    <s v="STREP 3"/>
    <x v="0"/>
    <n v="47"/>
    <n v="60"/>
    <n v="19"/>
    <n v="14"/>
    <n v="106"/>
    <n v="102"/>
    <n v="110"/>
    <n v="71"/>
    <n v="42"/>
    <n v="47"/>
    <n v="61"/>
    <n v="18"/>
    <n v="13"/>
    <n v="29"/>
    <n v="27"/>
    <n v="29"/>
    <n v="71"/>
    <n v="42"/>
    <n v="47"/>
    <n v="26"/>
    <n v="18"/>
    <n v="29"/>
    <n v="27"/>
    <n v="29"/>
    <n v="71"/>
    <n v="42"/>
    <n v="95"/>
    <n v="108"/>
    <n v="66"/>
    <n v="35"/>
    <n v="25"/>
    <n v="20"/>
    <n v="94"/>
    <x v="3"/>
    <x v="5"/>
    <m/>
    <m/>
    <m/>
  </r>
  <r>
    <s v="L45a"/>
    <s v="ERI SUSANTO"/>
    <x v="0"/>
    <x v="0"/>
    <x v="3"/>
    <x v="2"/>
    <s v="STREP 3"/>
    <x v="0"/>
    <n v="47"/>
    <n v="60"/>
    <n v="20"/>
    <n v="15"/>
    <n v="115"/>
    <n v="109"/>
    <n v="118"/>
    <n v="70"/>
    <n v="43"/>
    <n v="47"/>
    <n v="61"/>
    <n v="19"/>
    <n v="13"/>
    <n v="30"/>
    <n v="28"/>
    <n v="30"/>
    <n v="70"/>
    <n v="43"/>
    <n v="47"/>
    <n v="27"/>
    <n v="19"/>
    <n v="30"/>
    <n v="28"/>
    <n v="30"/>
    <n v="70"/>
    <n v="43"/>
    <n v="100"/>
    <n v="116"/>
    <n v="74"/>
    <n v="36"/>
    <n v="26"/>
    <n v="22"/>
    <n v="97"/>
    <x v="3"/>
    <x v="5"/>
    <m/>
    <m/>
    <m/>
  </r>
  <r>
    <s v="L46a"/>
    <s v="FAISAL TOUWE"/>
    <x v="0"/>
    <x v="4"/>
    <x v="3"/>
    <x v="2"/>
    <s v="STREP 3"/>
    <x v="0"/>
    <n v="46"/>
    <n v="58"/>
    <n v="19"/>
    <n v="14"/>
    <n v="105"/>
    <n v="102"/>
    <n v="110"/>
    <n v="70"/>
    <n v="42"/>
    <n v="46"/>
    <n v="59"/>
    <n v="17"/>
    <n v="13"/>
    <n v="29"/>
    <n v="27"/>
    <n v="29"/>
    <n v="70"/>
    <n v="42"/>
    <n v="46"/>
    <n v="24"/>
    <n v="17"/>
    <n v="29"/>
    <n v="27"/>
    <n v="29"/>
    <n v="70"/>
    <n v="43"/>
    <n v="94"/>
    <n v="106"/>
    <n v="68"/>
    <n v="35"/>
    <n v="25"/>
    <n v="22"/>
    <n v="93"/>
    <x v="3"/>
    <x v="5"/>
    <m/>
    <m/>
    <m/>
  </r>
  <r>
    <s v="L47a"/>
    <s v="UNTUNG PRASTIYONO"/>
    <x v="0"/>
    <x v="0"/>
    <x v="0"/>
    <x v="2"/>
    <s v="STREP 3"/>
    <x v="0"/>
    <n v="43"/>
    <n v="61"/>
    <n v="18"/>
    <n v="14"/>
    <n v="100"/>
    <n v="94"/>
    <n v="108"/>
    <n v="74"/>
    <n v="40"/>
    <n v="43"/>
    <n v="62"/>
    <n v="16"/>
    <n v="12"/>
    <n v="27"/>
    <n v="24"/>
    <n v="27"/>
    <n v="74"/>
    <n v="40"/>
    <n v="43"/>
    <n v="26"/>
    <n v="16"/>
    <n v="27"/>
    <n v="24"/>
    <n v="27"/>
    <n v="74"/>
    <n v="40"/>
    <n v="84"/>
    <n v="106"/>
    <n v="70"/>
    <n v="33"/>
    <n v="24"/>
    <n v="20"/>
    <n v="100"/>
    <x v="3"/>
    <x v="5"/>
    <m/>
    <m/>
    <m/>
  </r>
  <r>
    <s v="L48a"/>
    <s v="DHANU NADHIF M"/>
    <x v="0"/>
    <x v="5"/>
    <x v="1"/>
    <x v="0"/>
    <s v="STREP 3"/>
    <x v="0"/>
    <n v="46"/>
    <n v="65"/>
    <n v="19"/>
    <n v="14"/>
    <n v="108"/>
    <n v="108"/>
    <n v="124"/>
    <n v="78"/>
    <n v="42"/>
    <n v="46"/>
    <n v="66"/>
    <n v="18"/>
    <n v="13"/>
    <n v="30"/>
    <n v="29"/>
    <n v="30"/>
    <n v="78"/>
    <n v="42"/>
    <n v="46"/>
    <n v="29"/>
    <n v="18"/>
    <n v="30"/>
    <n v="29"/>
    <n v="30"/>
    <n v="78"/>
    <n v="42"/>
    <n v="100"/>
    <n v="121"/>
    <n v="73"/>
    <n v="37"/>
    <n v="28"/>
    <n v="22"/>
    <n v="102"/>
    <x v="3"/>
    <x v="5"/>
    <m/>
    <m/>
    <m/>
  </r>
  <r>
    <s v="L49a"/>
    <s v="M. FAHRIL RIZA"/>
    <x v="0"/>
    <x v="2"/>
    <x v="0"/>
    <x v="0"/>
    <s v="STREP 3"/>
    <x v="0"/>
    <n v="45"/>
    <n v="59"/>
    <n v="18"/>
    <n v="14"/>
    <n v="100"/>
    <n v="94"/>
    <n v="102"/>
    <n v="70"/>
    <n v="40"/>
    <n v="45"/>
    <n v="60"/>
    <n v="16"/>
    <n v="12"/>
    <n v="27"/>
    <n v="24"/>
    <n v="27"/>
    <n v="70"/>
    <n v="40"/>
    <n v="45"/>
    <n v="24"/>
    <n v="16"/>
    <n v="27"/>
    <n v="24"/>
    <n v="27"/>
    <n v="70"/>
    <n v="40"/>
    <n v="84"/>
    <n v="100"/>
    <n v="66"/>
    <n v="32"/>
    <n v="24"/>
    <n v="14"/>
    <n v="99"/>
    <x v="3"/>
    <x v="5"/>
    <m/>
    <m/>
    <m/>
  </r>
  <r>
    <s v="L50a"/>
    <s v="YOVI EKA LESMANA"/>
    <x v="0"/>
    <x v="2"/>
    <x v="2"/>
    <x v="6"/>
    <s v="STREP 3"/>
    <x v="0"/>
    <n v="46"/>
    <n v="54"/>
    <n v="19"/>
    <n v="14"/>
    <n v="98"/>
    <n v="93"/>
    <n v="102"/>
    <n v="68"/>
    <n v="40"/>
    <n v="46"/>
    <n v="55"/>
    <n v="17"/>
    <n v="13"/>
    <n v="27"/>
    <n v="25"/>
    <n v="27"/>
    <n v="68"/>
    <n v="40"/>
    <n v="46"/>
    <n v="23"/>
    <n v="17"/>
    <n v="25"/>
    <n v="27"/>
    <n v="25"/>
    <n v="68"/>
    <n v="40"/>
    <n v="85"/>
    <n v="100"/>
    <n v="66"/>
    <n v="33"/>
    <n v="24"/>
    <n v="19"/>
    <n v="92"/>
    <x v="4"/>
    <x v="6"/>
    <m/>
    <m/>
    <m/>
  </r>
  <r>
    <s v="L51a"/>
    <s v="ISNAN ANIS C."/>
    <x v="0"/>
    <x v="4"/>
    <x v="0"/>
    <x v="0"/>
    <s v="STREP 3"/>
    <x v="0"/>
    <n v="48"/>
    <n v="63"/>
    <n v="20"/>
    <n v="15"/>
    <n v="115"/>
    <n v="108"/>
    <n v="123"/>
    <n v="74"/>
    <n v="43"/>
    <n v="48"/>
    <n v="64"/>
    <n v="19"/>
    <n v="13"/>
    <n v="30"/>
    <n v="28"/>
    <n v="30"/>
    <n v="74"/>
    <n v="43"/>
    <n v="48"/>
    <n v="27"/>
    <n v="19"/>
    <n v="30"/>
    <n v="28"/>
    <n v="30"/>
    <n v="74"/>
    <n v="43"/>
    <n v="99"/>
    <n v="120"/>
    <n v="74"/>
    <n v="36"/>
    <n v="26"/>
    <n v="21"/>
    <n v="100"/>
    <x v="4"/>
    <x v="6"/>
    <m/>
    <m/>
    <m/>
  </r>
  <r>
    <s v="L52a"/>
    <s v="ALDO ANJASMARA"/>
    <x v="0"/>
    <x v="1"/>
    <x v="0"/>
    <x v="0"/>
    <s v="STREP 3"/>
    <x v="0"/>
    <n v="43"/>
    <n v="59"/>
    <n v="20"/>
    <n v="16"/>
    <n v="112"/>
    <n v="107"/>
    <n v="115"/>
    <n v="73"/>
    <n v="42"/>
    <n v="43"/>
    <n v="60"/>
    <n v="18"/>
    <n v="14"/>
    <n v="31"/>
    <n v="30"/>
    <n v="31"/>
    <n v="73"/>
    <n v="42"/>
    <n v="43"/>
    <n v="25"/>
    <n v="20"/>
    <n v="31"/>
    <n v="30"/>
    <n v="31"/>
    <n v="73"/>
    <n v="42"/>
    <n v="94"/>
    <n v="110"/>
    <n v="71"/>
    <n v="35"/>
    <n v="26"/>
    <n v="20"/>
    <n v="94"/>
    <x v="3"/>
    <x v="6"/>
    <m/>
    <m/>
    <m/>
  </r>
  <r>
    <s v="L53a"/>
    <s v="ANIS RUDIYAR"/>
    <x v="0"/>
    <x v="3"/>
    <x v="3"/>
    <x v="0"/>
    <s v="STREP 3"/>
    <x v="0"/>
    <n v="44"/>
    <n v="63"/>
    <n v="19"/>
    <n v="15"/>
    <n v="110"/>
    <n v="101"/>
    <n v="121"/>
    <n v="74"/>
    <n v="41"/>
    <n v="44"/>
    <n v="64"/>
    <n v="17"/>
    <n v="13"/>
    <n v="28"/>
    <n v="27"/>
    <n v="28"/>
    <n v="74"/>
    <n v="41"/>
    <n v="44"/>
    <n v="26"/>
    <n v="19"/>
    <n v="28"/>
    <n v="27"/>
    <n v="28"/>
    <n v="74"/>
    <n v="41"/>
    <n v="95"/>
    <n v="115"/>
    <n v="71"/>
    <n v="36"/>
    <n v="26"/>
    <n v="20"/>
    <n v="95"/>
    <x v="3"/>
    <x v="6"/>
    <m/>
    <m/>
    <m/>
  </r>
  <r>
    <s v="M1"/>
    <s v="AGUS JUNAIDI"/>
    <x v="1"/>
    <x v="1"/>
    <x v="3"/>
    <x v="0"/>
    <s v="STREP 3"/>
    <x v="0"/>
    <n v="46"/>
    <n v="63"/>
    <n v="20"/>
    <n v="15"/>
    <n v="110"/>
    <n v="101"/>
    <n v="115"/>
    <n v="73"/>
    <n v="42"/>
    <n v="46"/>
    <n v="64"/>
    <n v="18"/>
    <n v="13"/>
    <n v="30"/>
    <n v="29"/>
    <n v="30"/>
    <n v="72"/>
    <n v="42"/>
    <n v="46"/>
    <n v="27"/>
    <n v="20"/>
    <n v="30"/>
    <n v="29"/>
    <n v="30"/>
    <n v="72"/>
    <n v="42"/>
    <n v="93"/>
    <n v="112"/>
    <n v="70"/>
    <n v="35"/>
    <n v="25"/>
    <n v="20"/>
    <n v="94"/>
    <x v="0"/>
    <x v="0"/>
    <m/>
    <m/>
    <m/>
  </r>
  <r>
    <s v="M2"/>
    <s v="HAMSAH"/>
    <x v="1"/>
    <x v="0"/>
    <x v="3"/>
    <x v="6"/>
    <s v="STREP 3"/>
    <x v="0"/>
    <n v="42"/>
    <n v="61"/>
    <n v="18"/>
    <n v="14"/>
    <n v="93"/>
    <n v="82"/>
    <n v="102"/>
    <n v="72"/>
    <n v="37"/>
    <n v="42"/>
    <n v="62"/>
    <n v="16"/>
    <n v="12"/>
    <n v="27"/>
    <n v="26"/>
    <n v="27"/>
    <n v="72"/>
    <n v="37"/>
    <n v="42"/>
    <n v="25"/>
    <n v="18"/>
    <n v="27"/>
    <n v="26"/>
    <n v="27"/>
    <n v="72"/>
    <n v="37"/>
    <n v="72"/>
    <n v="93"/>
    <n v="64"/>
    <n v="31"/>
    <n v="23"/>
    <n v="19"/>
    <n v="100"/>
    <x v="0"/>
    <x v="0"/>
    <m/>
    <m/>
    <m/>
  </r>
  <r>
    <s v="M3"/>
    <s v="ISMAIL GHOZALI"/>
    <x v="1"/>
    <x v="4"/>
    <x v="0"/>
    <x v="3"/>
    <s v="STREP 3"/>
    <x v="0"/>
    <n v="44"/>
    <n v="59"/>
    <n v="19"/>
    <n v="15"/>
    <n v="105"/>
    <n v="101"/>
    <n v="117"/>
    <n v="73"/>
    <n v="43"/>
    <n v="44"/>
    <n v="60"/>
    <n v="17"/>
    <n v="13"/>
    <n v="30"/>
    <n v="29"/>
    <n v="30"/>
    <n v="73"/>
    <n v="43"/>
    <n v="44"/>
    <n v="24"/>
    <n v="19"/>
    <n v="30"/>
    <n v="29"/>
    <n v="30"/>
    <n v="73"/>
    <n v="43"/>
    <n v="90"/>
    <n v="113"/>
    <n v="71"/>
    <n v="35"/>
    <n v="25"/>
    <n v="19"/>
    <n v="94"/>
    <x v="0"/>
    <x v="0"/>
    <m/>
    <m/>
    <m/>
  </r>
  <r>
    <s v="M4"/>
    <s v="VIKY HENDRA"/>
    <x v="1"/>
    <x v="7"/>
    <x v="3"/>
    <x v="0"/>
    <s v="STREP 3"/>
    <x v="0"/>
    <n v="47"/>
    <n v="59"/>
    <n v="21"/>
    <n v="16"/>
    <n v="122"/>
    <n v="112"/>
    <n v="120"/>
    <n v="71"/>
    <n v="44"/>
    <n v="47"/>
    <n v="60"/>
    <n v="19"/>
    <n v="14"/>
    <n v="31"/>
    <n v="30"/>
    <n v="31"/>
    <n v="70"/>
    <n v="44"/>
    <n v="47"/>
    <n v="22"/>
    <n v="21"/>
    <n v="31"/>
    <n v="30"/>
    <n v="31"/>
    <n v="70"/>
    <n v="44"/>
    <n v="99"/>
    <n v="114"/>
    <n v="72"/>
    <n v="36"/>
    <n v="26"/>
    <n v="20"/>
    <n v="90"/>
    <x v="0"/>
    <x v="0"/>
    <m/>
    <m/>
    <m/>
  </r>
  <r>
    <s v="M5"/>
    <s v="DERY NASRULLAH"/>
    <x v="1"/>
    <x v="4"/>
    <x v="0"/>
    <x v="3"/>
    <s v="STREP 3"/>
    <x v="0"/>
    <n v="44"/>
    <n v="60"/>
    <n v="20"/>
    <n v="15"/>
    <n v="113"/>
    <n v="108"/>
    <n v="116"/>
    <n v="74"/>
    <n v="42"/>
    <n v="44"/>
    <n v="61"/>
    <n v="18"/>
    <n v="13"/>
    <n v="30"/>
    <n v="29"/>
    <n v="30"/>
    <n v="73"/>
    <n v="42"/>
    <n v="44"/>
    <n v="25"/>
    <n v="19"/>
    <n v="30"/>
    <n v="29"/>
    <n v="30"/>
    <n v="73"/>
    <n v="42"/>
    <n v="96"/>
    <n v="113"/>
    <n v="70"/>
    <n v="35"/>
    <n v="25"/>
    <n v="20"/>
    <n v="94"/>
    <x v="0"/>
    <x v="0"/>
    <m/>
    <m/>
    <m/>
  </r>
  <r>
    <s v="M6"/>
    <s v="ACHMAD ARWANI"/>
    <x v="1"/>
    <x v="0"/>
    <x v="0"/>
    <x v="0"/>
    <s v="STREP 3"/>
    <x v="0"/>
    <n v="44"/>
    <n v="63"/>
    <n v="18"/>
    <n v="15"/>
    <n v="103"/>
    <n v="99"/>
    <n v="113"/>
    <n v="74"/>
    <n v="40"/>
    <n v="44"/>
    <n v="64"/>
    <n v="16"/>
    <n v="13"/>
    <n v="29"/>
    <n v="28"/>
    <n v="29"/>
    <n v="74"/>
    <n v="40"/>
    <n v="44"/>
    <n v="26"/>
    <n v="19"/>
    <n v="29"/>
    <n v="28"/>
    <n v="29"/>
    <n v="74"/>
    <n v="40"/>
    <n v="89"/>
    <n v="109"/>
    <n v="68"/>
    <n v="34"/>
    <n v="25"/>
    <n v="19"/>
    <n v="94"/>
    <x v="0"/>
    <x v="0"/>
    <m/>
    <m/>
    <m/>
  </r>
  <r>
    <s v="M7"/>
    <s v="ARIP HIDAYATULLAH"/>
    <x v="1"/>
    <x v="4"/>
    <x v="2"/>
    <x v="5"/>
    <s v="STREP 3"/>
    <x v="0"/>
    <n v="42"/>
    <n v="61"/>
    <n v="18"/>
    <n v="14"/>
    <n v="95"/>
    <n v="88"/>
    <n v="107"/>
    <n v="73"/>
    <n v="38"/>
    <n v="42"/>
    <n v="62"/>
    <n v="16"/>
    <n v="12"/>
    <n v="26"/>
    <n v="25"/>
    <n v="26"/>
    <n v="73"/>
    <n v="38"/>
    <n v="42"/>
    <n v="25"/>
    <n v="18"/>
    <n v="26"/>
    <n v="25"/>
    <n v="26"/>
    <n v="73"/>
    <n v="38"/>
    <n v="81"/>
    <n v="104"/>
    <n v="64"/>
    <n v="32"/>
    <n v="24"/>
    <n v="19"/>
    <n v="93"/>
    <x v="0"/>
    <x v="0"/>
    <m/>
    <m/>
    <m/>
  </r>
  <r>
    <s v="M8"/>
    <s v="EDO PUTRA P"/>
    <x v="1"/>
    <x v="1"/>
    <x v="3"/>
    <x v="0"/>
    <s v="STREP 3"/>
    <x v="0"/>
    <n v="47"/>
    <n v="59"/>
    <n v="21"/>
    <n v="16"/>
    <n v="120"/>
    <n v="118"/>
    <n v="130"/>
    <n v="73"/>
    <n v="43"/>
    <n v="47"/>
    <n v="60"/>
    <n v="19"/>
    <n v="14"/>
    <n v="32"/>
    <n v="31"/>
    <n v="32"/>
    <n v="72"/>
    <n v="43"/>
    <n v="47"/>
    <n v="26"/>
    <n v="21"/>
    <n v="32"/>
    <n v="31"/>
    <n v="32"/>
    <n v="72"/>
    <n v="43"/>
    <n v="110"/>
    <n v="128"/>
    <n v="75"/>
    <n v="41"/>
    <n v="28"/>
    <n v="21"/>
    <n v="95"/>
    <x v="0"/>
    <x v="0"/>
    <m/>
    <m/>
    <m/>
  </r>
  <r>
    <s v="M9"/>
    <s v="FERDINAND SIMAMORA"/>
    <x v="1"/>
    <x v="8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x v="0"/>
    <x v="0"/>
    <m/>
    <m/>
    <m/>
  </r>
  <r>
    <s v="M10a"/>
    <s v="ROY"/>
    <x v="1"/>
    <x v="1"/>
    <x v="1"/>
    <x v="0"/>
    <s v="STREP 3"/>
    <x v="0"/>
    <n v="51"/>
    <n v="68"/>
    <n v="21"/>
    <n v="16"/>
    <n v="125"/>
    <n v="125"/>
    <n v="131"/>
    <n v="81"/>
    <n v="45"/>
    <n v="51"/>
    <n v="69"/>
    <n v="19"/>
    <n v="14"/>
    <n v="33"/>
    <n v="32"/>
    <n v="33"/>
    <n v="80"/>
    <n v="45"/>
    <n v="51"/>
    <n v="29"/>
    <n v="21"/>
    <n v="33"/>
    <n v="32"/>
    <n v="33"/>
    <n v="80"/>
    <n v="45"/>
    <n v="110"/>
    <n v="128"/>
    <n v="76"/>
    <n v="38"/>
    <n v="27"/>
    <n v="20"/>
    <n v="107"/>
    <x v="0"/>
    <x v="0"/>
    <m/>
    <m/>
    <m/>
  </r>
  <r>
    <s v="M11"/>
    <s v="SULIANTO"/>
    <x v="1"/>
    <x v="4"/>
    <x v="0"/>
    <x v="2"/>
    <s v="STREP 3"/>
    <x v="0"/>
    <n v="42"/>
    <n v="62"/>
    <n v="19"/>
    <n v="15"/>
    <n v="105"/>
    <n v="103"/>
    <n v="113"/>
    <n v="71"/>
    <n v="42"/>
    <n v="42"/>
    <n v="63"/>
    <n v="17"/>
    <n v="13"/>
    <n v="29"/>
    <n v="28"/>
    <n v="29"/>
    <n v="71"/>
    <n v="42"/>
    <n v="42"/>
    <n v="25"/>
    <n v="19"/>
    <n v="29"/>
    <n v="28"/>
    <n v="29"/>
    <n v="71"/>
    <n v="42"/>
    <n v="90"/>
    <n v="109"/>
    <n v="69"/>
    <n v="34"/>
    <n v="25"/>
    <n v="20"/>
    <n v="92"/>
    <x v="0"/>
    <x v="0"/>
    <m/>
    <m/>
    <m/>
  </r>
  <r>
    <s v="M12a"/>
    <s v="BAGUS SAPUTRO"/>
    <x v="1"/>
    <x v="3"/>
    <x v="1"/>
    <x v="3"/>
    <s v="STREP 3"/>
    <x v="0"/>
    <n v="53"/>
    <n v="62"/>
    <n v="23"/>
    <n v="16"/>
    <n v="135"/>
    <n v="135"/>
    <n v="135"/>
    <n v="80"/>
    <n v="47"/>
    <n v="53"/>
    <n v="63"/>
    <n v="22"/>
    <n v="13.5"/>
    <n v="35"/>
    <n v="35"/>
    <n v="35"/>
    <n v="80"/>
    <n v="47"/>
    <n v="53"/>
    <n v="27"/>
    <n v="22"/>
    <n v="35"/>
    <n v="35"/>
    <n v="35"/>
    <n v="80"/>
    <n v="47"/>
    <n v="118"/>
    <n v="130"/>
    <n v="78"/>
    <n v="40"/>
    <n v="29"/>
    <n v="23"/>
    <n v="100"/>
    <x v="1"/>
    <x v="1"/>
    <m/>
    <m/>
    <m/>
  </r>
  <r>
    <s v="M13a"/>
    <s v="GOTA ARIZKY"/>
    <x v="1"/>
    <x v="1"/>
    <x v="3"/>
    <x v="3"/>
    <s v="STREP 3"/>
    <x v="0"/>
    <n v="48"/>
    <n v="65"/>
    <n v="20"/>
    <n v="15"/>
    <n v="110"/>
    <n v="106"/>
    <n v="116"/>
    <n v="77"/>
    <n v="43"/>
    <n v="48"/>
    <n v="66"/>
    <n v="19"/>
    <n v="13"/>
    <n v="29"/>
    <n v="27"/>
    <n v="29"/>
    <n v="77"/>
    <n v="43"/>
    <n v="48"/>
    <n v="27"/>
    <n v="19"/>
    <n v="29"/>
    <n v="27"/>
    <n v="29"/>
    <n v="77"/>
    <n v="43"/>
    <n v="99"/>
    <n v="114"/>
    <n v="70"/>
    <n v="36"/>
    <n v="27"/>
    <n v="20"/>
    <n v="103"/>
    <x v="1"/>
    <x v="1"/>
    <m/>
    <m/>
    <m/>
  </r>
  <r>
    <s v="M14a"/>
    <s v="SUWITO"/>
    <x v="1"/>
    <x v="4"/>
    <x v="0"/>
    <x v="0"/>
    <s v="STREP 3"/>
    <x v="0"/>
    <n v="46"/>
    <n v="60"/>
    <n v="19"/>
    <n v="14"/>
    <n v="98"/>
    <n v="95"/>
    <n v="104"/>
    <n v="70"/>
    <n v="41"/>
    <n v="46"/>
    <n v="61"/>
    <n v="17"/>
    <n v="13"/>
    <n v="27"/>
    <n v="25"/>
    <n v="27"/>
    <n v="70"/>
    <n v="41"/>
    <n v="46"/>
    <n v="25"/>
    <n v="17"/>
    <n v="27"/>
    <n v="25"/>
    <n v="27"/>
    <n v="70"/>
    <n v="41"/>
    <n v="85"/>
    <n v="100"/>
    <n v="66"/>
    <n v="32"/>
    <n v="24"/>
    <n v="19"/>
    <n v="98"/>
    <x v="1"/>
    <x v="1"/>
    <m/>
    <m/>
    <m/>
  </r>
  <r>
    <s v="M15a"/>
    <s v="MOH AJIB"/>
    <x v="1"/>
    <x v="0"/>
    <x v="2"/>
    <x v="0"/>
    <s v="STREP 3"/>
    <x v="0"/>
    <n v="45"/>
    <n v="64"/>
    <n v="19"/>
    <n v="14"/>
    <n v="102"/>
    <n v="96"/>
    <n v="110"/>
    <n v="71"/>
    <n v="42"/>
    <n v="45"/>
    <n v="65"/>
    <n v="18"/>
    <n v="13"/>
    <n v="28"/>
    <n v="27"/>
    <n v="28"/>
    <n v="71"/>
    <n v="42"/>
    <n v="45"/>
    <n v="26"/>
    <n v="18"/>
    <n v="28"/>
    <n v="27"/>
    <n v="28"/>
    <n v="71"/>
    <n v="42"/>
    <n v="90"/>
    <n v="107"/>
    <n v="66"/>
    <n v="34"/>
    <n v="24"/>
    <n v="19"/>
    <n v="100"/>
    <x v="1"/>
    <x v="1"/>
    <m/>
    <m/>
    <m/>
  </r>
  <r>
    <s v="M16a"/>
    <s v="YUDI DWI PURNOMO"/>
    <x v="1"/>
    <x v="1"/>
    <x v="3"/>
    <x v="4"/>
    <s v="STREP 3"/>
    <x v="0"/>
    <n v="48"/>
    <n v="58"/>
    <n v="20"/>
    <n v="15"/>
    <n v="110"/>
    <n v="110"/>
    <n v="115"/>
    <n v="74"/>
    <n v="43"/>
    <n v="48"/>
    <n v="59"/>
    <n v="18"/>
    <n v="13"/>
    <n v="29"/>
    <n v="27"/>
    <n v="29"/>
    <n v="74"/>
    <n v="43"/>
    <n v="48"/>
    <n v="26"/>
    <n v="18"/>
    <n v="29"/>
    <n v="27"/>
    <n v="29"/>
    <n v="74"/>
    <n v="43"/>
    <n v="98"/>
    <n v="110"/>
    <n v="74"/>
    <n v="36"/>
    <n v="26"/>
    <n v="20"/>
    <n v="103"/>
    <x v="1"/>
    <x v="1"/>
    <m/>
    <m/>
    <m/>
  </r>
  <r>
    <s v="M17a"/>
    <s v="DERA WIDAGDO"/>
    <x v="1"/>
    <x v="1"/>
    <x v="3"/>
    <x v="3"/>
    <s v="STREP 3"/>
    <x v="0"/>
    <n v="47"/>
    <n v="63"/>
    <n v="20"/>
    <n v="15"/>
    <n v="106"/>
    <n v="96"/>
    <n v="110"/>
    <n v="73"/>
    <n v="44"/>
    <n v="47"/>
    <n v="64"/>
    <n v="19"/>
    <n v="14"/>
    <n v="28"/>
    <n v="27"/>
    <n v="28"/>
    <n v="73"/>
    <n v="44"/>
    <n v="47"/>
    <n v="26"/>
    <n v="19"/>
    <n v="28"/>
    <n v="27"/>
    <n v="28"/>
    <n v="73"/>
    <n v="44"/>
    <n v="92"/>
    <n v="109"/>
    <n v="66"/>
    <n v="34"/>
    <n v="24"/>
    <n v="20"/>
    <n v="98"/>
    <x v="1"/>
    <x v="1"/>
    <m/>
    <m/>
    <m/>
  </r>
  <r>
    <s v="M18a"/>
    <s v="ANTOK ADITYA"/>
    <x v="1"/>
    <x v="3"/>
    <x v="0"/>
    <x v="0"/>
    <s v="STREP 3"/>
    <x v="0"/>
    <n v="46"/>
    <n v="63"/>
    <n v="19"/>
    <n v="14"/>
    <n v="102"/>
    <n v="97"/>
    <n v="110"/>
    <n v="77"/>
    <n v="42"/>
    <n v="46"/>
    <n v="64"/>
    <n v="18"/>
    <n v="13"/>
    <n v="29"/>
    <n v="27"/>
    <n v="29"/>
    <n v="77"/>
    <n v="42"/>
    <n v="46"/>
    <n v="27"/>
    <n v="18"/>
    <n v="29"/>
    <n v="27"/>
    <n v="29"/>
    <n v="77"/>
    <n v="42"/>
    <n v="94"/>
    <n v="108"/>
    <n v="66"/>
    <n v="35"/>
    <n v="26"/>
    <n v="22"/>
    <n v="104"/>
    <x v="1"/>
    <x v="1"/>
    <m/>
    <m/>
    <m/>
  </r>
  <r>
    <s v="M19a"/>
    <s v="FEBRIAL BAYU S"/>
    <x v="1"/>
    <x v="3"/>
    <x v="3"/>
    <x v="0"/>
    <s v="STREP 3"/>
    <x v="0"/>
    <n v="47"/>
    <n v="63"/>
    <n v="21"/>
    <n v="15"/>
    <n v="118"/>
    <n v="115"/>
    <n v="120"/>
    <n v="75"/>
    <n v="44"/>
    <n v="47"/>
    <n v="64"/>
    <n v="20"/>
    <n v="13"/>
    <n v="30"/>
    <n v="28"/>
    <n v="30"/>
    <n v="75"/>
    <n v="44"/>
    <n v="47"/>
    <n v="28"/>
    <n v="20"/>
    <n v="30"/>
    <n v="28"/>
    <n v="30"/>
    <n v="75"/>
    <n v="44"/>
    <n v="104"/>
    <n v="116"/>
    <n v="76"/>
    <n v="37"/>
    <n v="27"/>
    <n v="21"/>
    <n v="103"/>
    <x v="1"/>
    <x v="1"/>
    <m/>
    <m/>
    <m/>
  </r>
  <r>
    <s v="M20a"/>
    <s v="ACHMAD LATIFUDDIN"/>
    <x v="1"/>
    <x v="0"/>
    <x v="3"/>
    <x v="1"/>
    <s v="STREP 3"/>
    <x v="0"/>
    <n v="48"/>
    <n v="60"/>
    <n v="20"/>
    <n v="15"/>
    <n v="108"/>
    <n v="102"/>
    <n v="114"/>
    <n v="75"/>
    <n v="43"/>
    <n v="48"/>
    <n v="61"/>
    <n v="19"/>
    <n v="13"/>
    <n v="29"/>
    <n v="27"/>
    <n v="29"/>
    <n v="75"/>
    <n v="43"/>
    <n v="48"/>
    <n v="26"/>
    <n v="19"/>
    <n v="29"/>
    <n v="27"/>
    <n v="29"/>
    <n v="75"/>
    <n v="43"/>
    <n v="98"/>
    <n v="110"/>
    <n v="69"/>
    <n v="36"/>
    <n v="27"/>
    <n v="22"/>
    <n v="100"/>
    <x v="1"/>
    <x v="1"/>
    <m/>
    <m/>
    <m/>
  </r>
  <r>
    <s v="M21a"/>
    <s v="SONATA WIBIKSANA"/>
    <x v="1"/>
    <x v="4"/>
    <x v="0"/>
    <x v="0"/>
    <s v="STREP 3"/>
    <x v="0"/>
    <n v="45"/>
    <n v="63"/>
    <n v="18"/>
    <n v="14"/>
    <n v="98"/>
    <n v="94"/>
    <n v="103"/>
    <n v="72"/>
    <n v="40"/>
    <n v="45"/>
    <n v="64"/>
    <n v="16"/>
    <n v="12"/>
    <n v="27"/>
    <n v="25"/>
    <n v="27"/>
    <n v="72"/>
    <n v="40"/>
    <n v="45"/>
    <n v="26"/>
    <n v="16"/>
    <n v="27"/>
    <n v="25"/>
    <n v="27"/>
    <n v="72"/>
    <n v="40"/>
    <n v="84"/>
    <n v="100"/>
    <n v="66"/>
    <n v="32"/>
    <n v="24"/>
    <n v="19"/>
    <n v="104"/>
    <x v="1"/>
    <x v="1"/>
    <m/>
    <m/>
    <m/>
  </r>
  <r>
    <s v="M22a"/>
    <s v="GURUH ANDRIYANTO"/>
    <x v="1"/>
    <x v="4"/>
    <x v="0"/>
    <x v="0"/>
    <s v="STREP 3"/>
    <x v="0"/>
    <n v="45"/>
    <n v="60"/>
    <n v="19"/>
    <n v="14"/>
    <n v="104"/>
    <n v="99"/>
    <n v="108"/>
    <n v="68"/>
    <n v="42"/>
    <n v="45"/>
    <n v="61"/>
    <n v="18"/>
    <n v="13"/>
    <n v="29"/>
    <n v="27"/>
    <n v="29"/>
    <n v="68"/>
    <n v="42"/>
    <n v="45"/>
    <n v="25"/>
    <n v="18"/>
    <n v="29"/>
    <n v="27"/>
    <n v="29"/>
    <n v="68"/>
    <n v="42"/>
    <n v="93"/>
    <n v="106"/>
    <n v="68"/>
    <n v="34"/>
    <n v="25"/>
    <n v="19"/>
    <n v="96"/>
    <x v="1"/>
    <x v="1"/>
    <m/>
    <m/>
    <m/>
  </r>
  <r>
    <s v="M23"/>
    <s v="HENDRIK SUDIARTO"/>
    <x v="1"/>
    <x v="2"/>
    <x v="0"/>
    <x v="5"/>
    <s v="STREP 3"/>
    <x v="0"/>
    <n v="47"/>
    <m/>
    <n v="20"/>
    <n v="15"/>
    <n v="110"/>
    <n v="106"/>
    <n v="118"/>
    <n v="73"/>
    <n v="42"/>
    <n v="47"/>
    <m/>
    <n v="18"/>
    <n v="13"/>
    <n v="29"/>
    <n v="27"/>
    <n v="29"/>
    <n v="73"/>
    <n v="42"/>
    <n v="47"/>
    <n v="25"/>
    <n v="18"/>
    <n v="29"/>
    <n v="27"/>
    <n v="29"/>
    <n v="73"/>
    <n v="42"/>
    <n v="96"/>
    <n v="116"/>
    <n v="68"/>
    <n v="35"/>
    <n v="25"/>
    <n v="19"/>
    <n v="98"/>
    <x v="1"/>
    <x v="1"/>
    <m/>
    <m/>
    <m/>
  </r>
  <r>
    <s v="M24a"/>
    <s v="YUDHA SALI PERMADI"/>
    <x v="1"/>
    <x v="2"/>
    <x v="0"/>
    <x v="4"/>
    <s v="STREP 3"/>
    <x v="0"/>
    <n v="47"/>
    <n v="58"/>
    <n v="19"/>
    <n v="14"/>
    <n v="106"/>
    <n v="102"/>
    <n v="110"/>
    <n v="68"/>
    <n v="42"/>
    <n v="47"/>
    <n v="59"/>
    <n v="18"/>
    <n v="13"/>
    <n v="29"/>
    <n v="27"/>
    <n v="29"/>
    <n v="68"/>
    <n v="42"/>
    <n v="47"/>
    <n v="24"/>
    <n v="18"/>
    <n v="29"/>
    <n v="27"/>
    <n v="29"/>
    <n v="68"/>
    <n v="42"/>
    <n v="94"/>
    <n v="108"/>
    <n v="68"/>
    <n v="35"/>
    <n v="26"/>
    <n v="19"/>
    <n v="94"/>
    <x v="1"/>
    <x v="1"/>
    <m/>
    <m/>
    <m/>
  </r>
  <r>
    <s v="M25"/>
    <s v="AGUNG SUKOWIBOWO"/>
    <x v="1"/>
    <x v="5"/>
    <x v="1"/>
    <x v="1"/>
    <s v="STREP 3"/>
    <x v="0"/>
    <n v="50"/>
    <n v="64"/>
    <n v="20"/>
    <n v="15"/>
    <n v="114"/>
    <n v="112"/>
    <n v="126"/>
    <n v="73"/>
    <n v="44"/>
    <n v="50"/>
    <n v="65"/>
    <n v="19"/>
    <n v="13"/>
    <n v="30"/>
    <n v="28"/>
    <n v="30"/>
    <n v="73"/>
    <n v="44"/>
    <n v="50"/>
    <n v="26"/>
    <n v="19"/>
    <n v="30"/>
    <n v="28"/>
    <n v="30"/>
    <n v="73"/>
    <n v="44"/>
    <n v="102"/>
    <n v="122"/>
    <n v="77"/>
    <n v="38"/>
    <n v="27"/>
    <n v="23"/>
    <n v="101"/>
    <x v="2"/>
    <x v="2"/>
    <m/>
    <m/>
    <m/>
  </r>
  <r>
    <s v="M26"/>
    <s v="JHONSON SIHOMBING"/>
    <x v="1"/>
    <x v="4"/>
    <x v="0"/>
    <x v="0"/>
    <s v="STREP 3"/>
    <x v="0"/>
    <n v="47"/>
    <n v="60"/>
    <n v="20"/>
    <n v="15"/>
    <n v="108"/>
    <n v="104"/>
    <n v="114"/>
    <n v="70"/>
    <n v="42"/>
    <n v="47"/>
    <n v="61"/>
    <n v="19"/>
    <n v="13"/>
    <n v="29"/>
    <n v="27"/>
    <n v="29"/>
    <n v="70"/>
    <n v="42"/>
    <n v="47"/>
    <n v="26"/>
    <n v="19"/>
    <n v="29"/>
    <n v="27"/>
    <n v="29"/>
    <n v="70"/>
    <n v="42"/>
    <n v="97"/>
    <n v="112"/>
    <n v="68"/>
    <n v="35"/>
    <n v="25"/>
    <n v="19"/>
    <n v="100"/>
    <x v="2"/>
    <x v="2"/>
    <m/>
    <m/>
    <m/>
  </r>
  <r>
    <s v="M27"/>
    <s v="SYAHRIYANTO"/>
    <x v="1"/>
    <x v="7"/>
    <x v="2"/>
    <x v="6"/>
    <s v="STREP 3"/>
    <x v="0"/>
    <n v="43"/>
    <n v="56"/>
    <n v="18"/>
    <n v="14"/>
    <n v="98"/>
    <n v="93"/>
    <n v="101"/>
    <n v="69"/>
    <n v="40"/>
    <n v="43"/>
    <n v="57"/>
    <n v="17"/>
    <n v="12"/>
    <n v="26"/>
    <n v="25"/>
    <n v="26"/>
    <n v="69"/>
    <n v="40"/>
    <n v="43"/>
    <n v="23"/>
    <n v="17"/>
    <n v="26.5"/>
    <n v="25"/>
    <n v="26.5"/>
    <n v="69"/>
    <n v="40"/>
    <n v="85"/>
    <n v="98"/>
    <n v="65"/>
    <n v="32"/>
    <n v="25"/>
    <n v="20"/>
    <n v="90"/>
    <x v="2"/>
    <x v="2"/>
    <m/>
    <m/>
    <m/>
  </r>
  <r>
    <s v="M28a"/>
    <s v="M. ZULFIKAR"/>
    <x v="1"/>
    <x v="4"/>
    <x v="0"/>
    <x v="2"/>
    <s v="STREP 3"/>
    <x v="0"/>
    <n v="46"/>
    <n v="58"/>
    <n v="19"/>
    <n v="14"/>
    <n v="103"/>
    <n v="96"/>
    <n v="110"/>
    <n v="68"/>
    <n v="42"/>
    <n v="46"/>
    <n v="59"/>
    <n v="17"/>
    <n v="13"/>
    <n v="28"/>
    <n v="26"/>
    <n v="28"/>
    <n v="68"/>
    <n v="42"/>
    <n v="46"/>
    <n v="24"/>
    <n v="17"/>
    <n v="28"/>
    <n v="26"/>
    <n v="28"/>
    <n v="68"/>
    <n v="42"/>
    <n v="89"/>
    <n v="107"/>
    <n v="64"/>
    <n v="33"/>
    <n v="24"/>
    <n v="20"/>
    <n v="95"/>
    <x v="2"/>
    <x v="2"/>
    <m/>
    <m/>
    <m/>
  </r>
  <r>
    <s v="M29a"/>
    <s v="TRI NUGROHO"/>
    <x v="1"/>
    <x v="2"/>
    <x v="2"/>
    <x v="0"/>
    <s v="STREP 3"/>
    <x v="0"/>
    <n v="45"/>
    <n v="58"/>
    <n v="19"/>
    <n v="14"/>
    <n v="104"/>
    <n v="96"/>
    <n v="108"/>
    <n v="68"/>
    <n v="42"/>
    <n v="45"/>
    <n v="59"/>
    <n v="17"/>
    <n v="13"/>
    <n v="28"/>
    <n v="27"/>
    <n v="28"/>
    <n v="68"/>
    <n v="42"/>
    <n v="45"/>
    <n v="24"/>
    <n v="17"/>
    <n v="28"/>
    <n v="27"/>
    <n v="28"/>
    <n v="68"/>
    <n v="42"/>
    <n v="90"/>
    <n v="107"/>
    <n v="68"/>
    <n v="34"/>
    <n v="25"/>
    <n v="19"/>
    <n v="95"/>
    <x v="2"/>
    <x v="2"/>
    <m/>
    <m/>
    <m/>
  </r>
  <r>
    <s v="M30a"/>
    <s v="DHIDY S RANDA L"/>
    <x v="1"/>
    <x v="1"/>
    <x v="3"/>
    <x v="3"/>
    <s v="STREP 3"/>
    <x v="0"/>
    <n v="47"/>
    <n v="63"/>
    <n v="19"/>
    <n v="14"/>
    <n v="106"/>
    <n v="96"/>
    <n v="110"/>
    <n v="73"/>
    <n v="42"/>
    <n v="47"/>
    <n v="64"/>
    <n v="18"/>
    <n v="13"/>
    <n v="28"/>
    <n v="27"/>
    <n v="28"/>
    <n v="73"/>
    <n v="42"/>
    <n v="47"/>
    <n v="26"/>
    <n v="18"/>
    <n v="28"/>
    <n v="27"/>
    <n v="28"/>
    <n v="73"/>
    <n v="42"/>
    <n v="92"/>
    <n v="107"/>
    <n v="66"/>
    <n v="34"/>
    <n v="24"/>
    <n v="20"/>
    <n v="98"/>
    <x v="2"/>
    <x v="2"/>
    <m/>
    <m/>
    <m/>
  </r>
  <r>
    <s v="M31a"/>
    <s v="ALI FACHMI"/>
    <x v="1"/>
    <x v="4"/>
    <x v="2"/>
    <x v="3"/>
    <s v="STREP 3"/>
    <x v="0"/>
    <n v="44"/>
    <n v="61"/>
    <n v="19"/>
    <n v="14"/>
    <n v="100"/>
    <n v="94"/>
    <n v="104"/>
    <n v="72"/>
    <n v="41"/>
    <n v="44"/>
    <n v="62"/>
    <n v="16"/>
    <n v="12"/>
    <n v="27"/>
    <n v="25"/>
    <n v="27"/>
    <n v="72"/>
    <n v="41"/>
    <n v="44"/>
    <n v="26"/>
    <n v="16"/>
    <n v="27"/>
    <n v="25"/>
    <n v="27"/>
    <n v="72"/>
    <n v="41"/>
    <n v="85"/>
    <n v="103"/>
    <n v="66"/>
    <n v="32"/>
    <n v="24"/>
    <n v="20"/>
    <n v="104"/>
    <x v="2"/>
    <x v="2"/>
    <m/>
    <m/>
    <m/>
  </r>
  <r>
    <s v="M32a"/>
    <s v="YERIA NATANEL S"/>
    <x v="1"/>
    <x v="4"/>
    <x v="2"/>
    <x v="6"/>
    <s v="STREP 3"/>
    <x v="0"/>
    <n v="44"/>
    <n v="58"/>
    <n v="18"/>
    <n v="14"/>
    <n v="99"/>
    <n v="89"/>
    <n v="105"/>
    <n v="70"/>
    <n v="40"/>
    <n v="44"/>
    <n v="59"/>
    <n v="16"/>
    <n v="12"/>
    <n v="27"/>
    <n v="24"/>
    <n v="27"/>
    <n v="70"/>
    <n v="40"/>
    <n v="44"/>
    <n v="25"/>
    <n v="16"/>
    <n v="27"/>
    <n v="24"/>
    <n v="27"/>
    <n v="70"/>
    <n v="40"/>
    <n v="82"/>
    <n v="101"/>
    <n v="64"/>
    <n v="31"/>
    <n v="24"/>
    <n v="19"/>
    <n v="95"/>
    <x v="2"/>
    <x v="2"/>
    <m/>
    <m/>
    <m/>
  </r>
  <r>
    <s v="M33a"/>
    <s v="ERICK ERLANGGA"/>
    <x v="1"/>
    <x v="0"/>
    <x v="0"/>
    <x v="6"/>
    <s v="STREP 3"/>
    <x v="0"/>
    <n v="44"/>
    <n v="60"/>
    <n v="18"/>
    <n v="14"/>
    <n v="94"/>
    <n v="88"/>
    <n v="102"/>
    <n v="70"/>
    <n v="39"/>
    <n v="44"/>
    <n v="61"/>
    <n v="16"/>
    <n v="12"/>
    <n v="27"/>
    <n v="24"/>
    <n v="27"/>
    <n v="70"/>
    <n v="39"/>
    <n v="44"/>
    <n v="26"/>
    <n v="16"/>
    <n v="27"/>
    <n v="24"/>
    <n v="27"/>
    <n v="70"/>
    <n v="39"/>
    <n v="82"/>
    <n v="98"/>
    <n v="62"/>
    <n v="31"/>
    <n v="24"/>
    <n v="20"/>
    <n v="102"/>
    <x v="2"/>
    <x v="2"/>
    <m/>
    <m/>
    <m/>
  </r>
  <r>
    <s v="M34a"/>
    <s v="ISMU ARIYANTO"/>
    <x v="1"/>
    <x v="7"/>
    <x v="3"/>
    <x v="0"/>
    <s v="STREP 3"/>
    <x v="0"/>
    <n v="48"/>
    <n v="54"/>
    <n v="20"/>
    <n v="15"/>
    <n v="110"/>
    <n v="106"/>
    <n v="114"/>
    <n v="67"/>
    <n v="42"/>
    <n v="48"/>
    <n v="55"/>
    <n v="19"/>
    <n v="13"/>
    <n v="29"/>
    <n v="27"/>
    <n v="29"/>
    <n v="67"/>
    <n v="42"/>
    <n v="48"/>
    <n v="23"/>
    <n v="19"/>
    <n v="29"/>
    <n v="27"/>
    <n v="29"/>
    <n v="67"/>
    <n v="42"/>
    <n v="98"/>
    <n v="110"/>
    <n v="70"/>
    <n v="36"/>
    <n v="26"/>
    <n v="21"/>
    <n v="86"/>
    <x v="2"/>
    <x v="2"/>
    <m/>
    <m/>
    <m/>
  </r>
  <r>
    <s v="M35a"/>
    <s v="M. TAUFIQURROHMAN"/>
    <x v="1"/>
    <x v="4"/>
    <x v="0"/>
    <x v="8"/>
    <s v="STREP 3"/>
    <x v="0"/>
    <n v="45"/>
    <n v="60"/>
    <n v="18"/>
    <n v="14"/>
    <n v="98"/>
    <n v="92"/>
    <n v="102"/>
    <n v="72"/>
    <n v="39"/>
    <n v="45"/>
    <n v="61"/>
    <n v="16"/>
    <n v="12"/>
    <n v="26"/>
    <n v="24"/>
    <n v="26"/>
    <n v="72"/>
    <n v="39"/>
    <n v="45"/>
    <n v="25"/>
    <n v="16"/>
    <n v="26"/>
    <n v="24"/>
    <n v="26"/>
    <n v="72"/>
    <n v="39"/>
    <n v="80"/>
    <n v="102"/>
    <n v="64"/>
    <n v="29"/>
    <n v="23"/>
    <n v="18"/>
    <n v="96"/>
    <x v="2"/>
    <x v="2"/>
    <m/>
    <m/>
    <m/>
  </r>
  <r>
    <s v="M36a"/>
    <s v="FRENGKY CHANDRA"/>
    <x v="1"/>
    <x v="2"/>
    <x v="2"/>
    <x v="2"/>
    <s v="STREP 3"/>
    <x v="0"/>
    <n v="46"/>
    <n v="53"/>
    <n v="18"/>
    <n v="14"/>
    <n v="100"/>
    <n v="88"/>
    <n v="104"/>
    <n v="67"/>
    <n v="40"/>
    <n v="46"/>
    <n v="54"/>
    <n v="17"/>
    <n v="13"/>
    <n v="27"/>
    <n v="24"/>
    <n v="27"/>
    <n v="67"/>
    <n v="40"/>
    <n v="46"/>
    <n v="24"/>
    <n v="17"/>
    <n v="27"/>
    <n v="24"/>
    <n v="27"/>
    <n v="67"/>
    <n v="40"/>
    <n v="85"/>
    <n v="100"/>
    <n v="69"/>
    <n v="33"/>
    <n v="24"/>
    <n v="19"/>
    <n v="89"/>
    <x v="2"/>
    <x v="2"/>
    <m/>
    <m/>
    <m/>
  </r>
  <r>
    <s v="M37"/>
    <s v="DEDI SUKAMTO"/>
    <x v="1"/>
    <x v="1"/>
    <x v="3"/>
    <x v="0"/>
    <s v="STREP 3"/>
    <x v="0"/>
    <n v="49"/>
    <n v="60"/>
    <n v="20"/>
    <n v="15"/>
    <n v="110"/>
    <n v="106"/>
    <n v="116"/>
    <n v="71"/>
    <n v="42"/>
    <n v="49"/>
    <n v="61"/>
    <n v="19"/>
    <n v="13"/>
    <n v="30"/>
    <n v="30"/>
    <n v="30"/>
    <n v="71"/>
    <n v="42"/>
    <n v="49"/>
    <n v="25"/>
    <n v="19"/>
    <n v="30"/>
    <n v="30"/>
    <n v="30"/>
    <n v="71"/>
    <n v="42"/>
    <n v="100"/>
    <n v="114"/>
    <n v="70"/>
    <n v="36"/>
    <n v="27"/>
    <n v="22"/>
    <n v="100"/>
    <x v="2"/>
    <x v="2"/>
    <m/>
    <m/>
    <m/>
  </r>
  <r>
    <s v="M38"/>
    <s v="SARBINI"/>
    <x v="1"/>
    <x v="4"/>
    <x v="2"/>
    <x v="0"/>
    <s v="STREP 3"/>
    <x v="0"/>
    <n v="45"/>
    <n v="58"/>
    <n v="18"/>
    <n v="14"/>
    <n v="102"/>
    <n v="94"/>
    <n v="104"/>
    <n v="67"/>
    <n v="38"/>
    <n v="45"/>
    <n v="59"/>
    <n v="16"/>
    <n v="12"/>
    <n v="27"/>
    <n v="25"/>
    <n v="27"/>
    <n v="67"/>
    <n v="38"/>
    <n v="45"/>
    <n v="24"/>
    <n v="17"/>
    <n v="27"/>
    <n v="25"/>
    <n v="27"/>
    <n v="67"/>
    <n v="38"/>
    <n v="81"/>
    <n v="102"/>
    <n v="66"/>
    <n v="32"/>
    <n v="23"/>
    <n v="19"/>
    <s v="92"/>
    <x v="3"/>
    <x v="5"/>
    <m/>
    <m/>
    <m/>
  </r>
  <r>
    <s v="M39a"/>
    <s v="DAEROBI"/>
    <x v="1"/>
    <x v="1"/>
    <x v="1"/>
    <x v="4"/>
    <s v="STREP 3"/>
    <x v="0"/>
    <n v="48"/>
    <n v="59"/>
    <n v="21"/>
    <n v="16"/>
    <n v="120"/>
    <n v="118"/>
    <n v="126"/>
    <n v="70"/>
    <n v="45"/>
    <n v="48"/>
    <n v="60"/>
    <n v="20"/>
    <n v="13"/>
    <n v="31"/>
    <n v="29"/>
    <n v="31"/>
    <n v="70"/>
    <n v="45"/>
    <n v="48"/>
    <n v="26"/>
    <n v="20"/>
    <n v="31"/>
    <n v="29"/>
    <n v="31"/>
    <n v="70"/>
    <n v="45"/>
    <n v="106"/>
    <n v="120"/>
    <n v="72"/>
    <n v="37"/>
    <n v="27"/>
    <n v="21"/>
    <n v="91"/>
    <x v="3"/>
    <x v="5"/>
    <m/>
    <m/>
    <m/>
  </r>
  <r>
    <s v="M40a"/>
    <s v="M. DEAGO FALZ D"/>
    <x v="1"/>
    <x v="2"/>
    <x v="2"/>
    <x v="0"/>
    <s v="STREP 3"/>
    <x v="0"/>
    <n v="44"/>
    <n v="55"/>
    <n v="18"/>
    <n v="14"/>
    <n v="98"/>
    <n v="93"/>
    <n v="104"/>
    <n v="68"/>
    <n v="39"/>
    <n v="44"/>
    <n v="56"/>
    <n v="16"/>
    <n v="12"/>
    <n v="27"/>
    <n v="24"/>
    <n v="27"/>
    <n v="68"/>
    <n v="39"/>
    <n v="44"/>
    <n v="23"/>
    <n v="16"/>
    <n v="27"/>
    <n v="24"/>
    <n v="27"/>
    <n v="68"/>
    <n v="39"/>
    <n v="83"/>
    <n v="102"/>
    <n v="66"/>
    <n v="31"/>
    <n v="24"/>
    <n v="20"/>
    <n v="90"/>
    <x v="3"/>
    <x v="5"/>
    <m/>
    <m/>
    <m/>
  </r>
  <r>
    <s v="M41a"/>
    <s v="STENDLI MAKAKOMBO"/>
    <x v="1"/>
    <x v="2"/>
    <x v="2"/>
    <x v="0"/>
    <s v="STREP 3"/>
    <x v="0"/>
    <n v="44"/>
    <n v="60"/>
    <n v="18"/>
    <n v="14"/>
    <n v="98"/>
    <n v="90"/>
    <n v="106"/>
    <n v="70"/>
    <n v="40"/>
    <n v="44"/>
    <n v="61"/>
    <n v="16"/>
    <n v="12"/>
    <n v="26"/>
    <n v="24"/>
    <n v="26"/>
    <n v="70"/>
    <n v="40"/>
    <n v="44"/>
    <n v="26"/>
    <n v="16"/>
    <n v="26"/>
    <n v="24"/>
    <n v="26"/>
    <n v="70"/>
    <n v="40"/>
    <n v="80"/>
    <n v="104"/>
    <n v="66"/>
    <n v="31"/>
    <n v="24"/>
    <n v="19"/>
    <n v="95"/>
    <x v="3"/>
    <x v="5"/>
    <m/>
    <m/>
    <m/>
  </r>
  <r>
    <s v="M42a"/>
    <s v="MHD WANTO SUNDARNOTO"/>
    <x v="1"/>
    <x v="0"/>
    <x v="0"/>
    <x v="3"/>
    <s v="STREP 3"/>
    <x v="0"/>
    <n v="46"/>
    <n v="61"/>
    <n v="20"/>
    <n v="15"/>
    <n v="112"/>
    <n v="108"/>
    <n v="115"/>
    <n v="72"/>
    <n v="42"/>
    <n v="46"/>
    <n v="62"/>
    <n v="19"/>
    <n v="13"/>
    <n v="30"/>
    <n v="28"/>
    <n v="30"/>
    <n v="72"/>
    <n v="42"/>
    <n v="46"/>
    <n v="26"/>
    <n v="19"/>
    <n v="30"/>
    <n v="28"/>
    <n v="30"/>
    <n v="72"/>
    <n v="42"/>
    <n v="99"/>
    <n v="112"/>
    <n v="70"/>
    <n v="35"/>
    <n v="26"/>
    <n v="21"/>
    <n v="95"/>
    <x v="3"/>
    <x v="5"/>
    <m/>
    <m/>
    <m/>
  </r>
  <r>
    <s v="M43a"/>
    <s v="MAIKEL LABIRO"/>
    <x v="1"/>
    <x v="0"/>
    <x v="0"/>
    <x v="0"/>
    <s v="STREP 3"/>
    <x v="0"/>
    <n v="48"/>
    <n v="59"/>
    <n v="19"/>
    <n v="14"/>
    <n v="107"/>
    <n v="98"/>
    <n v="112"/>
    <n v="73"/>
    <n v="41"/>
    <n v="45"/>
    <n v="60"/>
    <n v="18"/>
    <n v="13"/>
    <n v="28"/>
    <n v="26"/>
    <n v="28"/>
    <n v="73"/>
    <n v="41"/>
    <n v="45"/>
    <n v="26"/>
    <n v="18"/>
    <n v="28"/>
    <n v="26"/>
    <n v="28"/>
    <n v="73"/>
    <n v="41"/>
    <n v="90"/>
    <n v="110"/>
    <n v="71"/>
    <n v="34"/>
    <n v="26"/>
    <n v="21"/>
    <n v="99"/>
    <x v="3"/>
    <x v="5"/>
    <m/>
    <m/>
    <m/>
  </r>
  <r>
    <s v="M44a"/>
    <s v="IMSYAK YUNAIDY"/>
    <x v="1"/>
    <x v="4"/>
    <x v="0"/>
    <x v="6"/>
    <s v="STREP 3"/>
    <x v="0"/>
    <n v="45"/>
    <n v="61"/>
    <n v="18"/>
    <n v="14"/>
    <n v="96"/>
    <n v="92"/>
    <n v="106"/>
    <n v="69"/>
    <n v="38"/>
    <n v="45"/>
    <n v="62"/>
    <n v="17"/>
    <n v="13"/>
    <n v="28"/>
    <n v="27"/>
    <n v="28"/>
    <n v="69"/>
    <n v="38"/>
    <n v="45"/>
    <n v="24"/>
    <n v="17"/>
    <n v="28"/>
    <n v="27"/>
    <n v="28"/>
    <n v="69"/>
    <n v="38"/>
    <n v="87"/>
    <n v="105"/>
    <n v="68"/>
    <n v="34"/>
    <n v="26"/>
    <n v="20"/>
    <n v="97"/>
    <x v="3"/>
    <x v="5"/>
    <m/>
    <m/>
    <m/>
  </r>
  <r>
    <s v="M45a"/>
    <s v="MUNASIR"/>
    <x v="1"/>
    <x v="2"/>
    <x v="0"/>
    <x v="0"/>
    <s v="STREP 3"/>
    <x v="0"/>
    <n v="46"/>
    <n v="60"/>
    <n v="19"/>
    <n v="14"/>
    <n v="104"/>
    <n v="98"/>
    <n v="112"/>
    <n v="70"/>
    <n v="42"/>
    <n v="46"/>
    <n v="61"/>
    <n v="18"/>
    <n v="13"/>
    <n v="28"/>
    <n v="28"/>
    <n v="28"/>
    <n v="70"/>
    <n v="42"/>
    <n v="46"/>
    <n v="26"/>
    <n v="18"/>
    <n v="28"/>
    <n v="28"/>
    <n v="28"/>
    <n v="70"/>
    <n v="42"/>
    <n v="92"/>
    <n v="110"/>
    <n v="68"/>
    <n v="34"/>
    <n v="26"/>
    <n v="20"/>
    <n v="98"/>
    <x v="3"/>
    <x v="6"/>
    <m/>
    <m/>
    <m/>
  </r>
  <r>
    <s v="M46a"/>
    <s v="ACHMAD RIYADI SANTOSO"/>
    <x v="1"/>
    <x v="0"/>
    <x v="2"/>
    <x v="3"/>
    <s v="STREP 3"/>
    <x v="0"/>
    <n v="44"/>
    <n v="59"/>
    <n v="18"/>
    <n v="14"/>
    <n v="94"/>
    <n v="87"/>
    <n v="98"/>
    <n v="70"/>
    <n v="38"/>
    <n v="44"/>
    <n v="60"/>
    <n v="16"/>
    <n v="12"/>
    <n v="26"/>
    <n v="24"/>
    <n v="26"/>
    <n v="70"/>
    <n v="38"/>
    <n v="44"/>
    <n v="26"/>
    <n v="16"/>
    <n v="26"/>
    <n v="24"/>
    <n v="26"/>
    <n v="70"/>
    <n v="38"/>
    <n v="78"/>
    <n v="92"/>
    <n v="66"/>
    <n v="30"/>
    <n v="24"/>
    <n v="19"/>
    <n v="99"/>
    <x v="3"/>
    <x v="6"/>
    <m/>
    <m/>
    <m/>
  </r>
  <r>
    <s v="M47a"/>
    <s v="OKY YUDHA"/>
    <x v="1"/>
    <x v="0"/>
    <x v="3"/>
    <x v="3"/>
    <s v="STREP 3"/>
    <x v="0"/>
    <n v="46"/>
    <n v="62"/>
    <n v="18"/>
    <n v="14"/>
    <n v="100"/>
    <n v="94"/>
    <n v="108"/>
    <n v="74"/>
    <n v="40"/>
    <n v="46"/>
    <n v="63"/>
    <n v="16"/>
    <n v="12"/>
    <n v="27"/>
    <n v="24"/>
    <n v="27"/>
    <n v="74"/>
    <n v="40"/>
    <n v="46"/>
    <n v="26"/>
    <n v="16"/>
    <n v="27"/>
    <n v="24"/>
    <n v="27"/>
    <n v="74"/>
    <n v="40"/>
    <n v="84"/>
    <n v="104"/>
    <n v="70"/>
    <n v="32"/>
    <n v="26"/>
    <n v="19"/>
    <n v="102"/>
    <x v="3"/>
    <x v="6"/>
    <m/>
    <m/>
    <m/>
  </r>
  <r>
    <s v="M48a"/>
    <s v="ENDRI TRILAKSONO"/>
    <x v="1"/>
    <x v="4"/>
    <x v="0"/>
    <x v="0"/>
    <s v="STREP 3"/>
    <x v="0"/>
    <n v="44"/>
    <n v="63"/>
    <n v="18"/>
    <n v="14"/>
    <n v="98"/>
    <n v="93"/>
    <n v="104"/>
    <n v="71"/>
    <n v="40"/>
    <n v="44"/>
    <n v="64"/>
    <n v="16"/>
    <n v="12"/>
    <n v="27"/>
    <n v="25"/>
    <n v="27"/>
    <n v="74"/>
    <n v="40"/>
    <n v="44"/>
    <n v="26"/>
    <n v="16"/>
    <n v="27"/>
    <n v="25"/>
    <n v="27"/>
    <n v="74"/>
    <n v="40"/>
    <n v="85"/>
    <n v="100"/>
    <n v="64"/>
    <n v="32"/>
    <n v="25"/>
    <n v="19"/>
    <n v="103"/>
    <x v="3"/>
    <x v="6"/>
    <m/>
    <m/>
    <m/>
  </r>
  <r>
    <s v="M49a"/>
    <s v="AGUS ARFIANTO"/>
    <x v="1"/>
    <x v="4"/>
    <x v="0"/>
    <x v="1"/>
    <s v="STREP 3"/>
    <x v="0"/>
    <n v="45"/>
    <n v="60"/>
    <n v="19"/>
    <n v="14"/>
    <n v="104"/>
    <n v="100"/>
    <n v="108"/>
    <n v="70"/>
    <n v="41"/>
    <n v="45"/>
    <n v="61"/>
    <n v="18"/>
    <n v="13"/>
    <n v="28"/>
    <n v="28"/>
    <n v="28"/>
    <n v="70"/>
    <n v="41"/>
    <n v="45"/>
    <n v="24"/>
    <n v="18"/>
    <n v="28"/>
    <n v="28"/>
    <n v="28"/>
    <n v="70"/>
    <n v="41"/>
    <n v="92"/>
    <n v="106"/>
    <n v="66"/>
    <n v="34"/>
    <n v="26"/>
    <n v="20"/>
    <n v="94"/>
    <x v="3"/>
    <x v="6"/>
    <m/>
    <m/>
    <m/>
  </r>
  <r>
    <s v="M50a"/>
    <s v="DIMAS SETYO W"/>
    <x v="1"/>
    <x v="0"/>
    <x v="3"/>
    <x v="0"/>
    <s v="STREP 3"/>
    <x v="0"/>
    <n v="45"/>
    <n v="56"/>
    <n v="19"/>
    <n v="14"/>
    <n v="106"/>
    <n v="100"/>
    <n v="112"/>
    <n v="73"/>
    <n v="40"/>
    <n v="45"/>
    <n v="57"/>
    <n v="18"/>
    <n v="13"/>
    <n v="28"/>
    <n v="28"/>
    <n v="28"/>
    <n v="73"/>
    <n v="40"/>
    <n v="45"/>
    <n v="26"/>
    <n v="18"/>
    <n v="28"/>
    <n v="28"/>
    <n v="28"/>
    <n v="73"/>
    <n v="40"/>
    <n v="92"/>
    <n v="110"/>
    <n v="67"/>
    <n v="34"/>
    <n v="26"/>
    <n v="22"/>
    <n v="100"/>
    <x v="3"/>
    <x v="6"/>
    <m/>
    <m/>
    <m/>
  </r>
  <r>
    <s v="M51a"/>
    <s v="RIANI PURWANTO"/>
    <x v="1"/>
    <x v="1"/>
    <x v="3"/>
    <x v="4"/>
    <s v="STREP 3"/>
    <x v="0"/>
    <n v="46"/>
    <n v="62"/>
    <n v="20"/>
    <n v="14"/>
    <n v="107"/>
    <n v="104"/>
    <n v="114"/>
    <n v="73"/>
    <n v="43"/>
    <n v="46"/>
    <n v="63"/>
    <n v="18"/>
    <n v="13"/>
    <n v="28"/>
    <n v="27"/>
    <n v="28"/>
    <n v="73"/>
    <n v="43"/>
    <n v="46"/>
    <n v="26"/>
    <n v="18"/>
    <n v="28"/>
    <n v="27"/>
    <n v="28"/>
    <n v="73"/>
    <n v="43"/>
    <n v="94"/>
    <n v="108"/>
    <n v="68"/>
    <n v="35"/>
    <n v="26"/>
    <n v="21"/>
    <n v="99"/>
    <x v="3"/>
    <x v="6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013DCC-53D5-4578-89DB-83D72F4843B1}" name="PivotTable4" cacheId="0" applyNumberFormats="0" applyBorderFormats="0" applyFontFormats="0" applyPatternFormats="0" applyAlignmentFormats="0" applyWidthHeightFormats="1" dataCaption="Values" updatedVersion="7" minRefreshableVersion="3" showDrill="0" useAutoFormatting="1" itemPrintTitles="1" createdVersion="7" indent="0" showHeaders="0" outline="1" outlineData="1" multipleFieldFilters="0">
  <location ref="A9:D20" firstHeaderRow="1" firstDataRow="2" firstDataCol="1"/>
  <pivotFields count="46">
    <pivotField showAll="0"/>
    <pivotField showAll="0"/>
    <pivotField showAll="0"/>
    <pivotField showAll="0"/>
    <pivotField showAll="0"/>
    <pivotField axis="axisRow" dataField="1" showAll="0">
      <items count="10">
        <item x="8"/>
        <item x="5"/>
        <item x="6"/>
        <item x="2"/>
        <item x="0"/>
        <item x="3"/>
        <item x="4"/>
        <item x="1"/>
        <item x="7"/>
        <item t="default"/>
      </items>
    </pivotField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TOPI" fld="5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518124-C4AB-4C54-8D67-D10D3CB4D15E}" name="PivotTable3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showHeaders="0" outline="1" outlineData="1" multipleFieldFilters="0">
  <location ref="F12:I23" firstHeaderRow="1" firstDataRow="2" firstDataCol="1"/>
  <pivotFields count="46">
    <pivotField showAll="0"/>
    <pivotField showAll="0"/>
    <pivotField showAll="0"/>
    <pivotField axis="axisRow" dataField="1" showAll="0">
      <items count="10">
        <item x="7"/>
        <item x="2"/>
        <item x="4"/>
        <item x="0"/>
        <item x="1"/>
        <item x="3"/>
        <item x="5"/>
        <item x="8"/>
        <item x="6"/>
        <item t="default"/>
      </items>
    </pivotField>
    <pivotField showAll="0"/>
    <pivotField showAll="0"/>
    <pivotField showAll="0"/>
    <pivotField axis="axisCol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7"/>
  </colFields>
  <colItems count="3">
    <i>
      <x/>
    </i>
    <i>
      <x v="1"/>
    </i>
    <i t="grand">
      <x/>
    </i>
  </colItems>
  <dataFields count="1">
    <dataField name="Count of SEPATU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AE4F3D-FA03-4622-86BD-9D42718696CC}" name="PivotTable2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F3:G9" firstHeaderRow="1" firstDataRow="1" firstDataCol="1"/>
  <pivotFields count="46">
    <pivotField showAll="0"/>
    <pivotField showAll="0"/>
    <pivotField showAll="0"/>
    <pivotField showAll="0"/>
    <pivotField axis="axisRow" dataField="1" showAll="0">
      <items count="6">
        <item x="0"/>
        <item x="2"/>
        <item x="3"/>
        <item x="1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Count of KAOS" fld="4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280996-5D48-4FD7-9BE9-42081004970C}" name="PivotTable1" cacheId="0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B6" firstHeaderRow="1" firstDataRow="1" firstDataCol="1"/>
  <pivotFields count="46">
    <pivotField showAll="0"/>
    <pivotField showAll="0"/>
    <pivotField axis="axisRow" dataField="1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3">
    <i>
      <x/>
    </i>
    <i>
      <x v="1"/>
    </i>
    <i t="grand">
      <x/>
    </i>
  </rowItems>
  <colItems count="1">
    <i/>
  </colItems>
  <dataFields count="1">
    <dataField name="Count of KELAS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2D3CE2-E94C-43E4-9C1B-7C67BC0F07F3}" name="Table3" displayName="Table3" ref="A1:AT106" totalsRowCount="1" headerRowDxfId="93" dataDxfId="92">
  <tableColumns count="46">
    <tableColumn id="1" xr3:uid="{5452CFF5-C4D1-4512-BD5D-F8F457B5DEE7}" name="NO" totalsRowLabel="MAX" dataDxfId="91" totalsRowDxfId="45"/>
    <tableColumn id="2" xr3:uid="{32A50CB7-D682-48F1-9540-C51F3E3D0BA0}" name="NAMA" dataDxfId="90" totalsRowDxfId="44"/>
    <tableColumn id="3" xr3:uid="{A1B67842-B4B9-45C1-8F6F-9EF2334CB209}" name="KELAS" dataDxfId="89" totalsRowDxfId="43"/>
    <tableColumn id="4" xr3:uid="{E29A8A04-2EF3-4328-9B26-EB8B12B87B10}" name="SEPATU" dataDxfId="88" totalsRowDxfId="42"/>
    <tableColumn id="5" xr3:uid="{9E7BBB1F-89C8-402B-91E8-29120AF59DAA}" name="KAOS" dataDxfId="87" totalsRowDxfId="41"/>
    <tableColumn id="6" xr3:uid="{D2E286CC-3FB2-47DE-8133-EFB4FD10807D}" name="TOPI" dataDxfId="86" totalsRowDxfId="40"/>
    <tableColumn id="7" xr3:uid="{B46E51D1-4194-466D-A0D3-F1501B916B42}" name="STREP" dataDxfId="85" totalsRowDxfId="39"/>
    <tableColumn id="8" xr3:uid="{7F87F1C4-089E-4241-A23F-632F5714BD66}" name="GENDER" dataDxfId="84" totalsRowDxfId="38"/>
    <tableColumn id="9" xr3:uid="{D88FC8C3-A4CD-4F4E-BB3D-17BD550DC1AF}" name="UBN_1" totalsRowFunction="max" dataDxfId="83" totalsRowDxfId="37"/>
    <tableColumn id="10" xr3:uid="{D855AC06-66F6-451E-9953-CEFC8A83A535}" name="UBN_2" totalsRowFunction="max" dataDxfId="82" totalsRowDxfId="36"/>
    <tableColumn id="11" xr3:uid="{B302CAE7-1884-401E-A6FC-0763F4B81552}" name="UBN_3" totalsRowFunction="max" dataDxfId="81" totalsRowDxfId="35"/>
    <tableColumn id="12" xr3:uid="{1E9CAD45-7D94-48D8-BBA4-61A74043EE2D}" name="UBN_4" totalsRowFunction="max" dataDxfId="80" totalsRowDxfId="34"/>
    <tableColumn id="13" xr3:uid="{96D19007-0F0C-49A1-97FD-23DBBBDCE953}" name="UBN_5" totalsRowFunction="max" dataDxfId="79" totalsRowDxfId="33"/>
    <tableColumn id="14" xr3:uid="{6660B0FA-B72A-4ADF-AFF1-5D4CA2BE4F6C}" name="UBN_6" totalsRowFunction="max" dataDxfId="78" totalsRowDxfId="32"/>
    <tableColumn id="15" xr3:uid="{0505590F-2492-4A79-A8BA-C7E335E948BA}" name="UBN_7" totalsRowFunction="max" dataDxfId="77" totalsRowDxfId="31"/>
    <tableColumn id="16" xr3:uid="{D0C824E8-686A-4944-8B17-A28FE13A58C4}" name="UBN_8" totalsRowFunction="max" dataDxfId="76" totalsRowDxfId="30"/>
    <tableColumn id="17" xr3:uid="{AD6E9718-96E1-4B36-AC72-383C5EFBB143}" name="UBN_9" totalsRowFunction="max" dataDxfId="75" totalsRowDxfId="29"/>
    <tableColumn id="18" xr3:uid="{EB73A92A-F59F-4F0B-9105-9A4B6627C3D9}" name="UH_1" totalsRowFunction="max" dataDxfId="74" totalsRowDxfId="28"/>
    <tableColumn id="19" xr3:uid="{D892FF0B-ED12-411C-BE15-BE305883ECCC}" name="UH_2" totalsRowFunction="max" dataDxfId="73" totalsRowDxfId="27"/>
    <tableColumn id="20" xr3:uid="{635BA669-8AF1-4CB0-AD04-2E8A785ADD76}" name="UH_3" totalsRowFunction="max" dataDxfId="72" totalsRowDxfId="26"/>
    <tableColumn id="21" xr3:uid="{2D1BBF01-BB4E-49E1-A49B-6E1CC3D3E1D3}" name="UH_4" totalsRowFunction="max" dataDxfId="71" totalsRowDxfId="25"/>
    <tableColumn id="22" xr3:uid="{81C7C91A-37C1-4838-A685-D125E5C113C4}" name="UH_5" totalsRowFunction="max" dataDxfId="70" totalsRowDxfId="24"/>
    <tableColumn id="23" xr3:uid="{62D7DAA1-D223-4BDD-8F71-01AE8E0E3036}" name="UH_6" totalsRowFunction="max" dataDxfId="69" totalsRowDxfId="23"/>
    <tableColumn id="24" xr3:uid="{0A0CB395-3E1D-420A-9731-061593671281}" name="UH_7" totalsRowFunction="max" dataDxfId="68" totalsRowDxfId="22"/>
    <tableColumn id="25" xr3:uid="{E5B4ED74-43D1-4522-936D-4397A538D835}" name="UH_8" totalsRowFunction="max" dataDxfId="67" totalsRowDxfId="21"/>
    <tableColumn id="26" xr3:uid="{21E66ECA-4B30-4E75-9553-6EC64815390D}" name="UH_9" totalsRowFunction="max" dataDxfId="66" totalsRowDxfId="20"/>
    <tableColumn id="27" xr3:uid="{DD354E77-EC5D-4439-BCEA-8ED39B6683B5}" name="UB_1" totalsRowFunction="max" dataDxfId="65" totalsRowDxfId="19"/>
    <tableColumn id="28" xr3:uid="{0BBC5F15-4EAD-46D5-9892-038A42B468A4}" name="UB_2" totalsRowFunction="max" dataDxfId="64" totalsRowDxfId="18"/>
    <tableColumn id="29" xr3:uid="{2330B7FE-C178-41E2-8FC4-85507B21E459}" name="UB_3" totalsRowFunction="max" dataDxfId="63" totalsRowDxfId="17"/>
    <tableColumn id="30" xr3:uid="{DB7ADCFA-43A8-4C49-A52B-CC372CF5B6CA}" name="UB_4" totalsRowFunction="max" dataDxfId="62" totalsRowDxfId="16"/>
    <tableColumn id="31" xr3:uid="{767010DF-CEF3-4AE1-9B62-11490641D98C}" name="UB_5" totalsRowFunction="max" dataDxfId="61" totalsRowDxfId="15"/>
    <tableColumn id="32" xr3:uid="{E78704BE-4618-44DF-B98A-FA7D155924FB}" name="UB_6" totalsRowFunction="max" dataDxfId="60" totalsRowDxfId="14"/>
    <tableColumn id="33" xr3:uid="{5113D7EF-92DE-4146-B9D2-FC482A9A55A1}" name="UB_7" totalsRowFunction="max" dataDxfId="59" totalsRowDxfId="13"/>
    <tableColumn id="34" xr3:uid="{A494EF60-0011-443F-A491-349DA02BB688}" name="UB_8" totalsRowFunction="max" dataDxfId="58" totalsRowDxfId="12"/>
    <tableColumn id="35" xr3:uid="{31BE9E73-1AAE-4B56-BE81-69C5B2AA9D97}" name="UC_1" totalsRowFunction="max" dataDxfId="57" totalsRowDxfId="11"/>
    <tableColumn id="36" xr3:uid="{5DA852E2-56D3-4488-A58B-81DCD37C4408}" name="UC_2" totalsRowFunction="max" dataDxfId="56" totalsRowDxfId="10"/>
    <tableColumn id="37" xr3:uid="{F248F868-D992-4AD6-AE21-10483C9260D5}" name="UC_3" totalsRowFunction="max" dataDxfId="55" totalsRowDxfId="9"/>
    <tableColumn id="38" xr3:uid="{1109F85B-54AC-4AD2-A629-89C112A43B8E}" name="UC_4" totalsRowFunction="max" dataDxfId="54" totalsRowDxfId="8"/>
    <tableColumn id="39" xr3:uid="{326E891F-B336-4F6F-8AC3-FBD99759857A}" name="UC_5" totalsRowFunction="max" dataDxfId="53" totalsRowDxfId="7"/>
    <tableColumn id="40" xr3:uid="{6871BAF9-2688-4EDC-A278-D736F563D160}" name="UC_6" totalsRowFunction="max" dataDxfId="52" totalsRowDxfId="6"/>
    <tableColumn id="41" xr3:uid="{2877E98D-7E4B-4817-9BEC-FC9BD1643F8A}" name="UC_7" totalsRowFunction="max" dataDxfId="51" totalsRowDxfId="5"/>
    <tableColumn id="42" xr3:uid="{8A7626A4-6690-41BC-A251-55691E704E48}" name="CETAK KE" totalsRowFunction="max" dataDxfId="50" totalsRowDxfId="4"/>
    <tableColumn id="43" xr3:uid="{350A87C0-E8F6-4C60-AE39-39ACDB81BBE7}" name="CETAK PDH" dataDxfId="49" totalsRowDxfId="3"/>
    <tableColumn id="44" xr3:uid="{6470CD2E-6E90-4506-9101-F3ECE00E3399}" name="CETAK BN" dataDxfId="48" totalsRowDxfId="2"/>
    <tableColumn id="45" xr3:uid="{3FC66D00-E5A5-4CEC-B7E6-2328F7D841C5}" name="CETAK KAOS" dataDxfId="47" totalsRowDxfId="1"/>
    <tableColumn id="46" xr3:uid="{ED3E6489-8743-4299-9648-7F99165ACA55}" name="CETAK SEPATU" totalsRowFunction="count" dataDxfId="46" totalsRow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Y112"/>
  <sheetViews>
    <sheetView tabSelected="1" zoomScale="70" zoomScaleNormal="70" workbookViewId="0">
      <pane ySplit="1" topLeftCell="A32" activePane="bottomLeft" state="frozen"/>
      <selection pane="bottomLeft" activeCell="F45" sqref="F45"/>
    </sheetView>
  </sheetViews>
  <sheetFormatPr defaultColWidth="8.7109375" defaultRowHeight="30" customHeight="1" x14ac:dyDescent="0.25"/>
  <cols>
    <col min="1" max="1" width="12.140625" style="1" customWidth="1"/>
    <col min="2" max="2" width="31.28515625" style="14" customWidth="1"/>
    <col min="3" max="3" width="21.7109375" style="1" customWidth="1"/>
    <col min="4" max="4" width="11.42578125" style="3" customWidth="1"/>
    <col min="5" max="5" width="9.28515625" style="26" customWidth="1"/>
    <col min="6" max="6" width="9.28515625" style="3" customWidth="1"/>
    <col min="7" max="7" width="11.85546875" style="3" bestFit="1" customWidth="1"/>
    <col min="8" max="8" width="12.140625" style="3" customWidth="1"/>
    <col min="9" max="9" width="22.5703125" style="3" customWidth="1"/>
    <col min="10" max="17" width="12.7109375" style="3" customWidth="1"/>
    <col min="18" max="26" width="8.5703125" style="3" customWidth="1"/>
    <col min="27" max="27" width="10.140625" style="3" customWidth="1"/>
    <col min="28" max="34" width="10.7109375" style="3" customWidth="1"/>
    <col min="35" max="35" width="10.140625" style="3" customWidth="1"/>
    <col min="36" max="41" width="10.7109375" style="3" customWidth="1"/>
    <col min="42" max="42" width="13.7109375" style="2" customWidth="1"/>
    <col min="43" max="43" width="15.28515625" style="2" customWidth="1"/>
    <col min="44" max="44" width="14" style="2" customWidth="1"/>
    <col min="45" max="45" width="16.5703125" style="2" customWidth="1"/>
    <col min="46" max="46" width="19" style="2" customWidth="1"/>
    <col min="47" max="1013" width="8.7109375" style="2"/>
    <col min="1014" max="16384" width="8.7109375" style="4"/>
  </cols>
  <sheetData>
    <row r="1" spans="1:1013" ht="30" customHeight="1" thickBot="1" x14ac:dyDescent="0.3">
      <c r="A1" s="17" t="s">
        <v>0</v>
      </c>
      <c r="B1" s="18" t="s">
        <v>1</v>
      </c>
      <c r="C1" s="17" t="s">
        <v>2</v>
      </c>
      <c r="D1" s="17" t="s">
        <v>4</v>
      </c>
      <c r="E1" s="19" t="s">
        <v>6</v>
      </c>
      <c r="F1" s="17" t="s">
        <v>5</v>
      </c>
      <c r="G1" s="5" t="s">
        <v>46</v>
      </c>
      <c r="H1" s="5" t="s">
        <v>3</v>
      </c>
      <c r="I1" s="24" t="s">
        <v>22</v>
      </c>
      <c r="J1" s="24" t="s">
        <v>23</v>
      </c>
      <c r="K1" s="24" t="s">
        <v>24</v>
      </c>
      <c r="L1" s="24" t="s">
        <v>25</v>
      </c>
      <c r="M1" s="24" t="s">
        <v>26</v>
      </c>
      <c r="N1" s="24" t="s">
        <v>27</v>
      </c>
      <c r="O1" s="24" t="s">
        <v>28</v>
      </c>
      <c r="P1" s="24" t="s">
        <v>29</v>
      </c>
      <c r="Q1" s="24" t="s">
        <v>30</v>
      </c>
      <c r="R1" s="3" t="s">
        <v>37</v>
      </c>
      <c r="S1" s="3" t="s">
        <v>38</v>
      </c>
      <c r="T1" s="3" t="s">
        <v>39</v>
      </c>
      <c r="U1" s="3" t="s">
        <v>40</v>
      </c>
      <c r="V1" s="3" t="s">
        <v>41</v>
      </c>
      <c r="W1" s="3" t="s">
        <v>42</v>
      </c>
      <c r="X1" s="3" t="s">
        <v>43</v>
      </c>
      <c r="Y1" s="3" t="s">
        <v>44</v>
      </c>
      <c r="Z1" s="3" t="s">
        <v>45</v>
      </c>
      <c r="AA1" s="24" t="s">
        <v>7</v>
      </c>
      <c r="AB1" s="24" t="s">
        <v>8</v>
      </c>
      <c r="AC1" s="24" t="s">
        <v>9</v>
      </c>
      <c r="AD1" s="24" t="s">
        <v>10</v>
      </c>
      <c r="AE1" s="24" t="s">
        <v>11</v>
      </c>
      <c r="AF1" s="24" t="s">
        <v>12</v>
      </c>
      <c r="AG1" s="24" t="s">
        <v>13</v>
      </c>
      <c r="AH1" s="24" t="s">
        <v>14</v>
      </c>
      <c r="AI1" s="24" t="s">
        <v>15</v>
      </c>
      <c r="AJ1" s="24" t="s">
        <v>16</v>
      </c>
      <c r="AK1" s="24" t="s">
        <v>17</v>
      </c>
      <c r="AL1" s="24" t="s">
        <v>18</v>
      </c>
      <c r="AM1" s="24" t="s">
        <v>19</v>
      </c>
      <c r="AN1" s="24" t="s">
        <v>20</v>
      </c>
      <c r="AO1" s="24" t="s">
        <v>21</v>
      </c>
      <c r="AP1" s="2" t="s">
        <v>36</v>
      </c>
      <c r="AQ1" s="2" t="s">
        <v>48</v>
      </c>
      <c r="AR1" s="2" t="s">
        <v>47</v>
      </c>
      <c r="AS1" s="2" t="s">
        <v>49</v>
      </c>
      <c r="AT1" s="2" t="s">
        <v>50</v>
      </c>
    </row>
    <row r="2" spans="1:1013" ht="30" customHeight="1" thickTop="1" x14ac:dyDescent="0.25">
      <c r="A2" s="16" t="s">
        <v>51</v>
      </c>
      <c r="B2" s="15" t="s">
        <v>67</v>
      </c>
      <c r="C2" s="16" t="s">
        <v>66</v>
      </c>
      <c r="D2" s="23">
        <v>42</v>
      </c>
      <c r="E2" s="23" t="s">
        <v>32</v>
      </c>
      <c r="F2" s="23">
        <v>57</v>
      </c>
      <c r="G2" s="11" t="s">
        <v>71</v>
      </c>
      <c r="H2" s="11" t="s">
        <v>72</v>
      </c>
      <c r="I2" s="11">
        <v>43</v>
      </c>
      <c r="J2" s="11">
        <v>61</v>
      </c>
      <c r="K2" s="11">
        <v>19</v>
      </c>
      <c r="L2" s="11">
        <v>15</v>
      </c>
      <c r="M2" s="11">
        <v>105</v>
      </c>
      <c r="N2" s="11">
        <v>97</v>
      </c>
      <c r="O2" s="11">
        <v>110</v>
      </c>
      <c r="P2" s="11">
        <v>74</v>
      </c>
      <c r="Q2" s="11">
        <v>41</v>
      </c>
      <c r="R2" s="11">
        <v>43</v>
      </c>
      <c r="S2" s="11">
        <v>62</v>
      </c>
      <c r="T2" s="11">
        <v>17</v>
      </c>
      <c r="U2" s="11">
        <v>13</v>
      </c>
      <c r="V2" s="11">
        <v>27</v>
      </c>
      <c r="W2" s="11">
        <v>26</v>
      </c>
      <c r="X2" s="11">
        <v>27</v>
      </c>
      <c r="Y2" s="11">
        <v>74</v>
      </c>
      <c r="Z2" s="11">
        <v>41</v>
      </c>
      <c r="AA2" s="11">
        <v>43</v>
      </c>
      <c r="AB2" s="11">
        <v>25</v>
      </c>
      <c r="AC2" s="11">
        <v>18</v>
      </c>
      <c r="AD2" s="11">
        <v>27</v>
      </c>
      <c r="AE2" s="11">
        <v>26</v>
      </c>
      <c r="AF2" s="11">
        <v>27</v>
      </c>
      <c r="AG2" s="11">
        <v>74</v>
      </c>
      <c r="AH2" s="11">
        <v>41</v>
      </c>
      <c r="AI2" s="11">
        <v>87</v>
      </c>
      <c r="AJ2" s="11">
        <v>109</v>
      </c>
      <c r="AK2" s="11">
        <v>68</v>
      </c>
      <c r="AL2" s="11">
        <v>34</v>
      </c>
      <c r="AM2" s="11">
        <v>25</v>
      </c>
      <c r="AN2" s="11">
        <v>20</v>
      </c>
      <c r="AO2" s="6">
        <v>95</v>
      </c>
      <c r="AP2" s="2">
        <v>1</v>
      </c>
      <c r="AQ2" s="21" t="s">
        <v>100</v>
      </c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  <c r="IT2" s="4"/>
      <c r="IU2" s="4"/>
      <c r="IV2" s="4"/>
      <c r="IW2" s="4"/>
      <c r="IX2" s="4"/>
      <c r="IY2" s="4"/>
      <c r="IZ2" s="4"/>
      <c r="JA2" s="4"/>
      <c r="JB2" s="4"/>
      <c r="JC2" s="4"/>
      <c r="JD2" s="4"/>
      <c r="JE2" s="4"/>
      <c r="JF2" s="4"/>
      <c r="JG2" s="4"/>
      <c r="JH2" s="4"/>
      <c r="JI2" s="4"/>
      <c r="JJ2" s="4"/>
      <c r="JK2" s="4"/>
      <c r="JL2" s="4"/>
      <c r="JM2" s="4"/>
      <c r="JN2" s="4"/>
      <c r="JO2" s="4"/>
      <c r="JP2" s="4"/>
      <c r="JQ2" s="4"/>
      <c r="JR2" s="4"/>
      <c r="JS2" s="4"/>
      <c r="JT2" s="4"/>
      <c r="JU2" s="4"/>
      <c r="JV2" s="4"/>
      <c r="JW2" s="4"/>
      <c r="JX2" s="4"/>
      <c r="JY2" s="4"/>
      <c r="JZ2" s="4"/>
      <c r="KA2" s="4"/>
      <c r="KB2" s="4"/>
      <c r="KC2" s="4"/>
      <c r="KD2" s="4"/>
      <c r="KE2" s="4"/>
      <c r="KF2" s="4"/>
      <c r="KG2" s="4"/>
      <c r="KH2" s="4"/>
      <c r="KI2" s="4"/>
      <c r="KJ2" s="4"/>
      <c r="KK2" s="4"/>
      <c r="KL2" s="4"/>
      <c r="KM2" s="4"/>
      <c r="KN2" s="4"/>
      <c r="KO2" s="4"/>
      <c r="KP2" s="4"/>
      <c r="KQ2" s="4"/>
      <c r="KR2" s="4"/>
      <c r="KS2" s="4"/>
      <c r="KT2" s="4"/>
      <c r="KU2" s="4"/>
      <c r="KV2" s="4"/>
      <c r="KW2" s="4"/>
      <c r="KX2" s="4"/>
      <c r="KY2" s="4"/>
      <c r="KZ2" s="4"/>
      <c r="LA2" s="4"/>
      <c r="LB2" s="4"/>
      <c r="LC2" s="4"/>
      <c r="LD2" s="4"/>
      <c r="LE2" s="4"/>
      <c r="LF2" s="4"/>
      <c r="LG2" s="4"/>
      <c r="LH2" s="4"/>
      <c r="LI2" s="4"/>
      <c r="LJ2" s="4"/>
      <c r="LK2" s="4"/>
      <c r="LL2" s="4"/>
      <c r="LM2" s="4"/>
      <c r="LN2" s="4"/>
      <c r="LO2" s="4"/>
      <c r="LP2" s="4"/>
      <c r="LQ2" s="4"/>
      <c r="LR2" s="4"/>
      <c r="LS2" s="4"/>
      <c r="LT2" s="4"/>
      <c r="LU2" s="4"/>
      <c r="LV2" s="4"/>
      <c r="LW2" s="4"/>
      <c r="LX2" s="4"/>
      <c r="LY2" s="4"/>
      <c r="LZ2" s="4"/>
      <c r="MA2" s="4"/>
      <c r="MB2" s="4"/>
      <c r="MC2" s="4"/>
      <c r="MD2" s="4"/>
      <c r="ME2" s="4"/>
      <c r="MF2" s="4"/>
      <c r="MG2" s="4"/>
      <c r="MH2" s="4"/>
      <c r="MI2" s="4"/>
      <c r="MJ2" s="4"/>
      <c r="MK2" s="4"/>
      <c r="ML2" s="4"/>
      <c r="MM2" s="4"/>
      <c r="MN2" s="4"/>
      <c r="MO2" s="4"/>
      <c r="MP2" s="4"/>
      <c r="MQ2" s="4"/>
      <c r="MR2" s="4"/>
      <c r="MS2" s="4"/>
      <c r="MT2" s="4"/>
      <c r="MU2" s="4"/>
      <c r="MV2" s="4"/>
      <c r="MW2" s="4"/>
      <c r="MX2" s="4"/>
      <c r="MY2" s="4"/>
      <c r="MZ2" s="4"/>
      <c r="NA2" s="4"/>
      <c r="NB2" s="4"/>
      <c r="NC2" s="4"/>
      <c r="ND2" s="4"/>
      <c r="NE2" s="4"/>
      <c r="NF2" s="4"/>
      <c r="NG2" s="4"/>
      <c r="NH2" s="4"/>
      <c r="NI2" s="4"/>
      <c r="NJ2" s="4"/>
      <c r="NK2" s="4"/>
      <c r="NL2" s="4"/>
      <c r="NM2" s="4"/>
      <c r="NN2" s="4"/>
      <c r="NO2" s="4"/>
      <c r="NP2" s="4"/>
      <c r="NQ2" s="4"/>
      <c r="NR2" s="4"/>
      <c r="NS2" s="4"/>
      <c r="NT2" s="4"/>
      <c r="NU2" s="4"/>
      <c r="NV2" s="4"/>
      <c r="NW2" s="4"/>
      <c r="NX2" s="4"/>
      <c r="NY2" s="4"/>
      <c r="NZ2" s="4"/>
      <c r="OA2" s="4"/>
      <c r="OB2" s="4"/>
      <c r="OC2" s="4"/>
      <c r="OD2" s="4"/>
      <c r="OE2" s="4"/>
      <c r="OF2" s="4"/>
      <c r="OG2" s="4"/>
      <c r="OH2" s="4"/>
      <c r="OI2" s="4"/>
      <c r="OJ2" s="4"/>
      <c r="OK2" s="4"/>
      <c r="OL2" s="4"/>
      <c r="OM2" s="4"/>
      <c r="ON2" s="4"/>
      <c r="OO2" s="4"/>
      <c r="OP2" s="4"/>
      <c r="OQ2" s="4"/>
      <c r="OR2" s="4"/>
      <c r="OS2" s="4"/>
      <c r="OT2" s="4"/>
      <c r="OU2" s="4"/>
      <c r="OV2" s="4"/>
      <c r="OW2" s="4"/>
      <c r="OX2" s="4"/>
      <c r="OY2" s="4"/>
      <c r="OZ2" s="4"/>
      <c r="PA2" s="4"/>
      <c r="PB2" s="4"/>
      <c r="PC2" s="4"/>
      <c r="PD2" s="4"/>
      <c r="PE2" s="4"/>
      <c r="PF2" s="4"/>
      <c r="PG2" s="4"/>
      <c r="PH2" s="4"/>
      <c r="PI2" s="4"/>
      <c r="PJ2" s="4"/>
      <c r="PK2" s="4"/>
      <c r="PL2" s="4"/>
      <c r="PM2" s="4"/>
      <c r="PN2" s="4"/>
      <c r="PO2" s="4"/>
      <c r="PP2" s="4"/>
      <c r="PQ2" s="4"/>
      <c r="PR2" s="4"/>
      <c r="PS2" s="4"/>
      <c r="PT2" s="4"/>
      <c r="PU2" s="4"/>
      <c r="PV2" s="4"/>
      <c r="PW2" s="4"/>
      <c r="PX2" s="4"/>
      <c r="PY2" s="4"/>
      <c r="PZ2" s="4"/>
      <c r="QA2" s="4"/>
      <c r="QB2" s="4"/>
      <c r="QC2" s="4"/>
      <c r="QD2" s="4"/>
      <c r="QE2" s="4"/>
      <c r="QF2" s="4"/>
      <c r="QG2" s="4"/>
      <c r="QH2" s="4"/>
      <c r="QI2" s="4"/>
      <c r="QJ2" s="4"/>
      <c r="QK2" s="4"/>
      <c r="QL2" s="4"/>
      <c r="QM2" s="4"/>
      <c r="QN2" s="4"/>
      <c r="QO2" s="4"/>
      <c r="QP2" s="4"/>
      <c r="QQ2" s="4"/>
      <c r="QR2" s="4"/>
      <c r="QS2" s="4"/>
      <c r="QT2" s="4"/>
      <c r="QU2" s="4"/>
      <c r="QV2" s="4"/>
      <c r="QW2" s="4"/>
      <c r="QX2" s="4"/>
      <c r="QY2" s="4"/>
      <c r="QZ2" s="4"/>
      <c r="RA2" s="4"/>
      <c r="RB2" s="4"/>
      <c r="RC2" s="4"/>
      <c r="RD2" s="4"/>
      <c r="RE2" s="4"/>
      <c r="RF2" s="4"/>
      <c r="RG2" s="4"/>
      <c r="RH2" s="4"/>
      <c r="RI2" s="4"/>
      <c r="RJ2" s="4"/>
      <c r="RK2" s="4"/>
      <c r="RL2" s="4"/>
      <c r="RM2" s="4"/>
      <c r="RN2" s="4"/>
      <c r="RO2" s="4"/>
      <c r="RP2" s="4"/>
      <c r="RQ2" s="4"/>
      <c r="RR2" s="4"/>
      <c r="RS2" s="4"/>
      <c r="RT2" s="4"/>
      <c r="RU2" s="4"/>
      <c r="RV2" s="4"/>
      <c r="RW2" s="4"/>
      <c r="RX2" s="4"/>
      <c r="RY2" s="4"/>
      <c r="RZ2" s="4"/>
      <c r="SA2" s="4"/>
      <c r="SB2" s="4"/>
      <c r="SC2" s="4"/>
      <c r="SD2" s="4"/>
      <c r="SE2" s="4"/>
      <c r="SF2" s="4"/>
      <c r="SG2" s="4"/>
      <c r="SH2" s="4"/>
      <c r="SI2" s="4"/>
      <c r="SJ2" s="4"/>
      <c r="SK2" s="4"/>
      <c r="SL2" s="4"/>
      <c r="SM2" s="4"/>
      <c r="SN2" s="4"/>
      <c r="SO2" s="4"/>
      <c r="SP2" s="4"/>
      <c r="SQ2" s="4"/>
      <c r="SR2" s="4"/>
      <c r="SS2" s="4"/>
      <c r="ST2" s="4"/>
      <c r="SU2" s="4"/>
      <c r="SV2" s="4"/>
      <c r="SW2" s="4"/>
      <c r="SX2" s="4"/>
      <c r="SY2" s="4"/>
      <c r="SZ2" s="4"/>
      <c r="TA2" s="4"/>
      <c r="TB2" s="4"/>
      <c r="TC2" s="4"/>
      <c r="TD2" s="4"/>
      <c r="TE2" s="4"/>
      <c r="TF2" s="4"/>
      <c r="TG2" s="4"/>
      <c r="TH2" s="4"/>
      <c r="TI2" s="4"/>
      <c r="TJ2" s="4"/>
      <c r="TK2" s="4"/>
      <c r="TL2" s="4"/>
      <c r="TM2" s="4"/>
      <c r="TN2" s="4"/>
      <c r="TO2" s="4"/>
      <c r="TP2" s="4"/>
      <c r="TQ2" s="4"/>
      <c r="TR2" s="4"/>
      <c r="TS2" s="4"/>
      <c r="TT2" s="4"/>
      <c r="TU2" s="4"/>
      <c r="TV2" s="4"/>
      <c r="TW2" s="4"/>
      <c r="TX2" s="4"/>
      <c r="TY2" s="4"/>
      <c r="TZ2" s="4"/>
      <c r="UA2" s="4"/>
      <c r="UB2" s="4"/>
      <c r="UC2" s="4"/>
      <c r="UD2" s="4"/>
      <c r="UE2" s="4"/>
      <c r="UF2" s="4"/>
      <c r="UG2" s="4"/>
      <c r="UH2" s="4"/>
      <c r="UI2" s="4"/>
      <c r="UJ2" s="4"/>
      <c r="UK2" s="4"/>
      <c r="UL2" s="4"/>
      <c r="UM2" s="4"/>
      <c r="UN2" s="4"/>
      <c r="UO2" s="4"/>
      <c r="UP2" s="4"/>
      <c r="UQ2" s="4"/>
      <c r="UR2" s="4"/>
      <c r="US2" s="4"/>
      <c r="UT2" s="4"/>
      <c r="UU2" s="4"/>
      <c r="UV2" s="4"/>
      <c r="UW2" s="4"/>
      <c r="UX2" s="4"/>
      <c r="UY2" s="4"/>
      <c r="UZ2" s="4"/>
      <c r="VA2" s="4"/>
      <c r="VB2" s="4"/>
      <c r="VC2" s="4"/>
      <c r="VD2" s="4"/>
      <c r="VE2" s="4"/>
      <c r="VF2" s="4"/>
      <c r="VG2" s="4"/>
      <c r="VH2" s="4"/>
      <c r="VI2" s="4"/>
      <c r="VJ2" s="4"/>
      <c r="VK2" s="4"/>
      <c r="VL2" s="4"/>
      <c r="VM2" s="4"/>
      <c r="VN2" s="4"/>
      <c r="VO2" s="4"/>
      <c r="VP2" s="4"/>
      <c r="VQ2" s="4"/>
      <c r="VR2" s="4"/>
      <c r="VS2" s="4"/>
      <c r="VT2" s="4"/>
      <c r="VU2" s="4"/>
      <c r="VV2" s="4"/>
      <c r="VW2" s="4"/>
      <c r="VX2" s="4"/>
      <c r="VY2" s="4"/>
      <c r="VZ2" s="4"/>
      <c r="WA2" s="4"/>
      <c r="WB2" s="4"/>
      <c r="WC2" s="4"/>
      <c r="WD2" s="4"/>
      <c r="WE2" s="4"/>
      <c r="WF2" s="4"/>
      <c r="WG2" s="4"/>
      <c r="WH2" s="4"/>
      <c r="WI2" s="4"/>
      <c r="WJ2" s="4"/>
      <c r="WK2" s="4"/>
      <c r="WL2" s="4"/>
      <c r="WM2" s="4"/>
      <c r="WN2" s="4"/>
      <c r="WO2" s="4"/>
      <c r="WP2" s="4"/>
      <c r="WQ2" s="4"/>
      <c r="WR2" s="4"/>
      <c r="WS2" s="4"/>
      <c r="WT2" s="4"/>
      <c r="WU2" s="4"/>
      <c r="WV2" s="4"/>
      <c r="WW2" s="4"/>
      <c r="WX2" s="4"/>
      <c r="WY2" s="4"/>
      <c r="WZ2" s="4"/>
      <c r="XA2" s="4"/>
      <c r="XB2" s="4"/>
      <c r="XC2" s="4"/>
      <c r="XD2" s="4"/>
      <c r="XE2" s="4"/>
      <c r="XF2" s="4"/>
      <c r="XG2" s="4"/>
      <c r="XH2" s="4"/>
      <c r="XI2" s="4"/>
      <c r="XJ2" s="4"/>
      <c r="XK2" s="4"/>
      <c r="XL2" s="4"/>
      <c r="XM2" s="4"/>
      <c r="XN2" s="4"/>
      <c r="XO2" s="4"/>
      <c r="XP2" s="4"/>
      <c r="XQ2" s="4"/>
      <c r="XR2" s="4"/>
      <c r="XS2" s="4"/>
      <c r="XT2" s="4"/>
      <c r="XU2" s="4"/>
      <c r="XV2" s="4"/>
      <c r="XW2" s="4"/>
      <c r="XX2" s="4"/>
      <c r="XY2" s="4"/>
      <c r="XZ2" s="4"/>
      <c r="YA2" s="4"/>
      <c r="YB2" s="4"/>
      <c r="YC2" s="4"/>
      <c r="YD2" s="4"/>
      <c r="YE2" s="4"/>
      <c r="YF2" s="4"/>
      <c r="YG2" s="4"/>
      <c r="YH2" s="4"/>
      <c r="YI2" s="4"/>
      <c r="YJ2" s="4"/>
      <c r="YK2" s="4"/>
      <c r="YL2" s="4"/>
      <c r="YM2" s="4"/>
      <c r="YN2" s="4"/>
      <c r="YO2" s="4"/>
      <c r="YP2" s="4"/>
      <c r="YQ2" s="4"/>
      <c r="YR2" s="4"/>
      <c r="YS2" s="4"/>
      <c r="YT2" s="4"/>
      <c r="YU2" s="4"/>
      <c r="YV2" s="4"/>
      <c r="YW2" s="4"/>
      <c r="YX2" s="4"/>
      <c r="YY2" s="4"/>
      <c r="YZ2" s="4"/>
      <c r="ZA2" s="4"/>
      <c r="ZB2" s="4"/>
      <c r="ZC2" s="4"/>
      <c r="ZD2" s="4"/>
      <c r="ZE2" s="4"/>
      <c r="ZF2" s="4"/>
      <c r="ZG2" s="4"/>
      <c r="ZH2" s="4"/>
      <c r="ZI2" s="4"/>
      <c r="ZJ2" s="4"/>
      <c r="ZK2" s="4"/>
      <c r="ZL2" s="4"/>
      <c r="ZM2" s="4"/>
      <c r="ZN2" s="4"/>
      <c r="ZO2" s="4"/>
      <c r="ZP2" s="4"/>
      <c r="ZQ2" s="4"/>
      <c r="ZR2" s="4"/>
      <c r="ZS2" s="4"/>
      <c r="ZT2" s="4"/>
      <c r="ZU2" s="4"/>
      <c r="ZV2" s="4"/>
      <c r="ZW2" s="4"/>
      <c r="ZX2" s="4"/>
      <c r="ZY2" s="4"/>
      <c r="ZZ2" s="4"/>
      <c r="AAA2" s="4"/>
      <c r="AAB2" s="4"/>
      <c r="AAC2" s="4"/>
      <c r="AAD2" s="4"/>
      <c r="AAE2" s="4"/>
      <c r="AAF2" s="4"/>
      <c r="AAG2" s="4"/>
      <c r="AAH2" s="4"/>
      <c r="AAI2" s="4"/>
      <c r="AAJ2" s="4"/>
      <c r="AAK2" s="4"/>
      <c r="AAL2" s="4"/>
      <c r="AAM2" s="4"/>
      <c r="AAN2" s="4"/>
      <c r="AAO2" s="4"/>
      <c r="AAP2" s="4"/>
      <c r="AAQ2" s="4"/>
      <c r="AAR2" s="4"/>
      <c r="AAS2" s="4"/>
      <c r="AAT2" s="4"/>
      <c r="AAU2" s="4"/>
      <c r="AAV2" s="4"/>
      <c r="AAW2" s="4"/>
      <c r="AAX2" s="4"/>
      <c r="AAY2" s="4"/>
      <c r="AAZ2" s="4"/>
      <c r="ABA2" s="4"/>
      <c r="ABB2" s="4"/>
      <c r="ABC2" s="4"/>
      <c r="ABD2" s="4"/>
      <c r="ABE2" s="4"/>
      <c r="ABF2" s="4"/>
      <c r="ABG2" s="4"/>
      <c r="ABH2" s="4"/>
      <c r="ABI2" s="4"/>
      <c r="ABJ2" s="4"/>
      <c r="ABK2" s="4"/>
      <c r="ABL2" s="4"/>
      <c r="ABM2" s="4"/>
      <c r="ABN2" s="4"/>
      <c r="ABO2" s="4"/>
      <c r="ABP2" s="4"/>
      <c r="ABQ2" s="4"/>
      <c r="ABR2" s="4"/>
      <c r="ABS2" s="4"/>
      <c r="ABT2" s="4"/>
      <c r="ABU2" s="4"/>
      <c r="ABV2" s="4"/>
      <c r="ABW2" s="4"/>
      <c r="ABX2" s="4"/>
      <c r="ABY2" s="4"/>
      <c r="ABZ2" s="4"/>
      <c r="ACA2" s="4"/>
      <c r="ACB2" s="4"/>
      <c r="ACC2" s="4"/>
      <c r="ACD2" s="4"/>
      <c r="ACE2" s="4"/>
      <c r="ACF2" s="4"/>
      <c r="ACG2" s="4"/>
      <c r="ACH2" s="4"/>
      <c r="ACI2" s="4"/>
      <c r="ACJ2" s="4"/>
      <c r="ACK2" s="4"/>
      <c r="ACL2" s="4"/>
      <c r="ACM2" s="4"/>
      <c r="ACN2" s="4"/>
      <c r="ACO2" s="4"/>
      <c r="ACP2" s="4"/>
      <c r="ACQ2" s="4"/>
      <c r="ACR2" s="4"/>
      <c r="ACS2" s="4"/>
      <c r="ACT2" s="4"/>
      <c r="ACU2" s="4"/>
      <c r="ACV2" s="4"/>
      <c r="ACW2" s="4"/>
      <c r="ACX2" s="4"/>
      <c r="ACY2" s="4"/>
      <c r="ACZ2" s="4"/>
      <c r="ADA2" s="4"/>
      <c r="ADB2" s="4"/>
      <c r="ADC2" s="4"/>
      <c r="ADD2" s="4"/>
      <c r="ADE2" s="4"/>
      <c r="ADF2" s="4"/>
      <c r="ADG2" s="4"/>
      <c r="ADH2" s="4"/>
      <c r="ADI2" s="4"/>
      <c r="ADJ2" s="4"/>
      <c r="ADK2" s="4"/>
      <c r="ADL2" s="4"/>
      <c r="ADM2" s="4"/>
      <c r="ADN2" s="4"/>
      <c r="ADO2" s="4"/>
      <c r="ADP2" s="4"/>
      <c r="ADQ2" s="4"/>
      <c r="ADR2" s="4"/>
      <c r="ADS2" s="4"/>
      <c r="ADT2" s="4"/>
      <c r="ADU2" s="4"/>
      <c r="ADV2" s="4"/>
      <c r="ADW2" s="4"/>
      <c r="ADX2" s="4"/>
      <c r="ADY2" s="4"/>
      <c r="ADZ2" s="4"/>
      <c r="AEA2" s="4"/>
      <c r="AEB2" s="4"/>
      <c r="AEC2" s="4"/>
      <c r="AED2" s="4"/>
      <c r="AEE2" s="4"/>
      <c r="AEF2" s="4"/>
      <c r="AEG2" s="4"/>
      <c r="AEH2" s="4"/>
      <c r="AEI2" s="4"/>
      <c r="AEJ2" s="4"/>
      <c r="AEK2" s="4"/>
      <c r="AEL2" s="4"/>
      <c r="AEM2" s="4"/>
      <c r="AEN2" s="4"/>
      <c r="AEO2" s="4"/>
      <c r="AEP2" s="4"/>
      <c r="AEQ2" s="4"/>
      <c r="AER2" s="4"/>
      <c r="AES2" s="4"/>
      <c r="AET2" s="4"/>
      <c r="AEU2" s="4"/>
      <c r="AEV2" s="4"/>
      <c r="AEW2" s="4"/>
      <c r="AEX2" s="4"/>
      <c r="AEY2" s="4"/>
      <c r="AEZ2" s="4"/>
      <c r="AFA2" s="4"/>
      <c r="AFB2" s="4"/>
      <c r="AFC2" s="4"/>
      <c r="AFD2" s="4"/>
      <c r="AFE2" s="4"/>
      <c r="AFF2" s="4"/>
      <c r="AFG2" s="4"/>
      <c r="AFH2" s="4"/>
      <c r="AFI2" s="4"/>
      <c r="AFJ2" s="4"/>
      <c r="AFK2" s="4"/>
      <c r="AFL2" s="4"/>
      <c r="AFM2" s="4"/>
      <c r="AFN2" s="4"/>
      <c r="AFO2" s="4"/>
      <c r="AFP2" s="4"/>
      <c r="AFQ2" s="4"/>
      <c r="AFR2" s="4"/>
      <c r="AFS2" s="4"/>
      <c r="AFT2" s="4"/>
      <c r="AFU2" s="4"/>
      <c r="AFV2" s="4"/>
      <c r="AFW2" s="4"/>
      <c r="AFX2" s="4"/>
      <c r="AFY2" s="4"/>
      <c r="AFZ2" s="4"/>
      <c r="AGA2" s="4"/>
      <c r="AGB2" s="4"/>
      <c r="AGC2" s="4"/>
      <c r="AGD2" s="4"/>
      <c r="AGE2" s="4"/>
      <c r="AGF2" s="4"/>
      <c r="AGG2" s="4"/>
      <c r="AGH2" s="4"/>
      <c r="AGI2" s="4"/>
      <c r="AGJ2" s="4"/>
      <c r="AGK2" s="4"/>
      <c r="AGL2" s="4"/>
      <c r="AGM2" s="4"/>
      <c r="AGN2" s="4"/>
      <c r="AGO2" s="4"/>
      <c r="AGP2" s="4"/>
      <c r="AGQ2" s="4"/>
      <c r="AGR2" s="4"/>
      <c r="AGS2" s="4"/>
      <c r="AGT2" s="4"/>
      <c r="AGU2" s="4"/>
      <c r="AGV2" s="4"/>
      <c r="AGW2" s="4"/>
      <c r="AGX2" s="4"/>
      <c r="AGY2" s="4"/>
      <c r="AGZ2" s="4"/>
      <c r="AHA2" s="4"/>
      <c r="AHB2" s="4"/>
      <c r="AHC2" s="4"/>
      <c r="AHD2" s="4"/>
      <c r="AHE2" s="4"/>
      <c r="AHF2" s="4"/>
      <c r="AHG2" s="4"/>
      <c r="AHH2" s="4"/>
      <c r="AHI2" s="4"/>
      <c r="AHJ2" s="4"/>
      <c r="AHK2" s="4"/>
      <c r="AHL2" s="4"/>
      <c r="AHM2" s="4"/>
      <c r="AHN2" s="4"/>
      <c r="AHO2" s="4"/>
      <c r="AHP2" s="4"/>
      <c r="AHQ2" s="4"/>
      <c r="AHR2" s="4"/>
      <c r="AHS2" s="4"/>
      <c r="AHT2" s="4"/>
      <c r="AHU2" s="4"/>
      <c r="AHV2" s="4"/>
      <c r="AHW2" s="4"/>
      <c r="AHX2" s="4"/>
      <c r="AHY2" s="4"/>
      <c r="AHZ2" s="4"/>
      <c r="AIA2" s="4"/>
      <c r="AIB2" s="4"/>
      <c r="AIC2" s="4"/>
      <c r="AID2" s="4"/>
      <c r="AIE2" s="4"/>
      <c r="AIF2" s="4"/>
      <c r="AIG2" s="4"/>
      <c r="AIH2" s="4"/>
      <c r="AII2" s="4"/>
      <c r="AIJ2" s="4"/>
      <c r="AIK2" s="4"/>
      <c r="AIL2" s="4"/>
      <c r="AIM2" s="4"/>
      <c r="AIN2" s="4"/>
      <c r="AIO2" s="4"/>
      <c r="AIP2" s="4"/>
      <c r="AIQ2" s="4"/>
      <c r="AIR2" s="4"/>
      <c r="AIS2" s="4"/>
      <c r="AIT2" s="4"/>
      <c r="AIU2" s="4"/>
      <c r="AIV2" s="4"/>
      <c r="AIW2" s="4"/>
      <c r="AIX2" s="4"/>
      <c r="AIY2" s="4"/>
      <c r="AIZ2" s="4"/>
      <c r="AJA2" s="4"/>
      <c r="AJB2" s="4"/>
      <c r="AJC2" s="4"/>
      <c r="AJD2" s="4"/>
      <c r="AJE2" s="4"/>
      <c r="AJF2" s="4"/>
      <c r="AJG2" s="4"/>
      <c r="AJH2" s="4"/>
      <c r="AJI2" s="4"/>
      <c r="AJJ2" s="4"/>
      <c r="AJK2" s="4"/>
      <c r="AJL2" s="4"/>
      <c r="AJM2" s="4"/>
      <c r="AJN2" s="4"/>
      <c r="AJO2" s="4"/>
      <c r="AJP2" s="4"/>
      <c r="AJQ2" s="4"/>
      <c r="AJR2" s="4"/>
      <c r="AJS2" s="4"/>
      <c r="AJT2" s="4"/>
      <c r="AJU2" s="4"/>
      <c r="AJV2" s="4"/>
      <c r="AJW2" s="4"/>
      <c r="AJX2" s="4"/>
      <c r="AJY2" s="4"/>
      <c r="AJZ2" s="4"/>
      <c r="AKA2" s="4"/>
      <c r="AKB2" s="4"/>
      <c r="AKC2" s="4"/>
      <c r="AKD2" s="4"/>
      <c r="AKE2" s="4"/>
      <c r="AKF2" s="4"/>
      <c r="AKG2" s="4"/>
      <c r="AKH2" s="4"/>
      <c r="AKI2" s="4"/>
      <c r="AKJ2" s="4"/>
      <c r="AKK2" s="4"/>
      <c r="AKL2" s="4"/>
      <c r="AKM2" s="4"/>
      <c r="AKN2" s="4"/>
      <c r="AKO2" s="4"/>
      <c r="AKP2" s="4"/>
      <c r="AKQ2" s="4"/>
      <c r="AKR2" s="4"/>
      <c r="AKS2" s="4"/>
      <c r="AKT2" s="4"/>
      <c r="AKU2" s="4"/>
      <c r="AKV2" s="4"/>
      <c r="AKW2" s="4"/>
      <c r="AKX2" s="4"/>
      <c r="AKY2" s="4"/>
      <c r="AKZ2" s="4"/>
      <c r="ALA2" s="4"/>
      <c r="ALB2" s="4"/>
      <c r="ALC2" s="4"/>
      <c r="ALD2" s="4"/>
      <c r="ALE2" s="4"/>
      <c r="ALF2" s="4"/>
      <c r="ALG2" s="4"/>
      <c r="ALH2" s="4"/>
      <c r="ALI2" s="4"/>
      <c r="ALJ2" s="4"/>
      <c r="ALK2" s="4"/>
      <c r="ALL2" s="4"/>
      <c r="ALM2" s="4"/>
      <c r="ALN2" s="4"/>
      <c r="ALO2" s="4"/>
      <c r="ALP2" s="4"/>
      <c r="ALQ2" s="4"/>
      <c r="ALR2" s="4"/>
      <c r="ALS2" s="4"/>
      <c r="ALT2" s="4"/>
      <c r="ALU2" s="4"/>
      <c r="ALV2" s="4"/>
      <c r="ALW2" s="4"/>
      <c r="ALX2" s="4"/>
      <c r="ALY2" s="4"/>
    </row>
    <row r="3" spans="1:1013" ht="30" customHeight="1" x14ac:dyDescent="0.25">
      <c r="A3" s="8" t="s">
        <v>52</v>
      </c>
      <c r="B3" s="12" t="s">
        <v>68</v>
      </c>
      <c r="C3" s="16" t="s">
        <v>66</v>
      </c>
      <c r="D3" s="23">
        <v>43</v>
      </c>
      <c r="E3" s="26" t="s">
        <v>33</v>
      </c>
      <c r="F3" s="3">
        <v>60</v>
      </c>
      <c r="G3" s="11" t="s">
        <v>71</v>
      </c>
      <c r="H3" s="11" t="s">
        <v>72</v>
      </c>
      <c r="I3" s="3">
        <v>47</v>
      </c>
      <c r="J3" s="3">
        <v>59</v>
      </c>
      <c r="K3" s="3">
        <v>22</v>
      </c>
      <c r="L3" s="3">
        <v>18</v>
      </c>
      <c r="M3" s="3">
        <v>125</v>
      </c>
      <c r="N3" s="3">
        <v>125</v>
      </c>
      <c r="O3" s="3">
        <v>129</v>
      </c>
      <c r="P3" s="3">
        <v>72</v>
      </c>
      <c r="Q3" s="3">
        <v>45</v>
      </c>
      <c r="R3" s="11">
        <v>47</v>
      </c>
      <c r="S3" s="11">
        <v>60</v>
      </c>
      <c r="T3" s="11">
        <v>20</v>
      </c>
      <c r="U3" s="11">
        <v>16</v>
      </c>
      <c r="V3" s="11">
        <v>33</v>
      </c>
      <c r="W3" s="11">
        <v>32</v>
      </c>
      <c r="X3" s="11">
        <v>33</v>
      </c>
      <c r="Y3" s="11">
        <v>72</v>
      </c>
      <c r="Z3" s="11">
        <v>45</v>
      </c>
      <c r="AA3" s="3">
        <v>47</v>
      </c>
      <c r="AB3" s="3">
        <v>26</v>
      </c>
      <c r="AC3" s="3">
        <v>21</v>
      </c>
      <c r="AD3" s="3">
        <v>33</v>
      </c>
      <c r="AE3" s="3">
        <v>32</v>
      </c>
      <c r="AF3" s="3">
        <v>33</v>
      </c>
      <c r="AG3" s="3">
        <v>72</v>
      </c>
      <c r="AH3" s="3">
        <v>45</v>
      </c>
      <c r="AI3" s="3">
        <v>115</v>
      </c>
      <c r="AJ3" s="3">
        <v>124</v>
      </c>
      <c r="AK3" s="3">
        <v>76</v>
      </c>
      <c r="AL3" s="3">
        <v>39</v>
      </c>
      <c r="AM3" s="3">
        <v>28</v>
      </c>
      <c r="AN3" s="3">
        <v>22</v>
      </c>
      <c r="AO3" s="3">
        <v>92</v>
      </c>
      <c r="AP3" s="2">
        <v>1</v>
      </c>
      <c r="AQ3" s="21" t="s">
        <v>100</v>
      </c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  <c r="EW3" s="4"/>
      <c r="EX3" s="4"/>
      <c r="EY3" s="4"/>
      <c r="EZ3" s="4"/>
      <c r="FA3" s="4"/>
      <c r="FB3" s="4"/>
      <c r="FC3" s="4"/>
      <c r="FD3" s="4"/>
      <c r="FE3" s="4"/>
      <c r="FF3" s="4"/>
      <c r="FG3" s="4"/>
      <c r="FH3" s="4"/>
      <c r="FI3" s="4"/>
      <c r="FJ3" s="4"/>
      <c r="FK3" s="4"/>
      <c r="FL3" s="4"/>
      <c r="FM3" s="4"/>
      <c r="FN3" s="4"/>
      <c r="FO3" s="4"/>
      <c r="FP3" s="4"/>
      <c r="FQ3" s="4"/>
      <c r="FR3" s="4"/>
      <c r="FS3" s="4"/>
      <c r="FT3" s="4"/>
      <c r="FU3" s="4"/>
      <c r="FV3" s="4"/>
      <c r="FW3" s="4"/>
      <c r="FX3" s="4"/>
      <c r="FY3" s="4"/>
      <c r="FZ3" s="4"/>
      <c r="GA3" s="4"/>
      <c r="GB3" s="4"/>
      <c r="GC3" s="4"/>
      <c r="GD3" s="4"/>
      <c r="GE3" s="4"/>
      <c r="GF3" s="4"/>
      <c r="GG3" s="4"/>
      <c r="GH3" s="4"/>
      <c r="GI3" s="4"/>
      <c r="GJ3" s="4"/>
      <c r="GK3" s="4"/>
      <c r="GL3" s="4"/>
      <c r="GM3" s="4"/>
      <c r="GN3" s="4"/>
      <c r="GO3" s="4"/>
      <c r="GP3" s="4"/>
      <c r="GQ3" s="4"/>
      <c r="GR3" s="4"/>
      <c r="GS3" s="4"/>
      <c r="GT3" s="4"/>
      <c r="GU3" s="4"/>
      <c r="GV3" s="4"/>
      <c r="GW3" s="4"/>
      <c r="GX3" s="4"/>
      <c r="GY3" s="4"/>
      <c r="GZ3" s="4"/>
      <c r="HA3" s="4"/>
      <c r="HB3" s="4"/>
      <c r="HC3" s="4"/>
      <c r="HD3" s="4"/>
      <c r="HE3" s="4"/>
      <c r="HF3" s="4"/>
      <c r="HG3" s="4"/>
      <c r="HH3" s="4"/>
      <c r="HI3" s="4"/>
      <c r="HJ3" s="4"/>
      <c r="HK3" s="4"/>
      <c r="HL3" s="4"/>
      <c r="HM3" s="4"/>
      <c r="HN3" s="4"/>
      <c r="HO3" s="4"/>
      <c r="HP3" s="4"/>
      <c r="HQ3" s="4"/>
      <c r="HR3" s="4"/>
      <c r="HS3" s="4"/>
      <c r="HT3" s="4"/>
      <c r="HU3" s="4"/>
      <c r="HV3" s="4"/>
      <c r="HW3" s="4"/>
      <c r="HX3" s="4"/>
      <c r="HY3" s="4"/>
      <c r="HZ3" s="4"/>
      <c r="IA3" s="4"/>
      <c r="IB3" s="4"/>
      <c r="IC3" s="4"/>
      <c r="ID3" s="4"/>
      <c r="IE3" s="4"/>
      <c r="IF3" s="4"/>
      <c r="IG3" s="4"/>
      <c r="IH3" s="4"/>
      <c r="II3" s="4"/>
      <c r="IJ3" s="4"/>
      <c r="IK3" s="4"/>
      <c r="IL3" s="4"/>
      <c r="IM3" s="4"/>
      <c r="IN3" s="4"/>
      <c r="IO3" s="4"/>
      <c r="IP3" s="4"/>
      <c r="IQ3" s="4"/>
      <c r="IR3" s="4"/>
      <c r="IS3" s="4"/>
      <c r="IT3" s="4"/>
      <c r="IU3" s="4"/>
      <c r="IV3" s="4"/>
      <c r="IW3" s="4"/>
      <c r="IX3" s="4"/>
      <c r="IY3" s="4"/>
      <c r="IZ3" s="4"/>
      <c r="JA3" s="4"/>
      <c r="JB3" s="4"/>
      <c r="JC3" s="4"/>
      <c r="JD3" s="4"/>
      <c r="JE3" s="4"/>
      <c r="JF3" s="4"/>
      <c r="JG3" s="4"/>
      <c r="JH3" s="4"/>
      <c r="JI3" s="4"/>
      <c r="JJ3" s="4"/>
      <c r="JK3" s="4"/>
      <c r="JL3" s="4"/>
      <c r="JM3" s="4"/>
      <c r="JN3" s="4"/>
      <c r="JO3" s="4"/>
      <c r="JP3" s="4"/>
      <c r="JQ3" s="4"/>
      <c r="JR3" s="4"/>
      <c r="JS3" s="4"/>
      <c r="JT3" s="4"/>
      <c r="JU3" s="4"/>
      <c r="JV3" s="4"/>
      <c r="JW3" s="4"/>
      <c r="JX3" s="4"/>
      <c r="JY3" s="4"/>
      <c r="JZ3" s="4"/>
      <c r="KA3" s="4"/>
      <c r="KB3" s="4"/>
      <c r="KC3" s="4"/>
      <c r="KD3" s="4"/>
      <c r="KE3" s="4"/>
      <c r="KF3" s="4"/>
      <c r="KG3" s="4"/>
      <c r="KH3" s="4"/>
      <c r="KI3" s="4"/>
      <c r="KJ3" s="4"/>
      <c r="KK3" s="4"/>
      <c r="KL3" s="4"/>
      <c r="KM3" s="4"/>
      <c r="KN3" s="4"/>
      <c r="KO3" s="4"/>
      <c r="KP3" s="4"/>
      <c r="KQ3" s="4"/>
      <c r="KR3" s="4"/>
      <c r="KS3" s="4"/>
      <c r="KT3" s="4"/>
      <c r="KU3" s="4"/>
      <c r="KV3" s="4"/>
      <c r="KW3" s="4"/>
      <c r="KX3" s="4"/>
      <c r="KY3" s="4"/>
      <c r="KZ3" s="4"/>
      <c r="LA3" s="4"/>
      <c r="LB3" s="4"/>
      <c r="LC3" s="4"/>
      <c r="LD3" s="4"/>
      <c r="LE3" s="4"/>
      <c r="LF3" s="4"/>
      <c r="LG3" s="4"/>
      <c r="LH3" s="4"/>
      <c r="LI3" s="4"/>
      <c r="LJ3" s="4"/>
      <c r="LK3" s="4"/>
      <c r="LL3" s="4"/>
      <c r="LM3" s="4"/>
      <c r="LN3" s="4"/>
      <c r="LO3" s="4"/>
      <c r="LP3" s="4"/>
      <c r="LQ3" s="4"/>
      <c r="LR3" s="4"/>
      <c r="LS3" s="4"/>
      <c r="LT3" s="4"/>
      <c r="LU3" s="4"/>
      <c r="LV3" s="4"/>
      <c r="LW3" s="4"/>
      <c r="LX3" s="4"/>
      <c r="LY3" s="4"/>
      <c r="LZ3" s="4"/>
      <c r="MA3" s="4"/>
      <c r="MB3" s="4"/>
      <c r="MC3" s="4"/>
      <c r="MD3" s="4"/>
      <c r="ME3" s="4"/>
      <c r="MF3" s="4"/>
      <c r="MG3" s="4"/>
      <c r="MH3" s="4"/>
      <c r="MI3" s="4"/>
      <c r="MJ3" s="4"/>
      <c r="MK3" s="4"/>
      <c r="ML3" s="4"/>
      <c r="MM3" s="4"/>
      <c r="MN3" s="4"/>
      <c r="MO3" s="4"/>
      <c r="MP3" s="4"/>
      <c r="MQ3" s="4"/>
      <c r="MR3" s="4"/>
      <c r="MS3" s="4"/>
      <c r="MT3" s="4"/>
      <c r="MU3" s="4"/>
      <c r="MV3" s="4"/>
      <c r="MW3" s="4"/>
      <c r="MX3" s="4"/>
      <c r="MY3" s="4"/>
      <c r="MZ3" s="4"/>
      <c r="NA3" s="4"/>
      <c r="NB3" s="4"/>
      <c r="NC3" s="4"/>
      <c r="ND3" s="4"/>
      <c r="NE3" s="4"/>
      <c r="NF3" s="4"/>
      <c r="NG3" s="4"/>
      <c r="NH3" s="4"/>
      <c r="NI3" s="4"/>
      <c r="NJ3" s="4"/>
      <c r="NK3" s="4"/>
      <c r="NL3" s="4"/>
      <c r="NM3" s="4"/>
      <c r="NN3" s="4"/>
      <c r="NO3" s="4"/>
      <c r="NP3" s="4"/>
      <c r="NQ3" s="4"/>
      <c r="NR3" s="4"/>
      <c r="NS3" s="4"/>
      <c r="NT3" s="4"/>
      <c r="NU3" s="4"/>
      <c r="NV3" s="4"/>
      <c r="NW3" s="4"/>
      <c r="NX3" s="4"/>
      <c r="NY3" s="4"/>
      <c r="NZ3" s="4"/>
      <c r="OA3" s="4"/>
      <c r="OB3" s="4"/>
      <c r="OC3" s="4"/>
      <c r="OD3" s="4"/>
      <c r="OE3" s="4"/>
      <c r="OF3" s="4"/>
      <c r="OG3" s="4"/>
      <c r="OH3" s="4"/>
      <c r="OI3" s="4"/>
      <c r="OJ3" s="4"/>
      <c r="OK3" s="4"/>
      <c r="OL3" s="4"/>
      <c r="OM3" s="4"/>
      <c r="ON3" s="4"/>
      <c r="OO3" s="4"/>
      <c r="OP3" s="4"/>
      <c r="OQ3" s="4"/>
      <c r="OR3" s="4"/>
      <c r="OS3" s="4"/>
      <c r="OT3" s="4"/>
      <c r="OU3" s="4"/>
      <c r="OV3" s="4"/>
      <c r="OW3" s="4"/>
      <c r="OX3" s="4"/>
      <c r="OY3" s="4"/>
      <c r="OZ3" s="4"/>
      <c r="PA3" s="4"/>
      <c r="PB3" s="4"/>
      <c r="PC3" s="4"/>
      <c r="PD3" s="4"/>
      <c r="PE3" s="4"/>
      <c r="PF3" s="4"/>
      <c r="PG3" s="4"/>
      <c r="PH3" s="4"/>
      <c r="PI3" s="4"/>
      <c r="PJ3" s="4"/>
      <c r="PK3" s="4"/>
      <c r="PL3" s="4"/>
      <c r="PM3" s="4"/>
      <c r="PN3" s="4"/>
      <c r="PO3" s="4"/>
      <c r="PP3" s="4"/>
      <c r="PQ3" s="4"/>
      <c r="PR3" s="4"/>
      <c r="PS3" s="4"/>
      <c r="PT3" s="4"/>
      <c r="PU3" s="4"/>
      <c r="PV3" s="4"/>
      <c r="PW3" s="4"/>
      <c r="PX3" s="4"/>
      <c r="PY3" s="4"/>
      <c r="PZ3" s="4"/>
      <c r="QA3" s="4"/>
      <c r="QB3" s="4"/>
      <c r="QC3" s="4"/>
      <c r="QD3" s="4"/>
      <c r="QE3" s="4"/>
      <c r="QF3" s="4"/>
      <c r="QG3" s="4"/>
      <c r="QH3" s="4"/>
      <c r="QI3" s="4"/>
      <c r="QJ3" s="4"/>
      <c r="QK3" s="4"/>
      <c r="QL3" s="4"/>
      <c r="QM3" s="4"/>
      <c r="QN3" s="4"/>
      <c r="QO3" s="4"/>
      <c r="QP3" s="4"/>
      <c r="QQ3" s="4"/>
      <c r="QR3" s="4"/>
      <c r="QS3" s="4"/>
      <c r="QT3" s="4"/>
      <c r="QU3" s="4"/>
      <c r="QV3" s="4"/>
      <c r="QW3" s="4"/>
      <c r="QX3" s="4"/>
      <c r="QY3" s="4"/>
      <c r="QZ3" s="4"/>
      <c r="RA3" s="4"/>
      <c r="RB3" s="4"/>
      <c r="RC3" s="4"/>
      <c r="RD3" s="4"/>
      <c r="RE3" s="4"/>
      <c r="RF3" s="4"/>
      <c r="RG3" s="4"/>
      <c r="RH3" s="4"/>
      <c r="RI3" s="4"/>
      <c r="RJ3" s="4"/>
      <c r="RK3" s="4"/>
      <c r="RL3" s="4"/>
      <c r="RM3" s="4"/>
      <c r="RN3" s="4"/>
      <c r="RO3" s="4"/>
      <c r="RP3" s="4"/>
      <c r="RQ3" s="4"/>
      <c r="RR3" s="4"/>
      <c r="RS3" s="4"/>
      <c r="RT3" s="4"/>
      <c r="RU3" s="4"/>
      <c r="RV3" s="4"/>
      <c r="RW3" s="4"/>
      <c r="RX3" s="4"/>
      <c r="RY3" s="4"/>
      <c r="RZ3" s="4"/>
      <c r="SA3" s="4"/>
      <c r="SB3" s="4"/>
      <c r="SC3" s="4"/>
      <c r="SD3" s="4"/>
      <c r="SE3" s="4"/>
      <c r="SF3" s="4"/>
      <c r="SG3" s="4"/>
      <c r="SH3" s="4"/>
      <c r="SI3" s="4"/>
      <c r="SJ3" s="4"/>
      <c r="SK3" s="4"/>
      <c r="SL3" s="4"/>
      <c r="SM3" s="4"/>
      <c r="SN3" s="4"/>
      <c r="SO3" s="4"/>
      <c r="SP3" s="4"/>
      <c r="SQ3" s="4"/>
      <c r="SR3" s="4"/>
      <c r="SS3" s="4"/>
      <c r="ST3" s="4"/>
      <c r="SU3" s="4"/>
      <c r="SV3" s="4"/>
      <c r="SW3" s="4"/>
      <c r="SX3" s="4"/>
      <c r="SY3" s="4"/>
      <c r="SZ3" s="4"/>
      <c r="TA3" s="4"/>
      <c r="TB3" s="4"/>
      <c r="TC3" s="4"/>
      <c r="TD3" s="4"/>
      <c r="TE3" s="4"/>
      <c r="TF3" s="4"/>
      <c r="TG3" s="4"/>
      <c r="TH3" s="4"/>
      <c r="TI3" s="4"/>
      <c r="TJ3" s="4"/>
      <c r="TK3" s="4"/>
      <c r="TL3" s="4"/>
      <c r="TM3" s="4"/>
      <c r="TN3" s="4"/>
      <c r="TO3" s="4"/>
      <c r="TP3" s="4"/>
      <c r="TQ3" s="4"/>
      <c r="TR3" s="4"/>
      <c r="TS3" s="4"/>
      <c r="TT3" s="4"/>
      <c r="TU3" s="4"/>
      <c r="TV3" s="4"/>
      <c r="TW3" s="4"/>
      <c r="TX3" s="4"/>
      <c r="TY3" s="4"/>
      <c r="TZ3" s="4"/>
      <c r="UA3" s="4"/>
      <c r="UB3" s="4"/>
      <c r="UC3" s="4"/>
      <c r="UD3" s="4"/>
      <c r="UE3" s="4"/>
      <c r="UF3" s="4"/>
      <c r="UG3" s="4"/>
      <c r="UH3" s="4"/>
      <c r="UI3" s="4"/>
      <c r="UJ3" s="4"/>
      <c r="UK3" s="4"/>
      <c r="UL3" s="4"/>
      <c r="UM3" s="4"/>
      <c r="UN3" s="4"/>
      <c r="UO3" s="4"/>
      <c r="UP3" s="4"/>
      <c r="UQ3" s="4"/>
      <c r="UR3" s="4"/>
      <c r="US3" s="4"/>
      <c r="UT3" s="4"/>
      <c r="UU3" s="4"/>
      <c r="UV3" s="4"/>
      <c r="UW3" s="4"/>
      <c r="UX3" s="4"/>
      <c r="UY3" s="4"/>
      <c r="UZ3" s="4"/>
      <c r="VA3" s="4"/>
      <c r="VB3" s="4"/>
      <c r="VC3" s="4"/>
      <c r="VD3" s="4"/>
      <c r="VE3" s="4"/>
      <c r="VF3" s="4"/>
      <c r="VG3" s="4"/>
      <c r="VH3" s="4"/>
      <c r="VI3" s="4"/>
      <c r="VJ3" s="4"/>
      <c r="VK3" s="4"/>
      <c r="VL3" s="4"/>
      <c r="VM3" s="4"/>
      <c r="VN3" s="4"/>
      <c r="VO3" s="4"/>
      <c r="VP3" s="4"/>
      <c r="VQ3" s="4"/>
      <c r="VR3" s="4"/>
      <c r="VS3" s="4"/>
      <c r="VT3" s="4"/>
      <c r="VU3" s="4"/>
      <c r="VV3" s="4"/>
      <c r="VW3" s="4"/>
      <c r="VX3" s="4"/>
      <c r="VY3" s="4"/>
      <c r="VZ3" s="4"/>
      <c r="WA3" s="4"/>
      <c r="WB3" s="4"/>
      <c r="WC3" s="4"/>
      <c r="WD3" s="4"/>
      <c r="WE3" s="4"/>
      <c r="WF3" s="4"/>
      <c r="WG3" s="4"/>
      <c r="WH3" s="4"/>
      <c r="WI3" s="4"/>
      <c r="WJ3" s="4"/>
      <c r="WK3" s="4"/>
      <c r="WL3" s="4"/>
      <c r="WM3" s="4"/>
      <c r="WN3" s="4"/>
      <c r="WO3" s="4"/>
      <c r="WP3" s="4"/>
      <c r="WQ3" s="4"/>
      <c r="WR3" s="4"/>
      <c r="WS3" s="4"/>
      <c r="WT3" s="4"/>
      <c r="WU3" s="4"/>
      <c r="WV3" s="4"/>
      <c r="WW3" s="4"/>
      <c r="WX3" s="4"/>
      <c r="WY3" s="4"/>
      <c r="WZ3" s="4"/>
      <c r="XA3" s="4"/>
      <c r="XB3" s="4"/>
      <c r="XC3" s="4"/>
      <c r="XD3" s="4"/>
      <c r="XE3" s="4"/>
      <c r="XF3" s="4"/>
      <c r="XG3" s="4"/>
      <c r="XH3" s="4"/>
      <c r="XI3" s="4"/>
      <c r="XJ3" s="4"/>
      <c r="XK3" s="4"/>
      <c r="XL3" s="4"/>
      <c r="XM3" s="4"/>
      <c r="XN3" s="4"/>
      <c r="XO3" s="4"/>
      <c r="XP3" s="4"/>
      <c r="XQ3" s="4"/>
      <c r="XR3" s="4"/>
      <c r="XS3" s="4"/>
      <c r="XT3" s="4"/>
      <c r="XU3" s="4"/>
      <c r="XV3" s="4"/>
      <c r="XW3" s="4"/>
      <c r="XX3" s="4"/>
      <c r="XY3" s="4"/>
      <c r="XZ3" s="4"/>
      <c r="YA3" s="4"/>
      <c r="YB3" s="4"/>
      <c r="YC3" s="4"/>
      <c r="YD3" s="4"/>
      <c r="YE3" s="4"/>
      <c r="YF3" s="4"/>
      <c r="YG3" s="4"/>
      <c r="YH3" s="4"/>
      <c r="YI3" s="4"/>
      <c r="YJ3" s="4"/>
      <c r="YK3" s="4"/>
      <c r="YL3" s="4"/>
      <c r="YM3" s="4"/>
      <c r="YN3" s="4"/>
      <c r="YO3" s="4"/>
      <c r="YP3" s="4"/>
      <c r="YQ3" s="4"/>
      <c r="YR3" s="4"/>
      <c r="YS3" s="4"/>
      <c r="YT3" s="4"/>
      <c r="YU3" s="4"/>
      <c r="YV3" s="4"/>
      <c r="YW3" s="4"/>
      <c r="YX3" s="4"/>
      <c r="YY3" s="4"/>
      <c r="YZ3" s="4"/>
      <c r="ZA3" s="4"/>
      <c r="ZB3" s="4"/>
      <c r="ZC3" s="4"/>
      <c r="ZD3" s="4"/>
      <c r="ZE3" s="4"/>
      <c r="ZF3" s="4"/>
      <c r="ZG3" s="4"/>
      <c r="ZH3" s="4"/>
      <c r="ZI3" s="4"/>
      <c r="ZJ3" s="4"/>
      <c r="ZK3" s="4"/>
      <c r="ZL3" s="4"/>
      <c r="ZM3" s="4"/>
      <c r="ZN3" s="4"/>
      <c r="ZO3" s="4"/>
      <c r="ZP3" s="4"/>
      <c r="ZQ3" s="4"/>
      <c r="ZR3" s="4"/>
      <c r="ZS3" s="4"/>
      <c r="ZT3" s="4"/>
      <c r="ZU3" s="4"/>
      <c r="ZV3" s="4"/>
      <c r="ZW3" s="4"/>
      <c r="ZX3" s="4"/>
      <c r="ZY3" s="4"/>
      <c r="ZZ3" s="4"/>
      <c r="AAA3" s="4"/>
      <c r="AAB3" s="4"/>
      <c r="AAC3" s="4"/>
      <c r="AAD3" s="4"/>
      <c r="AAE3" s="4"/>
      <c r="AAF3" s="4"/>
      <c r="AAG3" s="4"/>
      <c r="AAH3" s="4"/>
      <c r="AAI3" s="4"/>
      <c r="AAJ3" s="4"/>
      <c r="AAK3" s="4"/>
      <c r="AAL3" s="4"/>
      <c r="AAM3" s="4"/>
      <c r="AAN3" s="4"/>
      <c r="AAO3" s="4"/>
      <c r="AAP3" s="4"/>
      <c r="AAQ3" s="4"/>
      <c r="AAR3" s="4"/>
      <c r="AAS3" s="4"/>
      <c r="AAT3" s="4"/>
      <c r="AAU3" s="4"/>
      <c r="AAV3" s="4"/>
      <c r="AAW3" s="4"/>
      <c r="AAX3" s="4"/>
      <c r="AAY3" s="4"/>
      <c r="AAZ3" s="4"/>
      <c r="ABA3" s="4"/>
      <c r="ABB3" s="4"/>
      <c r="ABC3" s="4"/>
      <c r="ABD3" s="4"/>
      <c r="ABE3" s="4"/>
      <c r="ABF3" s="4"/>
      <c r="ABG3" s="4"/>
      <c r="ABH3" s="4"/>
      <c r="ABI3" s="4"/>
      <c r="ABJ3" s="4"/>
      <c r="ABK3" s="4"/>
      <c r="ABL3" s="4"/>
      <c r="ABM3" s="4"/>
      <c r="ABN3" s="4"/>
      <c r="ABO3" s="4"/>
      <c r="ABP3" s="4"/>
      <c r="ABQ3" s="4"/>
      <c r="ABR3" s="4"/>
      <c r="ABS3" s="4"/>
      <c r="ABT3" s="4"/>
      <c r="ABU3" s="4"/>
      <c r="ABV3" s="4"/>
      <c r="ABW3" s="4"/>
      <c r="ABX3" s="4"/>
      <c r="ABY3" s="4"/>
      <c r="ABZ3" s="4"/>
      <c r="ACA3" s="4"/>
      <c r="ACB3" s="4"/>
      <c r="ACC3" s="4"/>
      <c r="ACD3" s="4"/>
      <c r="ACE3" s="4"/>
      <c r="ACF3" s="4"/>
      <c r="ACG3" s="4"/>
      <c r="ACH3" s="4"/>
      <c r="ACI3" s="4"/>
      <c r="ACJ3" s="4"/>
      <c r="ACK3" s="4"/>
      <c r="ACL3" s="4"/>
      <c r="ACM3" s="4"/>
      <c r="ACN3" s="4"/>
      <c r="ACO3" s="4"/>
      <c r="ACP3" s="4"/>
      <c r="ACQ3" s="4"/>
      <c r="ACR3" s="4"/>
      <c r="ACS3" s="4"/>
      <c r="ACT3" s="4"/>
      <c r="ACU3" s="4"/>
      <c r="ACV3" s="4"/>
      <c r="ACW3" s="4"/>
      <c r="ACX3" s="4"/>
      <c r="ACY3" s="4"/>
      <c r="ACZ3" s="4"/>
      <c r="ADA3" s="4"/>
      <c r="ADB3" s="4"/>
      <c r="ADC3" s="4"/>
      <c r="ADD3" s="4"/>
      <c r="ADE3" s="4"/>
      <c r="ADF3" s="4"/>
      <c r="ADG3" s="4"/>
      <c r="ADH3" s="4"/>
      <c r="ADI3" s="4"/>
      <c r="ADJ3" s="4"/>
      <c r="ADK3" s="4"/>
      <c r="ADL3" s="4"/>
      <c r="ADM3" s="4"/>
      <c r="ADN3" s="4"/>
      <c r="ADO3" s="4"/>
      <c r="ADP3" s="4"/>
      <c r="ADQ3" s="4"/>
      <c r="ADR3" s="4"/>
      <c r="ADS3" s="4"/>
      <c r="ADT3" s="4"/>
      <c r="ADU3" s="4"/>
      <c r="ADV3" s="4"/>
      <c r="ADW3" s="4"/>
      <c r="ADX3" s="4"/>
      <c r="ADY3" s="4"/>
      <c r="ADZ3" s="4"/>
      <c r="AEA3" s="4"/>
      <c r="AEB3" s="4"/>
      <c r="AEC3" s="4"/>
      <c r="AED3" s="4"/>
      <c r="AEE3" s="4"/>
      <c r="AEF3" s="4"/>
      <c r="AEG3" s="4"/>
      <c r="AEH3" s="4"/>
      <c r="AEI3" s="4"/>
      <c r="AEJ3" s="4"/>
      <c r="AEK3" s="4"/>
      <c r="AEL3" s="4"/>
      <c r="AEM3" s="4"/>
      <c r="AEN3" s="4"/>
      <c r="AEO3" s="4"/>
      <c r="AEP3" s="4"/>
      <c r="AEQ3" s="4"/>
      <c r="AER3" s="4"/>
      <c r="AES3" s="4"/>
      <c r="AET3" s="4"/>
      <c r="AEU3" s="4"/>
      <c r="AEV3" s="4"/>
      <c r="AEW3" s="4"/>
      <c r="AEX3" s="4"/>
      <c r="AEY3" s="4"/>
      <c r="AEZ3" s="4"/>
      <c r="AFA3" s="4"/>
      <c r="AFB3" s="4"/>
      <c r="AFC3" s="4"/>
      <c r="AFD3" s="4"/>
      <c r="AFE3" s="4"/>
      <c r="AFF3" s="4"/>
      <c r="AFG3" s="4"/>
      <c r="AFH3" s="4"/>
      <c r="AFI3" s="4"/>
      <c r="AFJ3" s="4"/>
      <c r="AFK3" s="4"/>
      <c r="AFL3" s="4"/>
      <c r="AFM3" s="4"/>
      <c r="AFN3" s="4"/>
      <c r="AFO3" s="4"/>
      <c r="AFP3" s="4"/>
      <c r="AFQ3" s="4"/>
      <c r="AFR3" s="4"/>
      <c r="AFS3" s="4"/>
      <c r="AFT3" s="4"/>
      <c r="AFU3" s="4"/>
      <c r="AFV3" s="4"/>
      <c r="AFW3" s="4"/>
      <c r="AFX3" s="4"/>
      <c r="AFY3" s="4"/>
      <c r="AFZ3" s="4"/>
      <c r="AGA3" s="4"/>
      <c r="AGB3" s="4"/>
      <c r="AGC3" s="4"/>
      <c r="AGD3" s="4"/>
      <c r="AGE3" s="4"/>
      <c r="AGF3" s="4"/>
      <c r="AGG3" s="4"/>
      <c r="AGH3" s="4"/>
      <c r="AGI3" s="4"/>
      <c r="AGJ3" s="4"/>
      <c r="AGK3" s="4"/>
      <c r="AGL3" s="4"/>
      <c r="AGM3" s="4"/>
      <c r="AGN3" s="4"/>
      <c r="AGO3" s="4"/>
      <c r="AGP3" s="4"/>
      <c r="AGQ3" s="4"/>
      <c r="AGR3" s="4"/>
      <c r="AGS3" s="4"/>
      <c r="AGT3" s="4"/>
      <c r="AGU3" s="4"/>
      <c r="AGV3" s="4"/>
      <c r="AGW3" s="4"/>
      <c r="AGX3" s="4"/>
      <c r="AGY3" s="4"/>
      <c r="AGZ3" s="4"/>
      <c r="AHA3" s="4"/>
      <c r="AHB3" s="4"/>
      <c r="AHC3" s="4"/>
      <c r="AHD3" s="4"/>
      <c r="AHE3" s="4"/>
      <c r="AHF3" s="4"/>
      <c r="AHG3" s="4"/>
      <c r="AHH3" s="4"/>
      <c r="AHI3" s="4"/>
      <c r="AHJ3" s="4"/>
      <c r="AHK3" s="4"/>
      <c r="AHL3" s="4"/>
      <c r="AHM3" s="4"/>
      <c r="AHN3" s="4"/>
      <c r="AHO3" s="4"/>
      <c r="AHP3" s="4"/>
      <c r="AHQ3" s="4"/>
      <c r="AHR3" s="4"/>
      <c r="AHS3" s="4"/>
      <c r="AHT3" s="4"/>
      <c r="AHU3" s="4"/>
      <c r="AHV3" s="4"/>
      <c r="AHW3" s="4"/>
      <c r="AHX3" s="4"/>
      <c r="AHY3" s="4"/>
      <c r="AHZ3" s="4"/>
      <c r="AIA3" s="4"/>
      <c r="AIB3" s="4"/>
      <c r="AIC3" s="4"/>
      <c r="AID3" s="4"/>
      <c r="AIE3" s="4"/>
      <c r="AIF3" s="4"/>
      <c r="AIG3" s="4"/>
      <c r="AIH3" s="4"/>
      <c r="AII3" s="4"/>
      <c r="AIJ3" s="4"/>
      <c r="AIK3" s="4"/>
      <c r="AIL3" s="4"/>
      <c r="AIM3" s="4"/>
      <c r="AIN3" s="4"/>
      <c r="AIO3" s="4"/>
      <c r="AIP3" s="4"/>
      <c r="AIQ3" s="4"/>
      <c r="AIR3" s="4"/>
      <c r="AIS3" s="4"/>
      <c r="AIT3" s="4"/>
      <c r="AIU3" s="4"/>
      <c r="AIV3" s="4"/>
      <c r="AIW3" s="4"/>
      <c r="AIX3" s="4"/>
      <c r="AIY3" s="4"/>
      <c r="AIZ3" s="4"/>
      <c r="AJA3" s="4"/>
      <c r="AJB3" s="4"/>
      <c r="AJC3" s="4"/>
      <c r="AJD3" s="4"/>
      <c r="AJE3" s="4"/>
      <c r="AJF3" s="4"/>
      <c r="AJG3" s="4"/>
      <c r="AJH3" s="4"/>
      <c r="AJI3" s="4"/>
      <c r="AJJ3" s="4"/>
      <c r="AJK3" s="4"/>
      <c r="AJL3" s="4"/>
      <c r="AJM3" s="4"/>
      <c r="AJN3" s="4"/>
      <c r="AJO3" s="4"/>
      <c r="AJP3" s="4"/>
      <c r="AJQ3" s="4"/>
      <c r="AJR3" s="4"/>
      <c r="AJS3" s="4"/>
      <c r="AJT3" s="4"/>
      <c r="AJU3" s="4"/>
      <c r="AJV3" s="4"/>
      <c r="AJW3" s="4"/>
      <c r="AJX3" s="4"/>
      <c r="AJY3" s="4"/>
      <c r="AJZ3" s="4"/>
      <c r="AKA3" s="4"/>
      <c r="AKB3" s="4"/>
      <c r="AKC3" s="4"/>
      <c r="AKD3" s="4"/>
      <c r="AKE3" s="4"/>
      <c r="AKF3" s="4"/>
      <c r="AKG3" s="4"/>
      <c r="AKH3" s="4"/>
      <c r="AKI3" s="4"/>
      <c r="AKJ3" s="4"/>
      <c r="AKK3" s="4"/>
      <c r="AKL3" s="4"/>
      <c r="AKM3" s="4"/>
      <c r="AKN3" s="4"/>
      <c r="AKO3" s="4"/>
      <c r="AKP3" s="4"/>
      <c r="AKQ3" s="4"/>
      <c r="AKR3" s="4"/>
      <c r="AKS3" s="4"/>
      <c r="AKT3" s="4"/>
      <c r="AKU3" s="4"/>
      <c r="AKV3" s="4"/>
      <c r="AKW3" s="4"/>
      <c r="AKX3" s="4"/>
      <c r="AKY3" s="4"/>
      <c r="AKZ3" s="4"/>
      <c r="ALA3" s="4"/>
      <c r="ALB3" s="4"/>
      <c r="ALC3" s="4"/>
      <c r="ALD3" s="4"/>
      <c r="ALE3" s="4"/>
      <c r="ALF3" s="4"/>
      <c r="ALG3" s="4"/>
      <c r="ALH3" s="4"/>
      <c r="ALI3" s="4"/>
      <c r="ALJ3" s="4"/>
      <c r="ALK3" s="4"/>
      <c r="ALL3" s="4"/>
      <c r="ALM3" s="4"/>
      <c r="ALN3" s="4"/>
      <c r="ALO3" s="4"/>
      <c r="ALP3" s="4"/>
      <c r="ALQ3" s="4"/>
      <c r="ALR3" s="4"/>
      <c r="ALS3" s="4"/>
      <c r="ALT3" s="4"/>
      <c r="ALU3" s="4"/>
      <c r="ALV3" s="4"/>
      <c r="ALW3" s="4"/>
      <c r="ALX3" s="4"/>
      <c r="ALY3" s="4"/>
    </row>
    <row r="4" spans="1:1013" ht="30" customHeight="1" x14ac:dyDescent="0.25">
      <c r="A4" s="16" t="s">
        <v>53</v>
      </c>
      <c r="B4" s="12" t="s">
        <v>69</v>
      </c>
      <c r="C4" s="16" t="s">
        <v>66</v>
      </c>
      <c r="D4" s="23">
        <v>40</v>
      </c>
      <c r="E4" s="23" t="s">
        <v>32</v>
      </c>
      <c r="F4" s="23">
        <v>56</v>
      </c>
      <c r="G4" s="11" t="s">
        <v>71</v>
      </c>
      <c r="H4" s="11" t="s">
        <v>72</v>
      </c>
      <c r="I4" s="11">
        <v>43</v>
      </c>
      <c r="J4" s="11">
        <v>61</v>
      </c>
      <c r="K4" s="11">
        <v>19</v>
      </c>
      <c r="L4" s="11">
        <v>15</v>
      </c>
      <c r="M4" s="11">
        <v>109</v>
      </c>
      <c r="N4" s="11">
        <v>104</v>
      </c>
      <c r="O4" s="11">
        <v>112</v>
      </c>
      <c r="P4" s="11">
        <v>74</v>
      </c>
      <c r="Q4" s="11">
        <v>41</v>
      </c>
      <c r="R4" s="11">
        <v>43</v>
      </c>
      <c r="S4" s="11">
        <v>62</v>
      </c>
      <c r="T4" s="11">
        <v>17</v>
      </c>
      <c r="U4" s="11">
        <v>13</v>
      </c>
      <c r="V4" s="11">
        <v>29</v>
      </c>
      <c r="W4" s="11">
        <v>28</v>
      </c>
      <c r="X4" s="11">
        <v>29</v>
      </c>
      <c r="Y4" s="11">
        <v>72</v>
      </c>
      <c r="Z4" s="11">
        <v>41</v>
      </c>
      <c r="AA4" s="11">
        <v>43</v>
      </c>
      <c r="AB4" s="11">
        <v>25</v>
      </c>
      <c r="AC4" s="11">
        <v>19</v>
      </c>
      <c r="AD4" s="11">
        <v>29</v>
      </c>
      <c r="AE4" s="11">
        <v>28</v>
      </c>
      <c r="AF4" s="11">
        <v>29</v>
      </c>
      <c r="AG4" s="11">
        <v>72</v>
      </c>
      <c r="AH4" s="11">
        <v>41</v>
      </c>
      <c r="AI4" s="11">
        <v>90</v>
      </c>
      <c r="AJ4" s="11">
        <v>108</v>
      </c>
      <c r="AK4" s="11">
        <v>68</v>
      </c>
      <c r="AL4" s="11">
        <v>33</v>
      </c>
      <c r="AM4" s="11">
        <v>25</v>
      </c>
      <c r="AN4" s="11">
        <v>20</v>
      </c>
      <c r="AO4" s="6">
        <v>98</v>
      </c>
      <c r="AP4" s="2">
        <v>1</v>
      </c>
      <c r="AQ4" s="21" t="s">
        <v>100</v>
      </c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  <c r="EW4" s="4"/>
      <c r="EX4" s="4"/>
      <c r="EY4" s="4"/>
      <c r="EZ4" s="4"/>
      <c r="FA4" s="4"/>
      <c r="FB4" s="4"/>
      <c r="FC4" s="4"/>
      <c r="FD4" s="4"/>
      <c r="FE4" s="4"/>
      <c r="FF4" s="4"/>
      <c r="FG4" s="4"/>
      <c r="FH4" s="4"/>
      <c r="FI4" s="4"/>
      <c r="FJ4" s="4"/>
      <c r="FK4" s="4"/>
      <c r="FL4" s="4"/>
      <c r="FM4" s="4"/>
      <c r="FN4" s="4"/>
      <c r="FO4" s="4"/>
      <c r="FP4" s="4"/>
      <c r="FQ4" s="4"/>
      <c r="FR4" s="4"/>
      <c r="FS4" s="4"/>
      <c r="FT4" s="4"/>
      <c r="FU4" s="4"/>
      <c r="FV4" s="4"/>
      <c r="FW4" s="4"/>
      <c r="FX4" s="4"/>
      <c r="FY4" s="4"/>
      <c r="FZ4" s="4"/>
      <c r="GA4" s="4"/>
      <c r="GB4" s="4"/>
      <c r="GC4" s="4"/>
      <c r="GD4" s="4"/>
      <c r="GE4" s="4"/>
      <c r="GF4" s="4"/>
      <c r="GG4" s="4"/>
      <c r="GH4" s="4"/>
      <c r="GI4" s="4"/>
      <c r="GJ4" s="4"/>
      <c r="GK4" s="4"/>
      <c r="GL4" s="4"/>
      <c r="GM4" s="4"/>
      <c r="GN4" s="4"/>
      <c r="GO4" s="4"/>
      <c r="GP4" s="4"/>
      <c r="GQ4" s="4"/>
      <c r="GR4" s="4"/>
      <c r="GS4" s="4"/>
      <c r="GT4" s="4"/>
      <c r="GU4" s="4"/>
      <c r="GV4" s="4"/>
      <c r="GW4" s="4"/>
      <c r="GX4" s="4"/>
      <c r="GY4" s="4"/>
      <c r="GZ4" s="4"/>
      <c r="HA4" s="4"/>
      <c r="HB4" s="4"/>
      <c r="HC4" s="4"/>
      <c r="HD4" s="4"/>
      <c r="HE4" s="4"/>
      <c r="HF4" s="4"/>
      <c r="HG4" s="4"/>
      <c r="HH4" s="4"/>
      <c r="HI4" s="4"/>
      <c r="HJ4" s="4"/>
      <c r="HK4" s="4"/>
      <c r="HL4" s="4"/>
      <c r="HM4" s="4"/>
      <c r="HN4" s="4"/>
      <c r="HO4" s="4"/>
      <c r="HP4" s="4"/>
      <c r="HQ4" s="4"/>
      <c r="HR4" s="4"/>
      <c r="HS4" s="4"/>
      <c r="HT4" s="4"/>
      <c r="HU4" s="4"/>
      <c r="HV4" s="4"/>
      <c r="HW4" s="4"/>
      <c r="HX4" s="4"/>
      <c r="HY4" s="4"/>
      <c r="HZ4" s="4"/>
      <c r="IA4" s="4"/>
      <c r="IB4" s="4"/>
      <c r="IC4" s="4"/>
      <c r="ID4" s="4"/>
      <c r="IE4" s="4"/>
      <c r="IF4" s="4"/>
      <c r="IG4" s="4"/>
      <c r="IH4" s="4"/>
      <c r="II4" s="4"/>
      <c r="IJ4" s="4"/>
      <c r="IK4" s="4"/>
      <c r="IL4" s="4"/>
      <c r="IM4" s="4"/>
      <c r="IN4" s="4"/>
      <c r="IO4" s="4"/>
      <c r="IP4" s="4"/>
      <c r="IQ4" s="4"/>
      <c r="IR4" s="4"/>
      <c r="IS4" s="4"/>
      <c r="IT4" s="4"/>
      <c r="IU4" s="4"/>
      <c r="IV4" s="4"/>
      <c r="IW4" s="4"/>
      <c r="IX4" s="4"/>
      <c r="IY4" s="4"/>
      <c r="IZ4" s="4"/>
      <c r="JA4" s="4"/>
      <c r="JB4" s="4"/>
      <c r="JC4" s="4"/>
      <c r="JD4" s="4"/>
      <c r="JE4" s="4"/>
      <c r="JF4" s="4"/>
      <c r="JG4" s="4"/>
      <c r="JH4" s="4"/>
      <c r="JI4" s="4"/>
      <c r="JJ4" s="4"/>
      <c r="JK4" s="4"/>
      <c r="JL4" s="4"/>
      <c r="JM4" s="4"/>
      <c r="JN4" s="4"/>
      <c r="JO4" s="4"/>
      <c r="JP4" s="4"/>
      <c r="JQ4" s="4"/>
      <c r="JR4" s="4"/>
      <c r="JS4" s="4"/>
      <c r="JT4" s="4"/>
      <c r="JU4" s="4"/>
      <c r="JV4" s="4"/>
      <c r="JW4" s="4"/>
      <c r="JX4" s="4"/>
      <c r="JY4" s="4"/>
      <c r="JZ4" s="4"/>
      <c r="KA4" s="4"/>
      <c r="KB4" s="4"/>
      <c r="KC4" s="4"/>
      <c r="KD4" s="4"/>
      <c r="KE4" s="4"/>
      <c r="KF4" s="4"/>
      <c r="KG4" s="4"/>
      <c r="KH4" s="4"/>
      <c r="KI4" s="4"/>
      <c r="KJ4" s="4"/>
      <c r="KK4" s="4"/>
      <c r="KL4" s="4"/>
      <c r="KM4" s="4"/>
      <c r="KN4" s="4"/>
      <c r="KO4" s="4"/>
      <c r="KP4" s="4"/>
      <c r="KQ4" s="4"/>
      <c r="KR4" s="4"/>
      <c r="KS4" s="4"/>
      <c r="KT4" s="4"/>
      <c r="KU4" s="4"/>
      <c r="KV4" s="4"/>
      <c r="KW4" s="4"/>
      <c r="KX4" s="4"/>
      <c r="KY4" s="4"/>
      <c r="KZ4" s="4"/>
      <c r="LA4" s="4"/>
      <c r="LB4" s="4"/>
      <c r="LC4" s="4"/>
      <c r="LD4" s="4"/>
      <c r="LE4" s="4"/>
      <c r="LF4" s="4"/>
      <c r="LG4" s="4"/>
      <c r="LH4" s="4"/>
      <c r="LI4" s="4"/>
      <c r="LJ4" s="4"/>
      <c r="LK4" s="4"/>
      <c r="LL4" s="4"/>
      <c r="LM4" s="4"/>
      <c r="LN4" s="4"/>
      <c r="LO4" s="4"/>
      <c r="LP4" s="4"/>
      <c r="LQ4" s="4"/>
      <c r="LR4" s="4"/>
      <c r="LS4" s="4"/>
      <c r="LT4" s="4"/>
      <c r="LU4" s="4"/>
      <c r="LV4" s="4"/>
      <c r="LW4" s="4"/>
      <c r="LX4" s="4"/>
      <c r="LY4" s="4"/>
      <c r="LZ4" s="4"/>
      <c r="MA4" s="4"/>
      <c r="MB4" s="4"/>
      <c r="MC4" s="4"/>
      <c r="MD4" s="4"/>
      <c r="ME4" s="4"/>
      <c r="MF4" s="4"/>
      <c r="MG4" s="4"/>
      <c r="MH4" s="4"/>
      <c r="MI4" s="4"/>
      <c r="MJ4" s="4"/>
      <c r="MK4" s="4"/>
      <c r="ML4" s="4"/>
      <c r="MM4" s="4"/>
      <c r="MN4" s="4"/>
      <c r="MO4" s="4"/>
      <c r="MP4" s="4"/>
      <c r="MQ4" s="4"/>
      <c r="MR4" s="4"/>
      <c r="MS4" s="4"/>
      <c r="MT4" s="4"/>
      <c r="MU4" s="4"/>
      <c r="MV4" s="4"/>
      <c r="MW4" s="4"/>
      <c r="MX4" s="4"/>
      <c r="MY4" s="4"/>
      <c r="MZ4" s="4"/>
      <c r="NA4" s="4"/>
      <c r="NB4" s="4"/>
      <c r="NC4" s="4"/>
      <c r="ND4" s="4"/>
      <c r="NE4" s="4"/>
      <c r="NF4" s="4"/>
      <c r="NG4" s="4"/>
      <c r="NH4" s="4"/>
      <c r="NI4" s="4"/>
      <c r="NJ4" s="4"/>
      <c r="NK4" s="4"/>
      <c r="NL4" s="4"/>
      <c r="NM4" s="4"/>
      <c r="NN4" s="4"/>
      <c r="NO4" s="4"/>
      <c r="NP4" s="4"/>
      <c r="NQ4" s="4"/>
      <c r="NR4" s="4"/>
      <c r="NS4" s="4"/>
      <c r="NT4" s="4"/>
      <c r="NU4" s="4"/>
      <c r="NV4" s="4"/>
      <c r="NW4" s="4"/>
      <c r="NX4" s="4"/>
      <c r="NY4" s="4"/>
      <c r="NZ4" s="4"/>
      <c r="OA4" s="4"/>
      <c r="OB4" s="4"/>
      <c r="OC4" s="4"/>
      <c r="OD4" s="4"/>
      <c r="OE4" s="4"/>
      <c r="OF4" s="4"/>
      <c r="OG4" s="4"/>
      <c r="OH4" s="4"/>
      <c r="OI4" s="4"/>
      <c r="OJ4" s="4"/>
      <c r="OK4" s="4"/>
      <c r="OL4" s="4"/>
      <c r="OM4" s="4"/>
      <c r="ON4" s="4"/>
      <c r="OO4" s="4"/>
      <c r="OP4" s="4"/>
      <c r="OQ4" s="4"/>
      <c r="OR4" s="4"/>
      <c r="OS4" s="4"/>
      <c r="OT4" s="4"/>
      <c r="OU4" s="4"/>
      <c r="OV4" s="4"/>
      <c r="OW4" s="4"/>
      <c r="OX4" s="4"/>
      <c r="OY4" s="4"/>
      <c r="OZ4" s="4"/>
      <c r="PA4" s="4"/>
      <c r="PB4" s="4"/>
      <c r="PC4" s="4"/>
      <c r="PD4" s="4"/>
      <c r="PE4" s="4"/>
      <c r="PF4" s="4"/>
      <c r="PG4" s="4"/>
      <c r="PH4" s="4"/>
      <c r="PI4" s="4"/>
      <c r="PJ4" s="4"/>
      <c r="PK4" s="4"/>
      <c r="PL4" s="4"/>
      <c r="PM4" s="4"/>
      <c r="PN4" s="4"/>
      <c r="PO4" s="4"/>
      <c r="PP4" s="4"/>
      <c r="PQ4" s="4"/>
      <c r="PR4" s="4"/>
      <c r="PS4" s="4"/>
      <c r="PT4" s="4"/>
      <c r="PU4" s="4"/>
      <c r="PV4" s="4"/>
      <c r="PW4" s="4"/>
      <c r="PX4" s="4"/>
      <c r="PY4" s="4"/>
      <c r="PZ4" s="4"/>
      <c r="QA4" s="4"/>
      <c r="QB4" s="4"/>
      <c r="QC4" s="4"/>
      <c r="QD4" s="4"/>
      <c r="QE4" s="4"/>
      <c r="QF4" s="4"/>
      <c r="QG4" s="4"/>
      <c r="QH4" s="4"/>
      <c r="QI4" s="4"/>
      <c r="QJ4" s="4"/>
      <c r="QK4" s="4"/>
      <c r="QL4" s="4"/>
      <c r="QM4" s="4"/>
      <c r="QN4" s="4"/>
      <c r="QO4" s="4"/>
      <c r="QP4" s="4"/>
      <c r="QQ4" s="4"/>
      <c r="QR4" s="4"/>
      <c r="QS4" s="4"/>
      <c r="QT4" s="4"/>
      <c r="QU4" s="4"/>
      <c r="QV4" s="4"/>
      <c r="QW4" s="4"/>
      <c r="QX4" s="4"/>
      <c r="QY4" s="4"/>
      <c r="QZ4" s="4"/>
      <c r="RA4" s="4"/>
      <c r="RB4" s="4"/>
      <c r="RC4" s="4"/>
      <c r="RD4" s="4"/>
      <c r="RE4" s="4"/>
      <c r="RF4" s="4"/>
      <c r="RG4" s="4"/>
      <c r="RH4" s="4"/>
      <c r="RI4" s="4"/>
      <c r="RJ4" s="4"/>
      <c r="RK4" s="4"/>
      <c r="RL4" s="4"/>
      <c r="RM4" s="4"/>
      <c r="RN4" s="4"/>
      <c r="RO4" s="4"/>
      <c r="RP4" s="4"/>
      <c r="RQ4" s="4"/>
      <c r="RR4" s="4"/>
      <c r="RS4" s="4"/>
      <c r="RT4" s="4"/>
      <c r="RU4" s="4"/>
      <c r="RV4" s="4"/>
      <c r="RW4" s="4"/>
      <c r="RX4" s="4"/>
      <c r="RY4" s="4"/>
      <c r="RZ4" s="4"/>
      <c r="SA4" s="4"/>
      <c r="SB4" s="4"/>
      <c r="SC4" s="4"/>
      <c r="SD4" s="4"/>
      <c r="SE4" s="4"/>
      <c r="SF4" s="4"/>
      <c r="SG4" s="4"/>
      <c r="SH4" s="4"/>
      <c r="SI4" s="4"/>
      <c r="SJ4" s="4"/>
      <c r="SK4" s="4"/>
      <c r="SL4" s="4"/>
      <c r="SM4" s="4"/>
      <c r="SN4" s="4"/>
      <c r="SO4" s="4"/>
      <c r="SP4" s="4"/>
      <c r="SQ4" s="4"/>
      <c r="SR4" s="4"/>
      <c r="SS4" s="4"/>
      <c r="ST4" s="4"/>
      <c r="SU4" s="4"/>
      <c r="SV4" s="4"/>
      <c r="SW4" s="4"/>
      <c r="SX4" s="4"/>
      <c r="SY4" s="4"/>
      <c r="SZ4" s="4"/>
      <c r="TA4" s="4"/>
      <c r="TB4" s="4"/>
      <c r="TC4" s="4"/>
      <c r="TD4" s="4"/>
      <c r="TE4" s="4"/>
      <c r="TF4" s="4"/>
      <c r="TG4" s="4"/>
      <c r="TH4" s="4"/>
      <c r="TI4" s="4"/>
      <c r="TJ4" s="4"/>
      <c r="TK4" s="4"/>
      <c r="TL4" s="4"/>
      <c r="TM4" s="4"/>
      <c r="TN4" s="4"/>
      <c r="TO4" s="4"/>
      <c r="TP4" s="4"/>
      <c r="TQ4" s="4"/>
      <c r="TR4" s="4"/>
      <c r="TS4" s="4"/>
      <c r="TT4" s="4"/>
      <c r="TU4" s="4"/>
      <c r="TV4" s="4"/>
      <c r="TW4" s="4"/>
      <c r="TX4" s="4"/>
      <c r="TY4" s="4"/>
      <c r="TZ4" s="4"/>
      <c r="UA4" s="4"/>
      <c r="UB4" s="4"/>
      <c r="UC4" s="4"/>
      <c r="UD4" s="4"/>
      <c r="UE4" s="4"/>
      <c r="UF4" s="4"/>
      <c r="UG4" s="4"/>
      <c r="UH4" s="4"/>
      <c r="UI4" s="4"/>
      <c r="UJ4" s="4"/>
      <c r="UK4" s="4"/>
      <c r="UL4" s="4"/>
      <c r="UM4" s="4"/>
      <c r="UN4" s="4"/>
      <c r="UO4" s="4"/>
      <c r="UP4" s="4"/>
      <c r="UQ4" s="4"/>
      <c r="UR4" s="4"/>
      <c r="US4" s="4"/>
      <c r="UT4" s="4"/>
      <c r="UU4" s="4"/>
      <c r="UV4" s="4"/>
      <c r="UW4" s="4"/>
      <c r="UX4" s="4"/>
      <c r="UY4" s="4"/>
      <c r="UZ4" s="4"/>
      <c r="VA4" s="4"/>
      <c r="VB4" s="4"/>
      <c r="VC4" s="4"/>
      <c r="VD4" s="4"/>
      <c r="VE4" s="4"/>
      <c r="VF4" s="4"/>
      <c r="VG4" s="4"/>
      <c r="VH4" s="4"/>
      <c r="VI4" s="4"/>
      <c r="VJ4" s="4"/>
      <c r="VK4" s="4"/>
      <c r="VL4" s="4"/>
      <c r="VM4" s="4"/>
      <c r="VN4" s="4"/>
      <c r="VO4" s="4"/>
      <c r="VP4" s="4"/>
      <c r="VQ4" s="4"/>
      <c r="VR4" s="4"/>
      <c r="VS4" s="4"/>
      <c r="VT4" s="4"/>
      <c r="VU4" s="4"/>
      <c r="VV4" s="4"/>
      <c r="VW4" s="4"/>
      <c r="VX4" s="4"/>
      <c r="VY4" s="4"/>
      <c r="VZ4" s="4"/>
      <c r="WA4" s="4"/>
      <c r="WB4" s="4"/>
      <c r="WC4" s="4"/>
      <c r="WD4" s="4"/>
      <c r="WE4" s="4"/>
      <c r="WF4" s="4"/>
      <c r="WG4" s="4"/>
      <c r="WH4" s="4"/>
      <c r="WI4" s="4"/>
      <c r="WJ4" s="4"/>
      <c r="WK4" s="4"/>
      <c r="WL4" s="4"/>
      <c r="WM4" s="4"/>
      <c r="WN4" s="4"/>
      <c r="WO4" s="4"/>
      <c r="WP4" s="4"/>
      <c r="WQ4" s="4"/>
      <c r="WR4" s="4"/>
      <c r="WS4" s="4"/>
      <c r="WT4" s="4"/>
      <c r="WU4" s="4"/>
      <c r="WV4" s="4"/>
      <c r="WW4" s="4"/>
      <c r="WX4" s="4"/>
      <c r="WY4" s="4"/>
      <c r="WZ4" s="4"/>
      <c r="XA4" s="4"/>
      <c r="XB4" s="4"/>
      <c r="XC4" s="4"/>
      <c r="XD4" s="4"/>
      <c r="XE4" s="4"/>
      <c r="XF4" s="4"/>
      <c r="XG4" s="4"/>
      <c r="XH4" s="4"/>
      <c r="XI4" s="4"/>
      <c r="XJ4" s="4"/>
      <c r="XK4" s="4"/>
      <c r="XL4" s="4"/>
      <c r="XM4" s="4"/>
      <c r="XN4" s="4"/>
      <c r="XO4" s="4"/>
      <c r="XP4" s="4"/>
      <c r="XQ4" s="4"/>
      <c r="XR4" s="4"/>
      <c r="XS4" s="4"/>
      <c r="XT4" s="4"/>
      <c r="XU4" s="4"/>
      <c r="XV4" s="4"/>
      <c r="XW4" s="4"/>
      <c r="XX4" s="4"/>
      <c r="XY4" s="4"/>
      <c r="XZ4" s="4"/>
      <c r="YA4" s="4"/>
      <c r="YB4" s="4"/>
      <c r="YC4" s="4"/>
      <c r="YD4" s="4"/>
      <c r="YE4" s="4"/>
      <c r="YF4" s="4"/>
      <c r="YG4" s="4"/>
      <c r="YH4" s="4"/>
      <c r="YI4" s="4"/>
      <c r="YJ4" s="4"/>
      <c r="YK4" s="4"/>
      <c r="YL4" s="4"/>
      <c r="YM4" s="4"/>
      <c r="YN4" s="4"/>
      <c r="YO4" s="4"/>
      <c r="YP4" s="4"/>
      <c r="YQ4" s="4"/>
      <c r="YR4" s="4"/>
      <c r="YS4" s="4"/>
      <c r="YT4" s="4"/>
      <c r="YU4" s="4"/>
      <c r="YV4" s="4"/>
      <c r="YW4" s="4"/>
      <c r="YX4" s="4"/>
      <c r="YY4" s="4"/>
      <c r="YZ4" s="4"/>
      <c r="ZA4" s="4"/>
      <c r="ZB4" s="4"/>
      <c r="ZC4" s="4"/>
      <c r="ZD4" s="4"/>
      <c r="ZE4" s="4"/>
      <c r="ZF4" s="4"/>
      <c r="ZG4" s="4"/>
      <c r="ZH4" s="4"/>
      <c r="ZI4" s="4"/>
      <c r="ZJ4" s="4"/>
      <c r="ZK4" s="4"/>
      <c r="ZL4" s="4"/>
      <c r="ZM4" s="4"/>
      <c r="ZN4" s="4"/>
      <c r="ZO4" s="4"/>
      <c r="ZP4" s="4"/>
      <c r="ZQ4" s="4"/>
      <c r="ZR4" s="4"/>
      <c r="ZS4" s="4"/>
      <c r="ZT4" s="4"/>
      <c r="ZU4" s="4"/>
      <c r="ZV4" s="4"/>
      <c r="ZW4" s="4"/>
      <c r="ZX4" s="4"/>
      <c r="ZY4" s="4"/>
      <c r="ZZ4" s="4"/>
      <c r="AAA4" s="4"/>
      <c r="AAB4" s="4"/>
      <c r="AAC4" s="4"/>
      <c r="AAD4" s="4"/>
      <c r="AAE4" s="4"/>
      <c r="AAF4" s="4"/>
      <c r="AAG4" s="4"/>
      <c r="AAH4" s="4"/>
      <c r="AAI4" s="4"/>
      <c r="AAJ4" s="4"/>
      <c r="AAK4" s="4"/>
      <c r="AAL4" s="4"/>
      <c r="AAM4" s="4"/>
      <c r="AAN4" s="4"/>
      <c r="AAO4" s="4"/>
      <c r="AAP4" s="4"/>
      <c r="AAQ4" s="4"/>
      <c r="AAR4" s="4"/>
      <c r="AAS4" s="4"/>
      <c r="AAT4" s="4"/>
      <c r="AAU4" s="4"/>
      <c r="AAV4" s="4"/>
      <c r="AAW4" s="4"/>
      <c r="AAX4" s="4"/>
      <c r="AAY4" s="4"/>
      <c r="AAZ4" s="4"/>
      <c r="ABA4" s="4"/>
      <c r="ABB4" s="4"/>
      <c r="ABC4" s="4"/>
      <c r="ABD4" s="4"/>
      <c r="ABE4" s="4"/>
      <c r="ABF4" s="4"/>
      <c r="ABG4" s="4"/>
      <c r="ABH4" s="4"/>
      <c r="ABI4" s="4"/>
      <c r="ABJ4" s="4"/>
      <c r="ABK4" s="4"/>
      <c r="ABL4" s="4"/>
      <c r="ABM4" s="4"/>
      <c r="ABN4" s="4"/>
      <c r="ABO4" s="4"/>
      <c r="ABP4" s="4"/>
      <c r="ABQ4" s="4"/>
      <c r="ABR4" s="4"/>
      <c r="ABS4" s="4"/>
      <c r="ABT4" s="4"/>
      <c r="ABU4" s="4"/>
      <c r="ABV4" s="4"/>
      <c r="ABW4" s="4"/>
      <c r="ABX4" s="4"/>
      <c r="ABY4" s="4"/>
      <c r="ABZ4" s="4"/>
      <c r="ACA4" s="4"/>
      <c r="ACB4" s="4"/>
      <c r="ACC4" s="4"/>
      <c r="ACD4" s="4"/>
      <c r="ACE4" s="4"/>
      <c r="ACF4" s="4"/>
      <c r="ACG4" s="4"/>
      <c r="ACH4" s="4"/>
      <c r="ACI4" s="4"/>
      <c r="ACJ4" s="4"/>
      <c r="ACK4" s="4"/>
      <c r="ACL4" s="4"/>
      <c r="ACM4" s="4"/>
      <c r="ACN4" s="4"/>
      <c r="ACO4" s="4"/>
      <c r="ACP4" s="4"/>
      <c r="ACQ4" s="4"/>
      <c r="ACR4" s="4"/>
      <c r="ACS4" s="4"/>
      <c r="ACT4" s="4"/>
      <c r="ACU4" s="4"/>
      <c r="ACV4" s="4"/>
      <c r="ACW4" s="4"/>
      <c r="ACX4" s="4"/>
      <c r="ACY4" s="4"/>
      <c r="ACZ4" s="4"/>
      <c r="ADA4" s="4"/>
      <c r="ADB4" s="4"/>
      <c r="ADC4" s="4"/>
      <c r="ADD4" s="4"/>
      <c r="ADE4" s="4"/>
      <c r="ADF4" s="4"/>
      <c r="ADG4" s="4"/>
      <c r="ADH4" s="4"/>
      <c r="ADI4" s="4"/>
      <c r="ADJ4" s="4"/>
      <c r="ADK4" s="4"/>
      <c r="ADL4" s="4"/>
      <c r="ADM4" s="4"/>
      <c r="ADN4" s="4"/>
      <c r="ADO4" s="4"/>
      <c r="ADP4" s="4"/>
      <c r="ADQ4" s="4"/>
      <c r="ADR4" s="4"/>
      <c r="ADS4" s="4"/>
      <c r="ADT4" s="4"/>
      <c r="ADU4" s="4"/>
      <c r="ADV4" s="4"/>
      <c r="ADW4" s="4"/>
      <c r="ADX4" s="4"/>
      <c r="ADY4" s="4"/>
      <c r="ADZ4" s="4"/>
      <c r="AEA4" s="4"/>
      <c r="AEB4" s="4"/>
      <c r="AEC4" s="4"/>
      <c r="AED4" s="4"/>
      <c r="AEE4" s="4"/>
      <c r="AEF4" s="4"/>
      <c r="AEG4" s="4"/>
      <c r="AEH4" s="4"/>
      <c r="AEI4" s="4"/>
      <c r="AEJ4" s="4"/>
      <c r="AEK4" s="4"/>
      <c r="AEL4" s="4"/>
      <c r="AEM4" s="4"/>
      <c r="AEN4" s="4"/>
      <c r="AEO4" s="4"/>
      <c r="AEP4" s="4"/>
      <c r="AEQ4" s="4"/>
      <c r="AER4" s="4"/>
      <c r="AES4" s="4"/>
      <c r="AET4" s="4"/>
      <c r="AEU4" s="4"/>
      <c r="AEV4" s="4"/>
      <c r="AEW4" s="4"/>
      <c r="AEX4" s="4"/>
      <c r="AEY4" s="4"/>
      <c r="AEZ4" s="4"/>
      <c r="AFA4" s="4"/>
      <c r="AFB4" s="4"/>
      <c r="AFC4" s="4"/>
      <c r="AFD4" s="4"/>
      <c r="AFE4" s="4"/>
      <c r="AFF4" s="4"/>
      <c r="AFG4" s="4"/>
      <c r="AFH4" s="4"/>
      <c r="AFI4" s="4"/>
      <c r="AFJ4" s="4"/>
      <c r="AFK4" s="4"/>
      <c r="AFL4" s="4"/>
      <c r="AFM4" s="4"/>
      <c r="AFN4" s="4"/>
      <c r="AFO4" s="4"/>
      <c r="AFP4" s="4"/>
      <c r="AFQ4" s="4"/>
      <c r="AFR4" s="4"/>
      <c r="AFS4" s="4"/>
      <c r="AFT4" s="4"/>
      <c r="AFU4" s="4"/>
      <c r="AFV4" s="4"/>
      <c r="AFW4" s="4"/>
      <c r="AFX4" s="4"/>
      <c r="AFY4" s="4"/>
      <c r="AFZ4" s="4"/>
      <c r="AGA4" s="4"/>
      <c r="AGB4" s="4"/>
      <c r="AGC4" s="4"/>
      <c r="AGD4" s="4"/>
      <c r="AGE4" s="4"/>
      <c r="AGF4" s="4"/>
      <c r="AGG4" s="4"/>
      <c r="AGH4" s="4"/>
      <c r="AGI4" s="4"/>
      <c r="AGJ4" s="4"/>
      <c r="AGK4" s="4"/>
      <c r="AGL4" s="4"/>
      <c r="AGM4" s="4"/>
      <c r="AGN4" s="4"/>
      <c r="AGO4" s="4"/>
      <c r="AGP4" s="4"/>
      <c r="AGQ4" s="4"/>
      <c r="AGR4" s="4"/>
      <c r="AGS4" s="4"/>
      <c r="AGT4" s="4"/>
      <c r="AGU4" s="4"/>
      <c r="AGV4" s="4"/>
      <c r="AGW4" s="4"/>
      <c r="AGX4" s="4"/>
      <c r="AGY4" s="4"/>
      <c r="AGZ4" s="4"/>
      <c r="AHA4" s="4"/>
      <c r="AHB4" s="4"/>
      <c r="AHC4" s="4"/>
      <c r="AHD4" s="4"/>
      <c r="AHE4" s="4"/>
      <c r="AHF4" s="4"/>
      <c r="AHG4" s="4"/>
      <c r="AHH4" s="4"/>
      <c r="AHI4" s="4"/>
      <c r="AHJ4" s="4"/>
      <c r="AHK4" s="4"/>
      <c r="AHL4" s="4"/>
      <c r="AHM4" s="4"/>
      <c r="AHN4" s="4"/>
      <c r="AHO4" s="4"/>
      <c r="AHP4" s="4"/>
      <c r="AHQ4" s="4"/>
      <c r="AHR4" s="4"/>
      <c r="AHS4" s="4"/>
      <c r="AHT4" s="4"/>
      <c r="AHU4" s="4"/>
      <c r="AHV4" s="4"/>
      <c r="AHW4" s="4"/>
      <c r="AHX4" s="4"/>
      <c r="AHY4" s="4"/>
      <c r="AHZ4" s="4"/>
      <c r="AIA4" s="4"/>
      <c r="AIB4" s="4"/>
      <c r="AIC4" s="4"/>
      <c r="AID4" s="4"/>
      <c r="AIE4" s="4"/>
      <c r="AIF4" s="4"/>
      <c r="AIG4" s="4"/>
      <c r="AIH4" s="4"/>
      <c r="AII4" s="4"/>
      <c r="AIJ4" s="4"/>
      <c r="AIK4" s="4"/>
      <c r="AIL4" s="4"/>
      <c r="AIM4" s="4"/>
      <c r="AIN4" s="4"/>
      <c r="AIO4" s="4"/>
      <c r="AIP4" s="4"/>
      <c r="AIQ4" s="4"/>
      <c r="AIR4" s="4"/>
      <c r="AIS4" s="4"/>
      <c r="AIT4" s="4"/>
      <c r="AIU4" s="4"/>
      <c r="AIV4" s="4"/>
      <c r="AIW4" s="4"/>
      <c r="AIX4" s="4"/>
      <c r="AIY4" s="4"/>
      <c r="AIZ4" s="4"/>
      <c r="AJA4" s="4"/>
      <c r="AJB4" s="4"/>
      <c r="AJC4" s="4"/>
      <c r="AJD4" s="4"/>
      <c r="AJE4" s="4"/>
      <c r="AJF4" s="4"/>
      <c r="AJG4" s="4"/>
      <c r="AJH4" s="4"/>
      <c r="AJI4" s="4"/>
      <c r="AJJ4" s="4"/>
      <c r="AJK4" s="4"/>
      <c r="AJL4" s="4"/>
      <c r="AJM4" s="4"/>
      <c r="AJN4" s="4"/>
      <c r="AJO4" s="4"/>
      <c r="AJP4" s="4"/>
      <c r="AJQ4" s="4"/>
      <c r="AJR4" s="4"/>
      <c r="AJS4" s="4"/>
      <c r="AJT4" s="4"/>
      <c r="AJU4" s="4"/>
      <c r="AJV4" s="4"/>
      <c r="AJW4" s="4"/>
      <c r="AJX4" s="4"/>
      <c r="AJY4" s="4"/>
      <c r="AJZ4" s="4"/>
      <c r="AKA4" s="4"/>
      <c r="AKB4" s="4"/>
      <c r="AKC4" s="4"/>
      <c r="AKD4" s="4"/>
      <c r="AKE4" s="4"/>
      <c r="AKF4" s="4"/>
      <c r="AKG4" s="4"/>
      <c r="AKH4" s="4"/>
      <c r="AKI4" s="4"/>
      <c r="AKJ4" s="4"/>
      <c r="AKK4" s="4"/>
      <c r="AKL4" s="4"/>
      <c r="AKM4" s="4"/>
      <c r="AKN4" s="4"/>
      <c r="AKO4" s="4"/>
      <c r="AKP4" s="4"/>
      <c r="AKQ4" s="4"/>
      <c r="AKR4" s="4"/>
      <c r="AKS4" s="4"/>
      <c r="AKT4" s="4"/>
      <c r="AKU4" s="4"/>
      <c r="AKV4" s="4"/>
      <c r="AKW4" s="4"/>
      <c r="AKX4" s="4"/>
      <c r="AKY4" s="4"/>
      <c r="AKZ4" s="4"/>
      <c r="ALA4" s="4"/>
      <c r="ALB4" s="4"/>
      <c r="ALC4" s="4"/>
      <c r="ALD4" s="4"/>
      <c r="ALE4" s="4"/>
      <c r="ALF4" s="4"/>
      <c r="ALG4" s="4"/>
      <c r="ALH4" s="4"/>
      <c r="ALI4" s="4"/>
      <c r="ALJ4" s="4"/>
      <c r="ALK4" s="4"/>
      <c r="ALL4" s="4"/>
      <c r="ALM4" s="4"/>
      <c r="ALN4" s="4"/>
      <c r="ALO4" s="4"/>
      <c r="ALP4" s="4"/>
      <c r="ALQ4" s="4"/>
      <c r="ALR4" s="4"/>
      <c r="ALS4" s="4"/>
      <c r="ALT4" s="4"/>
      <c r="ALU4" s="4"/>
      <c r="ALV4" s="4"/>
      <c r="ALW4" s="4"/>
      <c r="ALX4" s="4"/>
      <c r="ALY4" s="4"/>
    </row>
    <row r="5" spans="1:1013" ht="30" customHeight="1" x14ac:dyDescent="0.25">
      <c r="A5" s="8" t="s">
        <v>54</v>
      </c>
      <c r="B5" s="12" t="s">
        <v>70</v>
      </c>
      <c r="C5" s="16" t="s">
        <v>66</v>
      </c>
      <c r="D5" s="23">
        <v>40</v>
      </c>
      <c r="E5" s="23" t="s">
        <v>31</v>
      </c>
      <c r="F5" s="23">
        <v>57</v>
      </c>
      <c r="G5" s="11" t="s">
        <v>71</v>
      </c>
      <c r="H5" s="11" t="s">
        <v>72</v>
      </c>
      <c r="I5" s="11">
        <v>42</v>
      </c>
      <c r="J5" s="11">
        <v>61</v>
      </c>
      <c r="K5" s="11">
        <v>18</v>
      </c>
      <c r="L5" s="11">
        <v>14</v>
      </c>
      <c r="M5" s="11">
        <v>94</v>
      </c>
      <c r="N5" s="11">
        <v>85</v>
      </c>
      <c r="O5" s="11">
        <v>102</v>
      </c>
      <c r="P5" s="11">
        <v>70</v>
      </c>
      <c r="Q5" s="11">
        <v>40</v>
      </c>
      <c r="R5" s="11">
        <v>42</v>
      </c>
      <c r="S5" s="11">
        <v>62</v>
      </c>
      <c r="T5" s="11">
        <v>16</v>
      </c>
      <c r="U5" s="11">
        <v>12</v>
      </c>
      <c r="V5" s="11">
        <v>26</v>
      </c>
      <c r="W5" s="11">
        <v>25</v>
      </c>
      <c r="X5" s="11">
        <v>26</v>
      </c>
      <c r="Y5" s="11">
        <v>70</v>
      </c>
      <c r="Z5" s="11">
        <v>40</v>
      </c>
      <c r="AA5" s="11">
        <v>42</v>
      </c>
      <c r="AB5" s="11">
        <v>24</v>
      </c>
      <c r="AC5" s="11">
        <v>18</v>
      </c>
      <c r="AD5" s="11">
        <v>26</v>
      </c>
      <c r="AE5" s="11">
        <v>25</v>
      </c>
      <c r="AF5" s="11">
        <v>26</v>
      </c>
      <c r="AG5" s="11">
        <v>70</v>
      </c>
      <c r="AH5" s="11">
        <v>40</v>
      </c>
      <c r="AI5" s="11">
        <v>75</v>
      </c>
      <c r="AJ5" s="11">
        <v>98</v>
      </c>
      <c r="AK5" s="11">
        <v>64</v>
      </c>
      <c r="AL5" s="11">
        <v>33</v>
      </c>
      <c r="AM5" s="11">
        <v>24</v>
      </c>
      <c r="AN5" s="11">
        <v>20</v>
      </c>
      <c r="AO5" s="6">
        <v>97</v>
      </c>
      <c r="AP5" s="2">
        <v>1</v>
      </c>
      <c r="AQ5" s="21" t="s">
        <v>100</v>
      </c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  <c r="EW5" s="4"/>
      <c r="EX5" s="4"/>
      <c r="EY5" s="4"/>
      <c r="EZ5" s="4"/>
      <c r="FA5" s="4"/>
      <c r="FB5" s="4"/>
      <c r="FC5" s="4"/>
      <c r="FD5" s="4"/>
      <c r="FE5" s="4"/>
      <c r="FF5" s="4"/>
      <c r="FG5" s="4"/>
      <c r="FH5" s="4"/>
      <c r="FI5" s="4"/>
      <c r="FJ5" s="4"/>
      <c r="FK5" s="4"/>
      <c r="FL5" s="4"/>
      <c r="FM5" s="4"/>
      <c r="FN5" s="4"/>
      <c r="FO5" s="4"/>
      <c r="FP5" s="4"/>
      <c r="FQ5" s="4"/>
      <c r="FR5" s="4"/>
      <c r="FS5" s="4"/>
      <c r="FT5" s="4"/>
      <c r="FU5" s="4"/>
      <c r="FV5" s="4"/>
      <c r="FW5" s="4"/>
      <c r="FX5" s="4"/>
      <c r="FY5" s="4"/>
      <c r="FZ5" s="4"/>
      <c r="GA5" s="4"/>
      <c r="GB5" s="4"/>
      <c r="GC5" s="4"/>
      <c r="GD5" s="4"/>
      <c r="GE5" s="4"/>
      <c r="GF5" s="4"/>
      <c r="GG5" s="4"/>
      <c r="GH5" s="4"/>
      <c r="GI5" s="4"/>
      <c r="GJ5" s="4"/>
      <c r="GK5" s="4"/>
      <c r="GL5" s="4"/>
      <c r="GM5" s="4"/>
      <c r="GN5" s="4"/>
      <c r="GO5" s="4"/>
      <c r="GP5" s="4"/>
      <c r="GQ5" s="4"/>
      <c r="GR5" s="4"/>
      <c r="GS5" s="4"/>
      <c r="GT5" s="4"/>
      <c r="GU5" s="4"/>
      <c r="GV5" s="4"/>
      <c r="GW5" s="4"/>
      <c r="GX5" s="4"/>
      <c r="GY5" s="4"/>
      <c r="GZ5" s="4"/>
      <c r="HA5" s="4"/>
      <c r="HB5" s="4"/>
      <c r="HC5" s="4"/>
      <c r="HD5" s="4"/>
      <c r="HE5" s="4"/>
      <c r="HF5" s="4"/>
      <c r="HG5" s="4"/>
      <c r="HH5" s="4"/>
      <c r="HI5" s="4"/>
      <c r="HJ5" s="4"/>
      <c r="HK5" s="4"/>
      <c r="HL5" s="4"/>
      <c r="HM5" s="4"/>
      <c r="HN5" s="4"/>
      <c r="HO5" s="4"/>
      <c r="HP5" s="4"/>
      <c r="HQ5" s="4"/>
      <c r="HR5" s="4"/>
      <c r="HS5" s="4"/>
      <c r="HT5" s="4"/>
      <c r="HU5" s="4"/>
      <c r="HV5" s="4"/>
      <c r="HW5" s="4"/>
      <c r="HX5" s="4"/>
      <c r="HY5" s="4"/>
      <c r="HZ5" s="4"/>
      <c r="IA5" s="4"/>
      <c r="IB5" s="4"/>
      <c r="IC5" s="4"/>
      <c r="ID5" s="4"/>
      <c r="IE5" s="4"/>
      <c r="IF5" s="4"/>
      <c r="IG5" s="4"/>
      <c r="IH5" s="4"/>
      <c r="II5" s="4"/>
      <c r="IJ5" s="4"/>
      <c r="IK5" s="4"/>
      <c r="IL5" s="4"/>
      <c r="IM5" s="4"/>
      <c r="IN5" s="4"/>
      <c r="IO5" s="4"/>
      <c r="IP5" s="4"/>
      <c r="IQ5" s="4"/>
      <c r="IR5" s="4"/>
      <c r="IS5" s="4"/>
      <c r="IT5" s="4"/>
      <c r="IU5" s="4"/>
      <c r="IV5" s="4"/>
      <c r="IW5" s="4"/>
      <c r="IX5" s="4"/>
      <c r="IY5" s="4"/>
      <c r="IZ5" s="4"/>
      <c r="JA5" s="4"/>
      <c r="JB5" s="4"/>
      <c r="JC5" s="4"/>
      <c r="JD5" s="4"/>
      <c r="JE5" s="4"/>
      <c r="JF5" s="4"/>
      <c r="JG5" s="4"/>
      <c r="JH5" s="4"/>
      <c r="JI5" s="4"/>
      <c r="JJ5" s="4"/>
      <c r="JK5" s="4"/>
      <c r="JL5" s="4"/>
      <c r="JM5" s="4"/>
      <c r="JN5" s="4"/>
      <c r="JO5" s="4"/>
      <c r="JP5" s="4"/>
      <c r="JQ5" s="4"/>
      <c r="JR5" s="4"/>
      <c r="JS5" s="4"/>
      <c r="JT5" s="4"/>
      <c r="JU5" s="4"/>
      <c r="JV5" s="4"/>
      <c r="JW5" s="4"/>
      <c r="JX5" s="4"/>
      <c r="JY5" s="4"/>
      <c r="JZ5" s="4"/>
      <c r="KA5" s="4"/>
      <c r="KB5" s="4"/>
      <c r="KC5" s="4"/>
      <c r="KD5" s="4"/>
      <c r="KE5" s="4"/>
      <c r="KF5" s="4"/>
      <c r="KG5" s="4"/>
      <c r="KH5" s="4"/>
      <c r="KI5" s="4"/>
      <c r="KJ5" s="4"/>
      <c r="KK5" s="4"/>
      <c r="KL5" s="4"/>
      <c r="KM5" s="4"/>
      <c r="KN5" s="4"/>
      <c r="KO5" s="4"/>
      <c r="KP5" s="4"/>
      <c r="KQ5" s="4"/>
      <c r="KR5" s="4"/>
      <c r="KS5" s="4"/>
      <c r="KT5" s="4"/>
      <c r="KU5" s="4"/>
      <c r="KV5" s="4"/>
      <c r="KW5" s="4"/>
      <c r="KX5" s="4"/>
      <c r="KY5" s="4"/>
      <c r="KZ5" s="4"/>
      <c r="LA5" s="4"/>
      <c r="LB5" s="4"/>
      <c r="LC5" s="4"/>
      <c r="LD5" s="4"/>
      <c r="LE5" s="4"/>
      <c r="LF5" s="4"/>
      <c r="LG5" s="4"/>
      <c r="LH5" s="4"/>
      <c r="LI5" s="4"/>
      <c r="LJ5" s="4"/>
      <c r="LK5" s="4"/>
      <c r="LL5" s="4"/>
      <c r="LM5" s="4"/>
      <c r="LN5" s="4"/>
      <c r="LO5" s="4"/>
      <c r="LP5" s="4"/>
      <c r="LQ5" s="4"/>
      <c r="LR5" s="4"/>
      <c r="LS5" s="4"/>
      <c r="LT5" s="4"/>
      <c r="LU5" s="4"/>
      <c r="LV5" s="4"/>
      <c r="LW5" s="4"/>
      <c r="LX5" s="4"/>
      <c r="LY5" s="4"/>
      <c r="LZ5" s="4"/>
      <c r="MA5" s="4"/>
      <c r="MB5" s="4"/>
      <c r="MC5" s="4"/>
      <c r="MD5" s="4"/>
      <c r="ME5" s="4"/>
      <c r="MF5" s="4"/>
      <c r="MG5" s="4"/>
      <c r="MH5" s="4"/>
      <c r="MI5" s="4"/>
      <c r="MJ5" s="4"/>
      <c r="MK5" s="4"/>
      <c r="ML5" s="4"/>
      <c r="MM5" s="4"/>
      <c r="MN5" s="4"/>
      <c r="MO5" s="4"/>
      <c r="MP5" s="4"/>
      <c r="MQ5" s="4"/>
      <c r="MR5" s="4"/>
      <c r="MS5" s="4"/>
      <c r="MT5" s="4"/>
      <c r="MU5" s="4"/>
      <c r="MV5" s="4"/>
      <c r="MW5" s="4"/>
      <c r="MX5" s="4"/>
      <c r="MY5" s="4"/>
      <c r="MZ5" s="4"/>
      <c r="NA5" s="4"/>
      <c r="NB5" s="4"/>
      <c r="NC5" s="4"/>
      <c r="ND5" s="4"/>
      <c r="NE5" s="4"/>
      <c r="NF5" s="4"/>
      <c r="NG5" s="4"/>
      <c r="NH5" s="4"/>
      <c r="NI5" s="4"/>
      <c r="NJ5" s="4"/>
      <c r="NK5" s="4"/>
      <c r="NL5" s="4"/>
      <c r="NM5" s="4"/>
      <c r="NN5" s="4"/>
      <c r="NO5" s="4"/>
      <c r="NP5" s="4"/>
      <c r="NQ5" s="4"/>
      <c r="NR5" s="4"/>
      <c r="NS5" s="4"/>
      <c r="NT5" s="4"/>
      <c r="NU5" s="4"/>
      <c r="NV5" s="4"/>
      <c r="NW5" s="4"/>
      <c r="NX5" s="4"/>
      <c r="NY5" s="4"/>
      <c r="NZ5" s="4"/>
      <c r="OA5" s="4"/>
      <c r="OB5" s="4"/>
      <c r="OC5" s="4"/>
      <c r="OD5" s="4"/>
      <c r="OE5" s="4"/>
      <c r="OF5" s="4"/>
      <c r="OG5" s="4"/>
      <c r="OH5" s="4"/>
      <c r="OI5" s="4"/>
      <c r="OJ5" s="4"/>
      <c r="OK5" s="4"/>
      <c r="OL5" s="4"/>
      <c r="OM5" s="4"/>
      <c r="ON5" s="4"/>
      <c r="OO5" s="4"/>
      <c r="OP5" s="4"/>
      <c r="OQ5" s="4"/>
      <c r="OR5" s="4"/>
      <c r="OS5" s="4"/>
      <c r="OT5" s="4"/>
      <c r="OU5" s="4"/>
      <c r="OV5" s="4"/>
      <c r="OW5" s="4"/>
      <c r="OX5" s="4"/>
      <c r="OY5" s="4"/>
      <c r="OZ5" s="4"/>
      <c r="PA5" s="4"/>
      <c r="PB5" s="4"/>
      <c r="PC5" s="4"/>
      <c r="PD5" s="4"/>
      <c r="PE5" s="4"/>
      <c r="PF5" s="4"/>
      <c r="PG5" s="4"/>
      <c r="PH5" s="4"/>
      <c r="PI5" s="4"/>
      <c r="PJ5" s="4"/>
      <c r="PK5" s="4"/>
      <c r="PL5" s="4"/>
      <c r="PM5" s="4"/>
      <c r="PN5" s="4"/>
      <c r="PO5" s="4"/>
      <c r="PP5" s="4"/>
      <c r="PQ5" s="4"/>
      <c r="PR5" s="4"/>
      <c r="PS5" s="4"/>
      <c r="PT5" s="4"/>
      <c r="PU5" s="4"/>
      <c r="PV5" s="4"/>
      <c r="PW5" s="4"/>
      <c r="PX5" s="4"/>
      <c r="PY5" s="4"/>
      <c r="PZ5" s="4"/>
      <c r="QA5" s="4"/>
      <c r="QB5" s="4"/>
      <c r="QC5" s="4"/>
      <c r="QD5" s="4"/>
      <c r="QE5" s="4"/>
      <c r="QF5" s="4"/>
      <c r="QG5" s="4"/>
      <c r="QH5" s="4"/>
      <c r="QI5" s="4"/>
      <c r="QJ5" s="4"/>
      <c r="QK5" s="4"/>
      <c r="QL5" s="4"/>
      <c r="QM5" s="4"/>
      <c r="QN5" s="4"/>
      <c r="QO5" s="4"/>
      <c r="QP5" s="4"/>
      <c r="QQ5" s="4"/>
      <c r="QR5" s="4"/>
      <c r="QS5" s="4"/>
      <c r="QT5" s="4"/>
      <c r="QU5" s="4"/>
      <c r="QV5" s="4"/>
      <c r="QW5" s="4"/>
      <c r="QX5" s="4"/>
      <c r="QY5" s="4"/>
      <c r="QZ5" s="4"/>
      <c r="RA5" s="4"/>
      <c r="RB5" s="4"/>
      <c r="RC5" s="4"/>
      <c r="RD5" s="4"/>
      <c r="RE5" s="4"/>
      <c r="RF5" s="4"/>
      <c r="RG5" s="4"/>
      <c r="RH5" s="4"/>
      <c r="RI5" s="4"/>
      <c r="RJ5" s="4"/>
      <c r="RK5" s="4"/>
      <c r="RL5" s="4"/>
      <c r="RM5" s="4"/>
      <c r="RN5" s="4"/>
      <c r="RO5" s="4"/>
      <c r="RP5" s="4"/>
      <c r="RQ5" s="4"/>
      <c r="RR5" s="4"/>
      <c r="RS5" s="4"/>
      <c r="RT5" s="4"/>
      <c r="RU5" s="4"/>
      <c r="RV5" s="4"/>
      <c r="RW5" s="4"/>
      <c r="RX5" s="4"/>
      <c r="RY5" s="4"/>
      <c r="RZ5" s="4"/>
      <c r="SA5" s="4"/>
      <c r="SB5" s="4"/>
      <c r="SC5" s="4"/>
      <c r="SD5" s="4"/>
      <c r="SE5" s="4"/>
      <c r="SF5" s="4"/>
      <c r="SG5" s="4"/>
      <c r="SH5" s="4"/>
      <c r="SI5" s="4"/>
      <c r="SJ5" s="4"/>
      <c r="SK5" s="4"/>
      <c r="SL5" s="4"/>
      <c r="SM5" s="4"/>
      <c r="SN5" s="4"/>
      <c r="SO5" s="4"/>
      <c r="SP5" s="4"/>
      <c r="SQ5" s="4"/>
      <c r="SR5" s="4"/>
      <c r="SS5" s="4"/>
      <c r="ST5" s="4"/>
      <c r="SU5" s="4"/>
      <c r="SV5" s="4"/>
      <c r="SW5" s="4"/>
      <c r="SX5" s="4"/>
      <c r="SY5" s="4"/>
      <c r="SZ5" s="4"/>
      <c r="TA5" s="4"/>
      <c r="TB5" s="4"/>
      <c r="TC5" s="4"/>
      <c r="TD5" s="4"/>
      <c r="TE5" s="4"/>
      <c r="TF5" s="4"/>
      <c r="TG5" s="4"/>
      <c r="TH5" s="4"/>
      <c r="TI5" s="4"/>
      <c r="TJ5" s="4"/>
      <c r="TK5" s="4"/>
      <c r="TL5" s="4"/>
      <c r="TM5" s="4"/>
      <c r="TN5" s="4"/>
      <c r="TO5" s="4"/>
      <c r="TP5" s="4"/>
      <c r="TQ5" s="4"/>
      <c r="TR5" s="4"/>
      <c r="TS5" s="4"/>
      <c r="TT5" s="4"/>
      <c r="TU5" s="4"/>
      <c r="TV5" s="4"/>
      <c r="TW5" s="4"/>
      <c r="TX5" s="4"/>
      <c r="TY5" s="4"/>
      <c r="TZ5" s="4"/>
      <c r="UA5" s="4"/>
      <c r="UB5" s="4"/>
      <c r="UC5" s="4"/>
      <c r="UD5" s="4"/>
      <c r="UE5" s="4"/>
      <c r="UF5" s="4"/>
      <c r="UG5" s="4"/>
      <c r="UH5" s="4"/>
      <c r="UI5" s="4"/>
      <c r="UJ5" s="4"/>
      <c r="UK5" s="4"/>
      <c r="UL5" s="4"/>
      <c r="UM5" s="4"/>
      <c r="UN5" s="4"/>
      <c r="UO5" s="4"/>
      <c r="UP5" s="4"/>
      <c r="UQ5" s="4"/>
      <c r="UR5" s="4"/>
      <c r="US5" s="4"/>
      <c r="UT5" s="4"/>
      <c r="UU5" s="4"/>
      <c r="UV5" s="4"/>
      <c r="UW5" s="4"/>
      <c r="UX5" s="4"/>
      <c r="UY5" s="4"/>
      <c r="UZ5" s="4"/>
      <c r="VA5" s="4"/>
      <c r="VB5" s="4"/>
      <c r="VC5" s="4"/>
      <c r="VD5" s="4"/>
      <c r="VE5" s="4"/>
      <c r="VF5" s="4"/>
      <c r="VG5" s="4"/>
      <c r="VH5" s="4"/>
      <c r="VI5" s="4"/>
      <c r="VJ5" s="4"/>
      <c r="VK5" s="4"/>
      <c r="VL5" s="4"/>
      <c r="VM5" s="4"/>
      <c r="VN5" s="4"/>
      <c r="VO5" s="4"/>
      <c r="VP5" s="4"/>
      <c r="VQ5" s="4"/>
      <c r="VR5" s="4"/>
      <c r="VS5" s="4"/>
      <c r="VT5" s="4"/>
      <c r="VU5" s="4"/>
      <c r="VV5" s="4"/>
      <c r="VW5" s="4"/>
      <c r="VX5" s="4"/>
      <c r="VY5" s="4"/>
      <c r="VZ5" s="4"/>
      <c r="WA5" s="4"/>
      <c r="WB5" s="4"/>
      <c r="WC5" s="4"/>
      <c r="WD5" s="4"/>
      <c r="WE5" s="4"/>
      <c r="WF5" s="4"/>
      <c r="WG5" s="4"/>
      <c r="WH5" s="4"/>
      <c r="WI5" s="4"/>
      <c r="WJ5" s="4"/>
      <c r="WK5" s="4"/>
      <c r="WL5" s="4"/>
      <c r="WM5" s="4"/>
      <c r="WN5" s="4"/>
      <c r="WO5" s="4"/>
      <c r="WP5" s="4"/>
      <c r="WQ5" s="4"/>
      <c r="WR5" s="4"/>
      <c r="WS5" s="4"/>
      <c r="WT5" s="4"/>
      <c r="WU5" s="4"/>
      <c r="WV5" s="4"/>
      <c r="WW5" s="4"/>
      <c r="WX5" s="4"/>
      <c r="WY5" s="4"/>
      <c r="WZ5" s="4"/>
      <c r="XA5" s="4"/>
      <c r="XB5" s="4"/>
      <c r="XC5" s="4"/>
      <c r="XD5" s="4"/>
      <c r="XE5" s="4"/>
      <c r="XF5" s="4"/>
      <c r="XG5" s="4"/>
      <c r="XH5" s="4"/>
      <c r="XI5" s="4"/>
      <c r="XJ5" s="4"/>
      <c r="XK5" s="4"/>
      <c r="XL5" s="4"/>
      <c r="XM5" s="4"/>
      <c r="XN5" s="4"/>
      <c r="XO5" s="4"/>
      <c r="XP5" s="4"/>
      <c r="XQ5" s="4"/>
      <c r="XR5" s="4"/>
      <c r="XS5" s="4"/>
      <c r="XT5" s="4"/>
      <c r="XU5" s="4"/>
      <c r="XV5" s="4"/>
      <c r="XW5" s="4"/>
      <c r="XX5" s="4"/>
      <c r="XY5" s="4"/>
      <c r="XZ5" s="4"/>
      <c r="YA5" s="4"/>
      <c r="YB5" s="4"/>
      <c r="YC5" s="4"/>
      <c r="YD5" s="4"/>
      <c r="YE5" s="4"/>
      <c r="YF5" s="4"/>
      <c r="YG5" s="4"/>
      <c r="YH5" s="4"/>
      <c r="YI5" s="4"/>
      <c r="YJ5" s="4"/>
      <c r="YK5" s="4"/>
      <c r="YL5" s="4"/>
      <c r="YM5" s="4"/>
      <c r="YN5" s="4"/>
      <c r="YO5" s="4"/>
      <c r="YP5" s="4"/>
      <c r="YQ5" s="4"/>
      <c r="YR5" s="4"/>
      <c r="YS5" s="4"/>
      <c r="YT5" s="4"/>
      <c r="YU5" s="4"/>
      <c r="YV5" s="4"/>
      <c r="YW5" s="4"/>
      <c r="YX5" s="4"/>
      <c r="YY5" s="4"/>
      <c r="YZ5" s="4"/>
      <c r="ZA5" s="4"/>
      <c r="ZB5" s="4"/>
      <c r="ZC5" s="4"/>
      <c r="ZD5" s="4"/>
      <c r="ZE5" s="4"/>
      <c r="ZF5" s="4"/>
      <c r="ZG5" s="4"/>
      <c r="ZH5" s="4"/>
      <c r="ZI5" s="4"/>
      <c r="ZJ5" s="4"/>
      <c r="ZK5" s="4"/>
      <c r="ZL5" s="4"/>
      <c r="ZM5" s="4"/>
      <c r="ZN5" s="4"/>
      <c r="ZO5" s="4"/>
      <c r="ZP5" s="4"/>
      <c r="ZQ5" s="4"/>
      <c r="ZR5" s="4"/>
      <c r="ZS5" s="4"/>
      <c r="ZT5" s="4"/>
      <c r="ZU5" s="4"/>
      <c r="ZV5" s="4"/>
      <c r="ZW5" s="4"/>
      <c r="ZX5" s="4"/>
      <c r="ZY5" s="4"/>
      <c r="ZZ5" s="4"/>
      <c r="AAA5" s="4"/>
      <c r="AAB5" s="4"/>
      <c r="AAC5" s="4"/>
      <c r="AAD5" s="4"/>
      <c r="AAE5" s="4"/>
      <c r="AAF5" s="4"/>
      <c r="AAG5" s="4"/>
      <c r="AAH5" s="4"/>
      <c r="AAI5" s="4"/>
      <c r="AAJ5" s="4"/>
      <c r="AAK5" s="4"/>
      <c r="AAL5" s="4"/>
      <c r="AAM5" s="4"/>
      <c r="AAN5" s="4"/>
      <c r="AAO5" s="4"/>
      <c r="AAP5" s="4"/>
      <c r="AAQ5" s="4"/>
      <c r="AAR5" s="4"/>
      <c r="AAS5" s="4"/>
      <c r="AAT5" s="4"/>
      <c r="AAU5" s="4"/>
      <c r="AAV5" s="4"/>
      <c r="AAW5" s="4"/>
      <c r="AAX5" s="4"/>
      <c r="AAY5" s="4"/>
      <c r="AAZ5" s="4"/>
      <c r="ABA5" s="4"/>
      <c r="ABB5" s="4"/>
      <c r="ABC5" s="4"/>
      <c r="ABD5" s="4"/>
      <c r="ABE5" s="4"/>
      <c r="ABF5" s="4"/>
      <c r="ABG5" s="4"/>
      <c r="ABH5" s="4"/>
      <c r="ABI5" s="4"/>
      <c r="ABJ5" s="4"/>
      <c r="ABK5" s="4"/>
      <c r="ABL5" s="4"/>
      <c r="ABM5" s="4"/>
      <c r="ABN5" s="4"/>
      <c r="ABO5" s="4"/>
      <c r="ABP5" s="4"/>
      <c r="ABQ5" s="4"/>
      <c r="ABR5" s="4"/>
      <c r="ABS5" s="4"/>
      <c r="ABT5" s="4"/>
      <c r="ABU5" s="4"/>
      <c r="ABV5" s="4"/>
      <c r="ABW5" s="4"/>
      <c r="ABX5" s="4"/>
      <c r="ABY5" s="4"/>
      <c r="ABZ5" s="4"/>
      <c r="ACA5" s="4"/>
      <c r="ACB5" s="4"/>
      <c r="ACC5" s="4"/>
      <c r="ACD5" s="4"/>
      <c r="ACE5" s="4"/>
      <c r="ACF5" s="4"/>
      <c r="ACG5" s="4"/>
      <c r="ACH5" s="4"/>
      <c r="ACI5" s="4"/>
      <c r="ACJ5" s="4"/>
      <c r="ACK5" s="4"/>
      <c r="ACL5" s="4"/>
      <c r="ACM5" s="4"/>
      <c r="ACN5" s="4"/>
      <c r="ACO5" s="4"/>
      <c r="ACP5" s="4"/>
      <c r="ACQ5" s="4"/>
      <c r="ACR5" s="4"/>
      <c r="ACS5" s="4"/>
      <c r="ACT5" s="4"/>
      <c r="ACU5" s="4"/>
      <c r="ACV5" s="4"/>
      <c r="ACW5" s="4"/>
      <c r="ACX5" s="4"/>
      <c r="ACY5" s="4"/>
      <c r="ACZ5" s="4"/>
      <c r="ADA5" s="4"/>
      <c r="ADB5" s="4"/>
      <c r="ADC5" s="4"/>
      <c r="ADD5" s="4"/>
      <c r="ADE5" s="4"/>
      <c r="ADF5" s="4"/>
      <c r="ADG5" s="4"/>
      <c r="ADH5" s="4"/>
      <c r="ADI5" s="4"/>
      <c r="ADJ5" s="4"/>
      <c r="ADK5" s="4"/>
      <c r="ADL5" s="4"/>
      <c r="ADM5" s="4"/>
      <c r="ADN5" s="4"/>
      <c r="ADO5" s="4"/>
      <c r="ADP5" s="4"/>
      <c r="ADQ5" s="4"/>
      <c r="ADR5" s="4"/>
      <c r="ADS5" s="4"/>
      <c r="ADT5" s="4"/>
      <c r="ADU5" s="4"/>
      <c r="ADV5" s="4"/>
      <c r="ADW5" s="4"/>
      <c r="ADX5" s="4"/>
      <c r="ADY5" s="4"/>
      <c r="ADZ5" s="4"/>
      <c r="AEA5" s="4"/>
      <c r="AEB5" s="4"/>
      <c r="AEC5" s="4"/>
      <c r="AED5" s="4"/>
      <c r="AEE5" s="4"/>
      <c r="AEF5" s="4"/>
      <c r="AEG5" s="4"/>
      <c r="AEH5" s="4"/>
      <c r="AEI5" s="4"/>
      <c r="AEJ5" s="4"/>
      <c r="AEK5" s="4"/>
      <c r="AEL5" s="4"/>
      <c r="AEM5" s="4"/>
      <c r="AEN5" s="4"/>
      <c r="AEO5" s="4"/>
      <c r="AEP5" s="4"/>
      <c r="AEQ5" s="4"/>
      <c r="AER5" s="4"/>
      <c r="AES5" s="4"/>
      <c r="AET5" s="4"/>
      <c r="AEU5" s="4"/>
      <c r="AEV5" s="4"/>
      <c r="AEW5" s="4"/>
      <c r="AEX5" s="4"/>
      <c r="AEY5" s="4"/>
      <c r="AEZ5" s="4"/>
      <c r="AFA5" s="4"/>
      <c r="AFB5" s="4"/>
      <c r="AFC5" s="4"/>
      <c r="AFD5" s="4"/>
      <c r="AFE5" s="4"/>
      <c r="AFF5" s="4"/>
      <c r="AFG5" s="4"/>
      <c r="AFH5" s="4"/>
      <c r="AFI5" s="4"/>
      <c r="AFJ5" s="4"/>
      <c r="AFK5" s="4"/>
      <c r="AFL5" s="4"/>
      <c r="AFM5" s="4"/>
      <c r="AFN5" s="4"/>
      <c r="AFO5" s="4"/>
      <c r="AFP5" s="4"/>
      <c r="AFQ5" s="4"/>
      <c r="AFR5" s="4"/>
      <c r="AFS5" s="4"/>
      <c r="AFT5" s="4"/>
      <c r="AFU5" s="4"/>
      <c r="AFV5" s="4"/>
      <c r="AFW5" s="4"/>
      <c r="AFX5" s="4"/>
      <c r="AFY5" s="4"/>
      <c r="AFZ5" s="4"/>
      <c r="AGA5" s="4"/>
      <c r="AGB5" s="4"/>
      <c r="AGC5" s="4"/>
      <c r="AGD5" s="4"/>
      <c r="AGE5" s="4"/>
      <c r="AGF5" s="4"/>
      <c r="AGG5" s="4"/>
      <c r="AGH5" s="4"/>
      <c r="AGI5" s="4"/>
      <c r="AGJ5" s="4"/>
      <c r="AGK5" s="4"/>
      <c r="AGL5" s="4"/>
      <c r="AGM5" s="4"/>
      <c r="AGN5" s="4"/>
      <c r="AGO5" s="4"/>
      <c r="AGP5" s="4"/>
      <c r="AGQ5" s="4"/>
      <c r="AGR5" s="4"/>
      <c r="AGS5" s="4"/>
      <c r="AGT5" s="4"/>
      <c r="AGU5" s="4"/>
      <c r="AGV5" s="4"/>
      <c r="AGW5" s="4"/>
      <c r="AGX5" s="4"/>
      <c r="AGY5" s="4"/>
      <c r="AGZ5" s="4"/>
      <c r="AHA5" s="4"/>
      <c r="AHB5" s="4"/>
      <c r="AHC5" s="4"/>
      <c r="AHD5" s="4"/>
      <c r="AHE5" s="4"/>
      <c r="AHF5" s="4"/>
      <c r="AHG5" s="4"/>
      <c r="AHH5" s="4"/>
      <c r="AHI5" s="4"/>
      <c r="AHJ5" s="4"/>
      <c r="AHK5" s="4"/>
      <c r="AHL5" s="4"/>
      <c r="AHM5" s="4"/>
      <c r="AHN5" s="4"/>
      <c r="AHO5" s="4"/>
      <c r="AHP5" s="4"/>
      <c r="AHQ5" s="4"/>
      <c r="AHR5" s="4"/>
      <c r="AHS5" s="4"/>
      <c r="AHT5" s="4"/>
      <c r="AHU5" s="4"/>
      <c r="AHV5" s="4"/>
      <c r="AHW5" s="4"/>
      <c r="AHX5" s="4"/>
      <c r="AHY5" s="4"/>
      <c r="AHZ5" s="4"/>
      <c r="AIA5" s="4"/>
      <c r="AIB5" s="4"/>
      <c r="AIC5" s="4"/>
      <c r="AID5" s="4"/>
      <c r="AIE5" s="4"/>
      <c r="AIF5" s="4"/>
      <c r="AIG5" s="4"/>
      <c r="AIH5" s="4"/>
      <c r="AII5" s="4"/>
      <c r="AIJ5" s="4"/>
      <c r="AIK5" s="4"/>
      <c r="AIL5" s="4"/>
      <c r="AIM5" s="4"/>
      <c r="AIN5" s="4"/>
      <c r="AIO5" s="4"/>
      <c r="AIP5" s="4"/>
      <c r="AIQ5" s="4"/>
      <c r="AIR5" s="4"/>
      <c r="AIS5" s="4"/>
      <c r="AIT5" s="4"/>
      <c r="AIU5" s="4"/>
      <c r="AIV5" s="4"/>
      <c r="AIW5" s="4"/>
      <c r="AIX5" s="4"/>
      <c r="AIY5" s="4"/>
      <c r="AIZ5" s="4"/>
      <c r="AJA5" s="4"/>
      <c r="AJB5" s="4"/>
      <c r="AJC5" s="4"/>
      <c r="AJD5" s="4"/>
      <c r="AJE5" s="4"/>
      <c r="AJF5" s="4"/>
      <c r="AJG5" s="4"/>
      <c r="AJH5" s="4"/>
      <c r="AJI5" s="4"/>
      <c r="AJJ5" s="4"/>
      <c r="AJK5" s="4"/>
      <c r="AJL5" s="4"/>
      <c r="AJM5" s="4"/>
      <c r="AJN5" s="4"/>
      <c r="AJO5" s="4"/>
      <c r="AJP5" s="4"/>
      <c r="AJQ5" s="4"/>
      <c r="AJR5" s="4"/>
      <c r="AJS5" s="4"/>
      <c r="AJT5" s="4"/>
      <c r="AJU5" s="4"/>
      <c r="AJV5" s="4"/>
      <c r="AJW5" s="4"/>
      <c r="AJX5" s="4"/>
      <c r="AJY5" s="4"/>
      <c r="AJZ5" s="4"/>
      <c r="AKA5" s="4"/>
      <c r="AKB5" s="4"/>
      <c r="AKC5" s="4"/>
      <c r="AKD5" s="4"/>
      <c r="AKE5" s="4"/>
      <c r="AKF5" s="4"/>
      <c r="AKG5" s="4"/>
      <c r="AKH5" s="4"/>
      <c r="AKI5" s="4"/>
      <c r="AKJ5" s="4"/>
      <c r="AKK5" s="4"/>
      <c r="AKL5" s="4"/>
      <c r="AKM5" s="4"/>
      <c r="AKN5" s="4"/>
      <c r="AKO5" s="4"/>
      <c r="AKP5" s="4"/>
      <c r="AKQ5" s="4"/>
      <c r="AKR5" s="4"/>
      <c r="AKS5" s="4"/>
      <c r="AKT5" s="4"/>
      <c r="AKU5" s="4"/>
      <c r="AKV5" s="4"/>
      <c r="AKW5" s="4"/>
      <c r="AKX5" s="4"/>
      <c r="AKY5" s="4"/>
      <c r="AKZ5" s="4"/>
      <c r="ALA5" s="4"/>
      <c r="ALB5" s="4"/>
      <c r="ALC5" s="4"/>
      <c r="ALD5" s="4"/>
      <c r="ALE5" s="4"/>
      <c r="ALF5" s="4"/>
      <c r="ALG5" s="4"/>
      <c r="ALH5" s="4"/>
      <c r="ALI5" s="4"/>
      <c r="ALJ5" s="4"/>
      <c r="ALK5" s="4"/>
      <c r="ALL5" s="4"/>
      <c r="ALM5" s="4"/>
      <c r="ALN5" s="4"/>
      <c r="ALO5" s="4"/>
      <c r="ALP5" s="4"/>
      <c r="ALQ5" s="4"/>
      <c r="ALR5" s="4"/>
      <c r="ALS5" s="4"/>
      <c r="ALT5" s="4"/>
      <c r="ALU5" s="4"/>
      <c r="ALV5" s="4"/>
      <c r="ALW5" s="4"/>
      <c r="ALX5" s="4"/>
      <c r="ALY5" s="4"/>
    </row>
    <row r="6" spans="1:1013" ht="30" customHeight="1" x14ac:dyDescent="0.25">
      <c r="A6" s="16" t="s">
        <v>55</v>
      </c>
      <c r="B6" s="12" t="s">
        <v>281</v>
      </c>
      <c r="C6" s="16" t="s">
        <v>66</v>
      </c>
      <c r="D6" s="23">
        <v>44</v>
      </c>
      <c r="E6" s="23" t="s">
        <v>34</v>
      </c>
      <c r="F6" s="23">
        <v>57</v>
      </c>
      <c r="G6" s="11" t="s">
        <v>71</v>
      </c>
      <c r="H6" s="11" t="s">
        <v>72</v>
      </c>
      <c r="I6" s="11">
        <v>44</v>
      </c>
      <c r="J6" s="11">
        <v>63</v>
      </c>
      <c r="K6" s="11">
        <v>19</v>
      </c>
      <c r="L6" s="11">
        <v>15</v>
      </c>
      <c r="M6" s="11">
        <v>110</v>
      </c>
      <c r="N6" s="11">
        <v>101</v>
      </c>
      <c r="O6" s="11">
        <v>121</v>
      </c>
      <c r="P6" s="11">
        <v>74</v>
      </c>
      <c r="Q6" s="11">
        <v>41</v>
      </c>
      <c r="R6" s="11">
        <v>44</v>
      </c>
      <c r="S6" s="11">
        <v>64</v>
      </c>
      <c r="T6" s="11">
        <v>17</v>
      </c>
      <c r="U6" s="11">
        <v>13</v>
      </c>
      <c r="V6" s="11">
        <v>28</v>
      </c>
      <c r="W6" s="11">
        <v>27</v>
      </c>
      <c r="X6" s="11">
        <v>28</v>
      </c>
      <c r="Y6" s="11">
        <v>74</v>
      </c>
      <c r="Z6" s="11">
        <v>41</v>
      </c>
      <c r="AA6" s="11">
        <v>44</v>
      </c>
      <c r="AB6" s="11">
        <v>26</v>
      </c>
      <c r="AC6" s="11">
        <v>19</v>
      </c>
      <c r="AD6" s="11">
        <v>28</v>
      </c>
      <c r="AE6" s="11">
        <v>27</v>
      </c>
      <c r="AF6" s="11">
        <v>28</v>
      </c>
      <c r="AG6" s="11">
        <v>74</v>
      </c>
      <c r="AH6" s="11">
        <v>41</v>
      </c>
      <c r="AI6" s="11">
        <v>95</v>
      </c>
      <c r="AJ6" s="11">
        <v>115</v>
      </c>
      <c r="AK6" s="11">
        <v>71</v>
      </c>
      <c r="AL6" s="11">
        <v>36</v>
      </c>
      <c r="AM6" s="11">
        <v>26</v>
      </c>
      <c r="AN6" s="11">
        <v>20</v>
      </c>
      <c r="AO6" s="6">
        <v>95</v>
      </c>
      <c r="AP6" s="2">
        <v>1</v>
      </c>
      <c r="AQ6" s="21" t="s">
        <v>100</v>
      </c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  <c r="EW6" s="4"/>
      <c r="EX6" s="4"/>
      <c r="EY6" s="4"/>
      <c r="EZ6" s="4"/>
      <c r="FA6" s="4"/>
      <c r="FB6" s="4"/>
      <c r="FC6" s="4"/>
      <c r="FD6" s="4"/>
      <c r="FE6" s="4"/>
      <c r="FF6" s="4"/>
      <c r="FG6" s="4"/>
      <c r="FH6" s="4"/>
      <c r="FI6" s="4"/>
      <c r="FJ6" s="4"/>
      <c r="FK6" s="4"/>
      <c r="FL6" s="4"/>
      <c r="FM6" s="4"/>
      <c r="FN6" s="4"/>
      <c r="FO6" s="4"/>
      <c r="FP6" s="4"/>
      <c r="FQ6" s="4"/>
      <c r="FR6" s="4"/>
      <c r="FS6" s="4"/>
      <c r="FT6" s="4"/>
      <c r="FU6" s="4"/>
      <c r="FV6" s="4"/>
      <c r="FW6" s="4"/>
      <c r="FX6" s="4"/>
      <c r="FY6" s="4"/>
      <c r="FZ6" s="4"/>
      <c r="GA6" s="4"/>
      <c r="GB6" s="4"/>
      <c r="GC6" s="4"/>
      <c r="GD6" s="4"/>
      <c r="GE6" s="4"/>
      <c r="GF6" s="4"/>
      <c r="GG6" s="4"/>
      <c r="GH6" s="4"/>
      <c r="GI6" s="4"/>
      <c r="GJ6" s="4"/>
      <c r="GK6" s="4"/>
      <c r="GL6" s="4"/>
      <c r="GM6" s="4"/>
      <c r="GN6" s="4"/>
      <c r="GO6" s="4"/>
      <c r="GP6" s="4"/>
      <c r="GQ6" s="4"/>
      <c r="GR6" s="4"/>
      <c r="GS6" s="4"/>
      <c r="GT6" s="4"/>
      <c r="GU6" s="4"/>
      <c r="GV6" s="4"/>
      <c r="GW6" s="4"/>
      <c r="GX6" s="4"/>
      <c r="GY6" s="4"/>
      <c r="GZ6" s="4"/>
      <c r="HA6" s="4"/>
      <c r="HB6" s="4"/>
      <c r="HC6" s="4"/>
      <c r="HD6" s="4"/>
      <c r="HE6" s="4"/>
      <c r="HF6" s="4"/>
      <c r="HG6" s="4"/>
      <c r="HH6" s="4"/>
      <c r="HI6" s="4"/>
      <c r="HJ6" s="4"/>
      <c r="HK6" s="4"/>
      <c r="HL6" s="4"/>
      <c r="HM6" s="4"/>
      <c r="HN6" s="4"/>
      <c r="HO6" s="4"/>
      <c r="HP6" s="4"/>
      <c r="HQ6" s="4"/>
      <c r="HR6" s="4"/>
      <c r="HS6" s="4"/>
      <c r="HT6" s="4"/>
      <c r="HU6" s="4"/>
      <c r="HV6" s="4"/>
      <c r="HW6" s="4"/>
      <c r="HX6" s="4"/>
      <c r="HY6" s="4"/>
      <c r="HZ6" s="4"/>
      <c r="IA6" s="4"/>
      <c r="IB6" s="4"/>
      <c r="IC6" s="4"/>
      <c r="ID6" s="4"/>
      <c r="IE6" s="4"/>
      <c r="IF6" s="4"/>
      <c r="IG6" s="4"/>
      <c r="IH6" s="4"/>
      <c r="II6" s="4"/>
      <c r="IJ6" s="4"/>
      <c r="IK6" s="4"/>
      <c r="IL6" s="4"/>
      <c r="IM6" s="4"/>
      <c r="IN6" s="4"/>
      <c r="IO6" s="4"/>
      <c r="IP6" s="4"/>
      <c r="IQ6" s="4"/>
      <c r="IR6" s="4"/>
      <c r="IS6" s="4"/>
      <c r="IT6" s="4"/>
      <c r="IU6" s="4"/>
      <c r="IV6" s="4"/>
      <c r="IW6" s="4"/>
      <c r="IX6" s="4"/>
      <c r="IY6" s="4"/>
      <c r="IZ6" s="4"/>
      <c r="JA6" s="4"/>
      <c r="JB6" s="4"/>
      <c r="JC6" s="4"/>
      <c r="JD6" s="4"/>
      <c r="JE6" s="4"/>
      <c r="JF6" s="4"/>
      <c r="JG6" s="4"/>
      <c r="JH6" s="4"/>
      <c r="JI6" s="4"/>
      <c r="JJ6" s="4"/>
      <c r="JK6" s="4"/>
      <c r="JL6" s="4"/>
      <c r="JM6" s="4"/>
      <c r="JN6" s="4"/>
      <c r="JO6" s="4"/>
      <c r="JP6" s="4"/>
      <c r="JQ6" s="4"/>
      <c r="JR6" s="4"/>
      <c r="JS6" s="4"/>
      <c r="JT6" s="4"/>
      <c r="JU6" s="4"/>
      <c r="JV6" s="4"/>
      <c r="JW6" s="4"/>
      <c r="JX6" s="4"/>
      <c r="JY6" s="4"/>
      <c r="JZ6" s="4"/>
      <c r="KA6" s="4"/>
      <c r="KB6" s="4"/>
      <c r="KC6" s="4"/>
      <c r="KD6" s="4"/>
      <c r="KE6" s="4"/>
      <c r="KF6" s="4"/>
      <c r="KG6" s="4"/>
      <c r="KH6" s="4"/>
      <c r="KI6" s="4"/>
      <c r="KJ6" s="4"/>
      <c r="KK6" s="4"/>
      <c r="KL6" s="4"/>
      <c r="KM6" s="4"/>
      <c r="KN6" s="4"/>
      <c r="KO6" s="4"/>
      <c r="KP6" s="4"/>
      <c r="KQ6" s="4"/>
      <c r="KR6" s="4"/>
      <c r="KS6" s="4"/>
      <c r="KT6" s="4"/>
      <c r="KU6" s="4"/>
      <c r="KV6" s="4"/>
      <c r="KW6" s="4"/>
      <c r="KX6" s="4"/>
      <c r="KY6" s="4"/>
      <c r="KZ6" s="4"/>
      <c r="LA6" s="4"/>
      <c r="LB6" s="4"/>
      <c r="LC6" s="4"/>
      <c r="LD6" s="4"/>
      <c r="LE6" s="4"/>
      <c r="LF6" s="4"/>
      <c r="LG6" s="4"/>
      <c r="LH6" s="4"/>
      <c r="LI6" s="4"/>
      <c r="LJ6" s="4"/>
      <c r="LK6" s="4"/>
      <c r="LL6" s="4"/>
      <c r="LM6" s="4"/>
      <c r="LN6" s="4"/>
      <c r="LO6" s="4"/>
      <c r="LP6" s="4"/>
      <c r="LQ6" s="4"/>
      <c r="LR6" s="4"/>
      <c r="LS6" s="4"/>
      <c r="LT6" s="4"/>
      <c r="LU6" s="4"/>
      <c r="LV6" s="4"/>
      <c r="LW6" s="4"/>
      <c r="LX6" s="4"/>
      <c r="LY6" s="4"/>
      <c r="LZ6" s="4"/>
      <c r="MA6" s="4"/>
      <c r="MB6" s="4"/>
      <c r="MC6" s="4"/>
      <c r="MD6" s="4"/>
      <c r="ME6" s="4"/>
      <c r="MF6" s="4"/>
      <c r="MG6" s="4"/>
      <c r="MH6" s="4"/>
      <c r="MI6" s="4"/>
      <c r="MJ6" s="4"/>
      <c r="MK6" s="4"/>
      <c r="ML6" s="4"/>
      <c r="MM6" s="4"/>
      <c r="MN6" s="4"/>
      <c r="MO6" s="4"/>
      <c r="MP6" s="4"/>
      <c r="MQ6" s="4"/>
      <c r="MR6" s="4"/>
      <c r="MS6" s="4"/>
      <c r="MT6" s="4"/>
      <c r="MU6" s="4"/>
      <c r="MV6" s="4"/>
      <c r="MW6" s="4"/>
      <c r="MX6" s="4"/>
      <c r="MY6" s="4"/>
      <c r="MZ6" s="4"/>
      <c r="NA6" s="4"/>
      <c r="NB6" s="4"/>
      <c r="NC6" s="4"/>
      <c r="ND6" s="4"/>
      <c r="NE6" s="4"/>
      <c r="NF6" s="4"/>
      <c r="NG6" s="4"/>
      <c r="NH6" s="4"/>
      <c r="NI6" s="4"/>
      <c r="NJ6" s="4"/>
      <c r="NK6" s="4"/>
      <c r="NL6" s="4"/>
      <c r="NM6" s="4"/>
      <c r="NN6" s="4"/>
      <c r="NO6" s="4"/>
      <c r="NP6" s="4"/>
      <c r="NQ6" s="4"/>
      <c r="NR6" s="4"/>
      <c r="NS6" s="4"/>
      <c r="NT6" s="4"/>
      <c r="NU6" s="4"/>
      <c r="NV6" s="4"/>
      <c r="NW6" s="4"/>
      <c r="NX6" s="4"/>
      <c r="NY6" s="4"/>
      <c r="NZ6" s="4"/>
      <c r="OA6" s="4"/>
      <c r="OB6" s="4"/>
      <c r="OC6" s="4"/>
      <c r="OD6" s="4"/>
      <c r="OE6" s="4"/>
      <c r="OF6" s="4"/>
      <c r="OG6" s="4"/>
      <c r="OH6" s="4"/>
      <c r="OI6" s="4"/>
      <c r="OJ6" s="4"/>
      <c r="OK6" s="4"/>
      <c r="OL6" s="4"/>
      <c r="OM6" s="4"/>
      <c r="ON6" s="4"/>
      <c r="OO6" s="4"/>
      <c r="OP6" s="4"/>
      <c r="OQ6" s="4"/>
      <c r="OR6" s="4"/>
      <c r="OS6" s="4"/>
      <c r="OT6" s="4"/>
      <c r="OU6" s="4"/>
      <c r="OV6" s="4"/>
      <c r="OW6" s="4"/>
      <c r="OX6" s="4"/>
      <c r="OY6" s="4"/>
      <c r="OZ6" s="4"/>
      <c r="PA6" s="4"/>
      <c r="PB6" s="4"/>
      <c r="PC6" s="4"/>
      <c r="PD6" s="4"/>
      <c r="PE6" s="4"/>
      <c r="PF6" s="4"/>
      <c r="PG6" s="4"/>
      <c r="PH6" s="4"/>
      <c r="PI6" s="4"/>
      <c r="PJ6" s="4"/>
      <c r="PK6" s="4"/>
      <c r="PL6" s="4"/>
      <c r="PM6" s="4"/>
      <c r="PN6" s="4"/>
      <c r="PO6" s="4"/>
      <c r="PP6" s="4"/>
      <c r="PQ6" s="4"/>
      <c r="PR6" s="4"/>
      <c r="PS6" s="4"/>
      <c r="PT6" s="4"/>
      <c r="PU6" s="4"/>
      <c r="PV6" s="4"/>
      <c r="PW6" s="4"/>
      <c r="PX6" s="4"/>
      <c r="PY6" s="4"/>
      <c r="PZ6" s="4"/>
      <c r="QA6" s="4"/>
      <c r="QB6" s="4"/>
      <c r="QC6" s="4"/>
      <c r="QD6" s="4"/>
      <c r="QE6" s="4"/>
      <c r="QF6" s="4"/>
      <c r="QG6" s="4"/>
      <c r="QH6" s="4"/>
      <c r="QI6" s="4"/>
      <c r="QJ6" s="4"/>
      <c r="QK6" s="4"/>
      <c r="QL6" s="4"/>
      <c r="QM6" s="4"/>
      <c r="QN6" s="4"/>
      <c r="QO6" s="4"/>
      <c r="QP6" s="4"/>
      <c r="QQ6" s="4"/>
      <c r="QR6" s="4"/>
      <c r="QS6" s="4"/>
      <c r="QT6" s="4"/>
      <c r="QU6" s="4"/>
      <c r="QV6" s="4"/>
      <c r="QW6" s="4"/>
      <c r="QX6" s="4"/>
      <c r="QY6" s="4"/>
      <c r="QZ6" s="4"/>
      <c r="RA6" s="4"/>
      <c r="RB6" s="4"/>
      <c r="RC6" s="4"/>
      <c r="RD6" s="4"/>
      <c r="RE6" s="4"/>
      <c r="RF6" s="4"/>
      <c r="RG6" s="4"/>
      <c r="RH6" s="4"/>
      <c r="RI6" s="4"/>
      <c r="RJ6" s="4"/>
      <c r="RK6" s="4"/>
      <c r="RL6" s="4"/>
      <c r="RM6" s="4"/>
      <c r="RN6" s="4"/>
      <c r="RO6" s="4"/>
      <c r="RP6" s="4"/>
      <c r="RQ6" s="4"/>
      <c r="RR6" s="4"/>
      <c r="RS6" s="4"/>
      <c r="RT6" s="4"/>
      <c r="RU6" s="4"/>
      <c r="RV6" s="4"/>
      <c r="RW6" s="4"/>
      <c r="RX6" s="4"/>
      <c r="RY6" s="4"/>
      <c r="RZ6" s="4"/>
      <c r="SA6" s="4"/>
      <c r="SB6" s="4"/>
      <c r="SC6" s="4"/>
      <c r="SD6" s="4"/>
      <c r="SE6" s="4"/>
      <c r="SF6" s="4"/>
      <c r="SG6" s="4"/>
      <c r="SH6" s="4"/>
      <c r="SI6" s="4"/>
      <c r="SJ6" s="4"/>
      <c r="SK6" s="4"/>
      <c r="SL6" s="4"/>
      <c r="SM6" s="4"/>
      <c r="SN6" s="4"/>
      <c r="SO6" s="4"/>
      <c r="SP6" s="4"/>
      <c r="SQ6" s="4"/>
      <c r="SR6" s="4"/>
      <c r="SS6" s="4"/>
      <c r="ST6" s="4"/>
      <c r="SU6" s="4"/>
      <c r="SV6" s="4"/>
      <c r="SW6" s="4"/>
      <c r="SX6" s="4"/>
      <c r="SY6" s="4"/>
      <c r="SZ6" s="4"/>
      <c r="TA6" s="4"/>
      <c r="TB6" s="4"/>
      <c r="TC6" s="4"/>
      <c r="TD6" s="4"/>
      <c r="TE6" s="4"/>
      <c r="TF6" s="4"/>
      <c r="TG6" s="4"/>
      <c r="TH6" s="4"/>
      <c r="TI6" s="4"/>
      <c r="TJ6" s="4"/>
      <c r="TK6" s="4"/>
      <c r="TL6" s="4"/>
      <c r="TM6" s="4"/>
      <c r="TN6" s="4"/>
      <c r="TO6" s="4"/>
      <c r="TP6" s="4"/>
      <c r="TQ6" s="4"/>
      <c r="TR6" s="4"/>
      <c r="TS6" s="4"/>
      <c r="TT6" s="4"/>
      <c r="TU6" s="4"/>
      <c r="TV6" s="4"/>
      <c r="TW6" s="4"/>
      <c r="TX6" s="4"/>
      <c r="TY6" s="4"/>
      <c r="TZ6" s="4"/>
      <c r="UA6" s="4"/>
      <c r="UB6" s="4"/>
      <c r="UC6" s="4"/>
      <c r="UD6" s="4"/>
      <c r="UE6" s="4"/>
      <c r="UF6" s="4"/>
      <c r="UG6" s="4"/>
      <c r="UH6" s="4"/>
      <c r="UI6" s="4"/>
      <c r="UJ6" s="4"/>
      <c r="UK6" s="4"/>
      <c r="UL6" s="4"/>
      <c r="UM6" s="4"/>
      <c r="UN6" s="4"/>
      <c r="UO6" s="4"/>
      <c r="UP6" s="4"/>
      <c r="UQ6" s="4"/>
      <c r="UR6" s="4"/>
      <c r="US6" s="4"/>
      <c r="UT6" s="4"/>
      <c r="UU6" s="4"/>
      <c r="UV6" s="4"/>
      <c r="UW6" s="4"/>
      <c r="UX6" s="4"/>
      <c r="UY6" s="4"/>
      <c r="UZ6" s="4"/>
      <c r="VA6" s="4"/>
      <c r="VB6" s="4"/>
      <c r="VC6" s="4"/>
      <c r="VD6" s="4"/>
      <c r="VE6" s="4"/>
      <c r="VF6" s="4"/>
      <c r="VG6" s="4"/>
      <c r="VH6" s="4"/>
      <c r="VI6" s="4"/>
      <c r="VJ6" s="4"/>
      <c r="VK6" s="4"/>
      <c r="VL6" s="4"/>
      <c r="VM6" s="4"/>
      <c r="VN6" s="4"/>
      <c r="VO6" s="4"/>
      <c r="VP6" s="4"/>
      <c r="VQ6" s="4"/>
      <c r="VR6" s="4"/>
      <c r="VS6" s="4"/>
      <c r="VT6" s="4"/>
      <c r="VU6" s="4"/>
      <c r="VV6" s="4"/>
      <c r="VW6" s="4"/>
      <c r="VX6" s="4"/>
      <c r="VY6" s="4"/>
      <c r="VZ6" s="4"/>
      <c r="WA6" s="4"/>
      <c r="WB6" s="4"/>
      <c r="WC6" s="4"/>
      <c r="WD6" s="4"/>
      <c r="WE6" s="4"/>
      <c r="WF6" s="4"/>
      <c r="WG6" s="4"/>
      <c r="WH6" s="4"/>
      <c r="WI6" s="4"/>
      <c r="WJ6" s="4"/>
      <c r="WK6" s="4"/>
      <c r="WL6" s="4"/>
      <c r="WM6" s="4"/>
      <c r="WN6" s="4"/>
      <c r="WO6" s="4"/>
      <c r="WP6" s="4"/>
      <c r="WQ6" s="4"/>
      <c r="WR6" s="4"/>
      <c r="WS6" s="4"/>
      <c r="WT6" s="4"/>
      <c r="WU6" s="4"/>
      <c r="WV6" s="4"/>
      <c r="WW6" s="4"/>
      <c r="WX6" s="4"/>
      <c r="WY6" s="4"/>
      <c r="WZ6" s="4"/>
      <c r="XA6" s="4"/>
      <c r="XB6" s="4"/>
      <c r="XC6" s="4"/>
      <c r="XD6" s="4"/>
      <c r="XE6" s="4"/>
      <c r="XF6" s="4"/>
      <c r="XG6" s="4"/>
      <c r="XH6" s="4"/>
      <c r="XI6" s="4"/>
      <c r="XJ6" s="4"/>
      <c r="XK6" s="4"/>
      <c r="XL6" s="4"/>
      <c r="XM6" s="4"/>
      <c r="XN6" s="4"/>
      <c r="XO6" s="4"/>
      <c r="XP6" s="4"/>
      <c r="XQ6" s="4"/>
      <c r="XR6" s="4"/>
      <c r="XS6" s="4"/>
      <c r="XT6" s="4"/>
      <c r="XU6" s="4"/>
      <c r="XV6" s="4"/>
      <c r="XW6" s="4"/>
      <c r="XX6" s="4"/>
      <c r="XY6" s="4"/>
      <c r="XZ6" s="4"/>
      <c r="YA6" s="4"/>
      <c r="YB6" s="4"/>
      <c r="YC6" s="4"/>
      <c r="YD6" s="4"/>
      <c r="YE6" s="4"/>
      <c r="YF6" s="4"/>
      <c r="YG6" s="4"/>
      <c r="YH6" s="4"/>
      <c r="YI6" s="4"/>
      <c r="YJ6" s="4"/>
      <c r="YK6" s="4"/>
      <c r="YL6" s="4"/>
      <c r="YM6" s="4"/>
      <c r="YN6" s="4"/>
      <c r="YO6" s="4"/>
      <c r="YP6" s="4"/>
      <c r="YQ6" s="4"/>
      <c r="YR6" s="4"/>
      <c r="YS6" s="4"/>
      <c r="YT6" s="4"/>
      <c r="YU6" s="4"/>
      <c r="YV6" s="4"/>
      <c r="YW6" s="4"/>
      <c r="YX6" s="4"/>
      <c r="YY6" s="4"/>
      <c r="YZ6" s="4"/>
      <c r="ZA6" s="4"/>
      <c r="ZB6" s="4"/>
      <c r="ZC6" s="4"/>
      <c r="ZD6" s="4"/>
      <c r="ZE6" s="4"/>
      <c r="ZF6" s="4"/>
      <c r="ZG6" s="4"/>
      <c r="ZH6" s="4"/>
      <c r="ZI6" s="4"/>
      <c r="ZJ6" s="4"/>
      <c r="ZK6" s="4"/>
      <c r="ZL6" s="4"/>
      <c r="ZM6" s="4"/>
      <c r="ZN6" s="4"/>
      <c r="ZO6" s="4"/>
      <c r="ZP6" s="4"/>
      <c r="ZQ6" s="4"/>
      <c r="ZR6" s="4"/>
      <c r="ZS6" s="4"/>
      <c r="ZT6" s="4"/>
      <c r="ZU6" s="4"/>
      <c r="ZV6" s="4"/>
      <c r="ZW6" s="4"/>
      <c r="ZX6" s="4"/>
      <c r="ZY6" s="4"/>
      <c r="ZZ6" s="4"/>
      <c r="AAA6" s="4"/>
      <c r="AAB6" s="4"/>
      <c r="AAC6" s="4"/>
      <c r="AAD6" s="4"/>
      <c r="AAE6" s="4"/>
      <c r="AAF6" s="4"/>
      <c r="AAG6" s="4"/>
      <c r="AAH6" s="4"/>
      <c r="AAI6" s="4"/>
      <c r="AAJ6" s="4"/>
      <c r="AAK6" s="4"/>
      <c r="AAL6" s="4"/>
      <c r="AAM6" s="4"/>
      <c r="AAN6" s="4"/>
      <c r="AAO6" s="4"/>
      <c r="AAP6" s="4"/>
      <c r="AAQ6" s="4"/>
      <c r="AAR6" s="4"/>
      <c r="AAS6" s="4"/>
      <c r="AAT6" s="4"/>
      <c r="AAU6" s="4"/>
      <c r="AAV6" s="4"/>
      <c r="AAW6" s="4"/>
      <c r="AAX6" s="4"/>
      <c r="AAY6" s="4"/>
      <c r="AAZ6" s="4"/>
      <c r="ABA6" s="4"/>
      <c r="ABB6" s="4"/>
      <c r="ABC6" s="4"/>
      <c r="ABD6" s="4"/>
      <c r="ABE6" s="4"/>
      <c r="ABF6" s="4"/>
      <c r="ABG6" s="4"/>
      <c r="ABH6" s="4"/>
      <c r="ABI6" s="4"/>
      <c r="ABJ6" s="4"/>
      <c r="ABK6" s="4"/>
      <c r="ABL6" s="4"/>
      <c r="ABM6" s="4"/>
      <c r="ABN6" s="4"/>
      <c r="ABO6" s="4"/>
      <c r="ABP6" s="4"/>
      <c r="ABQ6" s="4"/>
      <c r="ABR6" s="4"/>
      <c r="ABS6" s="4"/>
      <c r="ABT6" s="4"/>
      <c r="ABU6" s="4"/>
      <c r="ABV6" s="4"/>
      <c r="ABW6" s="4"/>
      <c r="ABX6" s="4"/>
      <c r="ABY6" s="4"/>
      <c r="ABZ6" s="4"/>
      <c r="ACA6" s="4"/>
      <c r="ACB6" s="4"/>
      <c r="ACC6" s="4"/>
      <c r="ACD6" s="4"/>
      <c r="ACE6" s="4"/>
      <c r="ACF6" s="4"/>
      <c r="ACG6" s="4"/>
      <c r="ACH6" s="4"/>
      <c r="ACI6" s="4"/>
      <c r="ACJ6" s="4"/>
      <c r="ACK6" s="4"/>
      <c r="ACL6" s="4"/>
      <c r="ACM6" s="4"/>
      <c r="ACN6" s="4"/>
      <c r="ACO6" s="4"/>
      <c r="ACP6" s="4"/>
      <c r="ACQ6" s="4"/>
      <c r="ACR6" s="4"/>
      <c r="ACS6" s="4"/>
      <c r="ACT6" s="4"/>
      <c r="ACU6" s="4"/>
      <c r="ACV6" s="4"/>
      <c r="ACW6" s="4"/>
      <c r="ACX6" s="4"/>
      <c r="ACY6" s="4"/>
      <c r="ACZ6" s="4"/>
      <c r="ADA6" s="4"/>
      <c r="ADB6" s="4"/>
      <c r="ADC6" s="4"/>
      <c r="ADD6" s="4"/>
      <c r="ADE6" s="4"/>
      <c r="ADF6" s="4"/>
      <c r="ADG6" s="4"/>
      <c r="ADH6" s="4"/>
      <c r="ADI6" s="4"/>
      <c r="ADJ6" s="4"/>
      <c r="ADK6" s="4"/>
      <c r="ADL6" s="4"/>
      <c r="ADM6" s="4"/>
      <c r="ADN6" s="4"/>
      <c r="ADO6" s="4"/>
      <c r="ADP6" s="4"/>
      <c r="ADQ6" s="4"/>
      <c r="ADR6" s="4"/>
      <c r="ADS6" s="4"/>
      <c r="ADT6" s="4"/>
      <c r="ADU6" s="4"/>
      <c r="ADV6" s="4"/>
      <c r="ADW6" s="4"/>
      <c r="ADX6" s="4"/>
      <c r="ADY6" s="4"/>
      <c r="ADZ6" s="4"/>
      <c r="AEA6" s="4"/>
      <c r="AEB6" s="4"/>
      <c r="AEC6" s="4"/>
      <c r="AED6" s="4"/>
      <c r="AEE6" s="4"/>
      <c r="AEF6" s="4"/>
      <c r="AEG6" s="4"/>
      <c r="AEH6" s="4"/>
      <c r="AEI6" s="4"/>
      <c r="AEJ6" s="4"/>
      <c r="AEK6" s="4"/>
      <c r="AEL6" s="4"/>
      <c r="AEM6" s="4"/>
      <c r="AEN6" s="4"/>
      <c r="AEO6" s="4"/>
      <c r="AEP6" s="4"/>
      <c r="AEQ6" s="4"/>
      <c r="AER6" s="4"/>
      <c r="AES6" s="4"/>
      <c r="AET6" s="4"/>
      <c r="AEU6" s="4"/>
      <c r="AEV6" s="4"/>
      <c r="AEW6" s="4"/>
      <c r="AEX6" s="4"/>
      <c r="AEY6" s="4"/>
      <c r="AEZ6" s="4"/>
      <c r="AFA6" s="4"/>
      <c r="AFB6" s="4"/>
      <c r="AFC6" s="4"/>
      <c r="AFD6" s="4"/>
      <c r="AFE6" s="4"/>
      <c r="AFF6" s="4"/>
      <c r="AFG6" s="4"/>
      <c r="AFH6" s="4"/>
      <c r="AFI6" s="4"/>
      <c r="AFJ6" s="4"/>
      <c r="AFK6" s="4"/>
      <c r="AFL6" s="4"/>
      <c r="AFM6" s="4"/>
      <c r="AFN6" s="4"/>
      <c r="AFO6" s="4"/>
      <c r="AFP6" s="4"/>
      <c r="AFQ6" s="4"/>
      <c r="AFR6" s="4"/>
      <c r="AFS6" s="4"/>
      <c r="AFT6" s="4"/>
      <c r="AFU6" s="4"/>
      <c r="AFV6" s="4"/>
      <c r="AFW6" s="4"/>
      <c r="AFX6" s="4"/>
      <c r="AFY6" s="4"/>
      <c r="AFZ6" s="4"/>
      <c r="AGA6" s="4"/>
      <c r="AGB6" s="4"/>
      <c r="AGC6" s="4"/>
      <c r="AGD6" s="4"/>
      <c r="AGE6" s="4"/>
      <c r="AGF6" s="4"/>
      <c r="AGG6" s="4"/>
      <c r="AGH6" s="4"/>
      <c r="AGI6" s="4"/>
      <c r="AGJ6" s="4"/>
      <c r="AGK6" s="4"/>
      <c r="AGL6" s="4"/>
      <c r="AGM6" s="4"/>
      <c r="AGN6" s="4"/>
      <c r="AGO6" s="4"/>
      <c r="AGP6" s="4"/>
      <c r="AGQ6" s="4"/>
      <c r="AGR6" s="4"/>
      <c r="AGS6" s="4"/>
      <c r="AGT6" s="4"/>
      <c r="AGU6" s="4"/>
      <c r="AGV6" s="4"/>
      <c r="AGW6" s="4"/>
      <c r="AGX6" s="4"/>
      <c r="AGY6" s="4"/>
      <c r="AGZ6" s="4"/>
      <c r="AHA6" s="4"/>
      <c r="AHB6" s="4"/>
      <c r="AHC6" s="4"/>
      <c r="AHD6" s="4"/>
      <c r="AHE6" s="4"/>
      <c r="AHF6" s="4"/>
      <c r="AHG6" s="4"/>
      <c r="AHH6" s="4"/>
      <c r="AHI6" s="4"/>
      <c r="AHJ6" s="4"/>
      <c r="AHK6" s="4"/>
      <c r="AHL6" s="4"/>
      <c r="AHM6" s="4"/>
      <c r="AHN6" s="4"/>
      <c r="AHO6" s="4"/>
      <c r="AHP6" s="4"/>
      <c r="AHQ6" s="4"/>
      <c r="AHR6" s="4"/>
      <c r="AHS6" s="4"/>
      <c r="AHT6" s="4"/>
      <c r="AHU6" s="4"/>
      <c r="AHV6" s="4"/>
      <c r="AHW6" s="4"/>
      <c r="AHX6" s="4"/>
      <c r="AHY6" s="4"/>
      <c r="AHZ6" s="4"/>
      <c r="AIA6" s="4"/>
      <c r="AIB6" s="4"/>
      <c r="AIC6" s="4"/>
      <c r="AID6" s="4"/>
      <c r="AIE6" s="4"/>
      <c r="AIF6" s="4"/>
      <c r="AIG6" s="4"/>
      <c r="AIH6" s="4"/>
      <c r="AII6" s="4"/>
      <c r="AIJ6" s="4"/>
      <c r="AIK6" s="4"/>
      <c r="AIL6" s="4"/>
      <c r="AIM6" s="4"/>
      <c r="AIN6" s="4"/>
      <c r="AIO6" s="4"/>
      <c r="AIP6" s="4"/>
      <c r="AIQ6" s="4"/>
      <c r="AIR6" s="4"/>
      <c r="AIS6" s="4"/>
      <c r="AIT6" s="4"/>
      <c r="AIU6" s="4"/>
      <c r="AIV6" s="4"/>
      <c r="AIW6" s="4"/>
      <c r="AIX6" s="4"/>
      <c r="AIY6" s="4"/>
      <c r="AIZ6" s="4"/>
      <c r="AJA6" s="4"/>
      <c r="AJB6" s="4"/>
      <c r="AJC6" s="4"/>
      <c r="AJD6" s="4"/>
      <c r="AJE6" s="4"/>
      <c r="AJF6" s="4"/>
      <c r="AJG6" s="4"/>
      <c r="AJH6" s="4"/>
      <c r="AJI6" s="4"/>
      <c r="AJJ6" s="4"/>
      <c r="AJK6" s="4"/>
      <c r="AJL6" s="4"/>
      <c r="AJM6" s="4"/>
      <c r="AJN6" s="4"/>
      <c r="AJO6" s="4"/>
      <c r="AJP6" s="4"/>
      <c r="AJQ6" s="4"/>
      <c r="AJR6" s="4"/>
      <c r="AJS6" s="4"/>
      <c r="AJT6" s="4"/>
      <c r="AJU6" s="4"/>
      <c r="AJV6" s="4"/>
      <c r="AJW6" s="4"/>
      <c r="AJX6" s="4"/>
      <c r="AJY6" s="4"/>
      <c r="AJZ6" s="4"/>
      <c r="AKA6" s="4"/>
      <c r="AKB6" s="4"/>
      <c r="AKC6" s="4"/>
      <c r="AKD6" s="4"/>
      <c r="AKE6" s="4"/>
      <c r="AKF6" s="4"/>
      <c r="AKG6" s="4"/>
      <c r="AKH6" s="4"/>
      <c r="AKI6" s="4"/>
      <c r="AKJ6" s="4"/>
      <c r="AKK6" s="4"/>
      <c r="AKL6" s="4"/>
      <c r="AKM6" s="4"/>
      <c r="AKN6" s="4"/>
      <c r="AKO6" s="4"/>
      <c r="AKP6" s="4"/>
      <c r="AKQ6" s="4"/>
      <c r="AKR6" s="4"/>
      <c r="AKS6" s="4"/>
      <c r="AKT6" s="4"/>
      <c r="AKU6" s="4"/>
      <c r="AKV6" s="4"/>
      <c r="AKW6" s="4"/>
      <c r="AKX6" s="4"/>
      <c r="AKY6" s="4"/>
      <c r="AKZ6" s="4"/>
      <c r="ALA6" s="4"/>
      <c r="ALB6" s="4"/>
      <c r="ALC6" s="4"/>
      <c r="ALD6" s="4"/>
      <c r="ALE6" s="4"/>
      <c r="ALF6" s="4"/>
      <c r="ALG6" s="4"/>
      <c r="ALH6" s="4"/>
      <c r="ALI6" s="4"/>
      <c r="ALJ6" s="4"/>
      <c r="ALK6" s="4"/>
      <c r="ALL6" s="4"/>
      <c r="ALM6" s="4"/>
      <c r="ALN6" s="4"/>
      <c r="ALO6" s="4"/>
      <c r="ALP6" s="4"/>
      <c r="ALQ6" s="4"/>
      <c r="ALR6" s="4"/>
      <c r="ALS6" s="4"/>
      <c r="ALT6" s="4"/>
      <c r="ALU6" s="4"/>
      <c r="ALV6" s="4"/>
      <c r="ALW6" s="4"/>
      <c r="ALX6" s="4"/>
      <c r="ALY6" s="4"/>
    </row>
    <row r="7" spans="1:1013" ht="30" customHeight="1" x14ac:dyDescent="0.25">
      <c r="A7" s="8" t="s">
        <v>56</v>
      </c>
      <c r="B7" s="12" t="s">
        <v>73</v>
      </c>
      <c r="C7" s="16" t="s">
        <v>66</v>
      </c>
      <c r="D7" s="23">
        <v>40</v>
      </c>
      <c r="E7" s="9" t="s">
        <v>31</v>
      </c>
      <c r="F7" s="9">
        <v>56</v>
      </c>
      <c r="G7" s="11" t="s">
        <v>71</v>
      </c>
      <c r="H7" s="11" t="s">
        <v>72</v>
      </c>
      <c r="I7" s="24">
        <v>43</v>
      </c>
      <c r="J7" s="24">
        <v>59</v>
      </c>
      <c r="K7" s="24">
        <v>19</v>
      </c>
      <c r="L7" s="24">
        <v>15</v>
      </c>
      <c r="M7" s="11">
        <v>110</v>
      </c>
      <c r="N7" s="24">
        <v>104</v>
      </c>
      <c r="O7" s="24">
        <v>112</v>
      </c>
      <c r="P7" s="24">
        <v>70</v>
      </c>
      <c r="Q7" s="24">
        <v>39</v>
      </c>
      <c r="R7" s="11">
        <v>43</v>
      </c>
      <c r="S7" s="11">
        <v>60</v>
      </c>
      <c r="T7" s="11">
        <v>17</v>
      </c>
      <c r="U7" s="11">
        <v>13</v>
      </c>
      <c r="V7" s="11">
        <v>28</v>
      </c>
      <c r="W7" s="11">
        <v>27</v>
      </c>
      <c r="X7" s="11">
        <v>28</v>
      </c>
      <c r="Y7" s="11">
        <v>69</v>
      </c>
      <c r="Z7" s="11">
        <v>39</v>
      </c>
      <c r="AA7" s="24">
        <v>43</v>
      </c>
      <c r="AB7" s="24">
        <v>24</v>
      </c>
      <c r="AC7" s="24">
        <v>19</v>
      </c>
      <c r="AD7" s="24">
        <v>28</v>
      </c>
      <c r="AE7" s="24">
        <v>27</v>
      </c>
      <c r="AF7" s="24">
        <v>28</v>
      </c>
      <c r="AG7" s="24">
        <v>69</v>
      </c>
      <c r="AH7" s="24">
        <v>39</v>
      </c>
      <c r="AI7" s="24">
        <v>93</v>
      </c>
      <c r="AJ7" s="24">
        <v>109</v>
      </c>
      <c r="AK7" s="24">
        <v>68</v>
      </c>
      <c r="AL7" s="24">
        <v>34</v>
      </c>
      <c r="AM7" s="24">
        <v>25</v>
      </c>
      <c r="AN7" s="24">
        <v>20</v>
      </c>
      <c r="AO7" s="3">
        <v>89</v>
      </c>
      <c r="AP7" s="2">
        <v>1</v>
      </c>
      <c r="AQ7" s="21" t="s">
        <v>100</v>
      </c>
      <c r="AR7" s="4"/>
      <c r="AS7" s="4"/>
      <c r="AT7" s="4"/>
    </row>
    <row r="8" spans="1:1013" ht="30" customHeight="1" x14ac:dyDescent="0.25">
      <c r="A8" s="16" t="s">
        <v>57</v>
      </c>
      <c r="B8" s="12" t="s">
        <v>74</v>
      </c>
      <c r="C8" s="16" t="s">
        <v>66</v>
      </c>
      <c r="D8" s="23">
        <v>42</v>
      </c>
      <c r="E8" s="9" t="s">
        <v>33</v>
      </c>
      <c r="F8" s="9">
        <v>57</v>
      </c>
      <c r="G8" s="11" t="s">
        <v>71</v>
      </c>
      <c r="H8" s="11" t="s">
        <v>72</v>
      </c>
      <c r="I8" s="24">
        <v>44</v>
      </c>
      <c r="J8" s="24">
        <v>62</v>
      </c>
      <c r="K8" s="24">
        <v>19</v>
      </c>
      <c r="L8" s="24">
        <v>15</v>
      </c>
      <c r="M8" s="24">
        <v>111</v>
      </c>
      <c r="N8" s="24">
        <v>109</v>
      </c>
      <c r="O8" s="24">
        <v>117</v>
      </c>
      <c r="P8" s="24">
        <v>75</v>
      </c>
      <c r="Q8" s="24">
        <v>44</v>
      </c>
      <c r="R8" s="11">
        <v>44</v>
      </c>
      <c r="S8" s="11">
        <v>63</v>
      </c>
      <c r="T8" s="11">
        <v>17</v>
      </c>
      <c r="U8" s="11">
        <v>13</v>
      </c>
      <c r="V8" s="11">
        <v>29</v>
      </c>
      <c r="W8" s="11">
        <v>28</v>
      </c>
      <c r="X8" s="11">
        <v>29</v>
      </c>
      <c r="Y8" s="11">
        <v>74</v>
      </c>
      <c r="Z8" s="11">
        <v>44</v>
      </c>
      <c r="AA8" s="24">
        <v>44</v>
      </c>
      <c r="AB8" s="3">
        <v>28</v>
      </c>
      <c r="AC8" s="24">
        <v>19</v>
      </c>
      <c r="AD8" s="24">
        <v>29</v>
      </c>
      <c r="AE8" s="24">
        <v>28</v>
      </c>
      <c r="AF8" s="24">
        <v>29</v>
      </c>
      <c r="AG8" s="24">
        <v>74</v>
      </c>
      <c r="AH8" s="24">
        <v>44</v>
      </c>
      <c r="AI8" s="24">
        <v>95</v>
      </c>
      <c r="AJ8" s="24">
        <v>113</v>
      </c>
      <c r="AK8" s="24">
        <v>70</v>
      </c>
      <c r="AL8" s="24">
        <v>34</v>
      </c>
      <c r="AM8" s="24">
        <v>25</v>
      </c>
      <c r="AN8" s="24">
        <v>20</v>
      </c>
      <c r="AO8" s="24">
        <v>100</v>
      </c>
      <c r="AP8" s="2">
        <v>1</v>
      </c>
      <c r="AQ8" s="21" t="s">
        <v>100</v>
      </c>
      <c r="AR8" s="4"/>
      <c r="AS8" s="4"/>
      <c r="AT8" s="4"/>
    </row>
    <row r="9" spans="1:1013" ht="30" customHeight="1" x14ac:dyDescent="0.25">
      <c r="A9" s="8" t="s">
        <v>58</v>
      </c>
      <c r="B9" s="12" t="s">
        <v>75</v>
      </c>
      <c r="C9" s="16" t="s">
        <v>66</v>
      </c>
      <c r="D9" s="23">
        <v>42</v>
      </c>
      <c r="E9" s="9" t="s">
        <v>32</v>
      </c>
      <c r="F9" s="9">
        <v>58</v>
      </c>
      <c r="G9" s="11" t="s">
        <v>71</v>
      </c>
      <c r="H9" s="11" t="s">
        <v>72</v>
      </c>
      <c r="I9" s="24">
        <v>44</v>
      </c>
      <c r="J9" s="24">
        <v>65</v>
      </c>
      <c r="K9" s="24">
        <v>19</v>
      </c>
      <c r="L9" s="24">
        <v>15</v>
      </c>
      <c r="M9" s="24">
        <v>110</v>
      </c>
      <c r="N9" s="24">
        <v>109</v>
      </c>
      <c r="O9" s="24">
        <v>118</v>
      </c>
      <c r="P9" s="24">
        <v>75</v>
      </c>
      <c r="Q9" s="24">
        <v>42</v>
      </c>
      <c r="R9" s="11">
        <v>44</v>
      </c>
      <c r="S9" s="11">
        <v>66</v>
      </c>
      <c r="T9" s="11">
        <v>17</v>
      </c>
      <c r="U9" s="11">
        <v>13</v>
      </c>
      <c r="V9" s="11">
        <v>28</v>
      </c>
      <c r="W9" s="11">
        <v>27</v>
      </c>
      <c r="X9" s="11">
        <v>28</v>
      </c>
      <c r="Y9" s="11">
        <v>75</v>
      </c>
      <c r="Z9" s="11">
        <v>42</v>
      </c>
      <c r="AA9" s="24">
        <v>44</v>
      </c>
      <c r="AB9" s="3">
        <v>25</v>
      </c>
      <c r="AC9" s="24">
        <v>19</v>
      </c>
      <c r="AD9" s="24">
        <v>28</v>
      </c>
      <c r="AE9" s="24">
        <v>27</v>
      </c>
      <c r="AF9" s="24">
        <v>28</v>
      </c>
      <c r="AG9" s="24">
        <v>75</v>
      </c>
      <c r="AH9" s="6">
        <v>42</v>
      </c>
      <c r="AI9" s="24">
        <v>98</v>
      </c>
      <c r="AJ9" s="22">
        <v>112</v>
      </c>
      <c r="AK9" s="22">
        <v>69</v>
      </c>
      <c r="AL9" s="22">
        <v>35</v>
      </c>
      <c r="AM9" s="6">
        <v>26</v>
      </c>
      <c r="AN9" s="6">
        <v>20</v>
      </c>
      <c r="AO9" s="6">
        <v>100</v>
      </c>
      <c r="AP9" s="2">
        <v>1</v>
      </c>
      <c r="AQ9" s="21" t="s">
        <v>100</v>
      </c>
    </row>
    <row r="10" spans="1:1013" ht="30" customHeight="1" x14ac:dyDescent="0.25">
      <c r="A10" s="16" t="s">
        <v>59</v>
      </c>
      <c r="B10" s="12" t="s">
        <v>216</v>
      </c>
      <c r="C10" s="16" t="s">
        <v>66</v>
      </c>
      <c r="D10" s="23">
        <v>41</v>
      </c>
      <c r="E10" s="9" t="s">
        <v>32</v>
      </c>
      <c r="F10" s="9">
        <v>56</v>
      </c>
      <c r="G10" s="11" t="s">
        <v>71</v>
      </c>
      <c r="H10" s="11" t="s">
        <v>72</v>
      </c>
      <c r="I10" s="24">
        <v>43</v>
      </c>
      <c r="J10" s="24">
        <v>64</v>
      </c>
      <c r="K10" s="24">
        <v>18</v>
      </c>
      <c r="L10" s="24">
        <v>15</v>
      </c>
      <c r="M10" s="24">
        <v>98</v>
      </c>
      <c r="N10" s="24">
        <v>95</v>
      </c>
      <c r="O10" s="24">
        <v>116</v>
      </c>
      <c r="P10" s="24">
        <v>74</v>
      </c>
      <c r="Q10" s="24">
        <v>40</v>
      </c>
      <c r="R10" s="11">
        <v>43</v>
      </c>
      <c r="S10" s="11">
        <v>65</v>
      </c>
      <c r="T10" s="11">
        <v>16</v>
      </c>
      <c r="U10" s="11">
        <v>13</v>
      </c>
      <c r="V10" s="11">
        <v>27</v>
      </c>
      <c r="W10" s="11">
        <v>26</v>
      </c>
      <c r="X10" s="11">
        <v>27</v>
      </c>
      <c r="Y10" s="11">
        <v>74</v>
      </c>
      <c r="Z10" s="11">
        <v>40</v>
      </c>
      <c r="AA10" s="24">
        <v>43</v>
      </c>
      <c r="AB10" s="24">
        <v>26</v>
      </c>
      <c r="AC10" s="24">
        <v>19</v>
      </c>
      <c r="AD10" s="24">
        <v>27</v>
      </c>
      <c r="AE10" s="24">
        <v>26</v>
      </c>
      <c r="AF10" s="24">
        <v>27</v>
      </c>
      <c r="AG10" s="24">
        <v>74</v>
      </c>
      <c r="AH10" s="24">
        <v>40</v>
      </c>
      <c r="AI10" s="24">
        <v>88</v>
      </c>
      <c r="AJ10" s="24">
        <v>109</v>
      </c>
      <c r="AK10" s="24">
        <v>67</v>
      </c>
      <c r="AL10" s="24">
        <v>33</v>
      </c>
      <c r="AM10" s="24">
        <v>25</v>
      </c>
      <c r="AN10" s="24">
        <v>19</v>
      </c>
      <c r="AO10" s="24">
        <v>103</v>
      </c>
      <c r="AP10" s="2">
        <v>1</v>
      </c>
      <c r="AQ10" s="21" t="s">
        <v>100</v>
      </c>
      <c r="AR10" s="4"/>
      <c r="AS10" s="4"/>
      <c r="AT10" s="4"/>
    </row>
    <row r="11" spans="1:1013" ht="30" customHeight="1" x14ac:dyDescent="0.25">
      <c r="A11" s="8" t="s">
        <v>60</v>
      </c>
      <c r="B11" s="12" t="s">
        <v>76</v>
      </c>
      <c r="C11" s="16" t="s">
        <v>66</v>
      </c>
      <c r="D11" s="7">
        <v>42</v>
      </c>
      <c r="E11" s="25" t="s">
        <v>32</v>
      </c>
      <c r="F11" s="7">
        <v>59</v>
      </c>
      <c r="G11" s="11" t="s">
        <v>71</v>
      </c>
      <c r="H11" s="11" t="s">
        <v>72</v>
      </c>
      <c r="I11" s="11">
        <v>43</v>
      </c>
      <c r="J11" s="24">
        <v>59</v>
      </c>
      <c r="K11" s="24">
        <v>21</v>
      </c>
      <c r="L11" s="11">
        <v>15</v>
      </c>
      <c r="M11" s="11">
        <v>108</v>
      </c>
      <c r="N11" s="24">
        <v>106</v>
      </c>
      <c r="O11" s="24">
        <v>116</v>
      </c>
      <c r="P11" s="24">
        <v>69</v>
      </c>
      <c r="Q11" s="24">
        <v>44</v>
      </c>
      <c r="R11" s="11">
        <v>43</v>
      </c>
      <c r="S11" s="11">
        <v>60</v>
      </c>
      <c r="T11" s="11">
        <v>19</v>
      </c>
      <c r="U11" s="11">
        <v>13</v>
      </c>
      <c r="V11" s="11">
        <v>29</v>
      </c>
      <c r="W11" s="11">
        <v>28</v>
      </c>
      <c r="X11" s="11">
        <v>29</v>
      </c>
      <c r="Y11" s="11">
        <v>69</v>
      </c>
      <c r="Z11" s="11">
        <v>44</v>
      </c>
      <c r="AA11" s="24">
        <v>43</v>
      </c>
      <c r="AB11" s="24">
        <v>23</v>
      </c>
      <c r="AC11" s="24">
        <v>19</v>
      </c>
      <c r="AD11" s="24">
        <v>29</v>
      </c>
      <c r="AE11" s="24">
        <v>28</v>
      </c>
      <c r="AF11" s="24">
        <v>29</v>
      </c>
      <c r="AG11" s="24">
        <v>69</v>
      </c>
      <c r="AH11" s="24">
        <v>44</v>
      </c>
      <c r="AI11" s="24">
        <v>94</v>
      </c>
      <c r="AJ11" s="24">
        <v>113</v>
      </c>
      <c r="AK11" s="24">
        <v>70</v>
      </c>
      <c r="AL11" s="24">
        <v>36</v>
      </c>
      <c r="AM11" s="24">
        <v>25</v>
      </c>
      <c r="AN11" s="24">
        <v>20</v>
      </c>
      <c r="AO11" s="24">
        <v>92</v>
      </c>
      <c r="AP11" s="2">
        <v>1</v>
      </c>
      <c r="AQ11" s="21" t="s">
        <v>100</v>
      </c>
      <c r="AR11" s="4"/>
      <c r="AS11" s="4"/>
      <c r="AT11" s="4"/>
    </row>
    <row r="12" spans="1:1013" ht="30" customHeight="1" x14ac:dyDescent="0.25">
      <c r="A12" s="16" t="s">
        <v>61</v>
      </c>
      <c r="B12" s="12" t="s">
        <v>77</v>
      </c>
      <c r="C12" s="16" t="s">
        <v>66</v>
      </c>
      <c r="D12" s="23">
        <v>43</v>
      </c>
      <c r="E12" s="9" t="s">
        <v>34</v>
      </c>
      <c r="F12" s="9">
        <v>56</v>
      </c>
      <c r="G12" s="11" t="s">
        <v>71</v>
      </c>
      <c r="H12" s="11" t="s">
        <v>72</v>
      </c>
      <c r="I12" s="24">
        <v>47</v>
      </c>
      <c r="J12" s="24">
        <v>64</v>
      </c>
      <c r="K12" s="24">
        <v>20</v>
      </c>
      <c r="L12" s="24">
        <v>16</v>
      </c>
      <c r="M12" s="24">
        <v>113</v>
      </c>
      <c r="N12" s="24">
        <v>111</v>
      </c>
      <c r="O12" s="24">
        <v>119</v>
      </c>
      <c r="P12" s="24">
        <v>76</v>
      </c>
      <c r="Q12" s="24">
        <v>41</v>
      </c>
      <c r="R12" s="11">
        <v>47</v>
      </c>
      <c r="S12" s="11">
        <v>65</v>
      </c>
      <c r="T12" s="11">
        <v>18</v>
      </c>
      <c r="U12" s="11">
        <v>14</v>
      </c>
      <c r="V12" s="11">
        <v>31</v>
      </c>
      <c r="W12" s="11">
        <v>30</v>
      </c>
      <c r="X12" s="11">
        <v>31</v>
      </c>
      <c r="Y12" s="11">
        <v>76</v>
      </c>
      <c r="Z12" s="11">
        <v>41</v>
      </c>
      <c r="AA12" s="24">
        <v>47</v>
      </c>
      <c r="AB12" s="24">
        <v>28</v>
      </c>
      <c r="AC12" s="34">
        <v>20</v>
      </c>
      <c r="AD12" s="24">
        <v>31</v>
      </c>
      <c r="AE12" s="24">
        <v>30</v>
      </c>
      <c r="AF12" s="24">
        <v>31</v>
      </c>
      <c r="AG12" s="24">
        <v>76</v>
      </c>
      <c r="AH12" s="24">
        <v>41</v>
      </c>
      <c r="AI12" s="24">
        <v>102</v>
      </c>
      <c r="AJ12" s="24">
        <v>118</v>
      </c>
      <c r="AK12" s="24">
        <v>72</v>
      </c>
      <c r="AL12" s="24">
        <v>36</v>
      </c>
      <c r="AM12" s="24">
        <v>26</v>
      </c>
      <c r="AN12" s="24">
        <v>20</v>
      </c>
      <c r="AO12" s="24">
        <v>100</v>
      </c>
      <c r="AP12" s="2">
        <v>1</v>
      </c>
      <c r="AQ12" s="21" t="s">
        <v>100</v>
      </c>
      <c r="AR12" s="4"/>
      <c r="AS12" s="4"/>
      <c r="AT12" s="4"/>
    </row>
    <row r="13" spans="1:1013" ht="30" customHeight="1" x14ac:dyDescent="0.25">
      <c r="A13" s="8" t="s">
        <v>62</v>
      </c>
      <c r="B13" s="12" t="s">
        <v>217</v>
      </c>
      <c r="C13" s="16" t="s">
        <v>66</v>
      </c>
      <c r="D13" s="23">
        <v>43</v>
      </c>
      <c r="E13" s="25" t="s">
        <v>32</v>
      </c>
      <c r="F13" s="7">
        <v>57</v>
      </c>
      <c r="G13" s="11" t="s">
        <v>71</v>
      </c>
      <c r="H13" s="11" t="s">
        <v>72</v>
      </c>
      <c r="I13" s="3">
        <v>43</v>
      </c>
      <c r="J13" s="3">
        <v>59</v>
      </c>
      <c r="K13" s="3">
        <v>20</v>
      </c>
      <c r="L13" s="3">
        <v>16</v>
      </c>
      <c r="M13" s="3">
        <v>112</v>
      </c>
      <c r="N13" s="3">
        <v>107</v>
      </c>
      <c r="O13" s="3">
        <v>115</v>
      </c>
      <c r="P13" s="3">
        <v>73</v>
      </c>
      <c r="Q13" s="3">
        <v>42</v>
      </c>
      <c r="R13" s="11">
        <v>43</v>
      </c>
      <c r="S13" s="11">
        <v>60</v>
      </c>
      <c r="T13" s="11">
        <v>18</v>
      </c>
      <c r="U13" s="11">
        <v>14</v>
      </c>
      <c r="V13" s="11">
        <v>31</v>
      </c>
      <c r="W13" s="11">
        <v>30</v>
      </c>
      <c r="X13" s="11">
        <v>31</v>
      </c>
      <c r="Y13" s="11">
        <v>73</v>
      </c>
      <c r="Z13" s="11">
        <v>42</v>
      </c>
      <c r="AA13" s="3">
        <v>43</v>
      </c>
      <c r="AB13" s="3">
        <v>25</v>
      </c>
      <c r="AC13" s="3">
        <v>20</v>
      </c>
      <c r="AD13" s="3">
        <v>31</v>
      </c>
      <c r="AE13" s="3">
        <v>30</v>
      </c>
      <c r="AF13" s="3">
        <v>31</v>
      </c>
      <c r="AG13" s="3">
        <v>73</v>
      </c>
      <c r="AH13" s="3">
        <v>42</v>
      </c>
      <c r="AI13" s="3">
        <v>94</v>
      </c>
      <c r="AJ13" s="3">
        <v>110</v>
      </c>
      <c r="AK13" s="3">
        <v>71</v>
      </c>
      <c r="AL13" s="3">
        <v>35</v>
      </c>
      <c r="AM13" s="3">
        <v>26</v>
      </c>
      <c r="AN13" s="3">
        <v>20</v>
      </c>
      <c r="AO13" s="3">
        <v>94</v>
      </c>
      <c r="AP13" s="2">
        <v>1</v>
      </c>
      <c r="AQ13" s="21" t="s">
        <v>100</v>
      </c>
      <c r="AS13" s="4"/>
      <c r="AT13" s="4"/>
    </row>
    <row r="14" spans="1:1013" ht="30" customHeight="1" x14ac:dyDescent="0.25">
      <c r="A14" s="16" t="s">
        <v>79</v>
      </c>
      <c r="B14" s="12" t="s">
        <v>218</v>
      </c>
      <c r="C14" s="16" t="s">
        <v>66</v>
      </c>
      <c r="D14" s="23">
        <v>41</v>
      </c>
      <c r="E14" s="25" t="s">
        <v>32</v>
      </c>
      <c r="F14" s="7">
        <v>57</v>
      </c>
      <c r="G14" s="11" t="s">
        <v>71</v>
      </c>
      <c r="H14" s="11" t="s">
        <v>72</v>
      </c>
      <c r="I14" s="3">
        <v>43</v>
      </c>
      <c r="J14" s="3">
        <v>59</v>
      </c>
      <c r="K14" s="3">
        <v>20</v>
      </c>
      <c r="L14" s="3">
        <v>16</v>
      </c>
      <c r="M14" s="3">
        <v>112</v>
      </c>
      <c r="N14" s="3">
        <v>107</v>
      </c>
      <c r="O14" s="3">
        <v>115</v>
      </c>
      <c r="P14" s="3">
        <v>73</v>
      </c>
      <c r="Q14" s="3">
        <v>42</v>
      </c>
      <c r="R14" s="11">
        <v>43</v>
      </c>
      <c r="S14" s="11">
        <v>60</v>
      </c>
      <c r="T14" s="11">
        <v>18</v>
      </c>
      <c r="U14" s="11">
        <v>14</v>
      </c>
      <c r="V14" s="11">
        <v>31</v>
      </c>
      <c r="W14" s="11">
        <v>30</v>
      </c>
      <c r="X14" s="11">
        <v>31</v>
      </c>
      <c r="Y14" s="11">
        <v>73</v>
      </c>
      <c r="Z14" s="11">
        <v>42</v>
      </c>
      <c r="AA14" s="3">
        <v>43</v>
      </c>
      <c r="AB14" s="3">
        <v>25</v>
      </c>
      <c r="AC14" s="3">
        <v>20</v>
      </c>
      <c r="AD14" s="3">
        <v>31</v>
      </c>
      <c r="AE14" s="3">
        <v>30</v>
      </c>
      <c r="AF14" s="3">
        <v>31</v>
      </c>
      <c r="AG14" s="3">
        <v>73</v>
      </c>
      <c r="AH14" s="3">
        <v>42</v>
      </c>
      <c r="AI14" s="3">
        <v>94</v>
      </c>
      <c r="AJ14" s="3">
        <v>110</v>
      </c>
      <c r="AK14" s="3">
        <v>71</v>
      </c>
      <c r="AL14" s="3">
        <v>35</v>
      </c>
      <c r="AM14" s="3">
        <v>26</v>
      </c>
      <c r="AN14" s="3">
        <v>20</v>
      </c>
      <c r="AO14" s="3">
        <v>94</v>
      </c>
      <c r="AP14" s="2">
        <v>1</v>
      </c>
      <c r="AQ14" s="21" t="s">
        <v>100</v>
      </c>
      <c r="AS14" s="4"/>
      <c r="AT14" s="4"/>
    </row>
    <row r="15" spans="1:1013" ht="30" customHeight="1" x14ac:dyDescent="0.25">
      <c r="A15" s="8" t="s">
        <v>63</v>
      </c>
      <c r="B15" s="12" t="s">
        <v>78</v>
      </c>
      <c r="C15" s="16" t="s">
        <v>66</v>
      </c>
      <c r="D15" s="23">
        <v>44</v>
      </c>
      <c r="E15" s="25" t="s">
        <v>34</v>
      </c>
      <c r="F15" s="7">
        <v>56</v>
      </c>
      <c r="G15" s="11" t="s">
        <v>71</v>
      </c>
      <c r="H15" s="11" t="s">
        <v>72</v>
      </c>
      <c r="I15" s="3">
        <v>45</v>
      </c>
      <c r="J15" s="3">
        <v>65</v>
      </c>
      <c r="K15" s="3">
        <v>20</v>
      </c>
      <c r="L15" s="3">
        <v>15</v>
      </c>
      <c r="M15" s="3">
        <v>115</v>
      </c>
      <c r="N15" s="3">
        <v>101</v>
      </c>
      <c r="O15" s="3">
        <v>121</v>
      </c>
      <c r="P15" s="3">
        <v>77</v>
      </c>
      <c r="Q15" s="3">
        <v>41</v>
      </c>
      <c r="R15" s="11">
        <v>45</v>
      </c>
      <c r="S15" s="11">
        <v>66</v>
      </c>
      <c r="T15" s="11">
        <v>18</v>
      </c>
      <c r="U15" s="11">
        <v>13</v>
      </c>
      <c r="V15" s="11">
        <v>30</v>
      </c>
      <c r="W15" s="11">
        <v>29</v>
      </c>
      <c r="X15" s="11">
        <v>30</v>
      </c>
      <c r="Y15" s="11">
        <v>77</v>
      </c>
      <c r="Z15" s="11">
        <v>41</v>
      </c>
      <c r="AA15" s="3">
        <v>45</v>
      </c>
      <c r="AB15" s="3">
        <v>28</v>
      </c>
      <c r="AC15" s="3">
        <v>20</v>
      </c>
      <c r="AD15" s="3">
        <v>30</v>
      </c>
      <c r="AE15" s="3">
        <v>29</v>
      </c>
      <c r="AF15" s="3">
        <v>30</v>
      </c>
      <c r="AG15" s="3">
        <v>77</v>
      </c>
      <c r="AH15" s="3">
        <v>41</v>
      </c>
      <c r="AI15" s="3">
        <v>99</v>
      </c>
      <c r="AJ15" s="3">
        <v>116</v>
      </c>
      <c r="AK15" s="3">
        <v>72</v>
      </c>
      <c r="AL15" s="3">
        <v>36</v>
      </c>
      <c r="AM15" s="3">
        <v>26</v>
      </c>
      <c r="AN15" s="3">
        <v>21</v>
      </c>
      <c r="AO15" s="3">
        <v>104</v>
      </c>
      <c r="AP15" s="2">
        <v>1</v>
      </c>
      <c r="AQ15" s="21" t="s">
        <v>100</v>
      </c>
    </row>
    <row r="16" spans="1:1013" ht="30" customHeight="1" x14ac:dyDescent="0.25">
      <c r="A16" s="16" t="s">
        <v>117</v>
      </c>
      <c r="B16" s="12" t="s">
        <v>114</v>
      </c>
      <c r="C16" s="16" t="s">
        <v>66</v>
      </c>
      <c r="D16" s="23">
        <v>40</v>
      </c>
      <c r="E16" s="25" t="s">
        <v>31</v>
      </c>
      <c r="F16" s="7">
        <v>56</v>
      </c>
      <c r="G16" s="11" t="s">
        <v>71</v>
      </c>
      <c r="H16" s="11" t="s">
        <v>116</v>
      </c>
      <c r="I16" s="3">
        <v>38</v>
      </c>
      <c r="J16" s="3">
        <v>58</v>
      </c>
      <c r="K16" s="3">
        <v>17</v>
      </c>
      <c r="L16" s="3">
        <v>14</v>
      </c>
      <c r="M16" s="3">
        <v>90</v>
      </c>
      <c r="N16" s="3">
        <v>80</v>
      </c>
      <c r="O16" s="3">
        <v>99</v>
      </c>
      <c r="P16" s="3">
        <v>65</v>
      </c>
      <c r="Q16" s="3">
        <v>35</v>
      </c>
      <c r="R16" s="3">
        <v>38</v>
      </c>
      <c r="S16" s="3">
        <v>59</v>
      </c>
      <c r="T16" s="3">
        <v>16</v>
      </c>
      <c r="U16" s="3">
        <v>12</v>
      </c>
      <c r="V16" s="3">
        <v>25</v>
      </c>
      <c r="W16" s="3">
        <v>22</v>
      </c>
      <c r="X16" s="3">
        <v>25</v>
      </c>
      <c r="Y16" s="3">
        <v>65</v>
      </c>
      <c r="Z16" s="3">
        <v>35</v>
      </c>
      <c r="AA16" s="3">
        <v>38</v>
      </c>
      <c r="AB16" s="3">
        <v>23</v>
      </c>
      <c r="AC16" s="3">
        <v>15</v>
      </c>
      <c r="AD16" s="3">
        <v>25</v>
      </c>
      <c r="AE16" s="3">
        <v>22</v>
      </c>
      <c r="AF16" s="3">
        <v>25</v>
      </c>
      <c r="AG16" s="3">
        <v>65</v>
      </c>
      <c r="AH16" s="3">
        <v>35</v>
      </c>
      <c r="AI16" s="3">
        <v>79</v>
      </c>
      <c r="AJ16" s="3">
        <v>98</v>
      </c>
      <c r="AK16" s="3">
        <v>60</v>
      </c>
      <c r="AL16" s="3">
        <v>29</v>
      </c>
      <c r="AM16" s="3">
        <v>23</v>
      </c>
      <c r="AN16" s="3">
        <v>18</v>
      </c>
      <c r="AO16" s="3">
        <v>92</v>
      </c>
      <c r="AP16" s="2">
        <v>2</v>
      </c>
      <c r="AQ16" s="21" t="s">
        <v>132</v>
      </c>
    </row>
    <row r="17" spans="1:43" ht="30" customHeight="1" x14ac:dyDescent="0.25">
      <c r="A17" s="16" t="s">
        <v>118</v>
      </c>
      <c r="B17" s="12" t="s">
        <v>115</v>
      </c>
      <c r="C17" s="16" t="s">
        <v>66</v>
      </c>
      <c r="D17" s="23">
        <v>41</v>
      </c>
      <c r="E17" s="25" t="s">
        <v>31</v>
      </c>
      <c r="F17" s="7">
        <v>54</v>
      </c>
      <c r="G17" s="11" t="s">
        <v>71</v>
      </c>
      <c r="H17" s="11" t="s">
        <v>72</v>
      </c>
      <c r="I17" s="3">
        <v>44</v>
      </c>
      <c r="J17" s="3">
        <v>56</v>
      </c>
      <c r="K17" s="3">
        <v>18</v>
      </c>
      <c r="L17" s="3">
        <v>14</v>
      </c>
      <c r="M17" s="3">
        <v>96</v>
      </c>
      <c r="N17" s="3">
        <v>90</v>
      </c>
      <c r="O17" s="3">
        <v>106</v>
      </c>
      <c r="P17" s="3">
        <v>70</v>
      </c>
      <c r="Q17" s="3">
        <v>37</v>
      </c>
      <c r="R17" s="3">
        <v>44</v>
      </c>
      <c r="S17" s="3">
        <v>57</v>
      </c>
      <c r="T17" s="3">
        <v>18</v>
      </c>
      <c r="U17" s="3">
        <v>13</v>
      </c>
      <c r="V17" s="3">
        <v>27</v>
      </c>
      <c r="W17" s="3">
        <v>25</v>
      </c>
      <c r="X17" s="3">
        <v>27</v>
      </c>
      <c r="Y17" s="3">
        <v>70</v>
      </c>
      <c r="Z17" s="3">
        <v>37</v>
      </c>
      <c r="AA17" s="3">
        <v>44</v>
      </c>
      <c r="AB17" s="3">
        <v>23</v>
      </c>
      <c r="AC17" s="3">
        <v>17</v>
      </c>
      <c r="AD17" s="3">
        <v>27</v>
      </c>
      <c r="AE17" s="3">
        <v>25</v>
      </c>
      <c r="AF17" s="3">
        <v>27</v>
      </c>
      <c r="AG17" s="3">
        <v>70</v>
      </c>
      <c r="AH17" s="3">
        <v>37</v>
      </c>
      <c r="AI17" s="3">
        <v>85</v>
      </c>
      <c r="AJ17" s="3">
        <v>103</v>
      </c>
      <c r="AK17" s="3">
        <v>66</v>
      </c>
      <c r="AL17" s="3">
        <v>33</v>
      </c>
      <c r="AM17" s="3">
        <v>24</v>
      </c>
      <c r="AN17" s="3" t="s">
        <v>138</v>
      </c>
      <c r="AO17" s="3">
        <v>94</v>
      </c>
      <c r="AP17" s="2">
        <v>2</v>
      </c>
      <c r="AQ17" s="21" t="s">
        <v>132</v>
      </c>
    </row>
    <row r="18" spans="1:43" ht="30" customHeight="1" x14ac:dyDescent="0.25">
      <c r="A18" s="16" t="s">
        <v>156</v>
      </c>
      <c r="B18" s="12" t="s">
        <v>133</v>
      </c>
      <c r="C18" s="16" t="s">
        <v>66</v>
      </c>
      <c r="D18" s="23">
        <v>42</v>
      </c>
      <c r="E18" s="25" t="s">
        <v>31</v>
      </c>
      <c r="F18" s="7">
        <v>60</v>
      </c>
      <c r="G18" s="11" t="s">
        <v>71</v>
      </c>
      <c r="H18" s="11" t="s">
        <v>72</v>
      </c>
      <c r="I18" s="3">
        <v>46</v>
      </c>
      <c r="J18" s="3">
        <v>62</v>
      </c>
      <c r="K18" s="3">
        <v>18</v>
      </c>
      <c r="L18" s="3">
        <v>14</v>
      </c>
      <c r="M18" s="3">
        <v>100</v>
      </c>
      <c r="N18" s="3">
        <v>96</v>
      </c>
      <c r="O18" s="3">
        <v>108</v>
      </c>
      <c r="P18" s="3">
        <v>72</v>
      </c>
      <c r="Q18" s="3">
        <v>41</v>
      </c>
      <c r="R18" s="3">
        <v>46</v>
      </c>
      <c r="S18" s="3">
        <v>63</v>
      </c>
      <c r="T18" s="3">
        <v>16</v>
      </c>
      <c r="U18" s="3">
        <v>12</v>
      </c>
      <c r="V18" s="3">
        <v>27</v>
      </c>
      <c r="W18" s="3">
        <v>25</v>
      </c>
      <c r="X18" s="3">
        <v>27</v>
      </c>
      <c r="Y18" s="3">
        <v>72</v>
      </c>
      <c r="Z18" s="3">
        <v>41</v>
      </c>
      <c r="AA18" s="3">
        <v>46</v>
      </c>
      <c r="AB18" s="3">
        <v>26</v>
      </c>
      <c r="AC18" s="3">
        <v>16</v>
      </c>
      <c r="AD18" s="3">
        <v>27</v>
      </c>
      <c r="AE18" s="3">
        <v>25</v>
      </c>
      <c r="AF18" s="3">
        <v>27</v>
      </c>
      <c r="AG18" s="3">
        <v>72</v>
      </c>
      <c r="AH18" s="3">
        <v>41</v>
      </c>
      <c r="AI18" s="3">
        <v>85</v>
      </c>
      <c r="AJ18" s="3">
        <v>106</v>
      </c>
      <c r="AK18" s="3">
        <v>63</v>
      </c>
      <c r="AL18" s="3">
        <v>31</v>
      </c>
      <c r="AM18" s="3">
        <v>23</v>
      </c>
      <c r="AN18" s="3">
        <v>18</v>
      </c>
      <c r="AO18" s="3">
        <v>107</v>
      </c>
      <c r="AP18" s="2">
        <v>3</v>
      </c>
      <c r="AQ18" s="21" t="s">
        <v>170</v>
      </c>
    </row>
    <row r="19" spans="1:43" ht="30" customHeight="1" x14ac:dyDescent="0.25">
      <c r="A19" s="16" t="s">
        <v>157</v>
      </c>
      <c r="B19" s="12" t="s">
        <v>134</v>
      </c>
      <c r="C19" s="16" t="s">
        <v>66</v>
      </c>
      <c r="D19" s="23">
        <v>45</v>
      </c>
      <c r="E19" s="25" t="s">
        <v>33</v>
      </c>
      <c r="F19" s="7">
        <v>57</v>
      </c>
      <c r="G19" s="11" t="s">
        <v>71</v>
      </c>
      <c r="H19" s="11" t="s">
        <v>72</v>
      </c>
      <c r="I19" s="3">
        <v>48</v>
      </c>
      <c r="J19" s="3">
        <v>64</v>
      </c>
      <c r="K19" s="3">
        <v>20</v>
      </c>
      <c r="L19" s="3">
        <v>15</v>
      </c>
      <c r="M19" s="3">
        <v>110</v>
      </c>
      <c r="N19" s="3">
        <v>106</v>
      </c>
      <c r="O19" s="3">
        <v>122</v>
      </c>
      <c r="P19" s="3">
        <v>74</v>
      </c>
      <c r="Q19" s="3">
        <v>43</v>
      </c>
      <c r="R19" s="3">
        <v>48</v>
      </c>
      <c r="S19" s="3">
        <v>65</v>
      </c>
      <c r="T19" s="3">
        <v>19</v>
      </c>
      <c r="U19" s="3">
        <v>13</v>
      </c>
      <c r="V19" s="3">
        <v>29</v>
      </c>
      <c r="W19" s="3">
        <v>28</v>
      </c>
      <c r="X19" s="3">
        <v>29</v>
      </c>
      <c r="Y19" s="3">
        <v>74</v>
      </c>
      <c r="Z19" s="3">
        <v>43</v>
      </c>
      <c r="AA19" s="3">
        <v>48</v>
      </c>
      <c r="AB19" s="3">
        <v>27</v>
      </c>
      <c r="AC19" s="3">
        <v>19</v>
      </c>
      <c r="AD19" s="3">
        <v>29</v>
      </c>
      <c r="AE19" s="3">
        <v>28</v>
      </c>
      <c r="AF19" s="3">
        <v>29</v>
      </c>
      <c r="AG19" s="3">
        <v>74</v>
      </c>
      <c r="AH19" s="3">
        <v>43</v>
      </c>
      <c r="AI19" s="3">
        <v>99</v>
      </c>
      <c r="AJ19" s="3">
        <v>120</v>
      </c>
      <c r="AK19" s="3">
        <v>76</v>
      </c>
      <c r="AL19" s="3">
        <v>37</v>
      </c>
      <c r="AM19" s="3">
        <v>27</v>
      </c>
      <c r="AN19" s="3">
        <v>22</v>
      </c>
      <c r="AO19" s="3">
        <v>100</v>
      </c>
      <c r="AP19" s="2">
        <v>3</v>
      </c>
      <c r="AQ19" s="21" t="s">
        <v>170</v>
      </c>
    </row>
    <row r="20" spans="1:43" ht="30" customHeight="1" x14ac:dyDescent="0.25">
      <c r="A20" s="16" t="s">
        <v>158</v>
      </c>
      <c r="B20" s="12" t="s">
        <v>135</v>
      </c>
      <c r="C20" s="16" t="s">
        <v>66</v>
      </c>
      <c r="D20" s="23">
        <v>41</v>
      </c>
      <c r="E20" s="25" t="s">
        <v>32</v>
      </c>
      <c r="F20" s="7">
        <v>57</v>
      </c>
      <c r="G20" s="11" t="s">
        <v>71</v>
      </c>
      <c r="H20" s="11" t="s">
        <v>72</v>
      </c>
      <c r="I20" s="3">
        <v>47</v>
      </c>
      <c r="J20" s="3">
        <v>63</v>
      </c>
      <c r="K20" s="3">
        <v>19</v>
      </c>
      <c r="L20" s="3">
        <v>14</v>
      </c>
      <c r="M20" s="3">
        <v>102</v>
      </c>
      <c r="N20" s="3">
        <v>96</v>
      </c>
      <c r="O20" s="3">
        <v>106</v>
      </c>
      <c r="P20" s="3">
        <v>74</v>
      </c>
      <c r="Q20" s="3">
        <v>42</v>
      </c>
      <c r="R20" s="3">
        <v>47</v>
      </c>
      <c r="S20" s="3">
        <v>64</v>
      </c>
      <c r="T20" s="3">
        <v>18</v>
      </c>
      <c r="U20" s="3">
        <v>13</v>
      </c>
      <c r="V20" s="3">
        <v>28</v>
      </c>
      <c r="W20" s="3">
        <v>27</v>
      </c>
      <c r="X20" s="3">
        <v>28</v>
      </c>
      <c r="Y20" s="3">
        <v>74</v>
      </c>
      <c r="Z20" s="3">
        <v>42</v>
      </c>
      <c r="AA20" s="3">
        <v>47</v>
      </c>
      <c r="AB20" s="3">
        <v>26</v>
      </c>
      <c r="AC20" s="3">
        <v>18</v>
      </c>
      <c r="AD20" s="3">
        <v>28</v>
      </c>
      <c r="AE20" s="3">
        <v>27</v>
      </c>
      <c r="AF20" s="3">
        <v>28</v>
      </c>
      <c r="AG20" s="3">
        <v>74</v>
      </c>
      <c r="AH20" s="3">
        <v>42</v>
      </c>
      <c r="AI20" s="3">
        <v>91</v>
      </c>
      <c r="AJ20" s="3">
        <v>104</v>
      </c>
      <c r="AK20" s="3">
        <v>73</v>
      </c>
      <c r="AL20" s="3">
        <v>33</v>
      </c>
      <c r="AM20" s="3">
        <v>24</v>
      </c>
      <c r="AN20" s="3">
        <v>19</v>
      </c>
      <c r="AO20" s="3">
        <v>98</v>
      </c>
      <c r="AP20" s="2">
        <v>3</v>
      </c>
      <c r="AQ20" s="21" t="s">
        <v>170</v>
      </c>
    </row>
    <row r="21" spans="1:43" ht="30" customHeight="1" x14ac:dyDescent="0.25">
      <c r="A21" s="16" t="s">
        <v>159</v>
      </c>
      <c r="B21" s="12" t="s">
        <v>136</v>
      </c>
      <c r="C21" s="16" t="s">
        <v>66</v>
      </c>
      <c r="D21" s="23">
        <v>43</v>
      </c>
      <c r="E21" s="25" t="s">
        <v>35</v>
      </c>
      <c r="F21" s="7">
        <v>58</v>
      </c>
      <c r="G21" s="11" t="s">
        <v>71</v>
      </c>
      <c r="H21" s="11" t="s">
        <v>72</v>
      </c>
      <c r="I21" s="3">
        <v>52</v>
      </c>
      <c r="J21" s="3">
        <v>62</v>
      </c>
      <c r="K21" s="3">
        <v>22</v>
      </c>
      <c r="L21" s="3">
        <v>16</v>
      </c>
      <c r="M21" s="3">
        <v>134</v>
      </c>
      <c r="N21" s="3">
        <v>130</v>
      </c>
      <c r="O21" s="3">
        <v>140</v>
      </c>
      <c r="P21" s="3">
        <v>79</v>
      </c>
      <c r="Q21" s="3">
        <v>47</v>
      </c>
      <c r="R21" s="3">
        <v>52</v>
      </c>
      <c r="S21" s="3">
        <v>63</v>
      </c>
      <c r="T21" s="3">
        <v>21</v>
      </c>
      <c r="U21" s="3">
        <v>13</v>
      </c>
      <c r="V21" s="3">
        <v>36</v>
      </c>
      <c r="W21" s="3">
        <v>36</v>
      </c>
      <c r="X21" s="3">
        <v>36</v>
      </c>
      <c r="Y21" s="3">
        <v>79</v>
      </c>
      <c r="Z21" s="3">
        <v>47</v>
      </c>
      <c r="AA21" s="3">
        <v>52</v>
      </c>
      <c r="AB21" s="3">
        <v>27</v>
      </c>
      <c r="AC21" s="3">
        <v>21</v>
      </c>
      <c r="AD21" s="3">
        <v>36</v>
      </c>
      <c r="AE21" s="3">
        <v>36</v>
      </c>
      <c r="AF21" s="3">
        <v>36</v>
      </c>
      <c r="AG21" s="3">
        <v>79</v>
      </c>
      <c r="AH21" s="3">
        <v>47</v>
      </c>
      <c r="AI21" s="3">
        <v>120</v>
      </c>
      <c r="AJ21" s="3">
        <v>132</v>
      </c>
      <c r="AK21" s="3">
        <v>78</v>
      </c>
      <c r="AL21" s="3">
        <v>41</v>
      </c>
      <c r="AM21" s="3">
        <v>30</v>
      </c>
      <c r="AN21" s="3">
        <v>23</v>
      </c>
      <c r="AO21" s="3">
        <v>98</v>
      </c>
      <c r="AP21" s="2">
        <v>3</v>
      </c>
      <c r="AQ21" s="21" t="s">
        <v>170</v>
      </c>
    </row>
    <row r="22" spans="1:43" ht="30" customHeight="1" x14ac:dyDescent="0.25">
      <c r="A22" s="16" t="s">
        <v>160</v>
      </c>
      <c r="B22" s="12" t="s">
        <v>137</v>
      </c>
      <c r="C22" s="16" t="s">
        <v>66</v>
      </c>
      <c r="D22" s="23">
        <v>42</v>
      </c>
      <c r="E22" s="25" t="s">
        <v>34</v>
      </c>
      <c r="F22" s="7">
        <v>58</v>
      </c>
      <c r="G22" s="11" t="s">
        <v>71</v>
      </c>
      <c r="H22" s="11" t="s">
        <v>72</v>
      </c>
      <c r="I22" s="3">
        <v>46</v>
      </c>
      <c r="J22" s="3">
        <v>62</v>
      </c>
      <c r="K22" s="3">
        <v>18</v>
      </c>
      <c r="L22" s="3">
        <v>14</v>
      </c>
      <c r="M22" s="3">
        <v>102</v>
      </c>
      <c r="N22" s="3">
        <v>94</v>
      </c>
      <c r="O22" s="3">
        <v>110</v>
      </c>
      <c r="P22" s="3">
        <v>75</v>
      </c>
      <c r="Q22" s="3">
        <v>41</v>
      </c>
      <c r="R22" s="3">
        <v>46</v>
      </c>
      <c r="S22" s="3">
        <v>63</v>
      </c>
      <c r="T22" s="3">
        <v>16</v>
      </c>
      <c r="U22" s="3">
        <v>12</v>
      </c>
      <c r="V22" s="3">
        <v>27</v>
      </c>
      <c r="W22" s="3">
        <v>24</v>
      </c>
      <c r="X22" s="3">
        <v>27</v>
      </c>
      <c r="Y22" s="3">
        <v>75</v>
      </c>
      <c r="Z22" s="3">
        <v>41</v>
      </c>
      <c r="AA22" s="3">
        <v>46</v>
      </c>
      <c r="AB22" s="3">
        <v>26</v>
      </c>
      <c r="AC22" s="3">
        <v>16</v>
      </c>
      <c r="AD22" s="3">
        <v>27</v>
      </c>
      <c r="AE22" s="3">
        <v>24</v>
      </c>
      <c r="AF22" s="3">
        <v>27</v>
      </c>
      <c r="AG22" s="3">
        <v>75</v>
      </c>
      <c r="AH22" s="3">
        <v>41</v>
      </c>
      <c r="AI22" s="3">
        <v>84</v>
      </c>
      <c r="AJ22" s="3">
        <v>108</v>
      </c>
      <c r="AK22" s="3">
        <v>70</v>
      </c>
      <c r="AL22" s="3">
        <v>32</v>
      </c>
      <c r="AM22" s="3">
        <v>26</v>
      </c>
      <c r="AN22" s="3">
        <v>19</v>
      </c>
      <c r="AO22" s="3">
        <v>102</v>
      </c>
      <c r="AP22" s="2">
        <v>3</v>
      </c>
      <c r="AQ22" s="21" t="s">
        <v>170</v>
      </c>
    </row>
    <row r="23" spans="1:43" ht="30" customHeight="1" x14ac:dyDescent="0.25">
      <c r="A23" s="16" t="s">
        <v>161</v>
      </c>
      <c r="B23" s="12" t="s">
        <v>139</v>
      </c>
      <c r="C23" s="16" t="s">
        <v>66</v>
      </c>
      <c r="D23" s="23">
        <v>43</v>
      </c>
      <c r="E23" s="25" t="s">
        <v>33</v>
      </c>
      <c r="F23" s="7">
        <v>59</v>
      </c>
      <c r="G23" s="11" t="s">
        <v>71</v>
      </c>
      <c r="H23" s="11" t="s">
        <v>72</v>
      </c>
      <c r="I23" s="3">
        <v>54</v>
      </c>
      <c r="J23" s="3">
        <v>59</v>
      </c>
      <c r="K23" s="3">
        <v>23</v>
      </c>
      <c r="L23" s="3">
        <v>16</v>
      </c>
      <c r="M23" s="3">
        <v>135</v>
      </c>
      <c r="N23" s="3">
        <v>135</v>
      </c>
      <c r="O23" s="3">
        <v>145</v>
      </c>
      <c r="P23" s="3">
        <v>74</v>
      </c>
      <c r="Q23" s="3">
        <v>46</v>
      </c>
      <c r="R23" s="3">
        <v>54</v>
      </c>
      <c r="S23" s="3">
        <v>60</v>
      </c>
      <c r="T23" s="3">
        <v>22</v>
      </c>
      <c r="U23" s="3">
        <v>13.5</v>
      </c>
      <c r="V23" s="3">
        <v>37</v>
      </c>
      <c r="W23" s="3">
        <v>37</v>
      </c>
      <c r="X23" s="3">
        <v>37</v>
      </c>
      <c r="Y23" s="3">
        <v>74</v>
      </c>
      <c r="Z23" s="3">
        <v>46</v>
      </c>
      <c r="AA23" s="3">
        <v>54</v>
      </c>
      <c r="AB23" s="3">
        <v>28</v>
      </c>
      <c r="AC23" s="3">
        <v>22</v>
      </c>
      <c r="AD23" s="3">
        <v>37</v>
      </c>
      <c r="AE23" s="3">
        <v>37</v>
      </c>
      <c r="AF23" s="3">
        <v>37</v>
      </c>
      <c r="AG23" s="3">
        <v>74</v>
      </c>
      <c r="AH23" s="3">
        <v>46</v>
      </c>
      <c r="AI23" s="3">
        <v>126</v>
      </c>
      <c r="AJ23" s="3">
        <v>140</v>
      </c>
      <c r="AK23" s="3">
        <v>80</v>
      </c>
      <c r="AL23" s="3">
        <v>43</v>
      </c>
      <c r="AM23" s="3">
        <v>32</v>
      </c>
      <c r="AN23" s="3">
        <v>24</v>
      </c>
      <c r="AO23" s="3">
        <v>96</v>
      </c>
      <c r="AP23" s="2">
        <v>3</v>
      </c>
      <c r="AQ23" s="21" t="s">
        <v>170</v>
      </c>
    </row>
    <row r="24" spans="1:43" ht="30" customHeight="1" x14ac:dyDescent="0.25">
      <c r="A24" s="16" t="s">
        <v>162</v>
      </c>
      <c r="B24" s="12" t="s">
        <v>140</v>
      </c>
      <c r="C24" s="16" t="s">
        <v>66</v>
      </c>
      <c r="D24" s="23">
        <v>40</v>
      </c>
      <c r="E24" s="25" t="s">
        <v>31</v>
      </c>
      <c r="F24" s="7">
        <v>55</v>
      </c>
      <c r="G24" s="11" t="s">
        <v>71</v>
      </c>
      <c r="H24" s="11" t="s">
        <v>72</v>
      </c>
      <c r="I24" s="3">
        <v>42</v>
      </c>
      <c r="J24" s="3">
        <v>58</v>
      </c>
      <c r="K24" s="3">
        <v>18</v>
      </c>
      <c r="L24" s="3">
        <v>14</v>
      </c>
      <c r="M24" s="3">
        <v>92</v>
      </c>
      <c r="N24" s="3">
        <v>86</v>
      </c>
      <c r="O24" s="3">
        <v>96</v>
      </c>
      <c r="P24" s="3">
        <v>66</v>
      </c>
      <c r="Q24" s="3">
        <v>39</v>
      </c>
      <c r="R24" s="3">
        <v>42</v>
      </c>
      <c r="S24" s="3">
        <v>59</v>
      </c>
      <c r="T24" s="3">
        <v>16</v>
      </c>
      <c r="U24" s="3">
        <v>12</v>
      </c>
      <c r="V24" s="3">
        <v>26</v>
      </c>
      <c r="W24" s="3">
        <v>24</v>
      </c>
      <c r="X24" s="3">
        <v>26</v>
      </c>
      <c r="Y24" s="3">
        <v>66</v>
      </c>
      <c r="Z24" s="3">
        <v>39</v>
      </c>
      <c r="AA24" s="3">
        <v>42</v>
      </c>
      <c r="AB24" s="3">
        <v>23</v>
      </c>
      <c r="AC24" s="3">
        <v>16</v>
      </c>
      <c r="AD24" s="3">
        <v>26</v>
      </c>
      <c r="AE24" s="3">
        <v>24</v>
      </c>
      <c r="AF24" s="3">
        <v>26</v>
      </c>
      <c r="AG24" s="3">
        <v>66</v>
      </c>
      <c r="AH24" s="3">
        <v>39</v>
      </c>
      <c r="AI24" s="3">
        <v>77</v>
      </c>
      <c r="AJ24" s="3">
        <v>94</v>
      </c>
      <c r="AK24" s="3">
        <v>63</v>
      </c>
      <c r="AL24" s="3">
        <v>30</v>
      </c>
      <c r="AM24" s="3">
        <v>23</v>
      </c>
      <c r="AN24" s="3">
        <v>18</v>
      </c>
      <c r="AO24" s="3">
        <v>90</v>
      </c>
      <c r="AP24" s="2">
        <v>3</v>
      </c>
      <c r="AQ24" s="21" t="s">
        <v>170</v>
      </c>
    </row>
    <row r="25" spans="1:43" ht="30" customHeight="1" x14ac:dyDescent="0.25">
      <c r="A25" s="16" t="s">
        <v>163</v>
      </c>
      <c r="B25" s="12" t="s">
        <v>141</v>
      </c>
      <c r="C25" s="16" t="s">
        <v>66</v>
      </c>
      <c r="D25" s="23">
        <v>44</v>
      </c>
      <c r="E25" s="25" t="s">
        <v>34</v>
      </c>
      <c r="F25" s="7">
        <v>58</v>
      </c>
      <c r="G25" s="11" t="s">
        <v>71</v>
      </c>
      <c r="H25" s="11" t="s">
        <v>72</v>
      </c>
      <c r="I25" s="3">
        <v>48</v>
      </c>
      <c r="J25" s="3">
        <v>62</v>
      </c>
      <c r="K25" s="3">
        <v>20</v>
      </c>
      <c r="L25" s="3">
        <v>15</v>
      </c>
      <c r="M25" s="3">
        <v>110</v>
      </c>
      <c r="N25" s="3">
        <v>106</v>
      </c>
      <c r="O25" s="3">
        <v>116</v>
      </c>
      <c r="P25" s="3">
        <v>74</v>
      </c>
      <c r="Q25" s="3">
        <v>43</v>
      </c>
      <c r="R25" s="3">
        <v>48</v>
      </c>
      <c r="S25" s="3">
        <v>63</v>
      </c>
      <c r="T25" s="3">
        <v>19</v>
      </c>
      <c r="U25" s="3">
        <v>13</v>
      </c>
      <c r="V25" s="3">
        <v>29</v>
      </c>
      <c r="W25" s="3">
        <v>28</v>
      </c>
      <c r="X25" s="3">
        <v>29</v>
      </c>
      <c r="Y25" s="3">
        <v>74</v>
      </c>
      <c r="Z25" s="3">
        <v>43</v>
      </c>
      <c r="AA25" s="3">
        <v>48</v>
      </c>
      <c r="AB25" s="3">
        <v>27</v>
      </c>
      <c r="AC25" s="3">
        <v>19</v>
      </c>
      <c r="AD25" s="3">
        <v>29</v>
      </c>
      <c r="AE25" s="3">
        <v>28</v>
      </c>
      <c r="AF25" s="3">
        <v>29</v>
      </c>
      <c r="AG25" s="3">
        <v>74</v>
      </c>
      <c r="AH25" s="3">
        <v>43</v>
      </c>
      <c r="AI25" s="3">
        <v>99</v>
      </c>
      <c r="AJ25" s="3">
        <v>114</v>
      </c>
      <c r="AK25" s="3">
        <v>70</v>
      </c>
      <c r="AL25" s="3">
        <v>36</v>
      </c>
      <c r="AM25" s="3">
        <v>26</v>
      </c>
      <c r="AN25" s="3">
        <v>21</v>
      </c>
      <c r="AO25" s="3">
        <v>106</v>
      </c>
      <c r="AP25" s="2">
        <v>3</v>
      </c>
      <c r="AQ25" s="21" t="s">
        <v>170</v>
      </c>
    </row>
    <row r="26" spans="1:43" ht="30" customHeight="1" x14ac:dyDescent="0.25">
      <c r="A26" s="16" t="s">
        <v>164</v>
      </c>
      <c r="B26" s="12" t="s">
        <v>142</v>
      </c>
      <c r="C26" s="16" t="s">
        <v>66</v>
      </c>
      <c r="D26" s="23">
        <v>42</v>
      </c>
      <c r="E26" s="25" t="s">
        <v>34</v>
      </c>
      <c r="F26" s="7">
        <v>57</v>
      </c>
      <c r="G26" s="11" t="s">
        <v>71</v>
      </c>
      <c r="H26" s="11" t="s">
        <v>72</v>
      </c>
      <c r="I26" s="3">
        <v>49</v>
      </c>
      <c r="J26" s="3">
        <v>59</v>
      </c>
      <c r="K26" s="3">
        <v>21</v>
      </c>
      <c r="L26" s="3">
        <v>15</v>
      </c>
      <c r="M26" s="3">
        <v>118</v>
      </c>
      <c r="N26" s="3">
        <v>118</v>
      </c>
      <c r="O26" s="3">
        <v>128</v>
      </c>
      <c r="P26" s="3">
        <v>76</v>
      </c>
      <c r="Q26" s="3">
        <v>43</v>
      </c>
      <c r="R26" s="3">
        <v>49</v>
      </c>
      <c r="S26" s="3">
        <v>60</v>
      </c>
      <c r="T26" s="3">
        <v>20</v>
      </c>
      <c r="U26" s="3">
        <v>13</v>
      </c>
      <c r="V26" s="3">
        <v>30</v>
      </c>
      <c r="W26" s="3">
        <v>30</v>
      </c>
      <c r="X26" s="3">
        <v>30</v>
      </c>
      <c r="Y26" s="3">
        <v>76</v>
      </c>
      <c r="Z26" s="3">
        <v>43</v>
      </c>
      <c r="AA26" s="3">
        <v>49</v>
      </c>
      <c r="AB26" s="3">
        <v>26</v>
      </c>
      <c r="AC26" s="3">
        <v>20</v>
      </c>
      <c r="AD26" s="3">
        <v>30</v>
      </c>
      <c r="AE26" s="3">
        <v>30</v>
      </c>
      <c r="AF26" s="3">
        <v>30</v>
      </c>
      <c r="AG26" s="3">
        <v>76</v>
      </c>
      <c r="AH26" s="3">
        <v>43</v>
      </c>
      <c r="AI26" s="3">
        <v>105</v>
      </c>
      <c r="AJ26" s="3">
        <v>125</v>
      </c>
      <c r="AK26" s="3">
        <v>71</v>
      </c>
      <c r="AL26" s="3">
        <v>38</v>
      </c>
      <c r="AM26" s="3">
        <v>28</v>
      </c>
      <c r="AN26" s="3">
        <v>22</v>
      </c>
      <c r="AO26" s="3">
        <v>96</v>
      </c>
      <c r="AP26" s="2">
        <v>3</v>
      </c>
      <c r="AQ26" s="21" t="s">
        <v>170</v>
      </c>
    </row>
    <row r="27" spans="1:43" ht="30" customHeight="1" x14ac:dyDescent="0.25">
      <c r="A27" s="16" t="s">
        <v>165</v>
      </c>
      <c r="B27" s="12" t="s">
        <v>143</v>
      </c>
      <c r="C27" s="16" t="s">
        <v>66</v>
      </c>
      <c r="D27" s="23">
        <v>41</v>
      </c>
      <c r="E27" s="25" t="s">
        <v>32</v>
      </c>
      <c r="F27" s="7">
        <v>58</v>
      </c>
      <c r="G27" s="11" t="s">
        <v>71</v>
      </c>
      <c r="H27" s="11" t="s">
        <v>72</v>
      </c>
      <c r="I27" s="3">
        <v>45</v>
      </c>
      <c r="J27" s="3">
        <v>59</v>
      </c>
      <c r="K27" s="3">
        <v>19</v>
      </c>
      <c r="L27" s="3">
        <v>14</v>
      </c>
      <c r="M27" s="3">
        <v>102</v>
      </c>
      <c r="N27" s="3">
        <v>98</v>
      </c>
      <c r="O27" s="3">
        <v>108</v>
      </c>
      <c r="P27" s="3">
        <v>66</v>
      </c>
      <c r="Q27" s="3">
        <v>40</v>
      </c>
      <c r="R27" s="3">
        <v>45</v>
      </c>
      <c r="S27" s="3">
        <v>60</v>
      </c>
      <c r="T27" s="3">
        <v>18</v>
      </c>
      <c r="U27" s="3">
        <v>13</v>
      </c>
      <c r="V27" s="3">
        <v>28</v>
      </c>
      <c r="W27" s="3">
        <v>27</v>
      </c>
      <c r="X27" s="3">
        <v>28</v>
      </c>
      <c r="Y27" s="3">
        <v>66</v>
      </c>
      <c r="Z27" s="3">
        <v>40</v>
      </c>
      <c r="AA27" s="3">
        <v>45</v>
      </c>
      <c r="AB27" s="3">
        <v>24</v>
      </c>
      <c r="AC27" s="3">
        <v>18</v>
      </c>
      <c r="AD27" s="3">
        <v>28</v>
      </c>
      <c r="AE27" s="3">
        <v>27</v>
      </c>
      <c r="AF27" s="3">
        <v>28</v>
      </c>
      <c r="AG27" s="3">
        <v>66</v>
      </c>
      <c r="AH27" s="3">
        <v>40</v>
      </c>
      <c r="AI27" s="3">
        <v>92</v>
      </c>
      <c r="AJ27" s="3">
        <v>106</v>
      </c>
      <c r="AK27" s="3">
        <v>67</v>
      </c>
      <c r="AL27" s="3">
        <v>34</v>
      </c>
      <c r="AM27" s="3">
        <v>26</v>
      </c>
      <c r="AN27" s="3">
        <v>19</v>
      </c>
      <c r="AO27" s="3">
        <v>92</v>
      </c>
      <c r="AP27" s="2">
        <v>3</v>
      </c>
      <c r="AQ27" s="21" t="s">
        <v>170</v>
      </c>
    </row>
    <row r="28" spans="1:43" ht="30" customHeight="1" x14ac:dyDescent="0.25">
      <c r="A28" s="16" t="s">
        <v>166</v>
      </c>
      <c r="B28" s="12" t="s">
        <v>144</v>
      </c>
      <c r="C28" s="16" t="s">
        <v>66</v>
      </c>
      <c r="D28" s="23">
        <v>41</v>
      </c>
      <c r="E28" s="25" t="s">
        <v>32</v>
      </c>
      <c r="F28" s="7">
        <v>58</v>
      </c>
      <c r="G28" s="11" t="s">
        <v>71</v>
      </c>
      <c r="H28" s="11" t="s">
        <v>72</v>
      </c>
      <c r="I28" s="3">
        <v>48</v>
      </c>
      <c r="J28" s="3">
        <v>53</v>
      </c>
      <c r="K28" s="3">
        <v>20</v>
      </c>
      <c r="L28" s="3">
        <v>15</v>
      </c>
      <c r="M28" s="3">
        <v>108</v>
      </c>
      <c r="N28" s="3">
        <v>104</v>
      </c>
      <c r="O28" s="3">
        <v>114</v>
      </c>
      <c r="P28" s="3">
        <v>66</v>
      </c>
      <c r="Q28" s="3">
        <v>42</v>
      </c>
      <c r="R28" s="3">
        <v>48</v>
      </c>
      <c r="S28" s="3">
        <v>54</v>
      </c>
      <c r="T28" s="3">
        <v>18</v>
      </c>
      <c r="U28" s="3">
        <v>13</v>
      </c>
      <c r="V28" s="3">
        <v>29</v>
      </c>
      <c r="W28" s="3">
        <v>27</v>
      </c>
      <c r="X28" s="3">
        <v>29</v>
      </c>
      <c r="Y28" s="3">
        <v>66</v>
      </c>
      <c r="Z28" s="3">
        <v>42</v>
      </c>
      <c r="AA28" s="3">
        <v>48</v>
      </c>
      <c r="AB28" s="3">
        <v>23</v>
      </c>
      <c r="AC28" s="3">
        <v>18</v>
      </c>
      <c r="AD28" s="3">
        <v>29</v>
      </c>
      <c r="AE28" s="3">
        <v>27</v>
      </c>
      <c r="AF28" s="3">
        <v>29</v>
      </c>
      <c r="AG28" s="3">
        <v>66</v>
      </c>
      <c r="AH28" s="3">
        <v>42</v>
      </c>
      <c r="AI28" s="3">
        <v>97</v>
      </c>
      <c r="AJ28" s="3">
        <v>110</v>
      </c>
      <c r="AK28" s="3">
        <v>68</v>
      </c>
      <c r="AL28" s="3">
        <v>34</v>
      </c>
      <c r="AM28" s="3">
        <v>26</v>
      </c>
      <c r="AN28" s="3">
        <v>19</v>
      </c>
      <c r="AO28" s="3">
        <v>86</v>
      </c>
      <c r="AP28" s="2">
        <v>3</v>
      </c>
      <c r="AQ28" s="21" t="s">
        <v>170</v>
      </c>
    </row>
    <row r="29" spans="1:43" ht="30" customHeight="1" x14ac:dyDescent="0.25">
      <c r="A29" s="16" t="s">
        <v>152</v>
      </c>
      <c r="B29" s="12" t="s">
        <v>145</v>
      </c>
      <c r="C29" s="16" t="s">
        <v>66</v>
      </c>
      <c r="D29" s="23">
        <v>40</v>
      </c>
      <c r="E29" s="25" t="s">
        <v>32</v>
      </c>
      <c r="F29" s="7">
        <v>58</v>
      </c>
      <c r="G29" s="11" t="s">
        <v>71</v>
      </c>
      <c r="H29" s="11" t="s">
        <v>72</v>
      </c>
      <c r="I29" s="3">
        <v>45</v>
      </c>
      <c r="J29" s="3">
        <v>58</v>
      </c>
      <c r="K29" s="3">
        <v>19</v>
      </c>
      <c r="L29" s="3">
        <v>14</v>
      </c>
      <c r="M29" s="3">
        <v>98</v>
      </c>
      <c r="N29" s="3">
        <v>96</v>
      </c>
      <c r="O29" s="3">
        <v>104</v>
      </c>
      <c r="P29" s="3">
        <v>68</v>
      </c>
      <c r="Q29" s="3">
        <v>42</v>
      </c>
      <c r="R29" s="3">
        <v>45</v>
      </c>
      <c r="S29" s="3">
        <v>59</v>
      </c>
      <c r="T29" s="3">
        <v>17</v>
      </c>
      <c r="U29" s="3">
        <v>13</v>
      </c>
      <c r="V29" s="3">
        <v>28</v>
      </c>
      <c r="W29" s="3">
        <v>27</v>
      </c>
      <c r="X29" s="3">
        <v>28</v>
      </c>
      <c r="Y29" s="3">
        <v>68</v>
      </c>
      <c r="Z29" s="3">
        <v>42</v>
      </c>
      <c r="AA29" s="3">
        <v>45</v>
      </c>
      <c r="AB29" s="3">
        <v>25</v>
      </c>
      <c r="AC29" s="3">
        <v>17</v>
      </c>
      <c r="AD29" s="3">
        <v>28</v>
      </c>
      <c r="AE29" s="3">
        <v>27</v>
      </c>
      <c r="AF29" s="3">
        <v>28</v>
      </c>
      <c r="AG29" s="3">
        <v>68</v>
      </c>
      <c r="AH29" s="3">
        <v>42</v>
      </c>
      <c r="AI29" s="3">
        <v>91</v>
      </c>
      <c r="AJ29" s="3">
        <v>102</v>
      </c>
      <c r="AK29" s="3">
        <v>66</v>
      </c>
      <c r="AL29" s="3">
        <v>34</v>
      </c>
      <c r="AM29" s="3">
        <v>24</v>
      </c>
      <c r="AN29" s="3">
        <v>19</v>
      </c>
      <c r="AO29" s="3">
        <v>97</v>
      </c>
      <c r="AP29" s="2">
        <v>3</v>
      </c>
      <c r="AQ29" s="21" t="s">
        <v>170</v>
      </c>
    </row>
    <row r="30" spans="1:43" ht="30" customHeight="1" x14ac:dyDescent="0.25">
      <c r="A30" s="16" t="s">
        <v>167</v>
      </c>
      <c r="B30" s="12" t="s">
        <v>146</v>
      </c>
      <c r="C30" s="16" t="s">
        <v>66</v>
      </c>
      <c r="D30" s="23">
        <v>42</v>
      </c>
      <c r="E30" s="25" t="s">
        <v>32</v>
      </c>
      <c r="F30" s="7">
        <v>56</v>
      </c>
      <c r="G30" s="11" t="s">
        <v>71</v>
      </c>
      <c r="H30" s="11" t="s">
        <v>72</v>
      </c>
      <c r="I30" s="3">
        <v>46</v>
      </c>
      <c r="J30" s="27"/>
      <c r="K30" s="3">
        <v>19</v>
      </c>
      <c r="L30" s="3">
        <v>14</v>
      </c>
      <c r="M30" s="3">
        <v>104</v>
      </c>
      <c r="N30" s="3">
        <v>96</v>
      </c>
      <c r="O30" s="3">
        <v>112</v>
      </c>
      <c r="P30" s="3">
        <v>70</v>
      </c>
      <c r="Q30" s="3">
        <v>42</v>
      </c>
      <c r="R30" s="3">
        <v>46</v>
      </c>
      <c r="S30" s="27"/>
      <c r="T30" s="3">
        <v>17</v>
      </c>
      <c r="U30" s="3">
        <v>13</v>
      </c>
      <c r="V30" s="3">
        <v>28</v>
      </c>
      <c r="W30" s="3">
        <v>26</v>
      </c>
      <c r="X30" s="3">
        <v>28</v>
      </c>
      <c r="Y30" s="3">
        <v>70</v>
      </c>
      <c r="Z30" s="3">
        <v>42</v>
      </c>
      <c r="AA30" s="3">
        <v>46</v>
      </c>
      <c r="AB30" s="3">
        <v>24</v>
      </c>
      <c r="AC30" s="3">
        <v>17</v>
      </c>
      <c r="AD30" s="3">
        <v>28</v>
      </c>
      <c r="AE30" s="3">
        <v>26</v>
      </c>
      <c r="AF30" s="3">
        <v>28</v>
      </c>
      <c r="AG30" s="3">
        <v>70</v>
      </c>
      <c r="AH30" s="3">
        <v>42</v>
      </c>
      <c r="AI30" s="3">
        <v>90</v>
      </c>
      <c r="AJ30" s="3">
        <v>110</v>
      </c>
      <c r="AK30" s="3">
        <v>70</v>
      </c>
      <c r="AL30" s="3">
        <v>34</v>
      </c>
      <c r="AM30" s="3">
        <v>24</v>
      </c>
      <c r="AN30" s="3">
        <v>19</v>
      </c>
      <c r="AO30" s="3">
        <v>97</v>
      </c>
      <c r="AP30" s="2">
        <v>3</v>
      </c>
      <c r="AQ30" s="21" t="s">
        <v>170</v>
      </c>
    </row>
    <row r="31" spans="1:43" ht="30" customHeight="1" x14ac:dyDescent="0.25">
      <c r="A31" s="16" t="s">
        <v>168</v>
      </c>
      <c r="B31" s="12" t="s">
        <v>147</v>
      </c>
      <c r="C31" s="16" t="s">
        <v>66</v>
      </c>
      <c r="D31" s="23">
        <v>42</v>
      </c>
      <c r="E31" s="25" t="s">
        <v>32</v>
      </c>
      <c r="F31" s="7">
        <v>58</v>
      </c>
      <c r="G31" s="11" t="s">
        <v>71</v>
      </c>
      <c r="H31" s="11" t="s">
        <v>72</v>
      </c>
      <c r="I31" s="3">
        <v>44</v>
      </c>
      <c r="J31" s="3">
        <v>59</v>
      </c>
      <c r="K31" s="3">
        <v>19</v>
      </c>
      <c r="L31" s="3">
        <v>14</v>
      </c>
      <c r="M31" s="3">
        <v>100</v>
      </c>
      <c r="N31" s="3">
        <v>95</v>
      </c>
      <c r="O31" s="3">
        <v>106</v>
      </c>
      <c r="P31" s="3">
        <v>72</v>
      </c>
      <c r="Q31" s="3">
        <v>39</v>
      </c>
      <c r="R31" s="3">
        <v>44</v>
      </c>
      <c r="S31" s="3">
        <v>60</v>
      </c>
      <c r="T31" s="3">
        <v>17</v>
      </c>
      <c r="U31" s="3">
        <v>13</v>
      </c>
      <c r="V31" s="3">
        <v>27</v>
      </c>
      <c r="W31" s="3">
        <v>25</v>
      </c>
      <c r="X31" s="3">
        <v>27</v>
      </c>
      <c r="Y31" s="3">
        <v>72</v>
      </c>
      <c r="Z31" s="3">
        <v>39</v>
      </c>
      <c r="AA31" s="3">
        <v>44</v>
      </c>
      <c r="AB31" s="3">
        <v>26</v>
      </c>
      <c r="AC31" s="3">
        <v>17</v>
      </c>
      <c r="AD31" s="3">
        <v>27</v>
      </c>
      <c r="AE31" s="3">
        <v>25</v>
      </c>
      <c r="AF31" s="3">
        <v>27</v>
      </c>
      <c r="AG31" s="3">
        <v>72</v>
      </c>
      <c r="AH31" s="3">
        <v>39</v>
      </c>
      <c r="AI31" s="3">
        <v>85</v>
      </c>
      <c r="AJ31" s="3">
        <v>104</v>
      </c>
      <c r="AK31" s="3">
        <v>66</v>
      </c>
      <c r="AL31" s="3">
        <v>32</v>
      </c>
      <c r="AM31" s="3">
        <v>24</v>
      </c>
      <c r="AN31" s="3">
        <v>19</v>
      </c>
      <c r="AO31" s="3">
        <v>103</v>
      </c>
      <c r="AP31" s="2">
        <v>3</v>
      </c>
      <c r="AQ31" s="21" t="s">
        <v>170</v>
      </c>
    </row>
    <row r="32" spans="1:43" ht="30" customHeight="1" x14ac:dyDescent="0.25">
      <c r="A32" s="16" t="s">
        <v>169</v>
      </c>
      <c r="B32" s="12" t="s">
        <v>148</v>
      </c>
      <c r="C32" s="16" t="s">
        <v>66</v>
      </c>
      <c r="D32" s="23">
        <v>40</v>
      </c>
      <c r="E32" s="25" t="s">
        <v>32</v>
      </c>
      <c r="F32" s="7">
        <v>58</v>
      </c>
      <c r="G32" s="11" t="s">
        <v>71</v>
      </c>
      <c r="H32" s="11" t="s">
        <v>72</v>
      </c>
      <c r="I32" s="3">
        <v>45</v>
      </c>
      <c r="J32" s="3">
        <v>60</v>
      </c>
      <c r="K32" s="3">
        <v>18</v>
      </c>
      <c r="L32" s="3">
        <v>14</v>
      </c>
      <c r="M32" s="3">
        <v>100</v>
      </c>
      <c r="N32" s="3">
        <v>96</v>
      </c>
      <c r="O32" s="3">
        <v>106</v>
      </c>
      <c r="P32" s="3">
        <v>74</v>
      </c>
      <c r="Q32" s="3">
        <v>39</v>
      </c>
      <c r="R32" s="3">
        <v>45</v>
      </c>
      <c r="S32" s="3">
        <v>61</v>
      </c>
      <c r="T32" s="3">
        <v>16</v>
      </c>
      <c r="U32" s="3">
        <v>12</v>
      </c>
      <c r="V32" s="3">
        <v>27</v>
      </c>
      <c r="W32" s="3">
        <v>25</v>
      </c>
      <c r="X32" s="3">
        <v>27</v>
      </c>
      <c r="Y32" s="3">
        <v>74</v>
      </c>
      <c r="Z32" s="3">
        <v>39</v>
      </c>
      <c r="AA32" s="3">
        <v>45</v>
      </c>
      <c r="AB32" s="3">
        <v>27</v>
      </c>
      <c r="AC32" s="3">
        <v>16</v>
      </c>
      <c r="AD32" s="3">
        <v>27</v>
      </c>
      <c r="AE32" s="3">
        <v>25</v>
      </c>
      <c r="AF32" s="3">
        <v>27</v>
      </c>
      <c r="AG32" s="3">
        <v>74</v>
      </c>
      <c r="AH32" s="3">
        <v>39</v>
      </c>
      <c r="AI32" s="3">
        <v>84</v>
      </c>
      <c r="AJ32" s="3">
        <v>104</v>
      </c>
      <c r="AK32" s="3">
        <v>68</v>
      </c>
      <c r="AL32" s="3">
        <v>32</v>
      </c>
      <c r="AM32" s="3">
        <v>24</v>
      </c>
      <c r="AN32" s="3">
        <v>19</v>
      </c>
      <c r="AO32" s="3">
        <v>104</v>
      </c>
      <c r="AP32" s="2">
        <v>3</v>
      </c>
      <c r="AQ32" s="21" t="s">
        <v>170</v>
      </c>
    </row>
    <row r="33" spans="1:43" ht="30" customHeight="1" x14ac:dyDescent="0.25">
      <c r="A33" s="16" t="s">
        <v>153</v>
      </c>
      <c r="B33" s="12" t="s">
        <v>149</v>
      </c>
      <c r="C33" s="16" t="s">
        <v>66</v>
      </c>
      <c r="D33" s="23">
        <v>42</v>
      </c>
      <c r="E33" s="25" t="s">
        <v>34</v>
      </c>
      <c r="F33" s="7">
        <v>56</v>
      </c>
      <c r="G33" s="11" t="s">
        <v>71</v>
      </c>
      <c r="H33" s="11" t="s">
        <v>72</v>
      </c>
      <c r="I33" s="3">
        <v>47</v>
      </c>
      <c r="J33" s="3">
        <v>60</v>
      </c>
      <c r="K33" s="3">
        <v>20</v>
      </c>
      <c r="L33" s="3">
        <v>14</v>
      </c>
      <c r="M33" s="3">
        <v>108</v>
      </c>
      <c r="N33" s="3">
        <v>100</v>
      </c>
      <c r="O33" s="3">
        <v>110</v>
      </c>
      <c r="P33" s="3">
        <v>72</v>
      </c>
      <c r="Q33" s="3">
        <v>42</v>
      </c>
      <c r="R33" s="3">
        <v>47</v>
      </c>
      <c r="S33" s="3">
        <v>61</v>
      </c>
      <c r="T33" s="3">
        <v>18</v>
      </c>
      <c r="U33" s="3">
        <v>13</v>
      </c>
      <c r="V33" s="3">
        <v>29</v>
      </c>
      <c r="W33" s="3">
        <v>27</v>
      </c>
      <c r="X33" s="3">
        <v>29</v>
      </c>
      <c r="Y33" s="3">
        <v>72</v>
      </c>
      <c r="Z33" s="3">
        <v>42</v>
      </c>
      <c r="AA33" s="3">
        <v>47</v>
      </c>
      <c r="AB33" s="3">
        <v>26</v>
      </c>
      <c r="AC33" s="3">
        <v>18</v>
      </c>
      <c r="AD33" s="3">
        <v>29</v>
      </c>
      <c r="AE33" s="3">
        <v>27</v>
      </c>
      <c r="AF33" s="3">
        <v>29</v>
      </c>
      <c r="AG33" s="3">
        <v>72</v>
      </c>
      <c r="AH33" s="3">
        <v>42</v>
      </c>
      <c r="AI33" s="3">
        <v>95</v>
      </c>
      <c r="AJ33" s="3">
        <v>108</v>
      </c>
      <c r="AK33" s="3">
        <v>70</v>
      </c>
      <c r="AL33" s="3">
        <v>35</v>
      </c>
      <c r="AM33" s="3">
        <v>26</v>
      </c>
      <c r="AN33" s="3">
        <v>20</v>
      </c>
      <c r="AO33" s="3">
        <v>102</v>
      </c>
      <c r="AP33" s="2">
        <v>3</v>
      </c>
      <c r="AQ33" s="21" t="s">
        <v>170</v>
      </c>
    </row>
    <row r="34" spans="1:43" ht="30" customHeight="1" x14ac:dyDescent="0.25">
      <c r="A34" s="16" t="s">
        <v>154</v>
      </c>
      <c r="B34" s="12" t="s">
        <v>150</v>
      </c>
      <c r="C34" s="16" t="s">
        <v>66</v>
      </c>
      <c r="D34" s="23">
        <v>43</v>
      </c>
      <c r="E34" s="25" t="s">
        <v>32</v>
      </c>
      <c r="F34" s="7">
        <v>57</v>
      </c>
      <c r="G34" s="11" t="s">
        <v>71</v>
      </c>
      <c r="H34" s="11" t="s">
        <v>72</v>
      </c>
      <c r="I34" s="3">
        <v>44</v>
      </c>
      <c r="J34" s="3">
        <v>64</v>
      </c>
      <c r="K34" s="3">
        <v>18</v>
      </c>
      <c r="L34" s="3">
        <v>14</v>
      </c>
      <c r="M34" s="3">
        <v>100</v>
      </c>
      <c r="N34" s="3">
        <v>92</v>
      </c>
      <c r="O34" s="3">
        <v>104</v>
      </c>
      <c r="P34" s="3">
        <v>76</v>
      </c>
      <c r="Q34" s="3">
        <v>39</v>
      </c>
      <c r="R34" s="3">
        <v>44</v>
      </c>
      <c r="S34" s="3">
        <v>65</v>
      </c>
      <c r="T34" s="3">
        <v>16</v>
      </c>
      <c r="U34" s="3">
        <v>12</v>
      </c>
      <c r="V34" s="3">
        <v>27</v>
      </c>
      <c r="W34" s="3">
        <v>25</v>
      </c>
      <c r="X34" s="3">
        <v>27</v>
      </c>
      <c r="Y34" s="3">
        <v>76</v>
      </c>
      <c r="Z34" s="3">
        <v>39</v>
      </c>
      <c r="AA34" s="3">
        <v>44</v>
      </c>
      <c r="AB34" s="3">
        <v>27</v>
      </c>
      <c r="AC34" s="3">
        <v>16</v>
      </c>
      <c r="AD34" s="3">
        <v>27</v>
      </c>
      <c r="AE34" s="3">
        <v>25</v>
      </c>
      <c r="AF34" s="3">
        <v>27</v>
      </c>
      <c r="AG34" s="3">
        <v>76</v>
      </c>
      <c r="AH34" s="3">
        <v>39</v>
      </c>
      <c r="AI34" s="3">
        <v>85</v>
      </c>
      <c r="AJ34" s="3">
        <v>102</v>
      </c>
      <c r="AK34" s="3">
        <v>66</v>
      </c>
      <c r="AL34" s="3">
        <v>32</v>
      </c>
      <c r="AM34" s="3">
        <v>24</v>
      </c>
      <c r="AN34" s="3">
        <v>19</v>
      </c>
      <c r="AO34" s="3">
        <v>105</v>
      </c>
      <c r="AP34" s="2">
        <v>3</v>
      </c>
      <c r="AQ34" s="21" t="s">
        <v>170</v>
      </c>
    </row>
    <row r="35" spans="1:43" ht="30" customHeight="1" x14ac:dyDescent="0.25">
      <c r="A35" s="16" t="s">
        <v>155</v>
      </c>
      <c r="B35" s="12" t="s">
        <v>151</v>
      </c>
      <c r="C35" s="16" t="s">
        <v>66</v>
      </c>
      <c r="D35" s="23">
        <v>41</v>
      </c>
      <c r="E35" s="25" t="s">
        <v>32</v>
      </c>
      <c r="F35" s="7">
        <v>56</v>
      </c>
      <c r="G35" s="11" t="s">
        <v>71</v>
      </c>
      <c r="H35" s="11" t="s">
        <v>72</v>
      </c>
      <c r="I35" s="3">
        <v>44</v>
      </c>
      <c r="J35" s="3">
        <v>56</v>
      </c>
      <c r="K35" s="3">
        <v>18</v>
      </c>
      <c r="L35" s="3">
        <v>14</v>
      </c>
      <c r="M35" s="3">
        <v>94</v>
      </c>
      <c r="N35" s="3">
        <v>88</v>
      </c>
      <c r="O35" s="3">
        <v>108</v>
      </c>
      <c r="P35" s="3">
        <v>68</v>
      </c>
      <c r="Q35" s="3">
        <v>38</v>
      </c>
      <c r="R35" s="3">
        <v>44</v>
      </c>
      <c r="S35" s="3">
        <v>57</v>
      </c>
      <c r="T35" s="3">
        <v>16</v>
      </c>
      <c r="U35" s="3">
        <v>12</v>
      </c>
      <c r="V35" s="3">
        <v>27</v>
      </c>
      <c r="W35" s="3">
        <v>25</v>
      </c>
      <c r="X35" s="3">
        <v>27</v>
      </c>
      <c r="Y35" s="3">
        <v>68</v>
      </c>
      <c r="Z35" s="3">
        <v>38</v>
      </c>
      <c r="AA35" s="3">
        <v>44</v>
      </c>
      <c r="AB35" s="3">
        <v>23</v>
      </c>
      <c r="AC35" s="3">
        <v>16</v>
      </c>
      <c r="AD35" s="3">
        <v>27</v>
      </c>
      <c r="AE35" s="3">
        <v>25</v>
      </c>
      <c r="AF35" s="3">
        <v>27</v>
      </c>
      <c r="AG35" s="3">
        <v>68</v>
      </c>
      <c r="AH35" s="3">
        <v>38</v>
      </c>
      <c r="AI35" s="3">
        <v>84</v>
      </c>
      <c r="AJ35" s="3">
        <v>104</v>
      </c>
      <c r="AK35" s="3">
        <v>67</v>
      </c>
      <c r="AL35" s="3">
        <v>34</v>
      </c>
      <c r="AM35" s="3">
        <v>25</v>
      </c>
      <c r="AN35" s="3">
        <v>20</v>
      </c>
      <c r="AO35" s="3">
        <v>95</v>
      </c>
      <c r="AP35" s="2">
        <v>3</v>
      </c>
      <c r="AQ35" s="21" t="s">
        <v>170</v>
      </c>
    </row>
    <row r="36" spans="1:43" ht="30" customHeight="1" x14ac:dyDescent="0.25">
      <c r="A36" s="16" t="s">
        <v>198</v>
      </c>
      <c r="B36" s="12" t="s">
        <v>203</v>
      </c>
      <c r="C36" s="16" t="s">
        <v>66</v>
      </c>
      <c r="D36" s="23">
        <v>43</v>
      </c>
      <c r="E36" s="25" t="s">
        <v>32</v>
      </c>
      <c r="F36" s="7">
        <v>57</v>
      </c>
      <c r="G36" s="11" t="s">
        <v>71</v>
      </c>
      <c r="H36" s="11" t="s">
        <v>72</v>
      </c>
      <c r="I36" s="3">
        <v>43</v>
      </c>
      <c r="J36" s="3">
        <v>59</v>
      </c>
      <c r="K36" s="3">
        <v>20</v>
      </c>
      <c r="L36" s="3">
        <v>16</v>
      </c>
      <c r="M36" s="3">
        <v>112</v>
      </c>
      <c r="N36" s="3">
        <v>107</v>
      </c>
      <c r="O36" s="3">
        <v>115</v>
      </c>
      <c r="P36" s="3">
        <v>73</v>
      </c>
      <c r="Q36" s="3">
        <v>42</v>
      </c>
      <c r="R36" s="11">
        <v>43</v>
      </c>
      <c r="S36" s="11">
        <v>60</v>
      </c>
      <c r="T36" s="11">
        <v>18</v>
      </c>
      <c r="U36" s="11">
        <v>14</v>
      </c>
      <c r="V36" s="11">
        <v>31</v>
      </c>
      <c r="W36" s="11">
        <v>30</v>
      </c>
      <c r="X36" s="11">
        <v>31</v>
      </c>
      <c r="Y36" s="11">
        <v>73</v>
      </c>
      <c r="Z36" s="11">
        <v>42</v>
      </c>
      <c r="AA36" s="3">
        <v>43</v>
      </c>
      <c r="AB36" s="3">
        <v>25</v>
      </c>
      <c r="AC36" s="3">
        <v>20</v>
      </c>
      <c r="AD36" s="3">
        <v>31</v>
      </c>
      <c r="AE36" s="3">
        <v>30</v>
      </c>
      <c r="AF36" s="3">
        <v>31</v>
      </c>
      <c r="AG36" s="3">
        <v>73</v>
      </c>
      <c r="AH36" s="3">
        <v>42</v>
      </c>
      <c r="AI36" s="3">
        <v>94</v>
      </c>
      <c r="AJ36" s="3">
        <v>110</v>
      </c>
      <c r="AK36" s="3">
        <v>71</v>
      </c>
      <c r="AL36" s="3">
        <v>35</v>
      </c>
      <c r="AM36" s="3">
        <v>26</v>
      </c>
      <c r="AN36" s="3">
        <v>20</v>
      </c>
      <c r="AO36" s="3">
        <v>94</v>
      </c>
      <c r="AP36" s="2">
        <v>4</v>
      </c>
      <c r="AQ36" s="21" t="s">
        <v>207</v>
      </c>
    </row>
    <row r="37" spans="1:43" ht="30" customHeight="1" x14ac:dyDescent="0.25">
      <c r="A37" s="16" t="s">
        <v>199</v>
      </c>
      <c r="B37" s="12" t="s">
        <v>204</v>
      </c>
      <c r="C37" s="16" t="s">
        <v>66</v>
      </c>
      <c r="D37" s="23">
        <v>43</v>
      </c>
      <c r="E37" s="25" t="s">
        <v>32</v>
      </c>
      <c r="F37" s="7">
        <v>57</v>
      </c>
      <c r="G37" s="11" t="s">
        <v>71</v>
      </c>
      <c r="H37" s="11" t="s">
        <v>72</v>
      </c>
      <c r="I37" s="3">
        <v>43</v>
      </c>
      <c r="J37" s="3">
        <v>59</v>
      </c>
      <c r="K37" s="3">
        <v>20</v>
      </c>
      <c r="L37" s="3">
        <v>16</v>
      </c>
      <c r="M37" s="3">
        <v>112</v>
      </c>
      <c r="N37" s="3">
        <v>107</v>
      </c>
      <c r="O37" s="3">
        <v>115</v>
      </c>
      <c r="P37" s="3">
        <v>73</v>
      </c>
      <c r="Q37" s="3">
        <v>42</v>
      </c>
      <c r="R37" s="11">
        <v>43</v>
      </c>
      <c r="S37" s="11">
        <v>60</v>
      </c>
      <c r="T37" s="11">
        <v>18</v>
      </c>
      <c r="U37" s="11">
        <v>14</v>
      </c>
      <c r="V37" s="11">
        <v>31</v>
      </c>
      <c r="W37" s="11">
        <v>30</v>
      </c>
      <c r="X37" s="11">
        <v>31</v>
      </c>
      <c r="Y37" s="11">
        <v>73</v>
      </c>
      <c r="Z37" s="11">
        <v>42</v>
      </c>
      <c r="AA37" s="3">
        <v>43</v>
      </c>
      <c r="AB37" s="3">
        <v>25</v>
      </c>
      <c r="AC37" s="3">
        <v>20</v>
      </c>
      <c r="AD37" s="3">
        <v>31</v>
      </c>
      <c r="AE37" s="3">
        <v>30</v>
      </c>
      <c r="AF37" s="3">
        <v>31</v>
      </c>
      <c r="AG37" s="3">
        <v>73</v>
      </c>
      <c r="AH37" s="3">
        <v>42</v>
      </c>
      <c r="AI37" s="3">
        <v>94</v>
      </c>
      <c r="AJ37" s="3">
        <v>110</v>
      </c>
      <c r="AK37" s="3">
        <v>71</v>
      </c>
      <c r="AL37" s="3">
        <v>35</v>
      </c>
      <c r="AM37" s="3">
        <v>26</v>
      </c>
      <c r="AN37" s="3">
        <v>20</v>
      </c>
      <c r="AO37" s="3">
        <v>94</v>
      </c>
      <c r="AP37" s="2">
        <v>4</v>
      </c>
      <c r="AQ37" s="21" t="s">
        <v>207</v>
      </c>
    </row>
    <row r="38" spans="1:43" ht="30" customHeight="1" x14ac:dyDescent="0.25">
      <c r="A38" s="16" t="s">
        <v>200</v>
      </c>
      <c r="B38" s="12" t="s">
        <v>205</v>
      </c>
      <c r="C38" s="16" t="s">
        <v>66</v>
      </c>
      <c r="D38" s="23">
        <v>43</v>
      </c>
      <c r="E38" s="25" t="s">
        <v>32</v>
      </c>
      <c r="F38" s="7">
        <v>57</v>
      </c>
      <c r="G38" s="11" t="s">
        <v>71</v>
      </c>
      <c r="H38" s="11" t="s">
        <v>72</v>
      </c>
      <c r="I38" s="3">
        <v>43</v>
      </c>
      <c r="J38" s="3">
        <v>59</v>
      </c>
      <c r="K38" s="3">
        <v>20</v>
      </c>
      <c r="L38" s="3">
        <v>16</v>
      </c>
      <c r="M38" s="3">
        <v>112</v>
      </c>
      <c r="N38" s="3">
        <v>107</v>
      </c>
      <c r="O38" s="3">
        <v>115</v>
      </c>
      <c r="P38" s="3">
        <v>73</v>
      </c>
      <c r="Q38" s="3">
        <v>42</v>
      </c>
      <c r="R38" s="11">
        <v>43</v>
      </c>
      <c r="S38" s="11">
        <v>60</v>
      </c>
      <c r="T38" s="11">
        <v>18</v>
      </c>
      <c r="U38" s="11">
        <v>14</v>
      </c>
      <c r="V38" s="11">
        <v>31</v>
      </c>
      <c r="W38" s="11">
        <v>30</v>
      </c>
      <c r="X38" s="11">
        <v>31</v>
      </c>
      <c r="Y38" s="11">
        <v>73</v>
      </c>
      <c r="Z38" s="11">
        <v>42</v>
      </c>
      <c r="AA38" s="3">
        <v>43</v>
      </c>
      <c r="AB38" s="3">
        <v>25</v>
      </c>
      <c r="AC38" s="3">
        <v>20</v>
      </c>
      <c r="AD38" s="3">
        <v>31</v>
      </c>
      <c r="AE38" s="3">
        <v>30</v>
      </c>
      <c r="AF38" s="3">
        <v>31</v>
      </c>
      <c r="AG38" s="3">
        <v>73</v>
      </c>
      <c r="AH38" s="3">
        <v>42</v>
      </c>
      <c r="AI38" s="3">
        <v>94</v>
      </c>
      <c r="AJ38" s="3">
        <v>110</v>
      </c>
      <c r="AK38" s="3">
        <v>71</v>
      </c>
      <c r="AL38" s="3">
        <v>35</v>
      </c>
      <c r="AM38" s="3">
        <v>26</v>
      </c>
      <c r="AN38" s="3">
        <v>20</v>
      </c>
      <c r="AO38" s="3">
        <v>94</v>
      </c>
      <c r="AP38" s="2">
        <v>4</v>
      </c>
      <c r="AQ38" s="21" t="s">
        <v>207</v>
      </c>
    </row>
    <row r="39" spans="1:43" ht="30" customHeight="1" x14ac:dyDescent="0.25">
      <c r="A39" s="16" t="s">
        <v>201</v>
      </c>
      <c r="B39" s="12" t="s">
        <v>206</v>
      </c>
      <c r="C39" s="16" t="s">
        <v>66</v>
      </c>
      <c r="D39" s="23">
        <v>40</v>
      </c>
      <c r="E39" s="25" t="s">
        <v>31</v>
      </c>
      <c r="F39" s="7">
        <v>56</v>
      </c>
      <c r="G39" s="11" t="s">
        <v>71</v>
      </c>
      <c r="H39" s="11" t="s">
        <v>72</v>
      </c>
      <c r="I39" s="3">
        <v>43</v>
      </c>
      <c r="J39" s="3">
        <v>59</v>
      </c>
      <c r="K39" s="3">
        <v>20</v>
      </c>
      <c r="L39" s="3">
        <v>16</v>
      </c>
      <c r="M39" s="3">
        <v>112</v>
      </c>
      <c r="N39" s="3">
        <v>107</v>
      </c>
      <c r="O39" s="3">
        <v>115</v>
      </c>
      <c r="P39" s="3">
        <v>73</v>
      </c>
      <c r="Q39" s="3">
        <v>42</v>
      </c>
      <c r="R39" s="11">
        <v>43</v>
      </c>
      <c r="S39" s="11">
        <v>60</v>
      </c>
      <c r="T39" s="11">
        <v>18</v>
      </c>
      <c r="U39" s="11">
        <v>14</v>
      </c>
      <c r="V39" s="11">
        <v>31</v>
      </c>
      <c r="W39" s="11">
        <v>30</v>
      </c>
      <c r="X39" s="11">
        <v>31</v>
      </c>
      <c r="Y39" s="11">
        <v>73</v>
      </c>
      <c r="Z39" s="11">
        <v>42</v>
      </c>
      <c r="AA39" s="3">
        <v>43</v>
      </c>
      <c r="AB39" s="3">
        <v>25</v>
      </c>
      <c r="AC39" s="3">
        <v>20</v>
      </c>
      <c r="AD39" s="3">
        <v>31</v>
      </c>
      <c r="AE39" s="3">
        <v>30</v>
      </c>
      <c r="AF39" s="3">
        <v>31</v>
      </c>
      <c r="AG39" s="3">
        <v>73</v>
      </c>
      <c r="AH39" s="3">
        <v>42</v>
      </c>
      <c r="AI39" s="3">
        <v>94</v>
      </c>
      <c r="AJ39" s="3">
        <v>110</v>
      </c>
      <c r="AK39" s="3">
        <v>71</v>
      </c>
      <c r="AL39" s="3">
        <v>35</v>
      </c>
      <c r="AM39" s="3">
        <v>26</v>
      </c>
      <c r="AN39" s="3">
        <v>20</v>
      </c>
      <c r="AO39" s="3">
        <v>94</v>
      </c>
      <c r="AP39" s="2">
        <v>4</v>
      </c>
      <c r="AQ39" s="21" t="s">
        <v>207</v>
      </c>
    </row>
    <row r="40" spans="1:43" ht="30" customHeight="1" x14ac:dyDescent="0.25">
      <c r="A40" s="16" t="s">
        <v>202</v>
      </c>
      <c r="B40" s="12" t="s">
        <v>208</v>
      </c>
      <c r="C40" s="16" t="s">
        <v>66</v>
      </c>
      <c r="D40" s="23">
        <v>42</v>
      </c>
      <c r="E40" s="25" t="s">
        <v>32</v>
      </c>
      <c r="F40" s="7">
        <v>60</v>
      </c>
      <c r="G40" s="11" t="s">
        <v>71</v>
      </c>
      <c r="H40" s="11" t="s">
        <v>72</v>
      </c>
      <c r="I40" s="3">
        <v>45</v>
      </c>
      <c r="J40" s="3">
        <v>59</v>
      </c>
      <c r="K40" s="3">
        <v>19</v>
      </c>
      <c r="L40" s="3">
        <v>14</v>
      </c>
      <c r="M40" s="3">
        <v>106</v>
      </c>
      <c r="N40" s="3">
        <v>92</v>
      </c>
      <c r="O40" s="3">
        <v>108</v>
      </c>
      <c r="P40" s="3">
        <v>72</v>
      </c>
      <c r="Q40" s="3">
        <v>42</v>
      </c>
      <c r="R40" s="3">
        <v>45</v>
      </c>
      <c r="S40" s="3">
        <v>60</v>
      </c>
      <c r="T40" s="3">
        <v>18</v>
      </c>
      <c r="U40" s="3">
        <v>13</v>
      </c>
      <c r="V40" s="3">
        <v>28</v>
      </c>
      <c r="W40" s="3">
        <v>27</v>
      </c>
      <c r="X40" s="3">
        <v>28</v>
      </c>
      <c r="Y40" s="3">
        <v>72</v>
      </c>
      <c r="Z40" s="3">
        <v>42</v>
      </c>
      <c r="AA40" s="3">
        <v>45</v>
      </c>
      <c r="AB40" s="3">
        <v>25</v>
      </c>
      <c r="AC40" s="3">
        <v>18</v>
      </c>
      <c r="AD40" s="3">
        <v>28</v>
      </c>
      <c r="AE40" s="3">
        <v>27</v>
      </c>
      <c r="AF40" s="3">
        <v>28</v>
      </c>
      <c r="AG40" s="3">
        <v>72</v>
      </c>
      <c r="AH40" s="3">
        <v>42</v>
      </c>
      <c r="AI40" s="3">
        <v>94</v>
      </c>
      <c r="AJ40" s="3">
        <v>106</v>
      </c>
      <c r="AK40" s="3">
        <v>68</v>
      </c>
      <c r="AL40" s="3">
        <v>34</v>
      </c>
      <c r="AM40" s="3">
        <v>24</v>
      </c>
      <c r="AN40" s="3">
        <v>20</v>
      </c>
      <c r="AO40" s="3">
        <v>98</v>
      </c>
      <c r="AP40" s="6">
        <v>4</v>
      </c>
      <c r="AQ40" s="20" t="s">
        <v>207</v>
      </c>
    </row>
    <row r="41" spans="1:43" ht="30" customHeight="1" x14ac:dyDescent="0.25">
      <c r="A41" s="16" t="s">
        <v>212</v>
      </c>
      <c r="B41" s="12" t="s">
        <v>210</v>
      </c>
      <c r="C41" s="16" t="s">
        <v>66</v>
      </c>
      <c r="D41" s="29">
        <v>42</v>
      </c>
      <c r="E41" s="25" t="s">
        <v>32</v>
      </c>
      <c r="F41" s="30">
        <v>59</v>
      </c>
      <c r="G41" s="11" t="s">
        <v>71</v>
      </c>
      <c r="H41" s="11" t="s">
        <v>72</v>
      </c>
      <c r="I41" s="31">
        <v>48</v>
      </c>
      <c r="J41" s="31">
        <v>60</v>
      </c>
      <c r="K41" s="31">
        <v>20</v>
      </c>
      <c r="L41" s="31">
        <v>15</v>
      </c>
      <c r="M41" s="31">
        <v>110</v>
      </c>
      <c r="N41" s="31">
        <v>102</v>
      </c>
      <c r="O41" s="31">
        <v>112</v>
      </c>
      <c r="P41" s="31">
        <v>68</v>
      </c>
      <c r="Q41" s="31">
        <v>42</v>
      </c>
      <c r="R41" s="31">
        <v>48</v>
      </c>
      <c r="S41" s="31">
        <v>61</v>
      </c>
      <c r="T41" s="31">
        <v>19</v>
      </c>
      <c r="U41" s="31">
        <v>13</v>
      </c>
      <c r="V41" s="31">
        <v>29</v>
      </c>
      <c r="W41" s="31">
        <v>27</v>
      </c>
      <c r="X41" s="31">
        <v>29</v>
      </c>
      <c r="Y41" s="31">
        <v>68</v>
      </c>
      <c r="Z41" s="31">
        <v>42</v>
      </c>
      <c r="AA41" s="31">
        <v>48</v>
      </c>
      <c r="AB41" s="31">
        <v>24</v>
      </c>
      <c r="AC41" s="31">
        <v>19</v>
      </c>
      <c r="AD41" s="31">
        <v>29</v>
      </c>
      <c r="AE41" s="31">
        <v>27</v>
      </c>
      <c r="AF41" s="31">
        <v>29</v>
      </c>
      <c r="AG41" s="31">
        <v>68</v>
      </c>
      <c r="AH41" s="31">
        <v>42</v>
      </c>
      <c r="AI41" s="31">
        <v>95</v>
      </c>
      <c r="AJ41" s="31">
        <v>110</v>
      </c>
      <c r="AK41" s="31">
        <v>70</v>
      </c>
      <c r="AL41" s="31">
        <v>35</v>
      </c>
      <c r="AM41" s="31">
        <v>25</v>
      </c>
      <c r="AN41" s="31">
        <v>20</v>
      </c>
      <c r="AO41" s="31">
        <v>86</v>
      </c>
      <c r="AP41" s="32">
        <v>4</v>
      </c>
      <c r="AQ41" s="20" t="s">
        <v>211</v>
      </c>
    </row>
    <row r="42" spans="1:43" ht="30" customHeight="1" x14ac:dyDescent="0.25">
      <c r="A42" s="16" t="s">
        <v>225</v>
      </c>
      <c r="B42" s="12" t="s">
        <v>219</v>
      </c>
      <c r="C42" s="16" t="s">
        <v>66</v>
      </c>
      <c r="D42" s="23">
        <v>39</v>
      </c>
      <c r="E42" s="25" t="s">
        <v>32</v>
      </c>
      <c r="F42" s="7">
        <v>54</v>
      </c>
      <c r="G42" s="11" t="s">
        <v>71</v>
      </c>
      <c r="H42" s="11" t="s">
        <v>72</v>
      </c>
      <c r="I42" s="3">
        <v>45</v>
      </c>
      <c r="J42" s="3">
        <v>57</v>
      </c>
      <c r="K42" s="3">
        <v>18</v>
      </c>
      <c r="L42" s="3">
        <v>14</v>
      </c>
      <c r="M42" s="3">
        <v>102</v>
      </c>
      <c r="N42" s="3">
        <v>96</v>
      </c>
      <c r="O42" s="3">
        <v>106</v>
      </c>
      <c r="P42" s="3">
        <v>70</v>
      </c>
      <c r="Q42" s="3">
        <v>40</v>
      </c>
      <c r="R42" s="3">
        <v>45</v>
      </c>
      <c r="S42" s="3">
        <v>58</v>
      </c>
      <c r="T42" s="3">
        <v>16</v>
      </c>
      <c r="U42" s="3">
        <v>12</v>
      </c>
      <c r="V42" s="3">
        <v>27</v>
      </c>
      <c r="W42" s="3">
        <v>25</v>
      </c>
      <c r="X42" s="3">
        <v>27</v>
      </c>
      <c r="Y42" s="3">
        <v>70</v>
      </c>
      <c r="Z42" s="3">
        <v>40</v>
      </c>
      <c r="AA42" s="3">
        <v>45</v>
      </c>
      <c r="AB42" s="3">
        <v>24</v>
      </c>
      <c r="AC42" s="3">
        <v>16</v>
      </c>
      <c r="AD42" s="3">
        <v>27</v>
      </c>
      <c r="AE42" s="3">
        <v>25</v>
      </c>
      <c r="AF42" s="3">
        <v>27</v>
      </c>
      <c r="AG42" s="3">
        <v>70</v>
      </c>
      <c r="AH42" s="3">
        <v>40</v>
      </c>
      <c r="AI42" s="3">
        <v>85</v>
      </c>
      <c r="AJ42" s="3">
        <v>104</v>
      </c>
      <c r="AK42" s="3">
        <v>67</v>
      </c>
      <c r="AL42" s="3">
        <v>33</v>
      </c>
      <c r="AM42" s="3">
        <v>24</v>
      </c>
      <c r="AN42" s="3">
        <v>19</v>
      </c>
      <c r="AO42" s="3">
        <v>93</v>
      </c>
      <c r="AP42" s="32">
        <v>4</v>
      </c>
      <c r="AQ42" s="20" t="s">
        <v>231</v>
      </c>
    </row>
    <row r="43" spans="1:43" ht="30" customHeight="1" x14ac:dyDescent="0.25">
      <c r="A43" s="16" t="s">
        <v>226</v>
      </c>
      <c r="B43" s="12" t="s">
        <v>220</v>
      </c>
      <c r="C43" s="16" t="s">
        <v>66</v>
      </c>
      <c r="D43" s="23">
        <v>40</v>
      </c>
      <c r="E43" s="25" t="s">
        <v>32</v>
      </c>
      <c r="F43" s="7">
        <v>56</v>
      </c>
      <c r="G43" s="11" t="s">
        <v>71</v>
      </c>
      <c r="H43" s="11" t="s">
        <v>72</v>
      </c>
      <c r="I43" s="3">
        <v>44</v>
      </c>
      <c r="J43" s="3">
        <v>58</v>
      </c>
      <c r="K43" s="3">
        <v>18</v>
      </c>
      <c r="L43" s="3">
        <v>14</v>
      </c>
      <c r="M43" s="3">
        <v>96</v>
      </c>
      <c r="N43" s="3">
        <v>90</v>
      </c>
      <c r="O43" s="3">
        <v>105</v>
      </c>
      <c r="P43" s="3">
        <v>74</v>
      </c>
      <c r="Q43" s="3">
        <v>40</v>
      </c>
      <c r="R43" s="3">
        <v>44</v>
      </c>
      <c r="S43" s="3">
        <v>59</v>
      </c>
      <c r="T43" s="3">
        <v>16</v>
      </c>
      <c r="U43" s="3">
        <v>12</v>
      </c>
      <c r="V43" s="3">
        <v>26</v>
      </c>
      <c r="W43" s="3">
        <v>24</v>
      </c>
      <c r="X43" s="3">
        <v>26</v>
      </c>
      <c r="Y43" s="3">
        <v>74</v>
      </c>
      <c r="Z43" s="3">
        <v>40</v>
      </c>
      <c r="AA43" s="3">
        <v>44</v>
      </c>
      <c r="AB43" s="3">
        <v>25</v>
      </c>
      <c r="AC43" s="3">
        <v>16</v>
      </c>
      <c r="AD43" s="3">
        <v>26</v>
      </c>
      <c r="AE43" s="3">
        <v>24</v>
      </c>
      <c r="AF43" s="3">
        <v>26</v>
      </c>
      <c r="AG43" s="3">
        <v>74</v>
      </c>
      <c r="AH43" s="3">
        <v>40</v>
      </c>
      <c r="AI43" s="3">
        <v>79</v>
      </c>
      <c r="AJ43" s="3">
        <v>102</v>
      </c>
      <c r="AK43" s="3">
        <v>68</v>
      </c>
      <c r="AL43" s="3">
        <v>31</v>
      </c>
      <c r="AM43" s="3">
        <v>24</v>
      </c>
      <c r="AN43" s="3">
        <v>22</v>
      </c>
      <c r="AO43" s="3">
        <v>99</v>
      </c>
      <c r="AP43" s="32">
        <v>4</v>
      </c>
      <c r="AQ43" s="20" t="s">
        <v>231</v>
      </c>
    </row>
    <row r="44" spans="1:43" ht="30" customHeight="1" x14ac:dyDescent="0.25">
      <c r="A44" s="16" t="s">
        <v>227</v>
      </c>
      <c r="B44" s="12" t="s">
        <v>221</v>
      </c>
      <c r="C44" s="16" t="s">
        <v>66</v>
      </c>
      <c r="D44" s="23">
        <v>40</v>
      </c>
      <c r="E44" s="25" t="s">
        <v>32</v>
      </c>
      <c r="F44" s="7">
        <v>60</v>
      </c>
      <c r="G44" s="11" t="s">
        <v>71</v>
      </c>
      <c r="H44" s="11" t="s">
        <v>72</v>
      </c>
      <c r="I44" s="3">
        <v>47</v>
      </c>
      <c r="J44" s="3">
        <v>60</v>
      </c>
      <c r="K44" s="3">
        <v>19</v>
      </c>
      <c r="L44" s="3">
        <v>14</v>
      </c>
      <c r="M44" s="3">
        <v>106</v>
      </c>
      <c r="N44" s="3">
        <v>102</v>
      </c>
      <c r="O44" s="3">
        <v>110</v>
      </c>
      <c r="P44" s="3">
        <v>71</v>
      </c>
      <c r="Q44" s="3">
        <v>42</v>
      </c>
      <c r="R44" s="3">
        <v>47</v>
      </c>
      <c r="S44" s="3">
        <v>61</v>
      </c>
      <c r="T44" s="3">
        <v>18</v>
      </c>
      <c r="U44" s="3">
        <v>13</v>
      </c>
      <c r="V44" s="3">
        <v>29</v>
      </c>
      <c r="W44" s="3">
        <v>27</v>
      </c>
      <c r="X44" s="3">
        <v>29</v>
      </c>
      <c r="Y44" s="3">
        <v>71</v>
      </c>
      <c r="Z44" s="3">
        <v>42</v>
      </c>
      <c r="AA44" s="3">
        <v>47</v>
      </c>
      <c r="AB44" s="3">
        <v>26</v>
      </c>
      <c r="AC44" s="3">
        <v>18</v>
      </c>
      <c r="AD44" s="3">
        <v>29</v>
      </c>
      <c r="AE44" s="3">
        <v>27</v>
      </c>
      <c r="AF44" s="3">
        <v>29</v>
      </c>
      <c r="AG44" s="3">
        <v>71</v>
      </c>
      <c r="AH44" s="3">
        <v>42</v>
      </c>
      <c r="AI44" s="3">
        <v>95</v>
      </c>
      <c r="AJ44" s="3">
        <v>108</v>
      </c>
      <c r="AK44" s="3">
        <v>66</v>
      </c>
      <c r="AL44" s="3">
        <v>35</v>
      </c>
      <c r="AM44" s="3">
        <v>25</v>
      </c>
      <c r="AN44" s="3">
        <v>20</v>
      </c>
      <c r="AO44" s="3">
        <v>94</v>
      </c>
      <c r="AP44" s="32">
        <v>4</v>
      </c>
      <c r="AQ44" s="20" t="s">
        <v>231</v>
      </c>
    </row>
    <row r="45" spans="1:43" ht="30" customHeight="1" x14ac:dyDescent="0.25">
      <c r="A45" s="16" t="s">
        <v>228</v>
      </c>
      <c r="B45" s="12" t="s">
        <v>222</v>
      </c>
      <c r="C45" s="16" t="s">
        <v>66</v>
      </c>
      <c r="D45" s="23">
        <v>42</v>
      </c>
      <c r="E45" s="25" t="s">
        <v>34</v>
      </c>
      <c r="F45" s="30">
        <v>58</v>
      </c>
      <c r="G45" s="11" t="s">
        <v>71</v>
      </c>
      <c r="H45" s="11" t="s">
        <v>72</v>
      </c>
      <c r="I45" s="3">
        <v>47</v>
      </c>
      <c r="J45" s="3">
        <v>60</v>
      </c>
      <c r="K45" s="3">
        <v>20</v>
      </c>
      <c r="L45" s="3">
        <v>15</v>
      </c>
      <c r="M45" s="3">
        <v>115</v>
      </c>
      <c r="N45" s="3">
        <v>109</v>
      </c>
      <c r="O45" s="3">
        <v>118</v>
      </c>
      <c r="P45" s="3">
        <v>70</v>
      </c>
      <c r="Q45" s="3">
        <v>43</v>
      </c>
      <c r="R45" s="3">
        <v>47</v>
      </c>
      <c r="S45" s="3">
        <v>61</v>
      </c>
      <c r="T45" s="3">
        <v>19</v>
      </c>
      <c r="U45" s="3">
        <v>13</v>
      </c>
      <c r="V45" s="3">
        <v>30</v>
      </c>
      <c r="W45" s="3">
        <v>28</v>
      </c>
      <c r="X45" s="3">
        <v>30</v>
      </c>
      <c r="Y45" s="3">
        <v>70</v>
      </c>
      <c r="Z45" s="3">
        <v>43</v>
      </c>
      <c r="AA45" s="3">
        <v>47</v>
      </c>
      <c r="AB45" s="3">
        <v>27</v>
      </c>
      <c r="AC45" s="3">
        <v>19</v>
      </c>
      <c r="AD45" s="3">
        <v>30</v>
      </c>
      <c r="AE45" s="3">
        <v>28</v>
      </c>
      <c r="AF45" s="3">
        <v>30</v>
      </c>
      <c r="AG45" s="3">
        <v>70</v>
      </c>
      <c r="AH45" s="3">
        <v>43</v>
      </c>
      <c r="AI45" s="3">
        <v>100</v>
      </c>
      <c r="AJ45" s="3">
        <v>116</v>
      </c>
      <c r="AK45" s="3">
        <v>74</v>
      </c>
      <c r="AL45" s="3">
        <v>36</v>
      </c>
      <c r="AM45" s="3">
        <v>26</v>
      </c>
      <c r="AN45" s="3">
        <v>22</v>
      </c>
      <c r="AO45" s="3">
        <v>97</v>
      </c>
      <c r="AP45" s="32">
        <v>4</v>
      </c>
      <c r="AQ45" s="20" t="s">
        <v>231</v>
      </c>
    </row>
    <row r="46" spans="1:43" ht="30" customHeight="1" x14ac:dyDescent="0.25">
      <c r="A46" s="16" t="s">
        <v>229</v>
      </c>
      <c r="B46" s="12" t="s">
        <v>223</v>
      </c>
      <c r="C46" s="16" t="s">
        <v>66</v>
      </c>
      <c r="D46" s="23">
        <v>41</v>
      </c>
      <c r="E46" s="25" t="s">
        <v>34</v>
      </c>
      <c r="F46" s="7">
        <v>56</v>
      </c>
      <c r="G46" s="11" t="s">
        <v>71</v>
      </c>
      <c r="H46" s="11" t="s">
        <v>72</v>
      </c>
      <c r="I46" s="3">
        <v>46</v>
      </c>
      <c r="J46" s="3">
        <v>58</v>
      </c>
      <c r="K46" s="3">
        <v>19</v>
      </c>
      <c r="L46" s="3">
        <v>14</v>
      </c>
      <c r="M46" s="3">
        <v>105</v>
      </c>
      <c r="N46" s="3">
        <v>102</v>
      </c>
      <c r="O46" s="3">
        <v>110</v>
      </c>
      <c r="P46" s="3">
        <v>70</v>
      </c>
      <c r="Q46" s="3">
        <v>42</v>
      </c>
      <c r="R46" s="3">
        <v>46</v>
      </c>
      <c r="S46" s="3">
        <v>59</v>
      </c>
      <c r="T46" s="3">
        <v>17</v>
      </c>
      <c r="U46" s="3">
        <v>13</v>
      </c>
      <c r="V46" s="3">
        <v>29</v>
      </c>
      <c r="W46" s="3">
        <v>27</v>
      </c>
      <c r="X46" s="3">
        <v>29</v>
      </c>
      <c r="Y46" s="3">
        <v>70</v>
      </c>
      <c r="Z46" s="3">
        <v>42</v>
      </c>
      <c r="AA46" s="3">
        <v>46</v>
      </c>
      <c r="AB46" s="3">
        <v>24</v>
      </c>
      <c r="AC46" s="3">
        <v>17</v>
      </c>
      <c r="AD46" s="3">
        <v>29</v>
      </c>
      <c r="AE46" s="3">
        <v>27</v>
      </c>
      <c r="AF46" s="3">
        <v>29</v>
      </c>
      <c r="AG46" s="3">
        <v>70</v>
      </c>
      <c r="AH46" s="3">
        <v>43</v>
      </c>
      <c r="AI46" s="3">
        <v>94</v>
      </c>
      <c r="AJ46" s="3">
        <v>106</v>
      </c>
      <c r="AK46" s="3">
        <v>68</v>
      </c>
      <c r="AL46" s="3">
        <v>35</v>
      </c>
      <c r="AM46" s="3">
        <v>25</v>
      </c>
      <c r="AN46" s="3">
        <v>22</v>
      </c>
      <c r="AO46" s="3">
        <v>93</v>
      </c>
      <c r="AP46" s="32">
        <v>4</v>
      </c>
      <c r="AQ46" s="20" t="s">
        <v>231</v>
      </c>
    </row>
    <row r="47" spans="1:43" ht="30" customHeight="1" x14ac:dyDescent="0.25">
      <c r="A47" s="16" t="s">
        <v>230</v>
      </c>
      <c r="B47" s="12" t="s">
        <v>224</v>
      </c>
      <c r="C47" s="16" t="s">
        <v>66</v>
      </c>
      <c r="D47" s="23">
        <v>42</v>
      </c>
      <c r="E47" s="25" t="s">
        <v>32</v>
      </c>
      <c r="F47" s="7">
        <v>56</v>
      </c>
      <c r="G47" s="11" t="s">
        <v>71</v>
      </c>
      <c r="H47" s="11" t="s">
        <v>72</v>
      </c>
      <c r="I47" s="3">
        <v>43</v>
      </c>
      <c r="J47" s="3">
        <v>61</v>
      </c>
      <c r="K47" s="3">
        <v>18</v>
      </c>
      <c r="L47" s="3">
        <v>14</v>
      </c>
      <c r="M47" s="3">
        <v>100</v>
      </c>
      <c r="N47" s="3">
        <v>94</v>
      </c>
      <c r="O47" s="3">
        <v>108</v>
      </c>
      <c r="P47" s="3">
        <v>74</v>
      </c>
      <c r="Q47" s="3">
        <v>40</v>
      </c>
      <c r="R47" s="3">
        <v>43</v>
      </c>
      <c r="S47" s="3">
        <v>62</v>
      </c>
      <c r="T47" s="3">
        <v>16</v>
      </c>
      <c r="U47" s="3">
        <v>12</v>
      </c>
      <c r="V47" s="3">
        <v>27</v>
      </c>
      <c r="W47" s="3">
        <v>24</v>
      </c>
      <c r="X47" s="3">
        <v>27</v>
      </c>
      <c r="Y47" s="3">
        <v>74</v>
      </c>
      <c r="Z47" s="3">
        <v>40</v>
      </c>
      <c r="AA47" s="3">
        <v>43</v>
      </c>
      <c r="AB47" s="3">
        <v>26</v>
      </c>
      <c r="AC47" s="3">
        <v>16</v>
      </c>
      <c r="AD47" s="3">
        <v>27</v>
      </c>
      <c r="AE47" s="3">
        <v>24</v>
      </c>
      <c r="AF47" s="3">
        <v>27</v>
      </c>
      <c r="AG47" s="3">
        <v>74</v>
      </c>
      <c r="AH47" s="3">
        <v>40</v>
      </c>
      <c r="AI47" s="3">
        <v>84</v>
      </c>
      <c r="AJ47" s="3">
        <v>106</v>
      </c>
      <c r="AK47" s="3">
        <v>70</v>
      </c>
      <c r="AL47" s="3">
        <v>33</v>
      </c>
      <c r="AM47" s="3">
        <v>24</v>
      </c>
      <c r="AN47" s="3">
        <v>20</v>
      </c>
      <c r="AO47" s="3">
        <v>100</v>
      </c>
      <c r="AP47" s="32">
        <v>4</v>
      </c>
      <c r="AQ47" s="20" t="s">
        <v>231</v>
      </c>
    </row>
    <row r="48" spans="1:43" ht="30" customHeight="1" x14ac:dyDescent="0.25">
      <c r="A48" s="16" t="s">
        <v>232</v>
      </c>
      <c r="B48" s="12" t="s">
        <v>233</v>
      </c>
      <c r="C48" s="16" t="s">
        <v>66</v>
      </c>
      <c r="D48" s="23">
        <v>45</v>
      </c>
      <c r="E48" s="25" t="s">
        <v>33</v>
      </c>
      <c r="F48" s="7">
        <v>57</v>
      </c>
      <c r="G48" s="11" t="s">
        <v>71</v>
      </c>
      <c r="H48" s="11" t="s">
        <v>72</v>
      </c>
      <c r="I48" s="3">
        <v>46</v>
      </c>
      <c r="J48" s="3">
        <v>65</v>
      </c>
      <c r="K48" s="3">
        <v>19</v>
      </c>
      <c r="L48" s="3">
        <v>14</v>
      </c>
      <c r="M48" s="3">
        <v>108</v>
      </c>
      <c r="N48" s="3">
        <v>108</v>
      </c>
      <c r="O48" s="3">
        <v>124</v>
      </c>
      <c r="P48" s="3">
        <v>78</v>
      </c>
      <c r="Q48" s="3">
        <v>42</v>
      </c>
      <c r="R48" s="3">
        <v>46</v>
      </c>
      <c r="S48" s="3">
        <v>66</v>
      </c>
      <c r="T48" s="3">
        <v>18</v>
      </c>
      <c r="U48" s="3">
        <v>13</v>
      </c>
      <c r="V48" s="3">
        <v>30</v>
      </c>
      <c r="W48" s="3">
        <v>29</v>
      </c>
      <c r="X48" s="3">
        <v>30</v>
      </c>
      <c r="Y48" s="3">
        <v>78</v>
      </c>
      <c r="Z48" s="3">
        <v>42</v>
      </c>
      <c r="AA48" s="3">
        <v>46</v>
      </c>
      <c r="AB48" s="3">
        <v>29</v>
      </c>
      <c r="AC48" s="3">
        <v>18</v>
      </c>
      <c r="AD48" s="3">
        <v>30</v>
      </c>
      <c r="AE48" s="3">
        <v>29</v>
      </c>
      <c r="AF48" s="3">
        <v>30</v>
      </c>
      <c r="AG48" s="3">
        <v>78</v>
      </c>
      <c r="AH48" s="3">
        <v>42</v>
      </c>
      <c r="AI48" s="3">
        <v>100</v>
      </c>
      <c r="AJ48" s="3">
        <v>121</v>
      </c>
      <c r="AK48" s="3">
        <v>73</v>
      </c>
      <c r="AL48" s="3">
        <v>37</v>
      </c>
      <c r="AM48" s="3">
        <v>28</v>
      </c>
      <c r="AN48" s="3">
        <v>22</v>
      </c>
      <c r="AO48" s="3">
        <v>102</v>
      </c>
      <c r="AP48" s="6">
        <v>4</v>
      </c>
      <c r="AQ48" s="20" t="s">
        <v>231</v>
      </c>
    </row>
    <row r="49" spans="1:1013" ht="30" customHeight="1" x14ac:dyDescent="0.25">
      <c r="A49" s="16" t="s">
        <v>235</v>
      </c>
      <c r="B49" s="12" t="s">
        <v>234</v>
      </c>
      <c r="C49" s="16" t="s">
        <v>66</v>
      </c>
      <c r="D49" s="23">
        <v>40</v>
      </c>
      <c r="E49" s="25" t="s">
        <v>32</v>
      </c>
      <c r="F49" s="7">
        <v>57</v>
      </c>
      <c r="G49" s="11" t="s">
        <v>71</v>
      </c>
      <c r="H49" s="11" t="s">
        <v>72</v>
      </c>
      <c r="I49" s="3">
        <v>45</v>
      </c>
      <c r="J49" s="3">
        <v>59</v>
      </c>
      <c r="K49" s="3">
        <v>18</v>
      </c>
      <c r="L49" s="3">
        <v>14</v>
      </c>
      <c r="M49" s="3">
        <v>100</v>
      </c>
      <c r="N49" s="3">
        <v>94</v>
      </c>
      <c r="O49" s="3">
        <v>102</v>
      </c>
      <c r="P49" s="3">
        <v>70</v>
      </c>
      <c r="Q49" s="3">
        <v>40</v>
      </c>
      <c r="R49" s="3">
        <v>45</v>
      </c>
      <c r="S49" s="3">
        <v>60</v>
      </c>
      <c r="T49" s="3">
        <v>16</v>
      </c>
      <c r="U49" s="3">
        <v>12</v>
      </c>
      <c r="V49" s="3">
        <v>27</v>
      </c>
      <c r="W49" s="3">
        <v>24</v>
      </c>
      <c r="X49" s="3">
        <v>27</v>
      </c>
      <c r="Y49" s="3">
        <v>70</v>
      </c>
      <c r="Z49" s="3">
        <v>40</v>
      </c>
      <c r="AA49" s="3">
        <v>45</v>
      </c>
      <c r="AB49" s="3">
        <v>24</v>
      </c>
      <c r="AC49" s="3">
        <v>16</v>
      </c>
      <c r="AD49" s="3">
        <v>27</v>
      </c>
      <c r="AE49" s="3">
        <v>24</v>
      </c>
      <c r="AF49" s="3">
        <v>27</v>
      </c>
      <c r="AG49" s="3">
        <v>70</v>
      </c>
      <c r="AH49" s="3">
        <v>40</v>
      </c>
      <c r="AI49" s="3">
        <v>84</v>
      </c>
      <c r="AJ49" s="3">
        <v>100</v>
      </c>
      <c r="AK49" s="3">
        <v>66</v>
      </c>
      <c r="AL49" s="3">
        <v>32</v>
      </c>
      <c r="AM49" s="3">
        <v>24</v>
      </c>
      <c r="AN49" s="3">
        <v>14</v>
      </c>
      <c r="AO49" s="3">
        <v>99</v>
      </c>
      <c r="AP49" s="6">
        <v>4</v>
      </c>
      <c r="AQ49" s="20" t="s">
        <v>231</v>
      </c>
    </row>
    <row r="50" spans="1:1013" ht="30" customHeight="1" x14ac:dyDescent="0.25">
      <c r="A50" s="16" t="s">
        <v>267</v>
      </c>
      <c r="B50" s="12" t="s">
        <v>263</v>
      </c>
      <c r="C50" s="16" t="s">
        <v>66</v>
      </c>
      <c r="D50" s="23">
        <v>40</v>
      </c>
      <c r="E50" s="25" t="s">
        <v>31</v>
      </c>
      <c r="F50" s="7">
        <v>55</v>
      </c>
      <c r="G50" s="11" t="s">
        <v>71</v>
      </c>
      <c r="H50" s="11" t="s">
        <v>72</v>
      </c>
      <c r="I50" s="3">
        <v>46</v>
      </c>
      <c r="J50" s="3">
        <v>54</v>
      </c>
      <c r="K50" s="3">
        <v>19</v>
      </c>
      <c r="L50" s="3">
        <v>14</v>
      </c>
      <c r="M50" s="3">
        <v>98</v>
      </c>
      <c r="N50" s="3">
        <v>93</v>
      </c>
      <c r="O50" s="3">
        <v>102</v>
      </c>
      <c r="P50" s="3">
        <v>68</v>
      </c>
      <c r="Q50" s="3">
        <v>40</v>
      </c>
      <c r="R50" s="3">
        <v>46</v>
      </c>
      <c r="S50" s="3">
        <v>55</v>
      </c>
      <c r="T50" s="3">
        <v>17</v>
      </c>
      <c r="U50" s="3">
        <v>13</v>
      </c>
      <c r="V50" s="3">
        <v>27</v>
      </c>
      <c r="W50" s="3">
        <v>25</v>
      </c>
      <c r="X50" s="3">
        <v>27</v>
      </c>
      <c r="Y50" s="3">
        <v>68</v>
      </c>
      <c r="Z50" s="3">
        <v>40</v>
      </c>
      <c r="AA50" s="3">
        <v>46</v>
      </c>
      <c r="AB50" s="3">
        <v>23</v>
      </c>
      <c r="AC50" s="3">
        <v>17</v>
      </c>
      <c r="AD50" s="3">
        <v>25</v>
      </c>
      <c r="AE50" s="3">
        <v>27</v>
      </c>
      <c r="AF50" s="3">
        <v>25</v>
      </c>
      <c r="AG50" s="3">
        <v>68</v>
      </c>
      <c r="AH50" s="3">
        <v>40</v>
      </c>
      <c r="AI50" s="3">
        <v>85</v>
      </c>
      <c r="AJ50" s="3">
        <v>100</v>
      </c>
      <c r="AK50" s="3">
        <v>66</v>
      </c>
      <c r="AL50" s="3">
        <v>33</v>
      </c>
      <c r="AM50" s="3">
        <v>24</v>
      </c>
      <c r="AN50" s="3">
        <v>19</v>
      </c>
      <c r="AO50" s="3">
        <v>92</v>
      </c>
      <c r="AP50" s="6" t="s">
        <v>271</v>
      </c>
      <c r="AQ50" s="20" t="s">
        <v>272</v>
      </c>
    </row>
    <row r="51" spans="1:1013" ht="30" customHeight="1" x14ac:dyDescent="0.25">
      <c r="A51" s="16" t="s">
        <v>268</v>
      </c>
      <c r="B51" s="12" t="s">
        <v>264</v>
      </c>
      <c r="C51" s="16" t="s">
        <v>66</v>
      </c>
      <c r="D51" s="23">
        <v>41</v>
      </c>
      <c r="E51" s="25" t="s">
        <v>32</v>
      </c>
      <c r="F51" s="7">
        <v>57</v>
      </c>
      <c r="G51" s="11" t="s">
        <v>71</v>
      </c>
      <c r="H51" s="11" t="s">
        <v>72</v>
      </c>
      <c r="I51" s="3">
        <v>48</v>
      </c>
      <c r="J51" s="3">
        <v>63</v>
      </c>
      <c r="K51" s="3">
        <v>20</v>
      </c>
      <c r="L51" s="3">
        <v>15</v>
      </c>
      <c r="M51" s="3">
        <v>115</v>
      </c>
      <c r="N51" s="3">
        <v>108</v>
      </c>
      <c r="O51" s="3">
        <v>123</v>
      </c>
      <c r="P51" s="3">
        <v>74</v>
      </c>
      <c r="Q51" s="3">
        <v>43</v>
      </c>
      <c r="R51" s="3">
        <v>48</v>
      </c>
      <c r="S51" s="3">
        <v>64</v>
      </c>
      <c r="T51" s="3">
        <v>19</v>
      </c>
      <c r="U51" s="3">
        <v>13</v>
      </c>
      <c r="V51" s="3">
        <v>30</v>
      </c>
      <c r="W51" s="3">
        <v>28</v>
      </c>
      <c r="X51" s="3">
        <v>30</v>
      </c>
      <c r="Y51" s="3">
        <v>74</v>
      </c>
      <c r="Z51" s="3">
        <v>43</v>
      </c>
      <c r="AA51" s="3">
        <v>48</v>
      </c>
      <c r="AB51" s="3">
        <v>27</v>
      </c>
      <c r="AC51" s="3">
        <v>19</v>
      </c>
      <c r="AD51" s="3">
        <v>30</v>
      </c>
      <c r="AE51" s="3">
        <v>28</v>
      </c>
      <c r="AF51" s="3">
        <v>30</v>
      </c>
      <c r="AG51" s="3">
        <v>74</v>
      </c>
      <c r="AH51" s="39">
        <v>43</v>
      </c>
      <c r="AI51" s="3">
        <v>99</v>
      </c>
      <c r="AJ51" s="3">
        <v>120</v>
      </c>
      <c r="AK51" s="3">
        <v>74</v>
      </c>
      <c r="AL51" s="3">
        <v>36</v>
      </c>
      <c r="AM51" s="3">
        <v>26</v>
      </c>
      <c r="AN51" s="3">
        <v>21</v>
      </c>
      <c r="AO51" s="3">
        <v>100</v>
      </c>
      <c r="AP51" s="6" t="s">
        <v>271</v>
      </c>
      <c r="AQ51" s="20" t="s">
        <v>272</v>
      </c>
    </row>
    <row r="52" spans="1:1013" ht="30" customHeight="1" x14ac:dyDescent="0.25">
      <c r="A52" s="16" t="s">
        <v>269</v>
      </c>
      <c r="B52" s="12" t="s">
        <v>265</v>
      </c>
      <c r="C52" s="16" t="s">
        <v>66</v>
      </c>
      <c r="D52" s="23">
        <v>43</v>
      </c>
      <c r="E52" s="25" t="s">
        <v>32</v>
      </c>
      <c r="F52" s="7">
        <v>57</v>
      </c>
      <c r="G52" s="11" t="s">
        <v>71</v>
      </c>
      <c r="H52" s="11" t="s">
        <v>72</v>
      </c>
      <c r="I52" s="3">
        <v>43</v>
      </c>
      <c r="J52" s="3">
        <v>59</v>
      </c>
      <c r="K52" s="3">
        <v>20</v>
      </c>
      <c r="L52" s="3">
        <v>16</v>
      </c>
      <c r="M52" s="3">
        <v>112</v>
      </c>
      <c r="N52" s="3">
        <v>107</v>
      </c>
      <c r="O52" s="3">
        <v>115</v>
      </c>
      <c r="P52" s="3">
        <v>73</v>
      </c>
      <c r="Q52" s="3">
        <v>42</v>
      </c>
      <c r="R52" s="11">
        <v>43</v>
      </c>
      <c r="S52" s="11">
        <v>60</v>
      </c>
      <c r="T52" s="11">
        <v>18</v>
      </c>
      <c r="U52" s="11">
        <v>14</v>
      </c>
      <c r="V52" s="11">
        <v>31</v>
      </c>
      <c r="W52" s="11">
        <v>30</v>
      </c>
      <c r="X52" s="11">
        <v>31</v>
      </c>
      <c r="Y52" s="11">
        <v>73</v>
      </c>
      <c r="Z52" s="11">
        <v>42</v>
      </c>
      <c r="AA52" s="3">
        <v>43</v>
      </c>
      <c r="AB52" s="3">
        <v>25</v>
      </c>
      <c r="AC52" s="3">
        <v>20</v>
      </c>
      <c r="AD52" s="3">
        <v>31</v>
      </c>
      <c r="AE52" s="3">
        <v>30</v>
      </c>
      <c r="AF52" s="3">
        <v>31</v>
      </c>
      <c r="AG52" s="3">
        <v>73</v>
      </c>
      <c r="AH52" s="3">
        <v>42</v>
      </c>
      <c r="AI52" s="3">
        <v>94</v>
      </c>
      <c r="AJ52" s="3">
        <v>110</v>
      </c>
      <c r="AK52" s="3">
        <v>71</v>
      </c>
      <c r="AL52" s="3">
        <v>35</v>
      </c>
      <c r="AM52" s="3">
        <v>26</v>
      </c>
      <c r="AN52" s="3">
        <v>20</v>
      </c>
      <c r="AO52" s="3">
        <v>94</v>
      </c>
      <c r="AP52" s="2">
        <v>4</v>
      </c>
      <c r="AQ52" s="20" t="s">
        <v>272</v>
      </c>
      <c r="AS52" s="4"/>
      <c r="AT52" s="4"/>
    </row>
    <row r="53" spans="1:1013" ht="30" customHeight="1" x14ac:dyDescent="0.25">
      <c r="A53" s="16" t="s">
        <v>270</v>
      </c>
      <c r="B53" s="12" t="s">
        <v>266</v>
      </c>
      <c r="C53" s="16" t="s">
        <v>66</v>
      </c>
      <c r="D53" s="29">
        <v>41</v>
      </c>
      <c r="E53" s="23" t="s">
        <v>34</v>
      </c>
      <c r="F53" s="23">
        <v>57</v>
      </c>
      <c r="G53" s="11" t="s">
        <v>71</v>
      </c>
      <c r="H53" s="11" t="s">
        <v>72</v>
      </c>
      <c r="I53" s="11">
        <v>44</v>
      </c>
      <c r="J53" s="11">
        <v>63</v>
      </c>
      <c r="K53" s="11">
        <v>19</v>
      </c>
      <c r="L53" s="11">
        <v>15</v>
      </c>
      <c r="M53" s="11">
        <v>110</v>
      </c>
      <c r="N53" s="11">
        <v>101</v>
      </c>
      <c r="O53" s="11">
        <v>121</v>
      </c>
      <c r="P53" s="11">
        <v>74</v>
      </c>
      <c r="Q53" s="11">
        <v>41</v>
      </c>
      <c r="R53" s="11">
        <v>44</v>
      </c>
      <c r="S53" s="11">
        <v>64</v>
      </c>
      <c r="T53" s="11">
        <v>17</v>
      </c>
      <c r="U53" s="11">
        <v>13</v>
      </c>
      <c r="V53" s="11">
        <v>28</v>
      </c>
      <c r="W53" s="11">
        <v>27</v>
      </c>
      <c r="X53" s="11">
        <v>28</v>
      </c>
      <c r="Y53" s="11">
        <v>74</v>
      </c>
      <c r="Z53" s="11">
        <v>41</v>
      </c>
      <c r="AA53" s="11">
        <v>44</v>
      </c>
      <c r="AB53" s="11">
        <v>26</v>
      </c>
      <c r="AC53" s="11">
        <v>19</v>
      </c>
      <c r="AD53" s="11">
        <v>28</v>
      </c>
      <c r="AE53" s="11">
        <v>27</v>
      </c>
      <c r="AF53" s="11">
        <v>28</v>
      </c>
      <c r="AG53" s="11">
        <v>74</v>
      </c>
      <c r="AH53" s="11">
        <v>41</v>
      </c>
      <c r="AI53" s="11">
        <v>95</v>
      </c>
      <c r="AJ53" s="11">
        <v>115</v>
      </c>
      <c r="AK53" s="11">
        <v>71</v>
      </c>
      <c r="AL53" s="11">
        <v>36</v>
      </c>
      <c r="AM53" s="11">
        <v>26</v>
      </c>
      <c r="AN53" s="11">
        <v>20</v>
      </c>
      <c r="AO53" s="6">
        <v>95</v>
      </c>
      <c r="AP53" s="2">
        <v>4</v>
      </c>
      <c r="AQ53" s="20" t="s">
        <v>272</v>
      </c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4"/>
      <c r="EI53" s="4"/>
      <c r="EJ53" s="4"/>
      <c r="EK53" s="4"/>
      <c r="EL53" s="4"/>
      <c r="EM53" s="4"/>
      <c r="EN53" s="4"/>
      <c r="EO53" s="4"/>
      <c r="EP53" s="4"/>
      <c r="EQ53" s="4"/>
      <c r="ER53" s="4"/>
      <c r="ES53" s="4"/>
      <c r="ET53" s="4"/>
      <c r="EU53" s="4"/>
      <c r="EV53" s="4"/>
      <c r="EW53" s="4"/>
      <c r="EX53" s="4"/>
      <c r="EY53" s="4"/>
      <c r="EZ53" s="4"/>
      <c r="FA53" s="4"/>
      <c r="FB53" s="4"/>
      <c r="FC53" s="4"/>
      <c r="FD53" s="4"/>
      <c r="FE53" s="4"/>
      <c r="FF53" s="4"/>
      <c r="FG53" s="4"/>
      <c r="FH53" s="4"/>
      <c r="FI53" s="4"/>
      <c r="FJ53" s="4"/>
      <c r="FK53" s="4"/>
      <c r="FL53" s="4"/>
      <c r="FM53" s="4"/>
      <c r="FN53" s="4"/>
      <c r="FO53" s="4"/>
      <c r="FP53" s="4"/>
      <c r="FQ53" s="4"/>
      <c r="FR53" s="4"/>
      <c r="FS53" s="4"/>
      <c r="FT53" s="4"/>
      <c r="FU53" s="4"/>
      <c r="FV53" s="4"/>
      <c r="FW53" s="4"/>
      <c r="FX53" s="4"/>
      <c r="FY53" s="4"/>
      <c r="FZ53" s="4"/>
      <c r="GA53" s="4"/>
      <c r="GB53" s="4"/>
      <c r="GC53" s="4"/>
      <c r="GD53" s="4"/>
      <c r="GE53" s="4"/>
      <c r="GF53" s="4"/>
      <c r="GG53" s="4"/>
      <c r="GH53" s="4"/>
      <c r="GI53" s="4"/>
      <c r="GJ53" s="4"/>
      <c r="GK53" s="4"/>
      <c r="GL53" s="4"/>
      <c r="GM53" s="4"/>
      <c r="GN53" s="4"/>
      <c r="GO53" s="4"/>
      <c r="GP53" s="4"/>
      <c r="GQ53" s="4"/>
      <c r="GR53" s="4"/>
      <c r="GS53" s="4"/>
      <c r="GT53" s="4"/>
      <c r="GU53" s="4"/>
      <c r="GV53" s="4"/>
      <c r="GW53" s="4"/>
      <c r="GX53" s="4"/>
      <c r="GY53" s="4"/>
      <c r="GZ53" s="4"/>
      <c r="HA53" s="4"/>
      <c r="HB53" s="4"/>
      <c r="HC53" s="4"/>
      <c r="HD53" s="4"/>
      <c r="HE53" s="4"/>
      <c r="HF53" s="4"/>
      <c r="HG53" s="4"/>
      <c r="HH53" s="4"/>
      <c r="HI53" s="4"/>
      <c r="HJ53" s="4"/>
      <c r="HK53" s="4"/>
      <c r="HL53" s="4"/>
      <c r="HM53" s="4"/>
      <c r="HN53" s="4"/>
      <c r="HO53" s="4"/>
      <c r="HP53" s="4"/>
      <c r="HQ53" s="4"/>
      <c r="HR53" s="4"/>
      <c r="HS53" s="4"/>
      <c r="HT53" s="4"/>
      <c r="HU53" s="4"/>
      <c r="HV53" s="4"/>
      <c r="HW53" s="4"/>
      <c r="HX53" s="4"/>
      <c r="HY53" s="4"/>
      <c r="HZ53" s="4"/>
      <c r="IA53" s="4"/>
      <c r="IB53" s="4"/>
      <c r="IC53" s="4"/>
      <c r="ID53" s="4"/>
      <c r="IE53" s="4"/>
      <c r="IF53" s="4"/>
      <c r="IG53" s="4"/>
      <c r="IH53" s="4"/>
      <c r="II53" s="4"/>
      <c r="IJ53" s="4"/>
      <c r="IK53" s="4"/>
      <c r="IL53" s="4"/>
      <c r="IM53" s="4"/>
      <c r="IN53" s="4"/>
      <c r="IO53" s="4"/>
      <c r="IP53" s="4"/>
      <c r="IQ53" s="4"/>
      <c r="IR53" s="4"/>
      <c r="IS53" s="4"/>
      <c r="IT53" s="4"/>
      <c r="IU53" s="4"/>
      <c r="IV53" s="4"/>
      <c r="IW53" s="4"/>
      <c r="IX53" s="4"/>
      <c r="IY53" s="4"/>
      <c r="IZ53" s="4"/>
      <c r="JA53" s="4"/>
      <c r="JB53" s="4"/>
      <c r="JC53" s="4"/>
      <c r="JD53" s="4"/>
      <c r="JE53" s="4"/>
      <c r="JF53" s="4"/>
      <c r="JG53" s="4"/>
      <c r="JH53" s="4"/>
      <c r="JI53" s="4"/>
      <c r="JJ53" s="4"/>
      <c r="JK53" s="4"/>
      <c r="JL53" s="4"/>
      <c r="JM53" s="4"/>
      <c r="JN53" s="4"/>
      <c r="JO53" s="4"/>
      <c r="JP53" s="4"/>
      <c r="JQ53" s="4"/>
      <c r="JR53" s="4"/>
      <c r="JS53" s="4"/>
      <c r="JT53" s="4"/>
      <c r="JU53" s="4"/>
      <c r="JV53" s="4"/>
      <c r="JW53" s="4"/>
      <c r="JX53" s="4"/>
      <c r="JY53" s="4"/>
      <c r="JZ53" s="4"/>
      <c r="KA53" s="4"/>
      <c r="KB53" s="4"/>
      <c r="KC53" s="4"/>
      <c r="KD53" s="4"/>
      <c r="KE53" s="4"/>
      <c r="KF53" s="4"/>
      <c r="KG53" s="4"/>
      <c r="KH53" s="4"/>
      <c r="KI53" s="4"/>
      <c r="KJ53" s="4"/>
      <c r="KK53" s="4"/>
      <c r="KL53" s="4"/>
      <c r="KM53" s="4"/>
      <c r="KN53" s="4"/>
      <c r="KO53" s="4"/>
      <c r="KP53" s="4"/>
      <c r="KQ53" s="4"/>
      <c r="KR53" s="4"/>
      <c r="KS53" s="4"/>
      <c r="KT53" s="4"/>
      <c r="KU53" s="4"/>
      <c r="KV53" s="4"/>
      <c r="KW53" s="4"/>
      <c r="KX53" s="4"/>
      <c r="KY53" s="4"/>
      <c r="KZ53" s="4"/>
      <c r="LA53" s="4"/>
      <c r="LB53" s="4"/>
      <c r="LC53" s="4"/>
      <c r="LD53" s="4"/>
      <c r="LE53" s="4"/>
      <c r="LF53" s="4"/>
      <c r="LG53" s="4"/>
      <c r="LH53" s="4"/>
      <c r="LI53" s="4"/>
      <c r="LJ53" s="4"/>
      <c r="LK53" s="4"/>
      <c r="LL53" s="4"/>
      <c r="LM53" s="4"/>
      <c r="LN53" s="4"/>
      <c r="LO53" s="4"/>
      <c r="LP53" s="4"/>
      <c r="LQ53" s="4"/>
      <c r="LR53" s="4"/>
      <c r="LS53" s="4"/>
      <c r="LT53" s="4"/>
      <c r="LU53" s="4"/>
      <c r="LV53" s="4"/>
      <c r="LW53" s="4"/>
      <c r="LX53" s="4"/>
      <c r="LY53" s="4"/>
      <c r="LZ53" s="4"/>
      <c r="MA53" s="4"/>
      <c r="MB53" s="4"/>
      <c r="MC53" s="4"/>
      <c r="MD53" s="4"/>
      <c r="ME53" s="4"/>
      <c r="MF53" s="4"/>
      <c r="MG53" s="4"/>
      <c r="MH53" s="4"/>
      <c r="MI53" s="4"/>
      <c r="MJ53" s="4"/>
      <c r="MK53" s="4"/>
      <c r="ML53" s="4"/>
      <c r="MM53" s="4"/>
      <c r="MN53" s="4"/>
      <c r="MO53" s="4"/>
      <c r="MP53" s="4"/>
      <c r="MQ53" s="4"/>
      <c r="MR53" s="4"/>
      <c r="MS53" s="4"/>
      <c r="MT53" s="4"/>
      <c r="MU53" s="4"/>
      <c r="MV53" s="4"/>
      <c r="MW53" s="4"/>
      <c r="MX53" s="4"/>
      <c r="MY53" s="4"/>
      <c r="MZ53" s="4"/>
      <c r="NA53" s="4"/>
      <c r="NB53" s="4"/>
      <c r="NC53" s="4"/>
      <c r="ND53" s="4"/>
      <c r="NE53" s="4"/>
      <c r="NF53" s="4"/>
      <c r="NG53" s="4"/>
      <c r="NH53" s="4"/>
      <c r="NI53" s="4"/>
      <c r="NJ53" s="4"/>
      <c r="NK53" s="4"/>
      <c r="NL53" s="4"/>
      <c r="NM53" s="4"/>
      <c r="NN53" s="4"/>
      <c r="NO53" s="4"/>
      <c r="NP53" s="4"/>
      <c r="NQ53" s="4"/>
      <c r="NR53" s="4"/>
      <c r="NS53" s="4"/>
      <c r="NT53" s="4"/>
      <c r="NU53" s="4"/>
      <c r="NV53" s="4"/>
      <c r="NW53" s="4"/>
      <c r="NX53" s="4"/>
      <c r="NY53" s="4"/>
      <c r="NZ53" s="4"/>
      <c r="OA53" s="4"/>
      <c r="OB53" s="4"/>
      <c r="OC53" s="4"/>
      <c r="OD53" s="4"/>
      <c r="OE53" s="4"/>
      <c r="OF53" s="4"/>
      <c r="OG53" s="4"/>
      <c r="OH53" s="4"/>
      <c r="OI53" s="4"/>
      <c r="OJ53" s="4"/>
      <c r="OK53" s="4"/>
      <c r="OL53" s="4"/>
      <c r="OM53" s="4"/>
      <c r="ON53" s="4"/>
      <c r="OO53" s="4"/>
      <c r="OP53" s="4"/>
      <c r="OQ53" s="4"/>
      <c r="OR53" s="4"/>
      <c r="OS53" s="4"/>
      <c r="OT53" s="4"/>
      <c r="OU53" s="4"/>
      <c r="OV53" s="4"/>
      <c r="OW53" s="4"/>
      <c r="OX53" s="4"/>
      <c r="OY53" s="4"/>
      <c r="OZ53" s="4"/>
      <c r="PA53" s="4"/>
      <c r="PB53" s="4"/>
      <c r="PC53" s="4"/>
      <c r="PD53" s="4"/>
      <c r="PE53" s="4"/>
      <c r="PF53" s="4"/>
      <c r="PG53" s="4"/>
      <c r="PH53" s="4"/>
      <c r="PI53" s="4"/>
      <c r="PJ53" s="4"/>
      <c r="PK53" s="4"/>
      <c r="PL53" s="4"/>
      <c r="PM53" s="4"/>
      <c r="PN53" s="4"/>
      <c r="PO53" s="4"/>
      <c r="PP53" s="4"/>
      <c r="PQ53" s="4"/>
      <c r="PR53" s="4"/>
      <c r="PS53" s="4"/>
      <c r="PT53" s="4"/>
      <c r="PU53" s="4"/>
      <c r="PV53" s="4"/>
      <c r="PW53" s="4"/>
      <c r="PX53" s="4"/>
      <c r="PY53" s="4"/>
      <c r="PZ53" s="4"/>
      <c r="QA53" s="4"/>
      <c r="QB53" s="4"/>
      <c r="QC53" s="4"/>
      <c r="QD53" s="4"/>
      <c r="QE53" s="4"/>
      <c r="QF53" s="4"/>
      <c r="QG53" s="4"/>
      <c r="QH53" s="4"/>
      <c r="QI53" s="4"/>
      <c r="QJ53" s="4"/>
      <c r="QK53" s="4"/>
      <c r="QL53" s="4"/>
      <c r="QM53" s="4"/>
      <c r="QN53" s="4"/>
      <c r="QO53" s="4"/>
      <c r="QP53" s="4"/>
      <c r="QQ53" s="4"/>
      <c r="QR53" s="4"/>
      <c r="QS53" s="4"/>
      <c r="QT53" s="4"/>
      <c r="QU53" s="4"/>
      <c r="QV53" s="4"/>
      <c r="QW53" s="4"/>
      <c r="QX53" s="4"/>
      <c r="QY53" s="4"/>
      <c r="QZ53" s="4"/>
      <c r="RA53" s="4"/>
      <c r="RB53" s="4"/>
      <c r="RC53" s="4"/>
      <c r="RD53" s="4"/>
      <c r="RE53" s="4"/>
      <c r="RF53" s="4"/>
      <c r="RG53" s="4"/>
      <c r="RH53" s="4"/>
      <c r="RI53" s="4"/>
      <c r="RJ53" s="4"/>
      <c r="RK53" s="4"/>
      <c r="RL53" s="4"/>
      <c r="RM53" s="4"/>
      <c r="RN53" s="4"/>
      <c r="RO53" s="4"/>
      <c r="RP53" s="4"/>
      <c r="RQ53" s="4"/>
      <c r="RR53" s="4"/>
      <c r="RS53" s="4"/>
      <c r="RT53" s="4"/>
      <c r="RU53" s="4"/>
      <c r="RV53" s="4"/>
      <c r="RW53" s="4"/>
      <c r="RX53" s="4"/>
      <c r="RY53" s="4"/>
      <c r="RZ53" s="4"/>
      <c r="SA53" s="4"/>
      <c r="SB53" s="4"/>
      <c r="SC53" s="4"/>
      <c r="SD53" s="4"/>
      <c r="SE53" s="4"/>
      <c r="SF53" s="4"/>
      <c r="SG53" s="4"/>
      <c r="SH53" s="4"/>
      <c r="SI53" s="4"/>
      <c r="SJ53" s="4"/>
      <c r="SK53" s="4"/>
      <c r="SL53" s="4"/>
      <c r="SM53" s="4"/>
      <c r="SN53" s="4"/>
      <c r="SO53" s="4"/>
      <c r="SP53" s="4"/>
      <c r="SQ53" s="4"/>
      <c r="SR53" s="4"/>
      <c r="SS53" s="4"/>
      <c r="ST53" s="4"/>
      <c r="SU53" s="4"/>
      <c r="SV53" s="4"/>
      <c r="SW53" s="4"/>
      <c r="SX53" s="4"/>
      <c r="SY53" s="4"/>
      <c r="SZ53" s="4"/>
      <c r="TA53" s="4"/>
      <c r="TB53" s="4"/>
      <c r="TC53" s="4"/>
      <c r="TD53" s="4"/>
      <c r="TE53" s="4"/>
      <c r="TF53" s="4"/>
      <c r="TG53" s="4"/>
      <c r="TH53" s="4"/>
      <c r="TI53" s="4"/>
      <c r="TJ53" s="4"/>
      <c r="TK53" s="4"/>
      <c r="TL53" s="4"/>
      <c r="TM53" s="4"/>
      <c r="TN53" s="4"/>
      <c r="TO53" s="4"/>
      <c r="TP53" s="4"/>
      <c r="TQ53" s="4"/>
      <c r="TR53" s="4"/>
      <c r="TS53" s="4"/>
      <c r="TT53" s="4"/>
      <c r="TU53" s="4"/>
      <c r="TV53" s="4"/>
      <c r="TW53" s="4"/>
      <c r="TX53" s="4"/>
      <c r="TY53" s="4"/>
      <c r="TZ53" s="4"/>
      <c r="UA53" s="4"/>
      <c r="UB53" s="4"/>
      <c r="UC53" s="4"/>
      <c r="UD53" s="4"/>
      <c r="UE53" s="4"/>
      <c r="UF53" s="4"/>
      <c r="UG53" s="4"/>
      <c r="UH53" s="4"/>
      <c r="UI53" s="4"/>
      <c r="UJ53" s="4"/>
      <c r="UK53" s="4"/>
      <c r="UL53" s="4"/>
      <c r="UM53" s="4"/>
      <c r="UN53" s="4"/>
      <c r="UO53" s="4"/>
      <c r="UP53" s="4"/>
      <c r="UQ53" s="4"/>
      <c r="UR53" s="4"/>
      <c r="US53" s="4"/>
      <c r="UT53" s="4"/>
      <c r="UU53" s="4"/>
      <c r="UV53" s="4"/>
      <c r="UW53" s="4"/>
      <c r="UX53" s="4"/>
      <c r="UY53" s="4"/>
      <c r="UZ53" s="4"/>
      <c r="VA53" s="4"/>
      <c r="VB53" s="4"/>
      <c r="VC53" s="4"/>
      <c r="VD53" s="4"/>
      <c r="VE53" s="4"/>
      <c r="VF53" s="4"/>
      <c r="VG53" s="4"/>
      <c r="VH53" s="4"/>
      <c r="VI53" s="4"/>
      <c r="VJ53" s="4"/>
      <c r="VK53" s="4"/>
      <c r="VL53" s="4"/>
      <c r="VM53" s="4"/>
      <c r="VN53" s="4"/>
      <c r="VO53" s="4"/>
      <c r="VP53" s="4"/>
      <c r="VQ53" s="4"/>
      <c r="VR53" s="4"/>
      <c r="VS53" s="4"/>
      <c r="VT53" s="4"/>
      <c r="VU53" s="4"/>
      <c r="VV53" s="4"/>
      <c r="VW53" s="4"/>
      <c r="VX53" s="4"/>
      <c r="VY53" s="4"/>
      <c r="VZ53" s="4"/>
      <c r="WA53" s="4"/>
      <c r="WB53" s="4"/>
      <c r="WC53" s="4"/>
      <c r="WD53" s="4"/>
      <c r="WE53" s="4"/>
      <c r="WF53" s="4"/>
      <c r="WG53" s="4"/>
      <c r="WH53" s="4"/>
      <c r="WI53" s="4"/>
      <c r="WJ53" s="4"/>
      <c r="WK53" s="4"/>
      <c r="WL53" s="4"/>
      <c r="WM53" s="4"/>
      <c r="WN53" s="4"/>
      <c r="WO53" s="4"/>
      <c r="WP53" s="4"/>
      <c r="WQ53" s="4"/>
      <c r="WR53" s="4"/>
      <c r="WS53" s="4"/>
      <c r="WT53" s="4"/>
      <c r="WU53" s="4"/>
      <c r="WV53" s="4"/>
      <c r="WW53" s="4"/>
      <c r="WX53" s="4"/>
      <c r="WY53" s="4"/>
      <c r="WZ53" s="4"/>
      <c r="XA53" s="4"/>
      <c r="XB53" s="4"/>
      <c r="XC53" s="4"/>
      <c r="XD53" s="4"/>
      <c r="XE53" s="4"/>
      <c r="XF53" s="4"/>
      <c r="XG53" s="4"/>
      <c r="XH53" s="4"/>
      <c r="XI53" s="4"/>
      <c r="XJ53" s="4"/>
      <c r="XK53" s="4"/>
      <c r="XL53" s="4"/>
      <c r="XM53" s="4"/>
      <c r="XN53" s="4"/>
      <c r="XO53" s="4"/>
      <c r="XP53" s="4"/>
      <c r="XQ53" s="4"/>
      <c r="XR53" s="4"/>
      <c r="XS53" s="4"/>
      <c r="XT53" s="4"/>
      <c r="XU53" s="4"/>
      <c r="XV53" s="4"/>
      <c r="XW53" s="4"/>
      <c r="XX53" s="4"/>
      <c r="XY53" s="4"/>
      <c r="XZ53" s="4"/>
      <c r="YA53" s="4"/>
      <c r="YB53" s="4"/>
      <c r="YC53" s="4"/>
      <c r="YD53" s="4"/>
      <c r="YE53" s="4"/>
      <c r="YF53" s="4"/>
      <c r="YG53" s="4"/>
      <c r="YH53" s="4"/>
      <c r="YI53" s="4"/>
      <c r="YJ53" s="4"/>
      <c r="YK53" s="4"/>
      <c r="YL53" s="4"/>
      <c r="YM53" s="4"/>
      <c r="YN53" s="4"/>
      <c r="YO53" s="4"/>
      <c r="YP53" s="4"/>
      <c r="YQ53" s="4"/>
      <c r="YR53" s="4"/>
      <c r="YS53" s="4"/>
      <c r="YT53" s="4"/>
      <c r="YU53" s="4"/>
      <c r="YV53" s="4"/>
      <c r="YW53" s="4"/>
      <c r="YX53" s="4"/>
      <c r="YY53" s="4"/>
      <c r="YZ53" s="4"/>
      <c r="ZA53" s="4"/>
      <c r="ZB53" s="4"/>
      <c r="ZC53" s="4"/>
      <c r="ZD53" s="4"/>
      <c r="ZE53" s="4"/>
      <c r="ZF53" s="4"/>
      <c r="ZG53" s="4"/>
      <c r="ZH53" s="4"/>
      <c r="ZI53" s="4"/>
      <c r="ZJ53" s="4"/>
      <c r="ZK53" s="4"/>
      <c r="ZL53" s="4"/>
      <c r="ZM53" s="4"/>
      <c r="ZN53" s="4"/>
      <c r="ZO53" s="4"/>
      <c r="ZP53" s="4"/>
      <c r="ZQ53" s="4"/>
      <c r="ZR53" s="4"/>
      <c r="ZS53" s="4"/>
      <c r="ZT53" s="4"/>
      <c r="ZU53" s="4"/>
      <c r="ZV53" s="4"/>
      <c r="ZW53" s="4"/>
      <c r="ZX53" s="4"/>
      <c r="ZY53" s="4"/>
      <c r="ZZ53" s="4"/>
      <c r="AAA53" s="4"/>
      <c r="AAB53" s="4"/>
      <c r="AAC53" s="4"/>
      <c r="AAD53" s="4"/>
      <c r="AAE53" s="4"/>
      <c r="AAF53" s="4"/>
      <c r="AAG53" s="4"/>
      <c r="AAH53" s="4"/>
      <c r="AAI53" s="4"/>
      <c r="AAJ53" s="4"/>
      <c r="AAK53" s="4"/>
      <c r="AAL53" s="4"/>
      <c r="AAM53" s="4"/>
      <c r="AAN53" s="4"/>
      <c r="AAO53" s="4"/>
      <c r="AAP53" s="4"/>
      <c r="AAQ53" s="4"/>
      <c r="AAR53" s="4"/>
      <c r="AAS53" s="4"/>
      <c r="AAT53" s="4"/>
      <c r="AAU53" s="4"/>
      <c r="AAV53" s="4"/>
      <c r="AAW53" s="4"/>
      <c r="AAX53" s="4"/>
      <c r="AAY53" s="4"/>
      <c r="AAZ53" s="4"/>
      <c r="ABA53" s="4"/>
      <c r="ABB53" s="4"/>
      <c r="ABC53" s="4"/>
      <c r="ABD53" s="4"/>
      <c r="ABE53" s="4"/>
      <c r="ABF53" s="4"/>
      <c r="ABG53" s="4"/>
      <c r="ABH53" s="4"/>
      <c r="ABI53" s="4"/>
      <c r="ABJ53" s="4"/>
      <c r="ABK53" s="4"/>
      <c r="ABL53" s="4"/>
      <c r="ABM53" s="4"/>
      <c r="ABN53" s="4"/>
      <c r="ABO53" s="4"/>
      <c r="ABP53" s="4"/>
      <c r="ABQ53" s="4"/>
      <c r="ABR53" s="4"/>
      <c r="ABS53" s="4"/>
      <c r="ABT53" s="4"/>
      <c r="ABU53" s="4"/>
      <c r="ABV53" s="4"/>
      <c r="ABW53" s="4"/>
      <c r="ABX53" s="4"/>
      <c r="ABY53" s="4"/>
      <c r="ABZ53" s="4"/>
      <c r="ACA53" s="4"/>
      <c r="ACB53" s="4"/>
      <c r="ACC53" s="4"/>
      <c r="ACD53" s="4"/>
      <c r="ACE53" s="4"/>
      <c r="ACF53" s="4"/>
      <c r="ACG53" s="4"/>
      <c r="ACH53" s="4"/>
      <c r="ACI53" s="4"/>
      <c r="ACJ53" s="4"/>
      <c r="ACK53" s="4"/>
      <c r="ACL53" s="4"/>
      <c r="ACM53" s="4"/>
      <c r="ACN53" s="4"/>
      <c r="ACO53" s="4"/>
      <c r="ACP53" s="4"/>
      <c r="ACQ53" s="4"/>
      <c r="ACR53" s="4"/>
      <c r="ACS53" s="4"/>
      <c r="ACT53" s="4"/>
      <c r="ACU53" s="4"/>
      <c r="ACV53" s="4"/>
      <c r="ACW53" s="4"/>
      <c r="ACX53" s="4"/>
      <c r="ACY53" s="4"/>
      <c r="ACZ53" s="4"/>
      <c r="ADA53" s="4"/>
      <c r="ADB53" s="4"/>
      <c r="ADC53" s="4"/>
      <c r="ADD53" s="4"/>
      <c r="ADE53" s="4"/>
      <c r="ADF53" s="4"/>
      <c r="ADG53" s="4"/>
      <c r="ADH53" s="4"/>
      <c r="ADI53" s="4"/>
      <c r="ADJ53" s="4"/>
      <c r="ADK53" s="4"/>
      <c r="ADL53" s="4"/>
      <c r="ADM53" s="4"/>
      <c r="ADN53" s="4"/>
      <c r="ADO53" s="4"/>
      <c r="ADP53" s="4"/>
      <c r="ADQ53" s="4"/>
      <c r="ADR53" s="4"/>
      <c r="ADS53" s="4"/>
      <c r="ADT53" s="4"/>
      <c r="ADU53" s="4"/>
      <c r="ADV53" s="4"/>
      <c r="ADW53" s="4"/>
      <c r="ADX53" s="4"/>
      <c r="ADY53" s="4"/>
      <c r="ADZ53" s="4"/>
      <c r="AEA53" s="4"/>
      <c r="AEB53" s="4"/>
      <c r="AEC53" s="4"/>
      <c r="AED53" s="4"/>
      <c r="AEE53" s="4"/>
      <c r="AEF53" s="4"/>
      <c r="AEG53" s="4"/>
      <c r="AEH53" s="4"/>
      <c r="AEI53" s="4"/>
      <c r="AEJ53" s="4"/>
      <c r="AEK53" s="4"/>
      <c r="AEL53" s="4"/>
      <c r="AEM53" s="4"/>
      <c r="AEN53" s="4"/>
      <c r="AEO53" s="4"/>
      <c r="AEP53" s="4"/>
      <c r="AEQ53" s="4"/>
      <c r="AER53" s="4"/>
      <c r="AES53" s="4"/>
      <c r="AET53" s="4"/>
      <c r="AEU53" s="4"/>
      <c r="AEV53" s="4"/>
      <c r="AEW53" s="4"/>
      <c r="AEX53" s="4"/>
      <c r="AEY53" s="4"/>
      <c r="AEZ53" s="4"/>
      <c r="AFA53" s="4"/>
      <c r="AFB53" s="4"/>
      <c r="AFC53" s="4"/>
      <c r="AFD53" s="4"/>
      <c r="AFE53" s="4"/>
      <c r="AFF53" s="4"/>
      <c r="AFG53" s="4"/>
      <c r="AFH53" s="4"/>
      <c r="AFI53" s="4"/>
      <c r="AFJ53" s="4"/>
      <c r="AFK53" s="4"/>
      <c r="AFL53" s="4"/>
      <c r="AFM53" s="4"/>
      <c r="AFN53" s="4"/>
      <c r="AFO53" s="4"/>
      <c r="AFP53" s="4"/>
      <c r="AFQ53" s="4"/>
      <c r="AFR53" s="4"/>
      <c r="AFS53" s="4"/>
      <c r="AFT53" s="4"/>
      <c r="AFU53" s="4"/>
      <c r="AFV53" s="4"/>
      <c r="AFW53" s="4"/>
      <c r="AFX53" s="4"/>
      <c r="AFY53" s="4"/>
      <c r="AFZ53" s="4"/>
      <c r="AGA53" s="4"/>
      <c r="AGB53" s="4"/>
      <c r="AGC53" s="4"/>
      <c r="AGD53" s="4"/>
      <c r="AGE53" s="4"/>
      <c r="AGF53" s="4"/>
      <c r="AGG53" s="4"/>
      <c r="AGH53" s="4"/>
      <c r="AGI53" s="4"/>
      <c r="AGJ53" s="4"/>
      <c r="AGK53" s="4"/>
      <c r="AGL53" s="4"/>
      <c r="AGM53" s="4"/>
      <c r="AGN53" s="4"/>
      <c r="AGO53" s="4"/>
      <c r="AGP53" s="4"/>
      <c r="AGQ53" s="4"/>
      <c r="AGR53" s="4"/>
      <c r="AGS53" s="4"/>
      <c r="AGT53" s="4"/>
      <c r="AGU53" s="4"/>
      <c r="AGV53" s="4"/>
      <c r="AGW53" s="4"/>
      <c r="AGX53" s="4"/>
      <c r="AGY53" s="4"/>
      <c r="AGZ53" s="4"/>
      <c r="AHA53" s="4"/>
      <c r="AHB53" s="4"/>
      <c r="AHC53" s="4"/>
      <c r="AHD53" s="4"/>
      <c r="AHE53" s="4"/>
      <c r="AHF53" s="4"/>
      <c r="AHG53" s="4"/>
      <c r="AHH53" s="4"/>
      <c r="AHI53" s="4"/>
      <c r="AHJ53" s="4"/>
      <c r="AHK53" s="4"/>
      <c r="AHL53" s="4"/>
      <c r="AHM53" s="4"/>
      <c r="AHN53" s="4"/>
      <c r="AHO53" s="4"/>
      <c r="AHP53" s="4"/>
      <c r="AHQ53" s="4"/>
      <c r="AHR53" s="4"/>
      <c r="AHS53" s="4"/>
      <c r="AHT53" s="4"/>
      <c r="AHU53" s="4"/>
      <c r="AHV53" s="4"/>
      <c r="AHW53" s="4"/>
      <c r="AHX53" s="4"/>
      <c r="AHY53" s="4"/>
      <c r="AHZ53" s="4"/>
      <c r="AIA53" s="4"/>
      <c r="AIB53" s="4"/>
      <c r="AIC53" s="4"/>
      <c r="AID53" s="4"/>
      <c r="AIE53" s="4"/>
      <c r="AIF53" s="4"/>
      <c r="AIG53" s="4"/>
      <c r="AIH53" s="4"/>
      <c r="AII53" s="4"/>
      <c r="AIJ53" s="4"/>
      <c r="AIK53" s="4"/>
      <c r="AIL53" s="4"/>
      <c r="AIM53" s="4"/>
      <c r="AIN53" s="4"/>
      <c r="AIO53" s="4"/>
      <c r="AIP53" s="4"/>
      <c r="AIQ53" s="4"/>
      <c r="AIR53" s="4"/>
      <c r="AIS53" s="4"/>
      <c r="AIT53" s="4"/>
      <c r="AIU53" s="4"/>
      <c r="AIV53" s="4"/>
      <c r="AIW53" s="4"/>
      <c r="AIX53" s="4"/>
      <c r="AIY53" s="4"/>
      <c r="AIZ53" s="4"/>
      <c r="AJA53" s="4"/>
      <c r="AJB53" s="4"/>
      <c r="AJC53" s="4"/>
      <c r="AJD53" s="4"/>
      <c r="AJE53" s="4"/>
      <c r="AJF53" s="4"/>
      <c r="AJG53" s="4"/>
      <c r="AJH53" s="4"/>
      <c r="AJI53" s="4"/>
      <c r="AJJ53" s="4"/>
      <c r="AJK53" s="4"/>
      <c r="AJL53" s="4"/>
      <c r="AJM53" s="4"/>
      <c r="AJN53" s="4"/>
      <c r="AJO53" s="4"/>
      <c r="AJP53" s="4"/>
      <c r="AJQ53" s="4"/>
      <c r="AJR53" s="4"/>
      <c r="AJS53" s="4"/>
      <c r="AJT53" s="4"/>
      <c r="AJU53" s="4"/>
      <c r="AJV53" s="4"/>
      <c r="AJW53" s="4"/>
      <c r="AJX53" s="4"/>
      <c r="AJY53" s="4"/>
      <c r="AJZ53" s="4"/>
      <c r="AKA53" s="4"/>
      <c r="AKB53" s="4"/>
      <c r="AKC53" s="4"/>
      <c r="AKD53" s="4"/>
      <c r="AKE53" s="4"/>
      <c r="AKF53" s="4"/>
      <c r="AKG53" s="4"/>
      <c r="AKH53" s="4"/>
      <c r="AKI53" s="4"/>
      <c r="AKJ53" s="4"/>
      <c r="AKK53" s="4"/>
      <c r="AKL53" s="4"/>
      <c r="AKM53" s="4"/>
      <c r="AKN53" s="4"/>
      <c r="AKO53" s="4"/>
      <c r="AKP53" s="4"/>
      <c r="AKQ53" s="4"/>
      <c r="AKR53" s="4"/>
      <c r="AKS53" s="4"/>
      <c r="AKT53" s="4"/>
      <c r="AKU53" s="4"/>
      <c r="AKV53" s="4"/>
      <c r="AKW53" s="4"/>
      <c r="AKX53" s="4"/>
      <c r="AKY53" s="4"/>
      <c r="AKZ53" s="4"/>
      <c r="ALA53" s="4"/>
      <c r="ALB53" s="4"/>
      <c r="ALC53" s="4"/>
      <c r="ALD53" s="4"/>
      <c r="ALE53" s="4"/>
      <c r="ALF53" s="4"/>
      <c r="ALG53" s="4"/>
      <c r="ALH53" s="4"/>
      <c r="ALI53" s="4"/>
      <c r="ALJ53" s="4"/>
      <c r="ALK53" s="4"/>
      <c r="ALL53" s="4"/>
      <c r="ALM53" s="4"/>
      <c r="ALN53" s="4"/>
      <c r="ALO53" s="4"/>
      <c r="ALP53" s="4"/>
      <c r="ALQ53" s="4"/>
      <c r="ALR53" s="4"/>
      <c r="ALS53" s="4"/>
      <c r="ALT53" s="4"/>
      <c r="ALU53" s="4"/>
      <c r="ALV53" s="4"/>
      <c r="ALW53" s="4"/>
      <c r="ALX53" s="4"/>
      <c r="ALY53" s="4"/>
    </row>
    <row r="54" spans="1:1013" ht="30" customHeight="1" x14ac:dyDescent="0.25">
      <c r="A54" s="16" t="s">
        <v>64</v>
      </c>
      <c r="B54" s="12" t="s">
        <v>88</v>
      </c>
      <c r="C54" s="16" t="s">
        <v>90</v>
      </c>
      <c r="D54" s="23">
        <v>43</v>
      </c>
      <c r="E54" s="25" t="s">
        <v>34</v>
      </c>
      <c r="F54" s="7">
        <v>57</v>
      </c>
      <c r="G54" s="11" t="s">
        <v>71</v>
      </c>
      <c r="H54" s="11" t="s">
        <v>72</v>
      </c>
      <c r="I54" s="3">
        <v>46</v>
      </c>
      <c r="J54" s="3">
        <v>63</v>
      </c>
      <c r="K54" s="3">
        <v>20</v>
      </c>
      <c r="L54" s="3">
        <v>15</v>
      </c>
      <c r="M54" s="3">
        <v>110</v>
      </c>
      <c r="N54" s="3">
        <v>101</v>
      </c>
      <c r="O54" s="3">
        <v>115</v>
      </c>
      <c r="P54" s="3">
        <v>73</v>
      </c>
      <c r="Q54" s="3">
        <v>42</v>
      </c>
      <c r="R54" s="11">
        <v>46</v>
      </c>
      <c r="S54" s="11">
        <v>64</v>
      </c>
      <c r="T54" s="11">
        <v>18</v>
      </c>
      <c r="U54" s="11">
        <v>13</v>
      </c>
      <c r="V54" s="11">
        <v>30</v>
      </c>
      <c r="W54" s="11">
        <v>29</v>
      </c>
      <c r="X54" s="11">
        <v>30</v>
      </c>
      <c r="Y54" s="11">
        <v>72</v>
      </c>
      <c r="Z54" s="11">
        <v>42</v>
      </c>
      <c r="AA54" s="3">
        <v>46</v>
      </c>
      <c r="AB54" s="3">
        <v>27</v>
      </c>
      <c r="AC54" s="3">
        <v>20</v>
      </c>
      <c r="AD54" s="3">
        <v>30</v>
      </c>
      <c r="AE54" s="3">
        <v>29</v>
      </c>
      <c r="AF54" s="3">
        <v>30</v>
      </c>
      <c r="AG54" s="3">
        <v>72</v>
      </c>
      <c r="AH54" s="3">
        <v>42</v>
      </c>
      <c r="AI54" s="3">
        <v>93</v>
      </c>
      <c r="AJ54" s="3">
        <v>112</v>
      </c>
      <c r="AK54" s="3">
        <v>70</v>
      </c>
      <c r="AL54" s="3">
        <v>35</v>
      </c>
      <c r="AM54" s="3">
        <v>25</v>
      </c>
      <c r="AN54" s="3">
        <v>20</v>
      </c>
      <c r="AO54" s="3">
        <v>94</v>
      </c>
      <c r="AP54" s="2">
        <v>1</v>
      </c>
      <c r="AQ54" s="21" t="s">
        <v>100</v>
      </c>
    </row>
    <row r="55" spans="1:1013" ht="30" customHeight="1" x14ac:dyDescent="0.25">
      <c r="A55" s="8" t="s">
        <v>65</v>
      </c>
      <c r="B55" s="12" t="s">
        <v>89</v>
      </c>
      <c r="C55" s="16" t="s">
        <v>90</v>
      </c>
      <c r="D55" s="23">
        <v>42</v>
      </c>
      <c r="E55" s="25" t="s">
        <v>34</v>
      </c>
      <c r="F55" s="7">
        <v>55</v>
      </c>
      <c r="G55" s="11" t="s">
        <v>71</v>
      </c>
      <c r="H55" s="11" t="s">
        <v>72</v>
      </c>
      <c r="I55" s="3">
        <v>42</v>
      </c>
      <c r="J55" s="3">
        <v>61</v>
      </c>
      <c r="K55" s="3">
        <v>18</v>
      </c>
      <c r="L55" s="3">
        <v>14</v>
      </c>
      <c r="M55" s="3">
        <v>93</v>
      </c>
      <c r="N55" s="3">
        <v>82</v>
      </c>
      <c r="O55" s="3">
        <v>102</v>
      </c>
      <c r="P55" s="3">
        <v>72</v>
      </c>
      <c r="Q55" s="3">
        <v>37</v>
      </c>
      <c r="R55" s="11">
        <v>42</v>
      </c>
      <c r="S55" s="11">
        <v>62</v>
      </c>
      <c r="T55" s="11">
        <v>16</v>
      </c>
      <c r="U55" s="11">
        <v>12</v>
      </c>
      <c r="V55" s="11">
        <v>27</v>
      </c>
      <c r="W55" s="11">
        <v>26</v>
      </c>
      <c r="X55" s="11">
        <v>27</v>
      </c>
      <c r="Y55" s="11">
        <v>72</v>
      </c>
      <c r="Z55" s="11">
        <v>37</v>
      </c>
      <c r="AA55" s="3">
        <v>42</v>
      </c>
      <c r="AB55" s="3">
        <v>25</v>
      </c>
      <c r="AC55" s="3">
        <v>18</v>
      </c>
      <c r="AD55" s="3">
        <v>27</v>
      </c>
      <c r="AE55" s="3">
        <v>26</v>
      </c>
      <c r="AF55" s="3">
        <v>27</v>
      </c>
      <c r="AG55" s="3">
        <v>72</v>
      </c>
      <c r="AH55" s="3">
        <v>37</v>
      </c>
      <c r="AI55" s="3">
        <v>72</v>
      </c>
      <c r="AJ55" s="3">
        <v>93</v>
      </c>
      <c r="AK55" s="3">
        <v>64</v>
      </c>
      <c r="AL55" s="3">
        <v>31</v>
      </c>
      <c r="AM55" s="3">
        <v>23</v>
      </c>
      <c r="AN55" s="3">
        <v>19</v>
      </c>
      <c r="AO55" s="6">
        <v>100</v>
      </c>
      <c r="AP55" s="2">
        <v>1</v>
      </c>
      <c r="AQ55" s="21" t="s">
        <v>100</v>
      </c>
    </row>
    <row r="56" spans="1:1013" ht="30" customHeight="1" x14ac:dyDescent="0.25">
      <c r="A56" s="16" t="s">
        <v>80</v>
      </c>
      <c r="B56" s="12" t="s">
        <v>91</v>
      </c>
      <c r="C56" s="16" t="s">
        <v>90</v>
      </c>
      <c r="D56" s="23">
        <v>41</v>
      </c>
      <c r="E56" s="25" t="s">
        <v>32</v>
      </c>
      <c r="F56" s="3">
        <v>58</v>
      </c>
      <c r="G56" s="11" t="s">
        <v>71</v>
      </c>
      <c r="H56" s="11" t="s">
        <v>72</v>
      </c>
      <c r="I56" s="3">
        <v>44</v>
      </c>
      <c r="J56" s="3">
        <v>59</v>
      </c>
      <c r="K56" s="3">
        <v>19</v>
      </c>
      <c r="L56" s="3">
        <v>15</v>
      </c>
      <c r="M56" s="3">
        <v>105</v>
      </c>
      <c r="N56" s="3">
        <v>101</v>
      </c>
      <c r="O56" s="3">
        <v>117</v>
      </c>
      <c r="P56" s="3">
        <v>73</v>
      </c>
      <c r="Q56" s="3">
        <v>43</v>
      </c>
      <c r="R56" s="11">
        <v>44</v>
      </c>
      <c r="S56" s="11">
        <v>60</v>
      </c>
      <c r="T56" s="11">
        <v>17</v>
      </c>
      <c r="U56" s="11">
        <v>13</v>
      </c>
      <c r="V56" s="11">
        <v>30</v>
      </c>
      <c r="W56" s="11">
        <v>29</v>
      </c>
      <c r="X56" s="11">
        <v>30</v>
      </c>
      <c r="Y56" s="11">
        <v>73</v>
      </c>
      <c r="Z56" s="11">
        <v>43</v>
      </c>
      <c r="AA56" s="3">
        <v>44</v>
      </c>
      <c r="AB56" s="3">
        <v>24</v>
      </c>
      <c r="AC56" s="3">
        <v>19</v>
      </c>
      <c r="AD56" s="3">
        <v>30</v>
      </c>
      <c r="AE56" s="3">
        <v>29</v>
      </c>
      <c r="AF56" s="3">
        <v>30</v>
      </c>
      <c r="AG56" s="3">
        <v>73</v>
      </c>
      <c r="AH56" s="3">
        <v>43</v>
      </c>
      <c r="AI56" s="3">
        <v>90</v>
      </c>
      <c r="AJ56" s="3">
        <v>113</v>
      </c>
      <c r="AK56" s="3">
        <v>71</v>
      </c>
      <c r="AL56" s="3">
        <v>35</v>
      </c>
      <c r="AM56" s="3">
        <v>25</v>
      </c>
      <c r="AN56" s="3">
        <v>19</v>
      </c>
      <c r="AO56" s="3">
        <v>94</v>
      </c>
      <c r="AP56" s="2">
        <v>1</v>
      </c>
      <c r="AQ56" s="21" t="s">
        <v>100</v>
      </c>
    </row>
    <row r="57" spans="1:1013" ht="30" customHeight="1" x14ac:dyDescent="0.25">
      <c r="A57" s="8" t="s">
        <v>81</v>
      </c>
      <c r="B57" s="12" t="s">
        <v>92</v>
      </c>
      <c r="C57" s="16" t="s">
        <v>90</v>
      </c>
      <c r="D57" s="23">
        <v>39</v>
      </c>
      <c r="E57" s="25" t="s">
        <v>34</v>
      </c>
      <c r="F57" s="7">
        <v>57</v>
      </c>
      <c r="G57" s="11" t="s">
        <v>71</v>
      </c>
      <c r="H57" s="11" t="s">
        <v>72</v>
      </c>
      <c r="I57" s="3">
        <v>47</v>
      </c>
      <c r="J57" s="3">
        <v>59</v>
      </c>
      <c r="K57" s="3">
        <v>21</v>
      </c>
      <c r="L57" s="3">
        <v>16</v>
      </c>
      <c r="M57" s="3">
        <v>122</v>
      </c>
      <c r="N57" s="3">
        <v>112</v>
      </c>
      <c r="O57" s="3">
        <v>120</v>
      </c>
      <c r="P57" s="3">
        <v>71</v>
      </c>
      <c r="Q57" s="3">
        <v>44</v>
      </c>
      <c r="R57" s="11">
        <v>47</v>
      </c>
      <c r="S57" s="11">
        <v>60</v>
      </c>
      <c r="T57" s="11">
        <v>19</v>
      </c>
      <c r="U57" s="11">
        <v>14</v>
      </c>
      <c r="V57" s="11">
        <v>31</v>
      </c>
      <c r="W57" s="11">
        <v>30</v>
      </c>
      <c r="X57" s="11">
        <v>31</v>
      </c>
      <c r="Y57" s="11">
        <v>70</v>
      </c>
      <c r="Z57" s="11">
        <v>44</v>
      </c>
      <c r="AA57" s="3">
        <v>47</v>
      </c>
      <c r="AB57" s="3">
        <v>22</v>
      </c>
      <c r="AC57" s="3">
        <v>21</v>
      </c>
      <c r="AD57" s="3">
        <v>31</v>
      </c>
      <c r="AE57" s="3">
        <v>30</v>
      </c>
      <c r="AF57" s="3">
        <v>31</v>
      </c>
      <c r="AG57" s="3">
        <v>70</v>
      </c>
      <c r="AH57" s="3">
        <v>44</v>
      </c>
      <c r="AI57" s="3">
        <v>99</v>
      </c>
      <c r="AJ57" s="3">
        <v>114</v>
      </c>
      <c r="AK57" s="3">
        <v>72</v>
      </c>
      <c r="AL57" s="3">
        <v>36</v>
      </c>
      <c r="AM57" s="3">
        <v>26</v>
      </c>
      <c r="AN57" s="3">
        <v>20</v>
      </c>
      <c r="AO57" s="3">
        <v>90</v>
      </c>
      <c r="AP57" s="2">
        <v>1</v>
      </c>
      <c r="AQ57" s="21" t="s">
        <v>100</v>
      </c>
    </row>
    <row r="58" spans="1:1013" ht="30" customHeight="1" x14ac:dyDescent="0.25">
      <c r="A58" s="16" t="s">
        <v>82</v>
      </c>
      <c r="B58" s="12" t="s">
        <v>197</v>
      </c>
      <c r="C58" s="16" t="s">
        <v>90</v>
      </c>
      <c r="D58" s="23">
        <v>41</v>
      </c>
      <c r="E58" s="25" t="s">
        <v>32</v>
      </c>
      <c r="F58" s="7">
        <v>58</v>
      </c>
      <c r="G58" s="11" t="s">
        <v>71</v>
      </c>
      <c r="H58" s="11" t="s">
        <v>72</v>
      </c>
      <c r="I58" s="3">
        <v>44</v>
      </c>
      <c r="J58" s="3">
        <v>60</v>
      </c>
      <c r="K58" s="3">
        <v>20</v>
      </c>
      <c r="L58" s="3">
        <v>15</v>
      </c>
      <c r="M58" s="3">
        <v>113</v>
      </c>
      <c r="N58" s="3">
        <v>108</v>
      </c>
      <c r="O58" s="3">
        <v>116</v>
      </c>
      <c r="P58" s="3">
        <v>74</v>
      </c>
      <c r="Q58" s="3">
        <v>42</v>
      </c>
      <c r="R58" s="11">
        <v>44</v>
      </c>
      <c r="S58" s="11">
        <v>61</v>
      </c>
      <c r="T58" s="11">
        <v>18</v>
      </c>
      <c r="U58" s="11">
        <v>13</v>
      </c>
      <c r="V58" s="11">
        <v>30</v>
      </c>
      <c r="W58" s="11">
        <v>29</v>
      </c>
      <c r="X58" s="11">
        <v>30</v>
      </c>
      <c r="Y58" s="11">
        <v>73</v>
      </c>
      <c r="Z58" s="11">
        <v>42</v>
      </c>
      <c r="AA58" s="3">
        <v>44</v>
      </c>
      <c r="AB58" s="3">
        <v>25</v>
      </c>
      <c r="AC58" s="3">
        <v>19</v>
      </c>
      <c r="AD58" s="3">
        <v>30</v>
      </c>
      <c r="AE58" s="3">
        <v>29</v>
      </c>
      <c r="AF58" s="3">
        <v>30</v>
      </c>
      <c r="AG58" s="3">
        <v>73</v>
      </c>
      <c r="AH58" s="3">
        <v>42</v>
      </c>
      <c r="AI58" s="3">
        <v>96</v>
      </c>
      <c r="AJ58" s="3">
        <v>113</v>
      </c>
      <c r="AK58" s="3">
        <v>70</v>
      </c>
      <c r="AL58" s="3">
        <v>35</v>
      </c>
      <c r="AM58" s="3">
        <v>25</v>
      </c>
      <c r="AN58" s="3">
        <v>20</v>
      </c>
      <c r="AO58" s="3">
        <v>94</v>
      </c>
      <c r="AP58" s="2">
        <v>1</v>
      </c>
      <c r="AQ58" s="21" t="s">
        <v>100</v>
      </c>
    </row>
    <row r="59" spans="1:1013" ht="30" customHeight="1" x14ac:dyDescent="0.25">
      <c r="A59" s="8" t="s">
        <v>83</v>
      </c>
      <c r="B59" s="12" t="s">
        <v>93</v>
      </c>
      <c r="C59" s="16" t="s">
        <v>90</v>
      </c>
      <c r="D59" s="23">
        <v>42</v>
      </c>
      <c r="E59" s="25" t="s">
        <v>32</v>
      </c>
      <c r="F59" s="7">
        <v>57</v>
      </c>
      <c r="G59" s="11" t="s">
        <v>71</v>
      </c>
      <c r="H59" s="11" t="s">
        <v>72</v>
      </c>
      <c r="I59" s="3">
        <v>44</v>
      </c>
      <c r="J59" s="3">
        <v>63</v>
      </c>
      <c r="K59" s="3">
        <v>18</v>
      </c>
      <c r="L59" s="3">
        <v>15</v>
      </c>
      <c r="M59" s="3">
        <v>103</v>
      </c>
      <c r="N59" s="3">
        <v>99</v>
      </c>
      <c r="O59" s="3">
        <v>113</v>
      </c>
      <c r="P59" s="3">
        <v>74</v>
      </c>
      <c r="Q59" s="3">
        <v>40</v>
      </c>
      <c r="R59" s="11">
        <v>44</v>
      </c>
      <c r="S59" s="11">
        <v>64</v>
      </c>
      <c r="T59" s="11">
        <v>16</v>
      </c>
      <c r="U59" s="11">
        <v>13</v>
      </c>
      <c r="V59" s="11">
        <v>29</v>
      </c>
      <c r="W59" s="11">
        <v>28</v>
      </c>
      <c r="X59" s="11">
        <v>29</v>
      </c>
      <c r="Y59" s="11">
        <v>74</v>
      </c>
      <c r="Z59" s="11">
        <v>40</v>
      </c>
      <c r="AA59" s="3">
        <v>44</v>
      </c>
      <c r="AB59" s="3">
        <v>26</v>
      </c>
      <c r="AC59" s="3">
        <v>19</v>
      </c>
      <c r="AD59" s="3">
        <v>29</v>
      </c>
      <c r="AE59" s="3">
        <v>28</v>
      </c>
      <c r="AF59" s="3">
        <v>29</v>
      </c>
      <c r="AG59" s="3">
        <v>74</v>
      </c>
      <c r="AH59" s="3">
        <v>40</v>
      </c>
      <c r="AI59" s="3">
        <v>89</v>
      </c>
      <c r="AJ59" s="3">
        <v>109</v>
      </c>
      <c r="AK59" s="3">
        <v>68</v>
      </c>
      <c r="AL59" s="3">
        <v>34</v>
      </c>
      <c r="AM59" s="3">
        <v>25</v>
      </c>
      <c r="AN59" s="3">
        <v>19</v>
      </c>
      <c r="AO59" s="3">
        <v>94</v>
      </c>
      <c r="AP59" s="2">
        <v>1</v>
      </c>
      <c r="AQ59" s="21" t="s">
        <v>100</v>
      </c>
    </row>
    <row r="60" spans="1:1013" ht="30" customHeight="1" x14ac:dyDescent="0.25">
      <c r="A60" s="16" t="s">
        <v>84</v>
      </c>
      <c r="B60" s="12" t="s">
        <v>94</v>
      </c>
      <c r="C60" s="16" t="s">
        <v>90</v>
      </c>
      <c r="D60" s="23">
        <v>41</v>
      </c>
      <c r="E60" s="25" t="s">
        <v>31</v>
      </c>
      <c r="F60" s="7">
        <v>54</v>
      </c>
      <c r="G60" s="11" t="s">
        <v>71</v>
      </c>
      <c r="H60" s="11" t="s">
        <v>72</v>
      </c>
      <c r="I60" s="3">
        <v>42</v>
      </c>
      <c r="J60" s="3">
        <v>61</v>
      </c>
      <c r="K60" s="3">
        <v>18</v>
      </c>
      <c r="L60" s="3">
        <v>14</v>
      </c>
      <c r="M60" s="3">
        <v>95</v>
      </c>
      <c r="N60" s="3">
        <v>88</v>
      </c>
      <c r="O60" s="3">
        <v>107</v>
      </c>
      <c r="P60" s="3">
        <v>73</v>
      </c>
      <c r="Q60" s="3">
        <v>38</v>
      </c>
      <c r="R60" s="11">
        <v>42</v>
      </c>
      <c r="S60" s="11">
        <v>62</v>
      </c>
      <c r="T60" s="11">
        <v>16</v>
      </c>
      <c r="U60" s="11">
        <v>12</v>
      </c>
      <c r="V60" s="11">
        <v>26</v>
      </c>
      <c r="W60" s="11">
        <v>25</v>
      </c>
      <c r="X60" s="11">
        <v>26</v>
      </c>
      <c r="Y60" s="11">
        <v>73</v>
      </c>
      <c r="Z60" s="11">
        <v>38</v>
      </c>
      <c r="AA60" s="3">
        <v>42</v>
      </c>
      <c r="AB60" s="3">
        <v>25</v>
      </c>
      <c r="AC60" s="3">
        <v>18</v>
      </c>
      <c r="AD60" s="3">
        <v>26</v>
      </c>
      <c r="AE60" s="3">
        <v>25</v>
      </c>
      <c r="AF60" s="3">
        <v>26</v>
      </c>
      <c r="AG60" s="3">
        <v>73</v>
      </c>
      <c r="AH60" s="3">
        <v>38</v>
      </c>
      <c r="AI60" s="3">
        <v>81</v>
      </c>
      <c r="AJ60" s="3">
        <v>104</v>
      </c>
      <c r="AK60" s="3">
        <v>64</v>
      </c>
      <c r="AL60" s="3">
        <v>32</v>
      </c>
      <c r="AM60" s="3">
        <v>24</v>
      </c>
      <c r="AN60" s="3">
        <v>19</v>
      </c>
      <c r="AO60" s="3">
        <v>93</v>
      </c>
      <c r="AP60" s="2">
        <v>1</v>
      </c>
      <c r="AQ60" s="21" t="s">
        <v>100</v>
      </c>
    </row>
    <row r="61" spans="1:1013" ht="30" customHeight="1" x14ac:dyDescent="0.25">
      <c r="A61" s="8" t="s">
        <v>85</v>
      </c>
      <c r="B61" s="12" t="s">
        <v>95</v>
      </c>
      <c r="C61" s="16" t="s">
        <v>90</v>
      </c>
      <c r="D61" s="23">
        <v>43</v>
      </c>
      <c r="E61" s="25" t="s">
        <v>34</v>
      </c>
      <c r="F61" s="7">
        <v>57</v>
      </c>
      <c r="G61" s="11" t="s">
        <v>71</v>
      </c>
      <c r="H61" s="11" t="s">
        <v>72</v>
      </c>
      <c r="I61" s="3">
        <v>47</v>
      </c>
      <c r="J61" s="3">
        <v>59</v>
      </c>
      <c r="K61" s="3">
        <v>21</v>
      </c>
      <c r="L61" s="3">
        <v>16</v>
      </c>
      <c r="M61" s="3">
        <v>120</v>
      </c>
      <c r="N61" s="3">
        <v>118</v>
      </c>
      <c r="O61" s="3">
        <v>130</v>
      </c>
      <c r="P61" s="3">
        <v>73</v>
      </c>
      <c r="Q61" s="3">
        <v>43</v>
      </c>
      <c r="R61" s="11">
        <v>47</v>
      </c>
      <c r="S61" s="11">
        <v>60</v>
      </c>
      <c r="T61" s="11">
        <v>19</v>
      </c>
      <c r="U61" s="11">
        <v>14</v>
      </c>
      <c r="V61" s="11">
        <v>32</v>
      </c>
      <c r="W61" s="11">
        <v>31</v>
      </c>
      <c r="X61" s="11">
        <v>32</v>
      </c>
      <c r="Y61" s="11">
        <v>72</v>
      </c>
      <c r="Z61" s="11">
        <v>43</v>
      </c>
      <c r="AA61" s="3">
        <v>47</v>
      </c>
      <c r="AB61" s="3">
        <v>26</v>
      </c>
      <c r="AC61" s="3">
        <v>21</v>
      </c>
      <c r="AD61" s="3">
        <v>32</v>
      </c>
      <c r="AE61" s="3">
        <v>31</v>
      </c>
      <c r="AF61" s="3">
        <v>32</v>
      </c>
      <c r="AG61" s="3">
        <v>72</v>
      </c>
      <c r="AH61" s="3">
        <v>43</v>
      </c>
      <c r="AI61" s="3">
        <v>110</v>
      </c>
      <c r="AJ61" s="3">
        <v>128</v>
      </c>
      <c r="AK61" s="3">
        <v>75</v>
      </c>
      <c r="AL61" s="3">
        <v>41</v>
      </c>
      <c r="AM61" s="3">
        <v>28</v>
      </c>
      <c r="AN61" s="3">
        <v>21</v>
      </c>
      <c r="AO61" s="3">
        <v>95</v>
      </c>
      <c r="AP61" s="2">
        <v>1</v>
      </c>
      <c r="AQ61" s="21" t="s">
        <v>100</v>
      </c>
    </row>
    <row r="62" spans="1:1013" ht="30" customHeight="1" x14ac:dyDescent="0.25">
      <c r="A62" s="16" t="s">
        <v>86</v>
      </c>
      <c r="B62" s="12" t="s">
        <v>96</v>
      </c>
      <c r="C62" s="16" t="s">
        <v>90</v>
      </c>
      <c r="D62" s="23">
        <v>46</v>
      </c>
      <c r="E62" s="25" t="s">
        <v>33</v>
      </c>
      <c r="F62" s="7">
        <v>57</v>
      </c>
      <c r="G62" s="11" t="s">
        <v>71</v>
      </c>
      <c r="H62" s="11" t="s">
        <v>72</v>
      </c>
      <c r="I62" s="3">
        <v>51</v>
      </c>
      <c r="J62" s="3">
        <v>68</v>
      </c>
      <c r="K62" s="3">
        <v>21</v>
      </c>
      <c r="L62" s="3">
        <v>16</v>
      </c>
      <c r="M62" s="3">
        <v>125</v>
      </c>
      <c r="N62" s="3">
        <v>125</v>
      </c>
      <c r="O62" s="3">
        <v>131</v>
      </c>
      <c r="P62" s="3">
        <v>81</v>
      </c>
      <c r="Q62" s="3">
        <v>45</v>
      </c>
      <c r="R62" s="11">
        <v>51</v>
      </c>
      <c r="S62" s="11">
        <v>69</v>
      </c>
      <c r="T62" s="11">
        <v>19</v>
      </c>
      <c r="U62" s="11">
        <v>14</v>
      </c>
      <c r="V62" s="11">
        <v>33</v>
      </c>
      <c r="W62" s="11">
        <v>32</v>
      </c>
      <c r="X62" s="11">
        <v>33</v>
      </c>
      <c r="Y62" s="11">
        <v>80</v>
      </c>
      <c r="Z62" s="11">
        <v>45</v>
      </c>
      <c r="AA62" s="3">
        <v>51</v>
      </c>
      <c r="AB62" s="3">
        <v>29</v>
      </c>
      <c r="AC62" s="3">
        <v>21</v>
      </c>
      <c r="AD62" s="3">
        <v>33</v>
      </c>
      <c r="AE62" s="6">
        <v>32</v>
      </c>
      <c r="AF62" s="20">
        <v>33</v>
      </c>
      <c r="AG62" s="6">
        <v>80</v>
      </c>
      <c r="AH62" s="6">
        <v>45</v>
      </c>
      <c r="AI62" s="6">
        <v>110</v>
      </c>
      <c r="AJ62" s="6">
        <v>128</v>
      </c>
      <c r="AK62" s="6">
        <v>76</v>
      </c>
      <c r="AL62" s="6">
        <v>38</v>
      </c>
      <c r="AM62" s="6">
        <v>27</v>
      </c>
      <c r="AN62" s="6">
        <v>20</v>
      </c>
      <c r="AO62" s="6">
        <v>107</v>
      </c>
      <c r="AP62" s="2">
        <v>1</v>
      </c>
      <c r="AQ62" s="21" t="s">
        <v>100</v>
      </c>
    </row>
    <row r="63" spans="1:1013" ht="30" customHeight="1" x14ac:dyDescent="0.25">
      <c r="A63" s="8" t="s">
        <v>98</v>
      </c>
      <c r="B63" s="12" t="s">
        <v>97</v>
      </c>
      <c r="C63" s="16" t="s">
        <v>90</v>
      </c>
      <c r="D63" s="23">
        <v>43</v>
      </c>
      <c r="E63" s="25" t="s">
        <v>33</v>
      </c>
      <c r="F63" s="7">
        <v>57</v>
      </c>
      <c r="G63" s="11" t="s">
        <v>71</v>
      </c>
      <c r="H63" s="11" t="s">
        <v>72</v>
      </c>
      <c r="I63" s="3">
        <v>51</v>
      </c>
      <c r="J63" s="3">
        <v>68</v>
      </c>
      <c r="K63" s="3">
        <v>21</v>
      </c>
      <c r="L63" s="3">
        <v>16</v>
      </c>
      <c r="M63" s="3">
        <v>125</v>
      </c>
      <c r="N63" s="3">
        <v>125</v>
      </c>
      <c r="O63" s="3">
        <v>131</v>
      </c>
      <c r="P63" s="3">
        <v>81</v>
      </c>
      <c r="Q63" s="3">
        <v>45</v>
      </c>
      <c r="R63" s="11">
        <v>51</v>
      </c>
      <c r="S63" s="11">
        <v>69</v>
      </c>
      <c r="T63" s="11">
        <v>19</v>
      </c>
      <c r="U63" s="11">
        <v>14</v>
      </c>
      <c r="V63" s="11">
        <v>33</v>
      </c>
      <c r="W63" s="11">
        <v>32</v>
      </c>
      <c r="X63" s="11">
        <v>33</v>
      </c>
      <c r="Y63" s="11">
        <v>80</v>
      </c>
      <c r="Z63" s="11">
        <v>45</v>
      </c>
      <c r="AA63" s="3">
        <v>51</v>
      </c>
      <c r="AB63" s="3">
        <v>29</v>
      </c>
      <c r="AC63" s="3">
        <v>21</v>
      </c>
      <c r="AD63" s="3">
        <v>33</v>
      </c>
      <c r="AE63" s="6">
        <v>32</v>
      </c>
      <c r="AF63" s="20">
        <v>33</v>
      </c>
      <c r="AG63" s="6">
        <v>80</v>
      </c>
      <c r="AH63" s="6">
        <v>45</v>
      </c>
      <c r="AI63" s="6">
        <v>110</v>
      </c>
      <c r="AJ63" s="6">
        <v>128</v>
      </c>
      <c r="AK63" s="6">
        <v>76</v>
      </c>
      <c r="AL63" s="6">
        <v>38</v>
      </c>
      <c r="AM63" s="6">
        <v>27</v>
      </c>
      <c r="AN63" s="6">
        <v>20</v>
      </c>
      <c r="AO63" s="6">
        <v>107</v>
      </c>
      <c r="AP63" s="2">
        <v>1</v>
      </c>
      <c r="AQ63" s="21" t="s">
        <v>100</v>
      </c>
    </row>
    <row r="64" spans="1:1013" ht="30" customHeight="1" x14ac:dyDescent="0.25">
      <c r="A64" s="16" t="s">
        <v>87</v>
      </c>
      <c r="B64" s="12" t="s">
        <v>99</v>
      </c>
      <c r="C64" s="16" t="s">
        <v>90</v>
      </c>
      <c r="D64" s="23">
        <v>41</v>
      </c>
      <c r="E64" s="25" t="s">
        <v>32</v>
      </c>
      <c r="F64" s="7">
        <v>56</v>
      </c>
      <c r="G64" s="11" t="s">
        <v>71</v>
      </c>
      <c r="H64" s="11" t="s">
        <v>72</v>
      </c>
      <c r="I64" s="3">
        <v>42</v>
      </c>
      <c r="J64" s="3">
        <v>62</v>
      </c>
      <c r="K64" s="3">
        <v>19</v>
      </c>
      <c r="L64" s="3">
        <v>15</v>
      </c>
      <c r="M64" s="3">
        <v>105</v>
      </c>
      <c r="N64" s="3">
        <v>103</v>
      </c>
      <c r="O64" s="3">
        <v>113</v>
      </c>
      <c r="P64" s="3">
        <v>71</v>
      </c>
      <c r="Q64" s="3">
        <v>42</v>
      </c>
      <c r="R64" s="11">
        <v>42</v>
      </c>
      <c r="S64" s="11">
        <v>63</v>
      </c>
      <c r="T64" s="11">
        <v>17</v>
      </c>
      <c r="U64" s="11">
        <v>13</v>
      </c>
      <c r="V64" s="11">
        <v>29</v>
      </c>
      <c r="W64" s="11">
        <v>28</v>
      </c>
      <c r="X64" s="11">
        <v>29</v>
      </c>
      <c r="Y64" s="11">
        <v>71</v>
      </c>
      <c r="Z64" s="11">
        <v>42</v>
      </c>
      <c r="AA64" s="3">
        <v>42</v>
      </c>
      <c r="AB64" s="3">
        <v>25</v>
      </c>
      <c r="AC64" s="3">
        <v>19</v>
      </c>
      <c r="AD64" s="3">
        <v>29</v>
      </c>
      <c r="AE64" s="6">
        <v>28</v>
      </c>
      <c r="AF64" s="20">
        <v>29</v>
      </c>
      <c r="AG64" s="6">
        <v>71</v>
      </c>
      <c r="AH64" s="6">
        <v>42</v>
      </c>
      <c r="AI64" s="6">
        <v>90</v>
      </c>
      <c r="AJ64" s="6">
        <v>109</v>
      </c>
      <c r="AK64" s="6">
        <v>69</v>
      </c>
      <c r="AL64" s="6">
        <v>34</v>
      </c>
      <c r="AM64" s="6">
        <v>25</v>
      </c>
      <c r="AN64" s="6">
        <v>20</v>
      </c>
      <c r="AO64" s="6">
        <v>92</v>
      </c>
      <c r="AP64" s="2">
        <v>1</v>
      </c>
      <c r="AQ64" s="21" t="s">
        <v>100</v>
      </c>
    </row>
    <row r="65" spans="1:43" ht="30" customHeight="1" x14ac:dyDescent="0.25">
      <c r="A65" s="16" t="s">
        <v>101</v>
      </c>
      <c r="B65" s="12" t="s">
        <v>109</v>
      </c>
      <c r="C65" s="16" t="s">
        <v>90</v>
      </c>
      <c r="D65" s="23">
        <v>44</v>
      </c>
      <c r="E65" s="25" t="s">
        <v>33</v>
      </c>
      <c r="F65" s="7">
        <v>58</v>
      </c>
      <c r="G65" s="11" t="s">
        <v>71</v>
      </c>
      <c r="H65" s="11" t="s">
        <v>72</v>
      </c>
      <c r="I65" s="3">
        <v>53</v>
      </c>
      <c r="J65" s="3">
        <v>62</v>
      </c>
      <c r="K65" s="3">
        <v>23</v>
      </c>
      <c r="L65" s="3">
        <v>16</v>
      </c>
      <c r="M65" s="3">
        <v>135</v>
      </c>
      <c r="N65" s="3">
        <v>135</v>
      </c>
      <c r="O65" s="3">
        <v>135</v>
      </c>
      <c r="P65" s="3">
        <v>80</v>
      </c>
      <c r="Q65" s="3">
        <v>47</v>
      </c>
      <c r="R65" s="3">
        <v>53</v>
      </c>
      <c r="S65" s="3">
        <v>63</v>
      </c>
      <c r="T65" s="3">
        <v>22</v>
      </c>
      <c r="U65" s="3">
        <v>13.5</v>
      </c>
      <c r="V65" s="3">
        <v>35</v>
      </c>
      <c r="W65" s="3">
        <v>35</v>
      </c>
      <c r="X65" s="3">
        <v>35</v>
      </c>
      <c r="Y65" s="3">
        <v>80</v>
      </c>
      <c r="Z65" s="3">
        <v>47</v>
      </c>
      <c r="AA65" s="3">
        <v>53</v>
      </c>
      <c r="AB65" s="3">
        <v>27</v>
      </c>
      <c r="AC65" s="3">
        <v>22</v>
      </c>
      <c r="AD65" s="3">
        <v>35</v>
      </c>
      <c r="AE65" s="3">
        <v>35</v>
      </c>
      <c r="AF65" s="3">
        <v>35</v>
      </c>
      <c r="AG65" s="3">
        <v>80</v>
      </c>
      <c r="AH65" s="3">
        <v>47</v>
      </c>
      <c r="AI65" s="3">
        <v>118</v>
      </c>
      <c r="AJ65" s="3">
        <v>130</v>
      </c>
      <c r="AK65" s="3">
        <v>78</v>
      </c>
      <c r="AL65" s="3">
        <v>40</v>
      </c>
      <c r="AM65" s="3">
        <v>29</v>
      </c>
      <c r="AN65" s="3">
        <v>23</v>
      </c>
      <c r="AO65" s="3">
        <v>100</v>
      </c>
      <c r="AP65" s="2">
        <v>2</v>
      </c>
      <c r="AQ65" s="21" t="s">
        <v>132</v>
      </c>
    </row>
    <row r="66" spans="1:43" ht="30" customHeight="1" x14ac:dyDescent="0.25">
      <c r="A66" s="16" t="s">
        <v>102</v>
      </c>
      <c r="B66" s="12" t="s">
        <v>110</v>
      </c>
      <c r="C66" s="16" t="s">
        <v>90</v>
      </c>
      <c r="D66" s="23">
        <v>43</v>
      </c>
      <c r="E66" s="25" t="s">
        <v>34</v>
      </c>
      <c r="F66" s="7">
        <v>58</v>
      </c>
      <c r="G66" s="11" t="s">
        <v>71</v>
      </c>
      <c r="H66" s="11" t="s">
        <v>72</v>
      </c>
      <c r="I66" s="3">
        <v>48</v>
      </c>
      <c r="J66" s="3">
        <v>65</v>
      </c>
      <c r="K66" s="3">
        <v>20</v>
      </c>
      <c r="L66" s="3">
        <v>15</v>
      </c>
      <c r="M66" s="3">
        <v>110</v>
      </c>
      <c r="N66" s="3">
        <v>106</v>
      </c>
      <c r="O66" s="3">
        <v>116</v>
      </c>
      <c r="P66" s="3">
        <v>77</v>
      </c>
      <c r="Q66" s="3">
        <v>43</v>
      </c>
      <c r="R66" s="3">
        <v>48</v>
      </c>
      <c r="S66" s="3">
        <v>66</v>
      </c>
      <c r="T66" s="3">
        <v>19</v>
      </c>
      <c r="U66" s="3">
        <v>13</v>
      </c>
      <c r="V66" s="3">
        <v>29</v>
      </c>
      <c r="W66" s="3">
        <v>27</v>
      </c>
      <c r="X66" s="3">
        <v>29</v>
      </c>
      <c r="Y66" s="3">
        <v>77</v>
      </c>
      <c r="Z66" s="3">
        <v>43</v>
      </c>
      <c r="AA66" s="3">
        <v>48</v>
      </c>
      <c r="AB66" s="3">
        <v>27</v>
      </c>
      <c r="AC66" s="3">
        <v>19</v>
      </c>
      <c r="AD66" s="3">
        <v>29</v>
      </c>
      <c r="AE66" s="3">
        <v>27</v>
      </c>
      <c r="AF66" s="3">
        <v>29</v>
      </c>
      <c r="AG66" s="3">
        <v>77</v>
      </c>
      <c r="AH66" s="3">
        <v>43</v>
      </c>
      <c r="AI66" s="3">
        <v>99</v>
      </c>
      <c r="AJ66" s="3">
        <v>114</v>
      </c>
      <c r="AK66" s="3">
        <v>70</v>
      </c>
      <c r="AL66" s="3">
        <v>36</v>
      </c>
      <c r="AM66" s="3">
        <v>27</v>
      </c>
      <c r="AN66" s="3">
        <v>20</v>
      </c>
      <c r="AO66" s="6">
        <v>103</v>
      </c>
      <c r="AP66" s="2">
        <v>2</v>
      </c>
      <c r="AQ66" s="21" t="s">
        <v>132</v>
      </c>
    </row>
    <row r="67" spans="1:43" ht="30" customHeight="1" x14ac:dyDescent="0.25">
      <c r="A67" s="16" t="s">
        <v>103</v>
      </c>
      <c r="B67" s="12" t="s">
        <v>111</v>
      </c>
      <c r="C67" s="16" t="s">
        <v>90</v>
      </c>
      <c r="D67" s="7">
        <v>41</v>
      </c>
      <c r="E67" s="25" t="s">
        <v>32</v>
      </c>
      <c r="F67" s="7">
        <v>57</v>
      </c>
      <c r="G67" s="11" t="s">
        <v>71</v>
      </c>
      <c r="H67" s="11" t="s">
        <v>72</v>
      </c>
      <c r="I67" s="3">
        <v>46</v>
      </c>
      <c r="J67" s="3">
        <v>60</v>
      </c>
      <c r="K67" s="3">
        <v>19</v>
      </c>
      <c r="L67" s="3">
        <v>14</v>
      </c>
      <c r="M67" s="3">
        <v>98</v>
      </c>
      <c r="N67" s="3">
        <v>95</v>
      </c>
      <c r="O67" s="3">
        <v>104</v>
      </c>
      <c r="P67" s="3">
        <v>70</v>
      </c>
      <c r="Q67" s="3">
        <v>41</v>
      </c>
      <c r="R67" s="3">
        <v>46</v>
      </c>
      <c r="S67" s="3">
        <v>61</v>
      </c>
      <c r="T67" s="3">
        <v>17</v>
      </c>
      <c r="U67" s="3">
        <v>13</v>
      </c>
      <c r="V67" s="3">
        <v>27</v>
      </c>
      <c r="W67" s="3">
        <v>25</v>
      </c>
      <c r="X67" s="3">
        <v>27</v>
      </c>
      <c r="Y67" s="3">
        <v>70</v>
      </c>
      <c r="Z67" s="3">
        <v>41</v>
      </c>
      <c r="AA67" s="3">
        <v>46</v>
      </c>
      <c r="AB67" s="3">
        <v>25</v>
      </c>
      <c r="AC67" s="3">
        <v>17</v>
      </c>
      <c r="AD67" s="3">
        <v>27</v>
      </c>
      <c r="AE67" s="3">
        <v>25</v>
      </c>
      <c r="AF67" s="3">
        <v>27</v>
      </c>
      <c r="AG67" s="3">
        <v>70</v>
      </c>
      <c r="AH67" s="3">
        <v>41</v>
      </c>
      <c r="AI67" s="3">
        <v>85</v>
      </c>
      <c r="AJ67" s="3">
        <v>100</v>
      </c>
      <c r="AK67" s="3">
        <v>66</v>
      </c>
      <c r="AL67" s="3">
        <v>32</v>
      </c>
      <c r="AM67" s="3">
        <v>24</v>
      </c>
      <c r="AN67" s="3">
        <v>19</v>
      </c>
      <c r="AO67" s="3">
        <v>98</v>
      </c>
      <c r="AP67" s="2">
        <v>2</v>
      </c>
      <c r="AQ67" s="21" t="s">
        <v>132</v>
      </c>
    </row>
    <row r="68" spans="1:43" ht="30" customHeight="1" x14ac:dyDescent="0.25">
      <c r="A68" s="16" t="s">
        <v>104</v>
      </c>
      <c r="B68" s="12" t="s">
        <v>112</v>
      </c>
      <c r="C68" s="16" t="s">
        <v>90</v>
      </c>
      <c r="D68" s="7">
        <v>42</v>
      </c>
      <c r="E68" s="25" t="s">
        <v>31</v>
      </c>
      <c r="F68" s="7">
        <v>57</v>
      </c>
      <c r="G68" s="11" t="s">
        <v>71</v>
      </c>
      <c r="H68" s="11" t="s">
        <v>72</v>
      </c>
      <c r="I68" s="3">
        <v>45</v>
      </c>
      <c r="J68" s="3">
        <v>64</v>
      </c>
      <c r="K68" s="3">
        <v>19</v>
      </c>
      <c r="L68" s="3">
        <v>14</v>
      </c>
      <c r="M68" s="3">
        <v>102</v>
      </c>
      <c r="N68" s="3">
        <v>96</v>
      </c>
      <c r="O68" s="3">
        <v>110</v>
      </c>
      <c r="P68" s="3">
        <v>71</v>
      </c>
      <c r="Q68" s="3">
        <v>42</v>
      </c>
      <c r="R68" s="3">
        <v>45</v>
      </c>
      <c r="S68" s="3">
        <v>65</v>
      </c>
      <c r="T68" s="3">
        <v>18</v>
      </c>
      <c r="U68" s="3">
        <v>13</v>
      </c>
      <c r="V68" s="3">
        <v>28</v>
      </c>
      <c r="W68" s="3">
        <v>27</v>
      </c>
      <c r="X68" s="3">
        <v>28</v>
      </c>
      <c r="Y68" s="3">
        <v>71</v>
      </c>
      <c r="Z68" s="3">
        <v>42</v>
      </c>
      <c r="AA68" s="3">
        <v>45</v>
      </c>
      <c r="AB68" s="3">
        <v>26</v>
      </c>
      <c r="AC68" s="3">
        <v>18</v>
      </c>
      <c r="AD68" s="3">
        <v>28</v>
      </c>
      <c r="AE68" s="3">
        <v>27</v>
      </c>
      <c r="AF68" s="3">
        <v>28</v>
      </c>
      <c r="AG68" s="3">
        <v>71</v>
      </c>
      <c r="AH68" s="3">
        <v>42</v>
      </c>
      <c r="AI68" s="3">
        <v>90</v>
      </c>
      <c r="AJ68" s="3">
        <v>107</v>
      </c>
      <c r="AK68" s="3">
        <v>66</v>
      </c>
      <c r="AL68" s="3">
        <v>34</v>
      </c>
      <c r="AM68" s="3">
        <v>24</v>
      </c>
      <c r="AN68" s="3">
        <v>19</v>
      </c>
      <c r="AO68" s="3">
        <v>100</v>
      </c>
      <c r="AP68" s="2">
        <v>2</v>
      </c>
      <c r="AQ68" s="21" t="s">
        <v>132</v>
      </c>
    </row>
    <row r="69" spans="1:43" ht="30" customHeight="1" x14ac:dyDescent="0.25">
      <c r="A69" s="16" t="s">
        <v>105</v>
      </c>
      <c r="B69" s="12" t="s">
        <v>113</v>
      </c>
      <c r="C69" s="16" t="s">
        <v>90</v>
      </c>
      <c r="D69" s="7">
        <v>43</v>
      </c>
      <c r="E69" s="25" t="s">
        <v>34</v>
      </c>
      <c r="F69" s="7">
        <v>59</v>
      </c>
      <c r="G69" s="11" t="s">
        <v>71</v>
      </c>
      <c r="H69" s="11" t="s">
        <v>72</v>
      </c>
      <c r="I69" s="3">
        <v>48</v>
      </c>
      <c r="J69" s="3">
        <v>58</v>
      </c>
      <c r="K69" s="3">
        <v>20</v>
      </c>
      <c r="L69" s="3">
        <v>15</v>
      </c>
      <c r="M69" s="3">
        <v>110</v>
      </c>
      <c r="N69" s="3">
        <v>110</v>
      </c>
      <c r="O69" s="3">
        <v>115</v>
      </c>
      <c r="P69" s="3">
        <v>74</v>
      </c>
      <c r="Q69" s="3">
        <v>43</v>
      </c>
      <c r="R69" s="3">
        <v>48</v>
      </c>
      <c r="S69" s="3">
        <v>59</v>
      </c>
      <c r="T69" s="3">
        <v>18</v>
      </c>
      <c r="U69" s="3">
        <v>13</v>
      </c>
      <c r="V69" s="3">
        <v>29</v>
      </c>
      <c r="W69" s="3">
        <v>27</v>
      </c>
      <c r="X69" s="3">
        <v>29</v>
      </c>
      <c r="Y69" s="3">
        <v>74</v>
      </c>
      <c r="Z69" s="3">
        <v>43</v>
      </c>
      <c r="AA69" s="3">
        <v>48</v>
      </c>
      <c r="AB69" s="3">
        <v>26</v>
      </c>
      <c r="AC69" s="3">
        <v>18</v>
      </c>
      <c r="AD69" s="3">
        <v>29</v>
      </c>
      <c r="AE69" s="3">
        <v>27</v>
      </c>
      <c r="AF69" s="3">
        <v>29</v>
      </c>
      <c r="AG69" s="3">
        <v>74</v>
      </c>
      <c r="AH69" s="3">
        <v>43</v>
      </c>
      <c r="AI69" s="3">
        <v>98</v>
      </c>
      <c r="AJ69" s="3">
        <v>110</v>
      </c>
      <c r="AK69" s="3">
        <v>74</v>
      </c>
      <c r="AL69" s="3">
        <v>36</v>
      </c>
      <c r="AM69" s="3">
        <v>26</v>
      </c>
      <c r="AN69" s="3">
        <v>20</v>
      </c>
      <c r="AO69" s="3">
        <v>103</v>
      </c>
      <c r="AP69" s="2">
        <v>2</v>
      </c>
      <c r="AQ69" s="21" t="s">
        <v>132</v>
      </c>
    </row>
    <row r="70" spans="1:43" ht="30" customHeight="1" x14ac:dyDescent="0.25">
      <c r="A70" s="16" t="s">
        <v>106</v>
      </c>
      <c r="B70" s="12" t="s">
        <v>119</v>
      </c>
      <c r="C70" s="16" t="s">
        <v>90</v>
      </c>
      <c r="D70" s="7">
        <v>43</v>
      </c>
      <c r="E70" s="25" t="s">
        <v>34</v>
      </c>
      <c r="F70" s="7">
        <v>58</v>
      </c>
      <c r="G70" s="11" t="s">
        <v>71</v>
      </c>
      <c r="H70" s="11" t="s">
        <v>72</v>
      </c>
      <c r="I70" s="3">
        <v>47</v>
      </c>
      <c r="J70" s="3">
        <v>63</v>
      </c>
      <c r="K70" s="3">
        <v>20</v>
      </c>
      <c r="L70" s="3">
        <v>15</v>
      </c>
      <c r="M70" s="3">
        <v>106</v>
      </c>
      <c r="N70" s="3">
        <v>96</v>
      </c>
      <c r="O70" s="3">
        <v>110</v>
      </c>
      <c r="P70" s="3">
        <v>73</v>
      </c>
      <c r="Q70" s="3">
        <v>44</v>
      </c>
      <c r="R70" s="3">
        <v>47</v>
      </c>
      <c r="S70" s="3">
        <v>64</v>
      </c>
      <c r="T70" s="3">
        <v>19</v>
      </c>
      <c r="U70" s="3">
        <v>14</v>
      </c>
      <c r="V70" s="3">
        <v>28</v>
      </c>
      <c r="W70" s="3">
        <v>27</v>
      </c>
      <c r="X70" s="3">
        <v>28</v>
      </c>
      <c r="Y70" s="3">
        <v>73</v>
      </c>
      <c r="Z70" s="3">
        <v>44</v>
      </c>
      <c r="AA70" s="3">
        <v>47</v>
      </c>
      <c r="AB70" s="3">
        <v>26</v>
      </c>
      <c r="AC70" s="3">
        <v>19</v>
      </c>
      <c r="AD70" s="3">
        <v>28</v>
      </c>
      <c r="AE70" s="3">
        <v>27</v>
      </c>
      <c r="AF70" s="3">
        <v>28</v>
      </c>
      <c r="AG70" s="3">
        <v>73</v>
      </c>
      <c r="AH70" s="3">
        <v>44</v>
      </c>
      <c r="AI70" s="3">
        <v>92</v>
      </c>
      <c r="AJ70" s="3">
        <v>109</v>
      </c>
      <c r="AK70" s="3">
        <v>66</v>
      </c>
      <c r="AL70" s="3">
        <v>34</v>
      </c>
      <c r="AM70" s="3">
        <v>24</v>
      </c>
      <c r="AN70" s="3">
        <v>20</v>
      </c>
      <c r="AO70" s="3">
        <v>98</v>
      </c>
      <c r="AP70" s="2">
        <v>2</v>
      </c>
      <c r="AQ70" s="21" t="s">
        <v>132</v>
      </c>
    </row>
    <row r="71" spans="1:43" ht="30" customHeight="1" x14ac:dyDescent="0.25">
      <c r="A71" s="16" t="s">
        <v>107</v>
      </c>
      <c r="B71" s="12" t="s">
        <v>120</v>
      </c>
      <c r="C71" s="16" t="s">
        <v>90</v>
      </c>
      <c r="D71" s="7">
        <v>44</v>
      </c>
      <c r="E71" s="25" t="s">
        <v>32</v>
      </c>
      <c r="F71" s="7">
        <v>57</v>
      </c>
      <c r="G71" s="11" t="s">
        <v>71</v>
      </c>
      <c r="H71" s="11" t="s">
        <v>72</v>
      </c>
      <c r="I71" s="3">
        <v>46</v>
      </c>
      <c r="J71" s="3">
        <v>63</v>
      </c>
      <c r="K71" s="3">
        <v>19</v>
      </c>
      <c r="L71" s="3">
        <v>14</v>
      </c>
      <c r="M71" s="3">
        <v>102</v>
      </c>
      <c r="N71" s="3">
        <v>97</v>
      </c>
      <c r="O71" s="3">
        <v>110</v>
      </c>
      <c r="P71" s="3">
        <v>77</v>
      </c>
      <c r="Q71" s="3">
        <v>42</v>
      </c>
      <c r="R71" s="3">
        <v>46</v>
      </c>
      <c r="S71" s="3">
        <v>64</v>
      </c>
      <c r="T71" s="3">
        <v>18</v>
      </c>
      <c r="U71" s="3">
        <v>13</v>
      </c>
      <c r="V71" s="3">
        <v>29</v>
      </c>
      <c r="W71" s="3">
        <v>27</v>
      </c>
      <c r="X71" s="3">
        <v>29</v>
      </c>
      <c r="Y71" s="3">
        <v>77</v>
      </c>
      <c r="Z71" s="3">
        <v>42</v>
      </c>
      <c r="AA71" s="3">
        <v>46</v>
      </c>
      <c r="AB71" s="3">
        <v>27</v>
      </c>
      <c r="AC71" s="3">
        <v>18</v>
      </c>
      <c r="AD71" s="3">
        <v>29</v>
      </c>
      <c r="AE71" s="3">
        <v>27</v>
      </c>
      <c r="AF71" s="3">
        <v>29</v>
      </c>
      <c r="AG71" s="3">
        <v>77</v>
      </c>
      <c r="AH71" s="3">
        <v>42</v>
      </c>
      <c r="AI71" s="3">
        <v>94</v>
      </c>
      <c r="AJ71" s="3">
        <v>108</v>
      </c>
      <c r="AK71" s="3">
        <v>66</v>
      </c>
      <c r="AL71" s="3">
        <v>35</v>
      </c>
      <c r="AM71" s="3">
        <v>26</v>
      </c>
      <c r="AN71" s="3">
        <v>22</v>
      </c>
      <c r="AO71" s="3">
        <v>104</v>
      </c>
      <c r="AP71" s="2">
        <v>2</v>
      </c>
      <c r="AQ71" s="21" t="s">
        <v>132</v>
      </c>
    </row>
    <row r="72" spans="1:43" ht="30" customHeight="1" x14ac:dyDescent="0.25">
      <c r="A72" s="16" t="s">
        <v>108</v>
      </c>
      <c r="B72" s="12" t="s">
        <v>121</v>
      </c>
      <c r="C72" s="16" t="s">
        <v>90</v>
      </c>
      <c r="D72" s="7">
        <v>44</v>
      </c>
      <c r="E72" s="25" t="s">
        <v>34</v>
      </c>
      <c r="F72" s="7">
        <v>57</v>
      </c>
      <c r="G72" s="11" t="s">
        <v>71</v>
      </c>
      <c r="H72" s="11" t="s">
        <v>72</v>
      </c>
      <c r="I72" s="3">
        <v>47</v>
      </c>
      <c r="J72" s="3">
        <v>63</v>
      </c>
      <c r="K72" s="3">
        <v>21</v>
      </c>
      <c r="L72" s="3">
        <v>15</v>
      </c>
      <c r="M72" s="3">
        <v>118</v>
      </c>
      <c r="N72" s="3">
        <v>115</v>
      </c>
      <c r="O72" s="3">
        <v>120</v>
      </c>
      <c r="P72" s="3">
        <v>75</v>
      </c>
      <c r="Q72" s="3">
        <v>44</v>
      </c>
      <c r="R72" s="3">
        <v>47</v>
      </c>
      <c r="S72" s="3">
        <v>64</v>
      </c>
      <c r="T72" s="3">
        <v>20</v>
      </c>
      <c r="U72" s="3">
        <v>13</v>
      </c>
      <c r="V72" s="3">
        <v>30</v>
      </c>
      <c r="W72" s="3">
        <v>28</v>
      </c>
      <c r="X72" s="3">
        <v>30</v>
      </c>
      <c r="Y72" s="3">
        <v>75</v>
      </c>
      <c r="Z72" s="3">
        <v>44</v>
      </c>
      <c r="AA72" s="3">
        <v>47</v>
      </c>
      <c r="AB72" s="3">
        <v>28</v>
      </c>
      <c r="AC72" s="3">
        <v>20</v>
      </c>
      <c r="AD72" s="3">
        <v>30</v>
      </c>
      <c r="AE72" s="3">
        <v>28</v>
      </c>
      <c r="AF72" s="3">
        <v>30</v>
      </c>
      <c r="AG72" s="3">
        <v>75</v>
      </c>
      <c r="AH72" s="3">
        <v>44</v>
      </c>
      <c r="AI72" s="3">
        <v>104</v>
      </c>
      <c r="AJ72" s="3">
        <v>116</v>
      </c>
      <c r="AK72" s="3">
        <v>76</v>
      </c>
      <c r="AL72" s="3">
        <v>37</v>
      </c>
      <c r="AM72" s="3">
        <v>27</v>
      </c>
      <c r="AN72" s="3">
        <v>21</v>
      </c>
      <c r="AO72" s="3">
        <v>103</v>
      </c>
      <c r="AP72" s="2">
        <v>2</v>
      </c>
      <c r="AQ72" s="21" t="s">
        <v>132</v>
      </c>
    </row>
    <row r="73" spans="1:43" ht="30" customHeight="1" x14ac:dyDescent="0.25">
      <c r="A73" s="16" t="s">
        <v>127</v>
      </c>
      <c r="B73" s="12" t="s">
        <v>122</v>
      </c>
      <c r="C73" s="16" t="s">
        <v>90</v>
      </c>
      <c r="D73" s="7">
        <v>42</v>
      </c>
      <c r="E73" s="25" t="s">
        <v>34</v>
      </c>
      <c r="F73" s="7">
        <v>60</v>
      </c>
      <c r="G73" s="11" t="s">
        <v>71</v>
      </c>
      <c r="H73" s="11" t="s">
        <v>72</v>
      </c>
      <c r="I73" s="3">
        <v>48</v>
      </c>
      <c r="J73" s="3">
        <v>60</v>
      </c>
      <c r="K73" s="3">
        <v>20</v>
      </c>
      <c r="L73" s="3">
        <v>15</v>
      </c>
      <c r="M73" s="3">
        <v>108</v>
      </c>
      <c r="N73" s="3">
        <v>102</v>
      </c>
      <c r="O73" s="3">
        <v>114</v>
      </c>
      <c r="P73" s="3">
        <v>75</v>
      </c>
      <c r="Q73" s="3">
        <v>43</v>
      </c>
      <c r="R73" s="3">
        <v>48</v>
      </c>
      <c r="S73" s="3">
        <v>61</v>
      </c>
      <c r="T73" s="3">
        <v>19</v>
      </c>
      <c r="U73" s="3">
        <v>13</v>
      </c>
      <c r="V73" s="3">
        <v>29</v>
      </c>
      <c r="W73" s="3">
        <v>27</v>
      </c>
      <c r="X73" s="3">
        <v>29</v>
      </c>
      <c r="Y73" s="3">
        <v>75</v>
      </c>
      <c r="Z73" s="3">
        <v>43</v>
      </c>
      <c r="AA73" s="3">
        <v>48</v>
      </c>
      <c r="AB73" s="3">
        <v>26</v>
      </c>
      <c r="AC73" s="3">
        <v>19</v>
      </c>
      <c r="AD73" s="3">
        <v>29</v>
      </c>
      <c r="AE73" s="3">
        <v>27</v>
      </c>
      <c r="AF73" s="3">
        <v>29</v>
      </c>
      <c r="AG73" s="3">
        <v>75</v>
      </c>
      <c r="AH73" s="3">
        <v>43</v>
      </c>
      <c r="AI73" s="3">
        <v>98</v>
      </c>
      <c r="AJ73" s="3">
        <v>110</v>
      </c>
      <c r="AK73" s="3">
        <v>69</v>
      </c>
      <c r="AL73" s="3">
        <v>36</v>
      </c>
      <c r="AM73" s="3">
        <v>27</v>
      </c>
      <c r="AN73" s="6">
        <v>22</v>
      </c>
      <c r="AO73" s="22">
        <v>100</v>
      </c>
      <c r="AP73" s="2">
        <v>2</v>
      </c>
      <c r="AQ73" s="21" t="s">
        <v>132</v>
      </c>
    </row>
    <row r="74" spans="1:43" ht="30" customHeight="1" x14ac:dyDescent="0.25">
      <c r="A74" s="16" t="s">
        <v>128</v>
      </c>
      <c r="B74" s="12" t="s">
        <v>123</v>
      </c>
      <c r="C74" s="16" t="s">
        <v>90</v>
      </c>
      <c r="D74" s="7">
        <v>41</v>
      </c>
      <c r="E74" s="25" t="s">
        <v>32</v>
      </c>
      <c r="F74" s="7">
        <v>57</v>
      </c>
      <c r="G74" s="11" t="s">
        <v>71</v>
      </c>
      <c r="H74" s="11" t="s">
        <v>72</v>
      </c>
      <c r="I74" s="3">
        <v>45</v>
      </c>
      <c r="J74" s="3">
        <v>63</v>
      </c>
      <c r="K74" s="3">
        <v>18</v>
      </c>
      <c r="L74" s="3">
        <v>14</v>
      </c>
      <c r="M74" s="3">
        <v>98</v>
      </c>
      <c r="N74" s="3">
        <v>94</v>
      </c>
      <c r="O74" s="3">
        <v>103</v>
      </c>
      <c r="P74" s="3">
        <v>72</v>
      </c>
      <c r="Q74" s="3">
        <v>40</v>
      </c>
      <c r="R74" s="3">
        <v>45</v>
      </c>
      <c r="S74" s="3">
        <v>64</v>
      </c>
      <c r="T74" s="3">
        <v>16</v>
      </c>
      <c r="U74" s="3">
        <v>12</v>
      </c>
      <c r="V74" s="3">
        <v>27</v>
      </c>
      <c r="W74" s="3">
        <v>25</v>
      </c>
      <c r="X74" s="3">
        <v>27</v>
      </c>
      <c r="Y74" s="3">
        <v>72</v>
      </c>
      <c r="Z74" s="3">
        <v>40</v>
      </c>
      <c r="AA74" s="3">
        <v>45</v>
      </c>
      <c r="AB74" s="3">
        <v>26</v>
      </c>
      <c r="AC74" s="3">
        <v>16</v>
      </c>
      <c r="AD74" s="3">
        <v>27</v>
      </c>
      <c r="AE74" s="3">
        <v>25</v>
      </c>
      <c r="AF74" s="3">
        <v>27</v>
      </c>
      <c r="AG74" s="3">
        <v>72</v>
      </c>
      <c r="AH74" s="3">
        <v>40</v>
      </c>
      <c r="AI74" s="3">
        <v>84</v>
      </c>
      <c r="AJ74" s="3">
        <v>100</v>
      </c>
      <c r="AK74" s="3">
        <v>66</v>
      </c>
      <c r="AL74" s="3">
        <v>32</v>
      </c>
      <c r="AM74" s="3">
        <v>24</v>
      </c>
      <c r="AN74" s="3">
        <v>19</v>
      </c>
      <c r="AO74" s="3">
        <v>104</v>
      </c>
      <c r="AP74" s="2">
        <v>2</v>
      </c>
      <c r="AQ74" s="21" t="s">
        <v>132</v>
      </c>
    </row>
    <row r="75" spans="1:43" ht="30" customHeight="1" x14ac:dyDescent="0.25">
      <c r="A75" s="16" t="s">
        <v>129</v>
      </c>
      <c r="B75" s="12" t="s">
        <v>124</v>
      </c>
      <c r="C75" s="16" t="s">
        <v>90</v>
      </c>
      <c r="D75" s="7">
        <v>41</v>
      </c>
      <c r="E75" s="25" t="s">
        <v>32</v>
      </c>
      <c r="F75" s="7">
        <v>57</v>
      </c>
      <c r="G75" s="11" t="s">
        <v>71</v>
      </c>
      <c r="H75" s="11" t="s">
        <v>72</v>
      </c>
      <c r="I75" s="3">
        <v>45</v>
      </c>
      <c r="J75" s="3">
        <v>60</v>
      </c>
      <c r="K75" s="3">
        <v>19</v>
      </c>
      <c r="L75" s="3">
        <v>14</v>
      </c>
      <c r="M75" s="3">
        <v>104</v>
      </c>
      <c r="N75" s="3">
        <v>99</v>
      </c>
      <c r="O75" s="3">
        <v>108</v>
      </c>
      <c r="P75" s="3">
        <v>68</v>
      </c>
      <c r="Q75" s="3">
        <v>42</v>
      </c>
      <c r="R75" s="3">
        <v>45</v>
      </c>
      <c r="S75" s="3">
        <v>61</v>
      </c>
      <c r="T75" s="3">
        <v>18</v>
      </c>
      <c r="U75" s="3">
        <v>13</v>
      </c>
      <c r="V75" s="3">
        <v>29</v>
      </c>
      <c r="W75" s="3">
        <v>27</v>
      </c>
      <c r="X75" s="3">
        <v>29</v>
      </c>
      <c r="Y75" s="3">
        <v>68</v>
      </c>
      <c r="Z75" s="3">
        <v>42</v>
      </c>
      <c r="AA75" s="3">
        <v>45</v>
      </c>
      <c r="AB75" s="3">
        <v>25</v>
      </c>
      <c r="AC75" s="3">
        <v>18</v>
      </c>
      <c r="AD75" s="3">
        <v>29</v>
      </c>
      <c r="AE75" s="3">
        <v>27</v>
      </c>
      <c r="AF75" s="3">
        <v>29</v>
      </c>
      <c r="AG75" s="3">
        <v>68</v>
      </c>
      <c r="AH75" s="3">
        <v>42</v>
      </c>
      <c r="AI75" s="3">
        <v>93</v>
      </c>
      <c r="AJ75" s="3">
        <v>106</v>
      </c>
      <c r="AK75" s="3">
        <v>68</v>
      </c>
      <c r="AL75" s="3">
        <v>34</v>
      </c>
      <c r="AM75" s="3">
        <v>25</v>
      </c>
      <c r="AN75" s="3">
        <v>19</v>
      </c>
      <c r="AO75" s="3">
        <v>96</v>
      </c>
      <c r="AP75" s="2">
        <v>2</v>
      </c>
      <c r="AQ75" s="21" t="s">
        <v>132</v>
      </c>
    </row>
    <row r="76" spans="1:43" ht="30" customHeight="1" x14ac:dyDescent="0.25">
      <c r="A76" s="16" t="s">
        <v>130</v>
      </c>
      <c r="B76" s="12" t="s">
        <v>125</v>
      </c>
      <c r="C76" s="16" t="s">
        <v>90</v>
      </c>
      <c r="D76" s="7">
        <v>40</v>
      </c>
      <c r="E76" s="25" t="s">
        <v>32</v>
      </c>
      <c r="F76" s="7">
        <v>54</v>
      </c>
      <c r="G76" s="11" t="s">
        <v>71</v>
      </c>
      <c r="H76" s="11" t="s">
        <v>72</v>
      </c>
      <c r="I76" s="3">
        <v>47</v>
      </c>
      <c r="J76" s="27"/>
      <c r="K76" s="3">
        <v>20</v>
      </c>
      <c r="L76" s="3">
        <v>15</v>
      </c>
      <c r="M76" s="3">
        <v>110</v>
      </c>
      <c r="N76" s="3">
        <v>106</v>
      </c>
      <c r="O76" s="3">
        <v>118</v>
      </c>
      <c r="P76" s="3">
        <v>73</v>
      </c>
      <c r="Q76" s="3">
        <v>42</v>
      </c>
      <c r="R76" s="3">
        <v>47</v>
      </c>
      <c r="S76" s="27"/>
      <c r="T76" s="3">
        <v>18</v>
      </c>
      <c r="U76" s="3">
        <v>13</v>
      </c>
      <c r="V76" s="3">
        <v>29</v>
      </c>
      <c r="W76" s="3">
        <v>27</v>
      </c>
      <c r="X76" s="3">
        <v>29</v>
      </c>
      <c r="Y76" s="3">
        <v>73</v>
      </c>
      <c r="Z76" s="3">
        <v>42</v>
      </c>
      <c r="AA76" s="3">
        <v>47</v>
      </c>
      <c r="AB76" s="3">
        <v>25</v>
      </c>
      <c r="AC76" s="3">
        <v>18</v>
      </c>
      <c r="AD76" s="3">
        <v>29</v>
      </c>
      <c r="AE76" s="3">
        <v>27</v>
      </c>
      <c r="AF76" s="3">
        <v>29</v>
      </c>
      <c r="AG76" s="3">
        <v>73</v>
      </c>
      <c r="AH76" s="3">
        <v>42</v>
      </c>
      <c r="AI76" s="3">
        <v>96</v>
      </c>
      <c r="AJ76" s="3">
        <v>116</v>
      </c>
      <c r="AK76" s="3">
        <v>68</v>
      </c>
      <c r="AL76" s="3">
        <v>35</v>
      </c>
      <c r="AM76" s="3">
        <v>25</v>
      </c>
      <c r="AN76" s="3">
        <v>19</v>
      </c>
      <c r="AO76" s="3">
        <v>98</v>
      </c>
      <c r="AP76" s="2">
        <v>2</v>
      </c>
      <c r="AQ76" s="21" t="s">
        <v>132</v>
      </c>
    </row>
    <row r="77" spans="1:43" ht="30" customHeight="1" x14ac:dyDescent="0.25">
      <c r="A77" s="16" t="s">
        <v>131</v>
      </c>
      <c r="B77" s="12" t="s">
        <v>126</v>
      </c>
      <c r="C77" s="16" t="s">
        <v>90</v>
      </c>
      <c r="D77" s="7">
        <v>40</v>
      </c>
      <c r="E77" s="25" t="s">
        <v>32</v>
      </c>
      <c r="F77" s="7">
        <v>59</v>
      </c>
      <c r="G77" s="11" t="s">
        <v>71</v>
      </c>
      <c r="H77" s="11" t="s">
        <v>72</v>
      </c>
      <c r="I77" s="3">
        <v>47</v>
      </c>
      <c r="J77" s="3">
        <v>58</v>
      </c>
      <c r="K77" s="3">
        <v>19</v>
      </c>
      <c r="L77" s="3">
        <v>14</v>
      </c>
      <c r="M77" s="3">
        <v>106</v>
      </c>
      <c r="N77" s="3">
        <v>102</v>
      </c>
      <c r="O77" s="3">
        <v>110</v>
      </c>
      <c r="P77" s="3">
        <v>68</v>
      </c>
      <c r="Q77" s="3">
        <v>42</v>
      </c>
      <c r="R77" s="3">
        <v>47</v>
      </c>
      <c r="S77" s="3">
        <v>59</v>
      </c>
      <c r="T77" s="3">
        <v>18</v>
      </c>
      <c r="U77" s="3">
        <v>13</v>
      </c>
      <c r="V77" s="3">
        <v>29</v>
      </c>
      <c r="W77" s="3">
        <v>27</v>
      </c>
      <c r="X77" s="3">
        <v>29</v>
      </c>
      <c r="Y77" s="3">
        <v>68</v>
      </c>
      <c r="Z77" s="3">
        <v>42</v>
      </c>
      <c r="AA77" s="3">
        <v>47</v>
      </c>
      <c r="AB77" s="3">
        <v>24</v>
      </c>
      <c r="AC77" s="3">
        <v>18</v>
      </c>
      <c r="AD77" s="3">
        <v>29</v>
      </c>
      <c r="AE77" s="3">
        <v>27</v>
      </c>
      <c r="AF77" s="3">
        <v>29</v>
      </c>
      <c r="AG77" s="3">
        <v>68</v>
      </c>
      <c r="AH77" s="3">
        <v>42</v>
      </c>
      <c r="AI77" s="3">
        <v>94</v>
      </c>
      <c r="AJ77" s="3">
        <v>108</v>
      </c>
      <c r="AK77" s="3">
        <v>68</v>
      </c>
      <c r="AL77" s="3">
        <v>35</v>
      </c>
      <c r="AM77" s="3">
        <v>26</v>
      </c>
      <c r="AN77" s="3">
        <v>19</v>
      </c>
      <c r="AO77" s="3">
        <v>94</v>
      </c>
      <c r="AP77" s="2">
        <v>2</v>
      </c>
      <c r="AQ77" s="21" t="s">
        <v>132</v>
      </c>
    </row>
    <row r="78" spans="1:43" ht="30" customHeight="1" x14ac:dyDescent="0.25">
      <c r="A78" s="16" t="s">
        <v>184</v>
      </c>
      <c r="B78" s="12" t="s">
        <v>171</v>
      </c>
      <c r="C78" s="16" t="s">
        <v>90</v>
      </c>
      <c r="D78" s="7">
        <v>45</v>
      </c>
      <c r="E78" s="25" t="s">
        <v>33</v>
      </c>
      <c r="F78" s="7">
        <v>60</v>
      </c>
      <c r="G78" s="11" t="s">
        <v>71</v>
      </c>
      <c r="H78" s="11" t="s">
        <v>72</v>
      </c>
      <c r="I78" s="3">
        <v>50</v>
      </c>
      <c r="J78" s="3">
        <v>64</v>
      </c>
      <c r="K78" s="3">
        <v>20</v>
      </c>
      <c r="L78" s="3">
        <v>15</v>
      </c>
      <c r="M78" s="3">
        <v>114</v>
      </c>
      <c r="N78" s="3">
        <v>112</v>
      </c>
      <c r="O78" s="3">
        <v>126</v>
      </c>
      <c r="P78" s="3">
        <v>73</v>
      </c>
      <c r="Q78" s="3">
        <v>44</v>
      </c>
      <c r="R78" s="3">
        <v>50</v>
      </c>
      <c r="S78" s="3">
        <v>65</v>
      </c>
      <c r="T78" s="3">
        <v>19</v>
      </c>
      <c r="U78" s="3">
        <v>13</v>
      </c>
      <c r="V78" s="3">
        <v>30</v>
      </c>
      <c r="W78" s="3">
        <v>28</v>
      </c>
      <c r="X78" s="3">
        <v>30</v>
      </c>
      <c r="Y78" s="3">
        <v>73</v>
      </c>
      <c r="Z78" s="3">
        <v>44</v>
      </c>
      <c r="AA78" s="3">
        <v>50</v>
      </c>
      <c r="AB78" s="3">
        <v>26</v>
      </c>
      <c r="AC78" s="3">
        <v>19</v>
      </c>
      <c r="AD78" s="3">
        <v>30</v>
      </c>
      <c r="AE78" s="3">
        <v>28</v>
      </c>
      <c r="AF78" s="3">
        <v>30</v>
      </c>
      <c r="AG78" s="3">
        <v>73</v>
      </c>
      <c r="AH78" s="3">
        <v>44</v>
      </c>
      <c r="AI78" s="3">
        <v>102</v>
      </c>
      <c r="AJ78" s="3">
        <v>122</v>
      </c>
      <c r="AK78" s="3">
        <v>77</v>
      </c>
      <c r="AL78" s="3">
        <v>38</v>
      </c>
      <c r="AM78" s="3">
        <v>27</v>
      </c>
      <c r="AN78" s="3">
        <v>23</v>
      </c>
      <c r="AO78" s="3">
        <v>101</v>
      </c>
      <c r="AP78" s="2">
        <v>3</v>
      </c>
      <c r="AQ78" s="21" t="s">
        <v>170</v>
      </c>
    </row>
    <row r="79" spans="1:43" ht="30" customHeight="1" x14ac:dyDescent="0.25">
      <c r="A79" s="16" t="s">
        <v>185</v>
      </c>
      <c r="B79" s="12" t="s">
        <v>172</v>
      </c>
      <c r="C79" s="16" t="s">
        <v>90</v>
      </c>
      <c r="D79" s="7">
        <v>41</v>
      </c>
      <c r="E79" s="25" t="s">
        <v>32</v>
      </c>
      <c r="F79" s="7">
        <v>57</v>
      </c>
      <c r="G79" s="11" t="s">
        <v>71</v>
      </c>
      <c r="H79" s="11" t="s">
        <v>72</v>
      </c>
      <c r="I79" s="3">
        <v>47</v>
      </c>
      <c r="J79" s="3">
        <v>60</v>
      </c>
      <c r="K79" s="3">
        <v>20</v>
      </c>
      <c r="L79" s="3">
        <v>15</v>
      </c>
      <c r="M79" s="3">
        <v>108</v>
      </c>
      <c r="N79" s="3">
        <v>104</v>
      </c>
      <c r="O79" s="3">
        <v>114</v>
      </c>
      <c r="P79" s="3">
        <v>70</v>
      </c>
      <c r="Q79" s="3">
        <v>42</v>
      </c>
      <c r="R79" s="3">
        <v>47</v>
      </c>
      <c r="S79" s="3">
        <v>61</v>
      </c>
      <c r="T79" s="3">
        <v>19</v>
      </c>
      <c r="U79" s="3">
        <v>13</v>
      </c>
      <c r="V79" s="3">
        <v>29</v>
      </c>
      <c r="W79" s="3">
        <v>27</v>
      </c>
      <c r="X79" s="3">
        <v>29</v>
      </c>
      <c r="Y79" s="3">
        <v>70</v>
      </c>
      <c r="Z79" s="3">
        <v>42</v>
      </c>
      <c r="AA79" s="3">
        <v>47</v>
      </c>
      <c r="AB79" s="3">
        <v>26</v>
      </c>
      <c r="AC79" s="3">
        <v>19</v>
      </c>
      <c r="AD79" s="3">
        <v>29</v>
      </c>
      <c r="AE79" s="3">
        <v>27</v>
      </c>
      <c r="AF79" s="3">
        <v>29</v>
      </c>
      <c r="AG79" s="3">
        <v>70</v>
      </c>
      <c r="AH79" s="3">
        <v>42</v>
      </c>
      <c r="AI79" s="3">
        <v>97</v>
      </c>
      <c r="AJ79" s="3">
        <v>112</v>
      </c>
      <c r="AK79" s="3">
        <v>68</v>
      </c>
      <c r="AL79" s="3">
        <v>35</v>
      </c>
      <c r="AM79" s="3">
        <v>25</v>
      </c>
      <c r="AN79" s="3">
        <v>19</v>
      </c>
      <c r="AO79" s="3">
        <v>100</v>
      </c>
      <c r="AP79" s="2">
        <v>3</v>
      </c>
      <c r="AQ79" s="21" t="s">
        <v>170</v>
      </c>
    </row>
    <row r="80" spans="1:43" ht="30" customHeight="1" x14ac:dyDescent="0.25">
      <c r="A80" s="16" t="s">
        <v>186</v>
      </c>
      <c r="B80" s="12" t="s">
        <v>173</v>
      </c>
      <c r="C80" s="16" t="s">
        <v>90</v>
      </c>
      <c r="D80" s="7">
        <v>39</v>
      </c>
      <c r="E80" s="25" t="s">
        <v>31</v>
      </c>
      <c r="F80" s="7">
        <v>55</v>
      </c>
      <c r="G80" s="11" t="s">
        <v>71</v>
      </c>
      <c r="H80" s="11" t="s">
        <v>72</v>
      </c>
      <c r="I80" s="3">
        <v>43</v>
      </c>
      <c r="J80" s="3">
        <v>56</v>
      </c>
      <c r="K80" s="3">
        <v>18</v>
      </c>
      <c r="L80" s="3">
        <v>14</v>
      </c>
      <c r="M80" s="3">
        <v>98</v>
      </c>
      <c r="N80" s="3">
        <v>93</v>
      </c>
      <c r="O80" s="3">
        <v>101</v>
      </c>
      <c r="P80" s="3">
        <v>69</v>
      </c>
      <c r="Q80" s="3">
        <v>40</v>
      </c>
      <c r="R80" s="3">
        <v>43</v>
      </c>
      <c r="S80" s="3">
        <v>57</v>
      </c>
      <c r="T80" s="3">
        <v>17</v>
      </c>
      <c r="U80" s="3">
        <v>12</v>
      </c>
      <c r="V80" s="3">
        <v>26</v>
      </c>
      <c r="W80" s="3">
        <v>25</v>
      </c>
      <c r="X80" s="3">
        <v>26</v>
      </c>
      <c r="Y80" s="3">
        <v>69</v>
      </c>
      <c r="Z80" s="3">
        <v>40</v>
      </c>
      <c r="AA80" s="3">
        <v>43</v>
      </c>
      <c r="AB80" s="3">
        <v>23</v>
      </c>
      <c r="AC80" s="3">
        <v>17</v>
      </c>
      <c r="AD80" s="3">
        <v>26.5</v>
      </c>
      <c r="AE80" s="3">
        <v>25</v>
      </c>
      <c r="AF80" s="3">
        <v>26.5</v>
      </c>
      <c r="AG80" s="3">
        <v>69</v>
      </c>
      <c r="AH80" s="3">
        <v>40</v>
      </c>
      <c r="AI80" s="3">
        <v>85</v>
      </c>
      <c r="AJ80" s="3">
        <v>98</v>
      </c>
      <c r="AK80" s="3">
        <v>65</v>
      </c>
      <c r="AL80" s="3">
        <v>32</v>
      </c>
      <c r="AM80" s="3">
        <v>25</v>
      </c>
      <c r="AN80" s="3">
        <v>20</v>
      </c>
      <c r="AO80" s="3">
        <v>90</v>
      </c>
      <c r="AP80" s="2">
        <v>3</v>
      </c>
      <c r="AQ80" s="21" t="s">
        <v>170</v>
      </c>
    </row>
    <row r="81" spans="1:43" ht="30" customHeight="1" x14ac:dyDescent="0.25">
      <c r="A81" s="16" t="s">
        <v>188</v>
      </c>
      <c r="B81" s="12" t="s">
        <v>174</v>
      </c>
      <c r="C81" s="16" t="s">
        <v>90</v>
      </c>
      <c r="D81" s="7">
        <v>41</v>
      </c>
      <c r="E81" s="25" t="s">
        <v>32</v>
      </c>
      <c r="F81" s="7">
        <v>56</v>
      </c>
      <c r="G81" s="11" t="s">
        <v>71</v>
      </c>
      <c r="H81" s="11" t="s">
        <v>72</v>
      </c>
      <c r="I81" s="3">
        <v>46</v>
      </c>
      <c r="J81" s="3">
        <v>58</v>
      </c>
      <c r="K81" s="3">
        <v>19</v>
      </c>
      <c r="L81" s="3">
        <v>14</v>
      </c>
      <c r="M81" s="3">
        <v>103</v>
      </c>
      <c r="N81" s="3">
        <v>96</v>
      </c>
      <c r="O81" s="3">
        <v>110</v>
      </c>
      <c r="P81" s="3">
        <v>68</v>
      </c>
      <c r="Q81" s="3">
        <v>42</v>
      </c>
      <c r="R81" s="3">
        <v>46</v>
      </c>
      <c r="S81" s="3">
        <v>59</v>
      </c>
      <c r="T81" s="3">
        <v>17</v>
      </c>
      <c r="U81" s="3">
        <v>13</v>
      </c>
      <c r="V81" s="3">
        <v>28</v>
      </c>
      <c r="W81" s="3">
        <v>26</v>
      </c>
      <c r="X81" s="3">
        <v>28</v>
      </c>
      <c r="Y81" s="3">
        <v>68</v>
      </c>
      <c r="Z81" s="3">
        <v>42</v>
      </c>
      <c r="AA81" s="3">
        <v>46</v>
      </c>
      <c r="AB81" s="3">
        <v>24</v>
      </c>
      <c r="AC81" s="3">
        <v>17</v>
      </c>
      <c r="AD81" s="3">
        <v>28</v>
      </c>
      <c r="AE81" s="3">
        <v>26</v>
      </c>
      <c r="AF81" s="3">
        <v>28</v>
      </c>
      <c r="AG81" s="3">
        <v>68</v>
      </c>
      <c r="AH81" s="3">
        <v>42</v>
      </c>
      <c r="AI81" s="3">
        <v>89</v>
      </c>
      <c r="AJ81" s="3">
        <v>107</v>
      </c>
      <c r="AK81" s="3">
        <v>64</v>
      </c>
      <c r="AL81" s="3">
        <v>33</v>
      </c>
      <c r="AM81" s="3">
        <v>24</v>
      </c>
      <c r="AN81" s="3">
        <v>20</v>
      </c>
      <c r="AO81" s="3">
        <v>95</v>
      </c>
      <c r="AP81" s="2">
        <v>3</v>
      </c>
      <c r="AQ81" s="21" t="s">
        <v>170</v>
      </c>
    </row>
    <row r="82" spans="1:43" ht="30" customHeight="1" x14ac:dyDescent="0.25">
      <c r="A82" s="16" t="s">
        <v>189</v>
      </c>
      <c r="B82" s="12" t="s">
        <v>175</v>
      </c>
      <c r="C82" s="16" t="s">
        <v>90</v>
      </c>
      <c r="D82" s="7">
        <v>40</v>
      </c>
      <c r="E82" s="25" t="s">
        <v>31</v>
      </c>
      <c r="F82" s="7">
        <v>57</v>
      </c>
      <c r="G82" s="11" t="s">
        <v>71</v>
      </c>
      <c r="H82" s="11" t="s">
        <v>72</v>
      </c>
      <c r="I82" s="3">
        <v>45</v>
      </c>
      <c r="J82" s="3">
        <v>58</v>
      </c>
      <c r="K82" s="3">
        <v>19</v>
      </c>
      <c r="L82" s="3">
        <v>14</v>
      </c>
      <c r="M82" s="3">
        <v>104</v>
      </c>
      <c r="N82" s="3">
        <v>96</v>
      </c>
      <c r="O82" s="3">
        <v>108</v>
      </c>
      <c r="P82" s="3">
        <v>68</v>
      </c>
      <c r="Q82" s="3">
        <v>42</v>
      </c>
      <c r="R82" s="3">
        <v>45</v>
      </c>
      <c r="S82" s="3">
        <v>59</v>
      </c>
      <c r="T82" s="3">
        <v>17</v>
      </c>
      <c r="U82" s="3">
        <v>13</v>
      </c>
      <c r="V82" s="3">
        <v>28</v>
      </c>
      <c r="W82" s="3">
        <v>27</v>
      </c>
      <c r="X82" s="3">
        <v>28</v>
      </c>
      <c r="Y82" s="3">
        <v>68</v>
      </c>
      <c r="Z82" s="3">
        <v>42</v>
      </c>
      <c r="AA82" s="3">
        <v>45</v>
      </c>
      <c r="AB82" s="3">
        <v>24</v>
      </c>
      <c r="AC82" s="3">
        <v>17</v>
      </c>
      <c r="AD82" s="3">
        <v>28</v>
      </c>
      <c r="AE82" s="3">
        <v>27</v>
      </c>
      <c r="AF82" s="3">
        <v>28</v>
      </c>
      <c r="AG82" s="3">
        <v>68</v>
      </c>
      <c r="AH82" s="3">
        <v>42</v>
      </c>
      <c r="AI82" s="3">
        <v>90</v>
      </c>
      <c r="AJ82" s="3">
        <v>107</v>
      </c>
      <c r="AK82" s="3">
        <v>68</v>
      </c>
      <c r="AL82" s="3">
        <v>34</v>
      </c>
      <c r="AM82" s="3">
        <v>25</v>
      </c>
      <c r="AN82" s="3">
        <v>19</v>
      </c>
      <c r="AO82" s="3">
        <v>95</v>
      </c>
      <c r="AP82" s="2">
        <v>3</v>
      </c>
      <c r="AQ82" s="21" t="s">
        <v>170</v>
      </c>
    </row>
    <row r="83" spans="1:43" ht="30" customHeight="1" x14ac:dyDescent="0.25">
      <c r="A83" s="16" t="s">
        <v>190</v>
      </c>
      <c r="B83" s="12" t="s">
        <v>176</v>
      </c>
      <c r="C83" s="16" t="s">
        <v>90</v>
      </c>
      <c r="D83" s="7">
        <v>43</v>
      </c>
      <c r="E83" s="25" t="s">
        <v>34</v>
      </c>
      <c r="F83" s="7">
        <v>58</v>
      </c>
      <c r="G83" s="11" t="s">
        <v>71</v>
      </c>
      <c r="H83" s="11" t="s">
        <v>72</v>
      </c>
      <c r="I83" s="3">
        <v>47</v>
      </c>
      <c r="J83" s="3">
        <v>63</v>
      </c>
      <c r="K83" s="3">
        <v>19</v>
      </c>
      <c r="L83" s="3">
        <v>14</v>
      </c>
      <c r="M83" s="3">
        <v>106</v>
      </c>
      <c r="N83" s="3">
        <v>96</v>
      </c>
      <c r="O83" s="3">
        <v>110</v>
      </c>
      <c r="P83" s="3">
        <v>73</v>
      </c>
      <c r="Q83" s="3">
        <v>42</v>
      </c>
      <c r="R83" s="3">
        <v>47</v>
      </c>
      <c r="S83" s="3">
        <v>64</v>
      </c>
      <c r="T83" s="3">
        <v>18</v>
      </c>
      <c r="U83" s="3">
        <v>13</v>
      </c>
      <c r="V83" s="3">
        <v>28</v>
      </c>
      <c r="W83" s="3">
        <v>27</v>
      </c>
      <c r="X83" s="3">
        <v>28</v>
      </c>
      <c r="Y83" s="3">
        <v>73</v>
      </c>
      <c r="Z83" s="3">
        <v>42</v>
      </c>
      <c r="AA83" s="3">
        <v>47</v>
      </c>
      <c r="AB83" s="3">
        <v>26</v>
      </c>
      <c r="AC83" s="3">
        <v>18</v>
      </c>
      <c r="AD83" s="3">
        <v>28</v>
      </c>
      <c r="AE83" s="3">
        <v>27</v>
      </c>
      <c r="AF83" s="3">
        <v>28</v>
      </c>
      <c r="AG83" s="3">
        <v>73</v>
      </c>
      <c r="AH83" s="3">
        <v>42</v>
      </c>
      <c r="AI83" s="3">
        <v>92</v>
      </c>
      <c r="AJ83" s="3">
        <v>107</v>
      </c>
      <c r="AK83" s="3">
        <v>66</v>
      </c>
      <c r="AL83" s="3">
        <v>34</v>
      </c>
      <c r="AM83" s="3">
        <v>24</v>
      </c>
      <c r="AN83" s="3">
        <v>20</v>
      </c>
      <c r="AO83" s="3">
        <v>98</v>
      </c>
      <c r="AP83" s="2">
        <v>3</v>
      </c>
      <c r="AQ83" s="21" t="s">
        <v>170</v>
      </c>
    </row>
    <row r="84" spans="1:43" ht="30" customHeight="1" x14ac:dyDescent="0.25">
      <c r="A84" s="16" t="s">
        <v>191</v>
      </c>
      <c r="B84" s="13" t="s">
        <v>177</v>
      </c>
      <c r="C84" s="16" t="s">
        <v>90</v>
      </c>
      <c r="D84" s="7">
        <v>41</v>
      </c>
      <c r="E84" s="25" t="s">
        <v>31</v>
      </c>
      <c r="F84" s="7">
        <v>58</v>
      </c>
      <c r="G84" s="11" t="s">
        <v>71</v>
      </c>
      <c r="H84" s="11" t="s">
        <v>72</v>
      </c>
      <c r="I84" s="3">
        <v>44</v>
      </c>
      <c r="J84" s="3">
        <v>61</v>
      </c>
      <c r="K84" s="3">
        <v>19</v>
      </c>
      <c r="L84" s="3">
        <v>14</v>
      </c>
      <c r="M84" s="3">
        <v>100</v>
      </c>
      <c r="N84" s="3">
        <v>94</v>
      </c>
      <c r="O84" s="3">
        <v>104</v>
      </c>
      <c r="P84" s="3">
        <v>72</v>
      </c>
      <c r="Q84" s="3">
        <v>41</v>
      </c>
      <c r="R84" s="3">
        <v>44</v>
      </c>
      <c r="S84" s="3">
        <v>62</v>
      </c>
      <c r="T84" s="3">
        <v>16</v>
      </c>
      <c r="U84" s="3">
        <v>12</v>
      </c>
      <c r="V84" s="3">
        <v>27</v>
      </c>
      <c r="W84" s="3">
        <v>25</v>
      </c>
      <c r="X84" s="3">
        <v>27</v>
      </c>
      <c r="Y84" s="3">
        <v>72</v>
      </c>
      <c r="Z84" s="3">
        <v>41</v>
      </c>
      <c r="AA84" s="3">
        <v>44</v>
      </c>
      <c r="AB84" s="3">
        <v>26</v>
      </c>
      <c r="AC84" s="3">
        <v>16</v>
      </c>
      <c r="AD84" s="3">
        <v>27</v>
      </c>
      <c r="AE84" s="3">
        <v>25</v>
      </c>
      <c r="AF84" s="3">
        <v>27</v>
      </c>
      <c r="AG84" s="3">
        <v>72</v>
      </c>
      <c r="AH84" s="3">
        <v>41</v>
      </c>
      <c r="AI84" s="3">
        <v>85</v>
      </c>
      <c r="AJ84" s="3">
        <v>103</v>
      </c>
      <c r="AK84" s="3">
        <v>66</v>
      </c>
      <c r="AL84" s="3">
        <v>32</v>
      </c>
      <c r="AM84" s="3">
        <v>24</v>
      </c>
      <c r="AN84" s="3">
        <v>20</v>
      </c>
      <c r="AO84" s="6">
        <v>104</v>
      </c>
      <c r="AP84" s="2">
        <v>3</v>
      </c>
      <c r="AQ84" s="21" t="s">
        <v>170</v>
      </c>
    </row>
    <row r="85" spans="1:43" ht="30" customHeight="1" x14ac:dyDescent="0.25">
      <c r="A85" s="16" t="s">
        <v>192</v>
      </c>
      <c r="B85" s="13" t="s">
        <v>178</v>
      </c>
      <c r="C85" s="16" t="s">
        <v>90</v>
      </c>
      <c r="D85" s="7">
        <v>41</v>
      </c>
      <c r="E85" s="25" t="s">
        <v>31</v>
      </c>
      <c r="F85" s="7">
        <v>55</v>
      </c>
      <c r="G85" s="11" t="s">
        <v>71</v>
      </c>
      <c r="H85" s="11" t="s">
        <v>72</v>
      </c>
      <c r="I85" s="3">
        <v>44</v>
      </c>
      <c r="J85" s="3">
        <v>58</v>
      </c>
      <c r="K85" s="3">
        <v>18</v>
      </c>
      <c r="L85" s="3">
        <v>14</v>
      </c>
      <c r="M85" s="3">
        <v>99</v>
      </c>
      <c r="N85" s="3">
        <v>89</v>
      </c>
      <c r="O85" s="3">
        <v>105</v>
      </c>
      <c r="P85" s="3">
        <v>70</v>
      </c>
      <c r="Q85" s="3">
        <v>40</v>
      </c>
      <c r="R85" s="3">
        <v>44</v>
      </c>
      <c r="S85" s="3">
        <v>59</v>
      </c>
      <c r="T85" s="3">
        <v>16</v>
      </c>
      <c r="U85" s="3">
        <v>12</v>
      </c>
      <c r="V85" s="3">
        <v>27</v>
      </c>
      <c r="W85" s="3">
        <v>24</v>
      </c>
      <c r="X85" s="3">
        <v>27</v>
      </c>
      <c r="Y85" s="3">
        <v>70</v>
      </c>
      <c r="Z85" s="3">
        <v>40</v>
      </c>
      <c r="AA85" s="3">
        <v>44</v>
      </c>
      <c r="AB85" s="3">
        <v>25</v>
      </c>
      <c r="AC85" s="3">
        <v>16</v>
      </c>
      <c r="AD85" s="3">
        <v>27</v>
      </c>
      <c r="AE85" s="3">
        <v>24</v>
      </c>
      <c r="AF85" s="3">
        <v>27</v>
      </c>
      <c r="AG85" s="3">
        <v>70</v>
      </c>
      <c r="AH85" s="3">
        <v>40</v>
      </c>
      <c r="AI85" s="3">
        <v>82</v>
      </c>
      <c r="AJ85" s="3">
        <v>101</v>
      </c>
      <c r="AK85" s="3">
        <v>64</v>
      </c>
      <c r="AL85" s="3">
        <v>31</v>
      </c>
      <c r="AM85" s="3">
        <v>24</v>
      </c>
      <c r="AN85" s="3">
        <v>19</v>
      </c>
      <c r="AO85" s="3">
        <v>95</v>
      </c>
      <c r="AP85" s="2">
        <v>3</v>
      </c>
      <c r="AQ85" s="21" t="s">
        <v>170</v>
      </c>
    </row>
    <row r="86" spans="1:43" ht="30" customHeight="1" x14ac:dyDescent="0.25">
      <c r="A86" s="16" t="s">
        <v>193</v>
      </c>
      <c r="B86" s="13" t="s">
        <v>179</v>
      </c>
      <c r="C86" s="16" t="s">
        <v>90</v>
      </c>
      <c r="D86" s="7">
        <v>42</v>
      </c>
      <c r="E86" s="25" t="s">
        <v>32</v>
      </c>
      <c r="F86" s="7">
        <v>55</v>
      </c>
      <c r="G86" s="11" t="s">
        <v>71</v>
      </c>
      <c r="H86" s="11" t="s">
        <v>72</v>
      </c>
      <c r="I86" s="3">
        <v>44</v>
      </c>
      <c r="J86" s="3">
        <v>60</v>
      </c>
      <c r="K86" s="3">
        <v>18</v>
      </c>
      <c r="L86" s="3">
        <v>14</v>
      </c>
      <c r="M86" s="3">
        <v>94</v>
      </c>
      <c r="N86" s="3">
        <v>88</v>
      </c>
      <c r="O86" s="3">
        <v>102</v>
      </c>
      <c r="P86" s="3">
        <v>70</v>
      </c>
      <c r="Q86" s="3">
        <v>39</v>
      </c>
      <c r="R86" s="3">
        <v>44</v>
      </c>
      <c r="S86" s="3">
        <v>61</v>
      </c>
      <c r="T86" s="3">
        <v>16</v>
      </c>
      <c r="U86" s="3">
        <v>12</v>
      </c>
      <c r="V86" s="3">
        <v>27</v>
      </c>
      <c r="W86" s="3">
        <v>24</v>
      </c>
      <c r="X86" s="3">
        <v>27</v>
      </c>
      <c r="Y86" s="3">
        <v>70</v>
      </c>
      <c r="Z86" s="3">
        <v>39</v>
      </c>
      <c r="AA86" s="3">
        <v>44</v>
      </c>
      <c r="AB86" s="3">
        <v>26</v>
      </c>
      <c r="AC86" s="3">
        <v>16</v>
      </c>
      <c r="AD86" s="3">
        <v>27</v>
      </c>
      <c r="AE86" s="3">
        <v>24</v>
      </c>
      <c r="AF86" s="3">
        <v>27</v>
      </c>
      <c r="AG86" s="3">
        <v>70</v>
      </c>
      <c r="AH86" s="3">
        <v>39</v>
      </c>
      <c r="AI86" s="3">
        <v>82</v>
      </c>
      <c r="AJ86" s="3">
        <v>98</v>
      </c>
      <c r="AK86" s="3">
        <v>62</v>
      </c>
      <c r="AL86" s="3">
        <v>31</v>
      </c>
      <c r="AM86" s="3">
        <v>24</v>
      </c>
      <c r="AN86" s="3">
        <v>20</v>
      </c>
      <c r="AO86" s="3">
        <v>102</v>
      </c>
      <c r="AP86" s="2">
        <v>3</v>
      </c>
      <c r="AQ86" s="21" t="s">
        <v>170</v>
      </c>
    </row>
    <row r="87" spans="1:43" ht="30" customHeight="1" x14ac:dyDescent="0.25">
      <c r="A87" s="16" t="s">
        <v>194</v>
      </c>
      <c r="B87" s="13" t="s">
        <v>180</v>
      </c>
      <c r="C87" s="16" t="s">
        <v>90</v>
      </c>
      <c r="D87" s="7">
        <v>39</v>
      </c>
      <c r="E87" s="25" t="s">
        <v>34</v>
      </c>
      <c r="F87" s="7">
        <v>57</v>
      </c>
      <c r="G87" s="11" t="s">
        <v>71</v>
      </c>
      <c r="H87" s="11" t="s">
        <v>72</v>
      </c>
      <c r="I87" s="3">
        <v>48</v>
      </c>
      <c r="J87" s="3">
        <v>54</v>
      </c>
      <c r="K87" s="3">
        <v>20</v>
      </c>
      <c r="L87" s="3">
        <v>15</v>
      </c>
      <c r="M87" s="3">
        <v>110</v>
      </c>
      <c r="N87" s="3">
        <v>106</v>
      </c>
      <c r="O87" s="3">
        <v>114</v>
      </c>
      <c r="P87" s="3">
        <v>67</v>
      </c>
      <c r="Q87" s="3">
        <v>42</v>
      </c>
      <c r="R87" s="3">
        <v>48</v>
      </c>
      <c r="S87" s="3">
        <v>55</v>
      </c>
      <c r="T87" s="3">
        <v>19</v>
      </c>
      <c r="U87" s="3">
        <v>13</v>
      </c>
      <c r="V87" s="3">
        <v>29</v>
      </c>
      <c r="W87" s="3">
        <v>27</v>
      </c>
      <c r="X87" s="3">
        <v>29</v>
      </c>
      <c r="Y87" s="3">
        <v>67</v>
      </c>
      <c r="Z87" s="3">
        <v>42</v>
      </c>
      <c r="AA87" s="3">
        <v>48</v>
      </c>
      <c r="AB87" s="3">
        <v>23</v>
      </c>
      <c r="AC87" s="3">
        <v>19</v>
      </c>
      <c r="AD87" s="3">
        <v>29</v>
      </c>
      <c r="AE87" s="3">
        <v>27</v>
      </c>
      <c r="AF87" s="3">
        <v>29</v>
      </c>
      <c r="AG87" s="3">
        <v>67</v>
      </c>
      <c r="AH87" s="3">
        <v>42</v>
      </c>
      <c r="AI87" s="3">
        <v>98</v>
      </c>
      <c r="AJ87" s="3">
        <v>110</v>
      </c>
      <c r="AK87" s="3">
        <v>70</v>
      </c>
      <c r="AL87" s="3">
        <v>36</v>
      </c>
      <c r="AM87" s="3">
        <v>26</v>
      </c>
      <c r="AN87" s="3">
        <v>21</v>
      </c>
      <c r="AO87" s="3">
        <v>86</v>
      </c>
      <c r="AP87" s="2">
        <v>3</v>
      </c>
      <c r="AQ87" s="21" t="s">
        <v>170</v>
      </c>
    </row>
    <row r="88" spans="1:43" ht="30" customHeight="1" x14ac:dyDescent="0.25">
      <c r="A88" s="16" t="s">
        <v>195</v>
      </c>
      <c r="B88" s="13" t="s">
        <v>181</v>
      </c>
      <c r="C88" s="16" t="s">
        <v>90</v>
      </c>
      <c r="D88" s="7">
        <v>41</v>
      </c>
      <c r="E88" s="25" t="s">
        <v>32</v>
      </c>
      <c r="F88" s="7">
        <v>53</v>
      </c>
      <c r="G88" s="11" t="s">
        <v>71</v>
      </c>
      <c r="H88" s="11" t="s">
        <v>72</v>
      </c>
      <c r="I88" s="3">
        <v>45</v>
      </c>
      <c r="J88" s="3">
        <v>60</v>
      </c>
      <c r="K88" s="3">
        <v>18</v>
      </c>
      <c r="L88" s="3">
        <v>14</v>
      </c>
      <c r="M88" s="3">
        <v>98</v>
      </c>
      <c r="N88" s="3">
        <v>92</v>
      </c>
      <c r="O88" s="3">
        <v>102</v>
      </c>
      <c r="P88" s="3">
        <v>72</v>
      </c>
      <c r="Q88" s="3">
        <v>39</v>
      </c>
      <c r="R88" s="3">
        <v>45</v>
      </c>
      <c r="S88" s="3">
        <v>61</v>
      </c>
      <c r="T88" s="3">
        <v>16</v>
      </c>
      <c r="U88" s="3">
        <v>12</v>
      </c>
      <c r="V88" s="3">
        <v>26</v>
      </c>
      <c r="W88" s="3">
        <v>24</v>
      </c>
      <c r="X88" s="3">
        <v>26</v>
      </c>
      <c r="Y88" s="3">
        <v>72</v>
      </c>
      <c r="Z88" s="3">
        <v>39</v>
      </c>
      <c r="AA88" s="3">
        <v>45</v>
      </c>
      <c r="AB88" s="3">
        <v>25</v>
      </c>
      <c r="AC88" s="3">
        <v>16</v>
      </c>
      <c r="AD88" s="3">
        <v>26</v>
      </c>
      <c r="AE88" s="3">
        <v>24</v>
      </c>
      <c r="AF88" s="3">
        <v>26</v>
      </c>
      <c r="AG88" s="3">
        <v>72</v>
      </c>
      <c r="AH88" s="3">
        <v>39</v>
      </c>
      <c r="AI88" s="3">
        <v>80</v>
      </c>
      <c r="AJ88" s="3">
        <v>102</v>
      </c>
      <c r="AK88" s="3">
        <v>64</v>
      </c>
      <c r="AL88" s="3">
        <v>29</v>
      </c>
      <c r="AM88" s="3">
        <v>23</v>
      </c>
      <c r="AN88" s="3">
        <v>18</v>
      </c>
      <c r="AO88" s="3">
        <v>96</v>
      </c>
      <c r="AP88" s="2">
        <v>3</v>
      </c>
      <c r="AQ88" s="21" t="s">
        <v>170</v>
      </c>
    </row>
    <row r="89" spans="1:43" ht="30" customHeight="1" x14ac:dyDescent="0.25">
      <c r="A89" s="16" t="s">
        <v>196</v>
      </c>
      <c r="B89" s="13" t="s">
        <v>182</v>
      </c>
      <c r="C89" s="16" t="s">
        <v>90</v>
      </c>
      <c r="D89" s="7">
        <v>40</v>
      </c>
      <c r="E89" s="25" t="s">
        <v>31</v>
      </c>
      <c r="F89" s="7">
        <v>56</v>
      </c>
      <c r="G89" s="11" t="s">
        <v>71</v>
      </c>
      <c r="H89" s="11" t="s">
        <v>72</v>
      </c>
      <c r="I89" s="3">
        <v>46</v>
      </c>
      <c r="J89" s="3">
        <v>53</v>
      </c>
      <c r="K89" s="3">
        <v>18</v>
      </c>
      <c r="L89" s="3">
        <v>14</v>
      </c>
      <c r="M89" s="3">
        <v>100</v>
      </c>
      <c r="N89" s="3">
        <v>88</v>
      </c>
      <c r="O89" s="3">
        <v>104</v>
      </c>
      <c r="P89" s="3">
        <v>67</v>
      </c>
      <c r="Q89" s="3">
        <v>40</v>
      </c>
      <c r="R89" s="3">
        <v>46</v>
      </c>
      <c r="S89" s="3">
        <v>54</v>
      </c>
      <c r="T89" s="3">
        <v>17</v>
      </c>
      <c r="U89" s="3">
        <v>13</v>
      </c>
      <c r="V89" s="3">
        <v>27</v>
      </c>
      <c r="W89" s="3">
        <v>24</v>
      </c>
      <c r="X89" s="3">
        <v>27</v>
      </c>
      <c r="Y89" s="3">
        <v>67</v>
      </c>
      <c r="Z89" s="3">
        <v>40</v>
      </c>
      <c r="AA89" s="3">
        <v>46</v>
      </c>
      <c r="AB89" s="3">
        <v>24</v>
      </c>
      <c r="AC89" s="3">
        <v>17</v>
      </c>
      <c r="AD89" s="3">
        <v>27</v>
      </c>
      <c r="AE89" s="3">
        <v>24</v>
      </c>
      <c r="AF89" s="3">
        <v>27</v>
      </c>
      <c r="AG89" s="3">
        <v>67</v>
      </c>
      <c r="AH89" s="3">
        <v>40</v>
      </c>
      <c r="AI89" s="3">
        <v>85</v>
      </c>
      <c r="AJ89" s="3">
        <v>100</v>
      </c>
      <c r="AK89" s="3">
        <v>69</v>
      </c>
      <c r="AL89" s="3">
        <v>33</v>
      </c>
      <c r="AM89" s="3">
        <v>24</v>
      </c>
      <c r="AN89" s="3">
        <v>19</v>
      </c>
      <c r="AO89" s="3">
        <v>89</v>
      </c>
      <c r="AP89" s="2">
        <v>3</v>
      </c>
      <c r="AQ89" s="21" t="s">
        <v>170</v>
      </c>
    </row>
    <row r="90" spans="1:43" ht="30" customHeight="1" x14ac:dyDescent="0.25">
      <c r="A90" s="16" t="s">
        <v>187</v>
      </c>
      <c r="B90" s="13" t="s">
        <v>183</v>
      </c>
      <c r="C90" s="16" t="s">
        <v>90</v>
      </c>
      <c r="D90" s="7">
        <v>43</v>
      </c>
      <c r="E90" s="25" t="s">
        <v>34</v>
      </c>
      <c r="F90" s="7">
        <v>57</v>
      </c>
      <c r="G90" s="11" t="s">
        <v>71</v>
      </c>
      <c r="H90" s="11" t="s">
        <v>72</v>
      </c>
      <c r="I90" s="3">
        <v>49</v>
      </c>
      <c r="J90" s="3">
        <v>60</v>
      </c>
      <c r="K90" s="3">
        <v>20</v>
      </c>
      <c r="L90" s="3">
        <v>15</v>
      </c>
      <c r="M90" s="3">
        <v>110</v>
      </c>
      <c r="N90" s="3">
        <v>106</v>
      </c>
      <c r="O90" s="3">
        <v>116</v>
      </c>
      <c r="P90" s="3">
        <v>71</v>
      </c>
      <c r="Q90" s="3">
        <v>42</v>
      </c>
      <c r="R90" s="3">
        <v>49</v>
      </c>
      <c r="S90" s="3">
        <v>61</v>
      </c>
      <c r="T90" s="3">
        <v>19</v>
      </c>
      <c r="U90" s="3">
        <v>13</v>
      </c>
      <c r="V90" s="3">
        <v>30</v>
      </c>
      <c r="W90" s="3">
        <v>30</v>
      </c>
      <c r="X90" s="3">
        <v>30</v>
      </c>
      <c r="Y90" s="3">
        <v>71</v>
      </c>
      <c r="Z90" s="3">
        <v>42</v>
      </c>
      <c r="AA90" s="3">
        <v>49</v>
      </c>
      <c r="AB90" s="3">
        <v>25</v>
      </c>
      <c r="AC90" s="3">
        <v>19</v>
      </c>
      <c r="AD90" s="3">
        <v>30</v>
      </c>
      <c r="AE90" s="3">
        <v>30</v>
      </c>
      <c r="AF90" s="3">
        <v>30</v>
      </c>
      <c r="AG90" s="3">
        <v>71</v>
      </c>
      <c r="AH90" s="3">
        <v>42</v>
      </c>
      <c r="AI90" s="3">
        <v>100</v>
      </c>
      <c r="AJ90" s="3">
        <v>114</v>
      </c>
      <c r="AK90" s="3">
        <v>70</v>
      </c>
      <c r="AL90" s="3">
        <v>36</v>
      </c>
      <c r="AM90" s="3">
        <v>27</v>
      </c>
      <c r="AN90" s="3">
        <v>22</v>
      </c>
      <c r="AO90" s="3">
        <v>100</v>
      </c>
      <c r="AP90" s="2">
        <v>3</v>
      </c>
      <c r="AQ90" s="21" t="s">
        <v>170</v>
      </c>
    </row>
    <row r="91" spans="1:43" ht="30" customHeight="1" x14ac:dyDescent="0.25">
      <c r="A91" s="16" t="s">
        <v>213</v>
      </c>
      <c r="B91" s="13" t="s">
        <v>209</v>
      </c>
      <c r="C91" s="16" t="s">
        <v>90</v>
      </c>
      <c r="D91" s="7">
        <v>41</v>
      </c>
      <c r="E91" s="25" t="s">
        <v>31</v>
      </c>
      <c r="F91" s="7">
        <v>57</v>
      </c>
      <c r="G91" s="11" t="s">
        <v>71</v>
      </c>
      <c r="H91" s="11" t="s">
        <v>72</v>
      </c>
      <c r="I91" s="3">
        <v>45</v>
      </c>
      <c r="J91" s="3">
        <v>58</v>
      </c>
      <c r="K91" s="3">
        <v>18</v>
      </c>
      <c r="L91" s="3">
        <v>14</v>
      </c>
      <c r="M91" s="3">
        <v>102</v>
      </c>
      <c r="N91" s="3">
        <v>94</v>
      </c>
      <c r="O91" s="3">
        <v>104</v>
      </c>
      <c r="P91" s="3">
        <v>67</v>
      </c>
      <c r="Q91" s="3">
        <v>38</v>
      </c>
      <c r="R91" s="3">
        <v>45</v>
      </c>
      <c r="S91" s="3">
        <v>59</v>
      </c>
      <c r="T91" s="3">
        <v>16</v>
      </c>
      <c r="U91" s="3">
        <v>12</v>
      </c>
      <c r="V91" s="3">
        <v>27</v>
      </c>
      <c r="W91" s="3">
        <v>25</v>
      </c>
      <c r="X91" s="3">
        <v>27</v>
      </c>
      <c r="Y91" s="3">
        <v>67</v>
      </c>
      <c r="Z91" s="3">
        <v>38</v>
      </c>
      <c r="AA91" s="3">
        <v>45</v>
      </c>
      <c r="AB91" s="3">
        <v>24</v>
      </c>
      <c r="AC91" s="3">
        <v>17</v>
      </c>
      <c r="AD91" s="3">
        <v>27</v>
      </c>
      <c r="AE91" s="3">
        <v>25</v>
      </c>
      <c r="AF91" s="3">
        <v>27</v>
      </c>
      <c r="AG91" s="3">
        <v>67</v>
      </c>
      <c r="AH91" s="3">
        <v>38</v>
      </c>
      <c r="AI91" s="22">
        <v>81</v>
      </c>
      <c r="AJ91" s="6">
        <v>102</v>
      </c>
      <c r="AK91" s="6">
        <v>66</v>
      </c>
      <c r="AL91" s="6">
        <v>32</v>
      </c>
      <c r="AM91" s="6">
        <v>23</v>
      </c>
      <c r="AN91" s="6">
        <v>19</v>
      </c>
      <c r="AO91" s="3" t="s">
        <v>248</v>
      </c>
      <c r="AP91" s="28">
        <v>4</v>
      </c>
      <c r="AQ91" s="33" t="s">
        <v>231</v>
      </c>
    </row>
    <row r="92" spans="1:43" ht="30" customHeight="1" x14ac:dyDescent="0.25">
      <c r="A92" s="8" t="s">
        <v>242</v>
      </c>
      <c r="B92" s="13" t="s">
        <v>236</v>
      </c>
      <c r="C92" s="16" t="s">
        <v>90</v>
      </c>
      <c r="D92" s="7">
        <v>43</v>
      </c>
      <c r="E92" s="25" t="s">
        <v>33</v>
      </c>
      <c r="F92" s="7">
        <v>59</v>
      </c>
      <c r="G92" s="11" t="s">
        <v>71</v>
      </c>
      <c r="H92" s="11" t="s">
        <v>72</v>
      </c>
      <c r="I92" s="3">
        <v>48</v>
      </c>
      <c r="J92" s="3">
        <v>59</v>
      </c>
      <c r="K92" s="3">
        <v>21</v>
      </c>
      <c r="L92" s="3">
        <v>16</v>
      </c>
      <c r="M92" s="3">
        <v>120</v>
      </c>
      <c r="N92" s="3">
        <v>118</v>
      </c>
      <c r="O92" s="3">
        <v>126</v>
      </c>
      <c r="P92" s="3">
        <v>70</v>
      </c>
      <c r="Q92" s="3">
        <v>45</v>
      </c>
      <c r="R92" s="3">
        <v>48</v>
      </c>
      <c r="S92" s="3">
        <v>60</v>
      </c>
      <c r="T92" s="3">
        <v>20</v>
      </c>
      <c r="U92" s="3">
        <v>13</v>
      </c>
      <c r="V92" s="3">
        <v>31</v>
      </c>
      <c r="W92" s="3">
        <v>29</v>
      </c>
      <c r="X92" s="3">
        <v>31</v>
      </c>
      <c r="Y92" s="3">
        <v>70</v>
      </c>
      <c r="Z92" s="3">
        <v>45</v>
      </c>
      <c r="AA92" s="3">
        <v>48</v>
      </c>
      <c r="AB92" s="3">
        <v>26</v>
      </c>
      <c r="AC92" s="3">
        <v>20</v>
      </c>
      <c r="AD92" s="3">
        <v>31</v>
      </c>
      <c r="AE92" s="3">
        <v>29</v>
      </c>
      <c r="AF92" s="3">
        <v>31</v>
      </c>
      <c r="AG92" s="3">
        <v>70</v>
      </c>
      <c r="AH92" s="3">
        <v>45</v>
      </c>
      <c r="AI92" s="3">
        <v>106</v>
      </c>
      <c r="AJ92" s="3">
        <v>120</v>
      </c>
      <c r="AK92" s="3">
        <v>72</v>
      </c>
      <c r="AL92" s="3">
        <v>37</v>
      </c>
      <c r="AM92" s="3">
        <v>27</v>
      </c>
      <c r="AN92" s="3">
        <v>21</v>
      </c>
      <c r="AO92" s="3">
        <v>91</v>
      </c>
      <c r="AP92" s="28">
        <v>4</v>
      </c>
      <c r="AQ92" s="33" t="s">
        <v>231</v>
      </c>
    </row>
    <row r="93" spans="1:43" ht="30" customHeight="1" x14ac:dyDescent="0.25">
      <c r="A93" s="8" t="s">
        <v>243</v>
      </c>
      <c r="B93" s="13" t="s">
        <v>237</v>
      </c>
      <c r="C93" s="16" t="s">
        <v>90</v>
      </c>
      <c r="D93" s="7">
        <v>40</v>
      </c>
      <c r="E93" s="25" t="s">
        <v>31</v>
      </c>
      <c r="F93" s="7">
        <v>57</v>
      </c>
      <c r="G93" s="11" t="s">
        <v>71</v>
      </c>
      <c r="H93" s="11" t="s">
        <v>72</v>
      </c>
      <c r="I93" s="3">
        <v>44</v>
      </c>
      <c r="J93" s="3">
        <v>55</v>
      </c>
      <c r="K93" s="3">
        <v>18</v>
      </c>
      <c r="L93" s="3">
        <v>14</v>
      </c>
      <c r="M93" s="3">
        <v>98</v>
      </c>
      <c r="N93" s="3">
        <v>93</v>
      </c>
      <c r="O93" s="3">
        <v>104</v>
      </c>
      <c r="P93" s="3">
        <v>68</v>
      </c>
      <c r="Q93" s="3">
        <v>39</v>
      </c>
      <c r="R93" s="3">
        <v>44</v>
      </c>
      <c r="S93" s="3">
        <v>56</v>
      </c>
      <c r="T93" s="3">
        <v>16</v>
      </c>
      <c r="U93" s="3">
        <v>12</v>
      </c>
      <c r="V93" s="3">
        <v>27</v>
      </c>
      <c r="W93" s="3">
        <v>24</v>
      </c>
      <c r="X93" s="3">
        <v>27</v>
      </c>
      <c r="Y93" s="3">
        <v>68</v>
      </c>
      <c r="Z93" s="3">
        <v>39</v>
      </c>
      <c r="AA93" s="3">
        <v>44</v>
      </c>
      <c r="AB93" s="3">
        <v>23</v>
      </c>
      <c r="AC93" s="3">
        <v>16</v>
      </c>
      <c r="AD93" s="3">
        <v>27</v>
      </c>
      <c r="AE93" s="3">
        <v>24</v>
      </c>
      <c r="AF93" s="3">
        <v>27</v>
      </c>
      <c r="AG93" s="3">
        <v>68</v>
      </c>
      <c r="AH93" s="3">
        <v>39</v>
      </c>
      <c r="AI93" s="3">
        <v>83</v>
      </c>
      <c r="AJ93" s="3">
        <v>102</v>
      </c>
      <c r="AK93" s="3">
        <v>66</v>
      </c>
      <c r="AL93" s="3">
        <v>31</v>
      </c>
      <c r="AM93" s="3">
        <v>24</v>
      </c>
      <c r="AN93" s="3">
        <v>20</v>
      </c>
      <c r="AO93" s="3">
        <v>90</v>
      </c>
      <c r="AP93" s="28">
        <v>4</v>
      </c>
      <c r="AQ93" s="33" t="s">
        <v>231</v>
      </c>
    </row>
    <row r="94" spans="1:43" ht="30" customHeight="1" x14ac:dyDescent="0.25">
      <c r="A94" s="8" t="s">
        <v>244</v>
      </c>
      <c r="B94" s="13" t="s">
        <v>238</v>
      </c>
      <c r="C94" s="16" t="s">
        <v>90</v>
      </c>
      <c r="D94" s="7">
        <v>40</v>
      </c>
      <c r="E94" s="25" t="s">
        <v>31</v>
      </c>
      <c r="F94" s="7">
        <v>57</v>
      </c>
      <c r="G94" s="11" t="s">
        <v>71</v>
      </c>
      <c r="H94" s="11" t="s">
        <v>72</v>
      </c>
      <c r="I94" s="3">
        <v>44</v>
      </c>
      <c r="J94" s="3">
        <v>60</v>
      </c>
      <c r="K94" s="3">
        <v>18</v>
      </c>
      <c r="L94" s="3">
        <v>14</v>
      </c>
      <c r="M94" s="3">
        <v>98</v>
      </c>
      <c r="N94" s="3">
        <v>90</v>
      </c>
      <c r="O94" s="3">
        <v>106</v>
      </c>
      <c r="P94" s="3">
        <v>70</v>
      </c>
      <c r="Q94" s="3">
        <v>40</v>
      </c>
      <c r="R94" s="3">
        <v>44</v>
      </c>
      <c r="S94" s="3">
        <v>61</v>
      </c>
      <c r="T94" s="3">
        <v>16</v>
      </c>
      <c r="U94" s="3">
        <v>12</v>
      </c>
      <c r="V94" s="3">
        <v>26</v>
      </c>
      <c r="W94" s="3">
        <v>24</v>
      </c>
      <c r="X94" s="3">
        <v>26</v>
      </c>
      <c r="Y94" s="3">
        <v>70</v>
      </c>
      <c r="Z94" s="3">
        <v>40</v>
      </c>
      <c r="AA94" s="3">
        <v>44</v>
      </c>
      <c r="AB94" s="3">
        <v>26</v>
      </c>
      <c r="AC94" s="3">
        <v>16</v>
      </c>
      <c r="AD94" s="3">
        <v>26</v>
      </c>
      <c r="AE94" s="3">
        <v>24</v>
      </c>
      <c r="AF94" s="3">
        <v>26</v>
      </c>
      <c r="AG94" s="3">
        <v>70</v>
      </c>
      <c r="AH94" s="3">
        <v>40</v>
      </c>
      <c r="AI94" s="3">
        <v>80</v>
      </c>
      <c r="AJ94" s="3">
        <v>104</v>
      </c>
      <c r="AK94" s="3">
        <v>66</v>
      </c>
      <c r="AL94" s="3">
        <v>31</v>
      </c>
      <c r="AM94" s="3">
        <v>24</v>
      </c>
      <c r="AN94" s="3">
        <v>19</v>
      </c>
      <c r="AO94" s="3">
        <v>95</v>
      </c>
      <c r="AP94" s="28">
        <v>4</v>
      </c>
      <c r="AQ94" s="33" t="s">
        <v>231</v>
      </c>
    </row>
    <row r="95" spans="1:43" ht="30" customHeight="1" x14ac:dyDescent="0.25">
      <c r="A95" s="8" t="s">
        <v>245</v>
      </c>
      <c r="B95" s="13" t="s">
        <v>239</v>
      </c>
      <c r="C95" s="16" t="s">
        <v>90</v>
      </c>
      <c r="D95" s="7">
        <v>42</v>
      </c>
      <c r="E95" s="25" t="s">
        <v>32</v>
      </c>
      <c r="F95" s="7">
        <v>58</v>
      </c>
      <c r="G95" s="11" t="s">
        <v>71</v>
      </c>
      <c r="H95" s="11" t="s">
        <v>72</v>
      </c>
      <c r="I95" s="3">
        <v>46</v>
      </c>
      <c r="J95" s="3">
        <v>61</v>
      </c>
      <c r="K95" s="3">
        <v>20</v>
      </c>
      <c r="L95" s="3">
        <v>15</v>
      </c>
      <c r="M95" s="3">
        <v>112</v>
      </c>
      <c r="N95" s="3">
        <v>108</v>
      </c>
      <c r="O95" s="3">
        <v>115</v>
      </c>
      <c r="P95" s="3">
        <v>72</v>
      </c>
      <c r="Q95" s="3">
        <v>42</v>
      </c>
      <c r="R95" s="3">
        <v>46</v>
      </c>
      <c r="S95" s="3">
        <v>62</v>
      </c>
      <c r="T95" s="3">
        <v>19</v>
      </c>
      <c r="U95" s="3">
        <v>13</v>
      </c>
      <c r="V95" s="3">
        <v>30</v>
      </c>
      <c r="W95" s="3">
        <v>28</v>
      </c>
      <c r="X95" s="3">
        <v>30</v>
      </c>
      <c r="Y95" s="3">
        <v>72</v>
      </c>
      <c r="Z95" s="3">
        <v>42</v>
      </c>
      <c r="AA95" s="3">
        <v>46</v>
      </c>
      <c r="AB95" s="3">
        <v>26</v>
      </c>
      <c r="AC95" s="3">
        <v>19</v>
      </c>
      <c r="AD95" s="3">
        <v>30</v>
      </c>
      <c r="AE95" s="3">
        <v>28</v>
      </c>
      <c r="AF95" s="3">
        <v>30</v>
      </c>
      <c r="AG95" s="3">
        <v>72</v>
      </c>
      <c r="AH95" s="3">
        <v>42</v>
      </c>
      <c r="AI95" s="3">
        <v>99</v>
      </c>
      <c r="AJ95" s="3">
        <v>112</v>
      </c>
      <c r="AK95" s="3">
        <v>70</v>
      </c>
      <c r="AL95" s="3">
        <v>35</v>
      </c>
      <c r="AM95" s="3">
        <v>26</v>
      </c>
      <c r="AN95" s="3">
        <v>21</v>
      </c>
      <c r="AO95" s="3">
        <v>95</v>
      </c>
      <c r="AP95" s="28">
        <v>4</v>
      </c>
      <c r="AQ95" s="33" t="s">
        <v>231</v>
      </c>
    </row>
    <row r="96" spans="1:43" ht="30" customHeight="1" x14ac:dyDescent="0.25">
      <c r="A96" s="8" t="s">
        <v>246</v>
      </c>
      <c r="B96" s="13" t="s">
        <v>240</v>
      </c>
      <c r="C96" s="16" t="s">
        <v>90</v>
      </c>
      <c r="D96" s="7">
        <v>42</v>
      </c>
      <c r="E96" s="25" t="s">
        <v>32</v>
      </c>
      <c r="F96" s="7">
        <v>57</v>
      </c>
      <c r="G96" s="11" t="s">
        <v>71</v>
      </c>
      <c r="H96" s="11" t="s">
        <v>72</v>
      </c>
      <c r="I96" s="3">
        <v>48</v>
      </c>
      <c r="J96" s="3">
        <v>59</v>
      </c>
      <c r="K96" s="3">
        <v>19</v>
      </c>
      <c r="L96" s="3">
        <v>14</v>
      </c>
      <c r="M96" s="3">
        <v>107</v>
      </c>
      <c r="N96" s="3">
        <v>98</v>
      </c>
      <c r="O96" s="3">
        <v>112</v>
      </c>
      <c r="P96" s="3">
        <v>73</v>
      </c>
      <c r="Q96" s="3">
        <v>41</v>
      </c>
      <c r="R96" s="3">
        <v>45</v>
      </c>
      <c r="S96" s="3">
        <v>60</v>
      </c>
      <c r="T96" s="3">
        <v>18</v>
      </c>
      <c r="U96" s="3">
        <v>13</v>
      </c>
      <c r="V96" s="3">
        <v>28</v>
      </c>
      <c r="W96" s="3">
        <v>26</v>
      </c>
      <c r="X96" s="3">
        <v>28</v>
      </c>
      <c r="Y96" s="3">
        <v>73</v>
      </c>
      <c r="Z96" s="3">
        <v>41</v>
      </c>
      <c r="AA96" s="3">
        <v>45</v>
      </c>
      <c r="AB96" s="3">
        <v>26</v>
      </c>
      <c r="AC96" s="3">
        <v>18</v>
      </c>
      <c r="AD96" s="3">
        <v>28</v>
      </c>
      <c r="AE96" s="3">
        <v>26</v>
      </c>
      <c r="AF96" s="3">
        <v>28</v>
      </c>
      <c r="AG96" s="3">
        <v>73</v>
      </c>
      <c r="AH96" s="3">
        <v>41</v>
      </c>
      <c r="AI96" s="3">
        <v>90</v>
      </c>
      <c r="AJ96" s="3">
        <v>110</v>
      </c>
      <c r="AK96" s="3">
        <v>71</v>
      </c>
      <c r="AL96" s="3">
        <v>34</v>
      </c>
      <c r="AM96" s="3">
        <v>26</v>
      </c>
      <c r="AN96" s="3">
        <v>21</v>
      </c>
      <c r="AO96" s="3">
        <v>99</v>
      </c>
      <c r="AP96" s="28">
        <v>4</v>
      </c>
      <c r="AQ96" s="33" t="s">
        <v>231</v>
      </c>
    </row>
    <row r="97" spans="1:46" ht="30" customHeight="1" x14ac:dyDescent="0.25">
      <c r="A97" s="8" t="s">
        <v>247</v>
      </c>
      <c r="B97" s="13" t="s">
        <v>241</v>
      </c>
      <c r="C97" s="16" t="s">
        <v>90</v>
      </c>
      <c r="D97" s="7">
        <v>41</v>
      </c>
      <c r="E97" s="25" t="s">
        <v>32</v>
      </c>
      <c r="F97" s="7">
        <v>55</v>
      </c>
      <c r="G97" s="11" t="s">
        <v>71</v>
      </c>
      <c r="H97" s="11" t="s">
        <v>72</v>
      </c>
      <c r="I97" s="3">
        <v>45</v>
      </c>
      <c r="J97" s="3">
        <v>61</v>
      </c>
      <c r="K97" s="3">
        <v>18</v>
      </c>
      <c r="L97" s="3">
        <v>14</v>
      </c>
      <c r="M97" s="3">
        <v>96</v>
      </c>
      <c r="N97" s="3">
        <v>92</v>
      </c>
      <c r="O97" s="3">
        <v>106</v>
      </c>
      <c r="P97" s="3">
        <v>69</v>
      </c>
      <c r="Q97" s="3">
        <v>38</v>
      </c>
      <c r="R97" s="3">
        <v>45</v>
      </c>
      <c r="S97" s="3">
        <v>62</v>
      </c>
      <c r="T97" s="3">
        <v>17</v>
      </c>
      <c r="U97" s="3">
        <v>13</v>
      </c>
      <c r="V97" s="3">
        <v>28</v>
      </c>
      <c r="W97" s="3">
        <v>27</v>
      </c>
      <c r="X97" s="3">
        <v>28</v>
      </c>
      <c r="Y97" s="3">
        <v>69</v>
      </c>
      <c r="Z97" s="3">
        <v>38</v>
      </c>
      <c r="AA97" s="3">
        <v>45</v>
      </c>
      <c r="AB97" s="3">
        <v>24</v>
      </c>
      <c r="AC97" s="3">
        <v>17</v>
      </c>
      <c r="AD97" s="3">
        <v>28</v>
      </c>
      <c r="AE97" s="3">
        <v>27</v>
      </c>
      <c r="AF97" s="3">
        <v>28</v>
      </c>
      <c r="AG97" s="3">
        <v>69</v>
      </c>
      <c r="AH97" s="3">
        <v>38</v>
      </c>
      <c r="AI97" s="3">
        <v>87</v>
      </c>
      <c r="AJ97" s="3">
        <v>105</v>
      </c>
      <c r="AK97" s="3">
        <v>68</v>
      </c>
      <c r="AL97" s="3">
        <v>34</v>
      </c>
      <c r="AM97" s="3">
        <v>26</v>
      </c>
      <c r="AN97" s="3">
        <v>20</v>
      </c>
      <c r="AO97" s="3">
        <v>97</v>
      </c>
      <c r="AP97" s="28">
        <v>4</v>
      </c>
      <c r="AQ97" s="33" t="s">
        <v>231</v>
      </c>
    </row>
    <row r="98" spans="1:46" ht="30" customHeight="1" x14ac:dyDescent="0.25">
      <c r="A98" s="35" t="s">
        <v>256</v>
      </c>
      <c r="B98" s="36" t="s">
        <v>249</v>
      </c>
      <c r="C98" s="16" t="s">
        <v>90</v>
      </c>
      <c r="D98" s="37">
        <v>40</v>
      </c>
      <c r="E98" s="38" t="s">
        <v>32</v>
      </c>
      <c r="F98" s="37">
        <v>57</v>
      </c>
      <c r="G98" s="11" t="s">
        <v>71</v>
      </c>
      <c r="H98" s="11" t="s">
        <v>72</v>
      </c>
      <c r="I98" s="3">
        <v>46</v>
      </c>
      <c r="J98" s="3">
        <v>60</v>
      </c>
      <c r="K98" s="3">
        <v>19</v>
      </c>
      <c r="L98" s="3">
        <v>14</v>
      </c>
      <c r="M98" s="3">
        <v>104</v>
      </c>
      <c r="N98" s="3">
        <v>98</v>
      </c>
      <c r="O98" s="3">
        <v>112</v>
      </c>
      <c r="P98" s="3">
        <v>70</v>
      </c>
      <c r="Q98" s="3">
        <v>42</v>
      </c>
      <c r="R98" s="3">
        <v>46</v>
      </c>
      <c r="S98" s="3">
        <v>61</v>
      </c>
      <c r="T98" s="3">
        <v>18</v>
      </c>
      <c r="U98" s="3">
        <v>13</v>
      </c>
      <c r="V98" s="3">
        <v>28</v>
      </c>
      <c r="W98" s="3">
        <v>28</v>
      </c>
      <c r="X98" s="3">
        <v>28</v>
      </c>
      <c r="Y98" s="3">
        <v>70</v>
      </c>
      <c r="Z98" s="3">
        <v>42</v>
      </c>
      <c r="AA98" s="3">
        <v>46</v>
      </c>
      <c r="AB98" s="3">
        <v>26</v>
      </c>
      <c r="AC98" s="3">
        <v>18</v>
      </c>
      <c r="AD98" s="3">
        <v>28</v>
      </c>
      <c r="AE98" s="3">
        <v>28</v>
      </c>
      <c r="AF98" s="3">
        <v>28</v>
      </c>
      <c r="AG98" s="3">
        <v>70</v>
      </c>
      <c r="AH98" s="3">
        <v>42</v>
      </c>
      <c r="AI98" s="3">
        <v>92</v>
      </c>
      <c r="AJ98" s="3">
        <v>110</v>
      </c>
      <c r="AK98" s="3">
        <v>68</v>
      </c>
      <c r="AL98" s="3">
        <v>34</v>
      </c>
      <c r="AM98" s="3">
        <v>26</v>
      </c>
      <c r="AN98" s="3">
        <v>20</v>
      </c>
      <c r="AO98" s="3">
        <v>98</v>
      </c>
      <c r="AP98" s="28">
        <v>4</v>
      </c>
      <c r="AQ98" s="40" t="s">
        <v>272</v>
      </c>
    </row>
    <row r="99" spans="1:46" ht="30" customHeight="1" x14ac:dyDescent="0.25">
      <c r="A99" s="35" t="s">
        <v>257</v>
      </c>
      <c r="B99" s="36" t="s">
        <v>250</v>
      </c>
      <c r="C99" s="16" t="s">
        <v>90</v>
      </c>
      <c r="D99" s="37">
        <v>42</v>
      </c>
      <c r="E99" s="38" t="s">
        <v>31</v>
      </c>
      <c r="F99" s="37">
        <v>58</v>
      </c>
      <c r="G99" s="11" t="s">
        <v>71</v>
      </c>
      <c r="H99" s="11" t="s">
        <v>72</v>
      </c>
      <c r="I99" s="3">
        <v>44</v>
      </c>
      <c r="J99" s="3">
        <v>59</v>
      </c>
      <c r="K99" s="3">
        <v>18</v>
      </c>
      <c r="L99" s="3">
        <v>14</v>
      </c>
      <c r="M99" s="3">
        <v>94</v>
      </c>
      <c r="N99" s="3">
        <v>87</v>
      </c>
      <c r="O99" s="3">
        <v>98</v>
      </c>
      <c r="P99" s="3">
        <v>70</v>
      </c>
      <c r="Q99" s="3">
        <v>38</v>
      </c>
      <c r="R99" s="3">
        <v>44</v>
      </c>
      <c r="S99" s="3">
        <v>60</v>
      </c>
      <c r="T99" s="3">
        <v>16</v>
      </c>
      <c r="U99" s="3">
        <v>12</v>
      </c>
      <c r="V99" s="3">
        <v>26</v>
      </c>
      <c r="W99" s="3">
        <v>24</v>
      </c>
      <c r="X99" s="3">
        <v>26</v>
      </c>
      <c r="Y99" s="3">
        <v>70</v>
      </c>
      <c r="Z99" s="3">
        <v>38</v>
      </c>
      <c r="AA99" s="3">
        <v>44</v>
      </c>
      <c r="AB99" s="3">
        <v>26</v>
      </c>
      <c r="AC99" s="3">
        <v>16</v>
      </c>
      <c r="AD99" s="3">
        <v>26</v>
      </c>
      <c r="AE99" s="3">
        <v>24</v>
      </c>
      <c r="AF99" s="3">
        <v>26</v>
      </c>
      <c r="AG99" s="3">
        <v>70</v>
      </c>
      <c r="AH99" s="3">
        <v>38</v>
      </c>
      <c r="AI99" s="3">
        <v>78</v>
      </c>
      <c r="AJ99" s="3">
        <v>92</v>
      </c>
      <c r="AK99" s="3">
        <v>66</v>
      </c>
      <c r="AL99" s="3">
        <v>30</v>
      </c>
      <c r="AM99" s="3">
        <v>24</v>
      </c>
      <c r="AN99" s="3">
        <v>19</v>
      </c>
      <c r="AO99" s="3">
        <v>99</v>
      </c>
      <c r="AP99" s="28">
        <v>4</v>
      </c>
      <c r="AQ99" s="40" t="s">
        <v>272</v>
      </c>
    </row>
    <row r="100" spans="1:46" ht="30" customHeight="1" x14ac:dyDescent="0.25">
      <c r="A100" s="35" t="s">
        <v>258</v>
      </c>
      <c r="B100" s="36" t="s">
        <v>251</v>
      </c>
      <c r="C100" s="16" t="s">
        <v>90</v>
      </c>
      <c r="D100" s="37">
        <v>42</v>
      </c>
      <c r="E100" s="38" t="s">
        <v>34</v>
      </c>
      <c r="F100" s="37">
        <v>58</v>
      </c>
      <c r="G100" s="11" t="s">
        <v>71</v>
      </c>
      <c r="H100" s="11" t="s">
        <v>72</v>
      </c>
      <c r="I100" s="3">
        <v>46</v>
      </c>
      <c r="J100" s="3">
        <v>62</v>
      </c>
      <c r="K100" s="3">
        <v>18</v>
      </c>
      <c r="L100" s="3">
        <v>14</v>
      </c>
      <c r="M100" s="3">
        <v>100</v>
      </c>
      <c r="N100" s="3">
        <v>94</v>
      </c>
      <c r="O100" s="3">
        <v>108</v>
      </c>
      <c r="P100" s="3">
        <v>74</v>
      </c>
      <c r="Q100" s="3">
        <v>40</v>
      </c>
      <c r="R100" s="3">
        <v>46</v>
      </c>
      <c r="S100" s="3">
        <v>63</v>
      </c>
      <c r="T100" s="3">
        <v>16</v>
      </c>
      <c r="U100" s="3">
        <v>12</v>
      </c>
      <c r="V100" s="3">
        <v>27</v>
      </c>
      <c r="W100" s="3">
        <v>24</v>
      </c>
      <c r="X100" s="3">
        <v>27</v>
      </c>
      <c r="Y100" s="3">
        <v>74</v>
      </c>
      <c r="Z100" s="3">
        <v>40</v>
      </c>
      <c r="AA100" s="3">
        <v>46</v>
      </c>
      <c r="AB100" s="3">
        <v>26</v>
      </c>
      <c r="AC100" s="3">
        <v>16</v>
      </c>
      <c r="AD100" s="3">
        <v>27</v>
      </c>
      <c r="AE100" s="3">
        <v>24</v>
      </c>
      <c r="AF100" s="3">
        <v>27</v>
      </c>
      <c r="AG100" s="3">
        <v>74</v>
      </c>
      <c r="AH100" s="3">
        <v>40</v>
      </c>
      <c r="AI100" s="3">
        <v>84</v>
      </c>
      <c r="AJ100" s="3">
        <v>104</v>
      </c>
      <c r="AK100" s="3">
        <v>70</v>
      </c>
      <c r="AL100" s="3">
        <v>32</v>
      </c>
      <c r="AM100" s="3">
        <v>26</v>
      </c>
      <c r="AN100" s="3">
        <v>19</v>
      </c>
      <c r="AO100" s="3">
        <v>102</v>
      </c>
      <c r="AP100" s="28">
        <v>4</v>
      </c>
      <c r="AQ100" s="40" t="s">
        <v>272</v>
      </c>
    </row>
    <row r="101" spans="1:46" ht="30" customHeight="1" x14ac:dyDescent="0.25">
      <c r="A101" s="35" t="s">
        <v>259</v>
      </c>
      <c r="B101" s="36" t="s">
        <v>252</v>
      </c>
      <c r="C101" s="16" t="s">
        <v>90</v>
      </c>
      <c r="D101" s="37">
        <v>41</v>
      </c>
      <c r="E101" s="38" t="s">
        <v>32</v>
      </c>
      <c r="F101" s="37">
        <v>57</v>
      </c>
      <c r="G101" s="11" t="s">
        <v>71</v>
      </c>
      <c r="H101" s="11" t="s">
        <v>72</v>
      </c>
      <c r="I101" s="3">
        <v>44</v>
      </c>
      <c r="J101" s="3">
        <v>63</v>
      </c>
      <c r="K101" s="3">
        <v>18</v>
      </c>
      <c r="L101" s="3">
        <v>14</v>
      </c>
      <c r="M101" s="3">
        <v>98</v>
      </c>
      <c r="N101" s="3">
        <v>93</v>
      </c>
      <c r="O101" s="3">
        <v>104</v>
      </c>
      <c r="P101" s="3">
        <v>71</v>
      </c>
      <c r="Q101" s="3">
        <v>40</v>
      </c>
      <c r="R101" s="3">
        <v>44</v>
      </c>
      <c r="S101" s="3">
        <v>64</v>
      </c>
      <c r="T101" s="3">
        <v>16</v>
      </c>
      <c r="U101" s="3">
        <v>12</v>
      </c>
      <c r="V101" s="3">
        <v>27</v>
      </c>
      <c r="W101" s="3">
        <v>25</v>
      </c>
      <c r="X101" s="3">
        <v>27</v>
      </c>
      <c r="Y101" s="3">
        <v>74</v>
      </c>
      <c r="Z101" s="3">
        <v>40</v>
      </c>
      <c r="AA101" s="3">
        <v>44</v>
      </c>
      <c r="AB101" s="3">
        <v>26</v>
      </c>
      <c r="AC101" s="3">
        <v>16</v>
      </c>
      <c r="AD101" s="3">
        <v>27</v>
      </c>
      <c r="AE101" s="3">
        <v>25</v>
      </c>
      <c r="AF101" s="3">
        <v>27</v>
      </c>
      <c r="AG101" s="3">
        <v>74</v>
      </c>
      <c r="AH101" s="3">
        <v>40</v>
      </c>
      <c r="AI101" s="3">
        <v>85</v>
      </c>
      <c r="AJ101" s="3">
        <v>100</v>
      </c>
      <c r="AK101" s="3">
        <v>64</v>
      </c>
      <c r="AL101" s="3">
        <v>32</v>
      </c>
      <c r="AM101" s="3">
        <v>25</v>
      </c>
      <c r="AN101" s="3">
        <v>19</v>
      </c>
      <c r="AO101" s="3">
        <v>103</v>
      </c>
      <c r="AP101" s="28">
        <v>4</v>
      </c>
      <c r="AQ101" s="40" t="s">
        <v>272</v>
      </c>
    </row>
    <row r="102" spans="1:46" ht="30" customHeight="1" x14ac:dyDescent="0.25">
      <c r="A102" s="35" t="s">
        <v>260</v>
      </c>
      <c r="B102" s="36" t="s">
        <v>253</v>
      </c>
      <c r="C102" s="16" t="s">
        <v>90</v>
      </c>
      <c r="D102" s="37">
        <v>41</v>
      </c>
      <c r="E102" s="38" t="s">
        <v>32</v>
      </c>
      <c r="F102" s="37">
        <v>60</v>
      </c>
      <c r="G102" s="11" t="s">
        <v>71</v>
      </c>
      <c r="H102" s="11" t="s">
        <v>72</v>
      </c>
      <c r="I102" s="3">
        <v>45</v>
      </c>
      <c r="J102" s="3">
        <v>60</v>
      </c>
      <c r="K102" s="3">
        <v>19</v>
      </c>
      <c r="L102" s="3">
        <v>14</v>
      </c>
      <c r="M102" s="3">
        <v>104</v>
      </c>
      <c r="N102" s="3">
        <v>100</v>
      </c>
      <c r="O102" s="3">
        <v>108</v>
      </c>
      <c r="P102" s="3">
        <v>70</v>
      </c>
      <c r="Q102" s="3">
        <v>41</v>
      </c>
      <c r="R102" s="3">
        <v>45</v>
      </c>
      <c r="S102" s="3">
        <v>61</v>
      </c>
      <c r="T102" s="3">
        <v>18</v>
      </c>
      <c r="U102" s="3">
        <v>13</v>
      </c>
      <c r="V102" s="3">
        <v>28</v>
      </c>
      <c r="W102" s="3">
        <v>28</v>
      </c>
      <c r="X102" s="3">
        <v>28</v>
      </c>
      <c r="Y102" s="3">
        <v>70</v>
      </c>
      <c r="Z102" s="3">
        <v>41</v>
      </c>
      <c r="AA102" s="3">
        <v>45</v>
      </c>
      <c r="AB102" s="3">
        <v>24</v>
      </c>
      <c r="AC102" s="3">
        <v>18</v>
      </c>
      <c r="AD102" s="3">
        <v>28</v>
      </c>
      <c r="AE102" s="3">
        <v>28</v>
      </c>
      <c r="AF102" s="3">
        <v>28</v>
      </c>
      <c r="AG102" s="3">
        <v>70</v>
      </c>
      <c r="AH102" s="3">
        <v>41</v>
      </c>
      <c r="AI102" s="3">
        <v>92</v>
      </c>
      <c r="AJ102" s="3">
        <v>106</v>
      </c>
      <c r="AK102" s="3">
        <v>66</v>
      </c>
      <c r="AL102" s="3">
        <v>34</v>
      </c>
      <c r="AM102" s="3">
        <v>26</v>
      </c>
      <c r="AN102" s="3">
        <v>20</v>
      </c>
      <c r="AO102" s="3">
        <v>94</v>
      </c>
      <c r="AP102" s="28">
        <v>4</v>
      </c>
      <c r="AQ102" s="40" t="s">
        <v>272</v>
      </c>
    </row>
    <row r="103" spans="1:46" ht="30" customHeight="1" x14ac:dyDescent="0.25">
      <c r="A103" s="35" t="s">
        <v>261</v>
      </c>
      <c r="B103" s="36" t="s">
        <v>254</v>
      </c>
      <c r="C103" s="16" t="s">
        <v>90</v>
      </c>
      <c r="D103" s="37">
        <v>42</v>
      </c>
      <c r="E103" s="38" t="s">
        <v>34</v>
      </c>
      <c r="F103" s="37">
        <v>57</v>
      </c>
      <c r="G103" s="11" t="s">
        <v>71</v>
      </c>
      <c r="H103" s="11" t="s">
        <v>72</v>
      </c>
      <c r="I103" s="3">
        <v>45</v>
      </c>
      <c r="J103" s="3">
        <v>56</v>
      </c>
      <c r="K103" s="3">
        <v>19</v>
      </c>
      <c r="L103" s="3">
        <v>14</v>
      </c>
      <c r="M103" s="3">
        <v>106</v>
      </c>
      <c r="N103" s="3">
        <v>100</v>
      </c>
      <c r="O103" s="3">
        <v>112</v>
      </c>
      <c r="P103" s="3">
        <v>73</v>
      </c>
      <c r="Q103" s="3">
        <v>40</v>
      </c>
      <c r="R103" s="3">
        <v>45</v>
      </c>
      <c r="S103" s="3">
        <v>57</v>
      </c>
      <c r="T103" s="3">
        <v>18</v>
      </c>
      <c r="U103" s="3">
        <v>13</v>
      </c>
      <c r="V103" s="3">
        <v>28</v>
      </c>
      <c r="W103" s="3">
        <v>28</v>
      </c>
      <c r="X103" s="3">
        <v>28</v>
      </c>
      <c r="Y103" s="3">
        <v>73</v>
      </c>
      <c r="Z103" s="3">
        <v>40</v>
      </c>
      <c r="AA103" s="3">
        <v>45</v>
      </c>
      <c r="AB103" s="3">
        <v>26</v>
      </c>
      <c r="AC103" s="3">
        <v>18</v>
      </c>
      <c r="AD103" s="3">
        <v>28</v>
      </c>
      <c r="AE103" s="3">
        <v>28</v>
      </c>
      <c r="AF103" s="39">
        <v>28</v>
      </c>
      <c r="AG103" s="3">
        <v>73</v>
      </c>
      <c r="AH103" s="3">
        <v>40</v>
      </c>
      <c r="AI103" s="3">
        <v>92</v>
      </c>
      <c r="AJ103" s="3">
        <v>110</v>
      </c>
      <c r="AK103" s="3">
        <v>67</v>
      </c>
      <c r="AL103" s="3">
        <v>34</v>
      </c>
      <c r="AM103" s="3">
        <v>26</v>
      </c>
      <c r="AN103" s="3">
        <v>22</v>
      </c>
      <c r="AO103" s="3">
        <v>100</v>
      </c>
      <c r="AP103" s="28">
        <v>4</v>
      </c>
      <c r="AQ103" s="40" t="s">
        <v>272</v>
      </c>
    </row>
    <row r="104" spans="1:46" ht="30" customHeight="1" x14ac:dyDescent="0.25">
      <c r="A104" s="35" t="s">
        <v>262</v>
      </c>
      <c r="B104" s="36" t="s">
        <v>255</v>
      </c>
      <c r="C104" s="16" t="s">
        <v>90</v>
      </c>
      <c r="D104" s="37">
        <v>43</v>
      </c>
      <c r="E104" s="38" t="s">
        <v>34</v>
      </c>
      <c r="F104" s="37">
        <v>59</v>
      </c>
      <c r="G104" s="11" t="s">
        <v>71</v>
      </c>
      <c r="H104" s="11" t="s">
        <v>72</v>
      </c>
      <c r="I104" s="3">
        <v>46</v>
      </c>
      <c r="J104" s="3">
        <v>62</v>
      </c>
      <c r="K104" s="3">
        <v>20</v>
      </c>
      <c r="L104" s="3">
        <v>14</v>
      </c>
      <c r="M104" s="3">
        <v>107</v>
      </c>
      <c r="N104" s="3">
        <v>104</v>
      </c>
      <c r="O104" s="3">
        <v>114</v>
      </c>
      <c r="P104" s="3">
        <v>73</v>
      </c>
      <c r="Q104" s="3">
        <v>43</v>
      </c>
      <c r="R104" s="3">
        <v>46</v>
      </c>
      <c r="S104" s="3">
        <v>63</v>
      </c>
      <c r="T104" s="3">
        <v>18</v>
      </c>
      <c r="U104" s="3">
        <v>13</v>
      </c>
      <c r="V104" s="3">
        <v>28</v>
      </c>
      <c r="W104" s="3">
        <v>27</v>
      </c>
      <c r="X104" s="3">
        <v>28</v>
      </c>
      <c r="Y104" s="3">
        <v>73</v>
      </c>
      <c r="Z104" s="3">
        <v>43</v>
      </c>
      <c r="AA104" s="3">
        <v>46</v>
      </c>
      <c r="AB104" s="3">
        <v>26</v>
      </c>
      <c r="AC104" s="3">
        <v>18</v>
      </c>
      <c r="AD104" s="3">
        <v>28</v>
      </c>
      <c r="AE104" s="3">
        <v>27</v>
      </c>
      <c r="AF104" s="3">
        <v>28</v>
      </c>
      <c r="AG104" s="3">
        <v>73</v>
      </c>
      <c r="AH104" s="3">
        <v>43</v>
      </c>
      <c r="AI104" s="3">
        <v>94</v>
      </c>
      <c r="AJ104" s="3">
        <v>108</v>
      </c>
      <c r="AK104" s="3">
        <v>68</v>
      </c>
      <c r="AL104" s="3">
        <v>35</v>
      </c>
      <c r="AM104" s="3">
        <v>26</v>
      </c>
      <c r="AN104" s="3">
        <v>21</v>
      </c>
      <c r="AO104" s="3">
        <v>99</v>
      </c>
      <c r="AP104" s="28">
        <v>4</v>
      </c>
      <c r="AQ104" s="40" t="s">
        <v>272</v>
      </c>
    </row>
    <row r="105" spans="1:46" ht="30" customHeight="1" x14ac:dyDescent="0.25">
      <c r="A105" s="35"/>
      <c r="B105" s="36"/>
      <c r="C105" s="45"/>
      <c r="D105" s="37"/>
      <c r="E105" s="38"/>
      <c r="F105" s="37"/>
      <c r="G105" s="46"/>
      <c r="H105" s="46"/>
      <c r="I105" s="49"/>
      <c r="AP105" s="28"/>
    </row>
    <row r="106" spans="1:46" ht="30" customHeight="1" x14ac:dyDescent="0.25">
      <c r="A106" s="45" t="s">
        <v>280</v>
      </c>
      <c r="C106" s="45"/>
      <c r="D106" s="1"/>
      <c r="E106" s="47"/>
      <c r="F106" s="1"/>
      <c r="G106" s="48"/>
      <c r="H106" s="48"/>
      <c r="I106" s="49">
        <f>SUBTOTAL(104,Table3[UBN_1])</f>
        <v>54</v>
      </c>
      <c r="J106" s="49">
        <f>SUBTOTAL(104,Table3[UBN_2])</f>
        <v>68</v>
      </c>
      <c r="K106" s="49">
        <f>SUBTOTAL(104,Table3[UBN_3])</f>
        <v>23</v>
      </c>
      <c r="L106" s="49">
        <f>SUBTOTAL(104,Table3[UBN_4])</f>
        <v>18</v>
      </c>
      <c r="M106" s="49">
        <f>SUBTOTAL(104,Table3[UBN_5])</f>
        <v>135</v>
      </c>
      <c r="N106" s="49">
        <f>SUBTOTAL(104,Table3[UBN_6])</f>
        <v>135</v>
      </c>
      <c r="O106" s="49">
        <f>SUBTOTAL(104,Table3[UBN_7])</f>
        <v>145</v>
      </c>
      <c r="P106" s="49">
        <f>SUBTOTAL(104,Table3[UBN_8])</f>
        <v>81</v>
      </c>
      <c r="Q106" s="49">
        <f>SUBTOTAL(104,Table3[UBN_9])</f>
        <v>47</v>
      </c>
      <c r="R106" s="49">
        <f>SUBTOTAL(104,Table3[UH_1])</f>
        <v>54</v>
      </c>
      <c r="S106" s="49">
        <f>SUBTOTAL(104,Table3[UH_2])</f>
        <v>69</v>
      </c>
      <c r="T106" s="49">
        <f>SUBTOTAL(104,Table3[UH_3])</f>
        <v>22</v>
      </c>
      <c r="U106" s="49">
        <f>SUBTOTAL(104,Table3[UH_4])</f>
        <v>16</v>
      </c>
      <c r="V106" s="49">
        <f>SUBTOTAL(104,Table3[UH_5])</f>
        <v>37</v>
      </c>
      <c r="W106" s="49">
        <f>SUBTOTAL(104,Table3[UH_6])</f>
        <v>37</v>
      </c>
      <c r="X106" s="49">
        <f>SUBTOTAL(104,Table3[UH_7])</f>
        <v>37</v>
      </c>
      <c r="Y106" s="49">
        <f>SUBTOTAL(104,Table3[UH_8])</f>
        <v>80</v>
      </c>
      <c r="Z106" s="49">
        <f>SUBTOTAL(104,Table3[UH_9])</f>
        <v>47</v>
      </c>
      <c r="AA106" s="49">
        <f>SUBTOTAL(104,Table3[UB_1])</f>
        <v>54</v>
      </c>
      <c r="AB106" s="49">
        <f>SUBTOTAL(104,Table3[UB_2])</f>
        <v>29</v>
      </c>
      <c r="AC106" s="49">
        <f>SUBTOTAL(104,Table3[UB_3])</f>
        <v>22</v>
      </c>
      <c r="AD106" s="49">
        <f>SUBTOTAL(104,Table3[UB_4])</f>
        <v>37</v>
      </c>
      <c r="AE106" s="49">
        <f>SUBTOTAL(104,Table3[UB_5])</f>
        <v>37</v>
      </c>
      <c r="AF106" s="49">
        <f>SUBTOTAL(104,Table3[UB_6])</f>
        <v>37</v>
      </c>
      <c r="AG106" s="49">
        <f>SUBTOTAL(104,Table3[UB_7])</f>
        <v>80</v>
      </c>
      <c r="AH106" s="49">
        <f>SUBTOTAL(104,Table3[UB_8])</f>
        <v>47</v>
      </c>
      <c r="AI106" s="49">
        <f>SUBTOTAL(104,Table3[UC_1])</f>
        <v>126</v>
      </c>
      <c r="AJ106" s="49">
        <f>SUBTOTAL(104,Table3[UC_2])</f>
        <v>140</v>
      </c>
      <c r="AK106" s="49">
        <f>SUBTOTAL(104,Table3[UC_3])</f>
        <v>80</v>
      </c>
      <c r="AL106" s="49">
        <f>SUBTOTAL(104,Table3[UC_4])</f>
        <v>43</v>
      </c>
      <c r="AM106" s="49">
        <f>SUBTOTAL(104,Table3[UC_5])</f>
        <v>32</v>
      </c>
      <c r="AN106" s="49">
        <f>SUBTOTAL(104,Table3[UC_6])</f>
        <v>24</v>
      </c>
      <c r="AO106" s="49">
        <f>SUBTOTAL(104,Table3[UC_7])</f>
        <v>107</v>
      </c>
      <c r="AP106" s="49">
        <f>SUBTOTAL(104,Table3[CETAK KE])</f>
        <v>4</v>
      </c>
      <c r="AQ106" s="44"/>
      <c r="AR106" s="44"/>
      <c r="AS106" s="44"/>
      <c r="AT106" s="44">
        <f>SUBTOTAL(103,Table3[CETAK SEPATU])</f>
        <v>0</v>
      </c>
    </row>
    <row r="107" spans="1:46" ht="30" customHeight="1" x14ac:dyDescent="0.25">
      <c r="A107" s="45" t="s">
        <v>279</v>
      </c>
      <c r="C107" s="45"/>
      <c r="D107" s="1"/>
      <c r="E107" s="47"/>
      <c r="F107" s="1"/>
      <c r="G107" s="48"/>
      <c r="H107" s="48"/>
      <c r="I107" s="49">
        <f>SUBTOTAL(105,Table3[UBN_1])</f>
        <v>38</v>
      </c>
      <c r="J107" s="49">
        <f>SUBTOTAL(105,Table3[UBN_2])</f>
        <v>53</v>
      </c>
      <c r="K107" s="49">
        <f>SUBTOTAL(105,Table3[UBN_3])</f>
        <v>17</v>
      </c>
      <c r="L107" s="49">
        <f>SUBTOTAL(105,Table3[UBN_4])</f>
        <v>14</v>
      </c>
      <c r="M107" s="49">
        <f>SUBTOTAL(105,Table3[UBN_5])</f>
        <v>90</v>
      </c>
      <c r="N107" s="49">
        <f>SUBTOTAL(105,Table3[UBN_6])</f>
        <v>80</v>
      </c>
      <c r="O107" s="49">
        <f>SUBTOTAL(105,Table3[UBN_7])</f>
        <v>96</v>
      </c>
      <c r="P107" s="49">
        <f>SUBTOTAL(105,Table3[UBN_8])</f>
        <v>65</v>
      </c>
      <c r="Q107" s="49">
        <f>SUBTOTAL(105,Table3[UBN_9])</f>
        <v>35</v>
      </c>
      <c r="R107" s="49">
        <f>SUBTOTAL(105,Table3[UH_1])</f>
        <v>38</v>
      </c>
      <c r="S107" s="49">
        <f>SUBTOTAL(105,Table3[UH_2])</f>
        <v>54</v>
      </c>
      <c r="T107" s="49">
        <f>SUBTOTAL(105,Table3[UH_3])</f>
        <v>16</v>
      </c>
      <c r="U107" s="49">
        <f>SUBTOTAL(105,Table3[UH_4])</f>
        <v>12</v>
      </c>
      <c r="V107" s="49">
        <f>SUBTOTAL(105,Table3[UH_5])</f>
        <v>25</v>
      </c>
      <c r="W107" s="49">
        <f>SUBTOTAL(105,Table3[UH_6])</f>
        <v>22</v>
      </c>
      <c r="X107" s="49">
        <f>SUBTOTAL(105,Table3[UH_7])</f>
        <v>25</v>
      </c>
      <c r="Y107" s="49">
        <f>SUBTOTAL(105,Table3[UH_8])</f>
        <v>65</v>
      </c>
      <c r="Z107" s="49">
        <f>SUBTOTAL(105,Table3[UH_9])</f>
        <v>35</v>
      </c>
      <c r="AA107" s="49">
        <f>SUBTOTAL(105,Table3[UB_1])</f>
        <v>38</v>
      </c>
      <c r="AB107" s="49">
        <f>SUBTOTAL(105,Table3[UB_2])</f>
        <v>22</v>
      </c>
      <c r="AC107" s="49">
        <f>SUBTOTAL(105,Table3[UB_3])</f>
        <v>15</v>
      </c>
      <c r="AD107" s="49">
        <f>SUBTOTAL(105,Table3[UB_4])</f>
        <v>25</v>
      </c>
      <c r="AE107" s="49">
        <f>SUBTOTAL(105,Table3[UB_5])</f>
        <v>22</v>
      </c>
      <c r="AF107" s="49">
        <f>SUBTOTAL(105,Table3[UB_6])</f>
        <v>25</v>
      </c>
      <c r="AG107" s="49">
        <f>SUBTOTAL(105,Table3[UB_7])</f>
        <v>65</v>
      </c>
      <c r="AH107" s="49">
        <f>SUBTOTAL(105,Table3[UB_8])</f>
        <v>35</v>
      </c>
      <c r="AI107" s="49">
        <f>SUBTOTAL(105,Table3[UC_1])</f>
        <v>72</v>
      </c>
      <c r="AJ107" s="49">
        <f>SUBTOTAL(105,Table3[UC_2])</f>
        <v>92</v>
      </c>
      <c r="AK107" s="49">
        <f>SUBTOTAL(105,Table3[UC_3])</f>
        <v>60</v>
      </c>
      <c r="AL107" s="49">
        <f>SUBTOTAL(105,Table3[UC_4])</f>
        <v>29</v>
      </c>
      <c r="AM107" s="49">
        <f>SUBTOTAL(105,Table3[UC_5])</f>
        <v>23</v>
      </c>
      <c r="AN107" s="49">
        <f>SUBTOTAL(105,Table3[UC_6])</f>
        <v>14</v>
      </c>
      <c r="AO107" s="49">
        <f>SUBTOTAL(105,Table3[UC_7])</f>
        <v>86</v>
      </c>
      <c r="AP107" s="49">
        <f>SUBTOTAL(105,Table3[UBN_6])</f>
        <v>80</v>
      </c>
      <c r="AQ107" s="44"/>
      <c r="AR107" s="44"/>
      <c r="AS107" s="44"/>
      <c r="AT107" s="44">
        <f>SUBTOTAL(103,Table3[CETAK SEPATU])</f>
        <v>0</v>
      </c>
    </row>
    <row r="108" spans="1:46" ht="30" customHeight="1" x14ac:dyDescent="0.25">
      <c r="A108" s="8"/>
      <c r="B108" s="13"/>
      <c r="C108" s="8"/>
      <c r="D108" s="7"/>
      <c r="E108" s="25"/>
      <c r="F108" s="7"/>
      <c r="G108" s="11"/>
      <c r="H108" s="11"/>
      <c r="I108" s="49"/>
      <c r="AQ108" s="4"/>
    </row>
    <row r="109" spans="1:46" ht="30" customHeight="1" x14ac:dyDescent="0.25">
      <c r="A109" s="8"/>
      <c r="B109" s="13"/>
      <c r="C109" s="8"/>
      <c r="D109" s="7"/>
      <c r="E109" s="25"/>
      <c r="F109" s="7"/>
      <c r="G109" s="11"/>
      <c r="H109" s="11"/>
      <c r="AQ109" s="4"/>
    </row>
    <row r="110" spans="1:46" ht="30" customHeight="1" x14ac:dyDescent="0.25">
      <c r="A110" s="8"/>
      <c r="B110" s="13"/>
      <c r="C110" s="8"/>
      <c r="D110" s="7"/>
      <c r="E110" s="25"/>
      <c r="F110" s="7"/>
      <c r="G110" s="11"/>
      <c r="H110" s="11"/>
      <c r="AQ110" s="4"/>
    </row>
    <row r="111" spans="1:46" ht="30" customHeight="1" x14ac:dyDescent="0.25">
      <c r="A111" s="8"/>
      <c r="B111" s="13"/>
      <c r="C111" s="8"/>
      <c r="D111" s="7"/>
      <c r="E111" s="25"/>
      <c r="F111" s="7"/>
      <c r="G111" s="11"/>
      <c r="H111" s="11"/>
    </row>
    <row r="112" spans="1:46" ht="30" customHeight="1" x14ac:dyDescent="0.25">
      <c r="A112" s="8"/>
      <c r="B112" s="13"/>
      <c r="C112" s="8"/>
      <c r="D112" s="7"/>
      <c r="E112" s="25"/>
      <c r="F112" s="7"/>
      <c r="G112" s="11"/>
      <c r="H112" s="11"/>
      <c r="AQ112" s="10"/>
    </row>
  </sheetData>
  <phoneticPr fontId="16" type="noConversion"/>
  <pageMargins left="0.27" right="3.937007874015748E-2" top="0.39370078740157483" bottom="0.11811023622047245" header="0.23622047244094491" footer="0.51181102362204722"/>
  <pageSetup paperSize="9" firstPageNumber="0" orientation="portrait" horizontalDpi="300" verticalDpi="300" r:id="rId1"/>
  <headerFooter>
    <oddHeader>&amp;C&amp;"Arial,Regular"&amp;P</oddHeader>
  </headerFooter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07E4E4-CD6A-45B9-B640-6565F060B670}">
  <dimension ref="A3:I23"/>
  <sheetViews>
    <sheetView workbookViewId="0">
      <selection activeCell="B12" sqref="B12"/>
    </sheetView>
  </sheetViews>
  <sheetFormatPr defaultRowHeight="15" x14ac:dyDescent="0.25"/>
  <cols>
    <col min="1" max="1" width="17.28515625" bestFit="1" customWidth="1"/>
    <col min="2" max="2" width="14.42578125" bestFit="1" customWidth="1"/>
    <col min="3" max="3" width="8.5703125" bestFit="1" customWidth="1"/>
    <col min="4" max="4" width="11.28515625" bestFit="1" customWidth="1"/>
    <col min="5" max="5" width="13.7109375" bestFit="1" customWidth="1"/>
    <col min="6" max="6" width="13.140625" bestFit="1" customWidth="1"/>
    <col min="7" max="7" width="14" bestFit="1" customWidth="1"/>
    <col min="8" max="8" width="8.5703125" bestFit="1" customWidth="1"/>
    <col min="9" max="9" width="11.28515625" bestFit="1" customWidth="1"/>
  </cols>
  <sheetData>
    <row r="3" spans="1:9" x14ac:dyDescent="0.25">
      <c r="A3" s="41" t="s">
        <v>273</v>
      </c>
      <c r="B3" t="s">
        <v>275</v>
      </c>
      <c r="F3" s="41" t="s">
        <v>273</v>
      </c>
      <c r="G3" t="s">
        <v>276</v>
      </c>
    </row>
    <row r="4" spans="1:9" x14ac:dyDescent="0.25">
      <c r="A4" s="42" t="s">
        <v>66</v>
      </c>
      <c r="B4" s="43">
        <v>52</v>
      </c>
      <c r="F4" s="42" t="s">
        <v>32</v>
      </c>
      <c r="G4" s="43">
        <v>48</v>
      </c>
    </row>
    <row r="5" spans="1:9" x14ac:dyDescent="0.25">
      <c r="A5" s="42" t="s">
        <v>90</v>
      </c>
      <c r="B5" s="43">
        <v>51</v>
      </c>
      <c r="F5" s="42" t="s">
        <v>31</v>
      </c>
      <c r="G5" s="43">
        <v>19</v>
      </c>
    </row>
    <row r="6" spans="1:9" x14ac:dyDescent="0.25">
      <c r="A6" s="42" t="s">
        <v>274</v>
      </c>
      <c r="B6" s="43">
        <v>103</v>
      </c>
      <c r="F6" s="42" t="s">
        <v>34</v>
      </c>
      <c r="G6" s="43">
        <v>25</v>
      </c>
    </row>
    <row r="7" spans="1:9" x14ac:dyDescent="0.25">
      <c r="F7" s="42" t="s">
        <v>33</v>
      </c>
      <c r="G7" s="43">
        <v>10</v>
      </c>
    </row>
    <row r="8" spans="1:9" x14ac:dyDescent="0.25">
      <c r="F8" s="42" t="s">
        <v>35</v>
      </c>
      <c r="G8" s="43">
        <v>1</v>
      </c>
    </row>
    <row r="9" spans="1:9" x14ac:dyDescent="0.25">
      <c r="A9" s="41" t="s">
        <v>278</v>
      </c>
      <c r="F9" s="42" t="s">
        <v>274</v>
      </c>
      <c r="G9" s="43">
        <v>103</v>
      </c>
    </row>
    <row r="10" spans="1:9" x14ac:dyDescent="0.25">
      <c r="B10" t="s">
        <v>72</v>
      </c>
      <c r="C10" t="s">
        <v>116</v>
      </c>
      <c r="D10" t="s">
        <v>274</v>
      </c>
    </row>
    <row r="11" spans="1:9" x14ac:dyDescent="0.25">
      <c r="A11" s="42">
        <v>53</v>
      </c>
      <c r="B11" s="43">
        <v>1</v>
      </c>
      <c r="C11" s="43"/>
      <c r="D11" s="43">
        <v>1</v>
      </c>
      <c r="E11" s="43"/>
    </row>
    <row r="12" spans="1:9" x14ac:dyDescent="0.25">
      <c r="A12" s="42">
        <v>54</v>
      </c>
      <c r="B12" s="43">
        <v>4</v>
      </c>
      <c r="C12" s="43"/>
      <c r="D12" s="43">
        <v>4</v>
      </c>
      <c r="E12" s="43"/>
      <c r="F12" s="41" t="s">
        <v>277</v>
      </c>
    </row>
    <row r="13" spans="1:9" x14ac:dyDescent="0.25">
      <c r="A13" s="42">
        <v>55</v>
      </c>
      <c r="B13" s="43">
        <v>7</v>
      </c>
      <c r="C13" s="43"/>
      <c r="D13" s="43">
        <v>7</v>
      </c>
      <c r="E13" s="43"/>
      <c r="G13" t="s">
        <v>72</v>
      </c>
      <c r="H13" t="s">
        <v>116</v>
      </c>
      <c r="I13" t="s">
        <v>274</v>
      </c>
    </row>
    <row r="14" spans="1:9" x14ac:dyDescent="0.25">
      <c r="A14" s="42">
        <v>56</v>
      </c>
      <c r="B14" s="43">
        <v>15</v>
      </c>
      <c r="C14" s="43">
        <v>1</v>
      </c>
      <c r="D14" s="43">
        <v>16</v>
      </c>
      <c r="E14" s="43"/>
      <c r="F14" s="42">
        <v>39</v>
      </c>
      <c r="G14" s="43">
        <v>4</v>
      </c>
      <c r="H14" s="43"/>
      <c r="I14" s="43">
        <v>4</v>
      </c>
    </row>
    <row r="15" spans="1:9" x14ac:dyDescent="0.25">
      <c r="A15" s="42">
        <v>57</v>
      </c>
      <c r="B15" s="43">
        <v>41</v>
      </c>
      <c r="C15" s="43"/>
      <c r="D15" s="43">
        <v>41</v>
      </c>
      <c r="E15" s="43"/>
      <c r="F15" s="42">
        <v>40</v>
      </c>
      <c r="G15" s="43">
        <v>17</v>
      </c>
      <c r="H15" s="43">
        <v>1</v>
      </c>
      <c r="I15" s="43">
        <v>18</v>
      </c>
    </row>
    <row r="16" spans="1:9" x14ac:dyDescent="0.25">
      <c r="A16" s="42">
        <v>58</v>
      </c>
      <c r="B16" s="43">
        <v>19</v>
      </c>
      <c r="C16" s="43"/>
      <c r="D16" s="43">
        <v>19</v>
      </c>
      <c r="E16" s="43"/>
      <c r="F16" s="42">
        <v>41</v>
      </c>
      <c r="G16" s="43">
        <v>25</v>
      </c>
      <c r="H16" s="43"/>
      <c r="I16" s="43">
        <v>25</v>
      </c>
    </row>
    <row r="17" spans="1:9" x14ac:dyDescent="0.25">
      <c r="A17" s="42">
        <v>59</v>
      </c>
      <c r="B17" s="43">
        <v>7</v>
      </c>
      <c r="C17" s="43"/>
      <c r="D17" s="43">
        <v>7</v>
      </c>
      <c r="E17" s="43"/>
      <c r="F17" s="42">
        <v>42</v>
      </c>
      <c r="G17" s="43">
        <v>24</v>
      </c>
      <c r="H17" s="43"/>
      <c r="I17" s="43">
        <v>24</v>
      </c>
    </row>
    <row r="18" spans="1:9" x14ac:dyDescent="0.25">
      <c r="A18" s="42">
        <v>60</v>
      </c>
      <c r="B18" s="43">
        <v>7</v>
      </c>
      <c r="C18" s="43"/>
      <c r="D18" s="43">
        <v>7</v>
      </c>
      <c r="E18" s="43"/>
      <c r="F18" s="42">
        <v>43</v>
      </c>
      <c r="G18" s="43">
        <v>20</v>
      </c>
      <c r="H18" s="43"/>
      <c r="I18" s="43">
        <v>20</v>
      </c>
    </row>
    <row r="19" spans="1:9" x14ac:dyDescent="0.25">
      <c r="A19" s="42" t="s">
        <v>215</v>
      </c>
      <c r="B19" s="43">
        <v>1</v>
      </c>
      <c r="C19" s="43"/>
      <c r="D19" s="43">
        <v>1</v>
      </c>
      <c r="E19" s="43"/>
      <c r="F19" s="42">
        <v>44</v>
      </c>
      <c r="G19" s="43">
        <v>7</v>
      </c>
      <c r="H19" s="43"/>
      <c r="I19" s="43">
        <v>7</v>
      </c>
    </row>
    <row r="20" spans="1:9" x14ac:dyDescent="0.25">
      <c r="A20" s="42" t="s">
        <v>274</v>
      </c>
      <c r="B20" s="43">
        <v>102</v>
      </c>
      <c r="C20" s="43">
        <v>1</v>
      </c>
      <c r="D20" s="43">
        <v>103</v>
      </c>
      <c r="E20" s="43"/>
      <c r="F20" s="42">
        <v>45</v>
      </c>
      <c r="G20" s="43">
        <v>3</v>
      </c>
      <c r="H20" s="43"/>
      <c r="I20" s="43">
        <v>3</v>
      </c>
    </row>
    <row r="21" spans="1:9" x14ac:dyDescent="0.25">
      <c r="F21" s="42">
        <v>46</v>
      </c>
      <c r="G21" s="43">
        <v>1</v>
      </c>
      <c r="H21" s="43"/>
      <c r="I21" s="43">
        <v>1</v>
      </c>
    </row>
    <row r="22" spans="1:9" x14ac:dyDescent="0.25">
      <c r="F22" s="42" t="s">
        <v>214</v>
      </c>
      <c r="G22" s="43">
        <v>1</v>
      </c>
      <c r="H22" s="43"/>
      <c r="I22" s="43">
        <v>1</v>
      </c>
    </row>
    <row r="23" spans="1:9" x14ac:dyDescent="0.25">
      <c r="F23" s="42" t="s">
        <v>274</v>
      </c>
      <c r="G23" s="43">
        <v>102</v>
      </c>
      <c r="H23" s="43">
        <v>1</v>
      </c>
      <c r="I23" s="43">
        <v>103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13</cp:revision>
  <cp:lastPrinted>2021-11-14T10:19:10Z</cp:lastPrinted>
  <dcterms:created xsi:type="dcterms:W3CDTF">2016-10-31T03:59:44Z</dcterms:created>
  <dcterms:modified xsi:type="dcterms:W3CDTF">2021-11-18T03:36:16Z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