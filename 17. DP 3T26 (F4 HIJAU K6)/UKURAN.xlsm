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6)\"/>
    </mc:Choice>
  </mc:AlternateContent>
  <xr:revisionPtr revIDLastSave="0" documentId="13_ncr:1_{95CAE1BE-A486-450B-AF80-15577E868E0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SEMUA!$A$1:$AZ$27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<sst xmlns="http://schemas.openxmlformats.org/spreadsheetml/2006/main" count="363" uniqueCount="160">
  <si>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</si>
  <si>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</si>
  <si>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</si>
  <si>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</si>
  <si>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</si>
  <si>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</si>
  <si>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</si>
  <si>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</si>
  <si>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</si>
  <si>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</si>
  <si>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</si>
  <si>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</si>
  <si>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</si>
  <si>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</si>
  <si>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</si>
  <si>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</si>
  <si>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</si>
  <si>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</si>
  <si>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</si>
  <si>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</si>
  <si>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</si>
  <si>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</si>
  <si>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</si>
  <si>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</si>
  <si>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</si>
  <si>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</si>
  <si>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</si>
  <si>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</si>
  <si>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</si>
  <si>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</si>
  <si>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</si>
  <si>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</si>
  <si>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</si>
  <si>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</si>
  <si>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</si>
  <si>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</si>
  <si>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</si>
  <si>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</si>
  <si>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</si>
  <si>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</si>
  <si>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</si>
  <si>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</si>
  <si>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</si>
  <si>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</si>
  <si>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</si>
  <si>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</si>
  <si>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</si>
  <si>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</si>
  <si>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</si>
  <si>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</si>
  <si>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</si>
  <si>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</si>
  <si>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</si>
  <si>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</si>
  <si>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</si>
  <si>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</si>
  <si>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</si>
  <si>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</si>
  <si>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</si>
  <si>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</si>
  <si>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</si>
  <si>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</si>
  <si>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</si>
  <si>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</si>
  <si>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</si>
  <si>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</si>
  <si>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</si>
  <si>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</si>
  <si>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</si>
  <si>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</si>
  <si>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</si>
  <si>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</si>
  <si>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</si>
  <si>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</si>
  <si>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</si>
  <si>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</si>
  <si>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</si>
  <si>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</si>
  <si>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</si>
  <si>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</si>
  <si>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</si>
  <si>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</si>
  <si>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</si>
  <si>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</si>
  <si>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</si>
  <si>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</si>
  <si>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</si>
  <si>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</si>
  <si>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</si>
  <si>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</si>
  <si>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</si>
  <si>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</si>
  <si>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</si>
  <si>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</si>
  <si>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</si>
  <si>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</si>
  <si>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</si>
  <si>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</si>
  <si>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</si>
  <si>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</si>
  <si>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</si>
  <si>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</si>
  <si>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</si>
  <si>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</si>
  <si>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</si>
  <si>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</si>
  <si>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</si>
  <si>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</si>
  <si>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</si>
  <si>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</si>
  <si>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</si>
  <si>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</si>
  <si>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</si>
  <si>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</si>
  <si>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</si>
  <si>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</si>
  <si>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</si>
  <si>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</si>
  <si>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</si>
  <si>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</si>
  <si>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</si>
  <si>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</si>
  <si>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</si>
  <si>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</si>
  <si>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</si>
  <si>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</si>
  <si>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</si>
  <si>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</si>
  <si>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</si>
  <si>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</si>
  <si>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</si>
  <si>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</si>
  <si>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</si>
  <si>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</si>
  <si>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</si>
  <si>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</si>
  <si>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</si>
  <si>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</si>
  <si>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</si>
  <si>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</si>
  <si>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</si>
  <si>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</si>
  <si>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</si>
  <si>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</si>
  <si>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</si>
  <si>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</si>
  <si>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</si>
  <si>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</si>
  <si>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</si>
  <si>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</si>
  <si>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</si>
  <si>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</si>
  <si>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</si>
  <si>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</si>
  <si>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</si>
  <si>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</si>
  <si>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</si>
  <si>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</si>
  <si>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</si>
  <si>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M23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</si>
</sst>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9" borderId="0" xfId="0" applyFont="1" applyFill="1"/>
    <xf numFmtId="0" fontId="24" fillId="9" borderId="0" xfId="0" applyFont="1" applyFill="1"/>
    <xf numFmtId="0" fontId="22" fillId="9" borderId="0" xfId="0" applyFont="1" applyFill="1" applyAlignment="1">
      <alignment horizontal="center"/>
    </xf>
    <xf numFmtId="0" fontId="24" fillId="9" borderId="0" xfId="0" applyFont="1" applyFill="1" applyAlignment="1">
      <alignment horizontal="center"/>
    </xf>
    <xf numFmtId="0" fontId="0" fillId="9" borderId="0" xfId="0" applyFill="1"/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21" fillId="9" borderId="0" xfId="0" applyFont="1" applyFill="1"/>
    <xf numFmtId="1" fontId="21" fillId="9" borderId="0" xfId="0" applyNumberFormat="1" applyFont="1" applyFill="1" applyAlignment="1">
      <alignment horizontal="center"/>
    </xf>
    <xf numFmtId="0" fontId="21" fillId="9" borderId="0" xfId="0" applyNumberFormat="1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21" fillId="9" borderId="0" xfId="0" applyNumberFormat="1" applyFont="1" applyFill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7"/>
  <sheetViews>
    <sheetView tabSelected="1" zoomScale="55" zoomScaleNormal="55" workbookViewId="0">
      <pane ySplit="1" topLeftCell="A5" activePane="bottomLeft" state="frozen"/>
      <selection pane="bottomLeft" activeCell="AU24" sqref="AU2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125</v>
      </c>
      <c r="C2" s="17" t="s">
        <v>124</v>
      </c>
      <c r="D2" s="18">
        <v>40</v>
      </c>
      <c r="E2" s="17">
        <v>57</v>
      </c>
      <c r="F2" s="17" t="s">
        <v>123</v>
      </c>
      <c r="G2" s="17" t="s">
        <v>46</v>
      </c>
      <c r="H2" s="17" t="s">
        <v>31</v>
      </c>
      <c r="I2" s="37">
        <v>45</v>
      </c>
      <c r="J2" s="37">
        <v>58</v>
      </c>
      <c r="K2" s="37">
        <v>20</v>
      </c>
      <c r="L2" s="37">
        <v>15</v>
      </c>
      <c r="M2" s="37">
        <v>104</v>
      </c>
      <c r="N2" s="37">
        <v>98</v>
      </c>
      <c r="O2" s="37">
        <v>112</v>
      </c>
      <c r="P2" s="37">
        <v>68</v>
      </c>
      <c r="Q2" s="37">
        <v>43</v>
      </c>
      <c r="R2" s="37">
        <v>45</v>
      </c>
      <c r="S2" s="37">
        <v>24</v>
      </c>
      <c r="T2" s="37">
        <v>18</v>
      </c>
      <c r="U2" s="37">
        <v>28</v>
      </c>
      <c r="V2" s="37">
        <v>25</v>
      </c>
      <c r="W2" s="37">
        <v>28</v>
      </c>
      <c r="X2" s="37">
        <v>67</v>
      </c>
      <c r="Y2" s="37">
        <v>43</v>
      </c>
      <c r="Z2" s="37">
        <v>89</v>
      </c>
      <c r="AA2" s="37">
        <v>109</v>
      </c>
      <c r="AB2" s="37">
        <v>63</v>
      </c>
      <c r="AC2" s="37">
        <v>34</v>
      </c>
      <c r="AD2" s="37">
        <v>25</v>
      </c>
      <c r="AE2" s="37">
        <v>20</v>
      </c>
      <c r="AF2" s="37">
        <v>93</v>
      </c>
      <c r="AG2" s="37"/>
      <c r="AH2" s="37"/>
      <c r="AI2" s="37"/>
      <c r="AJ2" s="37"/>
      <c r="AK2" s="37"/>
      <c r="AL2" s="37"/>
      <c r="AM2" s="37"/>
      <c r="AN2" s="37"/>
      <c r="AO2" s="37"/>
      <c r="AP2" s="17">
        <v>1</v>
      </c>
      <c r="AQ2" t="s">
        <v>141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126</v>
      </c>
      <c r="C3" s="17" t="s">
        <v>124</v>
      </c>
      <c r="D3" s="18">
        <v>40</v>
      </c>
      <c r="E3" s="17">
        <v>56</v>
      </c>
      <c r="F3" s="17" t="s">
        <v>123</v>
      </c>
      <c r="G3" s="17" t="s">
        <v>46</v>
      </c>
      <c r="H3" s="17" t="s">
        <v>32</v>
      </c>
      <c r="I3" s="37">
        <v>46</v>
      </c>
      <c r="J3" s="37">
        <v>59</v>
      </c>
      <c r="K3" s="37">
        <v>20</v>
      </c>
      <c r="L3" s="37">
        <v>15</v>
      </c>
      <c r="M3" s="37">
        <v>104</v>
      </c>
      <c r="N3" s="37">
        <v>100</v>
      </c>
      <c r="O3" s="37">
        <v>112</v>
      </c>
      <c r="P3" s="37">
        <v>72</v>
      </c>
      <c r="Q3" s="37">
        <v>42</v>
      </c>
      <c r="R3" s="37">
        <v>46</v>
      </c>
      <c r="S3" s="37">
        <v>25</v>
      </c>
      <c r="T3" s="37">
        <v>18</v>
      </c>
      <c r="U3" s="37">
        <v>28</v>
      </c>
      <c r="V3" s="37">
        <v>26</v>
      </c>
      <c r="W3" s="37">
        <v>28</v>
      </c>
      <c r="X3" s="37">
        <v>71</v>
      </c>
      <c r="Y3" s="37">
        <v>42</v>
      </c>
      <c r="Z3" s="37">
        <v>87</v>
      </c>
      <c r="AA3" s="37">
        <v>105</v>
      </c>
      <c r="AB3" s="37">
        <v>67</v>
      </c>
      <c r="AC3" s="37">
        <v>33</v>
      </c>
      <c r="AD3" s="37">
        <v>25</v>
      </c>
      <c r="AE3" s="37">
        <v>20</v>
      </c>
      <c r="AF3" s="37">
        <v>95</v>
      </c>
      <c r="AG3" s="37"/>
      <c r="AH3" s="37"/>
      <c r="AI3" s="37"/>
      <c r="AJ3" s="37"/>
      <c r="AK3" s="37"/>
      <c r="AL3" s="37"/>
      <c r="AM3" s="37"/>
      <c r="AN3" s="37"/>
      <c r="AO3" s="37"/>
      <c r="AP3" s="17">
        <v>1</v>
      </c>
      <c r="AQ3" t="s">
        <v>141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127</v>
      </c>
      <c r="C4" s="17" t="s">
        <v>124</v>
      </c>
      <c r="D4" s="18">
        <v>42</v>
      </c>
      <c r="E4" s="17">
        <v>57</v>
      </c>
      <c r="F4" s="17" t="s">
        <v>123</v>
      </c>
      <c r="G4" s="17" t="s">
        <v>46</v>
      </c>
      <c r="H4" s="17" t="s">
        <v>32</v>
      </c>
      <c r="I4" s="37">
        <v>46</v>
      </c>
      <c r="J4" s="37">
        <v>63</v>
      </c>
      <c r="K4" s="37">
        <v>19</v>
      </c>
      <c r="L4" s="37">
        <v>15</v>
      </c>
      <c r="M4" s="37">
        <v>108</v>
      </c>
      <c r="N4" s="37">
        <v>103</v>
      </c>
      <c r="O4" s="37">
        <v>117</v>
      </c>
      <c r="P4" s="37">
        <v>74</v>
      </c>
      <c r="Q4" s="37">
        <v>42</v>
      </c>
      <c r="R4" s="37">
        <v>46</v>
      </c>
      <c r="S4" s="37">
        <v>26</v>
      </c>
      <c r="T4" s="37">
        <v>17</v>
      </c>
      <c r="U4" s="37">
        <v>28</v>
      </c>
      <c r="V4" s="37">
        <v>26</v>
      </c>
      <c r="W4" s="37">
        <v>28</v>
      </c>
      <c r="X4" s="37">
        <v>73</v>
      </c>
      <c r="Y4" s="37">
        <v>42</v>
      </c>
      <c r="Z4" s="37">
        <v>92</v>
      </c>
      <c r="AA4" s="37">
        <v>112</v>
      </c>
      <c r="AB4" s="37">
        <v>68</v>
      </c>
      <c r="AC4" s="37">
        <v>35</v>
      </c>
      <c r="AD4" s="37">
        <v>26</v>
      </c>
      <c r="AE4" s="37">
        <v>21</v>
      </c>
      <c r="AF4" s="37">
        <v>102</v>
      </c>
      <c r="AG4" s="37"/>
      <c r="AH4" s="37"/>
      <c r="AI4" s="37"/>
      <c r="AJ4" s="37"/>
      <c r="AK4" s="37"/>
      <c r="AL4" s="37"/>
      <c r="AM4" s="37"/>
      <c r="AN4" s="37"/>
      <c r="AO4" s="37"/>
      <c r="AP4" s="17">
        <v>1</v>
      </c>
      <c r="AQ4" t="s">
        <v>141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128</v>
      </c>
      <c r="C5" s="17" t="s">
        <v>124</v>
      </c>
      <c r="D5" s="18">
        <v>42</v>
      </c>
      <c r="E5" s="17">
        <v>56</v>
      </c>
      <c r="F5" s="17" t="s">
        <v>123</v>
      </c>
      <c r="G5" s="17" t="s">
        <v>46</v>
      </c>
      <c r="H5" s="17" t="s">
        <v>32</v>
      </c>
      <c r="I5" s="37">
        <v>45</v>
      </c>
      <c r="J5" s="37">
        <v>59</v>
      </c>
      <c r="K5" s="37">
        <v>19</v>
      </c>
      <c r="L5" s="37">
        <v>14</v>
      </c>
      <c r="M5" s="37">
        <v>99</v>
      </c>
      <c r="N5" s="37">
        <v>86</v>
      </c>
      <c r="O5" s="37">
        <v>106</v>
      </c>
      <c r="P5" s="37">
        <v>72</v>
      </c>
      <c r="Q5" s="37">
        <v>40</v>
      </c>
      <c r="R5" s="37">
        <v>45</v>
      </c>
      <c r="S5" s="37">
        <v>25</v>
      </c>
      <c r="T5" s="37">
        <v>17</v>
      </c>
      <c r="U5" s="37">
        <v>26</v>
      </c>
      <c r="V5" s="37">
        <v>25</v>
      </c>
      <c r="W5" s="37">
        <v>26</v>
      </c>
      <c r="X5" s="37">
        <v>71</v>
      </c>
      <c r="Y5" s="37">
        <v>40</v>
      </c>
      <c r="Z5" s="37">
        <v>76</v>
      </c>
      <c r="AA5" s="37">
        <v>99</v>
      </c>
      <c r="AB5" s="37">
        <v>65</v>
      </c>
      <c r="AC5" s="37">
        <v>32</v>
      </c>
      <c r="AD5" s="37">
        <v>24</v>
      </c>
      <c r="AE5" s="37">
        <v>19</v>
      </c>
      <c r="AF5" s="37">
        <v>100</v>
      </c>
      <c r="AG5" s="37"/>
      <c r="AH5" s="37"/>
      <c r="AI5" s="37"/>
      <c r="AJ5" s="37"/>
      <c r="AK5" s="37"/>
      <c r="AL5" s="37"/>
      <c r="AM5" s="37"/>
      <c r="AN5" s="37"/>
      <c r="AO5" s="37"/>
      <c r="AP5" s="17">
        <v>1</v>
      </c>
      <c r="AQ5" t="s">
        <v>141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129</v>
      </c>
      <c r="C6" s="17" t="s">
        <v>124</v>
      </c>
      <c r="D6" s="18">
        <v>42</v>
      </c>
      <c r="E6" s="17">
        <v>53</v>
      </c>
      <c r="F6" s="17" t="s">
        <v>123</v>
      </c>
      <c r="G6" s="17" t="s">
        <v>46</v>
      </c>
      <c r="H6" s="17" t="s">
        <v>32</v>
      </c>
      <c r="I6" s="37">
        <v>45</v>
      </c>
      <c r="J6" s="37">
        <v>59</v>
      </c>
      <c r="K6" s="37">
        <v>19</v>
      </c>
      <c r="L6" s="37">
        <v>14</v>
      </c>
      <c r="M6" s="37">
        <v>100</v>
      </c>
      <c r="N6" s="37">
        <v>99</v>
      </c>
      <c r="O6" s="37">
        <v>108</v>
      </c>
      <c r="P6" s="37">
        <v>72</v>
      </c>
      <c r="Q6" s="37">
        <v>39</v>
      </c>
      <c r="R6" s="37">
        <v>45</v>
      </c>
      <c r="S6" s="37">
        <v>25</v>
      </c>
      <c r="T6" s="37">
        <v>17</v>
      </c>
      <c r="U6" s="37">
        <v>27</v>
      </c>
      <c r="V6" s="37">
        <v>26</v>
      </c>
      <c r="W6" s="37">
        <v>27</v>
      </c>
      <c r="X6" s="37">
        <v>72</v>
      </c>
      <c r="Y6" s="37">
        <v>39</v>
      </c>
      <c r="Z6" s="37">
        <v>89</v>
      </c>
      <c r="AA6" s="37">
        <v>104</v>
      </c>
      <c r="AB6" s="37">
        <v>66</v>
      </c>
      <c r="AC6" s="37">
        <v>34</v>
      </c>
      <c r="AD6" s="37">
        <v>25</v>
      </c>
      <c r="AE6" s="37">
        <v>20</v>
      </c>
      <c r="AF6" s="37">
        <v>97</v>
      </c>
      <c r="AG6" s="37"/>
      <c r="AH6" s="37"/>
      <c r="AI6" s="37"/>
      <c r="AJ6" s="37"/>
      <c r="AK6" s="37"/>
      <c r="AL6" s="37"/>
      <c r="AM6" s="37"/>
      <c r="AN6" s="37"/>
      <c r="AO6" s="37"/>
      <c r="AP6" s="17">
        <v>1</v>
      </c>
      <c r="AQ6" t="s">
        <v>141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130</v>
      </c>
      <c r="C7" s="17" t="s">
        <v>124</v>
      </c>
      <c r="D7" s="19">
        <v>41</v>
      </c>
      <c r="E7" s="39">
        <v>59</v>
      </c>
      <c r="F7" s="17" t="s">
        <v>123</v>
      </c>
      <c r="G7" s="17" t="s">
        <v>46</v>
      </c>
      <c r="H7" s="15" t="s">
        <v>33</v>
      </c>
      <c r="I7" s="38">
        <v>51</v>
      </c>
      <c r="J7" s="38">
        <v>56</v>
      </c>
      <c r="K7" s="38">
        <v>22</v>
      </c>
      <c r="L7" s="38">
        <v>16</v>
      </c>
      <c r="M7" s="38">
        <v>122</v>
      </c>
      <c r="N7" s="38">
        <v>117</v>
      </c>
      <c r="O7" s="38">
        <v>121</v>
      </c>
      <c r="P7" s="38">
        <v>75</v>
      </c>
      <c r="Q7" s="38">
        <v>49</v>
      </c>
      <c r="R7" s="38">
        <v>51</v>
      </c>
      <c r="S7" s="38">
        <v>25</v>
      </c>
      <c r="T7" s="38">
        <v>20</v>
      </c>
      <c r="U7" s="38">
        <v>33</v>
      </c>
      <c r="V7" s="38">
        <v>32</v>
      </c>
      <c r="W7" s="38">
        <v>33</v>
      </c>
      <c r="X7" s="38">
        <v>74</v>
      </c>
      <c r="Y7" s="38">
        <v>49</v>
      </c>
      <c r="Z7" s="38">
        <v>104</v>
      </c>
      <c r="AA7" s="38">
        <v>116</v>
      </c>
      <c r="AB7" s="38">
        <v>72</v>
      </c>
      <c r="AC7" s="38">
        <v>37</v>
      </c>
      <c r="AD7" s="38">
        <v>28</v>
      </c>
      <c r="AE7" s="38">
        <v>23</v>
      </c>
      <c r="AF7" s="38">
        <v>94</v>
      </c>
      <c r="AG7" s="38"/>
      <c r="AH7" s="38"/>
      <c r="AI7" s="38"/>
      <c r="AJ7" s="38"/>
      <c r="AK7" s="38"/>
      <c r="AL7" s="38"/>
      <c r="AM7" s="38"/>
      <c r="AN7" s="38"/>
      <c r="AO7" s="38"/>
      <c r="AP7" s="17">
        <v>1</v>
      </c>
      <c r="AQ7" t="s">
        <v>141</v>
      </c>
      <c r="AR7"/>
      <c r="AS7"/>
      <c r="AT7"/>
    </row>
    <row r="8" spans="1:1014" ht="28.15" customHeight="1" x14ac:dyDescent="0.25">
      <c r="A8" s="16" t="s">
        <v>109</v>
      </c>
      <c r="B8" s="13" t="s">
        <v>131</v>
      </c>
      <c r="C8" s="17" t="s">
        <v>124</v>
      </c>
      <c r="D8" s="19">
        <v>41</v>
      </c>
      <c r="E8" s="39">
        <v>56</v>
      </c>
      <c r="F8" s="17" t="s">
        <v>123</v>
      </c>
      <c r="G8" s="17" t="s">
        <v>46</v>
      </c>
      <c r="H8" s="15" t="s">
        <v>34</v>
      </c>
      <c r="I8" s="38">
        <v>47</v>
      </c>
      <c r="J8" s="38">
        <v>61</v>
      </c>
      <c r="K8" s="38">
        <v>20</v>
      </c>
      <c r="L8" s="38">
        <v>15</v>
      </c>
      <c r="M8" s="38">
        <v>110</v>
      </c>
      <c r="N8" s="38">
        <v>103</v>
      </c>
      <c r="O8" s="38">
        <v>115</v>
      </c>
      <c r="P8" s="38">
        <v>72</v>
      </c>
      <c r="Q8" s="38">
        <v>46</v>
      </c>
      <c r="R8" s="38">
        <v>47</v>
      </c>
      <c r="S8" s="38">
        <v>25</v>
      </c>
      <c r="T8" s="38">
        <v>19</v>
      </c>
      <c r="U8" s="38">
        <v>30</v>
      </c>
      <c r="V8" s="3">
        <v>28</v>
      </c>
      <c r="W8" s="3">
        <v>30</v>
      </c>
      <c r="X8" s="38">
        <v>71</v>
      </c>
      <c r="Y8" s="38">
        <v>46</v>
      </c>
      <c r="Z8" s="38">
        <v>91</v>
      </c>
      <c r="AA8" s="38">
        <v>107</v>
      </c>
      <c r="AB8" s="3">
        <v>68</v>
      </c>
      <c r="AC8" s="38">
        <v>34</v>
      </c>
      <c r="AD8" s="38">
        <v>26</v>
      </c>
      <c r="AE8" s="38">
        <v>20</v>
      </c>
      <c r="AF8" s="38">
        <v>95</v>
      </c>
      <c r="AG8" s="38"/>
      <c r="AH8" s="38"/>
      <c r="AI8" s="38"/>
      <c r="AJ8" s="38"/>
      <c r="AK8" s="38"/>
      <c r="AL8" s="38"/>
      <c r="AM8" s="38"/>
      <c r="AN8" s="38"/>
      <c r="AO8" s="38"/>
      <c r="AP8" s="17">
        <v>1</v>
      </c>
      <c r="AQ8" t="s">
        <v>141</v>
      </c>
      <c r="AR8"/>
      <c r="AS8"/>
      <c r="AT8"/>
    </row>
    <row r="9" spans="1:1014" ht="28.15" customHeight="1" x14ac:dyDescent="0.25">
      <c r="A9" s="16" t="s">
        <v>110</v>
      </c>
      <c r="B9" s="13" t="s">
        <v>132</v>
      </c>
      <c r="C9" s="17" t="s">
        <v>124</v>
      </c>
      <c r="D9" s="19">
        <v>42</v>
      </c>
      <c r="E9" s="39">
        <v>59</v>
      </c>
      <c r="F9" s="17" t="s">
        <v>123</v>
      </c>
      <c r="G9" s="17" t="s">
        <v>46</v>
      </c>
      <c r="H9" s="15" t="s">
        <v>34</v>
      </c>
      <c r="I9" s="38">
        <v>50</v>
      </c>
      <c r="J9" s="38">
        <v>62</v>
      </c>
      <c r="K9" s="38">
        <v>22</v>
      </c>
      <c r="L9" s="38">
        <v>16</v>
      </c>
      <c r="M9" s="38">
        <v>118</v>
      </c>
      <c r="N9" s="38">
        <v>115</v>
      </c>
      <c r="O9" s="38">
        <v>124</v>
      </c>
      <c r="P9" s="38">
        <v>76</v>
      </c>
      <c r="Q9" s="38">
        <v>44</v>
      </c>
      <c r="R9" s="38">
        <v>50</v>
      </c>
      <c r="S9" s="38">
        <v>25</v>
      </c>
      <c r="T9" s="38">
        <v>20</v>
      </c>
      <c r="U9" s="38">
        <v>31</v>
      </c>
      <c r="V9" s="38">
        <v>29</v>
      </c>
      <c r="W9" s="38">
        <v>31</v>
      </c>
      <c r="X9" s="38">
        <v>74</v>
      </c>
      <c r="Y9" s="38">
        <v>44</v>
      </c>
      <c r="Z9" s="38">
        <v>103</v>
      </c>
      <c r="AA9" s="38">
        <v>121</v>
      </c>
      <c r="AB9" s="38">
        <v>72</v>
      </c>
      <c r="AC9" s="38">
        <v>37</v>
      </c>
      <c r="AD9" s="38">
        <v>26</v>
      </c>
      <c r="AE9" s="38">
        <v>21</v>
      </c>
      <c r="AF9" s="38">
        <v>97</v>
      </c>
      <c r="AK9" s="38"/>
      <c r="AL9" s="38"/>
      <c r="AM9" s="38"/>
      <c r="AN9" s="38"/>
      <c r="AO9" s="38"/>
      <c r="AP9" s="17">
        <v>1</v>
      </c>
      <c r="AQ9" t="s">
        <v>141</v>
      </c>
      <c r="AR9"/>
      <c r="AS9"/>
      <c r="AT9"/>
    </row>
    <row r="10" spans="1:1014" ht="28.15" customHeight="1" x14ac:dyDescent="0.25">
      <c r="A10" s="16" t="s">
        <v>111</v>
      </c>
      <c r="B10" s="13" t="s">
        <v>133</v>
      </c>
      <c r="C10" s="17" t="s">
        <v>124</v>
      </c>
      <c r="D10" s="19">
        <v>42</v>
      </c>
      <c r="E10" s="39">
        <v>57</v>
      </c>
      <c r="F10" s="17" t="s">
        <v>123</v>
      </c>
      <c r="G10" s="17" t="s">
        <v>46</v>
      </c>
      <c r="H10" s="15" t="s">
        <v>34</v>
      </c>
      <c r="I10" s="38">
        <v>45</v>
      </c>
      <c r="J10" s="38">
        <v>59</v>
      </c>
      <c r="K10" s="38">
        <v>20</v>
      </c>
      <c r="L10" s="38">
        <v>15</v>
      </c>
      <c r="M10" s="38">
        <v>104</v>
      </c>
      <c r="N10" s="38">
        <v>100</v>
      </c>
      <c r="O10" s="38">
        <v>115</v>
      </c>
      <c r="P10" s="38">
        <v>71</v>
      </c>
      <c r="Q10" s="38">
        <v>41</v>
      </c>
      <c r="R10" s="38">
        <v>45</v>
      </c>
      <c r="S10" s="38">
        <v>25</v>
      </c>
      <c r="T10" s="38">
        <v>18</v>
      </c>
      <c r="U10" s="38">
        <v>29</v>
      </c>
      <c r="V10" s="38">
        <v>27</v>
      </c>
      <c r="W10" s="38">
        <v>29</v>
      </c>
      <c r="X10" s="38">
        <v>71</v>
      </c>
      <c r="Y10" s="38">
        <v>41</v>
      </c>
      <c r="Z10" s="38">
        <v>89</v>
      </c>
      <c r="AA10" s="38">
        <v>112</v>
      </c>
      <c r="AB10" s="38">
        <v>68</v>
      </c>
      <c r="AC10" s="38">
        <v>34</v>
      </c>
      <c r="AD10" s="38">
        <v>25</v>
      </c>
      <c r="AE10" s="38">
        <v>20</v>
      </c>
      <c r="AF10" s="38">
        <v>94</v>
      </c>
      <c r="AG10" s="38"/>
      <c r="AH10" s="38"/>
      <c r="AI10" s="38"/>
      <c r="AJ10" s="38"/>
      <c r="AK10" s="38"/>
      <c r="AL10" s="38"/>
      <c r="AM10" s="38"/>
      <c r="AN10" s="38"/>
      <c r="AO10" s="38"/>
      <c r="AP10" s="17">
        <v>1</v>
      </c>
      <c r="AQ10" t="s">
        <v>141</v>
      </c>
      <c r="AR10"/>
      <c r="AS10"/>
      <c r="AT10"/>
    </row>
    <row r="11" spans="1:1014" ht="28.15" customHeight="1" x14ac:dyDescent="0.25">
      <c r="A11" s="16" t="s">
        <v>112</v>
      </c>
      <c r="B11" s="13" t="s">
        <v>134</v>
      </c>
      <c r="C11" s="17" t="s">
        <v>124</v>
      </c>
      <c r="D11" s="19">
        <v>40</v>
      </c>
      <c r="E11" s="39">
        <v>54</v>
      </c>
      <c r="F11" s="17" t="s">
        <v>123</v>
      </c>
      <c r="G11" s="17" t="s">
        <v>46</v>
      </c>
      <c r="H11" s="15" t="s">
        <v>31</v>
      </c>
      <c r="I11" s="38">
        <v>46</v>
      </c>
      <c r="J11" s="38">
        <v>59</v>
      </c>
      <c r="K11" s="38">
        <v>19</v>
      </c>
      <c r="L11" s="38">
        <v>14</v>
      </c>
      <c r="M11" s="38">
        <v>96</v>
      </c>
      <c r="N11" s="38">
        <v>83</v>
      </c>
      <c r="O11" s="38">
        <v>107</v>
      </c>
      <c r="P11" s="38">
        <v>70</v>
      </c>
      <c r="Q11" s="38">
        <v>41</v>
      </c>
      <c r="R11" s="38">
        <v>46</v>
      </c>
      <c r="S11" s="38">
        <v>26</v>
      </c>
      <c r="T11" s="38">
        <v>17</v>
      </c>
      <c r="U11" s="38">
        <v>26</v>
      </c>
      <c r="V11" s="38">
        <v>24</v>
      </c>
      <c r="W11" s="38">
        <v>26</v>
      </c>
      <c r="X11" s="38">
        <v>70</v>
      </c>
      <c r="Y11" s="38">
        <v>41</v>
      </c>
      <c r="Z11" s="38">
        <v>76</v>
      </c>
      <c r="AA11" s="38">
        <v>99</v>
      </c>
      <c r="AB11" s="38">
        <v>64</v>
      </c>
      <c r="AC11" s="38">
        <v>33</v>
      </c>
      <c r="AD11" s="38">
        <v>24</v>
      </c>
      <c r="AE11" s="38">
        <v>19</v>
      </c>
      <c r="AF11" s="3">
        <v>94</v>
      </c>
      <c r="AG11" s="38"/>
      <c r="AH11" s="38"/>
      <c r="AI11" s="38"/>
      <c r="AJ11" s="38"/>
      <c r="AK11" s="38"/>
      <c r="AL11" s="38"/>
      <c r="AM11" s="38"/>
      <c r="AN11" s="38"/>
      <c r="AO11" s="38"/>
      <c r="AP11" s="17">
        <v>1</v>
      </c>
      <c r="AQ11" t="s">
        <v>141</v>
      </c>
      <c r="AR11"/>
      <c r="AS11"/>
      <c r="AT11"/>
    </row>
    <row r="12" spans="1:1014" s="46" customFormat="1" ht="28.15" customHeight="1" x14ac:dyDescent="0.25">
      <c r="A12" s="42" t="s">
        <v>113</v>
      </c>
      <c r="B12" s="49" t="s">
        <v>135</v>
      </c>
      <c r="C12" s="44" t="s">
        <v>124</v>
      </c>
      <c r="D12" s="50">
        <v>44</v>
      </c>
      <c r="E12" s="51">
        <v>60</v>
      </c>
      <c r="F12" s="44" t="s">
        <v>123</v>
      </c>
      <c r="G12" s="44" t="s">
        <v>46</v>
      </c>
      <c r="H12" s="52" t="s">
        <v>33</v>
      </c>
      <c r="I12" s="53">
        <v>50</v>
      </c>
      <c r="J12" s="53">
        <v>65</v>
      </c>
      <c r="K12" s="53">
        <v>21</v>
      </c>
      <c r="L12" s="53">
        <v>16</v>
      </c>
      <c r="M12" s="53">
        <v>124</v>
      </c>
      <c r="N12" s="53">
        <v>117</v>
      </c>
      <c r="O12" s="53">
        <v>126</v>
      </c>
      <c r="P12" s="53">
        <v>76</v>
      </c>
      <c r="Q12" s="53">
        <v>44</v>
      </c>
      <c r="R12" s="53">
        <v>50</v>
      </c>
      <c r="S12" s="53">
        <v>27</v>
      </c>
      <c r="T12" s="53">
        <v>20</v>
      </c>
      <c r="U12" s="53">
        <v>33</v>
      </c>
      <c r="V12" s="53">
        <v>31</v>
      </c>
      <c r="W12" s="53">
        <v>33</v>
      </c>
      <c r="X12" s="53">
        <v>75</v>
      </c>
      <c r="Y12" s="53">
        <v>44</v>
      </c>
      <c r="Z12" s="53">
        <v>112</v>
      </c>
      <c r="AA12" s="53">
        <v>124</v>
      </c>
      <c r="AB12" s="53">
        <v>73</v>
      </c>
      <c r="AC12" s="53">
        <v>39</v>
      </c>
      <c r="AD12" s="53">
        <v>28</v>
      </c>
      <c r="AE12" s="53">
        <v>22</v>
      </c>
      <c r="AF12" s="53">
        <v>95</v>
      </c>
      <c r="AG12" s="53">
        <v>50</v>
      </c>
      <c r="AH12" s="53">
        <v>66</v>
      </c>
      <c r="AI12" s="53">
        <v>20</v>
      </c>
      <c r="AJ12" s="53">
        <v>13</v>
      </c>
      <c r="AK12" s="53">
        <v>33</v>
      </c>
      <c r="AL12" s="53">
        <v>31</v>
      </c>
      <c r="AM12" s="53">
        <v>33</v>
      </c>
      <c r="AN12" s="53">
        <v>75</v>
      </c>
      <c r="AO12" s="53">
        <v>44</v>
      </c>
      <c r="AP12" s="44">
        <v>1</v>
      </c>
      <c r="AQ12" s="46" t="s">
        <v>141</v>
      </c>
      <c r="AU12" s="47" t="s">
        <v>159</v>
      </c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8"/>
    </row>
    <row r="13" spans="1:1014" ht="28.15" customHeight="1" x14ac:dyDescent="0.25">
      <c r="A13" s="16" t="s">
        <v>114</v>
      </c>
      <c r="B13" s="13" t="s">
        <v>136</v>
      </c>
      <c r="C13" s="17" t="s">
        <v>124</v>
      </c>
      <c r="D13" s="19">
        <v>39</v>
      </c>
      <c r="E13" s="39">
        <v>54</v>
      </c>
      <c r="F13" s="17" t="s">
        <v>123</v>
      </c>
      <c r="G13" s="17" t="s">
        <v>46</v>
      </c>
      <c r="H13" s="15" t="s">
        <v>31</v>
      </c>
      <c r="I13" s="38">
        <v>42</v>
      </c>
      <c r="J13" s="38">
        <v>58</v>
      </c>
      <c r="K13" s="38">
        <v>18</v>
      </c>
      <c r="L13" s="38">
        <v>14</v>
      </c>
      <c r="M13" s="38">
        <v>92</v>
      </c>
      <c r="N13" s="38">
        <v>88</v>
      </c>
      <c r="O13" s="38">
        <v>95</v>
      </c>
      <c r="P13" s="38">
        <v>70</v>
      </c>
      <c r="Q13" s="38">
        <v>40</v>
      </c>
      <c r="R13" s="38">
        <v>42</v>
      </c>
      <c r="S13" s="38">
        <v>24</v>
      </c>
      <c r="T13" s="38">
        <v>16</v>
      </c>
      <c r="U13" s="38">
        <v>26</v>
      </c>
      <c r="V13" s="38">
        <v>24</v>
      </c>
      <c r="W13" s="38">
        <v>26</v>
      </c>
      <c r="X13" s="38">
        <v>69</v>
      </c>
      <c r="Y13" s="38">
        <v>40</v>
      </c>
      <c r="Z13" s="38">
        <v>69</v>
      </c>
      <c r="AA13" s="38">
        <v>90</v>
      </c>
      <c r="AB13" s="38">
        <v>62</v>
      </c>
      <c r="AC13" s="38">
        <v>30</v>
      </c>
      <c r="AD13" s="38">
        <v>23</v>
      </c>
      <c r="AE13" s="38">
        <v>19</v>
      </c>
      <c r="AF13" s="38">
        <v>95</v>
      </c>
      <c r="AG13" s="38">
        <v>42</v>
      </c>
      <c r="AH13" s="38">
        <v>59</v>
      </c>
      <c r="AI13" s="38">
        <v>16</v>
      </c>
      <c r="AJ13" s="38">
        <v>12</v>
      </c>
      <c r="AK13" s="38">
        <v>26</v>
      </c>
      <c r="AL13" s="38">
        <v>24</v>
      </c>
      <c r="AM13" s="38">
        <v>26</v>
      </c>
      <c r="AN13" s="38">
        <v>69</v>
      </c>
      <c r="AO13" s="38">
        <v>40</v>
      </c>
      <c r="AP13" s="17">
        <v>1</v>
      </c>
      <c r="AQ13" t="s">
        <v>141</v>
      </c>
      <c r="AR13"/>
      <c r="AS13"/>
      <c r="AT13"/>
    </row>
    <row r="14" spans="1:1014" ht="28.15" customHeight="1" x14ac:dyDescent="0.25">
      <c r="A14" s="16" t="s">
        <v>115</v>
      </c>
      <c r="B14" s="13" t="s">
        <v>137</v>
      </c>
      <c r="C14" s="17" t="s">
        <v>124</v>
      </c>
      <c r="D14" s="19">
        <v>43</v>
      </c>
      <c r="E14" s="39">
        <v>58</v>
      </c>
      <c r="F14" s="17" t="s">
        <v>123</v>
      </c>
      <c r="G14" s="17" t="s">
        <v>46</v>
      </c>
      <c r="H14" s="15" t="s">
        <v>33</v>
      </c>
      <c r="I14" s="38">
        <v>50</v>
      </c>
      <c r="J14" s="38">
        <v>62</v>
      </c>
      <c r="K14" s="38">
        <v>20</v>
      </c>
      <c r="L14" s="38">
        <v>15</v>
      </c>
      <c r="M14" s="38">
        <v>115</v>
      </c>
      <c r="N14" s="38">
        <v>110</v>
      </c>
      <c r="O14" s="38">
        <v>120</v>
      </c>
      <c r="P14" s="38">
        <v>77</v>
      </c>
      <c r="Q14" s="38">
        <v>47</v>
      </c>
      <c r="R14" s="38">
        <v>50</v>
      </c>
      <c r="S14" s="38">
        <v>26</v>
      </c>
      <c r="T14" s="38">
        <v>19</v>
      </c>
      <c r="U14" s="38">
        <v>30</v>
      </c>
      <c r="V14" s="38">
        <v>29</v>
      </c>
      <c r="W14" s="38">
        <v>30</v>
      </c>
      <c r="X14" s="38">
        <v>76</v>
      </c>
      <c r="Y14" s="38">
        <v>47</v>
      </c>
      <c r="Z14" s="38">
        <v>100</v>
      </c>
      <c r="AA14" s="38">
        <v>118</v>
      </c>
      <c r="AB14" s="38">
        <v>72</v>
      </c>
      <c r="AC14" s="38">
        <v>39</v>
      </c>
      <c r="AD14" s="38">
        <v>28</v>
      </c>
      <c r="AE14" s="38">
        <v>22</v>
      </c>
      <c r="AF14" s="38">
        <v>102</v>
      </c>
      <c r="AG14" s="38">
        <v>50</v>
      </c>
      <c r="AH14" s="38">
        <v>63</v>
      </c>
      <c r="AI14" s="38">
        <v>19</v>
      </c>
      <c r="AJ14" s="38">
        <v>13</v>
      </c>
      <c r="AK14" s="38">
        <v>30</v>
      </c>
      <c r="AL14" s="38">
        <v>29</v>
      </c>
      <c r="AM14" s="38">
        <v>30</v>
      </c>
      <c r="AN14" s="38">
        <v>76</v>
      </c>
      <c r="AO14" s="38">
        <v>47</v>
      </c>
      <c r="AP14" s="17">
        <v>1</v>
      </c>
      <c r="AQ14" t="s">
        <v>141</v>
      </c>
      <c r="AR14"/>
      <c r="AS14"/>
      <c r="AT14"/>
    </row>
    <row r="15" spans="1:1014" ht="28.15" customHeight="1" x14ac:dyDescent="0.25">
      <c r="A15" s="16" t="s">
        <v>116</v>
      </c>
      <c r="B15" s="13" t="s">
        <v>138</v>
      </c>
      <c r="C15" s="17" t="s">
        <v>124</v>
      </c>
      <c r="D15" s="19">
        <v>42</v>
      </c>
      <c r="E15" s="39">
        <v>55</v>
      </c>
      <c r="F15" s="17" t="s">
        <v>123</v>
      </c>
      <c r="G15" s="17" t="s">
        <v>46</v>
      </c>
      <c r="H15" s="15" t="s">
        <v>32</v>
      </c>
      <c r="I15" s="38">
        <v>46</v>
      </c>
      <c r="J15" s="38">
        <v>57</v>
      </c>
      <c r="K15" s="38">
        <v>20</v>
      </c>
      <c r="L15" s="38">
        <v>15</v>
      </c>
      <c r="M15" s="38">
        <v>110</v>
      </c>
      <c r="N15" s="38">
        <v>105</v>
      </c>
      <c r="O15" s="38">
        <v>108</v>
      </c>
      <c r="P15" s="38">
        <v>71</v>
      </c>
      <c r="Q15" s="38">
        <v>42</v>
      </c>
      <c r="R15" s="38">
        <v>46</v>
      </c>
      <c r="S15" s="38">
        <v>24</v>
      </c>
      <c r="T15" s="38">
        <v>19</v>
      </c>
      <c r="U15" s="38">
        <v>29</v>
      </c>
      <c r="V15" s="38">
        <v>27</v>
      </c>
      <c r="W15" s="38">
        <v>29</v>
      </c>
      <c r="X15" s="38">
        <v>71</v>
      </c>
      <c r="Y15" s="38">
        <v>42</v>
      </c>
      <c r="Z15" s="38">
        <v>95</v>
      </c>
      <c r="AA15" s="38">
        <v>106</v>
      </c>
      <c r="AB15" s="38">
        <v>75</v>
      </c>
      <c r="AC15" s="38">
        <v>35</v>
      </c>
      <c r="AD15" s="38">
        <v>27</v>
      </c>
      <c r="AE15" s="38">
        <v>21</v>
      </c>
      <c r="AF15" s="38">
        <v>95</v>
      </c>
      <c r="AG15" s="38">
        <v>46</v>
      </c>
      <c r="AH15" s="38">
        <v>58</v>
      </c>
      <c r="AI15" s="38">
        <v>19</v>
      </c>
      <c r="AJ15" s="38">
        <v>13</v>
      </c>
      <c r="AK15" s="38">
        <v>29</v>
      </c>
      <c r="AL15" s="38">
        <v>27</v>
      </c>
      <c r="AM15" s="38">
        <v>29</v>
      </c>
      <c r="AN15" s="38">
        <v>71</v>
      </c>
      <c r="AO15" s="38">
        <v>42</v>
      </c>
      <c r="AP15" s="17">
        <v>1</v>
      </c>
      <c r="AQ15" t="s">
        <v>141</v>
      </c>
      <c r="AR15"/>
      <c r="AS15"/>
      <c r="AT15"/>
    </row>
    <row r="16" spans="1:1014" ht="28.15" customHeight="1" x14ac:dyDescent="0.25">
      <c r="A16" s="16" t="s">
        <v>117</v>
      </c>
      <c r="B16" s="13" t="s">
        <v>139</v>
      </c>
      <c r="C16" s="17" t="s">
        <v>124</v>
      </c>
      <c r="D16" s="19">
        <v>43</v>
      </c>
      <c r="E16" s="39">
        <v>59</v>
      </c>
      <c r="F16" s="17" t="s">
        <v>123</v>
      </c>
      <c r="G16" s="17" t="s">
        <v>46</v>
      </c>
      <c r="H16" s="15" t="s">
        <v>34</v>
      </c>
      <c r="I16" s="38">
        <v>47</v>
      </c>
      <c r="J16" s="38">
        <v>58</v>
      </c>
      <c r="K16" s="38">
        <v>20</v>
      </c>
      <c r="L16" s="38">
        <v>15</v>
      </c>
      <c r="M16" s="38">
        <v>112</v>
      </c>
      <c r="N16" s="38">
        <v>106</v>
      </c>
      <c r="O16" s="38">
        <v>114</v>
      </c>
      <c r="P16" s="38">
        <v>73</v>
      </c>
      <c r="Q16" s="38">
        <v>43</v>
      </c>
      <c r="R16" s="38">
        <v>47</v>
      </c>
      <c r="S16" s="38">
        <v>26</v>
      </c>
      <c r="T16" s="38">
        <v>19</v>
      </c>
      <c r="U16" s="38">
        <v>29</v>
      </c>
      <c r="V16" s="38">
        <v>27</v>
      </c>
      <c r="W16" s="38">
        <v>29</v>
      </c>
      <c r="X16" s="38">
        <v>72</v>
      </c>
      <c r="Y16" s="38">
        <v>43</v>
      </c>
      <c r="Z16" s="38">
        <v>92</v>
      </c>
      <c r="AA16" s="38">
        <v>114</v>
      </c>
      <c r="AB16" s="38">
        <v>68</v>
      </c>
      <c r="AC16" s="38">
        <v>33</v>
      </c>
      <c r="AD16" s="38">
        <v>24</v>
      </c>
      <c r="AE16" s="38">
        <v>19</v>
      </c>
      <c r="AF16" s="38">
        <v>102</v>
      </c>
      <c r="AG16" s="38">
        <v>47</v>
      </c>
      <c r="AH16" s="38">
        <v>59</v>
      </c>
      <c r="AI16" s="38">
        <v>19</v>
      </c>
      <c r="AJ16" s="3">
        <v>13</v>
      </c>
      <c r="AK16" s="38">
        <v>29</v>
      </c>
      <c r="AL16" s="38">
        <v>27</v>
      </c>
      <c r="AM16" s="38">
        <v>29</v>
      </c>
      <c r="AN16" s="38">
        <v>72</v>
      </c>
      <c r="AO16" s="38">
        <v>43</v>
      </c>
      <c r="AP16" s="17">
        <v>1</v>
      </c>
      <c r="AQ16" t="s">
        <v>141</v>
      </c>
      <c r="AR16"/>
      <c r="AS16"/>
      <c r="AT16"/>
    </row>
    <row r="17" spans="1:1014" ht="28.15" customHeight="1" x14ac:dyDescent="0.25">
      <c r="A17" s="16" t="s">
        <v>118</v>
      </c>
      <c r="B17" s="13" t="s">
        <v>140</v>
      </c>
      <c r="C17" s="17" t="s">
        <v>124</v>
      </c>
      <c r="D17" s="19">
        <v>42</v>
      </c>
      <c r="E17" s="39">
        <v>56</v>
      </c>
      <c r="F17" s="17" t="s">
        <v>123</v>
      </c>
      <c r="G17" s="17" t="s">
        <v>46</v>
      </c>
      <c r="H17" s="15" t="s">
        <v>34</v>
      </c>
      <c r="I17" s="38">
        <v>46</v>
      </c>
      <c r="J17" s="38">
        <v>59</v>
      </c>
      <c r="K17" s="38">
        <v>19</v>
      </c>
      <c r="L17" s="38">
        <v>14</v>
      </c>
      <c r="M17" s="38">
        <v>108</v>
      </c>
      <c r="N17" s="38">
        <v>104</v>
      </c>
      <c r="O17" s="38">
        <v>117</v>
      </c>
      <c r="P17" s="38">
        <v>73</v>
      </c>
      <c r="Q17" s="38">
        <v>43</v>
      </c>
      <c r="R17" s="38">
        <v>46</v>
      </c>
      <c r="S17" s="38">
        <v>26</v>
      </c>
      <c r="T17" s="38">
        <v>18</v>
      </c>
      <c r="U17" s="38">
        <v>229</v>
      </c>
      <c r="V17" s="38">
        <v>27</v>
      </c>
      <c r="W17" s="38">
        <v>29</v>
      </c>
      <c r="X17" s="38">
        <v>72</v>
      </c>
      <c r="Y17" s="38">
        <v>43</v>
      </c>
      <c r="Z17" s="38">
        <v>91</v>
      </c>
      <c r="AA17" s="38">
        <v>115</v>
      </c>
      <c r="AB17" s="38">
        <v>70</v>
      </c>
      <c r="AC17" s="38">
        <v>36</v>
      </c>
      <c r="AD17" s="38">
        <v>27</v>
      </c>
      <c r="AE17" s="38">
        <v>21</v>
      </c>
      <c r="AF17" s="38">
        <v>101</v>
      </c>
      <c r="AG17" s="38">
        <v>46</v>
      </c>
      <c r="AH17" s="38">
        <v>60</v>
      </c>
      <c r="AI17" s="38">
        <v>18</v>
      </c>
      <c r="AJ17" s="38">
        <v>13</v>
      </c>
      <c r="AK17" s="38">
        <v>29</v>
      </c>
      <c r="AL17" s="38">
        <v>27</v>
      </c>
      <c r="AM17" s="38">
        <v>29</v>
      </c>
      <c r="AN17" s="38">
        <v>72</v>
      </c>
      <c r="AO17" s="38">
        <v>43</v>
      </c>
      <c r="AP17" s="17">
        <v>1</v>
      </c>
      <c r="AQ17" t="s">
        <v>141</v>
      </c>
      <c r="AR17"/>
      <c r="AS17"/>
      <c r="AT17"/>
    </row>
    <row r="18" spans="1:1014" ht="28.15" customHeight="1" x14ac:dyDescent="0.25">
      <c r="A18" s="16" t="s">
        <v>119</v>
      </c>
      <c r="B18" s="40" t="s">
        <v>151</v>
      </c>
      <c r="C18" s="17" t="s">
        <v>124</v>
      </c>
      <c r="D18" s="41">
        <v>39</v>
      </c>
      <c r="E18" s="41">
        <v>55</v>
      </c>
      <c r="F18" s="17" t="s">
        <v>123</v>
      </c>
      <c r="G18" s="17" t="s">
        <v>46</v>
      </c>
      <c r="H18" s="41" t="s">
        <v>32</v>
      </c>
      <c r="I18" s="41">
        <v>46</v>
      </c>
      <c r="J18" s="41">
        <v>57</v>
      </c>
      <c r="K18" s="41">
        <v>19</v>
      </c>
      <c r="L18" s="41">
        <v>14</v>
      </c>
      <c r="M18" s="41">
        <v>106</v>
      </c>
      <c r="N18" s="41">
        <v>103</v>
      </c>
      <c r="O18" s="41">
        <v>113</v>
      </c>
      <c r="P18" s="41">
        <v>71</v>
      </c>
      <c r="Q18" s="41">
        <v>42</v>
      </c>
      <c r="R18" s="41">
        <v>46</v>
      </c>
      <c r="S18" s="41">
        <v>24</v>
      </c>
      <c r="T18" s="41">
        <v>18</v>
      </c>
      <c r="U18" s="41">
        <v>29</v>
      </c>
      <c r="V18" s="41">
        <v>27</v>
      </c>
      <c r="W18" s="41">
        <v>29</v>
      </c>
      <c r="X18" s="41">
        <v>70</v>
      </c>
      <c r="Y18" s="41">
        <v>42</v>
      </c>
      <c r="Z18" s="41">
        <v>90</v>
      </c>
      <c r="AA18" s="41">
        <v>108</v>
      </c>
      <c r="AB18" s="41">
        <v>66</v>
      </c>
      <c r="AC18" s="41">
        <v>34</v>
      </c>
      <c r="AD18" s="41">
        <v>26</v>
      </c>
      <c r="AE18" s="41">
        <v>20</v>
      </c>
      <c r="AF18" s="41">
        <v>97</v>
      </c>
      <c r="AG18" s="41">
        <v>46</v>
      </c>
      <c r="AH18" s="41">
        <v>58</v>
      </c>
      <c r="AI18" s="41">
        <v>18</v>
      </c>
      <c r="AJ18" s="41">
        <v>12</v>
      </c>
      <c r="AK18" s="41">
        <v>29</v>
      </c>
      <c r="AL18" s="41">
        <v>27</v>
      </c>
      <c r="AM18" s="41">
        <v>29</v>
      </c>
      <c r="AN18" s="41">
        <v>70</v>
      </c>
      <c r="AO18" s="41">
        <v>42</v>
      </c>
      <c r="AP18" s="17">
        <v>2</v>
      </c>
      <c r="AQ18" t="s">
        <v>152</v>
      </c>
      <c r="AR18"/>
      <c r="AS18"/>
      <c r="AT18"/>
    </row>
    <row r="19" spans="1:1014" ht="28.15" customHeight="1" x14ac:dyDescent="0.25">
      <c r="A19" s="16" t="s">
        <v>120</v>
      </c>
      <c r="B19" s="40" t="s">
        <v>150</v>
      </c>
      <c r="C19" s="17" t="s">
        <v>124</v>
      </c>
      <c r="D19" s="41">
        <v>40</v>
      </c>
      <c r="E19" s="41">
        <v>57</v>
      </c>
      <c r="F19" s="17" t="s">
        <v>123</v>
      </c>
      <c r="G19" s="17" t="s">
        <v>46</v>
      </c>
      <c r="H19" s="41" t="s">
        <v>34</v>
      </c>
      <c r="I19" s="41">
        <v>50</v>
      </c>
      <c r="J19" s="41">
        <v>57</v>
      </c>
      <c r="K19" s="41">
        <v>21</v>
      </c>
      <c r="L19" s="41">
        <v>16</v>
      </c>
      <c r="M19" s="41">
        <v>120</v>
      </c>
      <c r="N19" s="41">
        <v>114</v>
      </c>
      <c r="O19" s="41">
        <v>120</v>
      </c>
      <c r="P19" s="41">
        <v>70</v>
      </c>
      <c r="Q19" s="41">
        <v>44</v>
      </c>
      <c r="R19" s="41">
        <v>50</v>
      </c>
      <c r="S19" s="41">
        <v>24</v>
      </c>
      <c r="T19" s="41">
        <v>20</v>
      </c>
      <c r="U19" s="41">
        <v>30</v>
      </c>
      <c r="V19" s="41">
        <v>28</v>
      </c>
      <c r="W19" s="41">
        <v>30</v>
      </c>
      <c r="X19" s="41">
        <v>69</v>
      </c>
      <c r="Y19" s="41">
        <v>44</v>
      </c>
      <c r="Z19" s="41">
        <v>104</v>
      </c>
      <c r="AA19" s="41">
        <v>116</v>
      </c>
      <c r="AB19" s="41">
        <v>70</v>
      </c>
      <c r="AC19" s="41">
        <v>36</v>
      </c>
      <c r="AD19" s="41">
        <v>26</v>
      </c>
      <c r="AE19" s="41">
        <v>21</v>
      </c>
      <c r="AF19" s="41">
        <v>93</v>
      </c>
      <c r="AG19" s="41">
        <v>50</v>
      </c>
      <c r="AH19" s="41">
        <v>58</v>
      </c>
      <c r="AI19" s="41">
        <v>20</v>
      </c>
      <c r="AJ19" s="41">
        <v>13</v>
      </c>
      <c r="AK19" s="41">
        <v>30</v>
      </c>
      <c r="AL19" s="41">
        <v>8</v>
      </c>
      <c r="AM19" s="41">
        <v>30</v>
      </c>
      <c r="AN19" s="41">
        <v>69</v>
      </c>
      <c r="AO19" s="41">
        <v>44</v>
      </c>
      <c r="AP19" s="17">
        <v>2</v>
      </c>
      <c r="AQ19" t="s">
        <v>152</v>
      </c>
      <c r="AR19"/>
      <c r="AS19"/>
      <c r="AT19"/>
    </row>
    <row r="20" spans="1:1014" ht="28.15" customHeight="1" x14ac:dyDescent="0.25">
      <c r="A20" s="16" t="s">
        <v>121</v>
      </c>
      <c r="B20" s="40" t="s">
        <v>149</v>
      </c>
      <c r="C20" s="17" t="s">
        <v>124</v>
      </c>
      <c r="D20" s="41">
        <v>41</v>
      </c>
      <c r="E20" s="41">
        <v>56</v>
      </c>
      <c r="F20" s="17" t="s">
        <v>123</v>
      </c>
      <c r="G20" s="17" t="s">
        <v>46</v>
      </c>
      <c r="H20" s="41" t="s">
        <v>32</v>
      </c>
      <c r="I20" s="41">
        <v>46</v>
      </c>
      <c r="J20" s="41">
        <v>63</v>
      </c>
      <c r="K20" s="41">
        <v>18</v>
      </c>
      <c r="L20" s="41">
        <v>14</v>
      </c>
      <c r="M20" s="41">
        <v>104</v>
      </c>
      <c r="N20" s="41">
        <v>96</v>
      </c>
      <c r="O20" s="41">
        <v>104</v>
      </c>
      <c r="P20" s="41">
        <v>75</v>
      </c>
      <c r="Q20" s="41">
        <v>45</v>
      </c>
      <c r="R20" s="41">
        <v>46</v>
      </c>
      <c r="S20" s="41">
        <v>26</v>
      </c>
      <c r="T20" s="41">
        <v>16</v>
      </c>
      <c r="U20" s="41">
        <v>27</v>
      </c>
      <c r="V20" s="41">
        <v>25</v>
      </c>
      <c r="W20" s="41">
        <v>27</v>
      </c>
      <c r="X20" s="41">
        <v>74</v>
      </c>
      <c r="Y20" s="41">
        <v>42</v>
      </c>
      <c r="Z20" s="41">
        <v>84</v>
      </c>
      <c r="AA20" s="41">
        <v>97</v>
      </c>
      <c r="AB20" s="41">
        <v>64</v>
      </c>
      <c r="AC20" s="41">
        <v>31</v>
      </c>
      <c r="AD20" s="41">
        <v>23</v>
      </c>
      <c r="AE20" s="41">
        <v>19</v>
      </c>
      <c r="AF20" s="41">
        <v>100</v>
      </c>
      <c r="AG20" s="41">
        <v>46</v>
      </c>
      <c r="AH20" s="41">
        <v>64</v>
      </c>
      <c r="AI20" s="41">
        <v>16</v>
      </c>
      <c r="AJ20" s="41">
        <v>12</v>
      </c>
      <c r="AK20" s="41">
        <v>27</v>
      </c>
      <c r="AL20" s="41">
        <v>25</v>
      </c>
      <c r="AM20" s="41">
        <v>27</v>
      </c>
      <c r="AN20" s="41">
        <v>74</v>
      </c>
      <c r="AO20" s="41">
        <v>42</v>
      </c>
      <c r="AP20" s="17">
        <v>2</v>
      </c>
      <c r="AQ20" t="s">
        <v>152</v>
      </c>
      <c r="AR20"/>
      <c r="AS20"/>
      <c r="AT20"/>
    </row>
    <row r="21" spans="1:1014" ht="28.15" customHeight="1" x14ac:dyDescent="0.25">
      <c r="A21" s="16" t="s">
        <v>122</v>
      </c>
      <c r="B21" s="40" t="s">
        <v>148</v>
      </c>
      <c r="C21" s="17" t="s">
        <v>124</v>
      </c>
      <c r="D21" s="41">
        <v>42</v>
      </c>
      <c r="E21" s="41">
        <v>56</v>
      </c>
      <c r="F21" s="17" t="s">
        <v>123</v>
      </c>
      <c r="G21" s="17" t="s">
        <v>46</v>
      </c>
      <c r="H21" s="41" t="s">
        <v>34</v>
      </c>
      <c r="I21" s="41">
        <v>48</v>
      </c>
      <c r="J21" s="41">
        <v>62</v>
      </c>
      <c r="K21" s="41">
        <v>20</v>
      </c>
      <c r="L21" s="41">
        <v>15</v>
      </c>
      <c r="M21" s="41">
        <v>102</v>
      </c>
      <c r="N21" s="41">
        <v>94</v>
      </c>
      <c r="O21" s="41">
        <v>108</v>
      </c>
      <c r="P21" s="41">
        <v>75</v>
      </c>
      <c r="Q21" s="41">
        <v>41</v>
      </c>
      <c r="R21" s="41">
        <v>48</v>
      </c>
      <c r="S21" s="41">
        <v>26</v>
      </c>
      <c r="T21" s="41">
        <v>18</v>
      </c>
      <c r="U21" s="41">
        <v>29</v>
      </c>
      <c r="V21" s="41">
        <v>27</v>
      </c>
      <c r="W21" s="41">
        <v>29</v>
      </c>
      <c r="X21" s="41">
        <v>74</v>
      </c>
      <c r="Y21" s="41">
        <v>41</v>
      </c>
      <c r="Z21" s="41">
        <v>86</v>
      </c>
      <c r="AA21" s="41">
        <v>104</v>
      </c>
      <c r="AB21" s="41">
        <v>66</v>
      </c>
      <c r="AC21" s="41">
        <v>33</v>
      </c>
      <c r="AD21" s="41">
        <v>26</v>
      </c>
      <c r="AE21" s="41">
        <v>22</v>
      </c>
      <c r="AF21" s="41">
        <v>101</v>
      </c>
      <c r="AG21" s="41">
        <v>48</v>
      </c>
      <c r="AH21" s="41">
        <v>63</v>
      </c>
      <c r="AI21" s="41">
        <v>18</v>
      </c>
      <c r="AJ21" s="41">
        <v>13</v>
      </c>
      <c r="AK21" s="41">
        <v>29</v>
      </c>
      <c r="AL21" s="41">
        <v>27</v>
      </c>
      <c r="AM21" s="41">
        <v>29</v>
      </c>
      <c r="AN21" s="41">
        <v>74</v>
      </c>
      <c r="AO21" s="41">
        <v>41</v>
      </c>
      <c r="AP21" s="17">
        <v>2</v>
      </c>
      <c r="AQ21" t="s">
        <v>152</v>
      </c>
      <c r="AR21"/>
      <c r="AS21"/>
      <c r="AT21"/>
    </row>
    <row r="22" spans="1:1014" ht="28.15" customHeight="1" x14ac:dyDescent="0.25">
      <c r="A22" s="16" t="s">
        <v>153</v>
      </c>
      <c r="B22" s="40" t="s">
        <v>147</v>
      </c>
      <c r="C22" s="17" t="s">
        <v>124</v>
      </c>
      <c r="D22" s="41">
        <v>42</v>
      </c>
      <c r="E22" s="41">
        <v>57</v>
      </c>
      <c r="F22" s="17" t="s">
        <v>123</v>
      </c>
      <c r="G22" s="17" t="s">
        <v>46</v>
      </c>
      <c r="H22" s="41" t="s">
        <v>34</v>
      </c>
      <c r="I22" s="41">
        <v>49</v>
      </c>
      <c r="J22" s="41">
        <v>64</v>
      </c>
      <c r="K22" s="41">
        <v>20</v>
      </c>
      <c r="L22" s="41">
        <v>16</v>
      </c>
      <c r="M22" s="41">
        <v>121</v>
      </c>
      <c r="N22" s="41">
        <v>120</v>
      </c>
      <c r="O22" s="41">
        <v>127</v>
      </c>
      <c r="P22" s="41">
        <v>79</v>
      </c>
      <c r="Q22" s="41">
        <v>45</v>
      </c>
      <c r="R22" s="41">
        <v>49</v>
      </c>
      <c r="S22" s="41">
        <v>25</v>
      </c>
      <c r="T22" s="41">
        <v>19</v>
      </c>
      <c r="U22" s="41">
        <v>32</v>
      </c>
      <c r="V22" s="41">
        <v>30</v>
      </c>
      <c r="W22" s="41">
        <v>32</v>
      </c>
      <c r="X22" s="41">
        <v>78</v>
      </c>
      <c r="Y22" s="41">
        <v>45</v>
      </c>
      <c r="Z22" s="41">
        <v>103</v>
      </c>
      <c r="AA22" s="41">
        <v>125</v>
      </c>
      <c r="AB22" s="41">
        <v>72</v>
      </c>
      <c r="AC22" s="41">
        <v>36</v>
      </c>
      <c r="AD22" s="41">
        <v>27</v>
      </c>
      <c r="AE22" s="41">
        <v>22</v>
      </c>
      <c r="AF22" s="41">
        <v>99</v>
      </c>
      <c r="AG22" s="41">
        <v>49</v>
      </c>
      <c r="AH22" s="41">
        <v>65</v>
      </c>
      <c r="AI22" s="41">
        <v>19</v>
      </c>
      <c r="AJ22" s="41">
        <v>13</v>
      </c>
      <c r="AK22" s="41">
        <v>32</v>
      </c>
      <c r="AL22" s="41">
        <v>30</v>
      </c>
      <c r="AM22" s="41">
        <v>32</v>
      </c>
      <c r="AN22" s="41">
        <v>78</v>
      </c>
      <c r="AO22" s="41">
        <v>45</v>
      </c>
      <c r="AP22" s="17">
        <v>2</v>
      </c>
      <c r="AQ22" t="s">
        <v>152</v>
      </c>
      <c r="AR22"/>
      <c r="AS22"/>
      <c r="AT22"/>
    </row>
    <row r="23" spans="1:1014" ht="27.75" customHeight="1" x14ac:dyDescent="0.25">
      <c r="A23" s="16" t="s">
        <v>154</v>
      </c>
      <c r="B23" s="40" t="s">
        <v>146</v>
      </c>
      <c r="C23" s="17" t="s">
        <v>124</v>
      </c>
      <c r="D23" s="41">
        <v>41</v>
      </c>
      <c r="E23" s="41">
        <v>58</v>
      </c>
      <c r="F23" s="17" t="s">
        <v>123</v>
      </c>
      <c r="G23" s="17" t="s">
        <v>46</v>
      </c>
      <c r="H23" s="41" t="s">
        <v>34</v>
      </c>
      <c r="I23" s="41">
        <v>48</v>
      </c>
      <c r="J23" s="41">
        <v>60</v>
      </c>
      <c r="K23" s="41">
        <v>20</v>
      </c>
      <c r="L23" s="41">
        <v>19</v>
      </c>
      <c r="M23" s="41">
        <v>110</v>
      </c>
      <c r="N23" s="41">
        <v>106</v>
      </c>
      <c r="O23" s="41">
        <v>112</v>
      </c>
      <c r="P23" s="41">
        <v>73</v>
      </c>
      <c r="Q23" s="41">
        <v>43</v>
      </c>
      <c r="R23" s="41">
        <v>48</v>
      </c>
      <c r="S23" s="41">
        <v>25</v>
      </c>
      <c r="T23" s="41">
        <v>19</v>
      </c>
      <c r="U23" s="41">
        <v>30</v>
      </c>
      <c r="V23" s="41">
        <v>28</v>
      </c>
      <c r="W23" s="41">
        <v>30</v>
      </c>
      <c r="X23" s="41">
        <v>72</v>
      </c>
      <c r="Y23" s="41">
        <v>43</v>
      </c>
      <c r="Z23" s="41">
        <v>98</v>
      </c>
      <c r="AA23" s="41">
        <v>110</v>
      </c>
      <c r="AB23" s="41">
        <v>70</v>
      </c>
      <c r="AC23" s="41">
        <v>35</v>
      </c>
      <c r="AD23" s="41">
        <v>25</v>
      </c>
      <c r="AE23" s="41">
        <v>22</v>
      </c>
      <c r="AF23" s="41">
        <v>96</v>
      </c>
      <c r="AG23" s="41">
        <v>48</v>
      </c>
      <c r="AH23" s="41">
        <v>61</v>
      </c>
      <c r="AI23" s="41">
        <v>19</v>
      </c>
      <c r="AJ23" s="41">
        <v>13</v>
      </c>
      <c r="AK23" s="41">
        <v>30</v>
      </c>
      <c r="AL23" s="41">
        <v>27</v>
      </c>
      <c r="AM23" s="41">
        <v>30</v>
      </c>
      <c r="AN23" s="41">
        <v>72</v>
      </c>
      <c r="AO23" s="41">
        <v>43</v>
      </c>
      <c r="AP23" s="17">
        <v>2</v>
      </c>
      <c r="AQ23" t="s">
        <v>152</v>
      </c>
      <c r="AR23"/>
      <c r="AS23"/>
      <c r="AT23"/>
    </row>
    <row r="24" spans="1:1014" s="46" customFormat="1" ht="28.15" customHeight="1" x14ac:dyDescent="0.25">
      <c r="A24" s="42" t="s">
        <v>155</v>
      </c>
      <c r="B24" s="43" t="s">
        <v>135</v>
      </c>
      <c r="C24" s="44" t="s">
        <v>124</v>
      </c>
      <c r="D24" s="45">
        <v>44</v>
      </c>
      <c r="E24" s="45">
        <v>61</v>
      </c>
      <c r="F24" s="44" t="s">
        <v>123</v>
      </c>
      <c r="G24" s="44" t="s">
        <v>46</v>
      </c>
      <c r="H24" s="45" t="s">
        <v>33</v>
      </c>
      <c r="I24" s="45">
        <v>50</v>
      </c>
      <c r="J24" s="45">
        <v>63</v>
      </c>
      <c r="K24" s="45">
        <v>22</v>
      </c>
      <c r="L24" s="45">
        <v>16</v>
      </c>
      <c r="M24" s="45">
        <v>126</v>
      </c>
      <c r="N24" s="45">
        <v>120</v>
      </c>
      <c r="O24" s="45">
        <v>128</v>
      </c>
      <c r="P24" s="45">
        <v>75</v>
      </c>
      <c r="Q24" s="45">
        <v>44</v>
      </c>
      <c r="R24" s="45">
        <v>50</v>
      </c>
      <c r="S24" s="45">
        <v>25</v>
      </c>
      <c r="T24" s="45">
        <v>21</v>
      </c>
      <c r="U24" s="45">
        <v>32</v>
      </c>
      <c r="V24" s="45">
        <v>30</v>
      </c>
      <c r="W24" s="45">
        <v>32</v>
      </c>
      <c r="X24" s="45">
        <v>74</v>
      </c>
      <c r="Y24" s="45">
        <v>44</v>
      </c>
      <c r="Z24" s="45">
        <v>112</v>
      </c>
      <c r="AA24" s="45">
        <v>126</v>
      </c>
      <c r="AB24" s="45">
        <v>73</v>
      </c>
      <c r="AC24" s="45">
        <v>39</v>
      </c>
      <c r="AD24" s="45">
        <v>27</v>
      </c>
      <c r="AE24" s="45">
        <v>22</v>
      </c>
      <c r="AF24" s="45">
        <v>96</v>
      </c>
      <c r="AG24" s="45">
        <v>50</v>
      </c>
      <c r="AH24" s="45">
        <v>64</v>
      </c>
      <c r="AI24" s="45">
        <v>21</v>
      </c>
      <c r="AJ24" s="45">
        <v>13</v>
      </c>
      <c r="AK24" s="45">
        <v>32</v>
      </c>
      <c r="AL24" s="45">
        <v>30</v>
      </c>
      <c r="AM24" s="45">
        <v>32</v>
      </c>
      <c r="AN24" s="45">
        <v>74</v>
      </c>
      <c r="AO24" s="45">
        <v>44</v>
      </c>
      <c r="AP24" s="44">
        <v>2</v>
      </c>
      <c r="AQ24" s="46" t="s">
        <v>152</v>
      </c>
      <c r="AU24" s="47" t="s">
        <v>159</v>
      </c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  <c r="FF24" s="47"/>
      <c r="FG24" s="47"/>
      <c r="FH24" s="47"/>
      <c r="FI24" s="47"/>
      <c r="FJ24" s="47"/>
      <c r="FK24" s="47"/>
      <c r="FL24" s="47"/>
      <c r="FM24" s="47"/>
      <c r="FN24" s="47"/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47"/>
      <c r="GE24" s="47"/>
      <c r="GF24" s="47"/>
      <c r="GG24" s="47"/>
      <c r="GH24" s="47"/>
      <c r="GI24" s="47"/>
      <c r="GJ24" s="47"/>
      <c r="GK24" s="47"/>
      <c r="GL24" s="47"/>
      <c r="GM24" s="47"/>
      <c r="GN24" s="47"/>
      <c r="GO24" s="47"/>
      <c r="GP24" s="47"/>
      <c r="GQ24" s="47"/>
      <c r="GR24" s="47"/>
      <c r="GS24" s="47"/>
      <c r="GT24" s="47"/>
      <c r="GU24" s="47"/>
      <c r="GV24" s="47"/>
      <c r="GW24" s="47"/>
      <c r="GX24" s="47"/>
      <c r="GY24" s="47"/>
      <c r="GZ24" s="47"/>
      <c r="HA24" s="47"/>
      <c r="HB24" s="47"/>
      <c r="HC24" s="47"/>
      <c r="HD24" s="47"/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47"/>
      <c r="HU24" s="47"/>
      <c r="HV24" s="47"/>
      <c r="HW24" s="47"/>
      <c r="HX24" s="47"/>
      <c r="HY24" s="47"/>
      <c r="HZ24" s="47"/>
      <c r="IA24" s="47"/>
      <c r="IB24" s="47"/>
      <c r="IC24" s="47"/>
      <c r="ID24" s="47"/>
      <c r="IE24" s="47"/>
      <c r="IF24" s="47"/>
      <c r="IG24" s="47"/>
      <c r="IH24" s="47"/>
      <c r="II24" s="47"/>
      <c r="IJ24" s="47"/>
      <c r="IK24" s="47"/>
      <c r="IL24" s="47"/>
      <c r="IM24" s="47"/>
      <c r="IN24" s="47"/>
      <c r="IO24" s="47"/>
      <c r="IP24" s="47"/>
      <c r="IQ24" s="47"/>
      <c r="IR24" s="47"/>
      <c r="IS24" s="47"/>
      <c r="IT24" s="47"/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47"/>
      <c r="JK24" s="47"/>
      <c r="JL24" s="47"/>
      <c r="JM24" s="47"/>
      <c r="JN24" s="47"/>
      <c r="JO24" s="47"/>
      <c r="JP24" s="47"/>
      <c r="JQ24" s="47"/>
      <c r="JR24" s="47"/>
      <c r="JS24" s="47"/>
      <c r="JT24" s="47"/>
      <c r="JU24" s="47"/>
      <c r="JV24" s="47"/>
      <c r="JW24" s="47"/>
      <c r="JX24" s="47"/>
      <c r="JY24" s="47"/>
      <c r="JZ24" s="47"/>
      <c r="KA24" s="47"/>
      <c r="KB24" s="47"/>
      <c r="KC24" s="47"/>
      <c r="KD24" s="47"/>
      <c r="KE24" s="47"/>
      <c r="KF24" s="47"/>
      <c r="KG24" s="47"/>
      <c r="KH24" s="47"/>
      <c r="KI24" s="47"/>
      <c r="KJ24" s="47"/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47"/>
      <c r="LA24" s="47"/>
      <c r="LB24" s="47"/>
      <c r="LC24" s="47"/>
      <c r="LD24" s="47"/>
      <c r="LE24" s="47"/>
      <c r="LF24" s="47"/>
      <c r="LG24" s="47"/>
      <c r="LH24" s="47"/>
      <c r="LI24" s="47"/>
      <c r="LJ24" s="47"/>
      <c r="LK24" s="47"/>
      <c r="LL24" s="47"/>
      <c r="LM24" s="47"/>
      <c r="LN24" s="47"/>
      <c r="LO24" s="47"/>
      <c r="LP24" s="47"/>
      <c r="LQ24" s="47"/>
      <c r="LR24" s="47"/>
      <c r="LS24" s="47"/>
      <c r="LT24" s="47"/>
      <c r="LU24" s="47"/>
      <c r="LV24" s="47"/>
      <c r="LW24" s="47"/>
      <c r="LX24" s="47"/>
      <c r="LY24" s="47"/>
      <c r="LZ24" s="47"/>
      <c r="MA24" s="47"/>
      <c r="MB24" s="47"/>
      <c r="MC24" s="47"/>
      <c r="MD24" s="47"/>
      <c r="ME24" s="47"/>
      <c r="MF24" s="47"/>
      <c r="MG24" s="47"/>
      <c r="MH24" s="47"/>
      <c r="MI24" s="47"/>
      <c r="MJ24" s="47"/>
      <c r="MK24" s="47"/>
      <c r="ML24" s="47"/>
      <c r="MM24" s="47"/>
      <c r="MN24" s="47"/>
      <c r="MO24" s="47"/>
      <c r="MP24" s="47"/>
      <c r="MQ24" s="47"/>
      <c r="MR24" s="47"/>
      <c r="MS24" s="47"/>
      <c r="MT24" s="47"/>
      <c r="MU24" s="47"/>
      <c r="MV24" s="47"/>
      <c r="MW24" s="47"/>
      <c r="MX24" s="47"/>
      <c r="MY24" s="47"/>
      <c r="MZ24" s="47"/>
      <c r="NA24" s="47"/>
      <c r="NB24" s="47"/>
      <c r="NC24" s="47"/>
      <c r="ND24" s="47"/>
      <c r="NE24" s="47"/>
      <c r="NF24" s="47"/>
      <c r="NG24" s="47"/>
      <c r="NH24" s="47"/>
      <c r="NI24" s="47"/>
      <c r="NJ24" s="47"/>
      <c r="NK24" s="47"/>
      <c r="NL24" s="47"/>
      <c r="NM24" s="47"/>
      <c r="NN24" s="47"/>
      <c r="NO24" s="47"/>
      <c r="NP24" s="47"/>
      <c r="NQ24" s="47"/>
      <c r="NR24" s="47"/>
      <c r="NS24" s="47"/>
      <c r="NT24" s="47"/>
      <c r="NU24" s="47"/>
      <c r="NV24" s="47"/>
      <c r="NW24" s="47"/>
      <c r="NX24" s="47"/>
      <c r="NY24" s="47"/>
      <c r="NZ24" s="47"/>
      <c r="OA24" s="47"/>
      <c r="OB24" s="47"/>
      <c r="OC24" s="47"/>
      <c r="OD24" s="47"/>
      <c r="OE24" s="47"/>
      <c r="OF24" s="47"/>
      <c r="OG24" s="47"/>
      <c r="OH24" s="47"/>
      <c r="OI24" s="47"/>
      <c r="OJ24" s="47"/>
      <c r="OK24" s="47"/>
      <c r="OL24" s="47"/>
      <c r="OM24" s="47"/>
      <c r="ON24" s="47"/>
      <c r="OO24" s="47"/>
      <c r="OP24" s="47"/>
      <c r="OQ24" s="47"/>
      <c r="OR24" s="47"/>
      <c r="OS24" s="47"/>
      <c r="OT24" s="47"/>
      <c r="OU24" s="47"/>
      <c r="OV24" s="47"/>
      <c r="OW24" s="47"/>
      <c r="OX24" s="47"/>
      <c r="OY24" s="47"/>
      <c r="OZ24" s="47"/>
      <c r="PA24" s="47"/>
      <c r="PB24" s="47"/>
      <c r="PC24" s="47"/>
      <c r="PD24" s="47"/>
      <c r="PE24" s="47"/>
      <c r="PF24" s="47"/>
      <c r="PG24" s="47"/>
      <c r="PH24" s="47"/>
      <c r="PI24" s="47"/>
      <c r="PJ24" s="47"/>
      <c r="PK24" s="47"/>
      <c r="PL24" s="47"/>
      <c r="PM24" s="47"/>
      <c r="PN24" s="47"/>
      <c r="PO24" s="47"/>
      <c r="PP24" s="47"/>
      <c r="PQ24" s="47"/>
      <c r="PR24" s="47"/>
      <c r="PS24" s="47"/>
      <c r="PT24" s="47"/>
      <c r="PU24" s="47"/>
      <c r="PV24" s="47"/>
      <c r="PW24" s="47"/>
      <c r="PX24" s="47"/>
      <c r="PY24" s="47"/>
      <c r="PZ24" s="47"/>
      <c r="QA24" s="47"/>
      <c r="QB24" s="47"/>
      <c r="QC24" s="47"/>
      <c r="QD24" s="47"/>
      <c r="QE24" s="47"/>
      <c r="QF24" s="47"/>
      <c r="QG24" s="47"/>
      <c r="QH24" s="47"/>
      <c r="QI24" s="47"/>
      <c r="QJ24" s="47"/>
      <c r="QK24" s="47"/>
      <c r="QL24" s="47"/>
      <c r="QM24" s="47"/>
      <c r="QN24" s="47"/>
      <c r="QO24" s="47"/>
      <c r="QP24" s="47"/>
      <c r="QQ24" s="47"/>
      <c r="QR24" s="47"/>
      <c r="QS24" s="47"/>
      <c r="QT24" s="47"/>
      <c r="QU24" s="47"/>
      <c r="QV24" s="47"/>
      <c r="QW24" s="47"/>
      <c r="QX24" s="47"/>
      <c r="QY24" s="47"/>
      <c r="QZ24" s="47"/>
      <c r="RA24" s="47"/>
      <c r="RB24" s="47"/>
      <c r="RC24" s="47"/>
      <c r="RD24" s="47"/>
      <c r="RE24" s="47"/>
      <c r="RF24" s="47"/>
      <c r="RG24" s="47"/>
      <c r="RH24" s="47"/>
      <c r="RI24" s="47"/>
      <c r="RJ24" s="47"/>
      <c r="RK24" s="47"/>
      <c r="RL24" s="47"/>
      <c r="RM24" s="47"/>
      <c r="RN24" s="47"/>
      <c r="RO24" s="47"/>
      <c r="RP24" s="47"/>
      <c r="RQ24" s="47"/>
      <c r="RR24" s="47"/>
      <c r="RS24" s="47"/>
      <c r="RT24" s="47"/>
      <c r="RU24" s="47"/>
      <c r="RV24" s="47"/>
      <c r="RW24" s="47"/>
      <c r="RX24" s="47"/>
      <c r="RY24" s="47"/>
      <c r="RZ24" s="47"/>
      <c r="SA24" s="47"/>
      <c r="SB24" s="47"/>
      <c r="SC24" s="47"/>
      <c r="SD24" s="47"/>
      <c r="SE24" s="47"/>
      <c r="SF24" s="47"/>
      <c r="SG24" s="47"/>
      <c r="SH24" s="47"/>
      <c r="SI24" s="47"/>
      <c r="SJ24" s="47"/>
      <c r="SK24" s="47"/>
      <c r="SL24" s="47"/>
      <c r="SM24" s="47"/>
      <c r="SN24" s="47"/>
      <c r="SO24" s="47"/>
      <c r="SP24" s="47"/>
      <c r="SQ24" s="47"/>
      <c r="SR24" s="47"/>
      <c r="SS24" s="47"/>
      <c r="ST24" s="47"/>
      <c r="SU24" s="47"/>
      <c r="SV24" s="47"/>
      <c r="SW24" s="47"/>
      <c r="SX24" s="47"/>
      <c r="SY24" s="47"/>
      <c r="SZ24" s="47"/>
      <c r="TA24" s="47"/>
      <c r="TB24" s="47"/>
      <c r="TC24" s="47"/>
      <c r="TD24" s="47"/>
      <c r="TE24" s="47"/>
      <c r="TF24" s="47"/>
      <c r="TG24" s="47"/>
      <c r="TH24" s="47"/>
      <c r="TI24" s="47"/>
      <c r="TJ24" s="47"/>
      <c r="TK24" s="47"/>
      <c r="TL24" s="47"/>
      <c r="TM24" s="47"/>
      <c r="TN24" s="47"/>
      <c r="TO24" s="47"/>
      <c r="TP24" s="47"/>
      <c r="TQ24" s="47"/>
      <c r="TR24" s="47"/>
      <c r="TS24" s="47"/>
      <c r="TT24" s="47"/>
      <c r="TU24" s="47"/>
      <c r="TV24" s="47"/>
      <c r="TW24" s="47"/>
      <c r="TX24" s="47"/>
      <c r="TY24" s="47"/>
      <c r="TZ24" s="47"/>
      <c r="UA24" s="47"/>
      <c r="UB24" s="47"/>
      <c r="UC24" s="47"/>
      <c r="UD24" s="47"/>
      <c r="UE24" s="47"/>
      <c r="UF24" s="47"/>
      <c r="UG24" s="47"/>
      <c r="UH24" s="47"/>
      <c r="UI24" s="47"/>
      <c r="UJ24" s="47"/>
      <c r="UK24" s="47"/>
      <c r="UL24" s="47"/>
      <c r="UM24" s="47"/>
      <c r="UN24" s="47"/>
      <c r="UO24" s="47"/>
      <c r="UP24" s="47"/>
      <c r="UQ24" s="47"/>
      <c r="UR24" s="47"/>
      <c r="US24" s="47"/>
      <c r="UT24" s="47"/>
      <c r="UU24" s="47"/>
      <c r="UV24" s="47"/>
      <c r="UW24" s="47"/>
      <c r="UX24" s="47"/>
      <c r="UY24" s="47"/>
      <c r="UZ24" s="47"/>
      <c r="VA24" s="47"/>
      <c r="VB24" s="47"/>
      <c r="VC24" s="47"/>
      <c r="VD24" s="47"/>
      <c r="VE24" s="47"/>
      <c r="VF24" s="47"/>
      <c r="VG24" s="47"/>
      <c r="VH24" s="47"/>
      <c r="VI24" s="47"/>
      <c r="VJ24" s="47"/>
      <c r="VK24" s="47"/>
      <c r="VL24" s="47"/>
      <c r="VM24" s="47"/>
      <c r="VN24" s="47"/>
      <c r="VO24" s="47"/>
      <c r="VP24" s="47"/>
      <c r="VQ24" s="47"/>
      <c r="VR24" s="47"/>
      <c r="VS24" s="47"/>
      <c r="VT24" s="47"/>
      <c r="VU24" s="47"/>
      <c r="VV24" s="47"/>
      <c r="VW24" s="47"/>
      <c r="VX24" s="47"/>
      <c r="VY24" s="47"/>
      <c r="VZ24" s="47"/>
      <c r="WA24" s="47"/>
      <c r="WB24" s="47"/>
      <c r="WC24" s="47"/>
      <c r="WD24" s="47"/>
      <c r="WE24" s="47"/>
      <c r="WF24" s="47"/>
      <c r="WG24" s="47"/>
      <c r="WH24" s="47"/>
      <c r="WI24" s="47"/>
      <c r="WJ24" s="47"/>
      <c r="WK24" s="47"/>
      <c r="WL24" s="47"/>
      <c r="WM24" s="47"/>
      <c r="WN24" s="47"/>
      <c r="WO24" s="47"/>
      <c r="WP24" s="47"/>
      <c r="WQ24" s="47"/>
      <c r="WR24" s="47"/>
      <c r="WS24" s="47"/>
      <c r="WT24" s="47"/>
      <c r="WU24" s="47"/>
      <c r="WV24" s="47"/>
      <c r="WW24" s="47"/>
      <c r="WX24" s="47"/>
      <c r="WY24" s="47"/>
      <c r="WZ24" s="47"/>
      <c r="XA24" s="47"/>
      <c r="XB24" s="47"/>
      <c r="XC24" s="47"/>
      <c r="XD24" s="47"/>
      <c r="XE24" s="47"/>
      <c r="XF24" s="47"/>
      <c r="XG24" s="47"/>
      <c r="XH24" s="47"/>
      <c r="XI24" s="47"/>
      <c r="XJ24" s="47"/>
      <c r="XK24" s="47"/>
      <c r="XL24" s="47"/>
      <c r="XM24" s="47"/>
      <c r="XN24" s="47"/>
      <c r="XO24" s="47"/>
      <c r="XP24" s="47"/>
      <c r="XQ24" s="47"/>
      <c r="XR24" s="47"/>
      <c r="XS24" s="47"/>
      <c r="XT24" s="47"/>
      <c r="XU24" s="47"/>
      <c r="XV24" s="47"/>
      <c r="XW24" s="47"/>
      <c r="XX24" s="47"/>
      <c r="XY24" s="47"/>
      <c r="XZ24" s="47"/>
      <c r="YA24" s="47"/>
      <c r="YB24" s="47"/>
      <c r="YC24" s="47"/>
      <c r="YD24" s="47"/>
      <c r="YE24" s="47"/>
      <c r="YF24" s="47"/>
      <c r="YG24" s="47"/>
      <c r="YH24" s="47"/>
      <c r="YI24" s="47"/>
      <c r="YJ24" s="47"/>
      <c r="YK24" s="47"/>
      <c r="YL24" s="47"/>
      <c r="YM24" s="47"/>
      <c r="YN24" s="47"/>
      <c r="YO24" s="47"/>
      <c r="YP24" s="47"/>
      <c r="YQ24" s="47"/>
      <c r="YR24" s="47"/>
      <c r="YS24" s="47"/>
      <c r="YT24" s="47"/>
      <c r="YU24" s="47"/>
      <c r="YV24" s="47"/>
      <c r="YW24" s="47"/>
      <c r="YX24" s="47"/>
      <c r="YY24" s="47"/>
      <c r="YZ24" s="47"/>
      <c r="ZA24" s="47"/>
      <c r="ZB24" s="47"/>
      <c r="ZC24" s="47"/>
      <c r="ZD24" s="47"/>
      <c r="ZE24" s="47"/>
      <c r="ZF24" s="47"/>
      <c r="ZG24" s="47"/>
      <c r="ZH24" s="47"/>
      <c r="ZI24" s="47"/>
      <c r="ZJ24" s="47"/>
      <c r="ZK24" s="47"/>
      <c r="ZL24" s="47"/>
      <c r="ZM24" s="47"/>
      <c r="ZN24" s="47"/>
      <c r="ZO24" s="47"/>
      <c r="ZP24" s="47"/>
      <c r="ZQ24" s="47"/>
      <c r="ZR24" s="47"/>
      <c r="ZS24" s="47"/>
      <c r="ZT24" s="47"/>
      <c r="ZU24" s="47"/>
      <c r="ZV24" s="47"/>
      <c r="ZW24" s="47"/>
      <c r="ZX24" s="47"/>
      <c r="ZY24" s="47"/>
      <c r="ZZ24" s="47"/>
      <c r="AAA24" s="47"/>
      <c r="AAB24" s="47"/>
      <c r="AAC24" s="47"/>
      <c r="AAD24" s="47"/>
      <c r="AAE24" s="47"/>
      <c r="AAF24" s="47"/>
      <c r="AAG24" s="47"/>
      <c r="AAH24" s="47"/>
      <c r="AAI24" s="47"/>
      <c r="AAJ24" s="47"/>
      <c r="AAK24" s="47"/>
      <c r="AAL24" s="47"/>
      <c r="AAM24" s="47"/>
      <c r="AAN24" s="47"/>
      <c r="AAO24" s="47"/>
      <c r="AAP24" s="47"/>
      <c r="AAQ24" s="47"/>
      <c r="AAR24" s="47"/>
      <c r="AAS24" s="47"/>
      <c r="AAT24" s="47"/>
      <c r="AAU24" s="47"/>
      <c r="AAV24" s="47"/>
      <c r="AAW24" s="47"/>
      <c r="AAX24" s="47"/>
      <c r="AAY24" s="47"/>
      <c r="AAZ24" s="47"/>
      <c r="ABA24" s="47"/>
      <c r="ABB24" s="47"/>
      <c r="ABC24" s="47"/>
      <c r="ABD24" s="47"/>
      <c r="ABE24" s="47"/>
      <c r="ABF24" s="47"/>
      <c r="ABG24" s="47"/>
      <c r="ABH24" s="47"/>
      <c r="ABI24" s="47"/>
      <c r="ABJ24" s="47"/>
      <c r="ABK24" s="47"/>
      <c r="ABL24" s="47"/>
      <c r="ABM24" s="47"/>
      <c r="ABN24" s="47"/>
      <c r="ABO24" s="47"/>
      <c r="ABP24" s="47"/>
      <c r="ABQ24" s="47"/>
      <c r="ABR24" s="47"/>
      <c r="ABS24" s="47"/>
      <c r="ABT24" s="47"/>
      <c r="ABU24" s="47"/>
      <c r="ABV24" s="47"/>
      <c r="ABW24" s="47"/>
      <c r="ABX24" s="47"/>
      <c r="ABY24" s="47"/>
      <c r="ABZ24" s="47"/>
      <c r="ACA24" s="47"/>
      <c r="ACB24" s="47"/>
      <c r="ACC24" s="47"/>
      <c r="ACD24" s="47"/>
      <c r="ACE24" s="47"/>
      <c r="ACF24" s="47"/>
      <c r="ACG24" s="47"/>
      <c r="ACH24" s="47"/>
      <c r="ACI24" s="47"/>
      <c r="ACJ24" s="47"/>
      <c r="ACK24" s="47"/>
      <c r="ACL24" s="47"/>
      <c r="ACM24" s="47"/>
      <c r="ACN24" s="47"/>
      <c r="ACO24" s="47"/>
      <c r="ACP24" s="47"/>
      <c r="ACQ24" s="47"/>
      <c r="ACR24" s="47"/>
      <c r="ACS24" s="47"/>
      <c r="ACT24" s="47"/>
      <c r="ACU24" s="47"/>
      <c r="ACV24" s="47"/>
      <c r="ACW24" s="47"/>
      <c r="ACX24" s="47"/>
      <c r="ACY24" s="47"/>
      <c r="ACZ24" s="47"/>
      <c r="ADA24" s="47"/>
      <c r="ADB24" s="47"/>
      <c r="ADC24" s="47"/>
      <c r="ADD24" s="47"/>
      <c r="ADE24" s="47"/>
      <c r="ADF24" s="47"/>
      <c r="ADG24" s="47"/>
      <c r="ADH24" s="47"/>
      <c r="ADI24" s="47"/>
      <c r="ADJ24" s="47"/>
      <c r="ADK24" s="47"/>
      <c r="ADL24" s="47"/>
      <c r="ADM24" s="47"/>
      <c r="ADN24" s="47"/>
      <c r="ADO24" s="47"/>
      <c r="ADP24" s="47"/>
      <c r="ADQ24" s="47"/>
      <c r="ADR24" s="47"/>
      <c r="ADS24" s="47"/>
      <c r="ADT24" s="47"/>
      <c r="ADU24" s="47"/>
      <c r="ADV24" s="47"/>
      <c r="ADW24" s="47"/>
      <c r="ADX24" s="47"/>
      <c r="ADY24" s="47"/>
      <c r="ADZ24" s="47"/>
      <c r="AEA24" s="47"/>
      <c r="AEB24" s="47"/>
      <c r="AEC24" s="47"/>
      <c r="AED24" s="47"/>
      <c r="AEE24" s="47"/>
      <c r="AEF24" s="47"/>
      <c r="AEG24" s="47"/>
      <c r="AEH24" s="47"/>
      <c r="AEI24" s="47"/>
      <c r="AEJ24" s="47"/>
      <c r="AEK24" s="47"/>
      <c r="AEL24" s="47"/>
      <c r="AEM24" s="47"/>
      <c r="AEN24" s="47"/>
      <c r="AEO24" s="47"/>
      <c r="AEP24" s="47"/>
      <c r="AEQ24" s="47"/>
      <c r="AER24" s="47"/>
      <c r="AES24" s="47"/>
      <c r="AET24" s="47"/>
      <c r="AEU24" s="47"/>
      <c r="AEV24" s="47"/>
      <c r="AEW24" s="47"/>
      <c r="AEX24" s="47"/>
      <c r="AEY24" s="47"/>
      <c r="AEZ24" s="47"/>
      <c r="AFA24" s="47"/>
      <c r="AFB24" s="47"/>
      <c r="AFC24" s="47"/>
      <c r="AFD24" s="47"/>
      <c r="AFE24" s="47"/>
      <c r="AFF24" s="47"/>
      <c r="AFG24" s="47"/>
      <c r="AFH24" s="47"/>
      <c r="AFI24" s="47"/>
      <c r="AFJ24" s="47"/>
      <c r="AFK24" s="47"/>
      <c r="AFL24" s="47"/>
      <c r="AFM24" s="47"/>
      <c r="AFN24" s="47"/>
      <c r="AFO24" s="47"/>
      <c r="AFP24" s="47"/>
      <c r="AFQ24" s="47"/>
      <c r="AFR24" s="47"/>
      <c r="AFS24" s="47"/>
      <c r="AFT24" s="47"/>
      <c r="AFU24" s="47"/>
      <c r="AFV24" s="47"/>
      <c r="AFW24" s="47"/>
      <c r="AFX24" s="47"/>
      <c r="AFY24" s="47"/>
      <c r="AFZ24" s="47"/>
      <c r="AGA24" s="47"/>
      <c r="AGB24" s="47"/>
      <c r="AGC24" s="47"/>
      <c r="AGD24" s="47"/>
      <c r="AGE24" s="47"/>
      <c r="AGF24" s="47"/>
      <c r="AGG24" s="47"/>
      <c r="AGH24" s="47"/>
      <c r="AGI24" s="47"/>
      <c r="AGJ24" s="47"/>
      <c r="AGK24" s="47"/>
      <c r="AGL24" s="47"/>
      <c r="AGM24" s="47"/>
      <c r="AGN24" s="47"/>
      <c r="AGO24" s="47"/>
      <c r="AGP24" s="47"/>
      <c r="AGQ24" s="47"/>
      <c r="AGR24" s="47"/>
      <c r="AGS24" s="47"/>
      <c r="AGT24" s="47"/>
      <c r="AGU24" s="47"/>
      <c r="AGV24" s="47"/>
      <c r="AGW24" s="47"/>
      <c r="AGX24" s="47"/>
      <c r="AGY24" s="47"/>
      <c r="AGZ24" s="47"/>
      <c r="AHA24" s="47"/>
      <c r="AHB24" s="47"/>
      <c r="AHC24" s="47"/>
      <c r="AHD24" s="47"/>
      <c r="AHE24" s="47"/>
      <c r="AHF24" s="47"/>
      <c r="AHG24" s="47"/>
      <c r="AHH24" s="47"/>
      <c r="AHI24" s="47"/>
      <c r="AHJ24" s="47"/>
      <c r="AHK24" s="47"/>
      <c r="AHL24" s="47"/>
      <c r="AHM24" s="47"/>
      <c r="AHN24" s="47"/>
      <c r="AHO24" s="47"/>
      <c r="AHP24" s="47"/>
      <c r="AHQ24" s="47"/>
      <c r="AHR24" s="47"/>
      <c r="AHS24" s="47"/>
      <c r="AHT24" s="47"/>
      <c r="AHU24" s="47"/>
      <c r="AHV24" s="47"/>
      <c r="AHW24" s="47"/>
      <c r="AHX24" s="47"/>
      <c r="AHY24" s="47"/>
      <c r="AHZ24" s="47"/>
      <c r="AIA24" s="47"/>
      <c r="AIB24" s="47"/>
      <c r="AIC24" s="47"/>
      <c r="AID24" s="47"/>
      <c r="AIE24" s="47"/>
      <c r="AIF24" s="47"/>
      <c r="AIG24" s="47"/>
      <c r="AIH24" s="47"/>
      <c r="AII24" s="47"/>
      <c r="AIJ24" s="47"/>
      <c r="AIK24" s="47"/>
      <c r="AIL24" s="47"/>
      <c r="AIM24" s="47"/>
      <c r="AIN24" s="47"/>
      <c r="AIO24" s="47"/>
      <c r="AIP24" s="47"/>
      <c r="AIQ24" s="47"/>
      <c r="AIR24" s="47"/>
      <c r="AIS24" s="47"/>
      <c r="AIT24" s="47"/>
      <c r="AIU24" s="47"/>
      <c r="AIV24" s="47"/>
      <c r="AIW24" s="47"/>
      <c r="AIX24" s="47"/>
      <c r="AIY24" s="47"/>
      <c r="AIZ24" s="47"/>
      <c r="AJA24" s="47"/>
      <c r="AJB24" s="47"/>
      <c r="AJC24" s="47"/>
      <c r="AJD24" s="47"/>
      <c r="AJE24" s="47"/>
      <c r="AJF24" s="47"/>
      <c r="AJG24" s="47"/>
      <c r="AJH24" s="47"/>
      <c r="AJI24" s="47"/>
      <c r="AJJ24" s="47"/>
      <c r="AJK24" s="47"/>
      <c r="AJL24" s="47"/>
      <c r="AJM24" s="47"/>
      <c r="AJN24" s="47"/>
      <c r="AJO24" s="47"/>
      <c r="AJP24" s="47"/>
      <c r="AJQ24" s="47"/>
      <c r="AJR24" s="47"/>
      <c r="AJS24" s="47"/>
      <c r="AJT24" s="47"/>
      <c r="AJU24" s="47"/>
      <c r="AJV24" s="47"/>
      <c r="AJW24" s="47"/>
      <c r="AJX24" s="47"/>
      <c r="AJY24" s="47"/>
      <c r="AJZ24" s="47"/>
      <c r="AKA24" s="47"/>
      <c r="AKB24" s="47"/>
      <c r="AKC24" s="47"/>
      <c r="AKD24" s="47"/>
      <c r="AKE24" s="47"/>
      <c r="AKF24" s="47"/>
      <c r="AKG24" s="47"/>
      <c r="AKH24" s="47"/>
      <c r="AKI24" s="47"/>
      <c r="AKJ24" s="47"/>
      <c r="AKK24" s="47"/>
      <c r="AKL24" s="47"/>
      <c r="AKM24" s="47"/>
      <c r="AKN24" s="47"/>
      <c r="AKO24" s="47"/>
      <c r="AKP24" s="47"/>
      <c r="AKQ24" s="47"/>
      <c r="AKR24" s="47"/>
      <c r="AKS24" s="47"/>
      <c r="AKT24" s="47"/>
      <c r="AKU24" s="47"/>
      <c r="AKV24" s="47"/>
      <c r="AKW24" s="47"/>
      <c r="AKX24" s="47"/>
      <c r="AKY24" s="47"/>
      <c r="AKZ24" s="47"/>
      <c r="ALA24" s="47"/>
      <c r="ALB24" s="47"/>
      <c r="ALC24" s="47"/>
      <c r="ALD24" s="47"/>
      <c r="ALE24" s="47"/>
      <c r="ALF24" s="47"/>
      <c r="ALG24" s="47"/>
      <c r="ALH24" s="47"/>
      <c r="ALI24" s="47"/>
      <c r="ALJ24" s="47"/>
      <c r="ALK24" s="47"/>
      <c r="ALL24" s="47"/>
      <c r="ALM24" s="47"/>
      <c r="ALN24" s="47"/>
      <c r="ALO24" s="47"/>
      <c r="ALP24" s="47"/>
      <c r="ALQ24" s="47"/>
      <c r="ALR24" s="47"/>
      <c r="ALS24" s="47"/>
      <c r="ALT24" s="47"/>
      <c r="ALU24" s="47"/>
      <c r="ALV24" s="47"/>
      <c r="ALW24" s="47"/>
      <c r="ALX24" s="47"/>
      <c r="ALY24" s="47"/>
      <c r="ALZ24" s="48"/>
    </row>
    <row r="25" spans="1:1014" ht="28.15" customHeight="1" x14ac:dyDescent="0.25">
      <c r="A25" s="16" t="s">
        <v>156</v>
      </c>
      <c r="B25" s="40" t="s">
        <v>145</v>
      </c>
      <c r="C25" s="17" t="s">
        <v>124</v>
      </c>
      <c r="D25" s="41">
        <v>42</v>
      </c>
      <c r="E25" s="41">
        <v>56</v>
      </c>
      <c r="F25" s="17" t="s">
        <v>123</v>
      </c>
      <c r="G25" s="17" t="s">
        <v>46</v>
      </c>
      <c r="H25" s="41" t="s">
        <v>32</v>
      </c>
      <c r="I25" s="41">
        <v>47</v>
      </c>
      <c r="J25" s="41">
        <v>56</v>
      </c>
      <c r="K25" s="41">
        <v>19</v>
      </c>
      <c r="L25" s="41">
        <v>14</v>
      </c>
      <c r="M25" s="41">
        <v>104</v>
      </c>
      <c r="N25" s="41">
        <v>96</v>
      </c>
      <c r="O25" s="41">
        <v>106</v>
      </c>
      <c r="P25" s="41">
        <v>71</v>
      </c>
      <c r="Q25" s="41">
        <v>42</v>
      </c>
      <c r="R25" s="41">
        <v>47</v>
      </c>
      <c r="S25" s="41">
        <v>23</v>
      </c>
      <c r="T25" s="41">
        <v>17</v>
      </c>
      <c r="U25" s="41">
        <v>28</v>
      </c>
      <c r="V25" s="41">
        <v>26</v>
      </c>
      <c r="W25" s="41">
        <v>28</v>
      </c>
      <c r="X25" s="41">
        <v>70</v>
      </c>
      <c r="Y25" s="41">
        <v>42</v>
      </c>
      <c r="Z25" s="41">
        <v>87</v>
      </c>
      <c r="AA25" s="41">
        <v>101</v>
      </c>
      <c r="AB25" s="41">
        <v>66</v>
      </c>
      <c r="AC25" s="41">
        <v>33</v>
      </c>
      <c r="AD25" s="41">
        <v>24</v>
      </c>
      <c r="AE25" s="41">
        <v>19</v>
      </c>
      <c r="AF25" s="41">
        <v>95</v>
      </c>
      <c r="AG25" s="41">
        <v>47</v>
      </c>
      <c r="AH25" s="41">
        <v>57</v>
      </c>
      <c r="AI25" s="41">
        <v>17</v>
      </c>
      <c r="AJ25" s="41">
        <v>28</v>
      </c>
      <c r="AK25" s="41">
        <v>26</v>
      </c>
      <c r="AL25" s="41">
        <v>28</v>
      </c>
      <c r="AM25" s="41">
        <v>70</v>
      </c>
      <c r="AN25" s="41">
        <v>42</v>
      </c>
      <c r="AO25" s="41"/>
      <c r="AP25" s="17">
        <v>2</v>
      </c>
      <c r="AQ25" t="s">
        <v>152</v>
      </c>
      <c r="AR25"/>
      <c r="AS25"/>
      <c r="AT25"/>
    </row>
    <row r="26" spans="1:1014" ht="28.15" customHeight="1" x14ac:dyDescent="0.25">
      <c r="A26" s="16" t="s">
        <v>157</v>
      </c>
      <c r="B26" s="40" t="s">
        <v>144</v>
      </c>
      <c r="C26" s="17" t="s">
        <v>124</v>
      </c>
      <c r="D26" s="41">
        <v>41</v>
      </c>
      <c r="E26" s="41">
        <v>55</v>
      </c>
      <c r="F26" s="17" t="s">
        <v>123</v>
      </c>
      <c r="G26" s="17" t="s">
        <v>46</v>
      </c>
      <c r="H26" s="41" t="s">
        <v>31</v>
      </c>
      <c r="I26" s="41">
        <v>42</v>
      </c>
      <c r="J26" s="41">
        <v>57</v>
      </c>
      <c r="K26" s="41">
        <v>18</v>
      </c>
      <c r="L26" s="41">
        <v>14</v>
      </c>
      <c r="M26" s="41">
        <v>90</v>
      </c>
      <c r="N26" s="41">
        <v>80</v>
      </c>
      <c r="O26" s="41">
        <v>96</v>
      </c>
      <c r="P26" s="41">
        <v>68</v>
      </c>
      <c r="Q26" s="41">
        <v>37</v>
      </c>
      <c r="R26" s="41">
        <v>42</v>
      </c>
      <c r="S26" s="41">
        <v>23</v>
      </c>
      <c r="T26" s="41">
        <v>16</v>
      </c>
      <c r="U26" s="41">
        <v>26</v>
      </c>
      <c r="V26" s="41">
        <v>24</v>
      </c>
      <c r="W26" s="41">
        <v>26</v>
      </c>
      <c r="X26" s="41">
        <v>67</v>
      </c>
      <c r="Y26" s="41">
        <v>37</v>
      </c>
      <c r="Z26" s="41">
        <v>69</v>
      </c>
      <c r="AA26" s="41">
        <v>96</v>
      </c>
      <c r="AB26" s="41">
        <v>63</v>
      </c>
      <c r="AC26" s="41">
        <v>31</v>
      </c>
      <c r="AD26" s="41">
        <v>23</v>
      </c>
      <c r="AE26" s="41">
        <v>19</v>
      </c>
      <c r="AF26" s="41">
        <v>94</v>
      </c>
      <c r="AG26" s="41">
        <v>42</v>
      </c>
      <c r="AH26" s="41">
        <v>58</v>
      </c>
      <c r="AI26" s="41">
        <v>16</v>
      </c>
      <c r="AJ26" s="41">
        <v>12</v>
      </c>
      <c r="AK26" s="41">
        <v>26</v>
      </c>
      <c r="AL26" s="41">
        <v>24</v>
      </c>
      <c r="AM26" s="41">
        <v>26</v>
      </c>
      <c r="AN26" s="41">
        <v>67</v>
      </c>
      <c r="AO26" s="41">
        <v>37</v>
      </c>
      <c r="AP26" s="17">
        <v>2</v>
      </c>
      <c r="AQ26" t="s">
        <v>152</v>
      </c>
      <c r="AR26"/>
      <c r="AS26"/>
      <c r="AT26"/>
    </row>
    <row r="27" spans="1:1014" ht="28.15" customHeight="1" x14ac:dyDescent="0.25">
      <c r="A27" s="16" t="s">
        <v>158</v>
      </c>
      <c r="B27" s="40" t="s">
        <v>143</v>
      </c>
      <c r="C27" s="17" t="s">
        <v>124</v>
      </c>
      <c r="D27" s="41">
        <v>42</v>
      </c>
      <c r="E27" s="41">
        <v>55</v>
      </c>
      <c r="F27" s="17" t="s">
        <v>123</v>
      </c>
      <c r="G27" s="17" t="s">
        <v>46</v>
      </c>
      <c r="H27" s="41" t="s">
        <v>32</v>
      </c>
      <c r="I27" s="41">
        <v>46</v>
      </c>
      <c r="J27" s="41">
        <v>58</v>
      </c>
      <c r="K27" s="41">
        <v>19</v>
      </c>
      <c r="L27" s="41">
        <v>14</v>
      </c>
      <c r="M27" s="41">
        <v>102</v>
      </c>
      <c r="N27" s="41">
        <v>94</v>
      </c>
      <c r="O27" s="41">
        <v>105</v>
      </c>
      <c r="P27" s="41">
        <v>70</v>
      </c>
      <c r="Q27" s="41">
        <v>42</v>
      </c>
      <c r="R27" s="41">
        <v>46</v>
      </c>
      <c r="S27" s="41">
        <v>24</v>
      </c>
      <c r="T27" s="41">
        <v>17</v>
      </c>
      <c r="U27" s="41">
        <v>28</v>
      </c>
      <c r="V27" s="41">
        <v>26</v>
      </c>
      <c r="W27" s="41">
        <v>28</v>
      </c>
      <c r="X27" s="41">
        <v>69</v>
      </c>
      <c r="Y27" s="41">
        <v>42</v>
      </c>
      <c r="Z27" s="41">
        <v>87</v>
      </c>
      <c r="AA27" s="41">
        <v>103</v>
      </c>
      <c r="AB27" s="41">
        <v>68</v>
      </c>
      <c r="AC27" s="41">
        <v>34</v>
      </c>
      <c r="AD27" s="41">
        <v>24</v>
      </c>
      <c r="AE27" s="41">
        <v>19</v>
      </c>
      <c r="AF27" s="41">
        <v>95</v>
      </c>
      <c r="AG27" s="41">
        <v>46</v>
      </c>
      <c r="AH27" s="41">
        <v>59</v>
      </c>
      <c r="AI27" s="41">
        <v>17</v>
      </c>
      <c r="AJ27" s="41">
        <v>13</v>
      </c>
      <c r="AK27" s="41">
        <v>28</v>
      </c>
      <c r="AL27" s="41">
        <v>26</v>
      </c>
      <c r="AM27" s="41">
        <v>28</v>
      </c>
      <c r="AN27" s="41">
        <v>69</v>
      </c>
      <c r="AO27" s="41">
        <v>42</v>
      </c>
      <c r="AP27" s="17">
        <v>2</v>
      </c>
      <c r="AQ27" t="s">
        <v>152</v>
      </c>
      <c r="AR27"/>
      <c r="AS27"/>
      <c r="AT2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C9" sqref="C9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COUNTIF(SEMUA!$H$2:$H$27,REKAP!A4)</f>
        <v>9</v>
      </c>
      <c r="C4">
        <v>2</v>
      </c>
      <c r="D4">
        <v>37</v>
      </c>
      <c r="E4">
        <f>COUNTIF(SEMUA!$D$1:$D$27,D4)</f>
        <v>0</v>
      </c>
      <c r="J4" s="8">
        <v>53</v>
      </c>
      <c r="K4">
        <f>COUNTIF(SEMUA!$E$2:$E$27,J4)</f>
        <v>1</v>
      </c>
      <c r="M4" s="7">
        <v>1</v>
      </c>
      <c r="N4" s="7" t="s">
        <v>57</v>
      </c>
      <c r="O4">
        <f>COUNTIF(SEMUA!$C$1:$C$27,REKAP!N4)</f>
        <v>0</v>
      </c>
    </row>
    <row r="5" spans="1:15" ht="15.75" x14ac:dyDescent="0.25">
      <c r="A5" s="7" t="s">
        <v>31</v>
      </c>
      <c r="B5">
        <f>COUNTIF(SEMUA!$H$2:$H$27,REKAP!A5)</f>
        <v>4</v>
      </c>
      <c r="D5">
        <v>38</v>
      </c>
      <c r="E5">
        <f>COUNTIF(SEMUA!$D$1:$D$27,D5)</f>
        <v>0</v>
      </c>
      <c r="J5" s="8">
        <v>54</v>
      </c>
      <c r="K5">
        <f>COUNTIF(SEMUA!$E$2:$E$27,J5)</f>
        <v>2</v>
      </c>
      <c r="M5" s="7"/>
      <c r="N5" s="7"/>
    </row>
    <row r="6" spans="1:15" ht="15.75" x14ac:dyDescent="0.25">
      <c r="A6" s="7" t="s">
        <v>35</v>
      </c>
      <c r="B6">
        <f>COUNTIF(SEMUA!$H$2:$H$27,REKAP!A6)</f>
        <v>0</v>
      </c>
      <c r="D6" s="8">
        <v>39</v>
      </c>
      <c r="E6">
        <f>COUNTIF(SEMUA!$D$1:$D$27,D6)</f>
        <v>2</v>
      </c>
      <c r="G6">
        <f>F6+E6</f>
        <v>2</v>
      </c>
      <c r="H6">
        <v>2</v>
      </c>
      <c r="J6" s="8">
        <v>55</v>
      </c>
      <c r="K6">
        <f>COUNTIF(SEMUA!$E$2:$E$27,J6)</f>
        <v>4</v>
      </c>
      <c r="M6" s="7"/>
      <c r="N6" s="7"/>
    </row>
    <row r="7" spans="1:15" ht="15.75" x14ac:dyDescent="0.25">
      <c r="A7" s="7" t="s">
        <v>34</v>
      </c>
      <c r="B7">
        <f>COUNTIF(SEMUA!$H$2:$H$27,REKAP!A7)</f>
        <v>9</v>
      </c>
      <c r="C7">
        <v>2</v>
      </c>
      <c r="D7" s="8">
        <v>40</v>
      </c>
      <c r="E7">
        <f>COUNTIF(SEMUA!$D$1:$D$27,D7)</f>
        <v>4</v>
      </c>
      <c r="F7">
        <v>9</v>
      </c>
      <c r="G7">
        <f t="shared" ref="G7:G13" si="0">F7+E7</f>
        <v>13</v>
      </c>
      <c r="J7" s="8">
        <v>56</v>
      </c>
      <c r="K7">
        <f>COUNTIF(SEMUA!$E$2:$E$27,J7)</f>
        <v>7</v>
      </c>
      <c r="M7" s="7"/>
      <c r="N7" s="7"/>
    </row>
    <row r="8" spans="1:15" ht="15.75" x14ac:dyDescent="0.25">
      <c r="A8" s="7" t="s">
        <v>33</v>
      </c>
      <c r="B8">
        <f>COUNTIF(SEMUA!$H$2:$H$27,REKAP!A8)</f>
        <v>4</v>
      </c>
      <c r="C8">
        <v>1</v>
      </c>
      <c r="D8" s="8">
        <v>41</v>
      </c>
      <c r="E8">
        <f>COUNTIF(SEMUA!$D$1:$D$27,D8)</f>
        <v>5</v>
      </c>
      <c r="F8">
        <v>7</v>
      </c>
      <c r="G8">
        <f t="shared" si="0"/>
        <v>12</v>
      </c>
      <c r="J8" s="8">
        <v>57</v>
      </c>
      <c r="K8">
        <f>COUNTIF(SEMUA!$E$2:$E$27,J8)</f>
        <v>5</v>
      </c>
      <c r="M8" s="7"/>
      <c r="N8" s="7"/>
    </row>
    <row r="9" spans="1:15" ht="15.75" x14ac:dyDescent="0.25">
      <c r="A9" s="7" t="s">
        <v>36</v>
      </c>
      <c r="B9">
        <f>COUNTIF(SEMUA!$H$2:$H$27,REKAP!A9)</f>
        <v>0</v>
      </c>
      <c r="D9" s="8">
        <v>42</v>
      </c>
      <c r="E9">
        <f>COUNTIF(SEMUA!$D$1:$D$27,D9)</f>
        <v>11</v>
      </c>
      <c r="F9">
        <v>11</v>
      </c>
      <c r="G9">
        <f t="shared" si="0"/>
        <v>22</v>
      </c>
      <c r="J9" s="8">
        <v>58</v>
      </c>
      <c r="K9">
        <f>COUNTIF(SEMUA!$E$2:$E$27,J9)</f>
        <v>2</v>
      </c>
      <c r="M9" s="7"/>
    </row>
    <row r="10" spans="1:15" ht="15.75" x14ac:dyDescent="0.25">
      <c r="A10" s="7" t="s">
        <v>37</v>
      </c>
      <c r="B10">
        <f>COUNTIF(SEMUA!$H$2:$H$27,REKAP!A10)</f>
        <v>0</v>
      </c>
      <c r="D10" s="8">
        <v>43</v>
      </c>
      <c r="E10">
        <f>COUNTIF(SEMUA!$D$1:$D$27,D10)</f>
        <v>2</v>
      </c>
      <c r="F10">
        <v>7</v>
      </c>
      <c r="G10">
        <f t="shared" si="0"/>
        <v>9</v>
      </c>
      <c r="J10" s="8">
        <v>59</v>
      </c>
      <c r="K10">
        <f>COUNTIF(SEMUA!$E$2:$E$27,J10)</f>
        <v>3</v>
      </c>
      <c r="M10" s="7"/>
    </row>
    <row r="11" spans="1:15" ht="15.75" x14ac:dyDescent="0.25">
      <c r="A11" s="9" t="s">
        <v>44</v>
      </c>
      <c r="B11" s="10">
        <f>SUM(B4:B10)</f>
        <v>26</v>
      </c>
      <c r="C11" s="10"/>
      <c r="D11" s="8">
        <v>44</v>
      </c>
      <c r="E11">
        <f>COUNTIF(SEMUA!$D$1:$D$27,D11)</f>
        <v>2</v>
      </c>
      <c r="G11">
        <f t="shared" si="0"/>
        <v>2</v>
      </c>
      <c r="J11" s="1">
        <v>60</v>
      </c>
      <c r="K11">
        <f>COUNTIF(SEMUA!$E$2:$E$27,J11)</f>
        <v>1</v>
      </c>
      <c r="M11" s="7"/>
    </row>
    <row r="12" spans="1:15" ht="15.75" x14ac:dyDescent="0.25">
      <c r="D12" s="8">
        <v>45</v>
      </c>
      <c r="E12">
        <f>COUNTIF(SEMUA!$D$1:$D$27,D12)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COUNTIF(SEMUA!$D$1:$D$27,D13)</f>
        <v>0</v>
      </c>
      <c r="G13">
        <f t="shared" si="0"/>
        <v>0</v>
      </c>
    </row>
    <row r="14" spans="1:15" ht="15.75" x14ac:dyDescent="0.25">
      <c r="D14" s="8"/>
      <c r="E14">
        <f>SUM(E4:E13)</f>
        <v>26</v>
      </c>
      <c r="F14">
        <f>SUM(F4:F13)</f>
        <v>34</v>
      </c>
      <c r="G14">
        <f>SUM(G4:G13)</f>
        <v>60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142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2021-06-17T12:15:00Z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