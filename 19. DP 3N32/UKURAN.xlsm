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9. DP 3N32\"/>
    </mc:Choice>
  </mc:AlternateContent>
  <xr:revisionPtr revIDLastSave="0" documentId="13_ncr:1_{BACFB85E-9DEA-4AC0-987E-78C6EA141DA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SEMUA!$A$1:$AZ$14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<sst xmlns="http://schemas.openxmlformats.org/spreadsheetml/2006/main" count="222" uniqueCount="125">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</sst>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14"/>
  <sheetViews>
    <sheetView tabSelected="1" zoomScale="68" zoomScaleNormal="55" workbookViewId="0">
      <pane ySplit="1" topLeftCell="A2" activePane="bottomLeft" state="frozen"/>
      <selection pane="bottomLeft" activeCell="A15" sqref="A15:XFD1048576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103</v>
      </c>
      <c r="B2" s="16" t="s">
        <v>116</v>
      </c>
      <c r="C2" s="17" t="s">
        <v>119</v>
      </c>
      <c r="D2" s="18">
        <v>41</v>
      </c>
      <c r="E2" s="17">
        <v>56</v>
      </c>
      <c r="F2" s="17" t="s">
        <v>120</v>
      </c>
      <c r="G2" s="17" t="s">
        <v>46</v>
      </c>
      <c r="H2" s="17" t="s">
        <v>31</v>
      </c>
      <c r="I2" s="38">
        <v>46</v>
      </c>
      <c r="J2" s="38">
        <v>59</v>
      </c>
      <c r="K2" s="38">
        <v>19</v>
      </c>
      <c r="L2" s="38">
        <v>14</v>
      </c>
      <c r="M2" s="38">
        <v>102</v>
      </c>
      <c r="N2" s="38">
        <v>100</v>
      </c>
      <c r="O2" s="38">
        <v>110</v>
      </c>
      <c r="P2" s="38">
        <v>70</v>
      </c>
      <c r="Q2" s="38">
        <v>42</v>
      </c>
      <c r="R2" s="39">
        <v>46</v>
      </c>
      <c r="S2" s="38">
        <v>60</v>
      </c>
      <c r="T2" s="38">
        <v>17</v>
      </c>
      <c r="U2" s="38">
        <v>13</v>
      </c>
      <c r="V2" s="38">
        <v>27</v>
      </c>
      <c r="W2" s="38">
        <v>26</v>
      </c>
      <c r="X2" s="38">
        <v>27</v>
      </c>
      <c r="Y2" s="38">
        <v>69</v>
      </c>
      <c r="Z2" s="38">
        <v>42</v>
      </c>
      <c r="AA2" s="38">
        <v>46</v>
      </c>
      <c r="AB2" s="38">
        <v>60</v>
      </c>
      <c r="AC2" s="38">
        <v>17</v>
      </c>
      <c r="AD2" s="38">
        <v>13</v>
      </c>
      <c r="AE2" s="38">
        <v>27</v>
      </c>
      <c r="AF2" s="38">
        <v>26</v>
      </c>
      <c r="AG2" s="38">
        <v>27</v>
      </c>
      <c r="AH2" s="38" t="s">
        <v>121</v>
      </c>
      <c r="AI2" s="38">
        <v>89</v>
      </c>
      <c r="AJ2" s="38">
        <v>108</v>
      </c>
      <c r="AK2" s="38">
        <v>68</v>
      </c>
      <c r="AL2" s="38">
        <v>34</v>
      </c>
      <c r="AM2" s="38">
        <v>24</v>
      </c>
      <c r="AN2" s="38">
        <v>19</v>
      </c>
      <c r="AO2" s="17">
        <v>94</v>
      </c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104</v>
      </c>
      <c r="B3" s="16" t="s">
        <v>117</v>
      </c>
      <c r="C3" s="17" t="s">
        <v>119</v>
      </c>
      <c r="D3" s="18">
        <v>43</v>
      </c>
      <c r="E3" s="17">
        <v>56</v>
      </c>
      <c r="F3" s="17" t="s">
        <v>120</v>
      </c>
      <c r="G3" s="17" t="s">
        <v>46</v>
      </c>
      <c r="H3" s="17" t="s">
        <v>32</v>
      </c>
      <c r="I3" s="38">
        <v>46</v>
      </c>
      <c r="J3" s="38">
        <v>58</v>
      </c>
      <c r="K3" s="38">
        <v>20</v>
      </c>
      <c r="L3" s="38">
        <v>15</v>
      </c>
      <c r="M3" s="38">
        <v>108</v>
      </c>
      <c r="N3" s="38">
        <v>103</v>
      </c>
      <c r="O3" s="38">
        <v>120</v>
      </c>
      <c r="P3" s="38">
        <v>71</v>
      </c>
      <c r="Q3" s="38">
        <v>42</v>
      </c>
      <c r="R3" s="38">
        <v>46</v>
      </c>
      <c r="S3" s="38">
        <v>59</v>
      </c>
      <c r="T3" s="38">
        <v>19</v>
      </c>
      <c r="U3" s="38">
        <v>13</v>
      </c>
      <c r="V3" s="38">
        <v>29</v>
      </c>
      <c r="W3" s="38">
        <v>27</v>
      </c>
      <c r="X3" s="38">
        <v>29</v>
      </c>
      <c r="Y3" s="38">
        <v>70</v>
      </c>
      <c r="Z3" s="38">
        <v>42</v>
      </c>
      <c r="AA3" s="38">
        <v>46</v>
      </c>
      <c r="AB3" s="38">
        <v>24</v>
      </c>
      <c r="AC3" s="38">
        <v>19</v>
      </c>
      <c r="AD3" s="38">
        <v>29</v>
      </c>
      <c r="AE3" s="38">
        <v>27</v>
      </c>
      <c r="AF3" s="38">
        <v>29</v>
      </c>
      <c r="AG3" s="38">
        <v>70</v>
      </c>
      <c r="AH3" s="38">
        <v>42</v>
      </c>
      <c r="AI3" s="38">
        <v>92</v>
      </c>
      <c r="AJ3" s="38">
        <v>117</v>
      </c>
      <c r="AK3" s="38">
        <v>72</v>
      </c>
      <c r="AL3" s="38">
        <v>35</v>
      </c>
      <c r="AM3" s="38">
        <v>26</v>
      </c>
      <c r="AN3" s="38">
        <v>21</v>
      </c>
      <c r="AO3" s="38">
        <v>98</v>
      </c>
      <c r="AP3" s="17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105</v>
      </c>
      <c r="B4" s="16" t="s">
        <v>118</v>
      </c>
      <c r="C4" s="17" t="s">
        <v>119</v>
      </c>
      <c r="D4" s="18">
        <v>43</v>
      </c>
      <c r="E4" s="17">
        <v>56</v>
      </c>
      <c r="F4" s="17" t="s">
        <v>120</v>
      </c>
      <c r="G4" s="17" t="s">
        <v>46</v>
      </c>
      <c r="H4" s="17" t="s">
        <v>32</v>
      </c>
      <c r="I4" s="38">
        <v>46</v>
      </c>
      <c r="J4" s="38">
        <v>63</v>
      </c>
      <c r="K4" s="38">
        <v>19</v>
      </c>
      <c r="L4" s="38">
        <v>14</v>
      </c>
      <c r="M4" s="38">
        <v>100</v>
      </c>
      <c r="N4" s="38">
        <v>96</v>
      </c>
      <c r="O4" s="38">
        <v>116</v>
      </c>
      <c r="P4" s="38">
        <v>73</v>
      </c>
      <c r="Q4" s="38">
        <v>41</v>
      </c>
      <c r="R4" s="38">
        <v>46</v>
      </c>
      <c r="S4" s="38">
        <v>64</v>
      </c>
      <c r="T4" s="38">
        <v>18</v>
      </c>
      <c r="U4" s="38">
        <v>13</v>
      </c>
      <c r="V4" s="38">
        <v>27</v>
      </c>
      <c r="W4" s="38">
        <v>25</v>
      </c>
      <c r="X4" s="38">
        <v>27</v>
      </c>
      <c r="Y4" s="38">
        <v>72</v>
      </c>
      <c r="Z4" s="38">
        <v>41</v>
      </c>
      <c r="AA4" s="38">
        <v>46</v>
      </c>
      <c r="AB4" s="38">
        <v>26</v>
      </c>
      <c r="AC4" s="38">
        <v>17</v>
      </c>
      <c r="AD4" s="38">
        <v>27</v>
      </c>
      <c r="AE4" s="38">
        <v>25</v>
      </c>
      <c r="AF4" s="38">
        <v>27</v>
      </c>
      <c r="AG4" s="38">
        <v>72</v>
      </c>
      <c r="AH4" s="38">
        <v>41</v>
      </c>
      <c r="AI4" s="38">
        <v>88</v>
      </c>
      <c r="AJ4" s="38">
        <v>113</v>
      </c>
      <c r="AK4" s="38">
        <v>68</v>
      </c>
      <c r="AL4" s="38">
        <v>34</v>
      </c>
      <c r="AM4" s="38">
        <v>25</v>
      </c>
      <c r="AN4" s="38">
        <v>20</v>
      </c>
      <c r="AO4" s="38">
        <v>99</v>
      </c>
      <c r="AP4" s="17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106</v>
      </c>
      <c r="B5" s="16" t="s">
        <v>122</v>
      </c>
      <c r="C5" s="17" t="s">
        <v>119</v>
      </c>
      <c r="D5" s="18">
        <v>39</v>
      </c>
      <c r="E5" s="17">
        <v>54</v>
      </c>
      <c r="F5" s="17" t="s">
        <v>120</v>
      </c>
      <c r="G5" s="17" t="s">
        <v>46</v>
      </c>
      <c r="H5" s="17" t="s">
        <v>31</v>
      </c>
      <c r="I5" s="38">
        <v>44</v>
      </c>
      <c r="J5" s="38">
        <v>58</v>
      </c>
      <c r="K5" s="38">
        <v>18</v>
      </c>
      <c r="L5" s="38">
        <v>14</v>
      </c>
      <c r="M5" s="38">
        <v>98</v>
      </c>
      <c r="N5" s="38">
        <v>94</v>
      </c>
      <c r="O5" s="38">
        <v>104</v>
      </c>
      <c r="P5" s="38">
        <v>70</v>
      </c>
      <c r="Q5" s="38">
        <v>38</v>
      </c>
      <c r="R5" s="38">
        <v>44</v>
      </c>
      <c r="S5" s="38">
        <v>59</v>
      </c>
      <c r="T5" s="38">
        <v>16</v>
      </c>
      <c r="U5" s="38">
        <v>12</v>
      </c>
      <c r="V5" s="38">
        <v>27</v>
      </c>
      <c r="W5" s="38">
        <v>26</v>
      </c>
      <c r="X5" s="38">
        <v>27</v>
      </c>
      <c r="Y5" s="38">
        <v>69</v>
      </c>
      <c r="Z5" s="38">
        <v>38</v>
      </c>
      <c r="AA5" s="38">
        <v>44</v>
      </c>
      <c r="AB5" s="38">
        <v>23</v>
      </c>
      <c r="AC5" s="38">
        <v>16</v>
      </c>
      <c r="AD5" s="38">
        <v>27</v>
      </c>
      <c r="AE5" s="38">
        <v>26</v>
      </c>
      <c r="AF5" s="38">
        <v>27</v>
      </c>
      <c r="AG5" s="38">
        <v>70</v>
      </c>
      <c r="AH5" s="38">
        <v>38</v>
      </c>
      <c r="AI5" s="38">
        <v>83</v>
      </c>
      <c r="AJ5" s="38">
        <v>102</v>
      </c>
      <c r="AK5" s="38">
        <v>64</v>
      </c>
      <c r="AL5" s="38">
        <v>32</v>
      </c>
      <c r="AM5" s="38">
        <v>22</v>
      </c>
      <c r="AN5" s="38">
        <v>18</v>
      </c>
      <c r="AO5" s="38">
        <v>89</v>
      </c>
      <c r="AP5" s="17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107</v>
      </c>
      <c r="B6" s="16" t="s">
        <v>123</v>
      </c>
      <c r="C6" s="17" t="s">
        <v>119</v>
      </c>
      <c r="D6" s="18">
        <v>39</v>
      </c>
      <c r="E6" s="17">
        <v>56</v>
      </c>
      <c r="F6" s="17" t="s">
        <v>120</v>
      </c>
      <c r="G6" s="17" t="s">
        <v>46</v>
      </c>
      <c r="H6" s="17" t="s">
        <v>34</v>
      </c>
      <c r="I6" s="38">
        <v>45</v>
      </c>
      <c r="J6" s="38">
        <v>54</v>
      </c>
      <c r="K6" s="38">
        <v>20</v>
      </c>
      <c r="L6" s="38">
        <v>15</v>
      </c>
      <c r="M6" s="38">
        <v>108</v>
      </c>
      <c r="N6" s="38">
        <v>105</v>
      </c>
      <c r="O6" s="38">
        <v>108</v>
      </c>
      <c r="P6" s="38">
        <v>72</v>
      </c>
      <c r="Q6" s="38">
        <v>41</v>
      </c>
      <c r="R6" s="38">
        <v>45</v>
      </c>
      <c r="S6" s="38">
        <v>55</v>
      </c>
      <c r="T6" s="38">
        <v>19</v>
      </c>
      <c r="U6" s="38">
        <v>14</v>
      </c>
      <c r="V6" s="38">
        <v>29</v>
      </c>
      <c r="W6" s="38">
        <v>27</v>
      </c>
      <c r="X6" s="38">
        <v>29</v>
      </c>
      <c r="Y6" s="38">
        <v>71</v>
      </c>
      <c r="Z6" s="38">
        <v>41</v>
      </c>
      <c r="AA6" s="38">
        <v>45</v>
      </c>
      <c r="AB6" s="38">
        <v>23</v>
      </c>
      <c r="AC6" s="38">
        <v>19</v>
      </c>
      <c r="AD6" s="38">
        <v>29</v>
      </c>
      <c r="AE6" s="38">
        <v>27</v>
      </c>
      <c r="AF6" s="38">
        <v>29</v>
      </c>
      <c r="AG6" s="38">
        <v>71</v>
      </c>
      <c r="AH6" s="38">
        <v>41</v>
      </c>
      <c r="AI6" s="38">
        <v>92</v>
      </c>
      <c r="AJ6" s="38">
        <v>107</v>
      </c>
      <c r="AK6" s="38">
        <v>68</v>
      </c>
      <c r="AL6" s="38">
        <v>34</v>
      </c>
      <c r="AM6" s="38">
        <v>26</v>
      </c>
      <c r="AN6" s="38">
        <v>19</v>
      </c>
      <c r="AO6" s="38">
        <v>90</v>
      </c>
      <c r="AP6" s="17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108</v>
      </c>
      <c r="B7" s="13" t="s">
        <v>124</v>
      </c>
      <c r="C7" s="17" t="s">
        <v>119</v>
      </c>
      <c r="D7" s="19">
        <v>39</v>
      </c>
      <c r="E7" s="37">
        <v>58</v>
      </c>
      <c r="F7" s="17" t="s">
        <v>120</v>
      </c>
      <c r="G7" s="17" t="s">
        <v>46</v>
      </c>
      <c r="H7" s="15" t="s">
        <v>32</v>
      </c>
      <c r="I7" s="40">
        <v>44</v>
      </c>
      <c r="J7" s="40">
        <v>54</v>
      </c>
      <c r="K7" s="40">
        <v>19</v>
      </c>
      <c r="L7" s="40">
        <v>14</v>
      </c>
      <c r="M7" s="40">
        <v>100</v>
      </c>
      <c r="N7" s="40">
        <v>95</v>
      </c>
      <c r="O7" s="40">
        <v>104</v>
      </c>
      <c r="P7" s="40">
        <v>72</v>
      </c>
      <c r="Q7" s="40">
        <v>40</v>
      </c>
      <c r="R7" s="40">
        <v>44</v>
      </c>
      <c r="S7" s="40">
        <v>55</v>
      </c>
      <c r="T7" s="40">
        <v>17</v>
      </c>
      <c r="U7" s="40">
        <v>12</v>
      </c>
      <c r="V7" s="40">
        <v>27</v>
      </c>
      <c r="W7" s="40">
        <v>25</v>
      </c>
      <c r="X7" s="40">
        <v>27</v>
      </c>
      <c r="Y7" s="40">
        <v>71</v>
      </c>
      <c r="Z7" s="40">
        <v>40</v>
      </c>
      <c r="AA7" s="40">
        <v>44</v>
      </c>
      <c r="AB7" s="40">
        <v>24</v>
      </c>
      <c r="AC7" s="40">
        <v>17</v>
      </c>
      <c r="AD7" s="40">
        <v>27</v>
      </c>
      <c r="AE7" s="40">
        <v>25</v>
      </c>
      <c r="AF7" s="40">
        <v>27</v>
      </c>
      <c r="AG7" s="40">
        <v>71</v>
      </c>
      <c r="AH7" s="40">
        <v>40</v>
      </c>
      <c r="AI7" s="40">
        <v>85</v>
      </c>
      <c r="AJ7" s="40">
        <v>100</v>
      </c>
      <c r="AK7" s="40">
        <v>66</v>
      </c>
      <c r="AL7" s="40">
        <v>33</v>
      </c>
      <c r="AM7" s="40">
        <v>26</v>
      </c>
      <c r="AN7" s="40">
        <v>19</v>
      </c>
      <c r="AO7" s="40">
        <v>91</v>
      </c>
      <c r="AP7" s="17"/>
      <c r="AQ7"/>
      <c r="AR7"/>
      <c r="AS7"/>
      <c r="AT7"/>
    </row>
    <row r="8" spans="1:1014" ht="28.15" customHeight="1" x14ac:dyDescent="0.25">
      <c r="A8" s="16" t="s">
        <v>109</v>
      </c>
      <c r="B8" s="13"/>
      <c r="C8" s="17"/>
      <c r="D8" s="19"/>
      <c r="E8" s="37"/>
      <c r="F8" s="17"/>
      <c r="G8" s="17"/>
      <c r="H8" s="15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39"/>
      <c r="W8" s="39"/>
      <c r="X8" s="40"/>
      <c r="Y8" s="40"/>
      <c r="Z8" s="40"/>
      <c r="AA8" s="40"/>
      <c r="AB8" s="39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17"/>
      <c r="AQ8"/>
      <c r="AR8"/>
      <c r="AS8"/>
      <c r="AT8"/>
    </row>
    <row r="9" spans="1:1014" ht="28.15" customHeight="1" x14ac:dyDescent="0.25">
      <c r="A9" s="16" t="s">
        <v>110</v>
      </c>
      <c r="B9" s="13"/>
      <c r="C9" s="17"/>
      <c r="D9" s="19"/>
      <c r="E9" s="37"/>
      <c r="F9" s="17"/>
      <c r="G9" s="17"/>
      <c r="H9" s="15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39"/>
      <c r="AH9" s="39"/>
      <c r="AI9" s="39"/>
      <c r="AJ9" s="39"/>
      <c r="AK9" s="40"/>
      <c r="AL9" s="40"/>
      <c r="AM9" s="40"/>
      <c r="AN9" s="40"/>
      <c r="AO9" s="40"/>
      <c r="AP9" s="17"/>
      <c r="AQ9"/>
      <c r="AR9"/>
      <c r="AS9"/>
      <c r="AT9"/>
    </row>
    <row r="10" spans="1:1014" ht="28.15" customHeight="1" x14ac:dyDescent="0.25">
      <c r="A10" s="16" t="s">
        <v>111</v>
      </c>
      <c r="B10" s="13"/>
      <c r="C10" s="17"/>
      <c r="D10" s="19"/>
      <c r="E10" s="37"/>
      <c r="F10" s="17"/>
      <c r="G10" s="17"/>
      <c r="H10" s="15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17"/>
      <c r="AQ10"/>
      <c r="AR10"/>
      <c r="AS10"/>
      <c r="AT10"/>
    </row>
    <row r="11" spans="1:1014" ht="28.15" customHeight="1" x14ac:dyDescent="0.25">
      <c r="A11" s="16" t="s">
        <v>112</v>
      </c>
      <c r="B11" s="13"/>
      <c r="C11" s="17"/>
      <c r="D11" s="19"/>
      <c r="E11" s="37"/>
      <c r="F11" s="17"/>
      <c r="G11" s="17"/>
      <c r="H11" s="15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39"/>
      <c r="AG11" s="40"/>
      <c r="AH11" s="40"/>
      <c r="AI11" s="40"/>
      <c r="AJ11" s="40"/>
      <c r="AK11" s="40"/>
      <c r="AL11" s="40"/>
      <c r="AM11" s="40"/>
      <c r="AN11" s="40"/>
      <c r="AO11" s="40"/>
      <c r="AP11" s="17"/>
      <c r="AQ11"/>
      <c r="AR11"/>
      <c r="AS11"/>
      <c r="AT11"/>
    </row>
    <row r="12" spans="1:1014" ht="28.15" customHeight="1" x14ac:dyDescent="0.25">
      <c r="A12" s="16" t="s">
        <v>113</v>
      </c>
      <c r="B12" s="13"/>
      <c r="C12" s="17"/>
      <c r="D12" s="19"/>
      <c r="E12" s="37"/>
      <c r="F12" s="17"/>
      <c r="G12" s="17"/>
      <c r="H12" s="15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17"/>
      <c r="AQ12"/>
      <c r="AR12"/>
      <c r="AS12"/>
      <c r="AT12"/>
    </row>
    <row r="13" spans="1:1014" ht="28.15" customHeight="1" x14ac:dyDescent="0.25">
      <c r="A13" s="16" t="s">
        <v>114</v>
      </c>
      <c r="B13" s="13"/>
      <c r="C13" s="17"/>
      <c r="D13" s="19"/>
      <c r="E13" s="37"/>
      <c r="F13" s="17"/>
      <c r="G13" s="17"/>
      <c r="H13" s="15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17"/>
      <c r="AQ13"/>
      <c r="AR13"/>
      <c r="AS13"/>
      <c r="AT13"/>
    </row>
    <row r="14" spans="1:1014" ht="28.15" customHeight="1" x14ac:dyDescent="0.25">
      <c r="A14" s="16" t="s">
        <v>115</v>
      </c>
      <c r="B14" s="13"/>
      <c r="C14" s="17"/>
      <c r="D14" s="19"/>
      <c r="E14" s="37"/>
      <c r="F14" s="17"/>
      <c r="G14" s="17"/>
      <c r="H14" s="15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17"/>
      <c r="AQ14"/>
      <c r="AR14"/>
      <c r="AS14"/>
      <c r="AT14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COUNTIF(SEMUA!$H$2:$H$14,REKAP!A4)</f>
        <v>3</v>
      </c>
      <c r="C4">
        <v>2</v>
      </c>
      <c r="D4">
        <v>37</v>
      </c>
      <c r="E4">
        <f>COUNTIF(SEMUA!$D$1:$D$14,D4)</f>
        <v>0</v>
      </c>
      <c r="J4" s="8">
        <v>53</v>
      </c>
      <c r="K4">
        <f>COUNTIF(SEMUA!$E$2:$E$14,J4)</f>
        <v>0</v>
      </c>
      <c r="M4" s="7">
        <v>1</v>
      </c>
      <c r="N4" s="7" t="s">
        <v>57</v>
      </c>
      <c r="O4">
        <f>COUNTIF(SEMUA!$C$1:$C$14,REKAP!N4)</f>
        <v>0</v>
      </c>
    </row>
    <row r="5" spans="1:15" ht="15.75" x14ac:dyDescent="0.25">
      <c r="A5" s="7" t="s">
        <v>31</v>
      </c>
      <c r="B5">
        <f>COUNTIF(SEMUA!$H$2:$H$14,REKAP!A5)</f>
        <v>2</v>
      </c>
      <c r="D5">
        <v>38</v>
      </c>
      <c r="E5">
        <f>COUNTIF(SEMUA!$D$1:$D$14,D5)</f>
        <v>0</v>
      </c>
      <c r="J5" s="8">
        <v>54</v>
      </c>
      <c r="K5">
        <f>COUNTIF(SEMUA!$E$2:$E$14,J5)</f>
        <v>1</v>
      </c>
      <c r="M5" s="7"/>
      <c r="N5" s="7"/>
    </row>
    <row r="6" spans="1:15" ht="15.75" x14ac:dyDescent="0.25">
      <c r="A6" s="7" t="s">
        <v>35</v>
      </c>
      <c r="B6">
        <f>COUNTIF(SEMUA!$H$2:$H$14,REKAP!A6)</f>
        <v>0</v>
      </c>
      <c r="D6" s="8">
        <v>39</v>
      </c>
      <c r="E6">
        <f>COUNTIF(SEMUA!$D$1:$D$14,D6)</f>
        <v>3</v>
      </c>
      <c r="G6">
        <f>F6+E6</f>
        <v>3</v>
      </c>
      <c r="H6">
        <v>2</v>
      </c>
      <c r="J6" s="8">
        <v>55</v>
      </c>
      <c r="K6">
        <f>COUNTIF(SEMUA!$E$2:$E$14,J6)</f>
        <v>0</v>
      </c>
      <c r="M6" s="7"/>
      <c r="N6" s="7"/>
    </row>
    <row r="7" spans="1:15" ht="15.75" x14ac:dyDescent="0.25">
      <c r="A7" s="7" t="s">
        <v>34</v>
      </c>
      <c r="B7">
        <f>COUNTIF(SEMUA!$H$2:$H$14,REKAP!A7)</f>
        <v>1</v>
      </c>
      <c r="C7">
        <v>2</v>
      </c>
      <c r="D7" s="8">
        <v>40</v>
      </c>
      <c r="E7">
        <f>COUNTIF(SEMUA!$D$1:$D$14,D7)</f>
        <v>0</v>
      </c>
      <c r="F7">
        <v>9</v>
      </c>
      <c r="G7">
        <f t="shared" ref="G7:G13" si="0">F7+E7</f>
        <v>9</v>
      </c>
      <c r="J7" s="8">
        <v>56</v>
      </c>
      <c r="K7">
        <f>COUNTIF(SEMUA!$E$2:$E$14,J7)</f>
        <v>4</v>
      </c>
      <c r="M7" s="7"/>
      <c r="N7" s="7"/>
    </row>
    <row r="8" spans="1:15" ht="15.75" x14ac:dyDescent="0.25">
      <c r="A8" s="7" t="s">
        <v>33</v>
      </c>
      <c r="B8">
        <f>COUNTIF(SEMUA!$H$2:$H$14,REKAP!A8)</f>
        <v>0</v>
      </c>
      <c r="C8">
        <v>1</v>
      </c>
      <c r="D8" s="8">
        <v>41</v>
      </c>
      <c r="E8">
        <f>COUNTIF(SEMUA!$D$1:$D$14,D8)</f>
        <v>1</v>
      </c>
      <c r="F8">
        <v>7</v>
      </c>
      <c r="G8">
        <f t="shared" si="0"/>
        <v>8</v>
      </c>
      <c r="J8" s="8">
        <v>57</v>
      </c>
      <c r="K8">
        <f>COUNTIF(SEMUA!$E$2:$E$14,J8)</f>
        <v>0</v>
      </c>
      <c r="M8" s="7"/>
      <c r="N8" s="7"/>
    </row>
    <row r="9" spans="1:15" ht="15.75" x14ac:dyDescent="0.25">
      <c r="A9" s="7" t="s">
        <v>36</v>
      </c>
      <c r="B9">
        <f>COUNTIF(SEMUA!$H$2:$H$14,REKAP!A9)</f>
        <v>0</v>
      </c>
      <c r="D9" s="8">
        <v>42</v>
      </c>
      <c r="E9">
        <f>COUNTIF(SEMUA!$D$1:$D$14,D9)</f>
        <v>0</v>
      </c>
      <c r="F9">
        <v>11</v>
      </c>
      <c r="G9">
        <f t="shared" si="0"/>
        <v>11</v>
      </c>
      <c r="J9" s="8">
        <v>58</v>
      </c>
      <c r="K9">
        <f>COUNTIF(SEMUA!$E$2:$E$14,J9)</f>
        <v>1</v>
      </c>
      <c r="M9" s="7"/>
    </row>
    <row r="10" spans="1:15" ht="15.75" x14ac:dyDescent="0.25">
      <c r="A10" s="7" t="s">
        <v>37</v>
      </c>
      <c r="B10">
        <f>COUNTIF(SEMUA!$H$2:$H$14,REKAP!A10)</f>
        <v>0</v>
      </c>
      <c r="D10" s="8">
        <v>43</v>
      </c>
      <c r="E10">
        <f>COUNTIF(SEMUA!$D$1:$D$14,D10)</f>
        <v>2</v>
      </c>
      <c r="F10">
        <v>7</v>
      </c>
      <c r="G10">
        <f t="shared" si="0"/>
        <v>9</v>
      </c>
      <c r="J10" s="8">
        <v>59</v>
      </c>
      <c r="K10">
        <f>COUNTIF(SEMUA!$E$2:$E$14,J10)</f>
        <v>0</v>
      </c>
      <c r="M10" s="7"/>
    </row>
    <row r="11" spans="1:15" ht="15.75" x14ac:dyDescent="0.25">
      <c r="A11" s="9" t="s">
        <v>44</v>
      </c>
      <c r="B11" s="10">
        <f>SUM(B4:B10)</f>
        <v>6</v>
      </c>
      <c r="C11" s="10"/>
      <c r="D11" s="8">
        <v>44</v>
      </c>
      <c r="E11">
        <f>COUNTIF(SEMUA!$D$1:$D$14,D11)</f>
        <v>0</v>
      </c>
      <c r="G11">
        <f t="shared" si="0"/>
        <v>0</v>
      </c>
      <c r="J11" s="1">
        <v>60</v>
      </c>
      <c r="K11">
        <f>COUNTIF(SEMUA!$E$2:$E$14,J11)</f>
        <v>0</v>
      </c>
      <c r="M11" s="7"/>
    </row>
    <row r="12" spans="1:15" ht="15.75" x14ac:dyDescent="0.25">
      <c r="D12" s="8">
        <v>45</v>
      </c>
      <c r="E12">
        <f>COUNTIF(SEMUA!$D$1:$D$14,D12)</f>
        <v>0</v>
      </c>
      <c r="G12">
        <f t="shared" si="0"/>
        <v>0</v>
      </c>
      <c r="K12">
        <f>SUM(K4:K11)</f>
        <v>6</v>
      </c>
      <c r="M12" s="7"/>
    </row>
    <row r="13" spans="1:15" ht="15.75" x14ac:dyDescent="0.25">
      <c r="D13" s="8">
        <v>46</v>
      </c>
      <c r="E13">
        <f>COUNTIF(SEMUA!$D$1:$D$14,D13)</f>
        <v>0</v>
      </c>
      <c r="G13">
        <f t="shared" si="0"/>
        <v>0</v>
      </c>
    </row>
    <row r="14" spans="1:15" ht="15.75" x14ac:dyDescent="0.25">
      <c r="D14" s="8"/>
      <c r="E14">
        <f>SUM(E4:E13)</f>
        <v>6</v>
      </c>
      <c r="F14">
        <f>SUM(F4:F13)</f>
        <v>34</v>
      </c>
      <c r="G14">
        <f>SUM(G4:G13)</f>
        <v>40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2021-05-18T00:44:14Z</cp:lastPrinted>
  <dcterms:created xsi:type="dcterms:W3CDTF">2016-10-31T03:59:44Z</dcterms:created>
  <dcterms:modified xsi:type="dcterms:W3CDTF">2021-07-06T01:48:49Z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