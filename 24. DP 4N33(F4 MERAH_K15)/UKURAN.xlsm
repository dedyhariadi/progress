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24. DP 4N33(F4 MERAH_K15)\"/>
    </mc:Choice>
  </mc:AlternateContent>
  <xr:revisionPtr revIDLastSave="0" documentId="13_ncr:1_{2AE1C899-3D36-4783-87B3-64A33BA0A535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SEMUA!$A$1:$AT$38</definedName>
    <definedName name="_xlnm.Print_Titles" localSheetId="0">SEMUA!#REF!</definedName>
  </definedNames>
  <calcPr calcId="191029"/>
</workbook>
</file>

<file path=xl/calcChain.xml><?xml version="1.0" encoding="utf-8"?>
<calcChain xmlns="http://schemas.openxmlformats.org/spreadsheetml/2006/main">
  <c r="Q12" i="3" l="1"/>
  <c r="O12" i="3"/>
  <c r="K14" i="3"/>
  <c r="I14" i="3"/>
  <c r="E11" i="3"/>
  <c r="N11" i="3"/>
  <c r="P11" i="3" s="1"/>
  <c r="N10" i="3"/>
  <c r="P10" i="3" s="1"/>
  <c r="N9" i="3"/>
  <c r="P9" i="3" s="1"/>
  <c r="N8" i="3"/>
  <c r="P8" i="3" s="1"/>
  <c r="N7" i="3"/>
  <c r="P7" i="3" s="1"/>
  <c r="N6" i="3"/>
  <c r="P6" i="3" s="1"/>
  <c r="N5" i="3"/>
  <c r="P5" i="3" s="1"/>
  <c r="N4" i="3"/>
  <c r="P4" i="3" s="1"/>
  <c r="H13" i="3"/>
  <c r="J13" i="3" s="1"/>
  <c r="H12" i="3"/>
  <c r="J12" i="3" s="1"/>
  <c r="H11" i="3"/>
  <c r="J11" i="3" s="1"/>
  <c r="H10" i="3"/>
  <c r="J10" i="3" s="1"/>
  <c r="H9" i="3"/>
  <c r="J9" i="3" s="1"/>
  <c r="H8" i="3"/>
  <c r="J8" i="3" s="1"/>
  <c r="H7" i="3"/>
  <c r="J7" i="3" s="1"/>
  <c r="H6" i="3"/>
  <c r="J6" i="3" s="1"/>
  <c r="H5" i="3"/>
  <c r="H4" i="3"/>
  <c r="J4" i="3" s="1"/>
  <c r="B10" i="3"/>
  <c r="D10" i="3" s="1"/>
  <c r="B9" i="3"/>
  <c r="D9" i="3" s="1"/>
  <c r="B8" i="3"/>
  <c r="D8" i="3" s="1"/>
  <c r="B7" i="3"/>
  <c r="D7" i="3" s="1"/>
  <c r="B6" i="3"/>
  <c r="D6" i="3" s="1"/>
  <c r="B5" i="3"/>
  <c r="D5" i="3" s="1"/>
  <c r="B4" i="3"/>
  <c r="D4" i="3" s="1"/>
  <c r="D11" i="3" l="1"/>
  <c r="B11" i="3"/>
  <c r="N12" i="3"/>
  <c r="H14" i="3" l="1"/>
</calcChain>
</file>

<file path=xl/sharedStrings.xml><?xml version="1.0" encoding="utf-8"?>
<sst xmlns="http://schemas.openxmlformats.org/spreadsheetml/2006/main" count="158" uniqueCount="94">
  <si>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</si>
  <si>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</si>
  <si>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</si>
  <si>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</si>
  <si>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</si>
  <si>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</si>
  <si>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</si>
  <si>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</si>
  <si>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</si>
  <si>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</si>
  <si>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</si>
  <si>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</si>
  <si>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</si>
  <si>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</si>
  <si>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</si>
  <si>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</si>
  <si>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</si>
  <si>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</si>
  <si>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</si>
  <si>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</si>
  <si>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</si>
  <si>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</si>
  <si>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</si>
  <si>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</si>
  <si>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</si>
  <si>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</si>
  <si>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</si>
  <si>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</si>
  <si>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</si>
  <si>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</si>
  <si>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</si>
  <si>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</si>
  <si>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</si>
  <si>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</si>
  <si>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</si>
  <si>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</si>
  <si>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</si>
  <si>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</si>
  <si>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</si>
  <si>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</si>
  <si>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</si>
  <si>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</si>
  <si>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</si>
  <si>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</si>
  <si>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</si>
  <si>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</si>
  <si>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</si>
  <si>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</si>
  <si>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</si>
  <si>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</si>
  <si>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</si>
  <si>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</si>
  <si>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</si>
  <si>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</si>
  <si>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</si>
  <si>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</si>
  <si>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STREP</t>
  </si>
  <si>
    <t>CETAK BN</t>
  </si>
  <si>
    <t>CETAK PDH</t>
  </si>
  <si>
    <t>CETAK KAOS</t>
  </si>
  <si>
    <t>CETAK SEPATU</t>
  </si>
  <si>
    <t>pesan</t>
  </si>
  <si>
    <t>wanita</t>
  </si>
  <si>
    <t>T1</t>
  </si>
  <si>
    <t>SUNARTO</t>
  </si>
  <si>
    <t>NOOR MAULANA</t>
  </si>
  <si>
    <t>OKTE DWI PANGGA</t>
  </si>
  <si>
    <t>SAMSURI</t>
  </si>
  <si>
    <t>HERMAN SAHAJI</t>
  </si>
  <si>
    <t>DP4 NAUTIKA / 33</t>
  </si>
  <si>
    <t>STREP 1</t>
  </si>
  <si>
    <t>TITIS MERYANTO</t>
  </si>
  <si>
    <t>T2</t>
  </si>
  <si>
    <t>T3</t>
  </si>
  <si>
    <t>T4</t>
  </si>
  <si>
    <t>T5</t>
  </si>
  <si>
    <t>T6</t>
  </si>
  <si>
    <t>01 AGUSTUS</t>
  </si>
  <si>
    <t>ARIS WIBOWO S</t>
  </si>
  <si>
    <t>LA ODE ABD RIZAL</t>
  </si>
  <si>
    <t>MARIYONO</t>
  </si>
  <si>
    <t>RACHMAT DZANUAR</t>
  </si>
  <si>
    <t>T7</t>
  </si>
  <si>
    <t>T8</t>
  </si>
  <si>
    <t>T9</t>
  </si>
  <si>
    <t>T10</t>
  </si>
  <si>
    <t>02 AGUSTUS</t>
  </si>
  <si>
    <t>AGUS KURNIAWAN</t>
  </si>
  <si>
    <t>KASJAN TABI</t>
  </si>
  <si>
    <t>AMIR DERMAWAN</t>
  </si>
  <si>
    <t>T11</t>
  </si>
  <si>
    <t>T12</t>
  </si>
  <si>
    <t>T13</t>
  </si>
  <si>
    <t>04 AGUSTUS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</si>
</sst>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12"/>
      <color rgb="FF000000"/>
      <name val="Arial"/>
      <family val="2"/>
    </font>
    <font>
      <sz val="11"/>
      <color theme="1"/>
      <name val="Calibri"/>
      <family val="2"/>
      <charset val="1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1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  <xf numFmtId="0" fontId="23" fillId="0" borderId="0"/>
  </cellStyleXfs>
  <cellXfs count="2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49" fontId="21" fillId="0" borderId="0" xfId="0" applyNumberFormat="1" applyFont="1" applyAlignment="1">
      <alignment horizontal="center"/>
    </xf>
    <xf numFmtId="0" fontId="22" fillId="0" borderId="0" xfId="0" applyFont="1"/>
    <xf numFmtId="0" fontId="22" fillId="0" borderId="0" xfId="0" applyFont="1" applyAlignment="1">
      <alignment horizontal="center"/>
    </xf>
    <xf numFmtId="1" fontId="22" fillId="0" borderId="0" xfId="0" applyNumberFormat="1" applyFont="1" applyAlignment="1">
      <alignment horizontal="center"/>
    </xf>
    <xf numFmtId="0" fontId="21" fillId="0" borderId="0" xfId="0" applyNumberFormat="1" applyFont="1" applyAlignment="1">
      <alignment horizontal="center"/>
    </xf>
    <xf numFmtId="0" fontId="22" fillId="0" borderId="0" xfId="0" applyNumberFormat="1" applyFont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 wrapText="1"/>
    </xf>
    <xf numFmtId="0" fontId="21" fillId="0" borderId="0" xfId="0" applyNumberFormat="1" applyFont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22" fillId="0" borderId="0" xfId="0" applyFont="1" applyAlignment="1">
      <alignment horizontal="left"/>
    </xf>
    <xf numFmtId="0" fontId="0" fillId="9" borderId="0" xfId="0" applyFill="1"/>
    <xf numFmtId="0" fontId="19" fillId="9" borderId="0" xfId="0" applyFont="1" applyFill="1"/>
  </cellXfs>
  <cellStyles count="21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rmal 4" xfId="20" xr:uid="{FD0C3928-1A8A-44CE-A016-DD9FC7A59324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41"/>
  <sheetViews>
    <sheetView tabSelected="1" zoomScale="55" zoomScaleNormal="55" workbookViewId="0">
      <pane ySplit="1" topLeftCell="A2" activePane="bottomLeft" state="frozen"/>
      <selection pane="bottomLeft" activeCell="L30" sqref="L30"/>
    </sheetView>
  </sheetViews>
  <sheetFormatPr defaultColWidth="8.7109375" defaultRowHeight="24.75" customHeight="1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2" customWidth="1"/>
    <col min="6" max="6" width="9.28515625" style="3" customWidth="1"/>
    <col min="7" max="7" width="11.85546875" style="3" bestFit="1" customWidth="1"/>
    <col min="8" max="8" width="11.28515625" style="3" customWidth="1"/>
    <col min="9" max="23" width="7.7109375" style="3" customWidth="1"/>
    <col min="24" max="24" width="6.7109375" style="1" customWidth="1"/>
    <col min="25" max="26" width="8.28515625" style="1" customWidth="1"/>
    <col min="27" max="27" width="9.28515625" style="1" customWidth="1"/>
    <col min="28" max="32" width="8.28515625" style="1" customWidth="1"/>
    <col min="33" max="41" width="7.7109375" style="3" customWidth="1"/>
    <col min="42" max="1013" width="8.7109375" style="2"/>
    <col min="1014" max="1014" width="8.7109375" style="4"/>
  </cols>
  <sheetData>
    <row r="1" spans="1:1014" ht="24.7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1" t="s">
        <v>6</v>
      </c>
      <c r="F1" s="5" t="s">
        <v>5</v>
      </c>
      <c r="G1" s="5" t="s">
        <v>56</v>
      </c>
      <c r="H1" s="5" t="s">
        <v>3</v>
      </c>
      <c r="I1" s="21" t="s">
        <v>22</v>
      </c>
      <c r="J1" s="21" t="s">
        <v>23</v>
      </c>
      <c r="K1" s="21" t="s">
        <v>24</v>
      </c>
      <c r="L1" s="21" t="s">
        <v>25</v>
      </c>
      <c r="M1" s="21" t="s">
        <v>26</v>
      </c>
      <c r="N1" s="21" t="s">
        <v>27</v>
      </c>
      <c r="O1" s="21" t="s">
        <v>28</v>
      </c>
      <c r="P1" s="21" t="s">
        <v>29</v>
      </c>
      <c r="Q1" s="21" t="s">
        <v>30</v>
      </c>
      <c r="R1" s="1" t="s">
        <v>47</v>
      </c>
      <c r="S1" s="1" t="s">
        <v>48</v>
      </c>
      <c r="T1" s="1" t="s">
        <v>49</v>
      </c>
      <c r="U1" s="1" t="s">
        <v>50</v>
      </c>
      <c r="V1" s="1" t="s">
        <v>51</v>
      </c>
      <c r="W1" s="1" t="s">
        <v>52</v>
      </c>
      <c r="X1" s="1" t="s">
        <v>53</v>
      </c>
      <c r="Y1" s="1" t="s">
        <v>54</v>
      </c>
      <c r="Z1" s="1" t="s">
        <v>55</v>
      </c>
      <c r="AA1" s="21" t="s">
        <v>7</v>
      </c>
      <c r="AB1" s="21" t="s">
        <v>8</v>
      </c>
      <c r="AC1" s="21" t="s">
        <v>9</v>
      </c>
      <c r="AD1" s="21" t="s">
        <v>10</v>
      </c>
      <c r="AE1" s="21" t="s">
        <v>11</v>
      </c>
      <c r="AF1" s="21" t="s">
        <v>12</v>
      </c>
      <c r="AG1" s="21" t="s">
        <v>13</v>
      </c>
      <c r="AH1" s="21" t="s">
        <v>14</v>
      </c>
      <c r="AI1" s="21" t="s">
        <v>15</v>
      </c>
      <c r="AJ1" s="21" t="s">
        <v>16</v>
      </c>
      <c r="AK1" s="21" t="s">
        <v>17</v>
      </c>
      <c r="AL1" s="21" t="s">
        <v>18</v>
      </c>
      <c r="AM1" s="21" t="s">
        <v>19</v>
      </c>
      <c r="AN1" s="21" t="s">
        <v>20</v>
      </c>
      <c r="AO1" s="21" t="s">
        <v>21</v>
      </c>
      <c r="AP1" s="2" t="s">
        <v>46</v>
      </c>
      <c r="AQ1" s="2" t="s">
        <v>58</v>
      </c>
      <c r="AR1" s="2" t="s">
        <v>57</v>
      </c>
      <c r="AS1" s="2" t="s">
        <v>59</v>
      </c>
      <c r="AT1" s="2" t="s">
        <v>60</v>
      </c>
    </row>
    <row r="2" spans="1:1014" ht="24.75" customHeight="1" x14ac:dyDescent="0.25">
      <c r="A2" s="14" t="s">
        <v>63</v>
      </c>
      <c r="B2" s="23" t="s">
        <v>64</v>
      </c>
      <c r="C2" s="15" t="s">
        <v>69</v>
      </c>
      <c r="D2" s="16">
        <v>42</v>
      </c>
      <c r="E2" s="15" t="s">
        <v>33</v>
      </c>
      <c r="F2" s="15">
        <v>56</v>
      </c>
      <c r="G2" s="15" t="s">
        <v>70</v>
      </c>
      <c r="H2" s="15" t="s">
        <v>45</v>
      </c>
      <c r="I2" s="18">
        <v>47</v>
      </c>
      <c r="J2" s="18">
        <v>59</v>
      </c>
      <c r="K2" s="18">
        <v>20</v>
      </c>
      <c r="L2" s="18">
        <v>15</v>
      </c>
      <c r="M2" s="18">
        <v>116</v>
      </c>
      <c r="N2" s="18">
        <v>114</v>
      </c>
      <c r="O2" s="18">
        <v>114</v>
      </c>
      <c r="P2" s="18">
        <v>74</v>
      </c>
      <c r="Q2" s="18">
        <v>45</v>
      </c>
      <c r="R2" s="19">
        <v>47</v>
      </c>
      <c r="S2" s="18">
        <v>60</v>
      </c>
      <c r="T2" s="18">
        <v>19</v>
      </c>
      <c r="U2" s="18">
        <v>13</v>
      </c>
      <c r="V2" s="18">
        <v>31</v>
      </c>
      <c r="W2" s="18">
        <v>30</v>
      </c>
      <c r="X2" s="18">
        <v>31</v>
      </c>
      <c r="Y2" s="18">
        <v>74</v>
      </c>
      <c r="Z2" s="18">
        <v>45</v>
      </c>
      <c r="AA2" s="18">
        <v>47</v>
      </c>
      <c r="AB2" s="18">
        <v>25</v>
      </c>
      <c r="AC2" s="18">
        <v>19</v>
      </c>
      <c r="AD2" s="18">
        <v>31</v>
      </c>
      <c r="AE2" s="18">
        <v>30</v>
      </c>
      <c r="AF2" s="18">
        <v>31</v>
      </c>
      <c r="AG2" s="18">
        <v>74</v>
      </c>
      <c r="AH2" s="18">
        <v>45</v>
      </c>
      <c r="AI2" s="18">
        <v>98</v>
      </c>
      <c r="AJ2" s="18">
        <v>110</v>
      </c>
      <c r="AK2" s="18">
        <v>74</v>
      </c>
      <c r="AL2" s="18">
        <v>36</v>
      </c>
      <c r="AM2" s="18">
        <v>27</v>
      </c>
      <c r="AN2" s="18">
        <v>22</v>
      </c>
      <c r="AO2" s="22">
        <v>97</v>
      </c>
      <c r="AP2" s="2">
        <v>1</v>
      </c>
      <c r="AQ2" t="s">
        <v>77</v>
      </c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  <c r="IN2"/>
      <c r="IO2"/>
      <c r="IP2"/>
      <c r="IQ2"/>
      <c r="IR2"/>
      <c r="IS2"/>
      <c r="IT2"/>
      <c r="IU2"/>
      <c r="IV2"/>
      <c r="IW2"/>
      <c r="IX2"/>
      <c r="IY2"/>
      <c r="IZ2"/>
      <c r="JA2"/>
      <c r="JB2"/>
      <c r="JC2"/>
      <c r="JD2"/>
      <c r="JE2"/>
      <c r="JF2"/>
      <c r="JG2"/>
      <c r="JH2"/>
      <c r="JI2"/>
      <c r="JJ2"/>
      <c r="JK2"/>
      <c r="JL2"/>
      <c r="JM2"/>
      <c r="JN2"/>
      <c r="JO2"/>
      <c r="JP2"/>
      <c r="JQ2"/>
      <c r="JR2"/>
      <c r="JS2"/>
      <c r="JT2"/>
      <c r="JU2"/>
      <c r="JV2"/>
      <c r="JW2"/>
      <c r="JX2"/>
      <c r="JY2"/>
      <c r="JZ2"/>
      <c r="KA2"/>
      <c r="KB2"/>
      <c r="KC2"/>
      <c r="KD2"/>
      <c r="KE2"/>
      <c r="KF2"/>
      <c r="KG2"/>
      <c r="KH2"/>
      <c r="KI2"/>
      <c r="KJ2"/>
      <c r="KK2"/>
      <c r="KL2"/>
      <c r="KM2"/>
      <c r="KN2"/>
      <c r="KO2"/>
      <c r="KP2"/>
      <c r="KQ2"/>
      <c r="KR2"/>
      <c r="KS2"/>
      <c r="KT2"/>
      <c r="KU2"/>
      <c r="KV2"/>
      <c r="KW2"/>
      <c r="KX2"/>
      <c r="KY2"/>
      <c r="KZ2"/>
      <c r="LA2"/>
      <c r="LB2"/>
      <c r="LC2"/>
      <c r="LD2"/>
      <c r="LE2"/>
      <c r="LF2"/>
      <c r="LG2"/>
      <c r="LH2"/>
      <c r="LI2"/>
      <c r="LJ2"/>
      <c r="LK2"/>
      <c r="LL2"/>
      <c r="LM2"/>
      <c r="LN2"/>
      <c r="LO2"/>
      <c r="LP2"/>
      <c r="LQ2"/>
      <c r="LR2"/>
      <c r="LS2"/>
      <c r="LT2"/>
      <c r="LU2"/>
      <c r="LV2"/>
      <c r="LW2"/>
      <c r="LX2"/>
      <c r="LY2"/>
      <c r="LZ2"/>
      <c r="MA2"/>
      <c r="MB2"/>
      <c r="MC2"/>
      <c r="MD2"/>
      <c r="ME2"/>
      <c r="MF2"/>
      <c r="MG2"/>
      <c r="MH2"/>
      <c r="MI2"/>
      <c r="MJ2"/>
      <c r="MK2"/>
      <c r="ML2"/>
      <c r="MM2"/>
      <c r="MN2"/>
      <c r="MO2"/>
      <c r="MP2"/>
      <c r="MQ2"/>
      <c r="MR2"/>
      <c r="MS2"/>
      <c r="MT2"/>
      <c r="MU2"/>
      <c r="MV2"/>
      <c r="MW2"/>
      <c r="MX2"/>
      <c r="MY2"/>
      <c r="MZ2"/>
      <c r="NA2"/>
      <c r="NB2"/>
      <c r="NC2"/>
      <c r="ND2"/>
      <c r="NE2"/>
      <c r="NF2"/>
      <c r="NG2"/>
      <c r="NH2"/>
      <c r="NI2"/>
      <c r="NJ2"/>
      <c r="NK2"/>
      <c r="NL2"/>
      <c r="NM2"/>
      <c r="NN2"/>
      <c r="NO2"/>
      <c r="NP2"/>
      <c r="NQ2"/>
      <c r="NR2"/>
      <c r="NS2"/>
      <c r="NT2"/>
      <c r="NU2"/>
      <c r="NV2"/>
      <c r="NW2"/>
      <c r="NX2"/>
      <c r="NY2"/>
      <c r="NZ2"/>
      <c r="OA2"/>
      <c r="OB2"/>
      <c r="OC2"/>
      <c r="OD2"/>
      <c r="OE2"/>
      <c r="OF2"/>
      <c r="OG2"/>
      <c r="OH2"/>
      <c r="OI2"/>
      <c r="OJ2"/>
      <c r="OK2"/>
      <c r="OL2"/>
      <c r="OM2"/>
      <c r="ON2"/>
      <c r="OO2"/>
      <c r="OP2"/>
      <c r="OQ2"/>
      <c r="OR2"/>
      <c r="OS2"/>
      <c r="OT2"/>
      <c r="OU2"/>
      <c r="OV2"/>
      <c r="OW2"/>
      <c r="OX2"/>
      <c r="OY2"/>
      <c r="OZ2"/>
      <c r="PA2"/>
      <c r="PB2"/>
      <c r="PC2"/>
      <c r="PD2"/>
      <c r="PE2"/>
      <c r="PF2"/>
      <c r="PG2"/>
      <c r="PH2"/>
      <c r="PI2"/>
      <c r="PJ2"/>
      <c r="PK2"/>
      <c r="PL2"/>
      <c r="PM2"/>
      <c r="PN2"/>
      <c r="PO2"/>
      <c r="PP2"/>
      <c r="PQ2"/>
      <c r="PR2"/>
      <c r="PS2"/>
      <c r="PT2"/>
      <c r="PU2"/>
      <c r="PV2"/>
      <c r="PW2"/>
      <c r="PX2"/>
      <c r="PY2"/>
      <c r="PZ2"/>
      <c r="QA2"/>
      <c r="QB2"/>
      <c r="QC2"/>
      <c r="QD2"/>
      <c r="QE2"/>
      <c r="QF2"/>
      <c r="QG2"/>
      <c r="QH2"/>
      <c r="QI2"/>
      <c r="QJ2"/>
      <c r="QK2"/>
      <c r="QL2"/>
      <c r="QM2"/>
      <c r="QN2"/>
      <c r="QO2"/>
      <c r="QP2"/>
      <c r="QQ2"/>
      <c r="QR2"/>
      <c r="QS2"/>
      <c r="QT2"/>
      <c r="QU2"/>
      <c r="QV2"/>
      <c r="QW2"/>
      <c r="QX2"/>
      <c r="QY2"/>
      <c r="QZ2"/>
      <c r="RA2"/>
      <c r="RB2"/>
      <c r="RC2"/>
      <c r="RD2"/>
      <c r="RE2"/>
      <c r="RF2"/>
      <c r="RG2"/>
      <c r="RH2"/>
      <c r="RI2"/>
      <c r="RJ2"/>
      <c r="RK2"/>
      <c r="RL2"/>
      <c r="RM2"/>
      <c r="RN2"/>
      <c r="RO2"/>
      <c r="RP2"/>
      <c r="RQ2"/>
      <c r="RR2"/>
      <c r="RS2"/>
      <c r="RT2"/>
      <c r="RU2"/>
      <c r="RV2"/>
      <c r="RW2"/>
      <c r="RX2"/>
      <c r="RY2"/>
      <c r="RZ2"/>
      <c r="SA2"/>
      <c r="SB2"/>
      <c r="SC2"/>
      <c r="SD2"/>
      <c r="SE2"/>
      <c r="SF2"/>
      <c r="SG2"/>
      <c r="SH2"/>
      <c r="SI2"/>
      <c r="SJ2"/>
      <c r="SK2"/>
      <c r="SL2"/>
      <c r="SM2"/>
      <c r="SN2"/>
      <c r="SO2"/>
      <c r="SP2"/>
      <c r="SQ2"/>
      <c r="SR2"/>
      <c r="SS2"/>
      <c r="ST2"/>
      <c r="SU2"/>
      <c r="SV2"/>
      <c r="SW2"/>
      <c r="SX2"/>
      <c r="SY2"/>
      <c r="SZ2"/>
      <c r="TA2"/>
      <c r="TB2"/>
      <c r="TC2"/>
      <c r="TD2"/>
      <c r="TE2"/>
      <c r="TF2"/>
      <c r="TG2"/>
      <c r="TH2"/>
      <c r="TI2"/>
      <c r="TJ2"/>
      <c r="TK2"/>
      <c r="TL2"/>
      <c r="TM2"/>
      <c r="TN2"/>
      <c r="TO2"/>
      <c r="TP2"/>
      <c r="TQ2"/>
      <c r="TR2"/>
      <c r="TS2"/>
      <c r="TT2"/>
      <c r="TU2"/>
      <c r="TV2"/>
      <c r="TW2"/>
      <c r="TX2"/>
      <c r="TY2"/>
      <c r="TZ2"/>
      <c r="UA2"/>
      <c r="UB2"/>
      <c r="UC2"/>
      <c r="UD2"/>
      <c r="UE2"/>
      <c r="UF2"/>
      <c r="UG2"/>
      <c r="UH2"/>
      <c r="UI2"/>
      <c r="UJ2"/>
      <c r="UK2"/>
      <c r="UL2"/>
      <c r="UM2"/>
      <c r="UN2"/>
      <c r="UO2"/>
      <c r="UP2"/>
      <c r="UQ2"/>
      <c r="UR2"/>
      <c r="US2"/>
      <c r="UT2"/>
      <c r="UU2"/>
      <c r="UV2"/>
      <c r="UW2"/>
      <c r="UX2"/>
      <c r="UY2"/>
      <c r="UZ2"/>
      <c r="VA2"/>
      <c r="VB2"/>
      <c r="VC2"/>
      <c r="VD2"/>
      <c r="VE2"/>
      <c r="VF2"/>
      <c r="VG2"/>
      <c r="VH2"/>
      <c r="VI2"/>
      <c r="VJ2"/>
      <c r="VK2"/>
      <c r="VL2"/>
      <c r="VM2"/>
      <c r="VN2"/>
      <c r="VO2"/>
      <c r="VP2"/>
      <c r="VQ2"/>
      <c r="VR2"/>
      <c r="VS2"/>
      <c r="VT2"/>
      <c r="VU2"/>
      <c r="VV2"/>
      <c r="VW2"/>
      <c r="VX2"/>
      <c r="VY2"/>
      <c r="VZ2"/>
      <c r="WA2"/>
      <c r="WB2"/>
      <c r="WC2"/>
      <c r="WD2"/>
      <c r="WE2"/>
      <c r="WF2"/>
      <c r="WG2"/>
      <c r="WH2"/>
      <c r="WI2"/>
      <c r="WJ2"/>
      <c r="WK2"/>
      <c r="WL2"/>
      <c r="WM2"/>
      <c r="WN2"/>
      <c r="WO2"/>
      <c r="WP2"/>
      <c r="WQ2"/>
      <c r="WR2"/>
      <c r="WS2"/>
      <c r="WT2"/>
      <c r="WU2"/>
      <c r="WV2"/>
      <c r="WW2"/>
      <c r="WX2"/>
      <c r="WY2"/>
      <c r="WZ2"/>
      <c r="XA2"/>
      <c r="XB2"/>
      <c r="XC2"/>
      <c r="XD2"/>
      <c r="XE2"/>
      <c r="XF2"/>
      <c r="XG2"/>
      <c r="XH2"/>
      <c r="XI2"/>
      <c r="XJ2"/>
      <c r="XK2"/>
      <c r="XL2"/>
      <c r="XM2"/>
      <c r="XN2"/>
      <c r="XO2"/>
      <c r="XP2"/>
      <c r="XQ2"/>
      <c r="XR2"/>
      <c r="XS2"/>
      <c r="XT2"/>
      <c r="XU2"/>
      <c r="XV2"/>
      <c r="XW2"/>
      <c r="XX2"/>
      <c r="XY2"/>
      <c r="XZ2"/>
      <c r="YA2"/>
      <c r="YB2"/>
      <c r="YC2"/>
      <c r="YD2"/>
      <c r="YE2"/>
      <c r="YF2"/>
      <c r="YG2"/>
      <c r="YH2"/>
      <c r="YI2"/>
      <c r="YJ2"/>
      <c r="YK2"/>
      <c r="YL2"/>
      <c r="YM2"/>
      <c r="YN2"/>
      <c r="YO2"/>
      <c r="YP2"/>
      <c r="YQ2"/>
      <c r="YR2"/>
      <c r="YS2"/>
      <c r="YT2"/>
      <c r="YU2"/>
      <c r="YV2"/>
      <c r="YW2"/>
      <c r="YX2"/>
      <c r="YY2"/>
      <c r="YZ2"/>
      <c r="ZA2"/>
      <c r="ZB2"/>
      <c r="ZC2"/>
      <c r="ZD2"/>
      <c r="ZE2"/>
      <c r="ZF2"/>
      <c r="ZG2"/>
      <c r="ZH2"/>
      <c r="ZI2"/>
      <c r="ZJ2"/>
      <c r="ZK2"/>
      <c r="ZL2"/>
      <c r="ZM2"/>
      <c r="ZN2"/>
      <c r="ZO2"/>
      <c r="ZP2"/>
      <c r="ZQ2"/>
      <c r="ZR2"/>
      <c r="ZS2"/>
      <c r="ZT2"/>
      <c r="ZU2"/>
      <c r="ZV2"/>
      <c r="ZW2"/>
      <c r="ZX2"/>
      <c r="ZY2"/>
      <c r="ZZ2"/>
      <c r="AAA2"/>
      <c r="AAB2"/>
      <c r="AAC2"/>
      <c r="AAD2"/>
      <c r="AAE2"/>
      <c r="AAF2"/>
      <c r="AAG2"/>
      <c r="AAH2"/>
      <c r="AAI2"/>
      <c r="AAJ2"/>
      <c r="AAK2"/>
      <c r="AAL2"/>
      <c r="AAM2"/>
      <c r="AAN2"/>
      <c r="AAO2"/>
      <c r="AAP2"/>
      <c r="AAQ2"/>
      <c r="AAR2"/>
      <c r="AAS2"/>
      <c r="AAT2"/>
      <c r="AAU2"/>
      <c r="AAV2"/>
      <c r="AAW2"/>
      <c r="AAX2"/>
      <c r="AAY2"/>
      <c r="AAZ2"/>
      <c r="ABA2"/>
      <c r="ABB2"/>
      <c r="ABC2"/>
      <c r="ABD2"/>
      <c r="ABE2"/>
      <c r="ABF2"/>
      <c r="ABG2"/>
      <c r="ABH2"/>
      <c r="ABI2"/>
      <c r="ABJ2"/>
      <c r="ABK2"/>
      <c r="ABL2"/>
      <c r="ABM2"/>
      <c r="ABN2"/>
      <c r="ABO2"/>
      <c r="ABP2"/>
      <c r="ABQ2"/>
      <c r="ABR2"/>
      <c r="ABS2"/>
      <c r="ABT2"/>
      <c r="ABU2"/>
      <c r="ABV2"/>
      <c r="ABW2"/>
      <c r="ABX2"/>
      <c r="ABY2"/>
      <c r="ABZ2"/>
      <c r="ACA2"/>
      <c r="ACB2"/>
      <c r="ACC2"/>
      <c r="ACD2"/>
      <c r="ACE2"/>
      <c r="ACF2"/>
      <c r="ACG2"/>
      <c r="ACH2"/>
      <c r="ACI2"/>
      <c r="ACJ2"/>
      <c r="ACK2"/>
      <c r="ACL2"/>
      <c r="ACM2"/>
      <c r="ACN2"/>
      <c r="ACO2"/>
      <c r="ACP2"/>
      <c r="ACQ2"/>
      <c r="ACR2"/>
      <c r="ACS2"/>
      <c r="ACT2"/>
      <c r="ACU2"/>
      <c r="ACV2"/>
      <c r="ACW2"/>
      <c r="ACX2"/>
      <c r="ACY2"/>
      <c r="ACZ2"/>
      <c r="ADA2"/>
      <c r="ADB2"/>
      <c r="ADC2"/>
      <c r="ADD2"/>
      <c r="ADE2"/>
      <c r="ADF2"/>
      <c r="ADG2"/>
      <c r="ADH2"/>
      <c r="ADI2"/>
      <c r="ADJ2"/>
      <c r="ADK2"/>
      <c r="ADL2"/>
      <c r="ADM2"/>
      <c r="ADN2"/>
      <c r="ADO2"/>
      <c r="ADP2"/>
      <c r="ADQ2"/>
      <c r="ADR2"/>
      <c r="ADS2"/>
      <c r="ADT2"/>
      <c r="ADU2"/>
      <c r="ADV2"/>
      <c r="ADW2"/>
      <c r="ADX2"/>
      <c r="ADY2"/>
      <c r="ADZ2"/>
      <c r="AEA2"/>
      <c r="AEB2"/>
      <c r="AEC2"/>
      <c r="AED2"/>
      <c r="AEE2"/>
      <c r="AEF2"/>
      <c r="AEG2"/>
      <c r="AEH2"/>
      <c r="AEI2"/>
      <c r="AEJ2"/>
      <c r="AEK2"/>
      <c r="AEL2"/>
      <c r="AEM2"/>
      <c r="AEN2"/>
      <c r="AEO2"/>
      <c r="AEP2"/>
      <c r="AEQ2"/>
      <c r="AER2"/>
      <c r="AES2"/>
      <c r="AET2"/>
      <c r="AEU2"/>
      <c r="AEV2"/>
      <c r="AEW2"/>
      <c r="AEX2"/>
      <c r="AEY2"/>
      <c r="AEZ2"/>
      <c r="AFA2"/>
      <c r="AFB2"/>
      <c r="AFC2"/>
      <c r="AFD2"/>
      <c r="AFE2"/>
      <c r="AFF2"/>
      <c r="AFG2"/>
      <c r="AFH2"/>
      <c r="AFI2"/>
      <c r="AFJ2"/>
      <c r="AFK2"/>
      <c r="AFL2"/>
      <c r="AFM2"/>
      <c r="AFN2"/>
      <c r="AFO2"/>
      <c r="AFP2"/>
      <c r="AFQ2"/>
      <c r="AFR2"/>
      <c r="AFS2"/>
      <c r="AFT2"/>
      <c r="AFU2"/>
      <c r="AFV2"/>
      <c r="AFW2"/>
      <c r="AFX2"/>
      <c r="AFY2"/>
      <c r="AFZ2"/>
      <c r="AGA2"/>
      <c r="AGB2"/>
      <c r="AGC2"/>
      <c r="AGD2"/>
      <c r="AGE2"/>
      <c r="AGF2"/>
      <c r="AGG2"/>
      <c r="AGH2"/>
      <c r="AGI2"/>
      <c r="AGJ2"/>
      <c r="AGK2"/>
      <c r="AGL2"/>
      <c r="AGM2"/>
      <c r="AGN2"/>
      <c r="AGO2"/>
      <c r="AGP2"/>
      <c r="AGQ2"/>
      <c r="AGR2"/>
      <c r="AGS2"/>
      <c r="AGT2"/>
      <c r="AGU2"/>
      <c r="AGV2"/>
      <c r="AGW2"/>
      <c r="AGX2"/>
      <c r="AGY2"/>
      <c r="AGZ2"/>
      <c r="AHA2"/>
      <c r="AHB2"/>
      <c r="AHC2"/>
      <c r="AHD2"/>
      <c r="AHE2"/>
      <c r="AHF2"/>
      <c r="AHG2"/>
      <c r="AHH2"/>
      <c r="AHI2"/>
      <c r="AHJ2"/>
      <c r="AHK2"/>
      <c r="AHL2"/>
      <c r="AHM2"/>
      <c r="AHN2"/>
      <c r="AHO2"/>
      <c r="AHP2"/>
      <c r="AHQ2"/>
      <c r="AHR2"/>
      <c r="AHS2"/>
      <c r="AHT2"/>
      <c r="AHU2"/>
      <c r="AHV2"/>
      <c r="AHW2"/>
      <c r="AHX2"/>
      <c r="AHY2"/>
      <c r="AHZ2"/>
      <c r="AIA2"/>
      <c r="AIB2"/>
      <c r="AIC2"/>
      <c r="AID2"/>
      <c r="AIE2"/>
      <c r="AIF2"/>
      <c r="AIG2"/>
      <c r="AIH2"/>
      <c r="AII2"/>
      <c r="AIJ2"/>
      <c r="AIK2"/>
      <c r="AIL2"/>
      <c r="AIM2"/>
      <c r="AIN2"/>
      <c r="AIO2"/>
      <c r="AIP2"/>
      <c r="AIQ2"/>
      <c r="AIR2"/>
      <c r="AIS2"/>
      <c r="AIT2"/>
      <c r="AIU2"/>
      <c r="AIV2"/>
      <c r="AIW2"/>
      <c r="AIX2"/>
      <c r="AIY2"/>
      <c r="AIZ2"/>
      <c r="AJA2"/>
      <c r="AJB2"/>
      <c r="AJC2"/>
      <c r="AJD2"/>
      <c r="AJE2"/>
      <c r="AJF2"/>
      <c r="AJG2"/>
      <c r="AJH2"/>
      <c r="AJI2"/>
      <c r="AJJ2"/>
      <c r="AJK2"/>
      <c r="AJL2"/>
      <c r="AJM2"/>
      <c r="AJN2"/>
      <c r="AJO2"/>
      <c r="AJP2"/>
      <c r="AJQ2"/>
      <c r="AJR2"/>
      <c r="AJS2"/>
      <c r="AJT2"/>
      <c r="AJU2"/>
      <c r="AJV2"/>
      <c r="AJW2"/>
      <c r="AJX2"/>
      <c r="AJY2"/>
      <c r="AJZ2"/>
      <c r="AKA2"/>
      <c r="AKB2"/>
      <c r="AKC2"/>
      <c r="AKD2"/>
      <c r="AKE2"/>
      <c r="AKF2"/>
      <c r="AKG2"/>
      <c r="AKH2"/>
      <c r="AKI2"/>
      <c r="AKJ2"/>
      <c r="AKK2"/>
      <c r="AKL2"/>
      <c r="AKM2"/>
      <c r="AKN2"/>
      <c r="AKO2"/>
      <c r="AKP2"/>
      <c r="AKQ2"/>
      <c r="AKR2"/>
      <c r="AKS2"/>
      <c r="AKT2"/>
      <c r="AKU2"/>
      <c r="AKV2"/>
      <c r="AKW2"/>
      <c r="AKX2"/>
      <c r="AKY2"/>
      <c r="AKZ2"/>
      <c r="ALA2"/>
      <c r="ALB2"/>
      <c r="ALC2"/>
      <c r="ALD2"/>
      <c r="ALE2"/>
      <c r="ALF2"/>
      <c r="ALG2"/>
      <c r="ALH2"/>
      <c r="ALI2"/>
      <c r="ALJ2"/>
      <c r="ALK2"/>
      <c r="ALL2"/>
      <c r="ALM2"/>
      <c r="ALN2"/>
      <c r="ALO2"/>
      <c r="ALP2"/>
      <c r="ALQ2"/>
      <c r="ALR2"/>
      <c r="ALS2"/>
      <c r="ALT2"/>
      <c r="ALU2"/>
      <c r="ALV2"/>
      <c r="ALW2"/>
      <c r="ALX2"/>
      <c r="ALY2"/>
      <c r="ALZ2"/>
    </row>
    <row r="3" spans="1:1014" ht="24.75" customHeight="1" x14ac:dyDescent="0.25">
      <c r="A3" s="14" t="s">
        <v>72</v>
      </c>
      <c r="B3" s="23" t="s">
        <v>65</v>
      </c>
      <c r="C3" s="15" t="s">
        <v>69</v>
      </c>
      <c r="D3" s="16">
        <v>41</v>
      </c>
      <c r="E3" s="15" t="s">
        <v>31</v>
      </c>
      <c r="F3" s="15">
        <v>56</v>
      </c>
      <c r="G3" s="15" t="s">
        <v>70</v>
      </c>
      <c r="H3" s="15" t="s">
        <v>45</v>
      </c>
      <c r="I3" s="18">
        <v>43</v>
      </c>
      <c r="J3" s="18">
        <v>59</v>
      </c>
      <c r="K3" s="18">
        <v>18</v>
      </c>
      <c r="L3" s="18">
        <v>14</v>
      </c>
      <c r="M3" s="18">
        <v>95</v>
      </c>
      <c r="N3" s="18">
        <v>85</v>
      </c>
      <c r="O3" s="18">
        <v>103</v>
      </c>
      <c r="P3" s="18">
        <v>70</v>
      </c>
      <c r="Q3" s="18">
        <v>39</v>
      </c>
      <c r="R3" s="18">
        <v>43</v>
      </c>
      <c r="S3" s="18">
        <v>60</v>
      </c>
      <c r="T3" s="18">
        <v>16</v>
      </c>
      <c r="U3" s="18">
        <v>12</v>
      </c>
      <c r="V3" s="18">
        <v>27</v>
      </c>
      <c r="W3" s="18">
        <v>24</v>
      </c>
      <c r="X3" s="18">
        <v>27</v>
      </c>
      <c r="Y3" s="18">
        <v>69</v>
      </c>
      <c r="Z3" s="18">
        <v>39</v>
      </c>
      <c r="AA3" s="18">
        <v>43</v>
      </c>
      <c r="AB3" s="18">
        <v>23</v>
      </c>
      <c r="AC3" s="18">
        <v>16</v>
      </c>
      <c r="AD3" s="18">
        <v>27</v>
      </c>
      <c r="AE3" s="18">
        <v>24</v>
      </c>
      <c r="AF3" s="18">
        <v>27</v>
      </c>
      <c r="AG3" s="18">
        <v>70</v>
      </c>
      <c r="AH3" s="18">
        <v>39</v>
      </c>
      <c r="AI3" s="18">
        <v>78</v>
      </c>
      <c r="AJ3" s="18">
        <v>100</v>
      </c>
      <c r="AK3" s="18">
        <v>64</v>
      </c>
      <c r="AL3" s="18">
        <v>31</v>
      </c>
      <c r="AM3" s="18">
        <v>24</v>
      </c>
      <c r="AN3" s="18">
        <v>19</v>
      </c>
      <c r="AO3" s="18">
        <v>97</v>
      </c>
      <c r="AP3" s="2">
        <v>1</v>
      </c>
      <c r="AQ3" t="s">
        <v>77</v>
      </c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  <c r="AAA3"/>
      <c r="AAB3"/>
      <c r="AAC3"/>
      <c r="AAD3"/>
      <c r="AAE3"/>
      <c r="AAF3"/>
      <c r="AAG3"/>
      <c r="AAH3"/>
      <c r="AAI3"/>
      <c r="AAJ3"/>
      <c r="AAK3"/>
      <c r="AAL3"/>
      <c r="AAM3"/>
      <c r="AAN3"/>
      <c r="AAO3"/>
      <c r="AAP3"/>
      <c r="AAQ3"/>
      <c r="AAR3"/>
      <c r="AAS3"/>
      <c r="AAT3"/>
      <c r="AAU3"/>
      <c r="AAV3"/>
      <c r="AAW3"/>
      <c r="AAX3"/>
      <c r="AAY3"/>
      <c r="AAZ3"/>
      <c r="ABA3"/>
      <c r="ABB3"/>
      <c r="ABC3"/>
      <c r="ABD3"/>
      <c r="ABE3"/>
      <c r="ABF3"/>
      <c r="ABG3"/>
      <c r="ABH3"/>
      <c r="ABI3"/>
      <c r="ABJ3"/>
      <c r="ABK3"/>
      <c r="ABL3"/>
      <c r="ABM3"/>
      <c r="ABN3"/>
      <c r="ABO3"/>
      <c r="ABP3"/>
      <c r="ABQ3"/>
      <c r="ABR3"/>
      <c r="ABS3"/>
      <c r="ABT3"/>
      <c r="ABU3"/>
      <c r="ABV3"/>
      <c r="ABW3"/>
      <c r="ABX3"/>
      <c r="ABY3"/>
      <c r="ABZ3"/>
      <c r="ACA3"/>
      <c r="ACB3"/>
      <c r="ACC3"/>
      <c r="ACD3"/>
      <c r="ACE3"/>
      <c r="ACF3"/>
      <c r="ACG3"/>
      <c r="ACH3"/>
      <c r="ACI3"/>
      <c r="ACJ3"/>
      <c r="ACK3"/>
      <c r="ACL3"/>
      <c r="ACM3"/>
      <c r="ACN3"/>
      <c r="ACO3"/>
      <c r="ACP3"/>
      <c r="ACQ3"/>
      <c r="ACR3"/>
      <c r="ACS3"/>
      <c r="ACT3"/>
      <c r="ACU3"/>
      <c r="ACV3"/>
      <c r="ACW3"/>
      <c r="ACX3"/>
      <c r="ACY3"/>
      <c r="ACZ3"/>
      <c r="ADA3"/>
      <c r="ADB3"/>
      <c r="ADC3"/>
      <c r="ADD3"/>
      <c r="ADE3"/>
      <c r="ADF3"/>
      <c r="ADG3"/>
      <c r="ADH3"/>
      <c r="ADI3"/>
      <c r="ADJ3"/>
      <c r="ADK3"/>
      <c r="ADL3"/>
      <c r="ADM3"/>
      <c r="ADN3"/>
      <c r="ADO3"/>
      <c r="ADP3"/>
      <c r="ADQ3"/>
      <c r="ADR3"/>
      <c r="ADS3"/>
      <c r="ADT3"/>
      <c r="ADU3"/>
      <c r="ADV3"/>
      <c r="ADW3"/>
      <c r="ADX3"/>
      <c r="ADY3"/>
      <c r="ADZ3"/>
      <c r="AEA3"/>
      <c r="AEB3"/>
      <c r="AEC3"/>
      <c r="AED3"/>
      <c r="AEE3"/>
      <c r="AEF3"/>
      <c r="AEG3"/>
      <c r="AEH3"/>
      <c r="AEI3"/>
      <c r="AEJ3"/>
      <c r="AEK3"/>
      <c r="AEL3"/>
      <c r="AEM3"/>
      <c r="AEN3"/>
      <c r="AEO3"/>
      <c r="AEP3"/>
      <c r="AEQ3"/>
      <c r="AER3"/>
      <c r="AES3"/>
      <c r="AET3"/>
      <c r="AEU3"/>
      <c r="AEV3"/>
      <c r="AEW3"/>
      <c r="AEX3"/>
      <c r="AEY3"/>
      <c r="AEZ3"/>
      <c r="AFA3"/>
      <c r="AFB3"/>
      <c r="AFC3"/>
      <c r="AFD3"/>
      <c r="AFE3"/>
      <c r="AFF3"/>
      <c r="AFG3"/>
      <c r="AFH3"/>
      <c r="AFI3"/>
      <c r="AFJ3"/>
      <c r="AFK3"/>
      <c r="AFL3"/>
      <c r="AFM3"/>
      <c r="AFN3"/>
      <c r="AFO3"/>
      <c r="AFP3"/>
      <c r="AFQ3"/>
      <c r="AFR3"/>
      <c r="AFS3"/>
      <c r="AFT3"/>
      <c r="AFU3"/>
      <c r="AFV3"/>
      <c r="AFW3"/>
      <c r="AFX3"/>
      <c r="AFY3"/>
      <c r="AFZ3"/>
      <c r="AGA3"/>
      <c r="AGB3"/>
      <c r="AGC3"/>
      <c r="AGD3"/>
      <c r="AGE3"/>
      <c r="AGF3"/>
      <c r="AGG3"/>
      <c r="AGH3"/>
      <c r="AGI3"/>
      <c r="AGJ3"/>
      <c r="AGK3"/>
      <c r="AGL3"/>
      <c r="AGM3"/>
      <c r="AGN3"/>
      <c r="AGO3"/>
      <c r="AGP3"/>
      <c r="AGQ3"/>
      <c r="AGR3"/>
      <c r="AGS3"/>
      <c r="AGT3"/>
      <c r="AGU3"/>
      <c r="AGV3"/>
      <c r="AGW3"/>
      <c r="AGX3"/>
      <c r="AGY3"/>
      <c r="AGZ3"/>
      <c r="AHA3"/>
      <c r="AHB3"/>
      <c r="AHC3"/>
      <c r="AHD3"/>
      <c r="AHE3"/>
      <c r="AHF3"/>
      <c r="AHG3"/>
      <c r="AHH3"/>
      <c r="AHI3"/>
      <c r="AHJ3"/>
      <c r="AHK3"/>
      <c r="AHL3"/>
      <c r="AHM3"/>
      <c r="AHN3"/>
      <c r="AHO3"/>
      <c r="AHP3"/>
      <c r="AHQ3"/>
      <c r="AHR3"/>
      <c r="AHS3"/>
      <c r="AHT3"/>
      <c r="AHU3"/>
      <c r="AHV3"/>
      <c r="AHW3"/>
      <c r="AHX3"/>
      <c r="AHY3"/>
      <c r="AHZ3"/>
      <c r="AIA3"/>
      <c r="AIB3"/>
      <c r="AIC3"/>
      <c r="AID3"/>
      <c r="AIE3"/>
      <c r="AIF3"/>
      <c r="AIG3"/>
      <c r="AIH3"/>
      <c r="AII3"/>
      <c r="AIJ3"/>
      <c r="AIK3"/>
      <c r="AIL3"/>
      <c r="AIM3"/>
      <c r="AIN3"/>
      <c r="AIO3"/>
      <c r="AIP3"/>
      <c r="AIQ3"/>
      <c r="AIR3"/>
      <c r="AIS3"/>
      <c r="AIT3"/>
      <c r="AIU3"/>
      <c r="AIV3"/>
      <c r="AIW3"/>
      <c r="AIX3"/>
      <c r="AIY3"/>
      <c r="AIZ3"/>
      <c r="AJA3"/>
      <c r="AJB3"/>
      <c r="AJC3"/>
      <c r="AJD3"/>
      <c r="AJE3"/>
      <c r="AJF3"/>
      <c r="AJG3"/>
      <c r="AJH3"/>
      <c r="AJI3"/>
      <c r="AJJ3"/>
      <c r="AJK3"/>
      <c r="AJL3"/>
      <c r="AJM3"/>
      <c r="AJN3"/>
      <c r="AJO3"/>
      <c r="AJP3"/>
      <c r="AJQ3"/>
      <c r="AJR3"/>
      <c r="AJS3"/>
      <c r="AJT3"/>
      <c r="AJU3"/>
      <c r="AJV3"/>
      <c r="AJW3"/>
      <c r="AJX3"/>
      <c r="AJY3"/>
      <c r="AJZ3"/>
      <c r="AKA3"/>
      <c r="AKB3"/>
      <c r="AKC3"/>
      <c r="AKD3"/>
      <c r="AKE3"/>
      <c r="AKF3"/>
      <c r="AKG3"/>
      <c r="AKH3"/>
      <c r="AKI3"/>
      <c r="AKJ3"/>
      <c r="AKK3"/>
      <c r="AKL3"/>
      <c r="AKM3"/>
      <c r="AKN3"/>
      <c r="AKO3"/>
      <c r="AKP3"/>
      <c r="AKQ3"/>
      <c r="AKR3"/>
      <c r="AKS3"/>
      <c r="AKT3"/>
      <c r="AKU3"/>
      <c r="AKV3"/>
      <c r="AKW3"/>
      <c r="AKX3"/>
      <c r="AKY3"/>
      <c r="AKZ3"/>
      <c r="ALA3"/>
      <c r="ALB3"/>
      <c r="ALC3"/>
      <c r="ALD3"/>
      <c r="ALE3"/>
      <c r="ALF3"/>
      <c r="ALG3"/>
      <c r="ALH3"/>
      <c r="ALI3"/>
      <c r="ALJ3"/>
      <c r="ALK3"/>
      <c r="ALL3"/>
      <c r="ALM3"/>
      <c r="ALN3"/>
      <c r="ALO3"/>
      <c r="ALP3"/>
      <c r="ALQ3"/>
      <c r="ALR3"/>
      <c r="ALS3"/>
      <c r="ALT3"/>
      <c r="ALU3"/>
      <c r="ALV3"/>
      <c r="ALW3"/>
      <c r="ALX3"/>
      <c r="ALY3"/>
      <c r="ALZ3"/>
    </row>
    <row r="4" spans="1:1014" ht="24.75" customHeight="1" x14ac:dyDescent="0.25">
      <c r="A4" s="14" t="s">
        <v>73</v>
      </c>
      <c r="B4" s="23" t="s">
        <v>66</v>
      </c>
      <c r="C4" s="15" t="s">
        <v>69</v>
      </c>
      <c r="D4" s="16">
        <v>43</v>
      </c>
      <c r="E4" s="15" t="s">
        <v>33</v>
      </c>
      <c r="F4" s="15">
        <v>58</v>
      </c>
      <c r="G4" s="15" t="s">
        <v>70</v>
      </c>
      <c r="H4" s="15" t="s">
        <v>45</v>
      </c>
      <c r="I4" s="18">
        <v>51</v>
      </c>
      <c r="J4" s="18">
        <v>58</v>
      </c>
      <c r="K4" s="18">
        <v>22</v>
      </c>
      <c r="L4" s="18">
        <v>16</v>
      </c>
      <c r="M4" s="18">
        <v>125</v>
      </c>
      <c r="N4" s="18">
        <v>124</v>
      </c>
      <c r="O4" s="18">
        <v>136</v>
      </c>
      <c r="P4" s="18">
        <v>76</v>
      </c>
      <c r="Q4" s="18">
        <v>46</v>
      </c>
      <c r="R4" s="18">
        <v>51</v>
      </c>
      <c r="S4" s="18">
        <v>59</v>
      </c>
      <c r="T4" s="18">
        <v>21</v>
      </c>
      <c r="U4" s="18">
        <v>13</v>
      </c>
      <c r="V4" s="18">
        <v>32</v>
      </c>
      <c r="W4" s="18">
        <v>30</v>
      </c>
      <c r="X4" s="18">
        <v>32</v>
      </c>
      <c r="Y4" s="18">
        <v>75</v>
      </c>
      <c r="Z4" s="18">
        <v>46</v>
      </c>
      <c r="AA4" s="18">
        <v>51</v>
      </c>
      <c r="AB4" s="18">
        <v>25</v>
      </c>
      <c r="AC4" s="18">
        <v>21</v>
      </c>
      <c r="AD4" s="18">
        <v>32</v>
      </c>
      <c r="AE4" s="18">
        <v>30</v>
      </c>
      <c r="AF4" s="18">
        <v>32</v>
      </c>
      <c r="AG4" s="18">
        <v>76</v>
      </c>
      <c r="AH4" s="18">
        <v>46</v>
      </c>
      <c r="AI4" s="18">
        <v>113</v>
      </c>
      <c r="AJ4" s="18">
        <v>133</v>
      </c>
      <c r="AK4" s="18">
        <v>78</v>
      </c>
      <c r="AL4" s="18">
        <v>40</v>
      </c>
      <c r="AM4" s="18">
        <v>29</v>
      </c>
      <c r="AN4" s="18">
        <v>23</v>
      </c>
      <c r="AO4" s="18">
        <v>96</v>
      </c>
      <c r="AP4" s="2">
        <v>1</v>
      </c>
      <c r="AQ4" t="s">
        <v>77</v>
      </c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  <c r="IN4"/>
      <c r="IO4"/>
      <c r="IP4"/>
      <c r="IQ4"/>
      <c r="IR4"/>
      <c r="IS4"/>
      <c r="IT4"/>
      <c r="IU4"/>
      <c r="IV4"/>
      <c r="IW4"/>
      <c r="IX4"/>
      <c r="IY4"/>
      <c r="IZ4"/>
      <c r="JA4"/>
      <c r="JB4"/>
      <c r="JC4"/>
      <c r="JD4"/>
      <c r="JE4"/>
      <c r="JF4"/>
      <c r="JG4"/>
      <c r="JH4"/>
      <c r="JI4"/>
      <c r="JJ4"/>
      <c r="JK4"/>
      <c r="JL4"/>
      <c r="JM4"/>
      <c r="JN4"/>
      <c r="JO4"/>
      <c r="JP4"/>
      <c r="JQ4"/>
      <c r="JR4"/>
      <c r="JS4"/>
      <c r="JT4"/>
      <c r="JU4"/>
      <c r="JV4"/>
      <c r="JW4"/>
      <c r="JX4"/>
      <c r="JY4"/>
      <c r="JZ4"/>
      <c r="KA4"/>
      <c r="KB4"/>
      <c r="KC4"/>
      <c r="KD4"/>
      <c r="KE4"/>
      <c r="KF4"/>
      <c r="KG4"/>
      <c r="KH4"/>
      <c r="KI4"/>
      <c r="KJ4"/>
      <c r="KK4"/>
      <c r="KL4"/>
      <c r="KM4"/>
      <c r="KN4"/>
      <c r="KO4"/>
      <c r="KP4"/>
      <c r="KQ4"/>
      <c r="KR4"/>
      <c r="KS4"/>
      <c r="KT4"/>
      <c r="KU4"/>
      <c r="KV4"/>
      <c r="KW4"/>
      <c r="KX4"/>
      <c r="KY4"/>
      <c r="KZ4"/>
      <c r="LA4"/>
      <c r="LB4"/>
      <c r="LC4"/>
      <c r="LD4"/>
      <c r="LE4"/>
      <c r="LF4"/>
      <c r="LG4"/>
      <c r="LH4"/>
      <c r="LI4"/>
      <c r="LJ4"/>
      <c r="LK4"/>
      <c r="LL4"/>
      <c r="LM4"/>
      <c r="LN4"/>
      <c r="LO4"/>
      <c r="LP4"/>
      <c r="LQ4"/>
      <c r="LR4"/>
      <c r="LS4"/>
      <c r="LT4"/>
      <c r="LU4"/>
      <c r="LV4"/>
      <c r="LW4"/>
      <c r="LX4"/>
      <c r="LY4"/>
      <c r="LZ4"/>
      <c r="MA4"/>
      <c r="MB4"/>
      <c r="MC4"/>
      <c r="MD4"/>
      <c r="ME4"/>
      <c r="MF4"/>
      <c r="MG4"/>
      <c r="MH4"/>
      <c r="MI4"/>
      <c r="MJ4"/>
      <c r="MK4"/>
      <c r="ML4"/>
      <c r="MM4"/>
      <c r="MN4"/>
      <c r="MO4"/>
      <c r="MP4"/>
      <c r="MQ4"/>
      <c r="MR4"/>
      <c r="MS4"/>
      <c r="MT4"/>
      <c r="MU4"/>
      <c r="MV4"/>
      <c r="MW4"/>
      <c r="MX4"/>
      <c r="MY4"/>
      <c r="MZ4"/>
      <c r="NA4"/>
      <c r="NB4"/>
      <c r="NC4"/>
      <c r="ND4"/>
      <c r="NE4"/>
      <c r="NF4"/>
      <c r="NG4"/>
      <c r="NH4"/>
      <c r="NI4"/>
      <c r="NJ4"/>
      <c r="NK4"/>
      <c r="NL4"/>
      <c r="NM4"/>
      <c r="NN4"/>
      <c r="NO4"/>
      <c r="NP4"/>
      <c r="NQ4"/>
      <c r="NR4"/>
      <c r="NS4"/>
      <c r="NT4"/>
      <c r="NU4"/>
      <c r="NV4"/>
      <c r="NW4"/>
      <c r="NX4"/>
      <c r="NY4"/>
      <c r="NZ4"/>
      <c r="OA4"/>
      <c r="OB4"/>
      <c r="OC4"/>
      <c r="OD4"/>
      <c r="OE4"/>
      <c r="OF4"/>
      <c r="OG4"/>
      <c r="OH4"/>
      <c r="OI4"/>
      <c r="OJ4"/>
      <c r="OK4"/>
      <c r="OL4"/>
      <c r="OM4"/>
      <c r="ON4"/>
      <c r="OO4"/>
      <c r="OP4"/>
      <c r="OQ4"/>
      <c r="OR4"/>
      <c r="OS4"/>
      <c r="OT4"/>
      <c r="OU4"/>
      <c r="OV4"/>
      <c r="OW4"/>
      <c r="OX4"/>
      <c r="OY4"/>
      <c r="OZ4"/>
      <c r="PA4"/>
      <c r="PB4"/>
      <c r="PC4"/>
      <c r="PD4"/>
      <c r="PE4"/>
      <c r="PF4"/>
      <c r="PG4"/>
      <c r="PH4"/>
      <c r="PI4"/>
      <c r="PJ4"/>
      <c r="PK4"/>
      <c r="PL4"/>
      <c r="PM4"/>
      <c r="PN4"/>
      <c r="PO4"/>
      <c r="PP4"/>
      <c r="PQ4"/>
      <c r="PR4"/>
      <c r="PS4"/>
      <c r="PT4"/>
      <c r="PU4"/>
      <c r="PV4"/>
      <c r="PW4"/>
      <c r="PX4"/>
      <c r="PY4"/>
      <c r="PZ4"/>
      <c r="QA4"/>
      <c r="QB4"/>
      <c r="QC4"/>
      <c r="QD4"/>
      <c r="QE4"/>
      <c r="QF4"/>
      <c r="QG4"/>
      <c r="QH4"/>
      <c r="QI4"/>
      <c r="QJ4"/>
      <c r="QK4"/>
      <c r="QL4"/>
      <c r="QM4"/>
      <c r="QN4"/>
      <c r="QO4"/>
      <c r="QP4"/>
      <c r="QQ4"/>
      <c r="QR4"/>
      <c r="QS4"/>
      <c r="QT4"/>
      <c r="QU4"/>
      <c r="QV4"/>
      <c r="QW4"/>
      <c r="QX4"/>
      <c r="QY4"/>
      <c r="QZ4"/>
      <c r="RA4"/>
      <c r="RB4"/>
      <c r="RC4"/>
      <c r="RD4"/>
      <c r="RE4"/>
      <c r="RF4"/>
      <c r="RG4"/>
      <c r="RH4"/>
      <c r="RI4"/>
      <c r="RJ4"/>
      <c r="RK4"/>
      <c r="RL4"/>
      <c r="RM4"/>
      <c r="RN4"/>
      <c r="RO4"/>
      <c r="RP4"/>
      <c r="RQ4"/>
      <c r="RR4"/>
      <c r="RS4"/>
      <c r="RT4"/>
      <c r="RU4"/>
      <c r="RV4"/>
      <c r="RW4"/>
      <c r="RX4"/>
      <c r="RY4"/>
      <c r="RZ4"/>
      <c r="SA4"/>
      <c r="SB4"/>
      <c r="SC4"/>
      <c r="SD4"/>
      <c r="SE4"/>
      <c r="SF4"/>
      <c r="SG4"/>
      <c r="SH4"/>
      <c r="SI4"/>
      <c r="SJ4"/>
      <c r="SK4"/>
      <c r="SL4"/>
      <c r="SM4"/>
      <c r="SN4"/>
      <c r="SO4"/>
      <c r="SP4"/>
      <c r="SQ4"/>
      <c r="SR4"/>
      <c r="SS4"/>
      <c r="ST4"/>
      <c r="SU4"/>
      <c r="SV4"/>
      <c r="SW4"/>
      <c r="SX4"/>
      <c r="SY4"/>
      <c r="SZ4"/>
      <c r="TA4"/>
      <c r="TB4"/>
      <c r="TC4"/>
      <c r="TD4"/>
      <c r="TE4"/>
      <c r="TF4"/>
      <c r="TG4"/>
      <c r="TH4"/>
      <c r="TI4"/>
      <c r="TJ4"/>
      <c r="TK4"/>
      <c r="TL4"/>
      <c r="TM4"/>
      <c r="TN4"/>
      <c r="TO4"/>
      <c r="TP4"/>
      <c r="TQ4"/>
      <c r="TR4"/>
      <c r="TS4"/>
      <c r="TT4"/>
      <c r="TU4"/>
      <c r="TV4"/>
      <c r="TW4"/>
      <c r="TX4"/>
      <c r="TY4"/>
      <c r="TZ4"/>
      <c r="UA4"/>
      <c r="UB4"/>
      <c r="UC4"/>
      <c r="UD4"/>
      <c r="UE4"/>
      <c r="UF4"/>
      <c r="UG4"/>
      <c r="UH4"/>
      <c r="UI4"/>
      <c r="UJ4"/>
      <c r="UK4"/>
      <c r="UL4"/>
      <c r="UM4"/>
      <c r="UN4"/>
      <c r="UO4"/>
      <c r="UP4"/>
      <c r="UQ4"/>
      <c r="UR4"/>
      <c r="US4"/>
      <c r="UT4"/>
      <c r="UU4"/>
      <c r="UV4"/>
      <c r="UW4"/>
      <c r="UX4"/>
      <c r="UY4"/>
      <c r="UZ4"/>
      <c r="VA4"/>
      <c r="VB4"/>
      <c r="VC4"/>
      <c r="VD4"/>
      <c r="VE4"/>
      <c r="VF4"/>
      <c r="VG4"/>
      <c r="VH4"/>
      <c r="VI4"/>
      <c r="VJ4"/>
      <c r="VK4"/>
      <c r="VL4"/>
      <c r="VM4"/>
      <c r="VN4"/>
      <c r="VO4"/>
      <c r="VP4"/>
      <c r="VQ4"/>
      <c r="VR4"/>
      <c r="VS4"/>
      <c r="VT4"/>
      <c r="VU4"/>
      <c r="VV4"/>
      <c r="VW4"/>
      <c r="VX4"/>
      <c r="VY4"/>
      <c r="VZ4"/>
      <c r="WA4"/>
      <c r="WB4"/>
      <c r="WC4"/>
      <c r="WD4"/>
      <c r="WE4"/>
      <c r="WF4"/>
      <c r="WG4"/>
      <c r="WH4"/>
      <c r="WI4"/>
      <c r="WJ4"/>
      <c r="WK4"/>
      <c r="WL4"/>
      <c r="WM4"/>
      <c r="WN4"/>
      <c r="WO4"/>
      <c r="WP4"/>
      <c r="WQ4"/>
      <c r="WR4"/>
      <c r="WS4"/>
      <c r="WT4"/>
      <c r="WU4"/>
      <c r="WV4"/>
      <c r="WW4"/>
      <c r="WX4"/>
      <c r="WY4"/>
      <c r="WZ4"/>
      <c r="XA4"/>
      <c r="XB4"/>
      <c r="XC4"/>
      <c r="XD4"/>
      <c r="XE4"/>
      <c r="XF4"/>
      <c r="XG4"/>
      <c r="XH4"/>
      <c r="XI4"/>
      <c r="XJ4"/>
      <c r="XK4"/>
      <c r="XL4"/>
      <c r="XM4"/>
      <c r="XN4"/>
      <c r="XO4"/>
      <c r="XP4"/>
      <c r="XQ4"/>
      <c r="XR4"/>
      <c r="XS4"/>
      <c r="XT4"/>
      <c r="XU4"/>
      <c r="XV4"/>
      <c r="XW4"/>
      <c r="XX4"/>
      <c r="XY4"/>
      <c r="XZ4"/>
      <c r="YA4"/>
      <c r="YB4"/>
      <c r="YC4"/>
      <c r="YD4"/>
      <c r="YE4"/>
      <c r="YF4"/>
      <c r="YG4"/>
      <c r="YH4"/>
      <c r="YI4"/>
      <c r="YJ4"/>
      <c r="YK4"/>
      <c r="YL4"/>
      <c r="YM4"/>
      <c r="YN4"/>
      <c r="YO4"/>
      <c r="YP4"/>
      <c r="YQ4"/>
      <c r="YR4"/>
      <c r="YS4"/>
      <c r="YT4"/>
      <c r="YU4"/>
      <c r="YV4"/>
      <c r="YW4"/>
      <c r="YX4"/>
      <c r="YY4"/>
      <c r="YZ4"/>
      <c r="ZA4"/>
      <c r="ZB4"/>
      <c r="ZC4"/>
      <c r="ZD4"/>
      <c r="ZE4"/>
      <c r="ZF4"/>
      <c r="ZG4"/>
      <c r="ZH4"/>
      <c r="ZI4"/>
      <c r="ZJ4"/>
      <c r="ZK4"/>
      <c r="ZL4"/>
      <c r="ZM4"/>
      <c r="ZN4"/>
      <c r="ZO4"/>
      <c r="ZP4"/>
      <c r="ZQ4"/>
      <c r="ZR4"/>
      <c r="ZS4"/>
      <c r="ZT4"/>
      <c r="ZU4"/>
      <c r="ZV4"/>
      <c r="ZW4"/>
      <c r="ZX4"/>
      <c r="ZY4"/>
      <c r="ZZ4"/>
      <c r="AAA4"/>
      <c r="AAB4"/>
      <c r="AAC4"/>
      <c r="AAD4"/>
      <c r="AAE4"/>
      <c r="AAF4"/>
      <c r="AAG4"/>
      <c r="AAH4"/>
      <c r="AAI4"/>
      <c r="AAJ4"/>
      <c r="AAK4"/>
      <c r="AAL4"/>
      <c r="AAM4"/>
      <c r="AAN4"/>
      <c r="AAO4"/>
      <c r="AAP4"/>
      <c r="AAQ4"/>
      <c r="AAR4"/>
      <c r="AAS4"/>
      <c r="AAT4"/>
      <c r="AAU4"/>
      <c r="AAV4"/>
      <c r="AAW4"/>
      <c r="AAX4"/>
      <c r="AAY4"/>
      <c r="AAZ4"/>
      <c r="ABA4"/>
      <c r="ABB4"/>
      <c r="ABC4"/>
      <c r="ABD4"/>
      <c r="ABE4"/>
      <c r="ABF4"/>
      <c r="ABG4"/>
      <c r="ABH4"/>
      <c r="ABI4"/>
      <c r="ABJ4"/>
      <c r="ABK4"/>
      <c r="ABL4"/>
      <c r="ABM4"/>
      <c r="ABN4"/>
      <c r="ABO4"/>
      <c r="ABP4"/>
      <c r="ABQ4"/>
      <c r="ABR4"/>
      <c r="ABS4"/>
      <c r="ABT4"/>
      <c r="ABU4"/>
      <c r="ABV4"/>
      <c r="ABW4"/>
      <c r="ABX4"/>
      <c r="ABY4"/>
      <c r="ABZ4"/>
      <c r="ACA4"/>
      <c r="ACB4"/>
      <c r="ACC4"/>
      <c r="ACD4"/>
      <c r="ACE4"/>
      <c r="ACF4"/>
      <c r="ACG4"/>
      <c r="ACH4"/>
      <c r="ACI4"/>
      <c r="ACJ4"/>
      <c r="ACK4"/>
      <c r="ACL4"/>
      <c r="ACM4"/>
      <c r="ACN4"/>
      <c r="ACO4"/>
      <c r="ACP4"/>
      <c r="ACQ4"/>
      <c r="ACR4"/>
      <c r="ACS4"/>
      <c r="ACT4"/>
      <c r="ACU4"/>
      <c r="ACV4"/>
      <c r="ACW4"/>
      <c r="ACX4"/>
      <c r="ACY4"/>
      <c r="ACZ4"/>
      <c r="ADA4"/>
      <c r="ADB4"/>
      <c r="ADC4"/>
      <c r="ADD4"/>
      <c r="ADE4"/>
      <c r="ADF4"/>
      <c r="ADG4"/>
      <c r="ADH4"/>
      <c r="ADI4"/>
      <c r="ADJ4"/>
      <c r="ADK4"/>
      <c r="ADL4"/>
      <c r="ADM4"/>
      <c r="ADN4"/>
      <c r="ADO4"/>
      <c r="ADP4"/>
      <c r="ADQ4"/>
      <c r="ADR4"/>
      <c r="ADS4"/>
      <c r="ADT4"/>
      <c r="ADU4"/>
      <c r="ADV4"/>
      <c r="ADW4"/>
      <c r="ADX4"/>
      <c r="ADY4"/>
      <c r="ADZ4"/>
      <c r="AEA4"/>
      <c r="AEB4"/>
      <c r="AEC4"/>
      <c r="AED4"/>
      <c r="AEE4"/>
      <c r="AEF4"/>
      <c r="AEG4"/>
      <c r="AEH4"/>
      <c r="AEI4"/>
      <c r="AEJ4"/>
      <c r="AEK4"/>
      <c r="AEL4"/>
      <c r="AEM4"/>
      <c r="AEN4"/>
      <c r="AEO4"/>
      <c r="AEP4"/>
      <c r="AEQ4"/>
      <c r="AER4"/>
      <c r="AES4"/>
      <c r="AET4"/>
      <c r="AEU4"/>
      <c r="AEV4"/>
      <c r="AEW4"/>
      <c r="AEX4"/>
      <c r="AEY4"/>
      <c r="AEZ4"/>
      <c r="AFA4"/>
      <c r="AFB4"/>
      <c r="AFC4"/>
      <c r="AFD4"/>
      <c r="AFE4"/>
      <c r="AFF4"/>
      <c r="AFG4"/>
      <c r="AFH4"/>
      <c r="AFI4"/>
      <c r="AFJ4"/>
      <c r="AFK4"/>
      <c r="AFL4"/>
      <c r="AFM4"/>
      <c r="AFN4"/>
      <c r="AFO4"/>
      <c r="AFP4"/>
      <c r="AFQ4"/>
      <c r="AFR4"/>
      <c r="AFS4"/>
      <c r="AFT4"/>
      <c r="AFU4"/>
      <c r="AFV4"/>
      <c r="AFW4"/>
      <c r="AFX4"/>
      <c r="AFY4"/>
      <c r="AFZ4"/>
      <c r="AGA4"/>
      <c r="AGB4"/>
      <c r="AGC4"/>
      <c r="AGD4"/>
      <c r="AGE4"/>
      <c r="AGF4"/>
      <c r="AGG4"/>
      <c r="AGH4"/>
      <c r="AGI4"/>
      <c r="AGJ4"/>
      <c r="AGK4"/>
      <c r="AGL4"/>
      <c r="AGM4"/>
      <c r="AGN4"/>
      <c r="AGO4"/>
      <c r="AGP4"/>
      <c r="AGQ4"/>
      <c r="AGR4"/>
      <c r="AGS4"/>
      <c r="AGT4"/>
      <c r="AGU4"/>
      <c r="AGV4"/>
      <c r="AGW4"/>
      <c r="AGX4"/>
      <c r="AGY4"/>
      <c r="AGZ4"/>
      <c r="AHA4"/>
      <c r="AHB4"/>
      <c r="AHC4"/>
      <c r="AHD4"/>
      <c r="AHE4"/>
      <c r="AHF4"/>
      <c r="AHG4"/>
      <c r="AHH4"/>
      <c r="AHI4"/>
      <c r="AHJ4"/>
      <c r="AHK4"/>
      <c r="AHL4"/>
      <c r="AHM4"/>
      <c r="AHN4"/>
      <c r="AHO4"/>
      <c r="AHP4"/>
      <c r="AHQ4"/>
      <c r="AHR4"/>
      <c r="AHS4"/>
      <c r="AHT4"/>
      <c r="AHU4"/>
      <c r="AHV4"/>
      <c r="AHW4"/>
      <c r="AHX4"/>
      <c r="AHY4"/>
      <c r="AHZ4"/>
      <c r="AIA4"/>
      <c r="AIB4"/>
      <c r="AIC4"/>
      <c r="AID4"/>
      <c r="AIE4"/>
      <c r="AIF4"/>
      <c r="AIG4"/>
      <c r="AIH4"/>
      <c r="AII4"/>
      <c r="AIJ4"/>
      <c r="AIK4"/>
      <c r="AIL4"/>
      <c r="AIM4"/>
      <c r="AIN4"/>
      <c r="AIO4"/>
      <c r="AIP4"/>
      <c r="AIQ4"/>
      <c r="AIR4"/>
      <c r="AIS4"/>
      <c r="AIT4"/>
      <c r="AIU4"/>
      <c r="AIV4"/>
      <c r="AIW4"/>
      <c r="AIX4"/>
      <c r="AIY4"/>
      <c r="AIZ4"/>
      <c r="AJA4"/>
      <c r="AJB4"/>
      <c r="AJC4"/>
      <c r="AJD4"/>
      <c r="AJE4"/>
      <c r="AJF4"/>
      <c r="AJG4"/>
      <c r="AJH4"/>
      <c r="AJI4"/>
      <c r="AJJ4"/>
      <c r="AJK4"/>
      <c r="AJL4"/>
      <c r="AJM4"/>
      <c r="AJN4"/>
      <c r="AJO4"/>
      <c r="AJP4"/>
      <c r="AJQ4"/>
      <c r="AJR4"/>
      <c r="AJS4"/>
      <c r="AJT4"/>
      <c r="AJU4"/>
      <c r="AJV4"/>
      <c r="AJW4"/>
      <c r="AJX4"/>
      <c r="AJY4"/>
      <c r="AJZ4"/>
      <c r="AKA4"/>
      <c r="AKB4"/>
      <c r="AKC4"/>
      <c r="AKD4"/>
      <c r="AKE4"/>
      <c r="AKF4"/>
      <c r="AKG4"/>
      <c r="AKH4"/>
      <c r="AKI4"/>
      <c r="AKJ4"/>
      <c r="AKK4"/>
      <c r="AKL4"/>
      <c r="AKM4"/>
      <c r="AKN4"/>
      <c r="AKO4"/>
      <c r="AKP4"/>
      <c r="AKQ4"/>
      <c r="AKR4"/>
      <c r="AKS4"/>
      <c r="AKT4"/>
      <c r="AKU4"/>
      <c r="AKV4"/>
      <c r="AKW4"/>
      <c r="AKX4"/>
      <c r="AKY4"/>
      <c r="AKZ4"/>
      <c r="ALA4"/>
      <c r="ALB4"/>
      <c r="ALC4"/>
      <c r="ALD4"/>
      <c r="ALE4"/>
      <c r="ALF4"/>
      <c r="ALG4"/>
      <c r="ALH4"/>
      <c r="ALI4"/>
      <c r="ALJ4"/>
      <c r="ALK4"/>
      <c r="ALL4"/>
      <c r="ALM4"/>
      <c r="ALN4"/>
      <c r="ALO4"/>
      <c r="ALP4"/>
      <c r="ALQ4"/>
      <c r="ALR4"/>
      <c r="ALS4"/>
      <c r="ALT4"/>
      <c r="ALU4"/>
      <c r="ALV4"/>
      <c r="ALW4"/>
      <c r="ALX4"/>
      <c r="ALY4"/>
      <c r="ALZ4"/>
    </row>
    <row r="5" spans="1:1014" ht="24.75" customHeight="1" x14ac:dyDescent="0.25">
      <c r="A5" s="14" t="s">
        <v>74</v>
      </c>
      <c r="B5" s="23" t="s">
        <v>67</v>
      </c>
      <c r="C5" s="15" t="s">
        <v>69</v>
      </c>
      <c r="D5" s="16">
        <v>41</v>
      </c>
      <c r="E5" s="15" t="s">
        <v>32</v>
      </c>
      <c r="F5" s="15">
        <v>56</v>
      </c>
      <c r="G5" s="15" t="s">
        <v>70</v>
      </c>
      <c r="H5" s="15" t="s">
        <v>45</v>
      </c>
      <c r="I5" s="18">
        <v>45</v>
      </c>
      <c r="J5" s="18">
        <v>57</v>
      </c>
      <c r="K5" s="18">
        <v>19</v>
      </c>
      <c r="L5" s="18">
        <v>14</v>
      </c>
      <c r="M5" s="18">
        <v>104</v>
      </c>
      <c r="N5" s="18">
        <v>100</v>
      </c>
      <c r="O5" s="18">
        <v>108</v>
      </c>
      <c r="P5" s="18">
        <v>71</v>
      </c>
      <c r="Q5" s="18">
        <v>39</v>
      </c>
      <c r="R5" s="18">
        <v>45</v>
      </c>
      <c r="S5" s="18">
        <v>58</v>
      </c>
      <c r="T5" s="18">
        <v>17</v>
      </c>
      <c r="U5" s="18">
        <v>13</v>
      </c>
      <c r="V5" s="18">
        <v>29</v>
      </c>
      <c r="W5" s="18">
        <v>27</v>
      </c>
      <c r="X5" s="18">
        <v>29</v>
      </c>
      <c r="Y5" s="18">
        <v>70</v>
      </c>
      <c r="Z5" s="18">
        <v>39</v>
      </c>
      <c r="AA5" s="18">
        <v>45</v>
      </c>
      <c r="AB5" s="18">
        <v>26</v>
      </c>
      <c r="AC5" s="18">
        <v>18</v>
      </c>
      <c r="AD5" s="18">
        <v>29</v>
      </c>
      <c r="AE5" s="18">
        <v>27</v>
      </c>
      <c r="AF5" s="18">
        <v>29</v>
      </c>
      <c r="AG5" s="18">
        <v>70</v>
      </c>
      <c r="AH5" s="18">
        <v>39</v>
      </c>
      <c r="AI5" s="18">
        <v>93</v>
      </c>
      <c r="AJ5" s="18">
        <v>106</v>
      </c>
      <c r="AK5" s="18">
        <v>69</v>
      </c>
      <c r="AL5" s="18">
        <v>34</v>
      </c>
      <c r="AM5" s="18">
        <v>26</v>
      </c>
      <c r="AN5" s="18">
        <v>20</v>
      </c>
      <c r="AO5" s="18">
        <v>99</v>
      </c>
      <c r="AP5" s="2">
        <v>1</v>
      </c>
      <c r="AQ5" t="s">
        <v>77</v>
      </c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  <c r="HB5"/>
      <c r="HC5"/>
      <c r="HD5"/>
      <c r="HE5"/>
      <c r="HF5"/>
      <c r="HG5"/>
      <c r="HH5"/>
      <c r="HI5"/>
      <c r="HJ5"/>
      <c r="HK5"/>
      <c r="HL5"/>
      <c r="HM5"/>
      <c r="HN5"/>
      <c r="HO5"/>
      <c r="HP5"/>
      <c r="HQ5"/>
      <c r="HR5"/>
      <c r="HS5"/>
      <c r="HT5"/>
      <c r="HU5"/>
      <c r="HV5"/>
      <c r="HW5"/>
      <c r="HX5"/>
      <c r="HY5"/>
      <c r="HZ5"/>
      <c r="IA5"/>
      <c r="IB5"/>
      <c r="IC5"/>
      <c r="ID5"/>
      <c r="IE5"/>
      <c r="IF5"/>
      <c r="IG5"/>
      <c r="IH5"/>
      <c r="II5"/>
      <c r="IJ5"/>
      <c r="IK5"/>
      <c r="IL5"/>
      <c r="IM5"/>
      <c r="IN5"/>
      <c r="IO5"/>
      <c r="IP5"/>
      <c r="IQ5"/>
      <c r="IR5"/>
      <c r="IS5"/>
      <c r="IT5"/>
      <c r="IU5"/>
      <c r="IV5"/>
      <c r="IW5"/>
      <c r="IX5"/>
      <c r="IY5"/>
      <c r="IZ5"/>
      <c r="JA5"/>
      <c r="JB5"/>
      <c r="JC5"/>
      <c r="JD5"/>
      <c r="JE5"/>
      <c r="JF5"/>
      <c r="JG5"/>
      <c r="JH5"/>
      <c r="JI5"/>
      <c r="JJ5"/>
      <c r="JK5"/>
      <c r="JL5"/>
      <c r="JM5"/>
      <c r="JN5"/>
      <c r="JO5"/>
      <c r="JP5"/>
      <c r="JQ5"/>
      <c r="JR5"/>
      <c r="JS5"/>
      <c r="JT5"/>
      <c r="JU5"/>
      <c r="JV5"/>
      <c r="JW5"/>
      <c r="JX5"/>
      <c r="JY5"/>
      <c r="JZ5"/>
      <c r="KA5"/>
      <c r="KB5"/>
      <c r="KC5"/>
      <c r="KD5"/>
      <c r="KE5"/>
      <c r="KF5"/>
      <c r="KG5"/>
      <c r="KH5"/>
      <c r="KI5"/>
      <c r="KJ5"/>
      <c r="KK5"/>
      <c r="KL5"/>
      <c r="KM5"/>
      <c r="KN5"/>
      <c r="KO5"/>
      <c r="KP5"/>
      <c r="KQ5"/>
      <c r="KR5"/>
      <c r="KS5"/>
      <c r="KT5"/>
      <c r="KU5"/>
      <c r="KV5"/>
      <c r="KW5"/>
      <c r="KX5"/>
      <c r="KY5"/>
      <c r="KZ5"/>
      <c r="LA5"/>
      <c r="LB5"/>
      <c r="LC5"/>
      <c r="LD5"/>
      <c r="LE5"/>
      <c r="LF5"/>
      <c r="LG5"/>
      <c r="LH5"/>
      <c r="LI5"/>
      <c r="LJ5"/>
      <c r="LK5"/>
      <c r="LL5"/>
      <c r="LM5"/>
      <c r="LN5"/>
      <c r="LO5"/>
      <c r="LP5"/>
      <c r="LQ5"/>
      <c r="LR5"/>
      <c r="LS5"/>
      <c r="LT5"/>
      <c r="LU5"/>
      <c r="LV5"/>
      <c r="LW5"/>
      <c r="LX5"/>
      <c r="LY5"/>
      <c r="LZ5"/>
      <c r="MA5"/>
      <c r="MB5"/>
      <c r="MC5"/>
      <c r="MD5"/>
      <c r="ME5"/>
      <c r="MF5"/>
      <c r="MG5"/>
      <c r="MH5"/>
      <c r="MI5"/>
      <c r="MJ5"/>
      <c r="MK5"/>
      <c r="ML5"/>
      <c r="MM5"/>
      <c r="MN5"/>
      <c r="MO5"/>
      <c r="MP5"/>
      <c r="MQ5"/>
      <c r="MR5"/>
      <c r="MS5"/>
      <c r="MT5"/>
      <c r="MU5"/>
      <c r="MV5"/>
      <c r="MW5"/>
      <c r="MX5"/>
      <c r="MY5"/>
      <c r="MZ5"/>
      <c r="NA5"/>
      <c r="NB5"/>
      <c r="NC5"/>
      <c r="ND5"/>
      <c r="NE5"/>
      <c r="NF5"/>
      <c r="NG5"/>
      <c r="NH5"/>
      <c r="NI5"/>
      <c r="NJ5"/>
      <c r="NK5"/>
      <c r="NL5"/>
      <c r="NM5"/>
      <c r="NN5"/>
      <c r="NO5"/>
      <c r="NP5"/>
      <c r="NQ5"/>
      <c r="NR5"/>
      <c r="NS5"/>
      <c r="NT5"/>
      <c r="NU5"/>
      <c r="NV5"/>
      <c r="NW5"/>
      <c r="NX5"/>
      <c r="NY5"/>
      <c r="NZ5"/>
      <c r="OA5"/>
      <c r="OB5"/>
      <c r="OC5"/>
      <c r="OD5"/>
      <c r="OE5"/>
      <c r="OF5"/>
      <c r="OG5"/>
      <c r="OH5"/>
      <c r="OI5"/>
      <c r="OJ5"/>
      <c r="OK5"/>
      <c r="OL5"/>
      <c r="OM5"/>
      <c r="ON5"/>
      <c r="OO5"/>
      <c r="OP5"/>
      <c r="OQ5"/>
      <c r="OR5"/>
      <c r="OS5"/>
      <c r="OT5"/>
      <c r="OU5"/>
      <c r="OV5"/>
      <c r="OW5"/>
      <c r="OX5"/>
      <c r="OY5"/>
      <c r="OZ5"/>
      <c r="PA5"/>
      <c r="PB5"/>
      <c r="PC5"/>
      <c r="PD5"/>
      <c r="PE5"/>
      <c r="PF5"/>
      <c r="PG5"/>
      <c r="PH5"/>
      <c r="PI5"/>
      <c r="PJ5"/>
      <c r="PK5"/>
      <c r="PL5"/>
      <c r="PM5"/>
      <c r="PN5"/>
      <c r="PO5"/>
      <c r="PP5"/>
      <c r="PQ5"/>
      <c r="PR5"/>
      <c r="PS5"/>
      <c r="PT5"/>
      <c r="PU5"/>
      <c r="PV5"/>
      <c r="PW5"/>
      <c r="PX5"/>
      <c r="PY5"/>
      <c r="PZ5"/>
      <c r="QA5"/>
      <c r="QB5"/>
      <c r="QC5"/>
      <c r="QD5"/>
      <c r="QE5"/>
      <c r="QF5"/>
      <c r="QG5"/>
      <c r="QH5"/>
      <c r="QI5"/>
      <c r="QJ5"/>
      <c r="QK5"/>
      <c r="QL5"/>
      <c r="QM5"/>
      <c r="QN5"/>
      <c r="QO5"/>
      <c r="QP5"/>
      <c r="QQ5"/>
      <c r="QR5"/>
      <c r="QS5"/>
      <c r="QT5"/>
      <c r="QU5"/>
      <c r="QV5"/>
      <c r="QW5"/>
      <c r="QX5"/>
      <c r="QY5"/>
      <c r="QZ5"/>
      <c r="RA5"/>
      <c r="RB5"/>
      <c r="RC5"/>
      <c r="RD5"/>
      <c r="RE5"/>
      <c r="RF5"/>
      <c r="RG5"/>
      <c r="RH5"/>
      <c r="RI5"/>
      <c r="RJ5"/>
      <c r="RK5"/>
      <c r="RL5"/>
      <c r="RM5"/>
      <c r="RN5"/>
      <c r="RO5"/>
      <c r="RP5"/>
      <c r="RQ5"/>
      <c r="RR5"/>
      <c r="RS5"/>
      <c r="RT5"/>
      <c r="RU5"/>
      <c r="RV5"/>
      <c r="RW5"/>
      <c r="RX5"/>
      <c r="RY5"/>
      <c r="RZ5"/>
      <c r="SA5"/>
      <c r="SB5"/>
      <c r="SC5"/>
      <c r="SD5"/>
      <c r="SE5"/>
      <c r="SF5"/>
      <c r="SG5"/>
      <c r="SH5"/>
      <c r="SI5"/>
      <c r="SJ5"/>
      <c r="SK5"/>
      <c r="SL5"/>
      <c r="SM5"/>
      <c r="SN5"/>
      <c r="SO5"/>
      <c r="SP5"/>
      <c r="SQ5"/>
      <c r="SR5"/>
      <c r="SS5"/>
      <c r="ST5"/>
      <c r="SU5"/>
      <c r="SV5"/>
      <c r="SW5"/>
      <c r="SX5"/>
      <c r="SY5"/>
      <c r="SZ5"/>
      <c r="TA5"/>
      <c r="TB5"/>
      <c r="TC5"/>
      <c r="TD5"/>
      <c r="TE5"/>
      <c r="TF5"/>
      <c r="TG5"/>
      <c r="TH5"/>
      <c r="TI5"/>
      <c r="TJ5"/>
      <c r="TK5"/>
      <c r="TL5"/>
      <c r="TM5"/>
      <c r="TN5"/>
      <c r="TO5"/>
      <c r="TP5"/>
      <c r="TQ5"/>
      <c r="TR5"/>
      <c r="TS5"/>
      <c r="TT5"/>
      <c r="TU5"/>
      <c r="TV5"/>
      <c r="TW5"/>
      <c r="TX5"/>
      <c r="TY5"/>
      <c r="TZ5"/>
      <c r="UA5"/>
      <c r="UB5"/>
      <c r="UC5"/>
      <c r="UD5"/>
      <c r="UE5"/>
      <c r="UF5"/>
      <c r="UG5"/>
      <c r="UH5"/>
      <c r="UI5"/>
      <c r="UJ5"/>
      <c r="UK5"/>
      <c r="UL5"/>
      <c r="UM5"/>
      <c r="UN5"/>
      <c r="UO5"/>
      <c r="UP5"/>
      <c r="UQ5"/>
      <c r="UR5"/>
      <c r="US5"/>
      <c r="UT5"/>
      <c r="UU5"/>
      <c r="UV5"/>
      <c r="UW5"/>
      <c r="UX5"/>
      <c r="UY5"/>
      <c r="UZ5"/>
      <c r="VA5"/>
      <c r="VB5"/>
      <c r="VC5"/>
      <c r="VD5"/>
      <c r="VE5"/>
      <c r="VF5"/>
      <c r="VG5"/>
      <c r="VH5"/>
      <c r="VI5"/>
      <c r="VJ5"/>
      <c r="VK5"/>
      <c r="VL5"/>
      <c r="VM5"/>
      <c r="VN5"/>
      <c r="VO5"/>
      <c r="VP5"/>
      <c r="VQ5"/>
      <c r="VR5"/>
      <c r="VS5"/>
      <c r="VT5"/>
      <c r="VU5"/>
      <c r="VV5"/>
      <c r="VW5"/>
      <c r="VX5"/>
      <c r="VY5"/>
      <c r="VZ5"/>
      <c r="WA5"/>
      <c r="WB5"/>
      <c r="WC5"/>
      <c r="WD5"/>
      <c r="WE5"/>
      <c r="WF5"/>
      <c r="WG5"/>
      <c r="WH5"/>
      <c r="WI5"/>
      <c r="WJ5"/>
      <c r="WK5"/>
      <c r="WL5"/>
      <c r="WM5"/>
      <c r="WN5"/>
      <c r="WO5"/>
      <c r="WP5"/>
      <c r="WQ5"/>
      <c r="WR5"/>
      <c r="WS5"/>
      <c r="WT5"/>
      <c r="WU5"/>
      <c r="WV5"/>
      <c r="WW5"/>
      <c r="WX5"/>
      <c r="WY5"/>
      <c r="WZ5"/>
      <c r="XA5"/>
      <c r="XB5"/>
      <c r="XC5"/>
      <c r="XD5"/>
      <c r="XE5"/>
      <c r="XF5"/>
      <c r="XG5"/>
      <c r="XH5"/>
      <c r="XI5"/>
      <c r="XJ5"/>
      <c r="XK5"/>
      <c r="XL5"/>
      <c r="XM5"/>
      <c r="XN5"/>
      <c r="XO5"/>
      <c r="XP5"/>
      <c r="XQ5"/>
      <c r="XR5"/>
      <c r="XS5"/>
      <c r="XT5"/>
      <c r="XU5"/>
      <c r="XV5"/>
      <c r="XW5"/>
      <c r="XX5"/>
      <c r="XY5"/>
      <c r="XZ5"/>
      <c r="YA5"/>
      <c r="YB5"/>
      <c r="YC5"/>
      <c r="YD5"/>
      <c r="YE5"/>
      <c r="YF5"/>
      <c r="YG5"/>
      <c r="YH5"/>
      <c r="YI5"/>
      <c r="YJ5"/>
      <c r="YK5"/>
      <c r="YL5"/>
      <c r="YM5"/>
      <c r="YN5"/>
      <c r="YO5"/>
      <c r="YP5"/>
      <c r="YQ5"/>
      <c r="YR5"/>
      <c r="YS5"/>
      <c r="YT5"/>
      <c r="YU5"/>
      <c r="YV5"/>
      <c r="YW5"/>
      <c r="YX5"/>
      <c r="YY5"/>
      <c r="YZ5"/>
      <c r="ZA5"/>
      <c r="ZB5"/>
      <c r="ZC5"/>
      <c r="ZD5"/>
      <c r="ZE5"/>
      <c r="ZF5"/>
      <c r="ZG5"/>
      <c r="ZH5"/>
      <c r="ZI5"/>
      <c r="ZJ5"/>
      <c r="ZK5"/>
      <c r="ZL5"/>
      <c r="ZM5"/>
      <c r="ZN5"/>
      <c r="ZO5"/>
      <c r="ZP5"/>
      <c r="ZQ5"/>
      <c r="ZR5"/>
      <c r="ZS5"/>
      <c r="ZT5"/>
      <c r="ZU5"/>
      <c r="ZV5"/>
      <c r="ZW5"/>
      <c r="ZX5"/>
      <c r="ZY5"/>
      <c r="ZZ5"/>
      <c r="AAA5"/>
      <c r="AAB5"/>
      <c r="AAC5"/>
      <c r="AAD5"/>
      <c r="AAE5"/>
      <c r="AAF5"/>
      <c r="AAG5"/>
      <c r="AAH5"/>
      <c r="AAI5"/>
      <c r="AAJ5"/>
      <c r="AAK5"/>
      <c r="AAL5"/>
      <c r="AAM5"/>
      <c r="AAN5"/>
      <c r="AAO5"/>
      <c r="AAP5"/>
      <c r="AAQ5"/>
      <c r="AAR5"/>
      <c r="AAS5"/>
      <c r="AAT5"/>
      <c r="AAU5"/>
      <c r="AAV5"/>
      <c r="AAW5"/>
      <c r="AAX5"/>
      <c r="AAY5"/>
      <c r="AAZ5"/>
      <c r="ABA5"/>
      <c r="ABB5"/>
      <c r="ABC5"/>
      <c r="ABD5"/>
      <c r="ABE5"/>
      <c r="ABF5"/>
      <c r="ABG5"/>
      <c r="ABH5"/>
      <c r="ABI5"/>
      <c r="ABJ5"/>
      <c r="ABK5"/>
      <c r="ABL5"/>
      <c r="ABM5"/>
      <c r="ABN5"/>
      <c r="ABO5"/>
      <c r="ABP5"/>
      <c r="ABQ5"/>
      <c r="ABR5"/>
      <c r="ABS5"/>
      <c r="ABT5"/>
      <c r="ABU5"/>
      <c r="ABV5"/>
      <c r="ABW5"/>
      <c r="ABX5"/>
      <c r="ABY5"/>
      <c r="ABZ5"/>
      <c r="ACA5"/>
      <c r="ACB5"/>
      <c r="ACC5"/>
      <c r="ACD5"/>
      <c r="ACE5"/>
      <c r="ACF5"/>
      <c r="ACG5"/>
      <c r="ACH5"/>
      <c r="ACI5"/>
      <c r="ACJ5"/>
      <c r="ACK5"/>
      <c r="ACL5"/>
      <c r="ACM5"/>
      <c r="ACN5"/>
      <c r="ACO5"/>
      <c r="ACP5"/>
      <c r="ACQ5"/>
      <c r="ACR5"/>
      <c r="ACS5"/>
      <c r="ACT5"/>
      <c r="ACU5"/>
      <c r="ACV5"/>
      <c r="ACW5"/>
      <c r="ACX5"/>
      <c r="ACY5"/>
      <c r="ACZ5"/>
      <c r="ADA5"/>
      <c r="ADB5"/>
      <c r="ADC5"/>
      <c r="ADD5"/>
      <c r="ADE5"/>
      <c r="ADF5"/>
      <c r="ADG5"/>
      <c r="ADH5"/>
      <c r="ADI5"/>
      <c r="ADJ5"/>
      <c r="ADK5"/>
      <c r="ADL5"/>
      <c r="ADM5"/>
      <c r="ADN5"/>
      <c r="ADO5"/>
      <c r="ADP5"/>
      <c r="ADQ5"/>
      <c r="ADR5"/>
      <c r="ADS5"/>
      <c r="ADT5"/>
      <c r="ADU5"/>
      <c r="ADV5"/>
      <c r="ADW5"/>
      <c r="ADX5"/>
      <c r="ADY5"/>
      <c r="ADZ5"/>
      <c r="AEA5"/>
      <c r="AEB5"/>
      <c r="AEC5"/>
      <c r="AED5"/>
      <c r="AEE5"/>
      <c r="AEF5"/>
      <c r="AEG5"/>
      <c r="AEH5"/>
      <c r="AEI5"/>
      <c r="AEJ5"/>
      <c r="AEK5"/>
      <c r="AEL5"/>
      <c r="AEM5"/>
      <c r="AEN5"/>
      <c r="AEO5"/>
      <c r="AEP5"/>
      <c r="AEQ5"/>
      <c r="AER5"/>
      <c r="AES5"/>
      <c r="AET5"/>
      <c r="AEU5"/>
      <c r="AEV5"/>
      <c r="AEW5"/>
      <c r="AEX5"/>
      <c r="AEY5"/>
      <c r="AEZ5"/>
      <c r="AFA5"/>
      <c r="AFB5"/>
      <c r="AFC5"/>
      <c r="AFD5"/>
      <c r="AFE5"/>
      <c r="AFF5"/>
      <c r="AFG5"/>
      <c r="AFH5"/>
      <c r="AFI5"/>
      <c r="AFJ5"/>
      <c r="AFK5"/>
      <c r="AFL5"/>
      <c r="AFM5"/>
      <c r="AFN5"/>
      <c r="AFO5"/>
      <c r="AFP5"/>
      <c r="AFQ5"/>
      <c r="AFR5"/>
      <c r="AFS5"/>
      <c r="AFT5"/>
      <c r="AFU5"/>
      <c r="AFV5"/>
      <c r="AFW5"/>
      <c r="AFX5"/>
      <c r="AFY5"/>
      <c r="AFZ5"/>
      <c r="AGA5"/>
      <c r="AGB5"/>
      <c r="AGC5"/>
      <c r="AGD5"/>
      <c r="AGE5"/>
      <c r="AGF5"/>
      <c r="AGG5"/>
      <c r="AGH5"/>
      <c r="AGI5"/>
      <c r="AGJ5"/>
      <c r="AGK5"/>
      <c r="AGL5"/>
      <c r="AGM5"/>
      <c r="AGN5"/>
      <c r="AGO5"/>
      <c r="AGP5"/>
      <c r="AGQ5"/>
      <c r="AGR5"/>
      <c r="AGS5"/>
      <c r="AGT5"/>
      <c r="AGU5"/>
      <c r="AGV5"/>
      <c r="AGW5"/>
      <c r="AGX5"/>
      <c r="AGY5"/>
      <c r="AGZ5"/>
      <c r="AHA5"/>
      <c r="AHB5"/>
      <c r="AHC5"/>
      <c r="AHD5"/>
      <c r="AHE5"/>
      <c r="AHF5"/>
      <c r="AHG5"/>
      <c r="AHH5"/>
      <c r="AHI5"/>
      <c r="AHJ5"/>
      <c r="AHK5"/>
      <c r="AHL5"/>
      <c r="AHM5"/>
      <c r="AHN5"/>
      <c r="AHO5"/>
      <c r="AHP5"/>
      <c r="AHQ5"/>
      <c r="AHR5"/>
      <c r="AHS5"/>
      <c r="AHT5"/>
      <c r="AHU5"/>
      <c r="AHV5"/>
      <c r="AHW5"/>
      <c r="AHX5"/>
      <c r="AHY5"/>
      <c r="AHZ5"/>
      <c r="AIA5"/>
      <c r="AIB5"/>
      <c r="AIC5"/>
      <c r="AID5"/>
      <c r="AIE5"/>
      <c r="AIF5"/>
      <c r="AIG5"/>
      <c r="AIH5"/>
      <c r="AII5"/>
      <c r="AIJ5"/>
      <c r="AIK5"/>
      <c r="AIL5"/>
      <c r="AIM5"/>
      <c r="AIN5"/>
      <c r="AIO5"/>
      <c r="AIP5"/>
      <c r="AIQ5"/>
      <c r="AIR5"/>
      <c r="AIS5"/>
      <c r="AIT5"/>
      <c r="AIU5"/>
      <c r="AIV5"/>
      <c r="AIW5"/>
      <c r="AIX5"/>
      <c r="AIY5"/>
      <c r="AIZ5"/>
      <c r="AJA5"/>
      <c r="AJB5"/>
      <c r="AJC5"/>
      <c r="AJD5"/>
      <c r="AJE5"/>
      <c r="AJF5"/>
      <c r="AJG5"/>
      <c r="AJH5"/>
      <c r="AJI5"/>
      <c r="AJJ5"/>
      <c r="AJK5"/>
      <c r="AJL5"/>
      <c r="AJM5"/>
      <c r="AJN5"/>
      <c r="AJO5"/>
      <c r="AJP5"/>
      <c r="AJQ5"/>
      <c r="AJR5"/>
      <c r="AJS5"/>
      <c r="AJT5"/>
      <c r="AJU5"/>
      <c r="AJV5"/>
      <c r="AJW5"/>
      <c r="AJX5"/>
      <c r="AJY5"/>
      <c r="AJZ5"/>
      <c r="AKA5"/>
      <c r="AKB5"/>
      <c r="AKC5"/>
      <c r="AKD5"/>
      <c r="AKE5"/>
      <c r="AKF5"/>
      <c r="AKG5"/>
      <c r="AKH5"/>
      <c r="AKI5"/>
      <c r="AKJ5"/>
      <c r="AKK5"/>
      <c r="AKL5"/>
      <c r="AKM5"/>
      <c r="AKN5"/>
      <c r="AKO5"/>
      <c r="AKP5"/>
      <c r="AKQ5"/>
      <c r="AKR5"/>
      <c r="AKS5"/>
      <c r="AKT5"/>
      <c r="AKU5"/>
      <c r="AKV5"/>
      <c r="AKW5"/>
      <c r="AKX5"/>
      <c r="AKY5"/>
      <c r="AKZ5"/>
      <c r="ALA5"/>
      <c r="ALB5"/>
      <c r="ALC5"/>
      <c r="ALD5"/>
      <c r="ALE5"/>
      <c r="ALF5"/>
      <c r="ALG5"/>
      <c r="ALH5"/>
      <c r="ALI5"/>
      <c r="ALJ5"/>
      <c r="ALK5"/>
      <c r="ALL5"/>
      <c r="ALM5"/>
      <c r="ALN5"/>
      <c r="ALO5"/>
      <c r="ALP5"/>
      <c r="ALQ5"/>
      <c r="ALR5"/>
      <c r="ALS5"/>
      <c r="ALT5"/>
      <c r="ALU5"/>
      <c r="ALV5"/>
      <c r="ALW5"/>
      <c r="ALX5"/>
      <c r="ALY5"/>
      <c r="ALZ5"/>
    </row>
    <row r="6" spans="1:1014" ht="24.75" customHeight="1" x14ac:dyDescent="0.25">
      <c r="A6" s="14" t="s">
        <v>75</v>
      </c>
      <c r="B6" s="23" t="s">
        <v>68</v>
      </c>
      <c r="C6" s="15" t="s">
        <v>69</v>
      </c>
      <c r="D6" s="16">
        <v>43</v>
      </c>
      <c r="E6" s="15" t="s">
        <v>32</v>
      </c>
      <c r="F6" s="15">
        <v>57</v>
      </c>
      <c r="G6" s="15" t="s">
        <v>70</v>
      </c>
      <c r="H6" s="15" t="s">
        <v>45</v>
      </c>
      <c r="I6" s="18">
        <v>47</v>
      </c>
      <c r="J6" s="18">
        <v>54</v>
      </c>
      <c r="K6" s="18">
        <v>20</v>
      </c>
      <c r="L6" s="18">
        <v>15</v>
      </c>
      <c r="M6" s="18">
        <v>110</v>
      </c>
      <c r="N6" s="18">
        <v>104</v>
      </c>
      <c r="O6" s="18">
        <v>114</v>
      </c>
      <c r="P6" s="18">
        <v>69</v>
      </c>
      <c r="Q6" s="18">
        <v>41</v>
      </c>
      <c r="R6" s="18">
        <v>47</v>
      </c>
      <c r="S6" s="18">
        <v>55</v>
      </c>
      <c r="T6" s="18">
        <v>19</v>
      </c>
      <c r="U6" s="18">
        <v>13</v>
      </c>
      <c r="V6" s="18">
        <v>29</v>
      </c>
      <c r="W6" s="18">
        <v>28</v>
      </c>
      <c r="X6" s="18">
        <v>29</v>
      </c>
      <c r="Y6" s="18">
        <v>69</v>
      </c>
      <c r="Z6" s="18">
        <v>41</v>
      </c>
      <c r="AA6" s="18">
        <v>47</v>
      </c>
      <c r="AB6" s="18">
        <v>25</v>
      </c>
      <c r="AC6" s="18">
        <v>19</v>
      </c>
      <c r="AD6" s="18">
        <v>29</v>
      </c>
      <c r="AE6" s="18">
        <v>28</v>
      </c>
      <c r="AF6" s="18">
        <v>29</v>
      </c>
      <c r="AG6" s="18">
        <v>69</v>
      </c>
      <c r="AH6" s="18">
        <v>41</v>
      </c>
      <c r="AI6" s="18">
        <v>98</v>
      </c>
      <c r="AJ6" s="18">
        <v>110</v>
      </c>
      <c r="AK6" s="18">
        <v>73</v>
      </c>
      <c r="AL6" s="18">
        <v>36</v>
      </c>
      <c r="AM6" s="18">
        <v>26</v>
      </c>
      <c r="AN6" s="18">
        <v>22</v>
      </c>
      <c r="AO6" s="18">
        <v>95</v>
      </c>
      <c r="AP6" s="2">
        <v>1</v>
      </c>
      <c r="AQ6" t="s">
        <v>77</v>
      </c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  <c r="HB6"/>
      <c r="HC6"/>
      <c r="HD6"/>
      <c r="HE6"/>
      <c r="HF6"/>
      <c r="HG6"/>
      <c r="HH6"/>
      <c r="HI6"/>
      <c r="HJ6"/>
      <c r="HK6"/>
      <c r="HL6"/>
      <c r="HM6"/>
      <c r="HN6"/>
      <c r="HO6"/>
      <c r="HP6"/>
      <c r="HQ6"/>
      <c r="HR6"/>
      <c r="HS6"/>
      <c r="HT6"/>
      <c r="HU6"/>
      <c r="HV6"/>
      <c r="HW6"/>
      <c r="HX6"/>
      <c r="HY6"/>
      <c r="HZ6"/>
      <c r="IA6"/>
      <c r="IB6"/>
      <c r="IC6"/>
      <c r="ID6"/>
      <c r="IE6"/>
      <c r="IF6"/>
      <c r="IG6"/>
      <c r="IH6"/>
      <c r="II6"/>
      <c r="IJ6"/>
      <c r="IK6"/>
      <c r="IL6"/>
      <c r="IM6"/>
      <c r="IN6"/>
      <c r="IO6"/>
      <c r="IP6"/>
      <c r="IQ6"/>
      <c r="IR6"/>
      <c r="IS6"/>
      <c r="IT6"/>
      <c r="IU6"/>
      <c r="IV6"/>
      <c r="IW6"/>
      <c r="IX6"/>
      <c r="IY6"/>
      <c r="IZ6"/>
      <c r="JA6"/>
      <c r="JB6"/>
      <c r="JC6"/>
      <c r="JD6"/>
      <c r="JE6"/>
      <c r="JF6"/>
      <c r="JG6"/>
      <c r="JH6"/>
      <c r="JI6"/>
      <c r="JJ6"/>
      <c r="JK6"/>
      <c r="JL6"/>
      <c r="JM6"/>
      <c r="JN6"/>
      <c r="JO6"/>
      <c r="JP6"/>
      <c r="JQ6"/>
      <c r="JR6"/>
      <c r="JS6"/>
      <c r="JT6"/>
      <c r="JU6"/>
      <c r="JV6"/>
      <c r="JW6"/>
      <c r="JX6"/>
      <c r="JY6"/>
      <c r="JZ6"/>
      <c r="KA6"/>
      <c r="KB6"/>
      <c r="KC6"/>
      <c r="KD6"/>
      <c r="KE6"/>
      <c r="KF6"/>
      <c r="KG6"/>
      <c r="KH6"/>
      <c r="KI6"/>
      <c r="KJ6"/>
      <c r="KK6"/>
      <c r="KL6"/>
      <c r="KM6"/>
      <c r="KN6"/>
      <c r="KO6"/>
      <c r="KP6"/>
      <c r="KQ6"/>
      <c r="KR6"/>
      <c r="KS6"/>
      <c r="KT6"/>
      <c r="KU6"/>
      <c r="KV6"/>
      <c r="KW6"/>
      <c r="KX6"/>
      <c r="KY6"/>
      <c r="KZ6"/>
      <c r="LA6"/>
      <c r="LB6"/>
      <c r="LC6"/>
      <c r="LD6"/>
      <c r="LE6"/>
      <c r="LF6"/>
      <c r="LG6"/>
      <c r="LH6"/>
      <c r="LI6"/>
      <c r="LJ6"/>
      <c r="LK6"/>
      <c r="LL6"/>
      <c r="LM6"/>
      <c r="LN6"/>
      <c r="LO6"/>
      <c r="LP6"/>
      <c r="LQ6"/>
      <c r="LR6"/>
      <c r="LS6"/>
      <c r="LT6"/>
      <c r="LU6"/>
      <c r="LV6"/>
      <c r="LW6"/>
      <c r="LX6"/>
      <c r="LY6"/>
      <c r="LZ6"/>
      <c r="MA6"/>
      <c r="MB6"/>
      <c r="MC6"/>
      <c r="MD6"/>
      <c r="ME6"/>
      <c r="MF6"/>
      <c r="MG6"/>
      <c r="MH6"/>
      <c r="MI6"/>
      <c r="MJ6"/>
      <c r="MK6"/>
      <c r="ML6"/>
      <c r="MM6"/>
      <c r="MN6"/>
      <c r="MO6"/>
      <c r="MP6"/>
      <c r="MQ6"/>
      <c r="MR6"/>
      <c r="MS6"/>
      <c r="MT6"/>
      <c r="MU6"/>
      <c r="MV6"/>
      <c r="MW6"/>
      <c r="MX6"/>
      <c r="MY6"/>
      <c r="MZ6"/>
      <c r="NA6"/>
      <c r="NB6"/>
      <c r="NC6"/>
      <c r="ND6"/>
      <c r="NE6"/>
      <c r="NF6"/>
      <c r="NG6"/>
      <c r="NH6"/>
      <c r="NI6"/>
      <c r="NJ6"/>
      <c r="NK6"/>
      <c r="NL6"/>
      <c r="NM6"/>
      <c r="NN6"/>
      <c r="NO6"/>
      <c r="NP6"/>
      <c r="NQ6"/>
      <c r="NR6"/>
      <c r="NS6"/>
      <c r="NT6"/>
      <c r="NU6"/>
      <c r="NV6"/>
      <c r="NW6"/>
      <c r="NX6"/>
      <c r="NY6"/>
      <c r="NZ6"/>
      <c r="OA6"/>
      <c r="OB6"/>
      <c r="OC6"/>
      <c r="OD6"/>
      <c r="OE6"/>
      <c r="OF6"/>
      <c r="OG6"/>
      <c r="OH6"/>
      <c r="OI6"/>
      <c r="OJ6"/>
      <c r="OK6"/>
      <c r="OL6"/>
      <c r="OM6"/>
      <c r="ON6"/>
      <c r="OO6"/>
      <c r="OP6"/>
      <c r="OQ6"/>
      <c r="OR6"/>
      <c r="OS6"/>
      <c r="OT6"/>
      <c r="OU6"/>
      <c r="OV6"/>
      <c r="OW6"/>
      <c r="OX6"/>
      <c r="OY6"/>
      <c r="OZ6"/>
      <c r="PA6"/>
      <c r="PB6"/>
      <c r="PC6"/>
      <c r="PD6"/>
      <c r="PE6"/>
      <c r="PF6"/>
      <c r="PG6"/>
      <c r="PH6"/>
      <c r="PI6"/>
      <c r="PJ6"/>
      <c r="PK6"/>
      <c r="PL6"/>
      <c r="PM6"/>
      <c r="PN6"/>
      <c r="PO6"/>
      <c r="PP6"/>
      <c r="PQ6"/>
      <c r="PR6"/>
      <c r="PS6"/>
      <c r="PT6"/>
      <c r="PU6"/>
      <c r="PV6"/>
      <c r="PW6"/>
      <c r="PX6"/>
      <c r="PY6"/>
      <c r="PZ6"/>
      <c r="QA6"/>
      <c r="QB6"/>
      <c r="QC6"/>
      <c r="QD6"/>
      <c r="QE6"/>
      <c r="QF6"/>
      <c r="QG6"/>
      <c r="QH6"/>
      <c r="QI6"/>
      <c r="QJ6"/>
      <c r="QK6"/>
      <c r="QL6"/>
      <c r="QM6"/>
      <c r="QN6"/>
      <c r="QO6"/>
      <c r="QP6"/>
      <c r="QQ6"/>
      <c r="QR6"/>
      <c r="QS6"/>
      <c r="QT6"/>
      <c r="QU6"/>
      <c r="QV6"/>
      <c r="QW6"/>
      <c r="QX6"/>
      <c r="QY6"/>
      <c r="QZ6"/>
      <c r="RA6"/>
      <c r="RB6"/>
      <c r="RC6"/>
      <c r="RD6"/>
      <c r="RE6"/>
      <c r="RF6"/>
      <c r="RG6"/>
      <c r="RH6"/>
      <c r="RI6"/>
      <c r="RJ6"/>
      <c r="RK6"/>
      <c r="RL6"/>
      <c r="RM6"/>
      <c r="RN6"/>
      <c r="RO6"/>
      <c r="RP6"/>
      <c r="RQ6"/>
      <c r="RR6"/>
      <c r="RS6"/>
      <c r="RT6"/>
      <c r="RU6"/>
      <c r="RV6"/>
      <c r="RW6"/>
      <c r="RX6"/>
      <c r="RY6"/>
      <c r="RZ6"/>
      <c r="SA6"/>
      <c r="SB6"/>
      <c r="SC6"/>
      <c r="SD6"/>
      <c r="SE6"/>
      <c r="SF6"/>
      <c r="SG6"/>
      <c r="SH6"/>
      <c r="SI6"/>
      <c r="SJ6"/>
      <c r="SK6"/>
      <c r="SL6"/>
      <c r="SM6"/>
      <c r="SN6"/>
      <c r="SO6"/>
      <c r="SP6"/>
      <c r="SQ6"/>
      <c r="SR6"/>
      <c r="SS6"/>
      <c r="ST6"/>
      <c r="SU6"/>
      <c r="SV6"/>
      <c r="SW6"/>
      <c r="SX6"/>
      <c r="SY6"/>
      <c r="SZ6"/>
      <c r="TA6"/>
      <c r="TB6"/>
      <c r="TC6"/>
      <c r="TD6"/>
      <c r="TE6"/>
      <c r="TF6"/>
      <c r="TG6"/>
      <c r="TH6"/>
      <c r="TI6"/>
      <c r="TJ6"/>
      <c r="TK6"/>
      <c r="TL6"/>
      <c r="TM6"/>
      <c r="TN6"/>
      <c r="TO6"/>
      <c r="TP6"/>
      <c r="TQ6"/>
      <c r="TR6"/>
      <c r="TS6"/>
      <c r="TT6"/>
      <c r="TU6"/>
      <c r="TV6"/>
      <c r="TW6"/>
      <c r="TX6"/>
      <c r="TY6"/>
      <c r="TZ6"/>
      <c r="UA6"/>
      <c r="UB6"/>
      <c r="UC6"/>
      <c r="UD6"/>
      <c r="UE6"/>
      <c r="UF6"/>
      <c r="UG6"/>
      <c r="UH6"/>
      <c r="UI6"/>
      <c r="UJ6"/>
      <c r="UK6"/>
      <c r="UL6"/>
      <c r="UM6"/>
      <c r="UN6"/>
      <c r="UO6"/>
      <c r="UP6"/>
      <c r="UQ6"/>
      <c r="UR6"/>
      <c r="US6"/>
      <c r="UT6"/>
      <c r="UU6"/>
      <c r="UV6"/>
      <c r="UW6"/>
      <c r="UX6"/>
      <c r="UY6"/>
      <c r="UZ6"/>
      <c r="VA6"/>
      <c r="VB6"/>
      <c r="VC6"/>
      <c r="VD6"/>
      <c r="VE6"/>
      <c r="VF6"/>
      <c r="VG6"/>
      <c r="VH6"/>
      <c r="VI6"/>
      <c r="VJ6"/>
      <c r="VK6"/>
      <c r="VL6"/>
      <c r="VM6"/>
      <c r="VN6"/>
      <c r="VO6"/>
      <c r="VP6"/>
      <c r="VQ6"/>
      <c r="VR6"/>
      <c r="VS6"/>
      <c r="VT6"/>
      <c r="VU6"/>
      <c r="VV6"/>
      <c r="VW6"/>
      <c r="VX6"/>
      <c r="VY6"/>
      <c r="VZ6"/>
      <c r="WA6"/>
      <c r="WB6"/>
      <c r="WC6"/>
      <c r="WD6"/>
      <c r="WE6"/>
      <c r="WF6"/>
      <c r="WG6"/>
      <c r="WH6"/>
      <c r="WI6"/>
      <c r="WJ6"/>
      <c r="WK6"/>
      <c r="WL6"/>
      <c r="WM6"/>
      <c r="WN6"/>
      <c r="WO6"/>
      <c r="WP6"/>
      <c r="WQ6"/>
      <c r="WR6"/>
      <c r="WS6"/>
      <c r="WT6"/>
      <c r="WU6"/>
      <c r="WV6"/>
      <c r="WW6"/>
      <c r="WX6"/>
      <c r="WY6"/>
      <c r="WZ6"/>
      <c r="XA6"/>
      <c r="XB6"/>
      <c r="XC6"/>
      <c r="XD6"/>
      <c r="XE6"/>
      <c r="XF6"/>
      <c r="XG6"/>
      <c r="XH6"/>
      <c r="XI6"/>
      <c r="XJ6"/>
      <c r="XK6"/>
      <c r="XL6"/>
      <c r="XM6"/>
      <c r="XN6"/>
      <c r="XO6"/>
      <c r="XP6"/>
      <c r="XQ6"/>
      <c r="XR6"/>
      <c r="XS6"/>
      <c r="XT6"/>
      <c r="XU6"/>
      <c r="XV6"/>
      <c r="XW6"/>
      <c r="XX6"/>
      <c r="XY6"/>
      <c r="XZ6"/>
      <c r="YA6"/>
      <c r="YB6"/>
      <c r="YC6"/>
      <c r="YD6"/>
      <c r="YE6"/>
      <c r="YF6"/>
      <c r="YG6"/>
      <c r="YH6"/>
      <c r="YI6"/>
      <c r="YJ6"/>
      <c r="YK6"/>
      <c r="YL6"/>
      <c r="YM6"/>
      <c r="YN6"/>
      <c r="YO6"/>
      <c r="YP6"/>
      <c r="YQ6"/>
      <c r="YR6"/>
      <c r="YS6"/>
      <c r="YT6"/>
      <c r="YU6"/>
      <c r="YV6"/>
      <c r="YW6"/>
      <c r="YX6"/>
      <c r="YY6"/>
      <c r="YZ6"/>
      <c r="ZA6"/>
      <c r="ZB6"/>
      <c r="ZC6"/>
      <c r="ZD6"/>
      <c r="ZE6"/>
      <c r="ZF6"/>
      <c r="ZG6"/>
      <c r="ZH6"/>
      <c r="ZI6"/>
      <c r="ZJ6"/>
      <c r="ZK6"/>
      <c r="ZL6"/>
      <c r="ZM6"/>
      <c r="ZN6"/>
      <c r="ZO6"/>
      <c r="ZP6"/>
      <c r="ZQ6"/>
      <c r="ZR6"/>
      <c r="ZS6"/>
      <c r="ZT6"/>
      <c r="ZU6"/>
      <c r="ZV6"/>
      <c r="ZW6"/>
      <c r="ZX6"/>
      <c r="ZY6"/>
      <c r="ZZ6"/>
      <c r="AAA6"/>
      <c r="AAB6"/>
      <c r="AAC6"/>
      <c r="AAD6"/>
      <c r="AAE6"/>
      <c r="AAF6"/>
      <c r="AAG6"/>
      <c r="AAH6"/>
      <c r="AAI6"/>
      <c r="AAJ6"/>
      <c r="AAK6"/>
      <c r="AAL6"/>
      <c r="AAM6"/>
      <c r="AAN6"/>
      <c r="AAO6"/>
      <c r="AAP6"/>
      <c r="AAQ6"/>
      <c r="AAR6"/>
      <c r="AAS6"/>
      <c r="AAT6"/>
      <c r="AAU6"/>
      <c r="AAV6"/>
      <c r="AAW6"/>
      <c r="AAX6"/>
      <c r="AAY6"/>
      <c r="AAZ6"/>
      <c r="ABA6"/>
      <c r="ABB6"/>
      <c r="ABC6"/>
      <c r="ABD6"/>
      <c r="ABE6"/>
      <c r="ABF6"/>
      <c r="ABG6"/>
      <c r="ABH6"/>
      <c r="ABI6"/>
      <c r="ABJ6"/>
      <c r="ABK6"/>
      <c r="ABL6"/>
      <c r="ABM6"/>
      <c r="ABN6"/>
      <c r="ABO6"/>
      <c r="ABP6"/>
      <c r="ABQ6"/>
      <c r="ABR6"/>
      <c r="ABS6"/>
      <c r="ABT6"/>
      <c r="ABU6"/>
      <c r="ABV6"/>
      <c r="ABW6"/>
      <c r="ABX6"/>
      <c r="ABY6"/>
      <c r="ABZ6"/>
      <c r="ACA6"/>
      <c r="ACB6"/>
      <c r="ACC6"/>
      <c r="ACD6"/>
      <c r="ACE6"/>
      <c r="ACF6"/>
      <c r="ACG6"/>
      <c r="ACH6"/>
      <c r="ACI6"/>
      <c r="ACJ6"/>
      <c r="ACK6"/>
      <c r="ACL6"/>
      <c r="ACM6"/>
      <c r="ACN6"/>
      <c r="ACO6"/>
      <c r="ACP6"/>
      <c r="ACQ6"/>
      <c r="ACR6"/>
      <c r="ACS6"/>
      <c r="ACT6"/>
      <c r="ACU6"/>
      <c r="ACV6"/>
      <c r="ACW6"/>
      <c r="ACX6"/>
      <c r="ACY6"/>
      <c r="ACZ6"/>
      <c r="ADA6"/>
      <c r="ADB6"/>
      <c r="ADC6"/>
      <c r="ADD6"/>
      <c r="ADE6"/>
      <c r="ADF6"/>
      <c r="ADG6"/>
      <c r="ADH6"/>
      <c r="ADI6"/>
      <c r="ADJ6"/>
      <c r="ADK6"/>
      <c r="ADL6"/>
      <c r="ADM6"/>
      <c r="ADN6"/>
      <c r="ADO6"/>
      <c r="ADP6"/>
      <c r="ADQ6"/>
      <c r="ADR6"/>
      <c r="ADS6"/>
      <c r="ADT6"/>
      <c r="ADU6"/>
      <c r="ADV6"/>
      <c r="ADW6"/>
      <c r="ADX6"/>
      <c r="ADY6"/>
      <c r="ADZ6"/>
      <c r="AEA6"/>
      <c r="AEB6"/>
      <c r="AEC6"/>
      <c r="AED6"/>
      <c r="AEE6"/>
      <c r="AEF6"/>
      <c r="AEG6"/>
      <c r="AEH6"/>
      <c r="AEI6"/>
      <c r="AEJ6"/>
      <c r="AEK6"/>
      <c r="AEL6"/>
      <c r="AEM6"/>
      <c r="AEN6"/>
      <c r="AEO6"/>
      <c r="AEP6"/>
      <c r="AEQ6"/>
      <c r="AER6"/>
      <c r="AES6"/>
      <c r="AET6"/>
      <c r="AEU6"/>
      <c r="AEV6"/>
      <c r="AEW6"/>
      <c r="AEX6"/>
      <c r="AEY6"/>
      <c r="AEZ6"/>
      <c r="AFA6"/>
      <c r="AFB6"/>
      <c r="AFC6"/>
      <c r="AFD6"/>
      <c r="AFE6"/>
      <c r="AFF6"/>
      <c r="AFG6"/>
      <c r="AFH6"/>
      <c r="AFI6"/>
      <c r="AFJ6"/>
      <c r="AFK6"/>
      <c r="AFL6"/>
      <c r="AFM6"/>
      <c r="AFN6"/>
      <c r="AFO6"/>
      <c r="AFP6"/>
      <c r="AFQ6"/>
      <c r="AFR6"/>
      <c r="AFS6"/>
      <c r="AFT6"/>
      <c r="AFU6"/>
      <c r="AFV6"/>
      <c r="AFW6"/>
      <c r="AFX6"/>
      <c r="AFY6"/>
      <c r="AFZ6"/>
      <c r="AGA6"/>
      <c r="AGB6"/>
      <c r="AGC6"/>
      <c r="AGD6"/>
      <c r="AGE6"/>
      <c r="AGF6"/>
      <c r="AGG6"/>
      <c r="AGH6"/>
      <c r="AGI6"/>
      <c r="AGJ6"/>
      <c r="AGK6"/>
      <c r="AGL6"/>
      <c r="AGM6"/>
      <c r="AGN6"/>
      <c r="AGO6"/>
      <c r="AGP6"/>
      <c r="AGQ6"/>
      <c r="AGR6"/>
      <c r="AGS6"/>
      <c r="AGT6"/>
      <c r="AGU6"/>
      <c r="AGV6"/>
      <c r="AGW6"/>
      <c r="AGX6"/>
      <c r="AGY6"/>
      <c r="AGZ6"/>
      <c r="AHA6"/>
      <c r="AHB6"/>
      <c r="AHC6"/>
      <c r="AHD6"/>
      <c r="AHE6"/>
      <c r="AHF6"/>
      <c r="AHG6"/>
      <c r="AHH6"/>
      <c r="AHI6"/>
      <c r="AHJ6"/>
      <c r="AHK6"/>
      <c r="AHL6"/>
      <c r="AHM6"/>
      <c r="AHN6"/>
      <c r="AHO6"/>
      <c r="AHP6"/>
      <c r="AHQ6"/>
      <c r="AHR6"/>
      <c r="AHS6"/>
      <c r="AHT6"/>
      <c r="AHU6"/>
      <c r="AHV6"/>
      <c r="AHW6"/>
      <c r="AHX6"/>
      <c r="AHY6"/>
      <c r="AHZ6"/>
      <c r="AIA6"/>
      <c r="AIB6"/>
      <c r="AIC6"/>
      <c r="AID6"/>
      <c r="AIE6"/>
      <c r="AIF6"/>
      <c r="AIG6"/>
      <c r="AIH6"/>
      <c r="AII6"/>
      <c r="AIJ6"/>
      <c r="AIK6"/>
      <c r="AIL6"/>
      <c r="AIM6"/>
      <c r="AIN6"/>
      <c r="AIO6"/>
      <c r="AIP6"/>
      <c r="AIQ6"/>
      <c r="AIR6"/>
      <c r="AIS6"/>
      <c r="AIT6"/>
      <c r="AIU6"/>
      <c r="AIV6"/>
      <c r="AIW6"/>
      <c r="AIX6"/>
      <c r="AIY6"/>
      <c r="AIZ6"/>
      <c r="AJA6"/>
      <c r="AJB6"/>
      <c r="AJC6"/>
      <c r="AJD6"/>
      <c r="AJE6"/>
      <c r="AJF6"/>
      <c r="AJG6"/>
      <c r="AJH6"/>
      <c r="AJI6"/>
      <c r="AJJ6"/>
      <c r="AJK6"/>
      <c r="AJL6"/>
      <c r="AJM6"/>
      <c r="AJN6"/>
      <c r="AJO6"/>
      <c r="AJP6"/>
      <c r="AJQ6"/>
      <c r="AJR6"/>
      <c r="AJS6"/>
      <c r="AJT6"/>
      <c r="AJU6"/>
      <c r="AJV6"/>
      <c r="AJW6"/>
      <c r="AJX6"/>
      <c r="AJY6"/>
      <c r="AJZ6"/>
      <c r="AKA6"/>
      <c r="AKB6"/>
      <c r="AKC6"/>
      <c r="AKD6"/>
      <c r="AKE6"/>
      <c r="AKF6"/>
      <c r="AKG6"/>
      <c r="AKH6"/>
      <c r="AKI6"/>
      <c r="AKJ6"/>
      <c r="AKK6"/>
      <c r="AKL6"/>
      <c r="AKM6"/>
      <c r="AKN6"/>
      <c r="AKO6"/>
      <c r="AKP6"/>
      <c r="AKQ6"/>
      <c r="AKR6"/>
      <c r="AKS6"/>
      <c r="AKT6"/>
      <c r="AKU6"/>
      <c r="AKV6"/>
      <c r="AKW6"/>
      <c r="AKX6"/>
      <c r="AKY6"/>
      <c r="AKZ6"/>
      <c r="ALA6"/>
      <c r="ALB6"/>
      <c r="ALC6"/>
      <c r="ALD6"/>
      <c r="ALE6"/>
      <c r="ALF6"/>
      <c r="ALG6"/>
      <c r="ALH6"/>
      <c r="ALI6"/>
      <c r="ALJ6"/>
      <c r="ALK6"/>
      <c r="ALL6"/>
      <c r="ALM6"/>
      <c r="ALN6"/>
      <c r="ALO6"/>
      <c r="ALP6"/>
      <c r="ALQ6"/>
      <c r="ALR6"/>
      <c r="ALS6"/>
      <c r="ALT6"/>
      <c r="ALU6"/>
      <c r="ALV6"/>
      <c r="ALW6"/>
      <c r="ALX6"/>
      <c r="ALY6"/>
      <c r="ALZ6"/>
    </row>
    <row r="7" spans="1:1014" ht="24.75" customHeight="1" x14ac:dyDescent="0.25">
      <c r="A7" s="14" t="s">
        <v>76</v>
      </c>
      <c r="B7" s="23" t="s">
        <v>71</v>
      </c>
      <c r="C7" s="15" t="s">
        <v>69</v>
      </c>
      <c r="D7" s="16">
        <v>42</v>
      </c>
      <c r="E7" s="13" t="s">
        <v>32</v>
      </c>
      <c r="F7" s="17">
        <v>60</v>
      </c>
      <c r="G7" s="15" t="s">
        <v>70</v>
      </c>
      <c r="H7" s="15" t="s">
        <v>45</v>
      </c>
      <c r="I7" s="20">
        <v>47</v>
      </c>
      <c r="J7" s="20">
        <v>58</v>
      </c>
      <c r="K7" s="20">
        <v>20</v>
      </c>
      <c r="L7" s="20">
        <v>15</v>
      </c>
      <c r="M7" s="20">
        <v>108</v>
      </c>
      <c r="N7" s="20">
        <v>104</v>
      </c>
      <c r="O7" s="20">
        <v>112</v>
      </c>
      <c r="P7" s="20">
        <v>70</v>
      </c>
      <c r="Q7" s="20">
        <v>43</v>
      </c>
      <c r="R7" s="20">
        <v>47</v>
      </c>
      <c r="S7" s="20">
        <v>59</v>
      </c>
      <c r="T7" s="20">
        <v>19</v>
      </c>
      <c r="U7" s="20">
        <v>13</v>
      </c>
      <c r="V7" s="20">
        <v>29</v>
      </c>
      <c r="W7" s="20">
        <v>28</v>
      </c>
      <c r="X7" s="20">
        <v>29</v>
      </c>
      <c r="Y7" s="20">
        <v>69</v>
      </c>
      <c r="Z7" s="20">
        <v>43</v>
      </c>
      <c r="AA7" s="20">
        <v>47</v>
      </c>
      <c r="AB7" s="20">
        <v>24</v>
      </c>
      <c r="AC7" s="20">
        <v>19</v>
      </c>
      <c r="AD7" s="20">
        <v>29</v>
      </c>
      <c r="AE7" s="20">
        <v>28</v>
      </c>
      <c r="AF7" s="20">
        <v>29</v>
      </c>
      <c r="AG7" s="20">
        <v>69</v>
      </c>
      <c r="AH7" s="20">
        <v>43</v>
      </c>
      <c r="AI7" s="20">
        <v>98</v>
      </c>
      <c r="AJ7" s="20">
        <v>110</v>
      </c>
      <c r="AK7" s="20">
        <v>74</v>
      </c>
      <c r="AL7" s="20">
        <v>36</v>
      </c>
      <c r="AM7" s="20">
        <v>26</v>
      </c>
      <c r="AN7" s="20">
        <v>20</v>
      </c>
      <c r="AO7" s="1">
        <v>96</v>
      </c>
      <c r="AP7" s="2">
        <v>1</v>
      </c>
      <c r="AQ7" t="s">
        <v>77</v>
      </c>
      <c r="AR7"/>
      <c r="AS7"/>
      <c r="AT7"/>
    </row>
    <row r="8" spans="1:1014" ht="24.75" customHeight="1" x14ac:dyDescent="0.25">
      <c r="A8" s="14" t="s">
        <v>82</v>
      </c>
      <c r="B8" s="23" t="s">
        <v>78</v>
      </c>
      <c r="C8" s="15" t="s">
        <v>69</v>
      </c>
      <c r="D8" s="16">
        <v>42</v>
      </c>
      <c r="E8" s="13" t="s">
        <v>32</v>
      </c>
      <c r="F8" s="17">
        <v>59</v>
      </c>
      <c r="G8" s="15" t="s">
        <v>70</v>
      </c>
      <c r="H8" s="15" t="s">
        <v>45</v>
      </c>
      <c r="I8" s="20">
        <v>46</v>
      </c>
      <c r="J8" s="20">
        <v>58</v>
      </c>
      <c r="K8" s="20">
        <v>20</v>
      </c>
      <c r="L8" s="20">
        <v>15</v>
      </c>
      <c r="M8" s="20">
        <v>115</v>
      </c>
      <c r="N8" s="20">
        <v>104</v>
      </c>
      <c r="O8" s="20">
        <v>120</v>
      </c>
      <c r="P8" s="20">
        <v>74</v>
      </c>
      <c r="Q8" s="20">
        <v>44</v>
      </c>
      <c r="R8" s="20">
        <v>46</v>
      </c>
      <c r="S8" s="20">
        <v>59</v>
      </c>
      <c r="T8" s="20">
        <v>19</v>
      </c>
      <c r="U8" s="20">
        <v>13</v>
      </c>
      <c r="V8" s="19">
        <v>29</v>
      </c>
      <c r="W8" s="19">
        <v>28</v>
      </c>
      <c r="X8" s="20">
        <v>29</v>
      </c>
      <c r="Y8" s="20">
        <v>74</v>
      </c>
      <c r="Z8" s="20">
        <v>44</v>
      </c>
      <c r="AA8" s="20">
        <v>46</v>
      </c>
      <c r="AB8" s="19">
        <v>25</v>
      </c>
      <c r="AC8" s="20">
        <v>19</v>
      </c>
      <c r="AD8" s="20">
        <v>29</v>
      </c>
      <c r="AE8" s="20">
        <v>28</v>
      </c>
      <c r="AF8" s="20">
        <v>29</v>
      </c>
      <c r="AG8" s="20">
        <v>74</v>
      </c>
      <c r="AH8" s="20">
        <v>44</v>
      </c>
      <c r="AI8" s="20">
        <v>97</v>
      </c>
      <c r="AJ8" s="20">
        <v>119</v>
      </c>
      <c r="AK8" s="20">
        <v>70</v>
      </c>
      <c r="AL8" s="20">
        <v>36</v>
      </c>
      <c r="AM8" s="20">
        <v>27</v>
      </c>
      <c r="AN8" s="20">
        <v>21</v>
      </c>
      <c r="AO8" s="20">
        <v>94</v>
      </c>
      <c r="AP8" s="2">
        <v>2</v>
      </c>
      <c r="AQ8" t="s">
        <v>86</v>
      </c>
      <c r="AR8"/>
      <c r="AS8"/>
      <c r="AT8"/>
    </row>
    <row r="9" spans="1:1014" ht="24.75" customHeight="1" x14ac:dyDescent="0.25">
      <c r="A9" s="14" t="s">
        <v>83</v>
      </c>
      <c r="B9" s="23" t="s">
        <v>79</v>
      </c>
      <c r="C9" s="15" t="s">
        <v>69</v>
      </c>
      <c r="D9" s="16">
        <v>40</v>
      </c>
      <c r="E9" s="13" t="s">
        <v>31</v>
      </c>
      <c r="F9" s="17">
        <v>55</v>
      </c>
      <c r="G9" s="15" t="s">
        <v>70</v>
      </c>
      <c r="H9" s="15" t="s">
        <v>45</v>
      </c>
      <c r="I9" s="20">
        <v>44</v>
      </c>
      <c r="J9" s="20">
        <v>57</v>
      </c>
      <c r="K9" s="20">
        <v>18</v>
      </c>
      <c r="L9" s="20">
        <v>14</v>
      </c>
      <c r="M9" s="20">
        <v>94</v>
      </c>
      <c r="N9" s="20">
        <v>84</v>
      </c>
      <c r="O9" s="20">
        <v>102</v>
      </c>
      <c r="P9" s="20">
        <v>69</v>
      </c>
      <c r="Q9" s="20">
        <v>39</v>
      </c>
      <c r="R9" s="20">
        <v>44</v>
      </c>
      <c r="S9" s="20">
        <v>58</v>
      </c>
      <c r="T9" s="20">
        <v>16</v>
      </c>
      <c r="U9" s="20">
        <v>12</v>
      </c>
      <c r="V9" s="20">
        <v>26</v>
      </c>
      <c r="W9" s="20">
        <v>23</v>
      </c>
      <c r="X9" s="20">
        <v>26</v>
      </c>
      <c r="Y9" s="20">
        <v>69</v>
      </c>
      <c r="Z9" s="20">
        <v>39</v>
      </c>
      <c r="AA9" s="20">
        <v>44</v>
      </c>
      <c r="AB9" s="20">
        <v>23</v>
      </c>
      <c r="AC9" s="20">
        <v>16</v>
      </c>
      <c r="AD9" s="20">
        <v>26</v>
      </c>
      <c r="AE9" s="20">
        <v>23</v>
      </c>
      <c r="AF9" s="20">
        <v>26</v>
      </c>
      <c r="AG9" s="19">
        <v>69</v>
      </c>
      <c r="AH9" s="19">
        <v>39</v>
      </c>
      <c r="AI9" s="19">
        <v>76</v>
      </c>
      <c r="AJ9" s="19">
        <v>100</v>
      </c>
      <c r="AK9" s="20">
        <v>65</v>
      </c>
      <c r="AL9" s="20">
        <v>31</v>
      </c>
      <c r="AM9" s="20">
        <v>24</v>
      </c>
      <c r="AN9" s="20">
        <v>19</v>
      </c>
      <c r="AO9" s="20">
        <v>99</v>
      </c>
      <c r="AP9" s="2">
        <v>2</v>
      </c>
      <c r="AQ9" t="s">
        <v>86</v>
      </c>
      <c r="AR9"/>
      <c r="AS9"/>
      <c r="AT9"/>
    </row>
    <row r="10" spans="1:1014" ht="24.75" customHeight="1" x14ac:dyDescent="0.25">
      <c r="A10" s="14" t="s">
        <v>84</v>
      </c>
      <c r="B10" s="23" t="s">
        <v>80</v>
      </c>
      <c r="C10" s="15" t="s">
        <v>69</v>
      </c>
      <c r="D10" s="16">
        <v>40</v>
      </c>
      <c r="E10" s="13" t="s">
        <v>34</v>
      </c>
      <c r="F10" s="17">
        <v>57</v>
      </c>
      <c r="G10" s="15" t="s">
        <v>70</v>
      </c>
      <c r="H10" s="15" t="s">
        <v>45</v>
      </c>
      <c r="I10" s="20">
        <v>46</v>
      </c>
      <c r="J10" s="20">
        <v>55</v>
      </c>
      <c r="K10" s="20">
        <v>19</v>
      </c>
      <c r="L10" s="20">
        <v>14</v>
      </c>
      <c r="M10" s="20">
        <v>114</v>
      </c>
      <c r="N10" s="20">
        <v>114</v>
      </c>
      <c r="O10" s="20">
        <v>118</v>
      </c>
      <c r="P10" s="20">
        <v>72</v>
      </c>
      <c r="Q10" s="20">
        <v>42</v>
      </c>
      <c r="R10" s="20">
        <v>46</v>
      </c>
      <c r="S10" s="20">
        <v>56</v>
      </c>
      <c r="T10" s="20">
        <v>18</v>
      </c>
      <c r="U10" s="20">
        <v>13</v>
      </c>
      <c r="V10" s="20">
        <v>30</v>
      </c>
      <c r="W10" s="20">
        <v>30</v>
      </c>
      <c r="X10" s="20">
        <v>30</v>
      </c>
      <c r="Y10" s="20">
        <v>72</v>
      </c>
      <c r="Z10" s="20">
        <v>42</v>
      </c>
      <c r="AA10" s="20">
        <v>46</v>
      </c>
      <c r="AB10" s="20">
        <v>24</v>
      </c>
      <c r="AC10" s="20">
        <v>18</v>
      </c>
      <c r="AD10" s="20">
        <v>30</v>
      </c>
      <c r="AE10" s="20">
        <v>30</v>
      </c>
      <c r="AF10" s="20">
        <v>30</v>
      </c>
      <c r="AG10" s="20">
        <v>72</v>
      </c>
      <c r="AH10" s="20">
        <v>42</v>
      </c>
      <c r="AI10" s="20">
        <v>98</v>
      </c>
      <c r="AJ10" s="20">
        <v>115</v>
      </c>
      <c r="AK10" s="20">
        <v>68</v>
      </c>
      <c r="AL10" s="20">
        <v>36</v>
      </c>
      <c r="AM10" s="20">
        <v>26</v>
      </c>
      <c r="AN10" s="20">
        <v>21</v>
      </c>
      <c r="AO10" s="20">
        <v>93</v>
      </c>
      <c r="AP10" s="2">
        <v>2</v>
      </c>
      <c r="AQ10" t="s">
        <v>86</v>
      </c>
      <c r="AR10"/>
      <c r="AS10"/>
      <c r="AT10"/>
    </row>
    <row r="11" spans="1:1014" ht="24.75" customHeight="1" x14ac:dyDescent="0.25">
      <c r="A11" s="14" t="s">
        <v>85</v>
      </c>
      <c r="B11" s="23" t="s">
        <v>81</v>
      </c>
      <c r="C11" s="15" t="s">
        <v>69</v>
      </c>
      <c r="D11" s="16">
        <v>40</v>
      </c>
      <c r="E11" s="13" t="s">
        <v>34</v>
      </c>
      <c r="F11" s="17">
        <v>54</v>
      </c>
      <c r="G11" s="15" t="s">
        <v>70</v>
      </c>
      <c r="H11" s="15" t="s">
        <v>45</v>
      </c>
      <c r="I11" s="20">
        <v>48</v>
      </c>
      <c r="J11" s="20">
        <v>58</v>
      </c>
      <c r="K11" s="20">
        <v>19</v>
      </c>
      <c r="L11" s="20">
        <v>14</v>
      </c>
      <c r="M11" s="20">
        <v>111</v>
      </c>
      <c r="N11" s="20">
        <v>111</v>
      </c>
      <c r="O11" s="20">
        <v>117</v>
      </c>
      <c r="P11" s="20">
        <v>72</v>
      </c>
      <c r="Q11" s="20">
        <v>43</v>
      </c>
      <c r="R11" s="20">
        <v>48</v>
      </c>
      <c r="S11" s="20">
        <v>59</v>
      </c>
      <c r="T11" s="20">
        <v>19</v>
      </c>
      <c r="U11" s="20">
        <v>13</v>
      </c>
      <c r="V11" s="20">
        <v>29</v>
      </c>
      <c r="W11" s="20">
        <v>29</v>
      </c>
      <c r="X11" s="20">
        <v>29</v>
      </c>
      <c r="Y11" s="20">
        <v>72</v>
      </c>
      <c r="Z11" s="20">
        <v>43</v>
      </c>
      <c r="AA11" s="20">
        <v>48</v>
      </c>
      <c r="AB11" s="20">
        <v>25</v>
      </c>
      <c r="AC11" s="20">
        <v>18</v>
      </c>
      <c r="AD11" s="20">
        <v>29</v>
      </c>
      <c r="AE11" s="20">
        <v>29</v>
      </c>
      <c r="AF11" s="20">
        <v>29</v>
      </c>
      <c r="AG11" s="20">
        <v>72</v>
      </c>
      <c r="AH11" s="20">
        <v>43</v>
      </c>
      <c r="AI11" s="20">
        <v>97</v>
      </c>
      <c r="AJ11" s="20">
        <v>115</v>
      </c>
      <c r="AK11" s="20">
        <v>71</v>
      </c>
      <c r="AL11" s="20">
        <v>35</v>
      </c>
      <c r="AM11" s="20">
        <v>26</v>
      </c>
      <c r="AN11" s="20">
        <v>21</v>
      </c>
      <c r="AO11" s="20">
        <v>96</v>
      </c>
      <c r="AP11" s="2">
        <v>2</v>
      </c>
      <c r="AQ11" t="s">
        <v>86</v>
      </c>
      <c r="AR11"/>
      <c r="AS11"/>
      <c r="AT11"/>
    </row>
    <row r="12" spans="1:1014" ht="24.75" customHeight="1" x14ac:dyDescent="0.25">
      <c r="A12" s="14" t="s">
        <v>90</v>
      </c>
      <c r="B12" s="23" t="s">
        <v>87</v>
      </c>
      <c r="C12" s="15" t="s">
        <v>69</v>
      </c>
      <c r="D12" s="16">
        <v>41</v>
      </c>
      <c r="E12" s="13" t="s">
        <v>34</v>
      </c>
      <c r="F12" s="17">
        <v>56</v>
      </c>
      <c r="G12" s="15" t="s">
        <v>70</v>
      </c>
      <c r="H12" s="15" t="s">
        <v>45</v>
      </c>
      <c r="I12" s="20">
        <v>46</v>
      </c>
      <c r="J12" s="20">
        <v>58</v>
      </c>
      <c r="K12" s="20">
        <v>19</v>
      </c>
      <c r="L12" s="20">
        <v>14</v>
      </c>
      <c r="M12" s="20">
        <v>106</v>
      </c>
      <c r="N12" s="20">
        <v>102</v>
      </c>
      <c r="O12" s="20">
        <v>116</v>
      </c>
      <c r="P12" s="20">
        <v>71</v>
      </c>
      <c r="Q12" s="20">
        <v>42</v>
      </c>
      <c r="R12" s="20">
        <v>46</v>
      </c>
      <c r="S12" s="20">
        <v>59</v>
      </c>
      <c r="T12" s="20">
        <v>18</v>
      </c>
      <c r="U12" s="20">
        <v>13</v>
      </c>
      <c r="V12" s="20">
        <v>29</v>
      </c>
      <c r="W12" s="20">
        <v>28</v>
      </c>
      <c r="X12" s="20">
        <v>29</v>
      </c>
      <c r="Y12" s="20">
        <v>71</v>
      </c>
      <c r="Z12" s="20">
        <v>42</v>
      </c>
      <c r="AA12" s="20">
        <v>46</v>
      </c>
      <c r="AB12" s="20">
        <v>25</v>
      </c>
      <c r="AC12" s="20">
        <v>18</v>
      </c>
      <c r="AD12" s="20">
        <v>29</v>
      </c>
      <c r="AE12" s="20">
        <v>28</v>
      </c>
      <c r="AF12" s="20">
        <v>29</v>
      </c>
      <c r="AG12" s="20">
        <v>71</v>
      </c>
      <c r="AH12" s="20">
        <v>42</v>
      </c>
      <c r="AI12" s="20">
        <v>93</v>
      </c>
      <c r="AJ12" s="20">
        <v>112</v>
      </c>
      <c r="AK12" s="20">
        <v>74</v>
      </c>
      <c r="AL12" s="20">
        <v>35</v>
      </c>
      <c r="AM12" s="20">
        <v>27</v>
      </c>
      <c r="AN12" s="20">
        <v>22</v>
      </c>
      <c r="AO12" s="20">
        <v>95</v>
      </c>
      <c r="AP12" s="2">
        <v>3</v>
      </c>
      <c r="AQ12" t="s">
        <v>93</v>
      </c>
      <c r="AR12"/>
      <c r="AS12"/>
      <c r="AT12"/>
    </row>
    <row r="13" spans="1:1014" ht="24.75" customHeight="1" x14ac:dyDescent="0.25">
      <c r="A13" s="14" t="s">
        <v>91</v>
      </c>
      <c r="B13" s="23" t="s">
        <v>88</v>
      </c>
      <c r="C13" s="15" t="s">
        <v>69</v>
      </c>
      <c r="D13" s="16">
        <v>40</v>
      </c>
      <c r="E13" s="12" t="s">
        <v>31</v>
      </c>
      <c r="F13" s="19">
        <v>56</v>
      </c>
      <c r="G13" s="15" t="s">
        <v>70</v>
      </c>
      <c r="H13" s="15" t="s">
        <v>45</v>
      </c>
      <c r="I13" s="19">
        <v>45</v>
      </c>
      <c r="J13" s="19">
        <v>54</v>
      </c>
      <c r="K13" s="19">
        <v>18</v>
      </c>
      <c r="L13" s="19">
        <v>14</v>
      </c>
      <c r="M13" s="19">
        <v>82</v>
      </c>
      <c r="N13" s="19">
        <v>78</v>
      </c>
      <c r="O13" s="19">
        <v>92</v>
      </c>
      <c r="P13" s="19">
        <v>68</v>
      </c>
      <c r="Q13" s="19">
        <v>38</v>
      </c>
      <c r="R13" s="19">
        <v>45</v>
      </c>
      <c r="S13" s="19">
        <v>55</v>
      </c>
      <c r="T13" s="19">
        <v>16</v>
      </c>
      <c r="U13" s="19">
        <v>12</v>
      </c>
      <c r="V13" s="19">
        <v>25</v>
      </c>
      <c r="W13" s="19">
        <v>23</v>
      </c>
      <c r="X13" s="1">
        <v>25</v>
      </c>
      <c r="Y13" s="1">
        <v>68</v>
      </c>
      <c r="Z13" s="1">
        <v>38</v>
      </c>
      <c r="AA13" s="1">
        <v>45</v>
      </c>
      <c r="AB13" s="1">
        <v>22</v>
      </c>
      <c r="AC13" s="1">
        <v>16</v>
      </c>
      <c r="AD13" s="1">
        <v>25</v>
      </c>
      <c r="AE13" s="1">
        <v>23</v>
      </c>
      <c r="AF13" s="1">
        <v>25</v>
      </c>
      <c r="AG13" s="19">
        <v>68</v>
      </c>
      <c r="AH13" s="19">
        <v>38</v>
      </c>
      <c r="AI13" s="19">
        <v>72</v>
      </c>
      <c r="AJ13" s="19">
        <v>90</v>
      </c>
      <c r="AK13" s="19">
        <v>64</v>
      </c>
      <c r="AL13" s="19">
        <v>31</v>
      </c>
      <c r="AM13" s="19">
        <v>24</v>
      </c>
      <c r="AN13" s="19">
        <v>19</v>
      </c>
      <c r="AO13" s="19">
        <v>90</v>
      </c>
      <c r="AP13" s="2">
        <v>3</v>
      </c>
      <c r="AQ13" t="s">
        <v>93</v>
      </c>
    </row>
    <row r="14" spans="1:1014" ht="24.75" customHeight="1" x14ac:dyDescent="0.25">
      <c r="A14" s="14" t="s">
        <v>92</v>
      </c>
      <c r="B14" s="23" t="s">
        <v>89</v>
      </c>
      <c r="C14" s="15" t="s">
        <v>69</v>
      </c>
      <c r="D14" s="16">
        <v>39</v>
      </c>
      <c r="E14" s="12" t="s">
        <v>32</v>
      </c>
      <c r="F14" s="19">
        <v>53</v>
      </c>
      <c r="G14" s="15" t="s">
        <v>70</v>
      </c>
      <c r="H14" s="15" t="s">
        <v>45</v>
      </c>
      <c r="I14" s="19">
        <v>46</v>
      </c>
      <c r="J14" s="19">
        <v>60</v>
      </c>
      <c r="K14" s="19">
        <v>19</v>
      </c>
      <c r="L14" s="19">
        <v>14</v>
      </c>
      <c r="M14" s="19">
        <v>105</v>
      </c>
      <c r="N14" s="19">
        <v>97</v>
      </c>
      <c r="O14" s="19">
        <v>109</v>
      </c>
      <c r="P14" s="19">
        <v>71</v>
      </c>
      <c r="Q14" s="19">
        <v>41</v>
      </c>
      <c r="R14" s="19">
        <v>46</v>
      </c>
      <c r="S14" s="19">
        <v>61</v>
      </c>
      <c r="T14" s="19">
        <v>17</v>
      </c>
      <c r="U14" s="19">
        <v>12</v>
      </c>
      <c r="V14" s="19">
        <v>28</v>
      </c>
      <c r="W14" s="19">
        <v>26</v>
      </c>
      <c r="X14" s="1">
        <v>28</v>
      </c>
      <c r="Y14" s="1">
        <v>71</v>
      </c>
      <c r="Z14" s="1">
        <v>41</v>
      </c>
      <c r="AA14" s="1">
        <v>46</v>
      </c>
      <c r="AB14" s="1">
        <v>25</v>
      </c>
      <c r="AC14" s="1">
        <v>17</v>
      </c>
      <c r="AD14" s="1">
        <v>28</v>
      </c>
      <c r="AE14" s="1">
        <v>26</v>
      </c>
      <c r="AF14" s="1">
        <v>28</v>
      </c>
      <c r="AG14" s="19">
        <v>71</v>
      </c>
      <c r="AH14" s="19">
        <v>41</v>
      </c>
      <c r="AI14" s="19">
        <v>89</v>
      </c>
      <c r="AJ14" s="19">
        <v>106</v>
      </c>
      <c r="AK14" s="19">
        <v>68</v>
      </c>
      <c r="AL14" s="19">
        <v>33</v>
      </c>
      <c r="AM14" s="19">
        <v>25</v>
      </c>
      <c r="AN14" s="19">
        <v>19</v>
      </c>
      <c r="AO14" s="19">
        <v>96</v>
      </c>
      <c r="AP14" s="2">
        <v>3</v>
      </c>
      <c r="AQ14" t="s">
        <v>93</v>
      </c>
    </row>
    <row r="15" spans="1:1014" ht="24.75" customHeight="1" x14ac:dyDescent="0.25">
      <c r="A15" s="14"/>
      <c r="B15" s="23"/>
      <c r="C15" s="15"/>
      <c r="D15" s="16"/>
      <c r="F15" s="19"/>
      <c r="G15" s="15"/>
      <c r="H15" s="15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AG15" s="19"/>
      <c r="AH15" s="19"/>
      <c r="AI15" s="19"/>
      <c r="AJ15" s="19"/>
      <c r="AK15" s="19"/>
      <c r="AL15" s="19"/>
      <c r="AM15" s="19"/>
      <c r="AN15" s="19"/>
      <c r="AO15" s="19"/>
      <c r="AQ15"/>
    </row>
    <row r="16" spans="1:1014" ht="24.75" customHeight="1" x14ac:dyDescent="0.25">
      <c r="A16" s="14"/>
      <c r="B16" s="23"/>
      <c r="C16" s="15"/>
      <c r="D16" s="16"/>
      <c r="F16" s="19"/>
      <c r="G16" s="15"/>
      <c r="H16" s="15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19"/>
      <c r="V16" s="19"/>
      <c r="W16" s="19"/>
      <c r="AG16" s="19"/>
      <c r="AH16" s="19"/>
      <c r="AI16" s="19"/>
      <c r="AJ16" s="19"/>
      <c r="AK16" s="19"/>
      <c r="AL16" s="19"/>
      <c r="AM16" s="19"/>
      <c r="AN16" s="19"/>
      <c r="AO16" s="19"/>
      <c r="AQ16"/>
    </row>
    <row r="17" spans="1:43" ht="24.75" customHeight="1" x14ac:dyDescent="0.25">
      <c r="A17" s="14"/>
      <c r="B17" s="23"/>
      <c r="C17" s="15"/>
      <c r="D17" s="16"/>
      <c r="F17" s="19"/>
      <c r="G17" s="15"/>
      <c r="H17" s="15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19"/>
      <c r="V17" s="19"/>
      <c r="W17" s="19"/>
      <c r="AG17" s="19"/>
      <c r="AH17" s="19"/>
      <c r="AI17" s="19"/>
      <c r="AJ17" s="19"/>
      <c r="AK17" s="19"/>
      <c r="AL17" s="19"/>
      <c r="AM17" s="19"/>
      <c r="AN17" s="19"/>
      <c r="AO17" s="19"/>
      <c r="AQ17"/>
    </row>
    <row r="18" spans="1:43" ht="24.75" customHeight="1" x14ac:dyDescent="0.25">
      <c r="A18" s="14"/>
      <c r="B18" s="23"/>
      <c r="C18" s="15"/>
      <c r="D18" s="16"/>
      <c r="F18" s="19"/>
      <c r="G18" s="15"/>
      <c r="H18" s="15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19"/>
      <c r="V18" s="19"/>
      <c r="W18" s="19"/>
      <c r="AG18" s="19"/>
      <c r="AH18" s="19"/>
      <c r="AI18" s="19"/>
      <c r="AJ18" s="19"/>
      <c r="AK18" s="19"/>
      <c r="AL18" s="19"/>
      <c r="AM18" s="19"/>
      <c r="AN18" s="19"/>
      <c r="AO18" s="19"/>
      <c r="AQ18"/>
    </row>
    <row r="19" spans="1:43" ht="24.75" customHeight="1" x14ac:dyDescent="0.25">
      <c r="A19" s="14"/>
      <c r="B19" s="23"/>
      <c r="C19" s="15"/>
      <c r="D19" s="16"/>
      <c r="F19" s="19"/>
      <c r="G19" s="15"/>
      <c r="H19" s="15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AG19" s="19"/>
      <c r="AH19" s="19"/>
      <c r="AI19" s="19"/>
      <c r="AJ19" s="19"/>
      <c r="AK19" s="19"/>
      <c r="AL19" s="19"/>
      <c r="AM19" s="19"/>
      <c r="AN19" s="19"/>
      <c r="AO19" s="19"/>
      <c r="AQ19"/>
    </row>
    <row r="20" spans="1:43" ht="24.75" customHeight="1" x14ac:dyDescent="0.25">
      <c r="A20" s="14"/>
      <c r="B20" s="23"/>
      <c r="C20" s="15"/>
      <c r="D20" s="16"/>
      <c r="F20" s="19"/>
      <c r="G20" s="15"/>
      <c r="H20" s="15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19"/>
      <c r="V20" s="19"/>
      <c r="W20" s="19"/>
      <c r="AG20" s="19"/>
      <c r="AH20" s="19"/>
      <c r="AI20" s="19"/>
      <c r="AJ20" s="19"/>
      <c r="AK20" s="19"/>
      <c r="AL20" s="19"/>
      <c r="AM20" s="19"/>
      <c r="AN20" s="19"/>
      <c r="AO20" s="19"/>
      <c r="AQ20"/>
    </row>
    <row r="21" spans="1:43" ht="24.75" customHeight="1" x14ac:dyDescent="0.25">
      <c r="A21" s="14"/>
      <c r="B21" s="23"/>
      <c r="C21" s="15"/>
      <c r="D21" s="16"/>
      <c r="F21" s="19"/>
      <c r="G21" s="15"/>
      <c r="H21" s="15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19"/>
      <c r="V21" s="19"/>
      <c r="W21" s="19"/>
      <c r="AG21" s="19"/>
      <c r="AH21" s="19"/>
      <c r="AI21" s="19"/>
      <c r="AJ21" s="19"/>
      <c r="AK21" s="19"/>
      <c r="AL21" s="19"/>
      <c r="AM21" s="19"/>
      <c r="AN21" s="19"/>
      <c r="AO21" s="19"/>
      <c r="AQ21"/>
    </row>
    <row r="22" spans="1:43" ht="24.75" customHeight="1" x14ac:dyDescent="0.25">
      <c r="A22" s="14"/>
      <c r="B22" s="23"/>
      <c r="C22" s="15"/>
      <c r="D22" s="16"/>
      <c r="F22" s="19"/>
      <c r="G22" s="15"/>
      <c r="H22" s="15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19"/>
      <c r="V22" s="19"/>
      <c r="W22" s="19"/>
      <c r="AG22" s="19"/>
      <c r="AH22" s="19"/>
      <c r="AI22" s="19"/>
      <c r="AJ22" s="19"/>
      <c r="AK22" s="19"/>
      <c r="AL22" s="19"/>
      <c r="AM22" s="19"/>
      <c r="AN22" s="19"/>
      <c r="AO22" s="19"/>
      <c r="AQ22"/>
    </row>
    <row r="23" spans="1:43" ht="24.75" customHeight="1" x14ac:dyDescent="0.25">
      <c r="A23" s="14"/>
      <c r="B23" s="23"/>
      <c r="C23" s="15"/>
      <c r="D23" s="16"/>
      <c r="F23" s="19"/>
      <c r="G23" s="15"/>
      <c r="H23" s="15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19"/>
      <c r="V23" s="19"/>
      <c r="W23" s="19"/>
      <c r="AG23" s="19"/>
      <c r="AH23" s="19"/>
      <c r="AI23" s="19"/>
      <c r="AJ23" s="19"/>
      <c r="AK23" s="19"/>
      <c r="AL23" s="19"/>
      <c r="AM23" s="19"/>
      <c r="AN23" s="19"/>
      <c r="AO23" s="19"/>
      <c r="AQ23"/>
    </row>
    <row r="24" spans="1:43" ht="24.75" customHeight="1" x14ac:dyDescent="0.25">
      <c r="A24" s="14"/>
      <c r="B24" s="23"/>
      <c r="C24" s="15"/>
      <c r="D24" s="16"/>
      <c r="F24" s="19"/>
      <c r="G24" s="15"/>
      <c r="H24" s="15"/>
      <c r="I24" s="19"/>
      <c r="J24" s="19"/>
      <c r="K24" s="19"/>
      <c r="L24" s="19"/>
      <c r="M24" s="19"/>
      <c r="N24" s="19"/>
      <c r="O24" s="19"/>
      <c r="P24" s="19"/>
      <c r="Q24" s="19"/>
      <c r="R24" s="19"/>
      <c r="S24" s="19"/>
      <c r="T24" s="19"/>
      <c r="U24" s="19"/>
      <c r="V24" s="19"/>
      <c r="W24" s="19"/>
      <c r="AG24" s="19"/>
      <c r="AH24" s="19"/>
      <c r="AI24" s="19"/>
      <c r="AJ24" s="19"/>
      <c r="AK24" s="19"/>
      <c r="AL24" s="19"/>
      <c r="AM24" s="19"/>
      <c r="AN24" s="19"/>
      <c r="AO24" s="19"/>
      <c r="AQ24"/>
    </row>
    <row r="25" spans="1:43" ht="24.75" customHeight="1" x14ac:dyDescent="0.25">
      <c r="A25" s="14"/>
      <c r="B25" s="23"/>
      <c r="C25" s="15"/>
      <c r="D25" s="16"/>
      <c r="F25" s="19"/>
      <c r="G25" s="15"/>
      <c r="H25" s="15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AG25" s="19"/>
      <c r="AH25" s="19"/>
      <c r="AI25" s="19"/>
      <c r="AJ25" s="19"/>
      <c r="AK25" s="19"/>
      <c r="AL25" s="19"/>
      <c r="AM25" s="19"/>
      <c r="AN25" s="19"/>
      <c r="AO25" s="19"/>
      <c r="AQ25"/>
    </row>
    <row r="26" spans="1:43" ht="24.75" customHeight="1" x14ac:dyDescent="0.25">
      <c r="A26" s="14"/>
      <c r="B26" s="23"/>
      <c r="C26" s="15"/>
      <c r="D26" s="16"/>
      <c r="F26" s="19"/>
      <c r="G26" s="15"/>
      <c r="H26" s="15"/>
      <c r="I26" s="19"/>
      <c r="J26" s="19"/>
      <c r="K26" s="19"/>
      <c r="L26" s="19"/>
      <c r="M26" s="19"/>
      <c r="N26" s="19"/>
      <c r="O26" s="19"/>
      <c r="P26" s="19"/>
      <c r="Q26" s="19"/>
      <c r="R26" s="19"/>
      <c r="S26" s="19"/>
      <c r="T26" s="19"/>
      <c r="U26" s="19"/>
      <c r="V26" s="19"/>
      <c r="W26" s="19"/>
      <c r="AG26" s="19"/>
      <c r="AH26" s="19"/>
      <c r="AI26" s="19"/>
      <c r="AJ26" s="19"/>
      <c r="AK26" s="19"/>
      <c r="AL26" s="19"/>
      <c r="AM26" s="19"/>
      <c r="AN26" s="19"/>
      <c r="AO26" s="19"/>
      <c r="AQ26"/>
    </row>
    <row r="27" spans="1:43" ht="24.75" customHeight="1" x14ac:dyDescent="0.25">
      <c r="A27" s="14"/>
      <c r="B27" s="23"/>
      <c r="C27" s="15"/>
      <c r="D27" s="16"/>
      <c r="F27" s="19"/>
      <c r="G27" s="15"/>
      <c r="H27" s="15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AG27" s="19"/>
      <c r="AH27" s="19"/>
      <c r="AI27" s="19"/>
      <c r="AJ27" s="19"/>
      <c r="AK27" s="19"/>
      <c r="AL27" s="19"/>
      <c r="AM27" s="19"/>
      <c r="AN27" s="19"/>
      <c r="AO27" s="19"/>
      <c r="AQ27"/>
    </row>
    <row r="28" spans="1:43" ht="24.75" customHeight="1" x14ac:dyDescent="0.25">
      <c r="A28" s="14"/>
      <c r="B28" s="23"/>
      <c r="C28" s="15"/>
      <c r="D28" s="16"/>
      <c r="F28" s="19"/>
      <c r="G28" s="15"/>
      <c r="H28" s="15"/>
      <c r="I28" s="19"/>
      <c r="J28" s="19"/>
      <c r="K28" s="19"/>
      <c r="L28" s="19"/>
      <c r="M28" s="19"/>
      <c r="N28" s="19"/>
      <c r="O28" s="19"/>
      <c r="P28" s="19"/>
      <c r="Q28" s="19"/>
      <c r="R28" s="19"/>
      <c r="S28" s="19"/>
      <c r="T28" s="19"/>
      <c r="U28" s="19"/>
      <c r="V28" s="19"/>
      <c r="W28" s="19"/>
      <c r="AG28" s="19"/>
      <c r="AH28" s="19"/>
      <c r="AI28" s="19"/>
      <c r="AJ28" s="19"/>
      <c r="AK28" s="19"/>
      <c r="AL28" s="19"/>
      <c r="AM28" s="19"/>
      <c r="AN28" s="19"/>
      <c r="AO28" s="19"/>
      <c r="AQ28"/>
    </row>
    <row r="29" spans="1:43" ht="24.75" customHeight="1" x14ac:dyDescent="0.25">
      <c r="A29" s="14"/>
      <c r="B29" s="23"/>
      <c r="C29" s="15"/>
      <c r="F29" s="19"/>
      <c r="G29" s="15"/>
      <c r="H29" s="15"/>
      <c r="I29" s="19"/>
      <c r="J29" s="19"/>
      <c r="K29" s="19"/>
      <c r="L29" s="19"/>
      <c r="M29" s="19"/>
      <c r="N29" s="19"/>
      <c r="O29" s="19"/>
      <c r="P29" s="19"/>
      <c r="Q29" s="19"/>
      <c r="R29" s="19"/>
      <c r="S29" s="19"/>
      <c r="T29" s="19"/>
      <c r="U29" s="19"/>
      <c r="V29" s="19"/>
      <c r="W29" s="19"/>
      <c r="AG29" s="19"/>
      <c r="AH29" s="19"/>
      <c r="AI29" s="19"/>
      <c r="AJ29" s="19"/>
      <c r="AK29" s="19"/>
      <c r="AL29" s="19"/>
      <c r="AM29" s="19"/>
      <c r="AN29" s="19"/>
      <c r="AO29" s="19"/>
      <c r="AQ29"/>
    </row>
    <row r="30" spans="1:43" ht="24.75" customHeight="1" x14ac:dyDescent="0.25">
      <c r="A30" s="14"/>
      <c r="B30" s="23"/>
      <c r="C30" s="15"/>
      <c r="F30" s="19"/>
      <c r="G30" s="15"/>
      <c r="H30" s="15"/>
      <c r="I30" s="19"/>
      <c r="J30" s="19"/>
      <c r="K30" s="19"/>
      <c r="L30" s="19"/>
      <c r="M30" s="19"/>
      <c r="N30" s="19"/>
      <c r="O30" s="19"/>
      <c r="P30" s="19"/>
      <c r="Q30" s="19"/>
      <c r="R30" s="19"/>
      <c r="S30" s="19"/>
      <c r="T30" s="19"/>
      <c r="U30" s="19"/>
      <c r="V30" s="19"/>
      <c r="W30" s="19"/>
      <c r="AG30" s="19"/>
      <c r="AH30" s="19"/>
      <c r="AI30" s="19"/>
      <c r="AJ30" s="19"/>
      <c r="AK30" s="19"/>
      <c r="AL30" s="19"/>
      <c r="AM30" s="19"/>
      <c r="AN30" s="19"/>
      <c r="AO30" s="19"/>
      <c r="AQ30"/>
    </row>
    <row r="31" spans="1:43" ht="24.75" customHeight="1" x14ac:dyDescent="0.25">
      <c r="A31" s="14"/>
      <c r="B31" s="23"/>
      <c r="C31" s="15"/>
      <c r="F31" s="19"/>
      <c r="G31" s="15"/>
      <c r="H31" s="15"/>
      <c r="I31" s="19"/>
      <c r="J31" s="19"/>
      <c r="K31" s="19"/>
      <c r="L31" s="19"/>
      <c r="M31" s="19"/>
      <c r="N31" s="19"/>
      <c r="O31" s="19"/>
      <c r="P31" s="19"/>
      <c r="Q31" s="19"/>
      <c r="R31" s="19"/>
      <c r="S31" s="19"/>
      <c r="T31" s="19"/>
      <c r="U31" s="19"/>
      <c r="V31" s="19"/>
      <c r="W31" s="19"/>
      <c r="AG31" s="1"/>
      <c r="AH31" s="19"/>
      <c r="AI31" s="19"/>
      <c r="AJ31" s="19"/>
      <c r="AK31" s="19"/>
      <c r="AL31" s="19"/>
      <c r="AM31" s="19"/>
      <c r="AN31" s="19"/>
      <c r="AO31" s="19"/>
      <c r="AQ31"/>
    </row>
    <row r="32" spans="1:43" ht="24.75" customHeight="1" x14ac:dyDescent="0.25">
      <c r="A32" s="14"/>
      <c r="B32" s="23"/>
      <c r="C32" s="15"/>
      <c r="F32" s="19"/>
      <c r="G32" s="15"/>
      <c r="H32" s="15"/>
      <c r="I32" s="19"/>
      <c r="J32" s="19"/>
      <c r="K32" s="19"/>
      <c r="L32" s="19"/>
      <c r="M32" s="19"/>
      <c r="N32" s="19"/>
      <c r="O32" s="19"/>
      <c r="P32" s="19"/>
      <c r="Q32" s="19"/>
      <c r="R32" s="19"/>
      <c r="S32" s="19"/>
      <c r="T32" s="19"/>
      <c r="U32" s="19"/>
      <c r="V32" s="19"/>
      <c r="W32" s="19"/>
      <c r="AG32" s="1"/>
      <c r="AH32" s="19"/>
      <c r="AI32" s="19"/>
      <c r="AJ32" s="19"/>
      <c r="AK32" s="19"/>
      <c r="AL32" s="19"/>
      <c r="AM32" s="19"/>
      <c r="AN32" s="19"/>
      <c r="AO32" s="19"/>
      <c r="AQ32"/>
    </row>
    <row r="33" spans="1:43" ht="24.75" customHeight="1" x14ac:dyDescent="0.25">
      <c r="A33" s="14"/>
      <c r="B33" s="23"/>
      <c r="C33" s="15"/>
      <c r="F33" s="19"/>
      <c r="G33" s="15"/>
      <c r="H33" s="15"/>
      <c r="I33" s="19"/>
      <c r="J33" s="19"/>
      <c r="K33" s="19"/>
      <c r="L33" s="19"/>
      <c r="M33" s="19"/>
      <c r="N33" s="19"/>
      <c r="O33" s="19"/>
      <c r="P33" s="19"/>
      <c r="Q33" s="19"/>
      <c r="R33" s="19"/>
      <c r="S33" s="19"/>
      <c r="T33" s="19"/>
      <c r="U33" s="19"/>
      <c r="V33" s="19"/>
      <c r="W33" s="19"/>
      <c r="AG33" s="19"/>
      <c r="AH33" s="19"/>
      <c r="AI33" s="19"/>
      <c r="AJ33" s="19"/>
      <c r="AK33" s="19"/>
      <c r="AL33" s="19"/>
      <c r="AM33" s="19"/>
      <c r="AN33" s="19"/>
      <c r="AO33" s="19"/>
      <c r="AQ33"/>
    </row>
    <row r="34" spans="1:43" ht="24.75" customHeight="1" x14ac:dyDescent="0.25">
      <c r="A34" s="14"/>
      <c r="B34" s="23"/>
      <c r="C34" s="15"/>
      <c r="F34" s="19"/>
      <c r="G34" s="15"/>
      <c r="H34" s="15"/>
      <c r="I34" s="19"/>
      <c r="J34" s="19"/>
      <c r="K34" s="19"/>
      <c r="L34" s="19"/>
      <c r="M34" s="19"/>
      <c r="N34" s="19"/>
      <c r="O34" s="19"/>
      <c r="P34" s="19"/>
      <c r="Q34" s="19"/>
      <c r="R34" s="19"/>
      <c r="S34" s="19"/>
      <c r="T34" s="19"/>
      <c r="U34" s="19"/>
      <c r="V34" s="19"/>
      <c r="W34" s="1"/>
      <c r="AF34" s="19"/>
      <c r="AG34" s="19"/>
      <c r="AH34" s="19"/>
      <c r="AI34" s="19"/>
      <c r="AJ34" s="19"/>
      <c r="AK34" s="19"/>
      <c r="AL34" s="19"/>
      <c r="AM34" s="19"/>
      <c r="AN34" s="19"/>
      <c r="AO34" s="1"/>
      <c r="AQ34"/>
    </row>
    <row r="35" spans="1:43" ht="24.75" customHeight="1" x14ac:dyDescent="0.25">
      <c r="A35" s="14"/>
      <c r="B35" s="23"/>
      <c r="C35" s="15"/>
      <c r="F35" s="19"/>
      <c r="G35" s="15"/>
      <c r="H35" s="15"/>
      <c r="I35" s="19"/>
      <c r="J35" s="19"/>
      <c r="K35" s="19"/>
      <c r="L35" s="19"/>
      <c r="M35" s="19"/>
      <c r="N35" s="19"/>
      <c r="O35" s="19"/>
      <c r="P35" s="19"/>
      <c r="Q35" s="19"/>
      <c r="R35" s="19"/>
      <c r="S35" s="19"/>
      <c r="T35" s="19"/>
      <c r="U35" s="19"/>
      <c r="V35" s="19"/>
      <c r="W35" s="19"/>
      <c r="AG35" s="19"/>
      <c r="AH35" s="19"/>
      <c r="AI35" s="19"/>
      <c r="AJ35" s="19"/>
      <c r="AK35" s="19"/>
      <c r="AL35" s="19"/>
      <c r="AM35" s="19"/>
      <c r="AN35" s="19"/>
      <c r="AO35" s="19"/>
      <c r="AQ35"/>
    </row>
    <row r="36" spans="1:43" ht="24.75" customHeight="1" x14ac:dyDescent="0.25">
      <c r="A36" s="14"/>
      <c r="B36" s="23"/>
      <c r="C36" s="15"/>
      <c r="F36" s="19"/>
      <c r="G36" s="15"/>
      <c r="H36" s="15"/>
      <c r="I36" s="19"/>
      <c r="J36" s="19"/>
      <c r="K36" s="19"/>
      <c r="L36" s="19"/>
      <c r="M36" s="19"/>
      <c r="N36" s="19"/>
      <c r="O36" s="19"/>
      <c r="P36" s="19"/>
      <c r="Q36" s="19"/>
      <c r="R36" s="19"/>
      <c r="S36" s="19"/>
      <c r="T36" s="19"/>
      <c r="U36" s="19"/>
      <c r="V36" s="19"/>
      <c r="W36" s="19"/>
      <c r="AG36" s="19"/>
      <c r="AH36" s="19"/>
      <c r="AI36" s="19"/>
      <c r="AJ36" s="19"/>
      <c r="AK36" s="19"/>
      <c r="AL36" s="19"/>
      <c r="AM36" s="19"/>
      <c r="AN36" s="19"/>
      <c r="AO36" s="19"/>
      <c r="AQ36"/>
    </row>
    <row r="37" spans="1:43" ht="24.75" customHeight="1" x14ac:dyDescent="0.25">
      <c r="A37" s="14"/>
      <c r="B37" s="23"/>
      <c r="C37" s="15"/>
      <c r="F37" s="19"/>
      <c r="G37" s="15"/>
      <c r="H37" s="15"/>
      <c r="I37" s="19"/>
      <c r="J37" s="19"/>
      <c r="K37" s="19"/>
      <c r="L37" s="19"/>
      <c r="M37" s="19"/>
      <c r="N37" s="19"/>
      <c r="O37" s="19"/>
      <c r="P37" s="19"/>
      <c r="Q37" s="19"/>
      <c r="R37" s="19"/>
      <c r="S37" s="19"/>
      <c r="T37" s="19"/>
      <c r="U37" s="19"/>
      <c r="V37" s="19"/>
      <c r="W37" s="19"/>
      <c r="AG37" s="19"/>
      <c r="AH37" s="19"/>
      <c r="AI37" s="19"/>
      <c r="AJ37" s="19"/>
      <c r="AK37" s="19"/>
      <c r="AL37" s="19"/>
      <c r="AM37" s="19"/>
      <c r="AN37" s="19"/>
      <c r="AO37" s="19"/>
      <c r="AQ37"/>
    </row>
    <row r="38" spans="1:43" ht="24.75" customHeight="1" x14ac:dyDescent="0.25">
      <c r="A38" s="14"/>
      <c r="C38" s="15"/>
      <c r="F38" s="19"/>
      <c r="G38" s="15"/>
      <c r="H38" s="15"/>
      <c r="I38" s="19"/>
      <c r="J38" s="19"/>
      <c r="K38" s="19"/>
      <c r="L38" s="19"/>
      <c r="M38" s="19"/>
      <c r="N38" s="19"/>
      <c r="O38" s="19"/>
      <c r="P38" s="19"/>
      <c r="Q38" s="19"/>
      <c r="R38" s="19"/>
      <c r="S38" s="19"/>
      <c r="T38" s="19"/>
      <c r="U38" s="19"/>
      <c r="V38" s="19"/>
      <c r="W38" s="19"/>
      <c r="AG38" s="19"/>
      <c r="AH38" s="19"/>
      <c r="AI38" s="19"/>
      <c r="AJ38" s="19"/>
      <c r="AK38" s="19"/>
      <c r="AL38" s="19"/>
      <c r="AM38" s="19"/>
      <c r="AN38" s="19"/>
      <c r="AO38" s="19"/>
    </row>
    <row r="39" spans="1:43" ht="24.75" customHeight="1" x14ac:dyDescent="0.25">
      <c r="A39" s="14"/>
      <c r="C39" s="15"/>
      <c r="F39" s="19"/>
      <c r="G39" s="15"/>
      <c r="H39" s="15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AG39" s="19"/>
      <c r="AH39" s="19"/>
      <c r="AI39" s="19"/>
      <c r="AJ39" s="19"/>
      <c r="AK39" s="19"/>
      <c r="AL39" s="19"/>
      <c r="AM39" s="19"/>
      <c r="AN39" s="19"/>
      <c r="AO39" s="19"/>
    </row>
    <row r="40" spans="1:43" ht="24.75" customHeight="1" x14ac:dyDescent="0.25">
      <c r="A40" s="14"/>
      <c r="C40" s="15"/>
      <c r="F40" s="19"/>
      <c r="G40" s="15"/>
      <c r="H40" s="15"/>
      <c r="I40" s="19"/>
      <c r="J40" s="19"/>
      <c r="K40" s="19"/>
      <c r="L40" s="19"/>
      <c r="M40" s="19"/>
      <c r="N40" s="19"/>
      <c r="O40" s="19"/>
      <c r="P40" s="19"/>
      <c r="Q40" s="19"/>
      <c r="R40" s="19"/>
      <c r="S40" s="19"/>
      <c r="T40" s="19"/>
      <c r="U40" s="19"/>
      <c r="V40" s="19"/>
      <c r="W40" s="19"/>
      <c r="AG40" s="19"/>
      <c r="AH40" s="19"/>
      <c r="AI40" s="19"/>
      <c r="AJ40" s="19"/>
      <c r="AK40" s="19"/>
      <c r="AL40" s="19"/>
      <c r="AM40" s="19"/>
      <c r="AN40" s="19"/>
      <c r="AO40" s="19"/>
    </row>
    <row r="41" spans="1:43" ht="24.75" customHeight="1" x14ac:dyDescent="0.25">
      <c r="A41" s="14"/>
      <c r="C41" s="15"/>
      <c r="F41" s="19"/>
      <c r="G41" s="15"/>
      <c r="H41" s="15"/>
      <c r="I41" s="19"/>
      <c r="J41" s="19"/>
      <c r="L41" s="19"/>
      <c r="M41" s="19"/>
      <c r="N41" s="19"/>
      <c r="O41" s="19"/>
      <c r="P41" s="19"/>
      <c r="Q41" s="19"/>
      <c r="R41" s="19"/>
      <c r="S41" s="19"/>
      <c r="T41" s="19"/>
      <c r="U41" s="19"/>
      <c r="V41" s="19"/>
      <c r="W41" s="19"/>
      <c r="AG41" s="19"/>
      <c r="AH41" s="19"/>
      <c r="AI41" s="19"/>
      <c r="AJ41" s="19"/>
      <c r="AK41" s="19"/>
      <c r="AL41" s="19"/>
      <c r="AM41" s="19"/>
      <c r="AN41" s="19"/>
      <c r="AO41" s="19"/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7"/>
    </row>
    <row r="4" spans="6:6" ht="15.75" x14ac:dyDescent="0.25">
      <c r="F4" s="7"/>
    </row>
    <row r="5" spans="6:6" ht="15.75" x14ac:dyDescent="0.25">
      <c r="F5" s="7"/>
    </row>
    <row r="6" spans="6:6" ht="15.75" x14ac:dyDescent="0.25">
      <c r="F6" s="7"/>
    </row>
    <row r="7" spans="6:6" ht="15.75" x14ac:dyDescent="0.25">
      <c r="F7" s="7"/>
    </row>
    <row r="8" spans="6:6" ht="15.75" x14ac:dyDescent="0.25">
      <c r="F8" s="7"/>
    </row>
    <row r="9" spans="6:6" ht="15.75" x14ac:dyDescent="0.25">
      <c r="F9" s="7"/>
    </row>
    <row r="10" spans="6:6" ht="15.75" x14ac:dyDescent="0.25">
      <c r="F10" s="7"/>
    </row>
    <row r="11" spans="6:6" ht="15.75" x14ac:dyDescent="0.25">
      <c r="F11" s="7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R79"/>
  <sheetViews>
    <sheetView zoomScale="145" zoomScaleNormal="145" workbookViewId="0">
      <selection activeCell="Q3" sqref="Q3:Q14"/>
    </sheetView>
  </sheetViews>
  <sheetFormatPr defaultColWidth="8.5703125" defaultRowHeight="15" x14ac:dyDescent="0.25"/>
  <cols>
    <col min="8" max="12" width="8.5703125" customWidth="1"/>
    <col min="13" max="13" width="10.42578125" style="1" customWidth="1"/>
  </cols>
  <sheetData>
    <row r="1" spans="1:18" x14ac:dyDescent="0.25">
      <c r="M1" s="5"/>
    </row>
    <row r="2" spans="1:18" x14ac:dyDescent="0.25">
      <c r="A2" t="s">
        <v>38</v>
      </c>
      <c r="G2" t="s">
        <v>39</v>
      </c>
      <c r="M2" s="1" t="s">
        <v>40</v>
      </c>
    </row>
    <row r="3" spans="1:18" x14ac:dyDescent="0.25">
      <c r="A3" t="s">
        <v>41</v>
      </c>
      <c r="B3" t="s">
        <v>42</v>
      </c>
      <c r="E3" s="24" t="s">
        <v>61</v>
      </c>
      <c r="G3" t="s">
        <v>43</v>
      </c>
      <c r="H3" t="s">
        <v>42</v>
      </c>
      <c r="K3" s="24" t="s">
        <v>61</v>
      </c>
      <c r="M3" s="1" t="s">
        <v>43</v>
      </c>
      <c r="N3" t="s">
        <v>42</v>
      </c>
      <c r="Q3" s="24" t="s">
        <v>61</v>
      </c>
    </row>
    <row r="4" spans="1:18" ht="15.75" x14ac:dyDescent="0.25">
      <c r="A4" s="1" t="s">
        <v>32</v>
      </c>
      <c r="B4">
        <f>COUNTIF(SEMUA!$E$2:$E$52,REKAP!A4)</f>
        <v>5</v>
      </c>
      <c r="C4">
        <v>3</v>
      </c>
      <c r="D4">
        <f>SUM(B4:C4)</f>
        <v>8</v>
      </c>
      <c r="E4" s="24">
        <v>25</v>
      </c>
      <c r="G4">
        <v>37</v>
      </c>
      <c r="H4">
        <f>COUNTIF(SEMUA!$D$1:$D$52,G4)</f>
        <v>0</v>
      </c>
      <c r="J4">
        <f>SUM(H4:I4)</f>
        <v>0</v>
      </c>
      <c r="K4" s="24">
        <v>0</v>
      </c>
      <c r="M4" s="8">
        <v>53</v>
      </c>
      <c r="N4">
        <f>COUNTIF(SEMUA!$F$2:$F$52,M4)</f>
        <v>1</v>
      </c>
      <c r="P4">
        <f>SUM(N4:O4)</f>
        <v>1</v>
      </c>
      <c r="Q4" s="24">
        <v>1</v>
      </c>
    </row>
    <row r="5" spans="1:18" ht="15.75" x14ac:dyDescent="0.25">
      <c r="A5" s="7" t="s">
        <v>31</v>
      </c>
      <c r="B5">
        <f>COUNTIF(SEMUA!$E$2:$E$52,REKAP!A5)</f>
        <v>3</v>
      </c>
      <c r="C5">
        <v>5</v>
      </c>
      <c r="D5">
        <f t="shared" ref="D5:D10" si="0">SUM(B5:C5)</f>
        <v>8</v>
      </c>
      <c r="E5" s="24">
        <v>16</v>
      </c>
      <c r="G5">
        <v>38</v>
      </c>
      <c r="H5">
        <f>COUNTIF(SEMUA!$D$1:$D$52,G5)</f>
        <v>0</v>
      </c>
      <c r="J5">
        <v>1</v>
      </c>
      <c r="K5" s="24">
        <v>0</v>
      </c>
      <c r="M5" s="8">
        <v>54</v>
      </c>
      <c r="N5">
        <f>COUNTIF(SEMUA!$F$2:$F$52,M5)</f>
        <v>1</v>
      </c>
      <c r="O5">
        <v>2</v>
      </c>
      <c r="P5">
        <f t="shared" ref="P5:P11" si="1">SUM(N5:O5)</f>
        <v>3</v>
      </c>
      <c r="Q5" s="24">
        <v>5</v>
      </c>
    </row>
    <row r="6" spans="1:18" ht="15.75" x14ac:dyDescent="0.25">
      <c r="A6" s="7" t="s">
        <v>35</v>
      </c>
      <c r="B6">
        <f>COUNTIF(SEMUA!$E$2:$E$52,REKAP!A6)</f>
        <v>0</v>
      </c>
      <c r="C6">
        <v>1</v>
      </c>
      <c r="D6">
        <f t="shared" si="0"/>
        <v>1</v>
      </c>
      <c r="E6" s="24">
        <v>4</v>
      </c>
      <c r="G6" s="8">
        <v>39</v>
      </c>
      <c r="H6">
        <f>COUNTIF(SEMUA!$D$1:$D$52,G6)</f>
        <v>1</v>
      </c>
      <c r="I6">
        <v>3</v>
      </c>
      <c r="J6">
        <f t="shared" ref="J6:J13" si="2">SUM(H6:I6)</f>
        <v>4</v>
      </c>
      <c r="K6" s="24">
        <v>3</v>
      </c>
      <c r="M6" s="8">
        <v>55</v>
      </c>
      <c r="N6">
        <f>COUNTIF(SEMUA!$F$2:$F$52,M6)</f>
        <v>1</v>
      </c>
      <c r="O6">
        <v>1</v>
      </c>
      <c r="P6">
        <f t="shared" si="1"/>
        <v>2</v>
      </c>
      <c r="Q6" s="24"/>
    </row>
    <row r="7" spans="1:18" ht="15.75" x14ac:dyDescent="0.25">
      <c r="A7" s="7" t="s">
        <v>34</v>
      </c>
      <c r="B7">
        <f>COUNTIF(SEMUA!$E$2:$E$52,REKAP!A7)</f>
        <v>3</v>
      </c>
      <c r="C7">
        <v>7</v>
      </c>
      <c r="D7">
        <f t="shared" si="0"/>
        <v>10</v>
      </c>
      <c r="E7" s="24">
        <v>24</v>
      </c>
      <c r="G7" s="8">
        <v>40</v>
      </c>
      <c r="H7">
        <f>COUNTIF(SEMUA!$D$1:$D$52,G7)</f>
        <v>4</v>
      </c>
      <c r="I7">
        <v>3</v>
      </c>
      <c r="J7">
        <f t="shared" si="2"/>
        <v>7</v>
      </c>
      <c r="K7" s="24">
        <v>22</v>
      </c>
      <c r="M7" s="8">
        <v>56</v>
      </c>
      <c r="N7">
        <f>COUNTIF(SEMUA!$F$2:$F$52,M7)</f>
        <v>5</v>
      </c>
      <c r="O7">
        <v>7</v>
      </c>
      <c r="P7">
        <f t="shared" si="1"/>
        <v>12</v>
      </c>
      <c r="Q7" s="24">
        <v>10</v>
      </c>
    </row>
    <row r="8" spans="1:18" ht="15.75" x14ac:dyDescent="0.25">
      <c r="A8" s="7" t="s">
        <v>33</v>
      </c>
      <c r="B8">
        <f>COUNTIF(SEMUA!$E$2:$E$52,REKAP!A8)</f>
        <v>2</v>
      </c>
      <c r="C8">
        <v>3</v>
      </c>
      <c r="D8">
        <f t="shared" si="0"/>
        <v>5</v>
      </c>
      <c r="E8" s="24">
        <v>11</v>
      </c>
      <c r="G8" s="8">
        <v>41</v>
      </c>
      <c r="H8">
        <f>COUNTIF(SEMUA!$D$1:$D$52,G8)</f>
        <v>3</v>
      </c>
      <c r="I8">
        <v>5</v>
      </c>
      <c r="J8">
        <f t="shared" si="2"/>
        <v>8</v>
      </c>
      <c r="K8" s="24">
        <v>23</v>
      </c>
      <c r="M8" s="8">
        <v>57</v>
      </c>
      <c r="N8">
        <f>COUNTIF(SEMUA!$F$2:$F$52,M8)</f>
        <v>2</v>
      </c>
      <c r="O8">
        <v>1</v>
      </c>
      <c r="P8">
        <f t="shared" si="1"/>
        <v>3</v>
      </c>
      <c r="Q8" s="24">
        <v>10</v>
      </c>
    </row>
    <row r="9" spans="1:18" ht="15.75" x14ac:dyDescent="0.25">
      <c r="A9" s="7" t="s">
        <v>36</v>
      </c>
      <c r="B9">
        <f>COUNTIF(SEMUA!$E$2:$E$52,REKAP!A9)</f>
        <v>0</v>
      </c>
      <c r="D9">
        <f t="shared" si="0"/>
        <v>0</v>
      </c>
      <c r="E9" s="24">
        <v>4</v>
      </c>
      <c r="G9" s="8">
        <v>42</v>
      </c>
      <c r="H9">
        <f>COUNTIF(SEMUA!$D$1:$D$52,G9)</f>
        <v>3</v>
      </c>
      <c r="I9">
        <v>2</v>
      </c>
      <c r="J9">
        <f t="shared" si="2"/>
        <v>5</v>
      </c>
      <c r="K9" s="24">
        <v>10</v>
      </c>
      <c r="M9" s="8">
        <v>58</v>
      </c>
      <c r="N9">
        <f>COUNTIF(SEMUA!$F$2:$F$52,M9)</f>
        <v>1</v>
      </c>
      <c r="O9">
        <v>6</v>
      </c>
      <c r="P9">
        <f t="shared" si="1"/>
        <v>7</v>
      </c>
      <c r="Q9" s="24">
        <v>9</v>
      </c>
    </row>
    <row r="10" spans="1:18" ht="15.75" x14ac:dyDescent="0.25">
      <c r="A10" s="7" t="s">
        <v>37</v>
      </c>
      <c r="B10">
        <f>COUNTIF(SEMUA!$E$2:$E$52,REKAP!A10)</f>
        <v>0</v>
      </c>
      <c r="D10">
        <f t="shared" si="0"/>
        <v>0</v>
      </c>
      <c r="E10" s="24">
        <v>1</v>
      </c>
      <c r="G10" s="8">
        <v>43</v>
      </c>
      <c r="H10">
        <f>COUNTIF(SEMUA!$D$1:$D$52,G10)</f>
        <v>2</v>
      </c>
      <c r="I10">
        <v>5</v>
      </c>
      <c r="J10">
        <f t="shared" si="2"/>
        <v>7</v>
      </c>
      <c r="K10" s="24">
        <v>10</v>
      </c>
      <c r="M10" s="8">
        <v>59</v>
      </c>
      <c r="N10">
        <f>COUNTIF(SEMUA!$F$2:$F$52,M10)</f>
        <v>1</v>
      </c>
      <c r="P10">
        <f t="shared" si="1"/>
        <v>1</v>
      </c>
      <c r="Q10" s="24"/>
    </row>
    <row r="11" spans="1:18" ht="15.75" x14ac:dyDescent="0.25">
      <c r="A11" s="9" t="s">
        <v>44</v>
      </c>
      <c r="B11" s="10">
        <f>SUM(B4:B10)</f>
        <v>13</v>
      </c>
      <c r="C11" s="10"/>
      <c r="D11" s="10">
        <f>SUM(D4:D10)</f>
        <v>32</v>
      </c>
      <c r="E11" s="25">
        <f>SUM(E4:E10)</f>
        <v>85</v>
      </c>
      <c r="F11" s="10"/>
      <c r="G11" s="8">
        <v>44</v>
      </c>
      <c r="H11">
        <f>COUNTIF(SEMUA!$D$1:$D$52,G11)</f>
        <v>0</v>
      </c>
      <c r="J11">
        <f t="shared" si="2"/>
        <v>0</v>
      </c>
      <c r="K11" s="24">
        <v>1</v>
      </c>
      <c r="M11" s="1">
        <v>60</v>
      </c>
      <c r="N11">
        <f>COUNTIF(SEMUA!$F$2:$F$52,M11)</f>
        <v>1</v>
      </c>
      <c r="O11">
        <v>2</v>
      </c>
      <c r="P11">
        <f t="shared" si="1"/>
        <v>3</v>
      </c>
      <c r="Q11" s="24">
        <v>5</v>
      </c>
    </row>
    <row r="12" spans="1:18" ht="15.75" x14ac:dyDescent="0.25">
      <c r="G12" s="8">
        <v>45</v>
      </c>
      <c r="H12">
        <f>COUNTIF(SEMUA!$D$1:$D$52,G12)</f>
        <v>0</v>
      </c>
      <c r="I12">
        <v>1</v>
      </c>
      <c r="J12">
        <f t="shared" si="2"/>
        <v>1</v>
      </c>
      <c r="K12" s="24">
        <v>0</v>
      </c>
      <c r="N12">
        <f>SUM(N4:N11)</f>
        <v>13</v>
      </c>
      <c r="O12">
        <f>SUM(O4:O11)</f>
        <v>19</v>
      </c>
      <c r="Q12" s="24">
        <f>SUM(Q4:Q11)</f>
        <v>40</v>
      </c>
    </row>
    <row r="13" spans="1:18" ht="15.75" x14ac:dyDescent="0.25">
      <c r="G13" s="8">
        <v>46</v>
      </c>
      <c r="H13">
        <f>COUNTIF(SEMUA!$D$1:$D$52,G13)</f>
        <v>0</v>
      </c>
      <c r="J13">
        <f t="shared" si="2"/>
        <v>0</v>
      </c>
      <c r="K13" s="24">
        <v>1</v>
      </c>
      <c r="Q13" s="24"/>
    </row>
    <row r="14" spans="1:18" ht="15.75" x14ac:dyDescent="0.25">
      <c r="G14" s="8"/>
      <c r="H14">
        <f>SUM(H4:H13)</f>
        <v>13</v>
      </c>
      <c r="I14">
        <f>SUM(I4:I13)</f>
        <v>19</v>
      </c>
      <c r="K14" s="24">
        <f>SUM(K4:K13)</f>
        <v>70</v>
      </c>
      <c r="P14" t="s">
        <v>62</v>
      </c>
      <c r="Q14" s="24">
        <v>57</v>
      </c>
      <c r="R14">
        <v>1</v>
      </c>
    </row>
    <row r="15" spans="1:18" ht="15.75" x14ac:dyDescent="0.25">
      <c r="G15" s="8"/>
    </row>
    <row r="16" spans="1:18" ht="15.75" x14ac:dyDescent="0.25">
      <c r="G16" s="8"/>
    </row>
    <row r="17" spans="7:7" ht="15.75" x14ac:dyDescent="0.25">
      <c r="G17" s="8"/>
    </row>
    <row r="18" spans="7:7" ht="15.75" x14ac:dyDescent="0.25">
      <c r="G18" s="8"/>
    </row>
    <row r="19" spans="7:7" ht="15.75" x14ac:dyDescent="0.25">
      <c r="G19" s="8"/>
    </row>
    <row r="20" spans="7:7" ht="15.75" x14ac:dyDescent="0.25">
      <c r="G20" s="8"/>
    </row>
    <row r="21" spans="7:7" ht="15.75" x14ac:dyDescent="0.25">
      <c r="G21" s="8"/>
    </row>
    <row r="22" spans="7:7" ht="15.75" x14ac:dyDescent="0.25">
      <c r="G22" s="8"/>
    </row>
    <row r="23" spans="7:7" ht="15.75" x14ac:dyDescent="0.25">
      <c r="G23" s="8"/>
    </row>
    <row r="24" spans="7:7" ht="15.75" x14ac:dyDescent="0.25">
      <c r="G24" s="8"/>
    </row>
    <row r="25" spans="7:7" ht="15.75" x14ac:dyDescent="0.25">
      <c r="G25" s="8"/>
    </row>
    <row r="26" spans="7:7" ht="15.75" x14ac:dyDescent="0.25">
      <c r="G26" s="8"/>
    </row>
    <row r="27" spans="7:7" ht="15.75" x14ac:dyDescent="0.25">
      <c r="G27" s="8"/>
    </row>
    <row r="28" spans="7:7" ht="15.75" x14ac:dyDescent="0.25">
      <c r="G28" s="8"/>
    </row>
    <row r="29" spans="7:7" ht="15.75" x14ac:dyDescent="0.25">
      <c r="G29" s="8"/>
    </row>
    <row r="30" spans="7:7" ht="15.75" x14ac:dyDescent="0.25">
      <c r="G30" s="8"/>
    </row>
    <row r="31" spans="7:7" ht="15.75" x14ac:dyDescent="0.25">
      <c r="G31" s="8"/>
    </row>
    <row r="32" spans="7:7" ht="15.75" x14ac:dyDescent="0.25">
      <c r="G32" s="8"/>
    </row>
    <row r="33" spans="7:7" ht="15.75" x14ac:dyDescent="0.25">
      <c r="G33" s="8"/>
    </row>
    <row r="34" spans="7:7" ht="15.75" x14ac:dyDescent="0.25">
      <c r="G34" s="8"/>
    </row>
    <row r="35" spans="7:7" ht="15.75" x14ac:dyDescent="0.25">
      <c r="G35" s="8"/>
    </row>
    <row r="36" spans="7:7" ht="15.75" x14ac:dyDescent="0.25">
      <c r="G36" s="8"/>
    </row>
    <row r="37" spans="7:7" ht="15.75" x14ac:dyDescent="0.25">
      <c r="G37" s="8"/>
    </row>
    <row r="38" spans="7:7" ht="15.75" x14ac:dyDescent="0.25">
      <c r="G38" s="8"/>
    </row>
    <row r="39" spans="7:7" ht="15.75" x14ac:dyDescent="0.25">
      <c r="G39" s="8"/>
    </row>
    <row r="40" spans="7:7" ht="15.75" x14ac:dyDescent="0.25">
      <c r="G40" s="8"/>
    </row>
    <row r="41" spans="7:7" ht="15.75" x14ac:dyDescent="0.25">
      <c r="G41" s="8"/>
    </row>
    <row r="42" spans="7:7" ht="15.75" x14ac:dyDescent="0.25">
      <c r="G42" s="8"/>
    </row>
    <row r="43" spans="7:7" ht="15.75" x14ac:dyDescent="0.25">
      <c r="G43" s="8"/>
    </row>
    <row r="44" spans="7:7" ht="15.75" x14ac:dyDescent="0.25">
      <c r="G44" s="8"/>
    </row>
    <row r="45" spans="7:7" ht="15.75" x14ac:dyDescent="0.25">
      <c r="G45" s="8"/>
    </row>
    <row r="46" spans="7:7" ht="15.75" x14ac:dyDescent="0.25">
      <c r="G46" s="8"/>
    </row>
    <row r="47" spans="7:7" ht="15.75" x14ac:dyDescent="0.25">
      <c r="G47" s="8"/>
    </row>
    <row r="48" spans="7:7" ht="15.75" x14ac:dyDescent="0.25">
      <c r="G48" s="8"/>
    </row>
    <row r="49" spans="7:7" ht="15.75" x14ac:dyDescent="0.25">
      <c r="G49" s="8"/>
    </row>
    <row r="50" spans="7:7" ht="15.75" x14ac:dyDescent="0.25">
      <c r="G50" s="8"/>
    </row>
    <row r="51" spans="7:7" ht="15.75" x14ac:dyDescent="0.25">
      <c r="G51" s="8"/>
    </row>
    <row r="52" spans="7:7" ht="15.75" x14ac:dyDescent="0.25">
      <c r="G52" s="8"/>
    </row>
    <row r="53" spans="7:7" ht="15.75" x14ac:dyDescent="0.25">
      <c r="G53" s="8"/>
    </row>
    <row r="54" spans="7:7" ht="15.75" x14ac:dyDescent="0.25">
      <c r="G54" s="8"/>
    </row>
    <row r="55" spans="7:7" ht="15.75" x14ac:dyDescent="0.25">
      <c r="G55" s="8"/>
    </row>
    <row r="56" spans="7:7" ht="15.75" x14ac:dyDescent="0.25">
      <c r="G56" s="8"/>
    </row>
    <row r="57" spans="7:7" ht="15.75" x14ac:dyDescent="0.25">
      <c r="G57" s="8"/>
    </row>
    <row r="58" spans="7:7" ht="15.75" x14ac:dyDescent="0.25">
      <c r="G58" s="8"/>
    </row>
    <row r="59" spans="7:7" ht="15.75" x14ac:dyDescent="0.25">
      <c r="G59" s="8"/>
    </row>
    <row r="60" spans="7:7" ht="15.75" x14ac:dyDescent="0.25">
      <c r="G60" s="8"/>
    </row>
    <row r="61" spans="7:7" ht="15.75" x14ac:dyDescent="0.25">
      <c r="G61" s="8"/>
    </row>
    <row r="62" spans="7:7" ht="15.75" x14ac:dyDescent="0.25">
      <c r="G62" s="8"/>
    </row>
    <row r="63" spans="7:7" ht="15.75" x14ac:dyDescent="0.25">
      <c r="G63" s="8"/>
    </row>
    <row r="64" spans="7:7" ht="15.75" x14ac:dyDescent="0.25">
      <c r="G64" s="8"/>
    </row>
    <row r="65" spans="7:7" ht="15.75" x14ac:dyDescent="0.25">
      <c r="G65" s="8"/>
    </row>
    <row r="66" spans="7:7" ht="15.75" x14ac:dyDescent="0.25">
      <c r="G66" s="8"/>
    </row>
    <row r="67" spans="7:7" ht="15.75" x14ac:dyDescent="0.25">
      <c r="G67" s="8"/>
    </row>
    <row r="68" spans="7:7" ht="15.75" x14ac:dyDescent="0.25">
      <c r="G68" s="8"/>
    </row>
    <row r="69" spans="7:7" ht="15.75" x14ac:dyDescent="0.25">
      <c r="G69" s="8"/>
    </row>
    <row r="70" spans="7:7" ht="15.75" x14ac:dyDescent="0.25">
      <c r="G70" s="8"/>
    </row>
    <row r="71" spans="7:7" ht="15.75" x14ac:dyDescent="0.25">
      <c r="G71" s="8"/>
    </row>
    <row r="72" spans="7:7" ht="15.75" x14ac:dyDescent="0.25">
      <c r="G72" s="8"/>
    </row>
    <row r="73" spans="7:7" ht="15.75" x14ac:dyDescent="0.25">
      <c r="G73" s="8"/>
    </row>
    <row r="74" spans="7:7" ht="15.75" x14ac:dyDescent="0.25">
      <c r="G74" s="8"/>
    </row>
    <row r="75" spans="7:7" x14ac:dyDescent="0.25">
      <c r="G75" s="1"/>
    </row>
    <row r="76" spans="7:7" x14ac:dyDescent="0.25">
      <c r="G76" s="1"/>
    </row>
    <row r="77" spans="7:7" x14ac:dyDescent="0.25">
      <c r="G77" s="1"/>
    </row>
    <row r="78" spans="7:7" x14ac:dyDescent="0.25">
      <c r="G78" s="1"/>
    </row>
    <row r="79" spans="7:7" x14ac:dyDescent="0.25">
      <c r="G79" s="1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2021-05-18T00:44:14Z</cp:lastPrinted>
  <dcterms:created xsi:type="dcterms:W3CDTF">2016-10-31T03:59:44Z</dcterms:created>
  <dcterms:modified xsi:type="dcterms:W3CDTF">2021-08-04T13:52:55Z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