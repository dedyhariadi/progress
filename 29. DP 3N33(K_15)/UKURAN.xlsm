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5)\"/>
    </mc:Choice>
  </mc:AlternateContent>
  <xr:revisionPtr revIDLastSave="0" documentId="13_ncr:1_{A4BE4E40-4B44-421D-9A62-FF1256D5362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<sst xmlns="http://schemas.openxmlformats.org/spreadsheetml/2006/main" count="145" uniqueCount="92">
  <si>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</si>
  <si>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</si>
  <si>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</si>
  <si>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</si>
  <si>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</si>
  <si>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</si>
  <si>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</si>
  <si>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</si>
  <si>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</si>
  <si>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</si>
  <si>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</si>
  <si>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</si>
  <si>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</si>
  <si>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</si>
  <si>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</si>
  <si>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</si>
  <si>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</si>
  <si>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</si>
  <si>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</si>
  <si>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</si>
  <si>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</si>
  <si>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</si>
  <si>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</si>
  <si>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</si>
  <si>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</si>
  <si>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</si>
  <si>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</si>
  <si>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</si>
  <si>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</si>
  <si>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</si>
  <si>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</si>
  <si>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</si>
  <si>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</si>
  <si>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</si>
  <si>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</si>
  <si>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</si>
  <si>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</si>
  <si>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</si>
  <si>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</si>
  <si>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</si>
  <si>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</si>
  <si>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</si>
  <si>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</si>
  <si>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</si>
  <si>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</si>
  <si>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</si>
  <si>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</si>
  <si>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</si>
  <si>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</si>
  <si>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</si>
  <si>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</si>
  <si>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</si>
  <si>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</si>
  <si>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</si>
  <si>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</si>
  <si>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</si>
  <si>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</si>
  <si>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</si>
  <si>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</si>
  <si>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</si>
  <si>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</si>
  <si>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</si>
  <si>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</si>
  <si>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</si>
  <si>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</si>
  <si>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</si>
  <si>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</si>
  <si>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</si>
  <si>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</si>
  <si>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</si>
  <si>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</si>
  <si>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</si>
  <si>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</si>
  <si>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</si>
  <si>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</si>
  <si>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</si>
  <si>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</si>
  <si>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</si>
  <si>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</si>
  <si>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</si>
  <si>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</si>
  <si>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</si>
  <si>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</si>
  <si>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</si>
  <si>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</si>
  <si>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</si>
  <si>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</si>
  <si>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</si>
  <si>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</si>
  <si>
    <t>OGOS DINIEL KRISTIONO</t>
  </si>
  <si>
    <t>5XL</t>
  </si>
  <si>
    <t>C13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</si>
</sst>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topLeftCell="B1" zoomScale="70" zoomScaleNormal="70" workbookViewId="0">
      <pane ySplit="1" topLeftCell="A2" activePane="bottomLeft" state="frozen"/>
      <selection pane="bottomLeft" activeCell="AQ14" sqref="AQ14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"/>
      <c r="AS7" s="4"/>
      <c r="AT7" s="4"/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"/>
      <c r="AS8" s="4"/>
      <c r="AT8" s="4"/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"/>
      <c r="AS9" s="4"/>
      <c r="AT9" s="4"/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"/>
      <c r="AS10" s="4"/>
      <c r="AT10" s="4"/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"/>
      <c r="AS11" s="4"/>
      <c r="AT11" s="4"/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"/>
      <c r="AS12" s="4"/>
      <c r="AT12" s="4"/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S13" s="4"/>
      <c r="AT13" s="4"/>
    </row>
    <row r="14" spans="1:1013" ht="30" customHeight="1" x14ac:dyDescent="0.25">
      <c r="A14" s="22" t="s">
        <v>91</v>
      </c>
      <c r="B14" s="30" t="s">
        <v>89</v>
      </c>
      <c r="C14" s="35" t="s">
        <v>81</v>
      </c>
      <c r="D14" s="24">
        <v>45</v>
      </c>
      <c r="E14" s="20" t="s">
        <v>90</v>
      </c>
      <c r="F14" s="29">
        <v>58</v>
      </c>
      <c r="G14" s="15" t="s">
        <v>63</v>
      </c>
      <c r="H14" s="15" t="s">
        <v>45</v>
      </c>
      <c r="I14" s="12">
        <v>58</v>
      </c>
      <c r="J14" s="12">
        <v>60</v>
      </c>
      <c r="K14" s="12">
        <v>24</v>
      </c>
      <c r="L14" s="12">
        <v>16.5</v>
      </c>
      <c r="M14" s="12">
        <v>162</v>
      </c>
      <c r="N14" s="12">
        <v>162</v>
      </c>
      <c r="O14" s="12">
        <v>162</v>
      </c>
      <c r="P14" s="12">
        <v>84</v>
      </c>
      <c r="Q14" s="12">
        <v>50</v>
      </c>
      <c r="R14" s="12">
        <v>58</v>
      </c>
      <c r="S14" s="12">
        <v>61</v>
      </c>
      <c r="T14" s="12">
        <v>23</v>
      </c>
      <c r="U14" s="12">
        <v>14</v>
      </c>
      <c r="V14" s="12">
        <v>38</v>
      </c>
      <c r="W14" s="12">
        <v>38</v>
      </c>
      <c r="X14" s="12">
        <v>38</v>
      </c>
      <c r="Y14" s="12">
        <v>84</v>
      </c>
      <c r="Z14" s="12">
        <v>50</v>
      </c>
      <c r="AA14" s="12">
        <v>58</v>
      </c>
      <c r="AB14" s="12">
        <v>27</v>
      </c>
      <c r="AC14" s="12">
        <v>23</v>
      </c>
      <c r="AD14" s="12">
        <v>38</v>
      </c>
      <c r="AE14" s="12">
        <v>38</v>
      </c>
      <c r="AF14" s="12">
        <v>38</v>
      </c>
      <c r="AG14" s="12">
        <v>84</v>
      </c>
      <c r="AH14" s="12">
        <v>50</v>
      </c>
      <c r="AI14" s="12">
        <v>144</v>
      </c>
      <c r="AJ14" s="12">
        <v>160</v>
      </c>
      <c r="AK14" s="12">
        <v>88</v>
      </c>
      <c r="AL14" s="12">
        <v>45</v>
      </c>
      <c r="AM14" s="12">
        <v>34</v>
      </c>
      <c r="AN14" s="12">
        <v>26</v>
      </c>
      <c r="AO14" s="12">
        <v>101</v>
      </c>
      <c r="AQ14" s="4"/>
      <c r="AS14" s="4"/>
      <c r="AT14" s="4"/>
    </row>
    <row r="15" spans="1:1013" ht="30" customHeight="1" x14ac:dyDescent="0.25">
      <c r="A15" s="22"/>
      <c r="B15" s="30"/>
      <c r="C15" s="23"/>
      <c r="D15" s="24"/>
      <c r="E15" s="20"/>
      <c r="F15" s="21"/>
      <c r="G15" s="28"/>
      <c r="H15" s="28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2"/>
      <c r="B16" s="30"/>
      <c r="C16" s="23"/>
      <c r="D16" s="24"/>
      <c r="E16" s="20"/>
      <c r="F16" s="21"/>
      <c r="G16" s="28"/>
      <c r="H16" s="28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2"/>
      <c r="B17" s="30"/>
      <c r="C17" s="23"/>
      <c r="D17" s="24"/>
      <c r="E17" s="20"/>
      <c r="F17" s="21"/>
      <c r="G17" s="28"/>
      <c r="H17" s="28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2"/>
      <c r="B18" s="30"/>
      <c r="C18" s="23"/>
      <c r="D18" s="24"/>
      <c r="E18" s="20"/>
      <c r="F18" s="21"/>
      <c r="G18" s="28"/>
      <c r="H18" s="28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2"/>
      <c r="B19" s="30"/>
      <c r="C19" s="23"/>
      <c r="D19" s="24"/>
      <c r="E19" s="20"/>
      <c r="F19" s="21"/>
      <c r="G19" s="28"/>
      <c r="H19" s="28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2"/>
      <c r="B20" s="30"/>
      <c r="C20" s="23"/>
      <c r="D20" s="24"/>
      <c r="E20" s="20"/>
      <c r="F20" s="21"/>
      <c r="G20" s="28"/>
      <c r="H20" s="28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2"/>
      <c r="B21" s="30"/>
      <c r="C21" s="23"/>
      <c r="D21" s="24"/>
      <c r="E21" s="20"/>
      <c r="F21" s="21"/>
      <c r="G21" s="28"/>
      <c r="H21" s="28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2"/>
      <c r="B22" s="30"/>
      <c r="C22" s="23"/>
      <c r="D22" s="24"/>
      <c r="E22" s="20"/>
      <c r="F22" s="21"/>
      <c r="G22" s="28"/>
      <c r="H22" s="28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2"/>
      <c r="B23" s="30"/>
      <c r="C23" s="23"/>
      <c r="D23" s="24"/>
      <c r="E23" s="20"/>
      <c r="F23" s="21"/>
      <c r="G23" s="28"/>
      <c r="H23" s="28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2"/>
      <c r="B24" s="30"/>
      <c r="C24" s="23"/>
      <c r="D24" s="24"/>
      <c r="E24" s="20"/>
      <c r="F24" s="21"/>
      <c r="G24" s="28"/>
      <c r="H24" s="28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2"/>
      <c r="B25" s="30"/>
      <c r="C25" s="23"/>
      <c r="D25" s="24"/>
      <c r="E25" s="20"/>
      <c r="F25" s="21"/>
      <c r="G25" s="28"/>
      <c r="H25" s="28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2"/>
      <c r="B26" s="30"/>
      <c r="C26" s="23"/>
      <c r="D26" s="24"/>
      <c r="E26" s="20"/>
      <c r="F26" s="21"/>
      <c r="G26" s="28"/>
      <c r="H26" s="28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2"/>
      <c r="B27" s="30"/>
      <c r="C27" s="23"/>
      <c r="D27" s="24"/>
      <c r="E27" s="20"/>
      <c r="F27" s="21"/>
      <c r="G27" s="28"/>
      <c r="H27" s="28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2"/>
      <c r="B28" s="30"/>
      <c r="C28" s="23"/>
      <c r="D28" s="24"/>
      <c r="E28" s="20"/>
      <c r="F28" s="21"/>
      <c r="G28" s="28"/>
      <c r="H28" s="28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2"/>
      <c r="B29" s="30"/>
      <c r="C29" s="23"/>
      <c r="D29" s="19"/>
      <c r="E29" s="20"/>
      <c r="F29" s="21"/>
      <c r="G29" s="28"/>
      <c r="H29" s="28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2"/>
      <c r="B30" s="30"/>
      <c r="C30" s="23"/>
      <c r="D30" s="19"/>
      <c r="E30" s="20"/>
      <c r="F30" s="21"/>
      <c r="G30" s="28"/>
      <c r="H30" s="28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5</v>
      </c>
      <c r="C4">
        <v>3</v>
      </c>
      <c r="D4">
        <f>SUM(B4:C4)</f>
        <v>8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3</v>
      </c>
      <c r="C5">
        <v>5</v>
      </c>
      <c r="D5">
        <f t="shared" ref="D5:D10" si="0">SUM(B5:C5)</f>
        <v>8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3</v>
      </c>
      <c r="O6">
        <v>1</v>
      </c>
      <c r="P6">
        <f t="shared" si="1"/>
        <v>4</v>
      </c>
      <c r="Q6" s="16"/>
    </row>
    <row r="7" spans="1:18" ht="15.75" x14ac:dyDescent="0.25">
      <c r="A7" s="6" t="s">
        <v>34</v>
      </c>
      <c r="B7">
        <f>COUNTIF(SEMUA!$E$2:$E$60,REKAP!A7)</f>
        <v>3</v>
      </c>
      <c r="C7">
        <v>7</v>
      </c>
      <c r="D7">
        <f t="shared" si="0"/>
        <v>10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2</v>
      </c>
      <c r="O7">
        <v>7</v>
      </c>
      <c r="P7">
        <f t="shared" si="1"/>
        <v>9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2</v>
      </c>
      <c r="I8">
        <v>5</v>
      </c>
      <c r="J8">
        <f t="shared" si="2"/>
        <v>7</v>
      </c>
      <c r="K8" s="16">
        <v>23</v>
      </c>
      <c r="M8" s="7">
        <v>57</v>
      </c>
      <c r="N8">
        <f>COUNTIF(SEMUA!$F$2:$F$60,M8)</f>
        <v>3</v>
      </c>
      <c r="O8">
        <v>1</v>
      </c>
      <c r="P8">
        <f t="shared" si="1"/>
        <v>4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6</v>
      </c>
      <c r="I9">
        <v>2</v>
      </c>
      <c r="J9">
        <f t="shared" si="2"/>
        <v>8</v>
      </c>
      <c r="K9" s="16">
        <v>10</v>
      </c>
      <c r="M9" s="7">
        <v>58</v>
      </c>
      <c r="N9">
        <f>COUNTIF(SEMUA!$F$2:$F$60,M9)</f>
        <v>3</v>
      </c>
      <c r="O9">
        <v>6</v>
      </c>
      <c r="P9">
        <f t="shared" si="1"/>
        <v>9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</v>
      </c>
      <c r="I10">
        <v>5</v>
      </c>
      <c r="J10">
        <f t="shared" si="2"/>
        <v>6</v>
      </c>
      <c r="K10" s="16">
        <v>10</v>
      </c>
      <c r="M10" s="7">
        <v>59</v>
      </c>
      <c r="N10">
        <f>COUNTIF(SEMUA!$F$2:$F$60,M10)</f>
        <v>1</v>
      </c>
      <c r="P10">
        <f t="shared" si="1"/>
        <v>1</v>
      </c>
      <c r="Q10" s="16"/>
    </row>
    <row r="11" spans="1:18" ht="15.75" x14ac:dyDescent="0.25">
      <c r="A11" s="8" t="s">
        <v>44</v>
      </c>
      <c r="B11" s="9">
        <f>SUM(B4:B10)</f>
        <v>12</v>
      </c>
      <c r="C11" s="9"/>
      <c r="D11" s="9">
        <f>SUM(D4:D10)</f>
        <v>31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0</v>
      </c>
      <c r="O11">
        <v>2</v>
      </c>
      <c r="P11">
        <f t="shared" si="1"/>
        <v>2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13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13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2021-09-10T08:32:44Z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