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5)\"/>
    </mc:Choice>
  </mc:AlternateContent>
  <xr:revisionPtr revIDLastSave="0" documentId="13_ncr:1_{CBAAAF75-1F6C-4605-979F-2CE622F74AF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<sst xmlns="http://schemas.openxmlformats.org/spreadsheetml/2006/main" count="292" uniqueCount="124">
  <si>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</si>
  <si>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</si>
  <si>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</si>
  <si>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</si>
  <si>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</si>
  <si>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</si>
  <si>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</si>
  <si>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</si>
  <si>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</si>
  <si>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</si>
  <si>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</si>
  <si>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</si>
  <si>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</si>
  <si>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</si>
  <si>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</si>
  <si>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</si>
  <si>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</si>
  <si>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</si>
  <si>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</si>
  <si>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</si>
  <si>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</si>
  <si>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</si>
  <si>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</si>
  <si>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</si>
  <si>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</si>
  <si>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</si>
  <si>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</si>
  <si>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</si>
  <si>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</si>
  <si>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</si>
  <si>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</si>
  <si>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</si>
  <si>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</si>
  <si>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</si>
  <si>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</si>
  <si>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</si>
  <si>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</si>
  <si>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</si>
  <si>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</si>
  <si>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</si>
  <si>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</si>
  <si>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</si>
  <si>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</si>
  <si>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</si>
  <si>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</si>
  <si>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</si>
  <si>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</si>
  <si>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</si>
  <si>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</si>
  <si>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</si>
  <si>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</si>
  <si>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</si>
  <si>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</si>
  <si>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</si>
  <si>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</si>
  <si>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</si>
  <si>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</si>
  <si>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</si>
  <si>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</si>
  <si>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</si>
  <si>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</si>
  <si>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</si>
  <si>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</si>
  <si>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</si>
  <si>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</si>
  <si>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</si>
  <si>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</si>
  <si>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</si>
  <si>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</si>
  <si>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</si>
  <si>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</si>
  <si>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</si>
  <si>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</si>
  <si>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</si>
  <si>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</si>
  <si>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</si>
  <si>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</si>
  <si>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</si>
  <si>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</si>
  <si>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</si>
  <si>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</si>
  <si>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</si>
  <si>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</si>
  <si>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</si>
  <si>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</si>
  <si>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</si>
  <si>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</si>
  <si>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</si>
  <si>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</si>
  <si>
    <t>OGOS DINIEL KRISTIONO</t>
  </si>
  <si>
    <t>5XL</t>
  </si>
  <si>
    <t>C13</t>
  </si>
  <si>
    <t>C14</t>
  </si>
  <si>
    <t>C15</t>
  </si>
  <si>
    <t>DWI SUSILA</t>
  </si>
  <si>
    <t>ALI MAKSUM</t>
  </si>
  <si>
    <t>MUAFIK</t>
  </si>
  <si>
    <t>ADI SUGIANTO</t>
  </si>
  <si>
    <t>C16</t>
  </si>
  <si>
    <t>C17</t>
  </si>
  <si>
    <t>19 SEP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</si>
  <si>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</si>
  <si>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</si>
  <si>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</si>
  <si>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</si>
  <si>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</si>
  <si>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</si>
  <si>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</si>
  <si>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</si>
  <si>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</si>
  <si>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</si>
  <si>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</si>
  <si>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</si>
  <si>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SLAMET RIYADI</t>
  </si>
  <si>
    <t>JUWARTOK</t>
  </si>
  <si>
    <t>MAHAMUDDIN</t>
  </si>
  <si>
    <t>YUDA NAVIARONY</t>
  </si>
  <si>
    <t>SAIFUL ARIFIN</t>
  </si>
  <si>
    <t>HENRIKO HADI</t>
  </si>
  <si>
    <t>RODIN</t>
  </si>
  <si>
    <t>AGUS SALIM</t>
  </si>
  <si>
    <t>28 SEP</t>
  </si>
  <si>
    <t>ACHMAD SHOBARI</t>
  </si>
  <si>
    <t>30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</si>
</sst>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H18" sqref="H18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"/>
      <c r="AS2" s="41" t="s">
        <v>123</v>
      </c>
      <c r="AT2" s="41" t="s">
        <v>123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"/>
      <c r="AS3" s="41" t="s">
        <v>123</v>
      </c>
      <c r="AT3" s="41" t="s">
        <v>123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"/>
      <c r="AS4" s="41" t="s">
        <v>123</v>
      </c>
      <c r="AT4" s="41" t="s">
        <v>123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"/>
      <c r="AS5" s="41" t="s">
        <v>123</v>
      </c>
      <c r="AT5" s="41" t="s">
        <v>123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"/>
      <c r="AS6" s="41" t="s">
        <v>123</v>
      </c>
      <c r="AT6" s="41" t="s">
        <v>123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"/>
      <c r="AS7" s="41" t="s">
        <v>123</v>
      </c>
      <c r="AT7" s="41" t="s">
        <v>123</v>
      </c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"/>
      <c r="AS8" s="41" t="s">
        <v>123</v>
      </c>
      <c r="AT8" s="41" t="s">
        <v>123</v>
      </c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"/>
      <c r="AS9" s="41" t="s">
        <v>123</v>
      </c>
      <c r="AT9" s="41" t="s">
        <v>123</v>
      </c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"/>
      <c r="AS10" s="41" t="s">
        <v>123</v>
      </c>
      <c r="AT10" s="41" t="s">
        <v>123</v>
      </c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"/>
      <c r="AS11" s="41" t="s">
        <v>123</v>
      </c>
      <c r="AT11" s="41" t="s">
        <v>123</v>
      </c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"/>
      <c r="AS12" s="41" t="s">
        <v>123</v>
      </c>
      <c r="AT12" s="41" t="s">
        <v>123</v>
      </c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S13" s="41" t="s">
        <v>123</v>
      </c>
      <c r="AT13" s="41" t="s">
        <v>123</v>
      </c>
    </row>
    <row r="14" spans="1:1013" ht="30" customHeight="1" x14ac:dyDescent="0.25">
      <c r="A14" s="22" t="s">
        <v>91</v>
      </c>
      <c r="B14" s="30" t="s">
        <v>89</v>
      </c>
      <c r="C14" s="35" t="s">
        <v>81</v>
      </c>
      <c r="D14" s="24">
        <v>45</v>
      </c>
      <c r="E14" s="20" t="s">
        <v>90</v>
      </c>
      <c r="F14" s="29">
        <v>58</v>
      </c>
      <c r="G14" s="15" t="s">
        <v>63</v>
      </c>
      <c r="H14" s="15" t="s">
        <v>45</v>
      </c>
      <c r="I14" s="12">
        <v>58</v>
      </c>
      <c r="J14" s="12">
        <v>60</v>
      </c>
      <c r="K14" s="12">
        <v>24</v>
      </c>
      <c r="L14" s="12">
        <v>16.5</v>
      </c>
      <c r="M14" s="12">
        <v>162</v>
      </c>
      <c r="N14" s="12">
        <v>162</v>
      </c>
      <c r="O14" s="12">
        <v>162</v>
      </c>
      <c r="P14" s="12">
        <v>84</v>
      </c>
      <c r="Q14" s="12">
        <v>50</v>
      </c>
      <c r="R14" s="12">
        <v>58</v>
      </c>
      <c r="S14" s="12">
        <v>61</v>
      </c>
      <c r="T14" s="12">
        <v>23</v>
      </c>
      <c r="U14" s="12">
        <v>14</v>
      </c>
      <c r="V14" s="12">
        <v>38</v>
      </c>
      <c r="W14" s="12">
        <v>38</v>
      </c>
      <c r="X14" s="12">
        <v>38</v>
      </c>
      <c r="Y14" s="12">
        <v>84</v>
      </c>
      <c r="Z14" s="12">
        <v>50</v>
      </c>
      <c r="AA14" s="12">
        <v>58</v>
      </c>
      <c r="AB14" s="12">
        <v>27</v>
      </c>
      <c r="AC14" s="12">
        <v>23</v>
      </c>
      <c r="AD14" s="12">
        <v>38</v>
      </c>
      <c r="AE14" s="12">
        <v>38</v>
      </c>
      <c r="AF14" s="12">
        <v>38</v>
      </c>
      <c r="AG14" s="12">
        <v>84</v>
      </c>
      <c r="AH14" s="12">
        <v>50</v>
      </c>
      <c r="AI14" s="12">
        <v>144</v>
      </c>
      <c r="AJ14" s="12">
        <v>160</v>
      </c>
      <c r="AK14" s="12">
        <v>88</v>
      </c>
      <c r="AL14" s="12">
        <v>45</v>
      </c>
      <c r="AM14" s="12">
        <v>34</v>
      </c>
      <c r="AN14" s="12">
        <v>26</v>
      </c>
      <c r="AO14" s="12">
        <v>101</v>
      </c>
      <c r="AP14" s="2">
        <v>2</v>
      </c>
      <c r="AQ14" s="41" t="s">
        <v>100</v>
      </c>
      <c r="AS14" s="41" t="s">
        <v>123</v>
      </c>
      <c r="AT14" s="41" t="s">
        <v>123</v>
      </c>
    </row>
    <row r="15" spans="1:1013" ht="30" customHeight="1" x14ac:dyDescent="0.25">
      <c r="A15" s="22" t="s">
        <v>92</v>
      </c>
      <c r="B15" s="30" t="s">
        <v>94</v>
      </c>
      <c r="C15" s="35" t="s">
        <v>81</v>
      </c>
      <c r="D15" s="24">
        <v>40</v>
      </c>
      <c r="E15" s="20" t="s">
        <v>32</v>
      </c>
      <c r="F15" s="21">
        <v>56</v>
      </c>
      <c r="G15" s="28" t="s">
        <v>63</v>
      </c>
      <c r="H15" s="28" t="s">
        <v>45</v>
      </c>
      <c r="I15" s="3">
        <v>44</v>
      </c>
      <c r="J15" s="3">
        <v>57</v>
      </c>
      <c r="K15" s="3">
        <v>18</v>
      </c>
      <c r="L15" s="3">
        <v>14</v>
      </c>
      <c r="M15" s="3">
        <v>101</v>
      </c>
      <c r="N15" s="3">
        <v>101</v>
      </c>
      <c r="O15" s="3">
        <v>109</v>
      </c>
      <c r="P15" s="3">
        <v>72</v>
      </c>
      <c r="Q15" s="3">
        <v>40</v>
      </c>
      <c r="R15" s="3">
        <v>44</v>
      </c>
      <c r="S15" s="3">
        <v>58</v>
      </c>
      <c r="T15" s="3">
        <v>17</v>
      </c>
      <c r="U15" s="3">
        <v>13</v>
      </c>
      <c r="V15" s="3">
        <v>28</v>
      </c>
      <c r="W15" s="3">
        <v>26</v>
      </c>
      <c r="X15" s="3">
        <v>28</v>
      </c>
      <c r="Y15" s="3">
        <v>72</v>
      </c>
      <c r="Z15" s="3">
        <v>40</v>
      </c>
      <c r="AA15" s="3">
        <v>44</v>
      </c>
      <c r="AB15" s="3">
        <v>25</v>
      </c>
      <c r="AC15" s="3">
        <v>17</v>
      </c>
      <c r="AD15" s="3">
        <v>28</v>
      </c>
      <c r="AE15" s="3">
        <v>26</v>
      </c>
      <c r="AF15" s="3">
        <v>28</v>
      </c>
      <c r="AG15" s="3">
        <v>72</v>
      </c>
      <c r="AH15" s="3">
        <v>40</v>
      </c>
      <c r="AI15" s="3">
        <v>89</v>
      </c>
      <c r="AJ15" s="3">
        <v>103</v>
      </c>
      <c r="AK15" s="3">
        <v>65</v>
      </c>
      <c r="AL15" s="3">
        <v>34</v>
      </c>
      <c r="AM15" s="3">
        <v>24</v>
      </c>
      <c r="AN15" s="3">
        <v>20</v>
      </c>
      <c r="AO15" s="3">
        <v>96</v>
      </c>
      <c r="AP15" s="2">
        <v>2</v>
      </c>
      <c r="AQ15" s="41" t="s">
        <v>100</v>
      </c>
      <c r="AS15" s="41" t="s">
        <v>123</v>
      </c>
      <c r="AT15" s="41" t="s">
        <v>123</v>
      </c>
    </row>
    <row r="16" spans="1:1013" ht="30" customHeight="1" x14ac:dyDescent="0.25">
      <c r="A16" s="22" t="s">
        <v>93</v>
      </c>
      <c r="B16" s="30" t="s">
        <v>95</v>
      </c>
      <c r="C16" s="35" t="s">
        <v>81</v>
      </c>
      <c r="D16" s="24">
        <v>42</v>
      </c>
      <c r="E16" s="20" t="s">
        <v>32</v>
      </c>
      <c r="F16" s="21">
        <v>58</v>
      </c>
      <c r="G16" s="28" t="s">
        <v>63</v>
      </c>
      <c r="H16" s="28" t="s">
        <v>45</v>
      </c>
      <c r="I16" s="3">
        <v>45</v>
      </c>
      <c r="J16" s="3">
        <v>58</v>
      </c>
      <c r="K16" s="3">
        <v>18</v>
      </c>
      <c r="L16" s="3">
        <v>14</v>
      </c>
      <c r="M16" s="3">
        <v>100</v>
      </c>
      <c r="N16" s="3">
        <v>88</v>
      </c>
      <c r="O16" s="3">
        <v>109</v>
      </c>
      <c r="P16" s="3">
        <v>68</v>
      </c>
      <c r="Q16" s="3">
        <v>40</v>
      </c>
      <c r="R16" s="3">
        <v>45</v>
      </c>
      <c r="S16" s="3">
        <v>59</v>
      </c>
      <c r="T16" s="3">
        <v>16</v>
      </c>
      <c r="U16" s="3">
        <v>12</v>
      </c>
      <c r="V16" s="3">
        <v>28</v>
      </c>
      <c r="W16" s="3">
        <v>26</v>
      </c>
      <c r="X16" s="3">
        <v>28</v>
      </c>
      <c r="Y16" s="3">
        <v>69</v>
      </c>
      <c r="Z16" s="3">
        <v>40</v>
      </c>
      <c r="AA16" s="3">
        <v>45</v>
      </c>
      <c r="AB16" s="3">
        <v>25</v>
      </c>
      <c r="AC16" s="3">
        <v>18</v>
      </c>
      <c r="AD16" s="3">
        <v>28</v>
      </c>
      <c r="AE16" s="3">
        <v>26</v>
      </c>
      <c r="AF16" s="3">
        <v>28</v>
      </c>
      <c r="AG16" s="3">
        <v>69</v>
      </c>
      <c r="AH16" s="3">
        <v>40</v>
      </c>
      <c r="AI16" s="3">
        <v>84</v>
      </c>
      <c r="AJ16" s="3">
        <v>107</v>
      </c>
      <c r="AK16" s="3">
        <v>67</v>
      </c>
      <c r="AL16" s="3">
        <v>33</v>
      </c>
      <c r="AM16" s="3">
        <v>25</v>
      </c>
      <c r="AN16" s="3">
        <v>20</v>
      </c>
      <c r="AO16" s="3">
        <v>93</v>
      </c>
      <c r="AP16" s="2">
        <v>2</v>
      </c>
      <c r="AQ16" s="41" t="s">
        <v>100</v>
      </c>
      <c r="AS16" s="41" t="s">
        <v>123</v>
      </c>
      <c r="AT16" s="41" t="s">
        <v>123</v>
      </c>
    </row>
    <row r="17" spans="1:46" ht="30" customHeight="1" x14ac:dyDescent="0.25">
      <c r="A17" s="22" t="s">
        <v>98</v>
      </c>
      <c r="B17" s="30" t="s">
        <v>96</v>
      </c>
      <c r="C17" s="35" t="s">
        <v>81</v>
      </c>
      <c r="D17" s="24">
        <v>41</v>
      </c>
      <c r="E17" s="20" t="s">
        <v>31</v>
      </c>
      <c r="F17" s="21">
        <v>53</v>
      </c>
      <c r="G17" s="28" t="s">
        <v>63</v>
      </c>
      <c r="H17" s="28" t="s">
        <v>45</v>
      </c>
      <c r="I17" s="3">
        <v>39</v>
      </c>
      <c r="J17" s="3">
        <v>52</v>
      </c>
      <c r="K17" s="3">
        <v>18</v>
      </c>
      <c r="L17" s="3">
        <v>14</v>
      </c>
      <c r="M17" s="3">
        <v>88</v>
      </c>
      <c r="N17" s="3">
        <v>79</v>
      </c>
      <c r="O17" s="3">
        <v>102</v>
      </c>
      <c r="P17" s="3">
        <v>68</v>
      </c>
      <c r="Q17" s="3">
        <v>38</v>
      </c>
      <c r="R17" s="3">
        <v>39</v>
      </c>
      <c r="S17" s="3">
        <v>53</v>
      </c>
      <c r="T17" s="3">
        <v>16</v>
      </c>
      <c r="U17" s="3">
        <v>12</v>
      </c>
      <c r="V17" s="3">
        <v>26</v>
      </c>
      <c r="W17" s="3">
        <v>23</v>
      </c>
      <c r="X17" s="3">
        <v>26</v>
      </c>
      <c r="Y17" s="3">
        <v>68</v>
      </c>
      <c r="Z17" s="3">
        <v>38</v>
      </c>
      <c r="AA17" s="3">
        <v>39</v>
      </c>
      <c r="AB17" s="3">
        <v>23</v>
      </c>
      <c r="AC17" s="3">
        <v>16</v>
      </c>
      <c r="AD17" s="3">
        <v>26</v>
      </c>
      <c r="AE17" s="3">
        <v>23</v>
      </c>
      <c r="AF17" s="3">
        <v>26</v>
      </c>
      <c r="AG17" s="3">
        <v>68</v>
      </c>
      <c r="AH17" s="3">
        <v>38</v>
      </c>
      <c r="AI17" s="3">
        <v>75</v>
      </c>
      <c r="AJ17" s="3">
        <v>98</v>
      </c>
      <c r="AK17" s="3">
        <v>64</v>
      </c>
      <c r="AL17" s="3">
        <v>31</v>
      </c>
      <c r="AM17" s="3">
        <v>24</v>
      </c>
      <c r="AN17" s="3">
        <v>19</v>
      </c>
      <c r="AO17" s="18">
        <v>94</v>
      </c>
      <c r="AP17" s="2">
        <v>2</v>
      </c>
      <c r="AQ17" s="41" t="s">
        <v>100</v>
      </c>
      <c r="AS17" s="41" t="s">
        <v>123</v>
      </c>
      <c r="AT17" s="41" t="s">
        <v>123</v>
      </c>
    </row>
    <row r="18" spans="1:46" ht="30" customHeight="1" x14ac:dyDescent="0.25">
      <c r="A18" s="22" t="s">
        <v>99</v>
      </c>
      <c r="B18" s="30" t="s">
        <v>97</v>
      </c>
      <c r="C18" s="35" t="s">
        <v>81</v>
      </c>
      <c r="D18" s="24">
        <v>42</v>
      </c>
      <c r="E18" s="20" t="s">
        <v>34</v>
      </c>
      <c r="F18" s="21">
        <v>58</v>
      </c>
      <c r="G18" s="28" t="s">
        <v>63</v>
      </c>
      <c r="H18" s="28" t="s">
        <v>45</v>
      </c>
      <c r="I18" s="3">
        <v>50</v>
      </c>
      <c r="J18" s="3">
        <v>62</v>
      </c>
      <c r="K18" s="3">
        <v>20</v>
      </c>
      <c r="L18" s="3">
        <v>15</v>
      </c>
      <c r="M18" s="3">
        <v>112</v>
      </c>
      <c r="N18" s="3">
        <v>110</v>
      </c>
      <c r="O18" s="3">
        <v>115</v>
      </c>
      <c r="P18" s="3">
        <v>71</v>
      </c>
      <c r="Q18" s="3">
        <v>43</v>
      </c>
      <c r="R18" s="3">
        <v>50</v>
      </c>
      <c r="S18" s="3">
        <v>63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71</v>
      </c>
      <c r="Z18" s="3">
        <v>43</v>
      </c>
      <c r="AA18" s="3">
        <v>50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71</v>
      </c>
      <c r="AH18" s="3">
        <v>43</v>
      </c>
      <c r="AI18" s="3">
        <v>98</v>
      </c>
      <c r="AJ18" s="3">
        <v>110</v>
      </c>
      <c r="AK18" s="3">
        <v>67</v>
      </c>
      <c r="AL18" s="3">
        <v>35</v>
      </c>
      <c r="AM18" s="3">
        <v>26</v>
      </c>
      <c r="AN18" s="3">
        <v>20</v>
      </c>
      <c r="AO18" s="3">
        <v>99</v>
      </c>
      <c r="AP18" s="2">
        <v>2</v>
      </c>
      <c r="AQ18" s="41" t="s">
        <v>100</v>
      </c>
      <c r="AS18" s="41" t="s">
        <v>123</v>
      </c>
      <c r="AT18" s="41" t="s">
        <v>123</v>
      </c>
    </row>
    <row r="19" spans="1:46" ht="30" customHeight="1" x14ac:dyDescent="0.25">
      <c r="A19" s="22" t="s">
        <v>101</v>
      </c>
      <c r="B19" s="30" t="s">
        <v>113</v>
      </c>
      <c r="C19" s="35" t="s">
        <v>81</v>
      </c>
      <c r="D19" s="24">
        <v>43</v>
      </c>
      <c r="E19" s="20" t="s">
        <v>34</v>
      </c>
      <c r="F19" s="21">
        <v>59</v>
      </c>
      <c r="G19" s="28" t="s">
        <v>63</v>
      </c>
      <c r="H19" s="28" t="s">
        <v>45</v>
      </c>
      <c r="I19" s="3">
        <v>47</v>
      </c>
      <c r="J19" s="3">
        <v>60</v>
      </c>
      <c r="K19" s="3">
        <v>20</v>
      </c>
      <c r="L19" s="3">
        <v>15</v>
      </c>
      <c r="M19" s="3">
        <v>107</v>
      </c>
      <c r="N19" s="3">
        <v>102</v>
      </c>
      <c r="O19" s="3">
        <v>111</v>
      </c>
      <c r="P19" s="3">
        <v>72</v>
      </c>
      <c r="Q19" s="3">
        <v>40</v>
      </c>
      <c r="R19" s="3">
        <v>47</v>
      </c>
      <c r="S19" s="3">
        <v>61</v>
      </c>
      <c r="T19" s="3">
        <v>19</v>
      </c>
      <c r="U19" s="3">
        <v>13</v>
      </c>
      <c r="V19" s="3">
        <v>30</v>
      </c>
      <c r="W19" s="3">
        <v>28</v>
      </c>
      <c r="X19" s="3">
        <v>30</v>
      </c>
      <c r="Y19" s="3">
        <v>72</v>
      </c>
      <c r="Z19" s="3">
        <v>40</v>
      </c>
      <c r="AA19" s="3">
        <v>47</v>
      </c>
      <c r="AB19" s="3">
        <v>26</v>
      </c>
      <c r="AC19" s="3">
        <v>19</v>
      </c>
      <c r="AD19" s="3">
        <v>30</v>
      </c>
      <c r="AE19" s="3">
        <v>29</v>
      </c>
      <c r="AF19" s="3">
        <v>30</v>
      </c>
      <c r="AG19" s="3">
        <v>72</v>
      </c>
      <c r="AH19" s="3">
        <v>40</v>
      </c>
      <c r="AI19" s="3">
        <v>99</v>
      </c>
      <c r="AJ19" s="3">
        <v>106</v>
      </c>
      <c r="AK19" s="3">
        <v>71</v>
      </c>
      <c r="AL19" s="3">
        <v>34</v>
      </c>
      <c r="AM19" s="3">
        <v>28</v>
      </c>
      <c r="AN19" s="3">
        <v>23</v>
      </c>
      <c r="AO19" s="3">
        <v>100</v>
      </c>
      <c r="AP19" s="2">
        <v>3</v>
      </c>
      <c r="AQ19" s="41" t="s">
        <v>121</v>
      </c>
      <c r="AS19" s="41" t="s">
        <v>123</v>
      </c>
      <c r="AT19" s="41" t="s">
        <v>123</v>
      </c>
    </row>
    <row r="20" spans="1:46" ht="30" customHeight="1" x14ac:dyDescent="0.25">
      <c r="A20" s="22" t="s">
        <v>102</v>
      </c>
      <c r="B20" s="30" t="s">
        <v>114</v>
      </c>
      <c r="C20" s="35" t="s">
        <v>81</v>
      </c>
      <c r="D20" s="24">
        <v>41</v>
      </c>
      <c r="E20" s="20" t="s">
        <v>32</v>
      </c>
      <c r="F20" s="21">
        <v>57</v>
      </c>
      <c r="G20" s="28" t="s">
        <v>63</v>
      </c>
      <c r="H20" s="28" t="s">
        <v>45</v>
      </c>
      <c r="I20" s="3">
        <v>45</v>
      </c>
      <c r="J20" s="3">
        <v>55</v>
      </c>
      <c r="K20" s="3">
        <v>18</v>
      </c>
      <c r="L20" s="3">
        <v>14</v>
      </c>
      <c r="M20" s="3">
        <v>96</v>
      </c>
      <c r="N20" s="3">
        <v>89</v>
      </c>
      <c r="O20" s="3">
        <v>100</v>
      </c>
      <c r="P20" s="3">
        <v>70</v>
      </c>
      <c r="Q20" s="3">
        <v>40</v>
      </c>
      <c r="R20" s="3">
        <v>45</v>
      </c>
      <c r="S20" s="3">
        <v>56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70</v>
      </c>
      <c r="Z20" s="3">
        <v>40</v>
      </c>
      <c r="AA20" s="3">
        <v>45</v>
      </c>
      <c r="AB20" s="3">
        <v>24</v>
      </c>
      <c r="AC20" s="3">
        <v>16</v>
      </c>
      <c r="AD20" s="3">
        <v>27</v>
      </c>
      <c r="AE20" s="3">
        <v>24</v>
      </c>
      <c r="AF20" s="3">
        <v>27</v>
      </c>
      <c r="AG20" s="3">
        <v>70</v>
      </c>
      <c r="AH20" s="3">
        <v>40</v>
      </c>
      <c r="AI20" s="3">
        <v>83</v>
      </c>
      <c r="AJ20" s="3">
        <v>98</v>
      </c>
      <c r="AK20" s="3">
        <v>63</v>
      </c>
      <c r="AL20" s="3">
        <v>30</v>
      </c>
      <c r="AM20" s="3">
        <v>24</v>
      </c>
      <c r="AN20" s="3">
        <v>19</v>
      </c>
      <c r="AO20" s="3">
        <v>90</v>
      </c>
      <c r="AP20" s="2">
        <v>3</v>
      </c>
      <c r="AQ20" s="41" t="s">
        <v>121</v>
      </c>
      <c r="AS20" s="41" t="s">
        <v>123</v>
      </c>
      <c r="AT20" s="41" t="s">
        <v>123</v>
      </c>
    </row>
    <row r="21" spans="1:46" ht="30" customHeight="1" x14ac:dyDescent="0.25">
      <c r="A21" s="22" t="s">
        <v>103</v>
      </c>
      <c r="B21" s="30" t="s">
        <v>115</v>
      </c>
      <c r="C21" s="35" t="s">
        <v>81</v>
      </c>
      <c r="D21" s="24">
        <v>40</v>
      </c>
      <c r="E21" s="20" t="s">
        <v>33</v>
      </c>
      <c r="F21" s="21">
        <v>56</v>
      </c>
      <c r="G21" s="28" t="s">
        <v>63</v>
      </c>
      <c r="H21" s="28" t="s">
        <v>45</v>
      </c>
      <c r="I21" s="3">
        <v>51</v>
      </c>
      <c r="J21" s="3">
        <v>57</v>
      </c>
      <c r="K21" s="3">
        <v>21</v>
      </c>
      <c r="L21" s="3">
        <v>16</v>
      </c>
      <c r="M21" s="3">
        <v>116</v>
      </c>
      <c r="N21" s="3">
        <v>114</v>
      </c>
      <c r="O21" s="3">
        <v>121</v>
      </c>
      <c r="P21" s="3">
        <v>77</v>
      </c>
      <c r="Q21" s="3">
        <v>46</v>
      </c>
      <c r="R21" s="3">
        <v>51</v>
      </c>
      <c r="S21" s="3">
        <v>58</v>
      </c>
      <c r="T21" s="3">
        <v>20</v>
      </c>
      <c r="U21" s="3">
        <v>13</v>
      </c>
      <c r="V21" s="3">
        <v>31</v>
      </c>
      <c r="W21" s="3">
        <v>29</v>
      </c>
      <c r="X21" s="3">
        <v>31</v>
      </c>
      <c r="Y21" s="3">
        <v>77</v>
      </c>
      <c r="Z21" s="3">
        <v>46</v>
      </c>
      <c r="AA21" s="3">
        <v>51</v>
      </c>
      <c r="AB21" s="3">
        <v>26</v>
      </c>
      <c r="AC21" s="3">
        <v>20</v>
      </c>
      <c r="AD21" s="3">
        <v>31</v>
      </c>
      <c r="AE21" s="3">
        <v>29</v>
      </c>
      <c r="AF21" s="3">
        <v>31</v>
      </c>
      <c r="AG21" s="3">
        <v>77</v>
      </c>
      <c r="AH21" s="3">
        <v>46</v>
      </c>
      <c r="AI21" s="3">
        <v>106</v>
      </c>
      <c r="AJ21" s="3">
        <v>118</v>
      </c>
      <c r="AK21" s="3">
        <v>73</v>
      </c>
      <c r="AL21" s="3">
        <v>37</v>
      </c>
      <c r="AM21" s="3">
        <v>27</v>
      </c>
      <c r="AN21" s="3">
        <v>22</v>
      </c>
      <c r="AO21" s="3">
        <v>92</v>
      </c>
      <c r="AP21" s="2">
        <v>3</v>
      </c>
      <c r="AQ21" s="41" t="s">
        <v>121</v>
      </c>
      <c r="AS21" s="41" t="s">
        <v>123</v>
      </c>
      <c r="AT21" s="41" t="s">
        <v>123</v>
      </c>
    </row>
    <row r="22" spans="1:46" ht="30" customHeight="1" x14ac:dyDescent="0.25">
      <c r="A22" s="22" t="s">
        <v>104</v>
      </c>
      <c r="B22" s="30" t="s">
        <v>117</v>
      </c>
      <c r="C22" s="35" t="s">
        <v>81</v>
      </c>
      <c r="D22" s="24">
        <v>42</v>
      </c>
      <c r="E22" s="20" t="s">
        <v>33</v>
      </c>
      <c r="F22" s="21">
        <v>54</v>
      </c>
      <c r="G22" s="28" t="s">
        <v>63</v>
      </c>
      <c r="H22" s="28" t="s">
        <v>45</v>
      </c>
      <c r="I22" s="3">
        <v>50</v>
      </c>
      <c r="J22" s="3">
        <v>57</v>
      </c>
      <c r="K22" s="3">
        <v>21</v>
      </c>
      <c r="L22" s="3">
        <v>15</v>
      </c>
      <c r="M22" s="3">
        <v>118</v>
      </c>
      <c r="N22" s="3">
        <v>114</v>
      </c>
      <c r="O22" s="3">
        <v>120</v>
      </c>
      <c r="P22" s="3">
        <v>70</v>
      </c>
      <c r="Q22" s="3">
        <v>44</v>
      </c>
      <c r="R22" s="3">
        <v>50</v>
      </c>
      <c r="S22" s="3">
        <v>58</v>
      </c>
      <c r="T22" s="3">
        <v>20</v>
      </c>
      <c r="U22" s="3">
        <v>13</v>
      </c>
      <c r="V22" s="3">
        <v>30</v>
      </c>
      <c r="W22" s="3">
        <v>28</v>
      </c>
      <c r="X22" s="3">
        <v>30</v>
      </c>
      <c r="Y22" s="3">
        <v>70</v>
      </c>
      <c r="Z22" s="3">
        <v>44</v>
      </c>
      <c r="AA22" s="3">
        <v>50</v>
      </c>
      <c r="AB22" s="3">
        <v>26</v>
      </c>
      <c r="AC22" s="3">
        <v>20</v>
      </c>
      <c r="AD22" s="3">
        <v>30</v>
      </c>
      <c r="AE22" s="3">
        <v>28</v>
      </c>
      <c r="AF22" s="3">
        <v>30</v>
      </c>
      <c r="AG22" s="3">
        <v>70</v>
      </c>
      <c r="AH22" s="3">
        <v>44</v>
      </c>
      <c r="AI22" s="3">
        <v>104</v>
      </c>
      <c r="AJ22" s="3">
        <v>117</v>
      </c>
      <c r="AK22" s="3">
        <v>71</v>
      </c>
      <c r="AL22" s="3">
        <v>37</v>
      </c>
      <c r="AM22" s="3">
        <v>27</v>
      </c>
      <c r="AN22" s="3">
        <v>21</v>
      </c>
      <c r="AO22" s="3">
        <v>92</v>
      </c>
      <c r="AP22" s="2">
        <v>3</v>
      </c>
      <c r="AQ22" s="41" t="s">
        <v>121</v>
      </c>
      <c r="AS22" s="41" t="s">
        <v>123</v>
      </c>
      <c r="AT22" s="41" t="s">
        <v>123</v>
      </c>
    </row>
    <row r="23" spans="1:46" ht="30" customHeight="1" x14ac:dyDescent="0.25">
      <c r="A23" s="22" t="s">
        <v>105</v>
      </c>
      <c r="B23" s="30" t="s">
        <v>116</v>
      </c>
      <c r="C23" s="35" t="s">
        <v>81</v>
      </c>
      <c r="D23" s="24">
        <v>39</v>
      </c>
      <c r="E23" s="20" t="s">
        <v>31</v>
      </c>
      <c r="F23" s="21">
        <v>55</v>
      </c>
      <c r="G23" s="28" t="s">
        <v>63</v>
      </c>
      <c r="H23" s="28" t="s">
        <v>45</v>
      </c>
      <c r="I23" s="3">
        <v>44</v>
      </c>
      <c r="J23" s="3">
        <v>54</v>
      </c>
      <c r="K23" s="3">
        <v>18</v>
      </c>
      <c r="L23" s="3">
        <v>14</v>
      </c>
      <c r="M23" s="3">
        <v>92</v>
      </c>
      <c r="N23" s="3">
        <v>85</v>
      </c>
      <c r="O23" s="3">
        <v>96</v>
      </c>
      <c r="P23" s="3">
        <v>69</v>
      </c>
      <c r="Q23" s="3">
        <v>40</v>
      </c>
      <c r="R23" s="3">
        <v>44</v>
      </c>
      <c r="S23" s="3">
        <v>55</v>
      </c>
      <c r="T23" s="3">
        <v>16</v>
      </c>
      <c r="U23" s="3">
        <v>12</v>
      </c>
      <c r="V23" s="3">
        <v>26</v>
      </c>
      <c r="W23" s="3">
        <v>24</v>
      </c>
      <c r="X23" s="3">
        <v>26</v>
      </c>
      <c r="Y23" s="3">
        <v>69</v>
      </c>
      <c r="Z23" s="3">
        <v>40</v>
      </c>
      <c r="AA23" s="3">
        <v>44</v>
      </c>
      <c r="AB23" s="3">
        <v>23</v>
      </c>
      <c r="AC23" s="3">
        <v>16</v>
      </c>
      <c r="AD23" s="3">
        <v>26</v>
      </c>
      <c r="AE23" s="3">
        <v>24</v>
      </c>
      <c r="AF23" s="3">
        <v>26</v>
      </c>
      <c r="AG23" s="3">
        <v>69</v>
      </c>
      <c r="AH23" s="3">
        <v>40</v>
      </c>
      <c r="AI23" s="3">
        <v>78</v>
      </c>
      <c r="AJ23" s="3">
        <v>94</v>
      </c>
      <c r="AK23" s="3">
        <v>63</v>
      </c>
      <c r="AL23" s="3">
        <v>30</v>
      </c>
      <c r="AM23" s="3">
        <v>24</v>
      </c>
      <c r="AN23" s="3">
        <v>19</v>
      </c>
      <c r="AO23" s="3">
        <v>94</v>
      </c>
      <c r="AP23" s="2">
        <v>3</v>
      </c>
      <c r="AQ23" s="41" t="s">
        <v>121</v>
      </c>
      <c r="AS23" s="41" t="s">
        <v>123</v>
      </c>
      <c r="AT23" s="41" t="s">
        <v>123</v>
      </c>
    </row>
    <row r="24" spans="1:46" ht="30" customHeight="1" x14ac:dyDescent="0.25">
      <c r="A24" s="22" t="s">
        <v>106</v>
      </c>
      <c r="B24" s="30" t="s">
        <v>118</v>
      </c>
      <c r="C24" s="35" t="s">
        <v>81</v>
      </c>
      <c r="D24" s="24">
        <v>44</v>
      </c>
      <c r="E24" s="20" t="s">
        <v>34</v>
      </c>
      <c r="F24" s="21">
        <v>59</v>
      </c>
      <c r="G24" s="28" t="s">
        <v>63</v>
      </c>
      <c r="H24" s="28" t="s">
        <v>45</v>
      </c>
      <c r="I24" s="3">
        <v>50</v>
      </c>
      <c r="J24" s="3">
        <v>62</v>
      </c>
      <c r="K24" s="3">
        <v>20</v>
      </c>
      <c r="L24" s="3">
        <v>15</v>
      </c>
      <c r="M24" s="3">
        <v>110</v>
      </c>
      <c r="N24" s="3">
        <v>107</v>
      </c>
      <c r="O24" s="3">
        <v>115</v>
      </c>
      <c r="P24" s="3">
        <v>74</v>
      </c>
      <c r="Q24" s="3">
        <v>42</v>
      </c>
      <c r="R24" s="3">
        <v>50</v>
      </c>
      <c r="S24" s="3">
        <v>63</v>
      </c>
      <c r="T24" s="3">
        <v>19</v>
      </c>
      <c r="U24" s="3">
        <v>13</v>
      </c>
      <c r="V24" s="3">
        <v>30</v>
      </c>
      <c r="W24" s="3">
        <v>28</v>
      </c>
      <c r="X24" s="3">
        <v>30</v>
      </c>
      <c r="Y24" s="3">
        <v>74</v>
      </c>
      <c r="Z24" s="3">
        <v>42</v>
      </c>
      <c r="AA24" s="3">
        <v>50</v>
      </c>
      <c r="AB24" s="3">
        <v>26</v>
      </c>
      <c r="AC24" s="3">
        <v>19</v>
      </c>
      <c r="AD24" s="3">
        <v>30</v>
      </c>
      <c r="AE24" s="3">
        <v>28</v>
      </c>
      <c r="AF24" s="3">
        <v>30</v>
      </c>
      <c r="AG24" s="3">
        <v>74</v>
      </c>
      <c r="AH24" s="3">
        <v>42</v>
      </c>
      <c r="AI24" s="3">
        <v>99</v>
      </c>
      <c r="AJ24" s="3">
        <v>112</v>
      </c>
      <c r="AK24" s="3">
        <v>68</v>
      </c>
      <c r="AL24" s="3">
        <v>36</v>
      </c>
      <c r="AM24" s="3">
        <v>27</v>
      </c>
      <c r="AN24" s="3">
        <v>23</v>
      </c>
      <c r="AO24" s="3">
        <v>100</v>
      </c>
      <c r="AP24" s="2">
        <v>3</v>
      </c>
      <c r="AQ24" s="41" t="s">
        <v>121</v>
      </c>
      <c r="AS24" s="41" t="s">
        <v>123</v>
      </c>
      <c r="AT24" s="41" t="s">
        <v>123</v>
      </c>
    </row>
    <row r="25" spans="1:46" ht="30" customHeight="1" x14ac:dyDescent="0.25">
      <c r="A25" s="22" t="s">
        <v>107</v>
      </c>
      <c r="B25" s="30" t="s">
        <v>119</v>
      </c>
      <c r="C25" s="35" t="s">
        <v>81</v>
      </c>
      <c r="D25" s="24">
        <v>44</v>
      </c>
      <c r="E25" s="20" t="s">
        <v>36</v>
      </c>
      <c r="F25" s="21">
        <v>58</v>
      </c>
      <c r="G25" s="28" t="s">
        <v>63</v>
      </c>
      <c r="H25" s="28" t="s">
        <v>45</v>
      </c>
      <c r="I25" s="3">
        <v>52</v>
      </c>
      <c r="J25" s="3">
        <v>56</v>
      </c>
      <c r="K25" s="3">
        <v>21</v>
      </c>
      <c r="L25" s="3">
        <v>16</v>
      </c>
      <c r="M25" s="3">
        <v>118</v>
      </c>
      <c r="N25" s="3">
        <v>114</v>
      </c>
      <c r="O25" s="3">
        <v>126</v>
      </c>
      <c r="P25" s="3">
        <v>44</v>
      </c>
      <c r="Q25" s="3">
        <v>75</v>
      </c>
      <c r="R25" s="3">
        <v>52</v>
      </c>
      <c r="S25" s="3">
        <v>57</v>
      </c>
      <c r="T25" s="3">
        <v>20</v>
      </c>
      <c r="U25" s="3">
        <v>13</v>
      </c>
      <c r="V25" s="3">
        <v>33</v>
      </c>
      <c r="W25" s="3">
        <v>33</v>
      </c>
      <c r="X25" s="3">
        <v>33</v>
      </c>
      <c r="Y25" s="3">
        <v>44</v>
      </c>
      <c r="Z25" s="3">
        <v>75</v>
      </c>
      <c r="AA25" s="3">
        <v>52</v>
      </c>
      <c r="AB25" s="3">
        <v>27</v>
      </c>
      <c r="AC25" s="3">
        <v>20</v>
      </c>
      <c r="AD25" s="3">
        <v>33</v>
      </c>
      <c r="AE25" s="3">
        <v>33</v>
      </c>
      <c r="AF25" s="3">
        <v>33</v>
      </c>
      <c r="AG25" s="3">
        <v>44</v>
      </c>
      <c r="AH25" s="3">
        <v>75</v>
      </c>
      <c r="AI25" s="3">
        <v>109</v>
      </c>
      <c r="AJ25" s="3">
        <v>124</v>
      </c>
      <c r="AK25" s="3">
        <v>75</v>
      </c>
      <c r="AL25" s="3">
        <v>41</v>
      </c>
      <c r="AM25" s="3">
        <v>29</v>
      </c>
      <c r="AN25" s="3">
        <v>23</v>
      </c>
      <c r="AO25" s="3">
        <v>100</v>
      </c>
      <c r="AP25" s="2">
        <v>3</v>
      </c>
      <c r="AQ25" s="41" t="s">
        <v>121</v>
      </c>
      <c r="AS25" s="41" t="s">
        <v>123</v>
      </c>
      <c r="AT25" s="41" t="s">
        <v>123</v>
      </c>
    </row>
    <row r="26" spans="1:46" ht="30" customHeight="1" x14ac:dyDescent="0.25">
      <c r="A26" s="22" t="s">
        <v>108</v>
      </c>
      <c r="B26" s="30" t="s">
        <v>120</v>
      </c>
      <c r="C26" s="35" t="s">
        <v>81</v>
      </c>
      <c r="D26" s="24">
        <v>40</v>
      </c>
      <c r="E26" s="20" t="s">
        <v>31</v>
      </c>
      <c r="F26" s="21">
        <v>57</v>
      </c>
      <c r="G26" s="28" t="s">
        <v>63</v>
      </c>
      <c r="H26" s="28" t="s">
        <v>45</v>
      </c>
      <c r="I26" s="3">
        <v>44</v>
      </c>
      <c r="J26" s="3">
        <v>55</v>
      </c>
      <c r="K26" s="3">
        <v>18</v>
      </c>
      <c r="L26" s="3">
        <v>15</v>
      </c>
      <c r="M26" s="3">
        <v>94</v>
      </c>
      <c r="N26" s="3">
        <v>84</v>
      </c>
      <c r="O26" s="3">
        <v>104</v>
      </c>
      <c r="P26" s="3">
        <v>37</v>
      </c>
      <c r="Q26" s="3">
        <v>69</v>
      </c>
      <c r="R26" s="3">
        <v>44</v>
      </c>
      <c r="S26" s="3">
        <v>56</v>
      </c>
      <c r="T26" s="3">
        <v>16</v>
      </c>
      <c r="U26" s="3">
        <v>12</v>
      </c>
      <c r="V26" s="3">
        <v>27</v>
      </c>
      <c r="W26" s="3">
        <v>25</v>
      </c>
      <c r="X26" s="3">
        <v>27</v>
      </c>
      <c r="Y26" s="3">
        <v>37</v>
      </c>
      <c r="Z26" s="3">
        <v>69</v>
      </c>
      <c r="AA26" s="3">
        <v>44</v>
      </c>
      <c r="AB26" s="3">
        <v>25</v>
      </c>
      <c r="AC26" s="3">
        <v>18</v>
      </c>
      <c r="AD26" s="3">
        <v>27</v>
      </c>
      <c r="AE26" s="3">
        <v>25</v>
      </c>
      <c r="AF26" s="3">
        <v>27</v>
      </c>
      <c r="AG26" s="3">
        <v>37</v>
      </c>
      <c r="AH26" s="3">
        <v>69</v>
      </c>
      <c r="AI26" s="3">
        <v>82</v>
      </c>
      <c r="AJ26" s="3">
        <v>102</v>
      </c>
      <c r="AK26" s="3">
        <v>68</v>
      </c>
      <c r="AL26" s="3">
        <v>33</v>
      </c>
      <c r="AM26" s="3">
        <v>26</v>
      </c>
      <c r="AN26" s="3">
        <v>20</v>
      </c>
      <c r="AO26" s="3">
        <v>97</v>
      </c>
      <c r="AP26" s="2">
        <v>3</v>
      </c>
      <c r="AQ26" s="41" t="s">
        <v>121</v>
      </c>
      <c r="AS26" s="41" t="s">
        <v>123</v>
      </c>
      <c r="AT26" s="41" t="s">
        <v>123</v>
      </c>
    </row>
    <row r="27" spans="1:46" ht="30" customHeight="1" x14ac:dyDescent="0.25">
      <c r="A27" s="22" t="s">
        <v>109</v>
      </c>
      <c r="B27" s="30" t="s">
        <v>122</v>
      </c>
      <c r="C27" s="35" t="s">
        <v>81</v>
      </c>
      <c r="D27" s="24">
        <v>42</v>
      </c>
      <c r="E27" s="20" t="s">
        <v>32</v>
      </c>
      <c r="F27" s="21">
        <v>56</v>
      </c>
      <c r="G27" s="28" t="s">
        <v>63</v>
      </c>
      <c r="H27" s="28" t="s">
        <v>45</v>
      </c>
      <c r="I27" s="3">
        <v>47</v>
      </c>
      <c r="J27" s="3">
        <v>57</v>
      </c>
      <c r="K27" s="3">
        <v>19</v>
      </c>
      <c r="L27" s="3">
        <v>14</v>
      </c>
      <c r="M27" s="3">
        <v>107</v>
      </c>
      <c r="N27" s="3">
        <v>106</v>
      </c>
      <c r="O27" s="3">
        <v>112</v>
      </c>
      <c r="P27" s="3">
        <v>71</v>
      </c>
      <c r="Q27" s="3">
        <v>41</v>
      </c>
      <c r="R27" s="3">
        <v>47</v>
      </c>
      <c r="S27" s="3">
        <v>58</v>
      </c>
      <c r="T27" s="3">
        <v>18</v>
      </c>
      <c r="U27" s="3">
        <v>13</v>
      </c>
      <c r="V27" s="3">
        <v>29</v>
      </c>
      <c r="W27" s="3">
        <v>28</v>
      </c>
      <c r="X27" s="3">
        <v>29</v>
      </c>
      <c r="Y27" s="3">
        <v>71</v>
      </c>
      <c r="Z27" s="3">
        <v>41</v>
      </c>
      <c r="AA27" s="3">
        <v>47</v>
      </c>
      <c r="AB27" s="3">
        <v>24</v>
      </c>
      <c r="AC27" s="3">
        <v>18</v>
      </c>
      <c r="AD27" s="3">
        <v>29</v>
      </c>
      <c r="AE27" s="3">
        <v>28</v>
      </c>
      <c r="AF27" s="3">
        <v>29</v>
      </c>
      <c r="AG27" s="3">
        <v>71</v>
      </c>
      <c r="AH27" s="3">
        <v>41</v>
      </c>
      <c r="AI27" s="3">
        <v>95</v>
      </c>
      <c r="AJ27" s="3">
        <v>110</v>
      </c>
      <c r="AK27" s="3">
        <v>68</v>
      </c>
      <c r="AL27" s="3">
        <v>34</v>
      </c>
      <c r="AM27" s="3">
        <v>25</v>
      </c>
      <c r="AN27" s="3">
        <v>20</v>
      </c>
      <c r="AO27" s="3">
        <v>94</v>
      </c>
      <c r="AP27" s="2">
        <v>3</v>
      </c>
      <c r="AQ27" s="41" t="s">
        <v>121</v>
      </c>
      <c r="AS27" s="41" t="s">
        <v>123</v>
      </c>
      <c r="AT27" s="41" t="s">
        <v>123</v>
      </c>
    </row>
    <row r="28" spans="1:46" ht="30" customHeight="1" x14ac:dyDescent="0.25">
      <c r="A28" s="22" t="s">
        <v>110</v>
      </c>
      <c r="B28" s="30"/>
      <c r="C28" s="23"/>
      <c r="D28" s="24"/>
      <c r="E28" s="20"/>
      <c r="F28" s="21"/>
      <c r="G28" s="28"/>
      <c r="H28" s="28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6" ht="30" customHeight="1" x14ac:dyDescent="0.25">
      <c r="A29" s="22" t="s">
        <v>111</v>
      </c>
      <c r="B29" s="30"/>
      <c r="C29" s="23"/>
      <c r="D29" s="19"/>
      <c r="E29" s="20"/>
      <c r="F29" s="21"/>
      <c r="G29" s="28"/>
      <c r="H29" s="28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6" ht="30" customHeight="1" x14ac:dyDescent="0.25">
      <c r="A30" s="22" t="s">
        <v>112</v>
      </c>
      <c r="B30" s="30"/>
      <c r="C30" s="23"/>
      <c r="D30" s="19"/>
      <c r="E30" s="20"/>
      <c r="F30" s="21"/>
      <c r="G30" s="28"/>
      <c r="H30" s="28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6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6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9</v>
      </c>
      <c r="C4">
        <v>3</v>
      </c>
      <c r="D4">
        <f>SUM(B4:C4)</f>
        <v>12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2</v>
      </c>
      <c r="O5">
        <v>2</v>
      </c>
      <c r="P5">
        <f t="shared" ref="P5:P11" si="1">SUM(N5:O5)</f>
        <v>4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3</v>
      </c>
      <c r="I6">
        <v>3</v>
      </c>
      <c r="J6">
        <f t="shared" ref="J6:J13" si="2">SUM(H6:I6)</f>
        <v>6</v>
      </c>
      <c r="K6" s="16">
        <v>3</v>
      </c>
      <c r="M6" s="7">
        <v>55</v>
      </c>
      <c r="N6">
        <f>COUNTIF(SEMUA!$F$2:$F$60,M6)</f>
        <v>4</v>
      </c>
      <c r="O6">
        <v>1</v>
      </c>
      <c r="P6">
        <f t="shared" si="1"/>
        <v>5</v>
      </c>
      <c r="Q6" s="16"/>
    </row>
    <row r="7" spans="1:18" ht="15.75" x14ac:dyDescent="0.25">
      <c r="A7" s="6" t="s">
        <v>34</v>
      </c>
      <c r="B7">
        <f>COUNTIF(SEMUA!$E$2:$E$60,REKAP!A7)</f>
        <v>6</v>
      </c>
      <c r="C7">
        <v>7</v>
      </c>
      <c r="D7">
        <f t="shared" si="0"/>
        <v>13</v>
      </c>
      <c r="E7" s="16">
        <v>24</v>
      </c>
      <c r="G7" s="7">
        <v>40</v>
      </c>
      <c r="H7">
        <f>COUNTIF(SEMUA!$D$1:$D$60,G7)</f>
        <v>4</v>
      </c>
      <c r="I7">
        <v>3</v>
      </c>
      <c r="J7">
        <f t="shared" si="2"/>
        <v>7</v>
      </c>
      <c r="K7" s="16">
        <v>22</v>
      </c>
      <c r="M7" s="7">
        <v>56</v>
      </c>
      <c r="N7">
        <f>COUNTIF(SEMUA!$F$2:$F$60,M7)</f>
        <v>5</v>
      </c>
      <c r="O7">
        <v>7</v>
      </c>
      <c r="P7">
        <f t="shared" si="1"/>
        <v>12</v>
      </c>
      <c r="Q7" s="16">
        <v>10</v>
      </c>
    </row>
    <row r="8" spans="1:18" ht="15.75" x14ac:dyDescent="0.25">
      <c r="A8" s="6" t="s">
        <v>33</v>
      </c>
      <c r="B8">
        <f>COUNTIF(SEMUA!$E$2:$E$60,REKAP!A8)</f>
        <v>3</v>
      </c>
      <c r="C8">
        <v>3</v>
      </c>
      <c r="D8">
        <f t="shared" si="0"/>
        <v>6</v>
      </c>
      <c r="E8" s="16">
        <v>11</v>
      </c>
      <c r="G8" s="7">
        <v>41</v>
      </c>
      <c r="H8">
        <f>COUNTIF(SEMUA!$D$1:$D$60,G8)</f>
        <v>4</v>
      </c>
      <c r="I8">
        <v>5</v>
      </c>
      <c r="J8">
        <f t="shared" si="2"/>
        <v>9</v>
      </c>
      <c r="K8" s="16">
        <v>23</v>
      </c>
      <c r="M8" s="7">
        <v>57</v>
      </c>
      <c r="N8">
        <f>COUNTIF(SEMUA!$F$2:$F$60,M8)</f>
        <v>5</v>
      </c>
      <c r="O8">
        <v>1</v>
      </c>
      <c r="P8">
        <f t="shared" si="1"/>
        <v>6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10</v>
      </c>
      <c r="I9">
        <v>2</v>
      </c>
      <c r="J9">
        <f t="shared" si="2"/>
        <v>12</v>
      </c>
      <c r="K9" s="16">
        <v>10</v>
      </c>
      <c r="M9" s="7">
        <v>58</v>
      </c>
      <c r="N9">
        <f>COUNTIF(SEMUA!$F$2:$F$60,M9)</f>
        <v>6</v>
      </c>
      <c r="O9">
        <v>6</v>
      </c>
      <c r="P9">
        <f t="shared" si="1"/>
        <v>12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3</v>
      </c>
      <c r="P10">
        <f t="shared" si="1"/>
        <v>3</v>
      </c>
      <c r="Q10" s="16"/>
    </row>
    <row r="11" spans="1:18" ht="15.75" x14ac:dyDescent="0.25">
      <c r="A11" s="8" t="s">
        <v>44</v>
      </c>
      <c r="B11" s="9">
        <f>SUM(B4:B10)</f>
        <v>25</v>
      </c>
      <c r="C11" s="9"/>
      <c r="D11" s="9">
        <f>SUM(D4:D10)</f>
        <v>44</v>
      </c>
      <c r="E11" s="17">
        <f>SUM(E4:E10)</f>
        <v>85</v>
      </c>
      <c r="F11" s="9"/>
      <c r="G11" s="7">
        <v>44</v>
      </c>
      <c r="H11">
        <f>COUNTIF(SEMUA!$D$1:$D$60,G11)</f>
        <v>2</v>
      </c>
      <c r="J11">
        <f t="shared" si="2"/>
        <v>2</v>
      </c>
      <c r="K11" s="16">
        <v>1</v>
      </c>
      <c r="M11" s="1">
        <v>60</v>
      </c>
      <c r="N11">
        <f>COUNTIF(SEMUA!$F$2:$F$60,M11)</f>
        <v>0</v>
      </c>
      <c r="O11">
        <v>2</v>
      </c>
      <c r="P11">
        <f t="shared" si="1"/>
        <v>2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26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26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2021-09-30T11:10:53Z</cp:lastPrinted>
  <dcterms:created xsi:type="dcterms:W3CDTF">2016-10-31T03:59:44Z</dcterms:created>
  <dcterms:modified xsi:type="dcterms:W3CDTF">2021-09-30T11:11:22Z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