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783D67C1-E367-43B3-B30A-9D79D7BEADA7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" i="3" l="1"/>
  <c r="N11" i="3"/>
  <c r="N10" i="3"/>
  <c r="N9" i="3"/>
  <c r="N8" i="3"/>
  <c r="N7" i="3"/>
  <c r="N6" i="3"/>
  <c r="N5" i="3"/>
  <c r="N4" i="3"/>
  <c r="P4" i="3" s="1"/>
  <c r="H10" i="3"/>
  <c r="J10" i="3" s="1"/>
  <c r="K14" i="3"/>
  <c r="I14" i="3"/>
  <c r="E11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<sst xmlns="http://schemas.openxmlformats.org/spreadsheetml/2006/main" count="586" uniqueCount="220">
  <si>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</si>
  <si>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</si>
  <si>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</si>
  <si>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</si>
  <si>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</si>
  <si>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</si>
  <si>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</si>
  <si>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</si>
  <si>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</si>
  <si>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</si>
  <si>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</si>
  <si>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</si>
  <si>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</si>
  <si>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</si>
  <si>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</si>
  <si>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</si>
  <si>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</si>
  <si>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</si>
  <si>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</si>
  <si>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</si>
  <si>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</si>
  <si>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</si>
  <si>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</si>
  <si>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</si>
  <si>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</si>
  <si>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</si>
  <si>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</si>
  <si>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</si>
  <si>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</si>
  <si>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</si>
  <si>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</si>
  <si>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</si>
  <si>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</si>
  <si>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</si>
  <si>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</si>
  <si>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</si>
  <si>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</si>
  <si>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</si>
  <si>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</si>
  <si>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</si>
  <si>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</si>
  <si>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</si>
  <si>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</si>
  <si>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</si>
  <si>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</si>
  <si>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</si>
  <si>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</si>
  <si>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</si>
  <si>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</si>
  <si>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</si>
  <si>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</si>
  <si>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</si>
  <si>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</si>
  <si>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</si>
  <si>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</si>
  <si>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</si>
  <si>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</si>
  <si>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</si>
  <si>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</si>
  <si>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</si>
  <si>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</si>
  <si>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</si>
  <si>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</si>
  <si>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</si>
  <si>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</si>
  <si>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</si>
  <si>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</si>
  <si>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</si>
  <si>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</si>
  <si>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</si>
  <si>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</si>
  <si>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</si>
  <si>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</si>
  <si>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</si>
  <si>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</si>
  <si>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</si>
  <si>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</si>
  <si>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</si>
  <si>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</si>
  <si>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</si>
  <si>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</si>
  <si>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</si>
  <si>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</si>
  <si>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</si>
  <si>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</si>
  <si>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</si>
  <si>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</si>
  <si>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</si>
  <si>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</si>
  <si>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</si>
  <si>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</si>
  <si>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</si>
  <si>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</si>
  <si>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</si>
  <si>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</si>
  <si>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</si>
  <si>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</si>
  <si>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</si>
  <si>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</si>
  <si>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</si>
  <si>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</si>
  <si>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</si>
  <si>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</si>
  <si>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</si>
  <si>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</si>
  <si>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</si>
  <si>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</si>
  <si>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</si>
  <si>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</si>
  <si>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</si>
  <si>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</si>
  <si>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</si>
  <si>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</si>
  <si>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</si>
  <si>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</si>
  <si>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</si>
  <si>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</si>
  <si>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</si>
  <si>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</si>
  <si>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</si>
  <si>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</si>
  <si>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</si>
  <si>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</si>
  <si>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</si>
  <si>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</si>
  <si>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</si>
  <si>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</si>
  <si>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</si>
  <si>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</si>
  <si>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</si>
  <si>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</si>
  <si>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</si>
  <si>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</si>
  <si>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</si>
  <si>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</si>
  <si>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</si>
  <si>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</si>
  <si>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</si>
  <si>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</si>
  <si>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</si>
  <si>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</si>
  <si>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</si>
  <si>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</si>
  <si>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</si>
  <si>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</si>
  <si>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</si>
  <si>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</si>
  <si>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</si>
  <si>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</si>
  <si>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</si>
  <si>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</si>
  <si>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</si>
  <si>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</si>
  <si>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</si>
  <si>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</si>
  <si>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</si>
  <si>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</si>
  <si>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</si>
  <si>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</si>
  <si>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</si>
  <si>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</si>
  <si>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</si>
  <si>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</si>
  <si>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</si>
  <si>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</si>
  <si>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</si>
  <si>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</si>
  <si>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</si>
  <si>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</si>
  <si>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</si>
  <si>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</si>
  <si>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</si>
  <si>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</si>
  <si>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</si>
  <si>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</si>
  <si>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</si>
  <si>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</si>
  <si>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</si>
  <si>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</si>
  <si>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</si>
  <si>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</si>
  <si>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</si>
  <si>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</si>
  <si>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</si>
  <si>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</si>
  <si>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</si>
  <si>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</si>
  <si>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</si>
  <si>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</si>
  <si>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</si>
  <si>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</si>
  <si>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</si>
  <si>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</si>
  <si>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</si>
  <si>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</si>
  <si>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</si>
  <si>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</si>
  <si>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</si>
  <si>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</si>
  <si>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</si>
  <si>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</si>
  <si>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</si>
  <si>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</si>
  <si>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</si>
  <si>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</si>
  <si>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</si>
  <si>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</si>
  <si>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</si>
  <si>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</si>
  <si>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</si>
  <si>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</si>
  <si>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</si>
  <si>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</si>
  <si>
    <t>KIPTIONO</t>
  </si>
  <si>
    <t>MOCH. ARIF HINDAWAN</t>
  </si>
  <si>
    <t>24 SEPT</t>
  </si>
  <si>
    <t>W43</t>
  </si>
  <si>
    <t>W44</t>
  </si>
  <si>
    <t>30 SEPT</t>
  </si>
  <si>
    <t>TIDAK DIAKUI KETUA KELAS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</si>
</sst>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2" fillId="10" borderId="2" xfId="0" applyFont="1" applyFill="1" applyBorder="1" applyAlignment="1">
      <alignment vertical="center"/>
    </xf>
    <xf numFmtId="0" fontId="22" fillId="10" borderId="2" xfId="0" applyFont="1" applyFill="1" applyBorder="1" applyAlignment="1">
      <alignment horizontal="left" vertical="center" indent="1"/>
    </xf>
    <xf numFmtId="0" fontId="22" fillId="10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 wrapText="1"/>
    </xf>
    <xf numFmtId="0" fontId="15" fillId="10" borderId="2" xfId="0" applyNumberFormat="1" applyFont="1" applyFill="1" applyBorder="1" applyAlignment="1">
      <alignment horizontal="center" vertical="center" wrapText="1"/>
    </xf>
    <xf numFmtId="49" fontId="22" fillId="10" borderId="0" xfId="0" applyNumberFormat="1" applyFont="1" applyFill="1" applyAlignment="1">
      <alignment horizontal="center" vertical="center"/>
    </xf>
    <xf numFmtId="0" fontId="15" fillId="10" borderId="0" xfId="0" applyNumberFormat="1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vertical="center" wrapText="1"/>
    </xf>
    <xf numFmtId="16" fontId="0" fillId="10" borderId="0" xfId="0" applyNumberFormat="1" applyFill="1" applyAlignment="1">
      <alignment vertical="center"/>
    </xf>
    <xf numFmtId="0" fontId="0" fillId="10" borderId="0" xfId="0" applyFill="1" applyAlignment="1">
      <alignment vertical="center"/>
    </xf>
    <xf numFmtId="16" fontId="15" fillId="0" borderId="0" xfId="0" quotePrefix="1" applyNumberFormat="1" applyFont="1" applyBorder="1" applyAlignment="1">
      <alignment vertical="center" wrapText="1"/>
    </xf>
    <xf numFmtId="16" fontId="0" fillId="0" borderId="0" xfId="0" quotePrefix="1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zoomScale="55" zoomScaleNormal="55" workbookViewId="0">
      <pane ySplit="1" topLeftCell="A17" activePane="bottomLeft" state="frozen"/>
      <selection pane="bottomLeft" activeCell="A44" sqref="A44:XFD45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62</v>
      </c>
      <c r="B2" s="35" t="s">
        <v>86</v>
      </c>
      <c r="C2" s="36" t="s">
        <v>90</v>
      </c>
      <c r="D2" s="37">
        <v>42</v>
      </c>
      <c r="E2" s="36" t="s">
        <v>32</v>
      </c>
      <c r="F2" s="36">
        <v>55</v>
      </c>
      <c r="G2" s="15" t="s">
        <v>91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190</v>
      </c>
      <c r="AR2" s="41">
        <v>44446</v>
      </c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63</v>
      </c>
      <c r="B3" s="31" t="s">
        <v>87</v>
      </c>
      <c r="C3" s="24" t="s">
        <v>90</v>
      </c>
      <c r="D3" s="25">
        <v>40</v>
      </c>
      <c r="E3" s="24" t="s">
        <v>32</v>
      </c>
      <c r="F3" s="24">
        <v>54</v>
      </c>
      <c r="G3" s="15" t="s">
        <v>91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190</v>
      </c>
      <c r="AR3" s="41">
        <v>44446</v>
      </c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64</v>
      </c>
      <c r="B4" s="31" t="s">
        <v>88</v>
      </c>
      <c r="C4" s="24" t="s">
        <v>90</v>
      </c>
      <c r="D4" s="25">
        <v>43</v>
      </c>
      <c r="E4" s="24" t="s">
        <v>34</v>
      </c>
      <c r="F4" s="24">
        <v>60</v>
      </c>
      <c r="G4" s="15" t="s">
        <v>91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190</v>
      </c>
      <c r="AR4" s="41">
        <v>44446</v>
      </c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65</v>
      </c>
      <c r="B5" s="31" t="s">
        <v>89</v>
      </c>
      <c r="C5" s="24" t="s">
        <v>90</v>
      </c>
      <c r="D5" s="25">
        <v>41</v>
      </c>
      <c r="E5" s="24" t="s">
        <v>34</v>
      </c>
      <c r="F5" s="24">
        <v>55</v>
      </c>
      <c r="G5" s="15" t="s">
        <v>91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190</v>
      </c>
      <c r="AR5" s="41">
        <v>44446</v>
      </c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66</v>
      </c>
      <c r="B6" s="31" t="s">
        <v>92</v>
      </c>
      <c r="C6" s="24" t="s">
        <v>90</v>
      </c>
      <c r="D6" s="25">
        <v>42</v>
      </c>
      <c r="E6" s="24" t="s">
        <v>36</v>
      </c>
      <c r="F6" s="24">
        <v>60</v>
      </c>
      <c r="G6" s="15" t="s">
        <v>91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190</v>
      </c>
      <c r="AR6" s="41">
        <v>44446</v>
      </c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67</v>
      </c>
      <c r="B7" s="31" t="s">
        <v>93</v>
      </c>
      <c r="C7" s="24" t="s">
        <v>90</v>
      </c>
      <c r="D7" s="25">
        <v>42</v>
      </c>
      <c r="E7" s="26" t="s">
        <v>32</v>
      </c>
      <c r="F7" s="27">
        <v>55</v>
      </c>
      <c r="G7" s="15" t="s">
        <v>91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190</v>
      </c>
      <c r="AR7" s="41">
        <v>44446</v>
      </c>
      <c r="AS7" s="41">
        <v>44444</v>
      </c>
      <c r="AT7" s="41">
        <v>44444</v>
      </c>
    </row>
    <row r="8" spans="1:1013" ht="30" customHeight="1" x14ac:dyDescent="0.25">
      <c r="A8" s="23" t="s">
        <v>68</v>
      </c>
      <c r="B8" s="31" t="s">
        <v>94</v>
      </c>
      <c r="C8" s="24" t="s">
        <v>90</v>
      </c>
      <c r="D8" s="25">
        <v>40</v>
      </c>
      <c r="E8" s="26" t="s">
        <v>32</v>
      </c>
      <c r="F8" s="27">
        <v>55</v>
      </c>
      <c r="G8" s="15" t="s">
        <v>91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190</v>
      </c>
      <c r="AR8" s="41">
        <v>44446</v>
      </c>
      <c r="AS8" s="41">
        <v>44444</v>
      </c>
      <c r="AT8" s="41">
        <v>44444</v>
      </c>
    </row>
    <row r="9" spans="1:1013" ht="30" customHeight="1" x14ac:dyDescent="0.25">
      <c r="A9" s="23" t="s">
        <v>69</v>
      </c>
      <c r="B9" s="31" t="s">
        <v>95</v>
      </c>
      <c r="C9" s="24" t="s">
        <v>90</v>
      </c>
      <c r="D9" s="25">
        <v>42</v>
      </c>
      <c r="E9" s="26" t="s">
        <v>32</v>
      </c>
      <c r="F9" s="27">
        <v>57</v>
      </c>
      <c r="G9" s="15" t="s">
        <v>91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190</v>
      </c>
      <c r="AR9" s="41">
        <v>44446</v>
      </c>
      <c r="AS9" s="41">
        <v>44444</v>
      </c>
      <c r="AT9" s="41">
        <v>44444</v>
      </c>
    </row>
    <row r="10" spans="1:1013" ht="30" customHeight="1" x14ac:dyDescent="0.25">
      <c r="A10" s="23" t="s">
        <v>70</v>
      </c>
      <c r="B10" s="31" t="s">
        <v>96</v>
      </c>
      <c r="C10" s="24" t="s">
        <v>90</v>
      </c>
      <c r="D10" s="25">
        <v>43</v>
      </c>
      <c r="E10" s="26" t="s">
        <v>32</v>
      </c>
      <c r="F10" s="27">
        <v>58</v>
      </c>
      <c r="G10" s="15" t="s">
        <v>91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190</v>
      </c>
      <c r="AR10" s="41">
        <v>44446</v>
      </c>
      <c r="AS10" s="41">
        <v>44444</v>
      </c>
      <c r="AT10" s="41">
        <v>44444</v>
      </c>
    </row>
    <row r="11" spans="1:1013" ht="30" customHeight="1" x14ac:dyDescent="0.25">
      <c r="A11" s="23" t="s">
        <v>71</v>
      </c>
      <c r="B11" s="31" t="s">
        <v>97</v>
      </c>
      <c r="C11" s="24" t="s">
        <v>90</v>
      </c>
      <c r="D11" s="20">
        <v>42</v>
      </c>
      <c r="E11" s="21" t="s">
        <v>32</v>
      </c>
      <c r="F11" s="22">
        <v>56</v>
      </c>
      <c r="G11" s="29" t="s">
        <v>91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190</v>
      </c>
      <c r="AR11" s="41">
        <v>44446</v>
      </c>
      <c r="AS11" s="41">
        <v>44444</v>
      </c>
      <c r="AT11" s="41">
        <v>44444</v>
      </c>
    </row>
    <row r="12" spans="1:1013" ht="30" customHeight="1" x14ac:dyDescent="0.25">
      <c r="A12" s="23" t="s">
        <v>72</v>
      </c>
      <c r="B12" s="31" t="s">
        <v>98</v>
      </c>
      <c r="C12" s="24" t="s">
        <v>90</v>
      </c>
      <c r="D12" s="25">
        <v>43</v>
      </c>
      <c r="E12" s="26" t="s">
        <v>33</v>
      </c>
      <c r="F12" s="26">
        <v>60</v>
      </c>
      <c r="G12" s="29" t="s">
        <v>91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190</v>
      </c>
      <c r="AR12" s="41">
        <v>44446</v>
      </c>
      <c r="AS12" s="41">
        <v>44444</v>
      </c>
      <c r="AT12" s="41">
        <v>44444</v>
      </c>
    </row>
    <row r="13" spans="1:1013" ht="30" customHeight="1" x14ac:dyDescent="0.25">
      <c r="A13" s="23" t="s">
        <v>73</v>
      </c>
      <c r="B13" s="31" t="s">
        <v>99</v>
      </c>
      <c r="C13" s="24" t="s">
        <v>90</v>
      </c>
      <c r="D13" s="25">
        <v>40</v>
      </c>
      <c r="E13" s="21" t="s">
        <v>32</v>
      </c>
      <c r="F13" s="22">
        <v>58</v>
      </c>
      <c r="G13" s="29" t="s">
        <v>91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190</v>
      </c>
      <c r="AR13" s="41">
        <v>44446</v>
      </c>
      <c r="AS13" s="41">
        <v>44444</v>
      </c>
      <c r="AT13" s="41">
        <v>44444</v>
      </c>
    </row>
    <row r="14" spans="1:1013" ht="30" customHeight="1" x14ac:dyDescent="0.25">
      <c r="A14" s="23" t="s">
        <v>74</v>
      </c>
      <c r="B14" s="31" t="s">
        <v>100</v>
      </c>
      <c r="C14" s="24" t="s">
        <v>90</v>
      </c>
      <c r="D14" s="25">
        <v>41</v>
      </c>
      <c r="E14" s="21" t="s">
        <v>32</v>
      </c>
      <c r="F14" s="22">
        <v>57</v>
      </c>
      <c r="G14" s="29" t="s">
        <v>91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190</v>
      </c>
      <c r="AR14" s="41">
        <v>44446</v>
      </c>
      <c r="AS14" s="41">
        <v>44444</v>
      </c>
      <c r="AT14" s="41">
        <v>44444</v>
      </c>
    </row>
    <row r="15" spans="1:1013" ht="30" customHeight="1" x14ac:dyDescent="0.25">
      <c r="A15" s="23" t="s">
        <v>75</v>
      </c>
      <c r="B15" s="31" t="s">
        <v>101</v>
      </c>
      <c r="C15" s="24" t="s">
        <v>90</v>
      </c>
      <c r="D15" s="25">
        <v>42</v>
      </c>
      <c r="E15" s="21" t="s">
        <v>33</v>
      </c>
      <c r="F15" s="22">
        <v>58</v>
      </c>
      <c r="G15" s="29" t="s">
        <v>91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190</v>
      </c>
      <c r="AR15" s="41">
        <v>44446</v>
      </c>
      <c r="AS15" s="41">
        <v>44444</v>
      </c>
      <c r="AT15" s="41">
        <v>44444</v>
      </c>
    </row>
    <row r="16" spans="1:1013" ht="30" customHeight="1" x14ac:dyDescent="0.25">
      <c r="A16" s="23" t="s">
        <v>76</v>
      </c>
      <c r="B16" s="31" t="s">
        <v>102</v>
      </c>
      <c r="C16" s="24" t="s">
        <v>90</v>
      </c>
      <c r="D16" s="25">
        <v>40</v>
      </c>
      <c r="E16" s="21" t="s">
        <v>31</v>
      </c>
      <c r="F16" s="22">
        <v>54</v>
      </c>
      <c r="G16" s="29" t="s">
        <v>91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190</v>
      </c>
      <c r="AR16" s="41">
        <v>44446</v>
      </c>
      <c r="AS16" s="41">
        <v>44444</v>
      </c>
      <c r="AT16" s="41">
        <v>44444</v>
      </c>
    </row>
    <row r="17" spans="1:46" ht="30" customHeight="1" x14ac:dyDescent="0.25">
      <c r="A17" s="23" t="s">
        <v>77</v>
      </c>
      <c r="B17" s="31" t="s">
        <v>103</v>
      </c>
      <c r="C17" s="24" t="s">
        <v>90</v>
      </c>
      <c r="D17" s="25">
        <v>40</v>
      </c>
      <c r="E17" s="21" t="s">
        <v>32</v>
      </c>
      <c r="F17" s="22">
        <v>57</v>
      </c>
      <c r="G17" s="29" t="s">
        <v>91</v>
      </c>
      <c r="H17" s="29" t="s">
        <v>45</v>
      </c>
      <c r="I17" s="3">
        <v>47</v>
      </c>
      <c r="J17" s="3">
        <v>57</v>
      </c>
      <c r="K17" s="3" t="s">
        <v>212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190</v>
      </c>
      <c r="AR17" s="41">
        <v>44446</v>
      </c>
      <c r="AS17" s="41">
        <v>44444</v>
      </c>
      <c r="AT17" s="41">
        <v>44444</v>
      </c>
    </row>
    <row r="18" spans="1:46" ht="30" customHeight="1" x14ac:dyDescent="0.25">
      <c r="A18" s="23" t="s">
        <v>78</v>
      </c>
      <c r="B18" s="31" t="s">
        <v>104</v>
      </c>
      <c r="C18" s="24" t="s">
        <v>90</v>
      </c>
      <c r="D18" s="25">
        <v>42</v>
      </c>
      <c r="E18" s="21" t="s">
        <v>32</v>
      </c>
      <c r="F18" s="22">
        <v>58</v>
      </c>
      <c r="G18" s="29" t="s">
        <v>91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190</v>
      </c>
      <c r="AR18" s="41">
        <v>44446</v>
      </c>
      <c r="AS18" s="41">
        <v>44444</v>
      </c>
      <c r="AT18" s="41">
        <v>44444</v>
      </c>
    </row>
    <row r="19" spans="1:46" ht="30" customHeight="1" x14ac:dyDescent="0.25">
      <c r="A19" s="23" t="s">
        <v>79</v>
      </c>
      <c r="B19" s="31" t="s">
        <v>105</v>
      </c>
      <c r="C19" s="24" t="s">
        <v>90</v>
      </c>
      <c r="D19" s="25">
        <v>40</v>
      </c>
      <c r="E19" s="21" t="s">
        <v>32</v>
      </c>
      <c r="F19" s="22">
        <v>53</v>
      </c>
      <c r="G19" s="29" t="s">
        <v>91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190</v>
      </c>
      <c r="AR19" s="41">
        <v>44446</v>
      </c>
      <c r="AS19" s="41">
        <v>44444</v>
      </c>
      <c r="AT19" s="41">
        <v>44444</v>
      </c>
    </row>
    <row r="20" spans="1:46" ht="30" customHeight="1" x14ac:dyDescent="0.25">
      <c r="A20" s="23" t="s">
        <v>80</v>
      </c>
      <c r="B20" s="31" t="s">
        <v>106</v>
      </c>
      <c r="C20" s="24" t="s">
        <v>90</v>
      </c>
      <c r="D20" s="25">
        <v>42</v>
      </c>
      <c r="E20" s="21" t="s">
        <v>32</v>
      </c>
      <c r="F20" s="22">
        <v>57</v>
      </c>
      <c r="G20" s="29" t="s">
        <v>91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190</v>
      </c>
      <c r="AR20" s="41">
        <v>44446</v>
      </c>
      <c r="AS20" s="41">
        <v>44444</v>
      </c>
      <c r="AT20" s="41">
        <v>44444</v>
      </c>
    </row>
    <row r="21" spans="1:46" ht="30" customHeight="1" x14ac:dyDescent="0.25">
      <c r="A21" s="23" t="s">
        <v>81</v>
      </c>
      <c r="B21" s="31" t="s">
        <v>107</v>
      </c>
      <c r="C21" s="24" t="s">
        <v>90</v>
      </c>
      <c r="D21" s="25">
        <v>41</v>
      </c>
      <c r="E21" s="21" t="s">
        <v>32</v>
      </c>
      <c r="F21" s="22">
        <v>57</v>
      </c>
      <c r="G21" s="29" t="s">
        <v>91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190</v>
      </c>
      <c r="AR21" s="41">
        <v>44446</v>
      </c>
      <c r="AS21" s="41">
        <v>44444</v>
      </c>
      <c r="AT21" s="41">
        <v>44444</v>
      </c>
    </row>
    <row r="22" spans="1:46" ht="30" customHeight="1" x14ac:dyDescent="0.25">
      <c r="A22" s="23" t="s">
        <v>82</v>
      </c>
      <c r="B22" s="31" t="s">
        <v>108</v>
      </c>
      <c r="C22" s="24" t="s">
        <v>90</v>
      </c>
      <c r="D22" s="25">
        <v>44</v>
      </c>
      <c r="E22" s="21" t="s">
        <v>36</v>
      </c>
      <c r="F22" s="22">
        <v>59</v>
      </c>
      <c r="G22" s="29" t="s">
        <v>91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190</v>
      </c>
      <c r="AR22" s="41">
        <v>44446</v>
      </c>
      <c r="AS22" s="41">
        <v>44444</v>
      </c>
      <c r="AT22" s="41">
        <v>44444</v>
      </c>
    </row>
    <row r="23" spans="1:46" ht="30" customHeight="1" x14ac:dyDescent="0.25">
      <c r="A23" s="23" t="s">
        <v>83</v>
      </c>
      <c r="B23" s="31" t="s">
        <v>109</v>
      </c>
      <c r="C23" s="24" t="s">
        <v>90</v>
      </c>
      <c r="D23" s="25">
        <v>42</v>
      </c>
      <c r="E23" s="21" t="s">
        <v>34</v>
      </c>
      <c r="F23" s="22">
        <v>55</v>
      </c>
      <c r="G23" s="29" t="s">
        <v>91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190</v>
      </c>
      <c r="AR23" s="41">
        <v>44446</v>
      </c>
      <c r="AS23" s="41">
        <v>44444</v>
      </c>
      <c r="AT23" s="41">
        <v>44444</v>
      </c>
    </row>
    <row r="24" spans="1:46" ht="30" customHeight="1" x14ac:dyDescent="0.25">
      <c r="A24" s="23" t="s">
        <v>84</v>
      </c>
      <c r="B24" s="31" t="s">
        <v>110</v>
      </c>
      <c r="C24" s="24" t="s">
        <v>90</v>
      </c>
      <c r="D24" s="25">
        <v>41</v>
      </c>
      <c r="E24" s="21" t="s">
        <v>32</v>
      </c>
      <c r="F24" s="22">
        <v>57</v>
      </c>
      <c r="G24" s="29" t="s">
        <v>91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190</v>
      </c>
      <c r="AR24" s="41">
        <v>44446</v>
      </c>
      <c r="AS24" s="41">
        <v>44444</v>
      </c>
      <c r="AT24" s="41">
        <v>44444</v>
      </c>
    </row>
    <row r="25" spans="1:46" ht="30" customHeight="1" x14ac:dyDescent="0.25">
      <c r="A25" s="23" t="s">
        <v>85</v>
      </c>
      <c r="B25" s="31" t="s">
        <v>111</v>
      </c>
      <c r="C25" s="24" t="s">
        <v>90</v>
      </c>
      <c r="D25" s="25">
        <v>42</v>
      </c>
      <c r="E25" s="21" t="s">
        <v>32</v>
      </c>
      <c r="F25" s="22">
        <v>57</v>
      </c>
      <c r="G25" s="29" t="s">
        <v>91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190</v>
      </c>
      <c r="AR25" s="41">
        <v>44446</v>
      </c>
      <c r="AS25" s="41">
        <v>44444</v>
      </c>
      <c r="AT25" s="41">
        <v>44444</v>
      </c>
    </row>
    <row r="26" spans="1:46" ht="30" customHeight="1" x14ac:dyDescent="0.25">
      <c r="A26" s="23" t="s">
        <v>112</v>
      </c>
      <c r="B26" s="31" t="s">
        <v>119</v>
      </c>
      <c r="C26" s="24" t="s">
        <v>90</v>
      </c>
      <c r="D26" s="25">
        <v>43</v>
      </c>
      <c r="E26" s="21" t="s">
        <v>32</v>
      </c>
      <c r="F26" s="22">
        <v>56</v>
      </c>
      <c r="G26" s="29" t="s">
        <v>91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190</v>
      </c>
      <c r="AR26" s="41">
        <v>44446</v>
      </c>
      <c r="AS26" s="41">
        <v>44444</v>
      </c>
      <c r="AT26" s="41">
        <v>44444</v>
      </c>
    </row>
    <row r="27" spans="1:46" ht="30" customHeight="1" x14ac:dyDescent="0.25">
      <c r="A27" s="23" t="s">
        <v>113</v>
      </c>
      <c r="B27" s="31" t="s">
        <v>120</v>
      </c>
      <c r="C27" s="24" t="s">
        <v>90</v>
      </c>
      <c r="D27" s="25">
        <v>42</v>
      </c>
      <c r="E27" s="21" t="s">
        <v>32</v>
      </c>
      <c r="F27" s="22">
        <v>57</v>
      </c>
      <c r="G27" s="29" t="s">
        <v>91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190</v>
      </c>
      <c r="AR27" s="41">
        <v>44446</v>
      </c>
      <c r="AS27" s="41">
        <v>44444</v>
      </c>
      <c r="AT27" s="41">
        <v>44444</v>
      </c>
    </row>
    <row r="28" spans="1:46" ht="30" customHeight="1" x14ac:dyDescent="0.25">
      <c r="A28" s="23" t="s">
        <v>114</v>
      </c>
      <c r="B28" s="31" t="s">
        <v>121</v>
      </c>
      <c r="C28" s="24" t="s">
        <v>90</v>
      </c>
      <c r="D28" s="25">
        <v>42</v>
      </c>
      <c r="E28" s="21" t="s">
        <v>34</v>
      </c>
      <c r="F28" s="22">
        <v>59</v>
      </c>
      <c r="G28" s="29" t="s">
        <v>91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190</v>
      </c>
      <c r="AR28" s="41">
        <v>44446</v>
      </c>
      <c r="AS28" s="41">
        <v>44444</v>
      </c>
      <c r="AT28" s="41">
        <v>44444</v>
      </c>
    </row>
    <row r="29" spans="1:46" ht="30" customHeight="1" x14ac:dyDescent="0.25">
      <c r="A29" s="23" t="s">
        <v>115</v>
      </c>
      <c r="B29" s="31" t="s">
        <v>122</v>
      </c>
      <c r="C29" s="24" t="s">
        <v>90</v>
      </c>
      <c r="D29" s="20">
        <v>39</v>
      </c>
      <c r="E29" s="21" t="s">
        <v>35</v>
      </c>
      <c r="F29" s="22">
        <v>54</v>
      </c>
      <c r="G29" s="29" t="s">
        <v>91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190</v>
      </c>
      <c r="AR29" s="41">
        <v>44446</v>
      </c>
      <c r="AS29" s="41">
        <v>44444</v>
      </c>
      <c r="AT29" s="41">
        <v>44444</v>
      </c>
    </row>
    <row r="30" spans="1:46" ht="30" customHeight="1" x14ac:dyDescent="0.25">
      <c r="A30" s="23" t="s">
        <v>116</v>
      </c>
      <c r="B30" s="31" t="s">
        <v>123</v>
      </c>
      <c r="C30" s="24" t="s">
        <v>90</v>
      </c>
      <c r="D30" s="20">
        <v>40</v>
      </c>
      <c r="E30" s="21" t="s">
        <v>32</v>
      </c>
      <c r="F30" s="22">
        <v>57</v>
      </c>
      <c r="G30" s="29" t="s">
        <v>91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190</v>
      </c>
      <c r="AR30" s="41">
        <v>44446</v>
      </c>
      <c r="AS30" s="41">
        <v>44444</v>
      </c>
      <c r="AT30" s="41">
        <v>44444</v>
      </c>
    </row>
    <row r="31" spans="1:46" ht="30" customHeight="1" x14ac:dyDescent="0.25">
      <c r="A31" s="23" t="s">
        <v>117</v>
      </c>
      <c r="B31" s="31" t="s">
        <v>124</v>
      </c>
      <c r="C31" s="24" t="s">
        <v>90</v>
      </c>
      <c r="D31" s="20">
        <v>40</v>
      </c>
      <c r="E31" s="21" t="s">
        <v>34</v>
      </c>
      <c r="F31" s="22">
        <v>57</v>
      </c>
      <c r="G31" s="29" t="s">
        <v>91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190</v>
      </c>
      <c r="AR31" s="41">
        <v>44446</v>
      </c>
      <c r="AS31" s="41">
        <v>44444</v>
      </c>
      <c r="AT31" s="41">
        <v>44444</v>
      </c>
    </row>
    <row r="32" spans="1:46" ht="30" customHeight="1" x14ac:dyDescent="0.25">
      <c r="A32" s="23" t="s">
        <v>118</v>
      </c>
      <c r="B32" s="31" t="s">
        <v>125</v>
      </c>
      <c r="C32" s="24" t="s">
        <v>90</v>
      </c>
      <c r="D32" s="20">
        <v>41</v>
      </c>
      <c r="E32" s="21" t="s">
        <v>32</v>
      </c>
      <c r="F32" s="22">
        <v>58</v>
      </c>
      <c r="G32" s="29" t="s">
        <v>91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190</v>
      </c>
      <c r="AR32" s="41">
        <v>44446</v>
      </c>
      <c r="AS32" s="41">
        <v>44444</v>
      </c>
      <c r="AT32" s="41">
        <v>44444</v>
      </c>
    </row>
    <row r="33" spans="1:1013" ht="30" customHeight="1" x14ac:dyDescent="0.25">
      <c r="A33" s="23" t="s">
        <v>129</v>
      </c>
      <c r="B33" s="31" t="s">
        <v>126</v>
      </c>
      <c r="C33" s="24" t="s">
        <v>90</v>
      </c>
      <c r="D33" s="20">
        <v>43</v>
      </c>
      <c r="E33" s="21" t="s">
        <v>34</v>
      </c>
      <c r="F33" s="22">
        <v>58</v>
      </c>
      <c r="G33" s="29" t="s">
        <v>91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190</v>
      </c>
      <c r="AR33" s="41">
        <v>44446</v>
      </c>
      <c r="AS33" s="41">
        <v>44444</v>
      </c>
      <c r="AT33" s="41">
        <v>44444</v>
      </c>
    </row>
    <row r="34" spans="1:1013" ht="30" customHeight="1" x14ac:dyDescent="0.25">
      <c r="A34" s="23" t="s">
        <v>130</v>
      </c>
      <c r="B34" s="31" t="s">
        <v>127</v>
      </c>
      <c r="C34" s="24" t="s">
        <v>90</v>
      </c>
      <c r="D34" s="20">
        <v>41</v>
      </c>
      <c r="E34" s="21" t="s">
        <v>34</v>
      </c>
      <c r="F34" s="22">
        <v>58</v>
      </c>
      <c r="G34" s="29" t="s">
        <v>91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190</v>
      </c>
      <c r="AR34" s="41">
        <v>44446</v>
      </c>
      <c r="AS34" s="41">
        <v>44444</v>
      </c>
      <c r="AT34" s="41">
        <v>44444</v>
      </c>
    </row>
    <row r="35" spans="1:1013" ht="30" customHeight="1" x14ac:dyDescent="0.25">
      <c r="A35" s="23" t="s">
        <v>131</v>
      </c>
      <c r="B35" s="31" t="s">
        <v>128</v>
      </c>
      <c r="C35" s="24" t="s">
        <v>90</v>
      </c>
      <c r="D35" s="20">
        <v>40</v>
      </c>
      <c r="E35" s="21" t="s">
        <v>32</v>
      </c>
      <c r="F35" s="22">
        <v>57</v>
      </c>
      <c r="G35" s="29" t="s">
        <v>91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190</v>
      </c>
      <c r="AR35" s="41">
        <v>44446</v>
      </c>
      <c r="AS35" s="41">
        <v>44444</v>
      </c>
      <c r="AT35" s="41">
        <v>44444</v>
      </c>
    </row>
    <row r="36" spans="1:1013" ht="30" customHeight="1" x14ac:dyDescent="0.25">
      <c r="A36" s="23" t="s">
        <v>191</v>
      </c>
      <c r="B36" s="31" t="s">
        <v>192</v>
      </c>
      <c r="C36" s="24" t="s">
        <v>90</v>
      </c>
      <c r="D36" s="20">
        <v>43</v>
      </c>
      <c r="E36" s="21" t="s">
        <v>32</v>
      </c>
      <c r="F36" s="22">
        <v>56</v>
      </c>
      <c r="G36" s="29" t="s">
        <v>91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200</v>
      </c>
      <c r="AR36" s="41">
        <v>44446</v>
      </c>
      <c r="AS36" s="41">
        <v>44444</v>
      </c>
      <c r="AT36" s="41">
        <v>44444</v>
      </c>
    </row>
    <row r="37" spans="1:1013" ht="30" customHeight="1" x14ac:dyDescent="0.25">
      <c r="A37" s="23" t="s">
        <v>201</v>
      </c>
      <c r="B37" s="31" t="s">
        <v>193</v>
      </c>
      <c r="C37" s="24" t="s">
        <v>90</v>
      </c>
      <c r="D37" s="20">
        <v>42</v>
      </c>
      <c r="E37" s="21" t="s">
        <v>34</v>
      </c>
      <c r="F37" s="30">
        <v>60</v>
      </c>
      <c r="G37" s="29" t="s">
        <v>91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200</v>
      </c>
      <c r="AR37" s="41">
        <v>44446</v>
      </c>
      <c r="AS37" s="41">
        <v>44444</v>
      </c>
      <c r="AT37" s="41">
        <v>44444</v>
      </c>
    </row>
    <row r="38" spans="1:1013" ht="30" customHeight="1" x14ac:dyDescent="0.25">
      <c r="A38" s="23" t="s">
        <v>202</v>
      </c>
      <c r="B38" s="31" t="s">
        <v>194</v>
      </c>
      <c r="C38" s="24" t="s">
        <v>90</v>
      </c>
      <c r="D38" s="20">
        <v>42</v>
      </c>
      <c r="E38" s="21" t="s">
        <v>34</v>
      </c>
      <c r="F38" s="30">
        <v>56</v>
      </c>
      <c r="G38" s="29" t="s">
        <v>91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200</v>
      </c>
      <c r="AR38" s="41">
        <v>44446</v>
      </c>
      <c r="AS38" s="41">
        <v>44444</v>
      </c>
      <c r="AT38" s="41">
        <v>44444</v>
      </c>
    </row>
    <row r="39" spans="1:1013" s="51" customFormat="1" ht="30" customHeight="1" x14ac:dyDescent="0.25">
      <c r="A39" s="42" t="s">
        <v>203</v>
      </c>
      <c r="B39" s="43" t="s">
        <v>195</v>
      </c>
      <c r="C39" s="44" t="s">
        <v>90</v>
      </c>
      <c r="D39" s="45">
        <v>40</v>
      </c>
      <c r="E39" s="45" t="s">
        <v>34</v>
      </c>
      <c r="F39" s="46">
        <v>56</v>
      </c>
      <c r="G39" s="47" t="s">
        <v>91</v>
      </c>
      <c r="H39" s="47" t="s">
        <v>45</v>
      </c>
      <c r="I39" s="48">
        <v>48</v>
      </c>
      <c r="J39" s="48">
        <v>57</v>
      </c>
      <c r="K39" s="48">
        <v>19</v>
      </c>
      <c r="L39" s="48">
        <v>14</v>
      </c>
      <c r="M39" s="48">
        <v>107</v>
      </c>
      <c r="N39" s="48">
        <v>104</v>
      </c>
      <c r="O39" s="48">
        <v>116</v>
      </c>
      <c r="P39" s="48">
        <v>71</v>
      </c>
      <c r="Q39" s="48">
        <v>43</v>
      </c>
      <c r="R39" s="48">
        <v>48</v>
      </c>
      <c r="S39" s="48">
        <v>58</v>
      </c>
      <c r="T39" s="48">
        <v>18</v>
      </c>
      <c r="U39" s="48">
        <v>13</v>
      </c>
      <c r="V39" s="48">
        <v>29</v>
      </c>
      <c r="W39" s="48">
        <v>27</v>
      </c>
      <c r="X39" s="48">
        <v>29</v>
      </c>
      <c r="Y39" s="48">
        <v>71</v>
      </c>
      <c r="Z39" s="48">
        <v>43</v>
      </c>
      <c r="AA39" s="48">
        <v>48</v>
      </c>
      <c r="AB39" s="48">
        <v>25</v>
      </c>
      <c r="AC39" s="48">
        <v>18</v>
      </c>
      <c r="AD39" s="48">
        <v>29</v>
      </c>
      <c r="AE39" s="48">
        <v>27</v>
      </c>
      <c r="AF39" s="48">
        <v>29</v>
      </c>
      <c r="AG39" s="48">
        <v>71</v>
      </c>
      <c r="AH39" s="48">
        <v>43</v>
      </c>
      <c r="AI39" s="48">
        <v>98</v>
      </c>
      <c r="AJ39" s="48">
        <v>114</v>
      </c>
      <c r="AK39" s="48">
        <v>68</v>
      </c>
      <c r="AL39" s="48">
        <v>35</v>
      </c>
      <c r="AM39" s="48">
        <v>24</v>
      </c>
      <c r="AN39" s="48">
        <v>20</v>
      </c>
      <c r="AO39" s="48">
        <v>94</v>
      </c>
      <c r="AP39" s="49">
        <v>2</v>
      </c>
      <c r="AQ39" s="49" t="s">
        <v>200</v>
      </c>
      <c r="AR39" s="50">
        <v>44446</v>
      </c>
      <c r="AS39" s="50">
        <v>44444</v>
      </c>
      <c r="AT39" s="50">
        <v>44444</v>
      </c>
      <c r="AU39" s="49"/>
      <c r="AV39" s="49" t="s">
        <v>219</v>
      </c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49"/>
      <c r="DH39" s="49"/>
      <c r="DI39" s="49"/>
      <c r="DJ39" s="49"/>
      <c r="DK39" s="49"/>
      <c r="DL39" s="49"/>
      <c r="DM39" s="49"/>
      <c r="DN39" s="49"/>
      <c r="DO39" s="49"/>
      <c r="DP39" s="49"/>
      <c r="DQ39" s="49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9"/>
      <c r="ED39" s="49"/>
      <c r="EE39" s="49"/>
      <c r="EF39" s="49"/>
      <c r="EG39" s="49"/>
      <c r="EH39" s="49"/>
      <c r="EI39" s="49"/>
      <c r="EJ39" s="49"/>
      <c r="EK39" s="49"/>
      <c r="EL39" s="49"/>
      <c r="EM39" s="49"/>
      <c r="EN39" s="49"/>
      <c r="EO39" s="49"/>
      <c r="EP39" s="49"/>
      <c r="EQ39" s="49"/>
      <c r="ER39" s="49"/>
      <c r="ES39" s="49"/>
      <c r="ET39" s="49"/>
      <c r="EU39" s="49"/>
      <c r="EV39" s="49"/>
      <c r="EW39" s="49"/>
      <c r="EX39" s="49"/>
      <c r="EY39" s="49"/>
      <c r="EZ39" s="49"/>
      <c r="FA39" s="49"/>
      <c r="FB39" s="49"/>
      <c r="FC39" s="49"/>
      <c r="FD39" s="49"/>
      <c r="FE39" s="49"/>
      <c r="FF39" s="49"/>
      <c r="FG39" s="49"/>
      <c r="FH39" s="49"/>
      <c r="FI39" s="49"/>
      <c r="FJ39" s="49"/>
      <c r="FK39" s="49"/>
      <c r="FL39" s="49"/>
      <c r="FM39" s="49"/>
      <c r="FN39" s="49"/>
      <c r="FO39" s="49"/>
      <c r="FP39" s="49"/>
      <c r="FQ39" s="49"/>
      <c r="FR39" s="49"/>
      <c r="FS39" s="49"/>
      <c r="FT39" s="49"/>
      <c r="FU39" s="49"/>
      <c r="FV39" s="49"/>
      <c r="FW39" s="49"/>
      <c r="FX39" s="49"/>
      <c r="FY39" s="49"/>
      <c r="FZ39" s="49"/>
      <c r="GA39" s="49"/>
      <c r="GB39" s="49"/>
      <c r="GC39" s="49"/>
      <c r="GD39" s="49"/>
      <c r="GE39" s="49"/>
      <c r="GF39" s="49"/>
      <c r="GG39" s="49"/>
      <c r="GH39" s="49"/>
      <c r="GI39" s="49"/>
      <c r="GJ39" s="49"/>
      <c r="GK39" s="49"/>
      <c r="GL39" s="49"/>
      <c r="GM39" s="49"/>
      <c r="GN39" s="49"/>
      <c r="GO39" s="49"/>
      <c r="GP39" s="49"/>
      <c r="GQ39" s="49"/>
      <c r="GR39" s="49"/>
      <c r="GS39" s="49"/>
      <c r="GT39" s="49"/>
      <c r="GU39" s="49"/>
      <c r="GV39" s="49"/>
      <c r="GW39" s="49"/>
      <c r="GX39" s="49"/>
      <c r="GY39" s="49"/>
      <c r="GZ39" s="49"/>
      <c r="HA39" s="49"/>
      <c r="HB39" s="49"/>
      <c r="HC39" s="49"/>
      <c r="HD39" s="49"/>
      <c r="HE39" s="49"/>
      <c r="HF39" s="49"/>
      <c r="HG39" s="49"/>
      <c r="HH39" s="49"/>
      <c r="HI39" s="49"/>
      <c r="HJ39" s="49"/>
      <c r="HK39" s="49"/>
      <c r="HL39" s="49"/>
      <c r="HM39" s="49"/>
      <c r="HN39" s="49"/>
      <c r="HO39" s="49"/>
      <c r="HP39" s="49"/>
      <c r="HQ39" s="49"/>
      <c r="HR39" s="49"/>
      <c r="HS39" s="49"/>
      <c r="HT39" s="49"/>
      <c r="HU39" s="49"/>
      <c r="HV39" s="49"/>
      <c r="HW39" s="49"/>
      <c r="HX39" s="49"/>
      <c r="HY39" s="49"/>
      <c r="HZ39" s="49"/>
      <c r="IA39" s="49"/>
      <c r="IB39" s="49"/>
      <c r="IC39" s="49"/>
      <c r="ID39" s="49"/>
      <c r="IE39" s="49"/>
      <c r="IF39" s="49"/>
      <c r="IG39" s="49"/>
      <c r="IH39" s="49"/>
      <c r="II39" s="49"/>
      <c r="IJ39" s="49"/>
      <c r="IK39" s="49"/>
      <c r="IL39" s="49"/>
      <c r="IM39" s="49"/>
      <c r="IN39" s="49"/>
      <c r="IO39" s="49"/>
      <c r="IP39" s="49"/>
      <c r="IQ39" s="49"/>
      <c r="IR39" s="49"/>
      <c r="IS39" s="49"/>
      <c r="IT39" s="49"/>
      <c r="IU39" s="49"/>
      <c r="IV39" s="49"/>
      <c r="IW39" s="49"/>
      <c r="IX39" s="49"/>
      <c r="IY39" s="49"/>
      <c r="IZ39" s="49"/>
      <c r="JA39" s="49"/>
      <c r="JB39" s="49"/>
      <c r="JC39" s="49"/>
      <c r="JD39" s="49"/>
      <c r="JE39" s="49"/>
      <c r="JF39" s="49"/>
      <c r="JG39" s="49"/>
      <c r="JH39" s="49"/>
      <c r="JI39" s="49"/>
      <c r="JJ39" s="49"/>
      <c r="JK39" s="49"/>
      <c r="JL39" s="49"/>
      <c r="JM39" s="49"/>
      <c r="JN39" s="49"/>
      <c r="JO39" s="49"/>
      <c r="JP39" s="49"/>
      <c r="JQ39" s="49"/>
      <c r="JR39" s="49"/>
      <c r="JS39" s="49"/>
      <c r="JT39" s="49"/>
      <c r="JU39" s="49"/>
      <c r="JV39" s="49"/>
      <c r="JW39" s="49"/>
      <c r="JX39" s="49"/>
      <c r="JY39" s="49"/>
      <c r="JZ39" s="49"/>
      <c r="KA39" s="49"/>
      <c r="KB39" s="49"/>
      <c r="KC39" s="49"/>
      <c r="KD39" s="49"/>
      <c r="KE39" s="49"/>
      <c r="KF39" s="49"/>
      <c r="KG39" s="49"/>
      <c r="KH39" s="49"/>
      <c r="KI39" s="49"/>
      <c r="KJ39" s="49"/>
      <c r="KK39" s="49"/>
      <c r="KL39" s="49"/>
      <c r="KM39" s="49"/>
      <c r="KN39" s="49"/>
      <c r="KO39" s="49"/>
      <c r="KP39" s="49"/>
      <c r="KQ39" s="49"/>
      <c r="KR39" s="49"/>
      <c r="KS39" s="49"/>
      <c r="KT39" s="49"/>
      <c r="KU39" s="49"/>
      <c r="KV39" s="49"/>
      <c r="KW39" s="49"/>
      <c r="KX39" s="49"/>
      <c r="KY39" s="49"/>
      <c r="KZ39" s="49"/>
      <c r="LA39" s="49"/>
      <c r="LB39" s="49"/>
      <c r="LC39" s="49"/>
      <c r="LD39" s="49"/>
      <c r="LE39" s="49"/>
      <c r="LF39" s="49"/>
      <c r="LG39" s="49"/>
      <c r="LH39" s="49"/>
      <c r="LI39" s="49"/>
      <c r="LJ39" s="49"/>
      <c r="LK39" s="49"/>
      <c r="LL39" s="49"/>
      <c r="LM39" s="49"/>
      <c r="LN39" s="49"/>
      <c r="LO39" s="49"/>
      <c r="LP39" s="49"/>
      <c r="LQ39" s="49"/>
      <c r="LR39" s="49"/>
      <c r="LS39" s="49"/>
      <c r="LT39" s="49"/>
      <c r="LU39" s="49"/>
      <c r="LV39" s="49"/>
      <c r="LW39" s="49"/>
      <c r="LX39" s="49"/>
      <c r="LY39" s="49"/>
      <c r="LZ39" s="49"/>
      <c r="MA39" s="49"/>
      <c r="MB39" s="49"/>
      <c r="MC39" s="49"/>
      <c r="MD39" s="49"/>
      <c r="ME39" s="49"/>
      <c r="MF39" s="49"/>
      <c r="MG39" s="49"/>
      <c r="MH39" s="49"/>
      <c r="MI39" s="49"/>
      <c r="MJ39" s="49"/>
      <c r="MK39" s="49"/>
      <c r="ML39" s="49"/>
      <c r="MM39" s="49"/>
      <c r="MN39" s="49"/>
      <c r="MO39" s="49"/>
      <c r="MP39" s="49"/>
      <c r="MQ39" s="49"/>
      <c r="MR39" s="49"/>
      <c r="MS39" s="49"/>
      <c r="MT39" s="49"/>
      <c r="MU39" s="49"/>
      <c r="MV39" s="49"/>
      <c r="MW39" s="49"/>
      <c r="MX39" s="49"/>
      <c r="MY39" s="49"/>
      <c r="MZ39" s="49"/>
      <c r="NA39" s="49"/>
      <c r="NB39" s="49"/>
      <c r="NC39" s="49"/>
      <c r="ND39" s="49"/>
      <c r="NE39" s="49"/>
      <c r="NF39" s="49"/>
      <c r="NG39" s="49"/>
      <c r="NH39" s="49"/>
      <c r="NI39" s="49"/>
      <c r="NJ39" s="49"/>
      <c r="NK39" s="49"/>
      <c r="NL39" s="49"/>
      <c r="NM39" s="49"/>
      <c r="NN39" s="49"/>
      <c r="NO39" s="49"/>
      <c r="NP39" s="49"/>
      <c r="NQ39" s="49"/>
      <c r="NR39" s="49"/>
      <c r="NS39" s="49"/>
      <c r="NT39" s="49"/>
      <c r="NU39" s="49"/>
      <c r="NV39" s="49"/>
      <c r="NW39" s="49"/>
      <c r="NX39" s="49"/>
      <c r="NY39" s="49"/>
      <c r="NZ39" s="49"/>
      <c r="OA39" s="49"/>
      <c r="OB39" s="49"/>
      <c r="OC39" s="49"/>
      <c r="OD39" s="49"/>
      <c r="OE39" s="49"/>
      <c r="OF39" s="49"/>
      <c r="OG39" s="49"/>
      <c r="OH39" s="49"/>
      <c r="OI39" s="49"/>
      <c r="OJ39" s="49"/>
      <c r="OK39" s="49"/>
      <c r="OL39" s="49"/>
      <c r="OM39" s="49"/>
      <c r="ON39" s="49"/>
      <c r="OO39" s="49"/>
      <c r="OP39" s="49"/>
      <c r="OQ39" s="49"/>
      <c r="OR39" s="49"/>
      <c r="OS39" s="49"/>
      <c r="OT39" s="49"/>
      <c r="OU39" s="49"/>
      <c r="OV39" s="49"/>
      <c r="OW39" s="49"/>
      <c r="OX39" s="49"/>
      <c r="OY39" s="49"/>
      <c r="OZ39" s="49"/>
      <c r="PA39" s="49"/>
      <c r="PB39" s="49"/>
      <c r="PC39" s="49"/>
      <c r="PD39" s="49"/>
      <c r="PE39" s="49"/>
      <c r="PF39" s="49"/>
      <c r="PG39" s="49"/>
      <c r="PH39" s="49"/>
      <c r="PI39" s="49"/>
      <c r="PJ39" s="49"/>
      <c r="PK39" s="49"/>
      <c r="PL39" s="49"/>
      <c r="PM39" s="49"/>
      <c r="PN39" s="49"/>
      <c r="PO39" s="49"/>
      <c r="PP39" s="49"/>
      <c r="PQ39" s="49"/>
      <c r="PR39" s="49"/>
      <c r="PS39" s="49"/>
      <c r="PT39" s="49"/>
      <c r="PU39" s="49"/>
      <c r="PV39" s="49"/>
      <c r="PW39" s="49"/>
      <c r="PX39" s="49"/>
      <c r="PY39" s="49"/>
      <c r="PZ39" s="49"/>
      <c r="QA39" s="49"/>
      <c r="QB39" s="49"/>
      <c r="QC39" s="49"/>
      <c r="QD39" s="49"/>
      <c r="QE39" s="49"/>
      <c r="QF39" s="49"/>
      <c r="QG39" s="49"/>
      <c r="QH39" s="49"/>
      <c r="QI39" s="49"/>
      <c r="QJ39" s="49"/>
      <c r="QK39" s="49"/>
      <c r="QL39" s="49"/>
      <c r="QM39" s="49"/>
      <c r="QN39" s="49"/>
      <c r="QO39" s="49"/>
      <c r="QP39" s="49"/>
      <c r="QQ39" s="49"/>
      <c r="QR39" s="49"/>
      <c r="QS39" s="49"/>
      <c r="QT39" s="49"/>
      <c r="QU39" s="49"/>
      <c r="QV39" s="49"/>
      <c r="QW39" s="49"/>
      <c r="QX39" s="49"/>
      <c r="QY39" s="49"/>
      <c r="QZ39" s="49"/>
      <c r="RA39" s="49"/>
      <c r="RB39" s="49"/>
      <c r="RC39" s="49"/>
      <c r="RD39" s="49"/>
      <c r="RE39" s="49"/>
      <c r="RF39" s="49"/>
      <c r="RG39" s="49"/>
      <c r="RH39" s="49"/>
      <c r="RI39" s="49"/>
      <c r="RJ39" s="49"/>
      <c r="RK39" s="49"/>
      <c r="RL39" s="49"/>
      <c r="RM39" s="49"/>
      <c r="RN39" s="49"/>
      <c r="RO39" s="49"/>
      <c r="RP39" s="49"/>
      <c r="RQ39" s="49"/>
      <c r="RR39" s="49"/>
      <c r="RS39" s="49"/>
      <c r="RT39" s="49"/>
      <c r="RU39" s="49"/>
      <c r="RV39" s="49"/>
      <c r="RW39" s="49"/>
      <c r="RX39" s="49"/>
      <c r="RY39" s="49"/>
      <c r="RZ39" s="49"/>
      <c r="SA39" s="49"/>
      <c r="SB39" s="49"/>
      <c r="SC39" s="49"/>
      <c r="SD39" s="49"/>
      <c r="SE39" s="49"/>
      <c r="SF39" s="49"/>
      <c r="SG39" s="49"/>
      <c r="SH39" s="49"/>
      <c r="SI39" s="49"/>
      <c r="SJ39" s="49"/>
      <c r="SK39" s="49"/>
      <c r="SL39" s="49"/>
      <c r="SM39" s="49"/>
      <c r="SN39" s="49"/>
      <c r="SO39" s="49"/>
      <c r="SP39" s="49"/>
      <c r="SQ39" s="49"/>
      <c r="SR39" s="49"/>
      <c r="SS39" s="49"/>
      <c r="ST39" s="49"/>
      <c r="SU39" s="49"/>
      <c r="SV39" s="49"/>
      <c r="SW39" s="49"/>
      <c r="SX39" s="49"/>
      <c r="SY39" s="49"/>
      <c r="SZ39" s="49"/>
      <c r="TA39" s="49"/>
      <c r="TB39" s="49"/>
      <c r="TC39" s="49"/>
      <c r="TD39" s="49"/>
      <c r="TE39" s="49"/>
      <c r="TF39" s="49"/>
      <c r="TG39" s="49"/>
      <c r="TH39" s="49"/>
      <c r="TI39" s="49"/>
      <c r="TJ39" s="49"/>
      <c r="TK39" s="49"/>
      <c r="TL39" s="49"/>
      <c r="TM39" s="49"/>
      <c r="TN39" s="49"/>
      <c r="TO39" s="49"/>
      <c r="TP39" s="49"/>
      <c r="TQ39" s="49"/>
      <c r="TR39" s="49"/>
      <c r="TS39" s="49"/>
      <c r="TT39" s="49"/>
      <c r="TU39" s="49"/>
      <c r="TV39" s="49"/>
      <c r="TW39" s="49"/>
      <c r="TX39" s="49"/>
      <c r="TY39" s="49"/>
      <c r="TZ39" s="49"/>
      <c r="UA39" s="49"/>
      <c r="UB39" s="49"/>
      <c r="UC39" s="49"/>
      <c r="UD39" s="49"/>
      <c r="UE39" s="49"/>
      <c r="UF39" s="49"/>
      <c r="UG39" s="49"/>
      <c r="UH39" s="49"/>
      <c r="UI39" s="49"/>
      <c r="UJ39" s="49"/>
      <c r="UK39" s="49"/>
      <c r="UL39" s="49"/>
      <c r="UM39" s="49"/>
      <c r="UN39" s="49"/>
      <c r="UO39" s="49"/>
      <c r="UP39" s="49"/>
      <c r="UQ39" s="49"/>
      <c r="UR39" s="49"/>
      <c r="US39" s="49"/>
      <c r="UT39" s="49"/>
      <c r="UU39" s="49"/>
      <c r="UV39" s="49"/>
      <c r="UW39" s="49"/>
      <c r="UX39" s="49"/>
      <c r="UY39" s="49"/>
      <c r="UZ39" s="49"/>
      <c r="VA39" s="49"/>
      <c r="VB39" s="49"/>
      <c r="VC39" s="49"/>
      <c r="VD39" s="49"/>
      <c r="VE39" s="49"/>
      <c r="VF39" s="49"/>
      <c r="VG39" s="49"/>
      <c r="VH39" s="49"/>
      <c r="VI39" s="49"/>
      <c r="VJ39" s="49"/>
      <c r="VK39" s="49"/>
      <c r="VL39" s="49"/>
      <c r="VM39" s="49"/>
      <c r="VN39" s="49"/>
      <c r="VO39" s="49"/>
      <c r="VP39" s="49"/>
      <c r="VQ39" s="49"/>
      <c r="VR39" s="49"/>
      <c r="VS39" s="49"/>
      <c r="VT39" s="49"/>
      <c r="VU39" s="49"/>
      <c r="VV39" s="49"/>
      <c r="VW39" s="49"/>
      <c r="VX39" s="49"/>
      <c r="VY39" s="49"/>
      <c r="VZ39" s="49"/>
      <c r="WA39" s="49"/>
      <c r="WB39" s="49"/>
      <c r="WC39" s="49"/>
      <c r="WD39" s="49"/>
      <c r="WE39" s="49"/>
      <c r="WF39" s="49"/>
      <c r="WG39" s="49"/>
      <c r="WH39" s="49"/>
      <c r="WI39" s="49"/>
      <c r="WJ39" s="49"/>
      <c r="WK39" s="49"/>
      <c r="WL39" s="49"/>
      <c r="WM39" s="49"/>
      <c r="WN39" s="49"/>
      <c r="WO39" s="49"/>
      <c r="WP39" s="49"/>
      <c r="WQ39" s="49"/>
      <c r="WR39" s="49"/>
      <c r="WS39" s="49"/>
      <c r="WT39" s="49"/>
      <c r="WU39" s="49"/>
      <c r="WV39" s="49"/>
      <c r="WW39" s="49"/>
      <c r="WX39" s="49"/>
      <c r="WY39" s="49"/>
      <c r="WZ39" s="49"/>
      <c r="XA39" s="49"/>
      <c r="XB39" s="49"/>
      <c r="XC39" s="49"/>
      <c r="XD39" s="49"/>
      <c r="XE39" s="49"/>
      <c r="XF39" s="49"/>
      <c r="XG39" s="49"/>
      <c r="XH39" s="49"/>
      <c r="XI39" s="49"/>
      <c r="XJ39" s="49"/>
      <c r="XK39" s="49"/>
      <c r="XL39" s="49"/>
      <c r="XM39" s="49"/>
      <c r="XN39" s="49"/>
      <c r="XO39" s="49"/>
      <c r="XP39" s="49"/>
      <c r="XQ39" s="49"/>
      <c r="XR39" s="49"/>
      <c r="XS39" s="49"/>
      <c r="XT39" s="49"/>
      <c r="XU39" s="49"/>
      <c r="XV39" s="49"/>
      <c r="XW39" s="49"/>
      <c r="XX39" s="49"/>
      <c r="XY39" s="49"/>
      <c r="XZ39" s="49"/>
      <c r="YA39" s="49"/>
      <c r="YB39" s="49"/>
      <c r="YC39" s="49"/>
      <c r="YD39" s="49"/>
      <c r="YE39" s="49"/>
      <c r="YF39" s="49"/>
      <c r="YG39" s="49"/>
      <c r="YH39" s="49"/>
      <c r="YI39" s="49"/>
      <c r="YJ39" s="49"/>
      <c r="YK39" s="49"/>
      <c r="YL39" s="49"/>
      <c r="YM39" s="49"/>
      <c r="YN39" s="49"/>
      <c r="YO39" s="49"/>
      <c r="YP39" s="49"/>
      <c r="YQ39" s="49"/>
      <c r="YR39" s="49"/>
      <c r="YS39" s="49"/>
      <c r="YT39" s="49"/>
      <c r="YU39" s="49"/>
      <c r="YV39" s="49"/>
      <c r="YW39" s="49"/>
      <c r="YX39" s="49"/>
      <c r="YY39" s="49"/>
      <c r="YZ39" s="49"/>
      <c r="ZA39" s="49"/>
      <c r="ZB39" s="49"/>
      <c r="ZC39" s="49"/>
      <c r="ZD39" s="49"/>
      <c r="ZE39" s="49"/>
      <c r="ZF39" s="49"/>
      <c r="ZG39" s="49"/>
      <c r="ZH39" s="49"/>
      <c r="ZI39" s="49"/>
      <c r="ZJ39" s="49"/>
      <c r="ZK39" s="49"/>
      <c r="ZL39" s="49"/>
      <c r="ZM39" s="49"/>
      <c r="ZN39" s="49"/>
      <c r="ZO39" s="49"/>
      <c r="ZP39" s="49"/>
      <c r="ZQ39" s="49"/>
      <c r="ZR39" s="49"/>
      <c r="ZS39" s="49"/>
      <c r="ZT39" s="49"/>
      <c r="ZU39" s="49"/>
      <c r="ZV39" s="49"/>
      <c r="ZW39" s="49"/>
      <c r="ZX39" s="49"/>
      <c r="ZY39" s="49"/>
      <c r="ZZ39" s="49"/>
      <c r="AAA39" s="49"/>
      <c r="AAB39" s="49"/>
      <c r="AAC39" s="49"/>
      <c r="AAD39" s="49"/>
      <c r="AAE39" s="49"/>
      <c r="AAF39" s="49"/>
      <c r="AAG39" s="49"/>
      <c r="AAH39" s="49"/>
      <c r="AAI39" s="49"/>
      <c r="AAJ39" s="49"/>
      <c r="AAK39" s="49"/>
      <c r="AAL39" s="49"/>
      <c r="AAM39" s="49"/>
      <c r="AAN39" s="49"/>
      <c r="AAO39" s="49"/>
      <c r="AAP39" s="49"/>
      <c r="AAQ39" s="49"/>
      <c r="AAR39" s="49"/>
      <c r="AAS39" s="49"/>
      <c r="AAT39" s="49"/>
      <c r="AAU39" s="49"/>
      <c r="AAV39" s="49"/>
      <c r="AAW39" s="49"/>
      <c r="AAX39" s="49"/>
      <c r="AAY39" s="49"/>
      <c r="AAZ39" s="49"/>
      <c r="ABA39" s="49"/>
      <c r="ABB39" s="49"/>
      <c r="ABC39" s="49"/>
      <c r="ABD39" s="49"/>
      <c r="ABE39" s="49"/>
      <c r="ABF39" s="49"/>
      <c r="ABG39" s="49"/>
      <c r="ABH39" s="49"/>
      <c r="ABI39" s="49"/>
      <c r="ABJ39" s="49"/>
      <c r="ABK39" s="49"/>
      <c r="ABL39" s="49"/>
      <c r="ABM39" s="49"/>
      <c r="ABN39" s="49"/>
      <c r="ABO39" s="49"/>
      <c r="ABP39" s="49"/>
      <c r="ABQ39" s="49"/>
      <c r="ABR39" s="49"/>
      <c r="ABS39" s="49"/>
      <c r="ABT39" s="49"/>
      <c r="ABU39" s="49"/>
      <c r="ABV39" s="49"/>
      <c r="ABW39" s="49"/>
      <c r="ABX39" s="49"/>
      <c r="ABY39" s="49"/>
      <c r="ABZ39" s="49"/>
      <c r="ACA39" s="49"/>
      <c r="ACB39" s="49"/>
      <c r="ACC39" s="49"/>
      <c r="ACD39" s="49"/>
      <c r="ACE39" s="49"/>
      <c r="ACF39" s="49"/>
      <c r="ACG39" s="49"/>
      <c r="ACH39" s="49"/>
      <c r="ACI39" s="49"/>
      <c r="ACJ39" s="49"/>
      <c r="ACK39" s="49"/>
      <c r="ACL39" s="49"/>
      <c r="ACM39" s="49"/>
      <c r="ACN39" s="49"/>
      <c r="ACO39" s="49"/>
      <c r="ACP39" s="49"/>
      <c r="ACQ39" s="49"/>
      <c r="ACR39" s="49"/>
      <c r="ACS39" s="49"/>
      <c r="ACT39" s="49"/>
      <c r="ACU39" s="49"/>
      <c r="ACV39" s="49"/>
      <c r="ACW39" s="49"/>
      <c r="ACX39" s="49"/>
      <c r="ACY39" s="49"/>
      <c r="ACZ39" s="49"/>
      <c r="ADA39" s="49"/>
      <c r="ADB39" s="49"/>
      <c r="ADC39" s="49"/>
      <c r="ADD39" s="49"/>
      <c r="ADE39" s="49"/>
      <c r="ADF39" s="49"/>
      <c r="ADG39" s="49"/>
      <c r="ADH39" s="49"/>
      <c r="ADI39" s="49"/>
      <c r="ADJ39" s="49"/>
      <c r="ADK39" s="49"/>
      <c r="ADL39" s="49"/>
      <c r="ADM39" s="49"/>
      <c r="ADN39" s="49"/>
      <c r="ADO39" s="49"/>
      <c r="ADP39" s="49"/>
      <c r="ADQ39" s="49"/>
      <c r="ADR39" s="49"/>
      <c r="ADS39" s="49"/>
      <c r="ADT39" s="49"/>
      <c r="ADU39" s="49"/>
      <c r="ADV39" s="49"/>
      <c r="ADW39" s="49"/>
      <c r="ADX39" s="49"/>
      <c r="ADY39" s="49"/>
      <c r="ADZ39" s="49"/>
      <c r="AEA39" s="49"/>
      <c r="AEB39" s="49"/>
      <c r="AEC39" s="49"/>
      <c r="AED39" s="49"/>
      <c r="AEE39" s="49"/>
      <c r="AEF39" s="49"/>
      <c r="AEG39" s="49"/>
      <c r="AEH39" s="49"/>
      <c r="AEI39" s="49"/>
      <c r="AEJ39" s="49"/>
      <c r="AEK39" s="49"/>
      <c r="AEL39" s="49"/>
      <c r="AEM39" s="49"/>
      <c r="AEN39" s="49"/>
      <c r="AEO39" s="49"/>
      <c r="AEP39" s="49"/>
      <c r="AEQ39" s="49"/>
      <c r="AER39" s="49"/>
      <c r="AES39" s="49"/>
      <c r="AET39" s="49"/>
      <c r="AEU39" s="49"/>
      <c r="AEV39" s="49"/>
      <c r="AEW39" s="49"/>
      <c r="AEX39" s="49"/>
      <c r="AEY39" s="49"/>
      <c r="AEZ39" s="49"/>
      <c r="AFA39" s="49"/>
      <c r="AFB39" s="49"/>
      <c r="AFC39" s="49"/>
      <c r="AFD39" s="49"/>
      <c r="AFE39" s="49"/>
      <c r="AFF39" s="49"/>
      <c r="AFG39" s="49"/>
      <c r="AFH39" s="49"/>
      <c r="AFI39" s="49"/>
      <c r="AFJ39" s="49"/>
      <c r="AFK39" s="49"/>
      <c r="AFL39" s="49"/>
      <c r="AFM39" s="49"/>
      <c r="AFN39" s="49"/>
      <c r="AFO39" s="49"/>
      <c r="AFP39" s="49"/>
      <c r="AFQ39" s="49"/>
      <c r="AFR39" s="49"/>
      <c r="AFS39" s="49"/>
      <c r="AFT39" s="49"/>
      <c r="AFU39" s="49"/>
      <c r="AFV39" s="49"/>
      <c r="AFW39" s="49"/>
      <c r="AFX39" s="49"/>
      <c r="AFY39" s="49"/>
      <c r="AFZ39" s="49"/>
      <c r="AGA39" s="49"/>
      <c r="AGB39" s="49"/>
      <c r="AGC39" s="49"/>
      <c r="AGD39" s="49"/>
      <c r="AGE39" s="49"/>
      <c r="AGF39" s="49"/>
      <c r="AGG39" s="49"/>
      <c r="AGH39" s="49"/>
      <c r="AGI39" s="49"/>
      <c r="AGJ39" s="49"/>
      <c r="AGK39" s="49"/>
      <c r="AGL39" s="49"/>
      <c r="AGM39" s="49"/>
      <c r="AGN39" s="49"/>
      <c r="AGO39" s="49"/>
      <c r="AGP39" s="49"/>
      <c r="AGQ39" s="49"/>
      <c r="AGR39" s="49"/>
      <c r="AGS39" s="49"/>
      <c r="AGT39" s="49"/>
      <c r="AGU39" s="49"/>
      <c r="AGV39" s="49"/>
      <c r="AGW39" s="49"/>
      <c r="AGX39" s="49"/>
      <c r="AGY39" s="49"/>
      <c r="AGZ39" s="49"/>
      <c r="AHA39" s="49"/>
      <c r="AHB39" s="49"/>
      <c r="AHC39" s="49"/>
      <c r="AHD39" s="49"/>
      <c r="AHE39" s="49"/>
      <c r="AHF39" s="49"/>
      <c r="AHG39" s="49"/>
      <c r="AHH39" s="49"/>
      <c r="AHI39" s="49"/>
      <c r="AHJ39" s="49"/>
      <c r="AHK39" s="49"/>
      <c r="AHL39" s="49"/>
      <c r="AHM39" s="49"/>
      <c r="AHN39" s="49"/>
      <c r="AHO39" s="49"/>
      <c r="AHP39" s="49"/>
      <c r="AHQ39" s="49"/>
      <c r="AHR39" s="49"/>
      <c r="AHS39" s="49"/>
      <c r="AHT39" s="49"/>
      <c r="AHU39" s="49"/>
      <c r="AHV39" s="49"/>
      <c r="AHW39" s="49"/>
      <c r="AHX39" s="49"/>
      <c r="AHY39" s="49"/>
      <c r="AHZ39" s="49"/>
      <c r="AIA39" s="49"/>
      <c r="AIB39" s="49"/>
      <c r="AIC39" s="49"/>
      <c r="AID39" s="49"/>
      <c r="AIE39" s="49"/>
      <c r="AIF39" s="49"/>
      <c r="AIG39" s="49"/>
      <c r="AIH39" s="49"/>
      <c r="AII39" s="49"/>
      <c r="AIJ39" s="49"/>
      <c r="AIK39" s="49"/>
      <c r="AIL39" s="49"/>
      <c r="AIM39" s="49"/>
      <c r="AIN39" s="49"/>
      <c r="AIO39" s="49"/>
      <c r="AIP39" s="49"/>
      <c r="AIQ39" s="49"/>
      <c r="AIR39" s="49"/>
      <c r="AIS39" s="49"/>
      <c r="AIT39" s="49"/>
      <c r="AIU39" s="49"/>
      <c r="AIV39" s="49"/>
      <c r="AIW39" s="49"/>
      <c r="AIX39" s="49"/>
      <c r="AIY39" s="49"/>
      <c r="AIZ39" s="49"/>
      <c r="AJA39" s="49"/>
      <c r="AJB39" s="49"/>
      <c r="AJC39" s="49"/>
      <c r="AJD39" s="49"/>
      <c r="AJE39" s="49"/>
      <c r="AJF39" s="49"/>
      <c r="AJG39" s="49"/>
      <c r="AJH39" s="49"/>
      <c r="AJI39" s="49"/>
      <c r="AJJ39" s="49"/>
      <c r="AJK39" s="49"/>
      <c r="AJL39" s="49"/>
      <c r="AJM39" s="49"/>
      <c r="AJN39" s="49"/>
      <c r="AJO39" s="49"/>
      <c r="AJP39" s="49"/>
      <c r="AJQ39" s="49"/>
      <c r="AJR39" s="49"/>
      <c r="AJS39" s="49"/>
      <c r="AJT39" s="49"/>
      <c r="AJU39" s="49"/>
      <c r="AJV39" s="49"/>
      <c r="AJW39" s="49"/>
      <c r="AJX39" s="49"/>
      <c r="AJY39" s="49"/>
      <c r="AJZ39" s="49"/>
      <c r="AKA39" s="49"/>
      <c r="AKB39" s="49"/>
      <c r="AKC39" s="49"/>
      <c r="AKD39" s="49"/>
      <c r="AKE39" s="49"/>
      <c r="AKF39" s="49"/>
      <c r="AKG39" s="49"/>
      <c r="AKH39" s="49"/>
      <c r="AKI39" s="49"/>
      <c r="AKJ39" s="49"/>
      <c r="AKK39" s="49"/>
      <c r="AKL39" s="49"/>
      <c r="AKM39" s="49"/>
      <c r="AKN39" s="49"/>
      <c r="AKO39" s="49"/>
      <c r="AKP39" s="49"/>
      <c r="AKQ39" s="49"/>
      <c r="AKR39" s="49"/>
      <c r="AKS39" s="49"/>
      <c r="AKT39" s="49"/>
      <c r="AKU39" s="49"/>
      <c r="AKV39" s="49"/>
      <c r="AKW39" s="49"/>
      <c r="AKX39" s="49"/>
      <c r="AKY39" s="49"/>
      <c r="AKZ39" s="49"/>
      <c r="ALA39" s="49"/>
      <c r="ALB39" s="49"/>
      <c r="ALC39" s="49"/>
      <c r="ALD39" s="49"/>
      <c r="ALE39" s="49"/>
      <c r="ALF39" s="49"/>
      <c r="ALG39" s="49"/>
      <c r="ALH39" s="49"/>
      <c r="ALI39" s="49"/>
      <c r="ALJ39" s="49"/>
      <c r="ALK39" s="49"/>
      <c r="ALL39" s="49"/>
      <c r="ALM39" s="49"/>
      <c r="ALN39" s="49"/>
      <c r="ALO39" s="49"/>
      <c r="ALP39" s="49"/>
      <c r="ALQ39" s="49"/>
      <c r="ALR39" s="49"/>
      <c r="ALS39" s="49"/>
      <c r="ALT39" s="49"/>
      <c r="ALU39" s="49"/>
      <c r="ALV39" s="49"/>
      <c r="ALW39" s="49"/>
      <c r="ALX39" s="49"/>
      <c r="ALY39" s="49"/>
    </row>
    <row r="40" spans="1:1013" ht="30" customHeight="1" x14ac:dyDescent="0.25">
      <c r="A40" s="23" t="s">
        <v>204</v>
      </c>
      <c r="B40" s="31" t="s">
        <v>196</v>
      </c>
      <c r="C40" s="24" t="s">
        <v>90</v>
      </c>
      <c r="D40" s="20">
        <v>40</v>
      </c>
      <c r="E40" s="21" t="s">
        <v>32</v>
      </c>
      <c r="F40" s="30">
        <v>58</v>
      </c>
      <c r="G40" s="29" t="s">
        <v>91</v>
      </c>
      <c r="H40" s="29" t="s">
        <v>45</v>
      </c>
      <c r="I40" s="12">
        <v>47</v>
      </c>
      <c r="J40" s="12">
        <v>61</v>
      </c>
      <c r="K40" s="12">
        <v>20</v>
      </c>
      <c r="L40" s="12">
        <v>15</v>
      </c>
      <c r="M40" s="12">
        <v>116</v>
      </c>
      <c r="N40" s="12">
        <v>110</v>
      </c>
      <c r="O40" s="12">
        <v>116</v>
      </c>
      <c r="P40" s="12">
        <v>70</v>
      </c>
      <c r="Q40" s="12">
        <v>43</v>
      </c>
      <c r="R40" s="12">
        <v>47</v>
      </c>
      <c r="S40" s="12">
        <v>62</v>
      </c>
      <c r="T40" s="12">
        <v>19</v>
      </c>
      <c r="U40" s="12">
        <v>13</v>
      </c>
      <c r="V40" s="12">
        <v>30</v>
      </c>
      <c r="W40" s="12">
        <v>28</v>
      </c>
      <c r="X40" s="12">
        <v>30</v>
      </c>
      <c r="Y40" s="12">
        <v>70</v>
      </c>
      <c r="Z40" s="12">
        <v>43</v>
      </c>
      <c r="AA40" s="12">
        <v>47</v>
      </c>
      <c r="AB40" s="12">
        <v>25</v>
      </c>
      <c r="AC40" s="12">
        <v>19</v>
      </c>
      <c r="AD40" s="12">
        <v>30</v>
      </c>
      <c r="AE40" s="12">
        <v>28</v>
      </c>
      <c r="AF40" s="12">
        <v>30</v>
      </c>
      <c r="AG40" s="12">
        <v>70</v>
      </c>
      <c r="AH40" s="12">
        <v>43</v>
      </c>
      <c r="AI40" s="12">
        <v>100</v>
      </c>
      <c r="AJ40" s="12">
        <v>114</v>
      </c>
      <c r="AK40" s="12">
        <v>70</v>
      </c>
      <c r="AL40" s="12">
        <v>36</v>
      </c>
      <c r="AM40" s="12">
        <v>26</v>
      </c>
      <c r="AN40" s="12">
        <v>22</v>
      </c>
      <c r="AO40" s="12">
        <v>94</v>
      </c>
      <c r="AP40" s="2">
        <v>2</v>
      </c>
      <c r="AQ40" s="2" t="s">
        <v>200</v>
      </c>
      <c r="AR40" s="41">
        <v>44446</v>
      </c>
      <c r="AS40" s="41">
        <v>44444</v>
      </c>
      <c r="AT40" s="41">
        <v>44444</v>
      </c>
    </row>
    <row r="41" spans="1:1013" ht="30" customHeight="1" x14ac:dyDescent="0.25">
      <c r="A41" s="23" t="s">
        <v>205</v>
      </c>
      <c r="B41" s="31" t="s">
        <v>197</v>
      </c>
      <c r="C41" s="24" t="s">
        <v>90</v>
      </c>
      <c r="D41" s="20">
        <v>40</v>
      </c>
      <c r="E41" s="21" t="s">
        <v>32</v>
      </c>
      <c r="F41" s="30">
        <v>57</v>
      </c>
      <c r="G41" s="29" t="s">
        <v>91</v>
      </c>
      <c r="H41" s="29" t="s">
        <v>45</v>
      </c>
      <c r="I41" s="12">
        <v>45</v>
      </c>
      <c r="J41" s="12">
        <v>58</v>
      </c>
      <c r="K41" s="12">
        <v>19</v>
      </c>
      <c r="L41" s="12">
        <v>14</v>
      </c>
      <c r="M41" s="12">
        <v>106</v>
      </c>
      <c r="N41" s="12">
        <v>100</v>
      </c>
      <c r="O41" s="12">
        <v>108</v>
      </c>
      <c r="P41" s="12">
        <v>69</v>
      </c>
      <c r="Q41" s="12">
        <v>42</v>
      </c>
      <c r="R41" s="12">
        <v>45</v>
      </c>
      <c r="S41" s="12">
        <v>59</v>
      </c>
      <c r="T41" s="12">
        <v>18</v>
      </c>
      <c r="U41" s="12">
        <v>13</v>
      </c>
      <c r="V41" s="12">
        <v>28</v>
      </c>
      <c r="W41" s="12">
        <v>27</v>
      </c>
      <c r="X41" s="12">
        <v>29</v>
      </c>
      <c r="Y41" s="12">
        <v>69</v>
      </c>
      <c r="Z41" s="12">
        <v>42</v>
      </c>
      <c r="AA41" s="12">
        <v>45</v>
      </c>
      <c r="AB41" s="12">
        <v>24</v>
      </c>
      <c r="AC41" s="12">
        <v>18</v>
      </c>
      <c r="AD41" s="12">
        <v>28</v>
      </c>
      <c r="AE41" s="12">
        <v>27</v>
      </c>
      <c r="AF41" s="12">
        <v>28</v>
      </c>
      <c r="AG41" s="12">
        <v>69</v>
      </c>
      <c r="AH41" s="12">
        <v>42</v>
      </c>
      <c r="AI41" s="12">
        <v>90</v>
      </c>
      <c r="AJ41" s="12">
        <v>104</v>
      </c>
      <c r="AK41" s="12">
        <v>68</v>
      </c>
      <c r="AL41" s="12">
        <v>34</v>
      </c>
      <c r="AM41" s="12">
        <v>26</v>
      </c>
      <c r="AN41" s="12">
        <v>20</v>
      </c>
      <c r="AO41" s="12">
        <v>94</v>
      </c>
      <c r="AP41" s="2">
        <v>2</v>
      </c>
      <c r="AQ41" s="2" t="s">
        <v>200</v>
      </c>
      <c r="AR41" s="41">
        <v>44446</v>
      </c>
      <c r="AS41" s="41">
        <v>44444</v>
      </c>
      <c r="AT41" s="41">
        <v>44444</v>
      </c>
    </row>
    <row r="42" spans="1:1013" ht="30" customHeight="1" x14ac:dyDescent="0.25">
      <c r="A42" s="23" t="s">
        <v>210</v>
      </c>
      <c r="B42" s="31" t="s">
        <v>208</v>
      </c>
      <c r="C42" s="24" t="s">
        <v>90</v>
      </c>
      <c r="D42" s="20">
        <v>43</v>
      </c>
      <c r="E42" s="21" t="s">
        <v>33</v>
      </c>
      <c r="F42" s="30">
        <v>60</v>
      </c>
      <c r="G42" s="29" t="s">
        <v>91</v>
      </c>
      <c r="H42" s="29" t="s">
        <v>45</v>
      </c>
      <c r="I42" s="12">
        <v>52</v>
      </c>
      <c r="J42" s="12">
        <v>55</v>
      </c>
      <c r="K42" s="12">
        <v>22</v>
      </c>
      <c r="L42" s="12">
        <v>16</v>
      </c>
      <c r="M42" s="12">
        <v>124</v>
      </c>
      <c r="N42" s="12">
        <v>120</v>
      </c>
      <c r="O42" s="12">
        <v>128</v>
      </c>
      <c r="P42" s="12">
        <v>70</v>
      </c>
      <c r="Q42" s="12">
        <v>46</v>
      </c>
      <c r="R42" s="12">
        <v>52</v>
      </c>
      <c r="S42" s="12">
        <v>56</v>
      </c>
      <c r="T42" s="12">
        <v>21</v>
      </c>
      <c r="U42" s="12">
        <v>13</v>
      </c>
      <c r="V42" s="12">
        <v>33</v>
      </c>
      <c r="W42" s="12">
        <v>33</v>
      </c>
      <c r="X42" s="12">
        <v>33</v>
      </c>
      <c r="Y42" s="12">
        <v>70</v>
      </c>
      <c r="Z42" s="12">
        <v>46</v>
      </c>
      <c r="AA42" s="12">
        <v>52</v>
      </c>
      <c r="AB42" s="12">
        <v>25</v>
      </c>
      <c r="AC42" s="12">
        <v>21</v>
      </c>
      <c r="AD42" s="12">
        <v>33</v>
      </c>
      <c r="AE42" s="12">
        <v>33</v>
      </c>
      <c r="AF42" s="12">
        <v>33</v>
      </c>
      <c r="AG42" s="12">
        <v>70</v>
      </c>
      <c r="AH42" s="12">
        <v>46</v>
      </c>
      <c r="AI42" s="12">
        <v>112</v>
      </c>
      <c r="AJ42" s="12">
        <v>125</v>
      </c>
      <c r="AK42" s="12">
        <v>79</v>
      </c>
      <c r="AL42" s="12">
        <v>40</v>
      </c>
      <c r="AM42" s="12">
        <v>29</v>
      </c>
      <c r="AN42" s="12">
        <v>23</v>
      </c>
      <c r="AO42" s="12">
        <v>93</v>
      </c>
      <c r="AP42" s="2">
        <v>3</v>
      </c>
      <c r="AQ42" s="28">
        <v>44440</v>
      </c>
      <c r="AR42" s="41">
        <v>44446</v>
      </c>
      <c r="AS42" s="41">
        <v>44444</v>
      </c>
      <c r="AT42" s="41">
        <v>44444</v>
      </c>
    </row>
    <row r="43" spans="1:1013" ht="30" customHeight="1" x14ac:dyDescent="0.25">
      <c r="A43" s="23" t="s">
        <v>211</v>
      </c>
      <c r="B43" s="31" t="s">
        <v>209</v>
      </c>
      <c r="C43" s="24" t="s">
        <v>90</v>
      </c>
      <c r="D43" s="20">
        <v>42</v>
      </c>
      <c r="E43" s="21" t="s">
        <v>34</v>
      </c>
      <c r="F43" s="30">
        <v>58</v>
      </c>
      <c r="G43" s="29" t="s">
        <v>91</v>
      </c>
      <c r="H43" s="29" t="s">
        <v>45</v>
      </c>
      <c r="I43" s="12">
        <v>46</v>
      </c>
      <c r="J43" s="12">
        <v>64</v>
      </c>
      <c r="K43" s="12">
        <v>19</v>
      </c>
      <c r="L43" s="12">
        <v>14</v>
      </c>
      <c r="M43" s="12">
        <v>100</v>
      </c>
      <c r="N43" s="12">
        <v>96</v>
      </c>
      <c r="O43" s="12">
        <v>106</v>
      </c>
      <c r="P43" s="12">
        <v>72</v>
      </c>
      <c r="Q43" s="12">
        <v>42</v>
      </c>
      <c r="R43" s="12">
        <v>46</v>
      </c>
      <c r="S43" s="12">
        <v>65</v>
      </c>
      <c r="T43" s="12">
        <v>18</v>
      </c>
      <c r="U43" s="12">
        <v>13</v>
      </c>
      <c r="V43" s="12">
        <v>29</v>
      </c>
      <c r="W43" s="12">
        <v>27</v>
      </c>
      <c r="X43" s="12">
        <v>29</v>
      </c>
      <c r="Y43" s="12">
        <v>72</v>
      </c>
      <c r="Z43" s="12">
        <v>42</v>
      </c>
      <c r="AA43" s="12">
        <v>46</v>
      </c>
      <c r="AB43" s="12">
        <v>26</v>
      </c>
      <c r="AC43" s="12">
        <v>18</v>
      </c>
      <c r="AD43" s="12">
        <v>29</v>
      </c>
      <c r="AE43" s="12">
        <v>27</v>
      </c>
      <c r="AF43" s="12">
        <v>29</v>
      </c>
      <c r="AG43" s="12">
        <v>72</v>
      </c>
      <c r="AH43" s="12">
        <v>42</v>
      </c>
      <c r="AI43" s="12">
        <v>90</v>
      </c>
      <c r="AJ43" s="12">
        <v>104</v>
      </c>
      <c r="AK43" s="12">
        <v>66</v>
      </c>
      <c r="AL43" s="12">
        <v>34</v>
      </c>
      <c r="AM43" s="12">
        <v>26</v>
      </c>
      <c r="AN43" s="12">
        <v>21</v>
      </c>
      <c r="AO43" s="12">
        <v>100</v>
      </c>
      <c r="AP43" s="2">
        <v>3</v>
      </c>
      <c r="AQ43" s="28">
        <v>44440</v>
      </c>
      <c r="AR43" s="41">
        <v>44446</v>
      </c>
      <c r="AS43" s="41">
        <v>44444</v>
      </c>
      <c r="AT43" s="41">
        <v>44444</v>
      </c>
    </row>
    <row r="44" spans="1:1013" ht="30" customHeight="1" x14ac:dyDescent="0.25">
      <c r="A44" s="23" t="s">
        <v>216</v>
      </c>
      <c r="B44" s="31" t="s">
        <v>213</v>
      </c>
      <c r="C44" s="24" t="s">
        <v>90</v>
      </c>
      <c r="D44" s="20">
        <v>39</v>
      </c>
      <c r="E44" s="21" t="s">
        <v>32</v>
      </c>
      <c r="F44" s="30">
        <v>55</v>
      </c>
      <c r="G44" s="29" t="s">
        <v>91</v>
      </c>
      <c r="H44" s="29" t="s">
        <v>45</v>
      </c>
      <c r="I44" s="12">
        <v>46</v>
      </c>
      <c r="J44" s="12">
        <v>57</v>
      </c>
      <c r="K44" s="12">
        <v>19</v>
      </c>
      <c r="L44" s="12">
        <v>14</v>
      </c>
      <c r="M44" s="12">
        <v>102</v>
      </c>
      <c r="N44" s="12">
        <v>98</v>
      </c>
      <c r="O44" s="12">
        <v>107</v>
      </c>
      <c r="P44" s="12">
        <v>70</v>
      </c>
      <c r="Q44" s="12">
        <v>42</v>
      </c>
      <c r="R44" s="12">
        <v>46</v>
      </c>
      <c r="S44" s="12">
        <v>58</v>
      </c>
      <c r="T44" s="12">
        <v>18</v>
      </c>
      <c r="U44" s="12">
        <v>13</v>
      </c>
      <c r="V44" s="12">
        <v>28</v>
      </c>
      <c r="W44" s="12">
        <v>26</v>
      </c>
      <c r="X44" s="12">
        <v>28</v>
      </c>
      <c r="Y44" s="12">
        <v>70</v>
      </c>
      <c r="Z44" s="12">
        <v>42</v>
      </c>
      <c r="AA44" s="12">
        <v>46</v>
      </c>
      <c r="AB44" s="12">
        <v>25</v>
      </c>
      <c r="AC44" s="12">
        <v>18</v>
      </c>
      <c r="AD44" s="12">
        <v>28</v>
      </c>
      <c r="AE44" s="12">
        <v>26</v>
      </c>
      <c r="AF44" s="12">
        <v>28</v>
      </c>
      <c r="AG44" s="12">
        <v>70</v>
      </c>
      <c r="AH44" s="12">
        <v>42</v>
      </c>
      <c r="AI44" s="12">
        <v>87</v>
      </c>
      <c r="AJ44" s="12">
        <v>105</v>
      </c>
      <c r="AK44" s="12">
        <v>68</v>
      </c>
      <c r="AL44" s="12">
        <v>33</v>
      </c>
      <c r="AM44" s="12">
        <v>25</v>
      </c>
      <c r="AN44" s="12">
        <v>21</v>
      </c>
      <c r="AO44" s="12">
        <v>92</v>
      </c>
      <c r="AP44" s="2">
        <v>4</v>
      </c>
      <c r="AQ44" s="52" t="s">
        <v>215</v>
      </c>
      <c r="AR44" s="41"/>
      <c r="AS44" s="53" t="s">
        <v>218</v>
      </c>
      <c r="AT44" s="53" t="s">
        <v>218</v>
      </c>
    </row>
    <row r="45" spans="1:1013" ht="30" customHeight="1" x14ac:dyDescent="0.25">
      <c r="A45" s="23" t="s">
        <v>217</v>
      </c>
      <c r="B45" s="31" t="s">
        <v>214</v>
      </c>
      <c r="C45" s="24" t="s">
        <v>90</v>
      </c>
      <c r="D45" s="20">
        <v>42</v>
      </c>
      <c r="E45" s="21" t="s">
        <v>31</v>
      </c>
      <c r="F45" s="30">
        <v>53</v>
      </c>
      <c r="G45" s="29" t="s">
        <v>91</v>
      </c>
      <c r="H45" s="29" t="s">
        <v>45</v>
      </c>
      <c r="I45" s="12">
        <v>46</v>
      </c>
      <c r="J45" s="12">
        <v>58</v>
      </c>
      <c r="K45" s="12">
        <v>19</v>
      </c>
      <c r="L45" s="12">
        <v>14</v>
      </c>
      <c r="M45" s="12">
        <v>100</v>
      </c>
      <c r="N45" s="12">
        <v>94</v>
      </c>
      <c r="O45" s="12">
        <v>102</v>
      </c>
      <c r="P45" s="12">
        <v>71</v>
      </c>
      <c r="Q45" s="12">
        <v>40</v>
      </c>
      <c r="R45" s="12">
        <v>46</v>
      </c>
      <c r="S45" s="12">
        <v>59</v>
      </c>
      <c r="T45" s="12">
        <v>16</v>
      </c>
      <c r="U45" s="12">
        <v>12</v>
      </c>
      <c r="V45" s="12">
        <v>27</v>
      </c>
      <c r="W45" s="12">
        <v>25</v>
      </c>
      <c r="X45" s="12">
        <v>27</v>
      </c>
      <c r="Y45" s="12">
        <v>71</v>
      </c>
      <c r="Z45" s="12">
        <v>40</v>
      </c>
      <c r="AA45" s="12">
        <v>46</v>
      </c>
      <c r="AB45" s="12">
        <v>25</v>
      </c>
      <c r="AC45" s="12">
        <v>16</v>
      </c>
      <c r="AD45" s="12">
        <v>27</v>
      </c>
      <c r="AE45" s="12">
        <v>25</v>
      </c>
      <c r="AF45" s="12">
        <v>27</v>
      </c>
      <c r="AG45" s="12">
        <v>71</v>
      </c>
      <c r="AH45" s="12">
        <v>40</v>
      </c>
      <c r="AI45" s="12">
        <v>85</v>
      </c>
      <c r="AJ45" s="12">
        <v>97</v>
      </c>
      <c r="AK45" s="12">
        <v>64</v>
      </c>
      <c r="AL45" s="12">
        <v>32</v>
      </c>
      <c r="AM45" s="12">
        <v>24</v>
      </c>
      <c r="AN45" s="12">
        <v>19</v>
      </c>
      <c r="AO45" s="12">
        <v>93</v>
      </c>
      <c r="AQ45" s="52" t="s">
        <v>215</v>
      </c>
      <c r="AR45" s="41"/>
      <c r="AS45" s="53" t="s">
        <v>218</v>
      </c>
      <c r="AT45" s="53" t="s">
        <v>218</v>
      </c>
    </row>
    <row r="46" spans="1:1013" ht="30" customHeight="1" x14ac:dyDescent="0.25">
      <c r="A46" s="23" t="s">
        <v>132</v>
      </c>
      <c r="B46" s="31" t="s">
        <v>161</v>
      </c>
      <c r="C46" s="24" t="s">
        <v>138</v>
      </c>
      <c r="D46" s="20">
        <v>43</v>
      </c>
      <c r="E46" s="21" t="s">
        <v>32</v>
      </c>
      <c r="F46" s="22">
        <v>58</v>
      </c>
      <c r="G46" s="29" t="s">
        <v>91</v>
      </c>
      <c r="H46" s="29" t="s">
        <v>45</v>
      </c>
      <c r="I46" s="3">
        <v>48</v>
      </c>
      <c r="J46" s="3">
        <v>56</v>
      </c>
      <c r="K46" s="3">
        <v>20</v>
      </c>
      <c r="L46" s="3">
        <v>15</v>
      </c>
      <c r="M46" s="3">
        <v>112</v>
      </c>
      <c r="N46" s="3">
        <v>108</v>
      </c>
      <c r="O46" s="3">
        <v>116</v>
      </c>
      <c r="P46" s="3">
        <v>72</v>
      </c>
      <c r="Q46" s="3">
        <v>44</v>
      </c>
      <c r="R46" s="3">
        <v>48</v>
      </c>
      <c r="S46" s="3">
        <v>57</v>
      </c>
      <c r="T46" s="3">
        <v>19</v>
      </c>
      <c r="U46" s="3">
        <v>13</v>
      </c>
      <c r="V46" s="3">
        <v>30</v>
      </c>
      <c r="W46" s="3">
        <v>28</v>
      </c>
      <c r="X46" s="3">
        <v>30</v>
      </c>
      <c r="Y46" s="3">
        <v>72</v>
      </c>
      <c r="Z46" s="3">
        <v>44</v>
      </c>
      <c r="AA46" s="3">
        <v>48</v>
      </c>
      <c r="AB46" s="3">
        <v>24</v>
      </c>
      <c r="AC46" s="3">
        <v>19</v>
      </c>
      <c r="AD46" s="3">
        <v>30</v>
      </c>
      <c r="AE46" s="3">
        <v>28</v>
      </c>
      <c r="AF46" s="3">
        <v>30</v>
      </c>
      <c r="AG46" s="3">
        <v>72</v>
      </c>
      <c r="AH46" s="3">
        <v>44</v>
      </c>
      <c r="AI46" s="3">
        <v>99</v>
      </c>
      <c r="AJ46" s="3">
        <v>114</v>
      </c>
      <c r="AK46" s="3">
        <v>71</v>
      </c>
      <c r="AL46" s="3">
        <v>36</v>
      </c>
      <c r="AM46" s="3">
        <v>26</v>
      </c>
      <c r="AN46" s="3">
        <v>21</v>
      </c>
      <c r="AO46" s="3">
        <v>97</v>
      </c>
      <c r="AP46" s="2">
        <v>1</v>
      </c>
      <c r="AQ46" s="4" t="s">
        <v>190</v>
      </c>
      <c r="AR46" s="41">
        <v>44446</v>
      </c>
      <c r="AS46" s="41">
        <v>44444</v>
      </c>
      <c r="AT46" s="41">
        <v>44444</v>
      </c>
    </row>
    <row r="47" spans="1:1013" ht="30" customHeight="1" x14ac:dyDescent="0.25">
      <c r="A47" s="23" t="s">
        <v>133</v>
      </c>
      <c r="B47" s="31" t="s">
        <v>162</v>
      </c>
      <c r="C47" s="24" t="s">
        <v>138</v>
      </c>
      <c r="D47" s="20">
        <v>41</v>
      </c>
      <c r="E47" s="21" t="s">
        <v>33</v>
      </c>
      <c r="F47" s="22">
        <v>56</v>
      </c>
      <c r="G47" s="29" t="s">
        <v>91</v>
      </c>
      <c r="H47" s="29" t="s">
        <v>45</v>
      </c>
      <c r="I47" s="3">
        <v>50</v>
      </c>
      <c r="J47" s="3">
        <v>58</v>
      </c>
      <c r="K47" s="3">
        <v>21</v>
      </c>
      <c r="L47" s="3">
        <v>16</v>
      </c>
      <c r="M47" s="3">
        <v>118</v>
      </c>
      <c r="N47" s="3">
        <v>114</v>
      </c>
      <c r="O47" s="3">
        <v>122</v>
      </c>
      <c r="P47" s="3">
        <v>75</v>
      </c>
      <c r="Q47" s="3">
        <v>46</v>
      </c>
      <c r="R47" s="3">
        <v>50</v>
      </c>
      <c r="S47" s="3">
        <v>59</v>
      </c>
      <c r="T47" s="3">
        <v>20</v>
      </c>
      <c r="U47" s="3">
        <v>13</v>
      </c>
      <c r="V47" s="3">
        <v>30</v>
      </c>
      <c r="W47" s="3">
        <v>28</v>
      </c>
      <c r="X47" s="3">
        <v>30</v>
      </c>
      <c r="Y47" s="3">
        <v>75</v>
      </c>
      <c r="Z47" s="3">
        <v>46</v>
      </c>
      <c r="AA47" s="3">
        <v>50</v>
      </c>
      <c r="AB47" s="3">
        <v>25</v>
      </c>
      <c r="AC47" s="3">
        <v>20</v>
      </c>
      <c r="AD47" s="3">
        <v>30</v>
      </c>
      <c r="AE47" s="3">
        <v>28</v>
      </c>
      <c r="AF47" s="3">
        <v>30</v>
      </c>
      <c r="AG47" s="3">
        <v>75</v>
      </c>
      <c r="AH47" s="3">
        <v>46</v>
      </c>
      <c r="AI47" s="3">
        <v>106</v>
      </c>
      <c r="AJ47" s="3">
        <v>120</v>
      </c>
      <c r="AK47" s="3">
        <v>75</v>
      </c>
      <c r="AL47" s="3">
        <v>37</v>
      </c>
      <c r="AM47" s="3">
        <v>27</v>
      </c>
      <c r="AN47" s="3">
        <v>23</v>
      </c>
      <c r="AO47" s="3">
        <v>98</v>
      </c>
      <c r="AP47" s="2">
        <v>1</v>
      </c>
      <c r="AQ47" s="4" t="s">
        <v>190</v>
      </c>
      <c r="AR47" s="41">
        <v>44446</v>
      </c>
      <c r="AS47" s="41">
        <v>44444</v>
      </c>
      <c r="AT47" s="41">
        <v>44444</v>
      </c>
    </row>
    <row r="48" spans="1:1013" ht="30" customHeight="1" x14ac:dyDescent="0.25">
      <c r="A48" s="23" t="s">
        <v>134</v>
      </c>
      <c r="B48" s="32" t="s">
        <v>163</v>
      </c>
      <c r="C48" s="24" t="s">
        <v>138</v>
      </c>
      <c r="D48" s="20">
        <v>41</v>
      </c>
      <c r="E48" s="21" t="s">
        <v>32</v>
      </c>
      <c r="F48" s="22">
        <v>54</v>
      </c>
      <c r="G48" s="29" t="s">
        <v>91</v>
      </c>
      <c r="H48" s="29" t="s">
        <v>45</v>
      </c>
      <c r="I48" s="3">
        <v>47</v>
      </c>
      <c r="J48" s="3">
        <v>56</v>
      </c>
      <c r="K48" s="3">
        <v>20</v>
      </c>
      <c r="L48" s="3">
        <v>15</v>
      </c>
      <c r="M48" s="3">
        <v>112</v>
      </c>
      <c r="N48" s="3">
        <v>106</v>
      </c>
      <c r="O48" s="3">
        <v>116</v>
      </c>
      <c r="P48" s="3">
        <v>68</v>
      </c>
      <c r="Q48" s="3">
        <v>43</v>
      </c>
      <c r="R48" s="3">
        <v>47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68</v>
      </c>
      <c r="Z48" s="3">
        <v>43</v>
      </c>
      <c r="AA48" s="3">
        <v>47</v>
      </c>
      <c r="AB48" s="3">
        <v>25</v>
      </c>
      <c r="AC48" s="3">
        <v>19</v>
      </c>
      <c r="AD48" s="3">
        <v>29</v>
      </c>
      <c r="AE48" s="3">
        <v>27</v>
      </c>
      <c r="AF48" s="3">
        <v>29</v>
      </c>
      <c r="AG48" s="3">
        <v>68</v>
      </c>
      <c r="AH48" s="3">
        <v>43</v>
      </c>
      <c r="AI48" s="3">
        <v>96</v>
      </c>
      <c r="AJ48" s="3">
        <v>115</v>
      </c>
      <c r="AK48" s="3">
        <v>69</v>
      </c>
      <c r="AL48" s="3">
        <v>35</v>
      </c>
      <c r="AM48" s="3">
        <v>26</v>
      </c>
      <c r="AN48" s="3">
        <v>21</v>
      </c>
      <c r="AO48" s="19">
        <v>93</v>
      </c>
      <c r="AP48" s="2">
        <v>1</v>
      </c>
      <c r="AQ48" s="4" t="s">
        <v>190</v>
      </c>
      <c r="AR48" s="41">
        <v>44446</v>
      </c>
      <c r="AS48" s="41">
        <v>44444</v>
      </c>
      <c r="AT48" s="41">
        <v>44444</v>
      </c>
    </row>
    <row r="49" spans="1:46" ht="30" customHeight="1" x14ac:dyDescent="0.25">
      <c r="A49" s="23" t="s">
        <v>135</v>
      </c>
      <c r="B49" s="32" t="s">
        <v>164</v>
      </c>
      <c r="C49" s="24" t="s">
        <v>138</v>
      </c>
      <c r="D49" s="20">
        <v>41</v>
      </c>
      <c r="E49" s="21" t="s">
        <v>32</v>
      </c>
      <c r="F49" s="22">
        <v>56</v>
      </c>
      <c r="G49" s="29" t="s">
        <v>91</v>
      </c>
      <c r="H49" s="29" t="s">
        <v>45</v>
      </c>
      <c r="I49" s="3">
        <v>48</v>
      </c>
      <c r="J49" s="3">
        <v>56</v>
      </c>
      <c r="K49" s="3">
        <v>20</v>
      </c>
      <c r="L49" s="3">
        <v>15</v>
      </c>
      <c r="M49" s="3">
        <v>108</v>
      </c>
      <c r="N49" s="3">
        <v>104</v>
      </c>
      <c r="O49" s="3">
        <v>117</v>
      </c>
      <c r="P49" s="3">
        <v>72</v>
      </c>
      <c r="Q49" s="3">
        <v>43</v>
      </c>
      <c r="R49" s="3">
        <v>48</v>
      </c>
      <c r="S49" s="3">
        <v>57</v>
      </c>
      <c r="T49" s="3">
        <v>19</v>
      </c>
      <c r="U49" s="3">
        <v>13</v>
      </c>
      <c r="V49" s="3">
        <v>29</v>
      </c>
      <c r="W49" s="3">
        <v>27</v>
      </c>
      <c r="X49" s="3">
        <v>29</v>
      </c>
      <c r="Y49" s="3">
        <v>72</v>
      </c>
      <c r="Z49" s="3">
        <v>43</v>
      </c>
      <c r="AA49" s="3">
        <v>48</v>
      </c>
      <c r="AB49" s="3">
        <v>25</v>
      </c>
      <c r="AC49" s="3">
        <v>19</v>
      </c>
      <c r="AD49" s="3">
        <v>29</v>
      </c>
      <c r="AE49" s="3">
        <v>27</v>
      </c>
      <c r="AF49" s="3">
        <v>29</v>
      </c>
      <c r="AG49" s="3">
        <v>72</v>
      </c>
      <c r="AH49" s="3">
        <v>43</v>
      </c>
      <c r="AI49" s="3">
        <v>96</v>
      </c>
      <c r="AJ49" s="3">
        <v>115</v>
      </c>
      <c r="AK49" s="3">
        <v>70</v>
      </c>
      <c r="AL49" s="3">
        <v>35</v>
      </c>
      <c r="AM49" s="3">
        <v>26</v>
      </c>
      <c r="AN49" s="3">
        <v>22</v>
      </c>
      <c r="AO49" s="3">
        <v>97</v>
      </c>
      <c r="AP49" s="2">
        <v>1</v>
      </c>
      <c r="AQ49" s="4" t="s">
        <v>190</v>
      </c>
      <c r="AR49" s="41">
        <v>44446</v>
      </c>
      <c r="AS49" s="41">
        <v>44444</v>
      </c>
      <c r="AT49" s="41">
        <v>44444</v>
      </c>
    </row>
    <row r="50" spans="1:46" ht="30" customHeight="1" x14ac:dyDescent="0.25">
      <c r="A50" s="23" t="s">
        <v>136</v>
      </c>
      <c r="B50" s="32" t="s">
        <v>165</v>
      </c>
      <c r="C50" s="24" t="s">
        <v>138</v>
      </c>
      <c r="D50" s="20">
        <v>40</v>
      </c>
      <c r="E50" s="21" t="s">
        <v>31</v>
      </c>
      <c r="F50" s="22">
        <v>55</v>
      </c>
      <c r="G50" s="29" t="s">
        <v>91</v>
      </c>
      <c r="H50" s="29" t="s">
        <v>45</v>
      </c>
      <c r="I50" s="3">
        <v>48</v>
      </c>
      <c r="J50" s="3">
        <v>61</v>
      </c>
      <c r="K50" s="3">
        <v>19</v>
      </c>
      <c r="L50" s="3">
        <v>14</v>
      </c>
      <c r="M50" s="3">
        <v>105</v>
      </c>
      <c r="N50" s="3">
        <v>97</v>
      </c>
      <c r="O50" s="3">
        <v>112</v>
      </c>
      <c r="P50" s="3">
        <v>73</v>
      </c>
      <c r="Q50" s="3">
        <v>43</v>
      </c>
      <c r="R50" s="3">
        <v>48</v>
      </c>
      <c r="S50" s="3">
        <v>62</v>
      </c>
      <c r="T50" s="3">
        <v>18</v>
      </c>
      <c r="U50" s="3">
        <v>13</v>
      </c>
      <c r="V50" s="3">
        <v>28</v>
      </c>
      <c r="W50" s="3">
        <v>27</v>
      </c>
      <c r="X50" s="3">
        <v>28</v>
      </c>
      <c r="Y50" s="3">
        <v>73</v>
      </c>
      <c r="Z50" s="3">
        <v>43</v>
      </c>
      <c r="AA50" s="3">
        <v>48</v>
      </c>
      <c r="AB50" s="3">
        <v>26</v>
      </c>
      <c r="AC50" s="3">
        <v>18</v>
      </c>
      <c r="AD50" s="3">
        <v>28</v>
      </c>
      <c r="AE50" s="3">
        <v>27</v>
      </c>
      <c r="AF50" s="3">
        <v>28</v>
      </c>
      <c r="AG50" s="3">
        <v>73</v>
      </c>
      <c r="AH50" s="3">
        <v>43</v>
      </c>
      <c r="AI50" s="3">
        <v>87</v>
      </c>
      <c r="AJ50" s="3">
        <v>108</v>
      </c>
      <c r="AK50" s="3">
        <v>66</v>
      </c>
      <c r="AL50" s="3">
        <v>34</v>
      </c>
      <c r="AM50" s="3">
        <v>26</v>
      </c>
      <c r="AN50" s="3">
        <v>21</v>
      </c>
      <c r="AO50" s="3">
        <v>102</v>
      </c>
      <c r="AP50" s="2">
        <v>1</v>
      </c>
      <c r="AQ50" s="4" t="s">
        <v>190</v>
      </c>
      <c r="AR50" s="41">
        <v>44446</v>
      </c>
      <c r="AS50" s="41">
        <v>44444</v>
      </c>
      <c r="AT50" s="41">
        <v>44444</v>
      </c>
    </row>
    <row r="51" spans="1:46" ht="30" customHeight="1" x14ac:dyDescent="0.25">
      <c r="A51" s="23" t="s">
        <v>137</v>
      </c>
      <c r="B51" s="32" t="s">
        <v>166</v>
      </c>
      <c r="C51" s="24" t="s">
        <v>138</v>
      </c>
      <c r="D51" s="20">
        <v>39</v>
      </c>
      <c r="E51" s="21" t="s">
        <v>32</v>
      </c>
      <c r="F51" s="22">
        <v>55</v>
      </c>
      <c r="G51" s="29" t="s">
        <v>91</v>
      </c>
      <c r="H51" s="29" t="s">
        <v>45</v>
      </c>
      <c r="I51" s="3">
        <v>48</v>
      </c>
      <c r="J51" s="3">
        <v>54</v>
      </c>
      <c r="K51" s="3">
        <v>20</v>
      </c>
      <c r="L51" s="3">
        <v>15</v>
      </c>
      <c r="M51" s="3">
        <v>113</v>
      </c>
      <c r="N51" s="3">
        <v>109</v>
      </c>
      <c r="O51" s="3">
        <v>116</v>
      </c>
      <c r="P51" s="3">
        <v>68</v>
      </c>
      <c r="Q51" s="3">
        <v>44</v>
      </c>
      <c r="R51" s="3">
        <v>48</v>
      </c>
      <c r="S51" s="3">
        <v>55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68</v>
      </c>
      <c r="Z51" s="3">
        <v>44</v>
      </c>
      <c r="AA51" s="3">
        <v>48</v>
      </c>
      <c r="AB51" s="3">
        <v>24</v>
      </c>
      <c r="AC51" s="3">
        <v>19</v>
      </c>
      <c r="AD51" s="3">
        <v>30</v>
      </c>
      <c r="AE51" s="3">
        <v>28</v>
      </c>
      <c r="AF51" s="3">
        <v>30</v>
      </c>
      <c r="AG51" s="3">
        <v>68</v>
      </c>
      <c r="AH51" s="3">
        <v>44</v>
      </c>
      <c r="AI51" s="3">
        <v>100</v>
      </c>
      <c r="AJ51" s="3">
        <v>112</v>
      </c>
      <c r="AK51" s="3">
        <v>70</v>
      </c>
      <c r="AL51" s="3">
        <v>36</v>
      </c>
      <c r="AM51" s="3">
        <v>26</v>
      </c>
      <c r="AN51" s="3">
        <v>22</v>
      </c>
      <c r="AO51" s="3">
        <v>91</v>
      </c>
      <c r="AP51" s="2">
        <v>1</v>
      </c>
      <c r="AQ51" s="4" t="s">
        <v>190</v>
      </c>
      <c r="AR51" s="41">
        <v>44446</v>
      </c>
      <c r="AS51" s="41">
        <v>44444</v>
      </c>
      <c r="AT51" s="41">
        <v>44444</v>
      </c>
    </row>
    <row r="52" spans="1:46" ht="30" customHeight="1" x14ac:dyDescent="0.25">
      <c r="A52" s="23" t="s">
        <v>139</v>
      </c>
      <c r="B52" s="32" t="s">
        <v>167</v>
      </c>
      <c r="C52" s="24" t="s">
        <v>138</v>
      </c>
      <c r="D52" s="20">
        <v>40</v>
      </c>
      <c r="E52" s="21" t="s">
        <v>31</v>
      </c>
      <c r="F52" s="22">
        <v>55</v>
      </c>
      <c r="G52" s="29" t="s">
        <v>91</v>
      </c>
      <c r="H52" s="29" t="s">
        <v>45</v>
      </c>
      <c r="I52" s="3">
        <v>46</v>
      </c>
      <c r="J52" s="3">
        <v>59</v>
      </c>
      <c r="K52" s="3">
        <v>19</v>
      </c>
      <c r="L52" s="3">
        <v>14</v>
      </c>
      <c r="M52" s="3">
        <v>107</v>
      </c>
      <c r="N52" s="3">
        <v>103</v>
      </c>
      <c r="O52" s="3">
        <v>112</v>
      </c>
      <c r="P52" s="3">
        <v>68</v>
      </c>
      <c r="Q52" s="3">
        <v>42</v>
      </c>
      <c r="R52" s="3">
        <v>46</v>
      </c>
      <c r="S52" s="3">
        <v>60</v>
      </c>
      <c r="T52" s="3">
        <v>18</v>
      </c>
      <c r="U52" s="3">
        <v>13</v>
      </c>
      <c r="V52" s="3">
        <v>29</v>
      </c>
      <c r="W52" s="3">
        <v>27</v>
      </c>
      <c r="X52" s="3">
        <v>29</v>
      </c>
      <c r="Y52" s="3">
        <v>68</v>
      </c>
      <c r="Z52" s="3">
        <v>42</v>
      </c>
      <c r="AA52" s="3">
        <v>46</v>
      </c>
      <c r="AB52" s="3">
        <v>24</v>
      </c>
      <c r="AC52" s="3">
        <v>18</v>
      </c>
      <c r="AD52" s="3">
        <v>29</v>
      </c>
      <c r="AE52" s="3">
        <v>27</v>
      </c>
      <c r="AF52" s="3">
        <v>29</v>
      </c>
      <c r="AG52" s="3">
        <v>68</v>
      </c>
      <c r="AH52" s="3">
        <v>42</v>
      </c>
      <c r="AI52" s="3">
        <v>95</v>
      </c>
      <c r="AJ52" s="3">
        <v>107</v>
      </c>
      <c r="AK52" s="3">
        <v>68</v>
      </c>
      <c r="AL52" s="3">
        <v>35</v>
      </c>
      <c r="AM52" s="3">
        <v>26</v>
      </c>
      <c r="AN52" s="3">
        <v>21</v>
      </c>
      <c r="AO52" s="3">
        <v>92</v>
      </c>
      <c r="AP52" s="2">
        <v>1</v>
      </c>
      <c r="AQ52" s="4" t="s">
        <v>190</v>
      </c>
      <c r="AR52" s="41">
        <v>44446</v>
      </c>
      <c r="AS52" s="41">
        <v>44444</v>
      </c>
      <c r="AT52" s="41">
        <v>44444</v>
      </c>
    </row>
    <row r="53" spans="1:46" ht="30" customHeight="1" x14ac:dyDescent="0.25">
      <c r="A53" s="23" t="s">
        <v>140</v>
      </c>
      <c r="B53" s="32" t="s">
        <v>168</v>
      </c>
      <c r="C53" s="24" t="s">
        <v>138</v>
      </c>
      <c r="D53" s="20">
        <v>43</v>
      </c>
      <c r="E53" s="21" t="s">
        <v>33</v>
      </c>
      <c r="F53" s="22">
        <v>58</v>
      </c>
      <c r="G53" s="29" t="s">
        <v>91</v>
      </c>
      <c r="H53" s="29" t="s">
        <v>45</v>
      </c>
      <c r="I53" s="3">
        <v>49</v>
      </c>
      <c r="J53" s="3">
        <v>57</v>
      </c>
      <c r="K53" s="3">
        <v>21</v>
      </c>
      <c r="L53" s="3">
        <v>15</v>
      </c>
      <c r="M53" s="3">
        <v>110</v>
      </c>
      <c r="N53" s="3">
        <v>108</v>
      </c>
      <c r="O53" s="3">
        <v>118</v>
      </c>
      <c r="P53" s="3">
        <v>74</v>
      </c>
      <c r="Q53" s="3">
        <v>43</v>
      </c>
      <c r="R53" s="3">
        <v>49</v>
      </c>
      <c r="S53" s="3">
        <v>58</v>
      </c>
      <c r="T53" s="3">
        <v>19</v>
      </c>
      <c r="U53" s="3">
        <v>13</v>
      </c>
      <c r="V53" s="3">
        <v>33</v>
      </c>
      <c r="W53" s="3">
        <v>31</v>
      </c>
      <c r="X53" s="3">
        <v>33</v>
      </c>
      <c r="Y53" s="3">
        <v>74</v>
      </c>
      <c r="Z53" s="3">
        <v>43</v>
      </c>
      <c r="AA53" s="3">
        <v>49</v>
      </c>
      <c r="AB53" s="3">
        <v>28</v>
      </c>
      <c r="AC53" s="3">
        <v>19</v>
      </c>
      <c r="AD53" s="3">
        <v>33</v>
      </c>
      <c r="AE53" s="3">
        <v>31</v>
      </c>
      <c r="AF53" s="3">
        <v>33</v>
      </c>
      <c r="AG53" s="3">
        <v>74</v>
      </c>
      <c r="AH53" s="3">
        <v>43</v>
      </c>
      <c r="AI53" s="3">
        <v>96</v>
      </c>
      <c r="AJ53" s="3">
        <v>110</v>
      </c>
      <c r="AK53" s="3">
        <v>72</v>
      </c>
      <c r="AL53" s="3">
        <v>37</v>
      </c>
      <c r="AM53" s="3">
        <v>27</v>
      </c>
      <c r="AN53" s="3">
        <v>23</v>
      </c>
      <c r="AO53" s="3">
        <v>99</v>
      </c>
      <c r="AP53" s="2">
        <v>1</v>
      </c>
      <c r="AQ53" s="4" t="s">
        <v>190</v>
      </c>
      <c r="AR53" s="41">
        <v>44446</v>
      </c>
      <c r="AS53" s="41">
        <v>44444</v>
      </c>
      <c r="AT53" s="41">
        <v>44444</v>
      </c>
    </row>
    <row r="54" spans="1:46" ht="30" customHeight="1" x14ac:dyDescent="0.25">
      <c r="A54" s="23" t="s">
        <v>141</v>
      </c>
      <c r="B54" s="32" t="s">
        <v>169</v>
      </c>
      <c r="C54" s="24" t="s">
        <v>138</v>
      </c>
      <c r="D54" s="20">
        <v>41</v>
      </c>
      <c r="E54" s="21" t="s">
        <v>32</v>
      </c>
      <c r="F54" s="22">
        <v>54</v>
      </c>
      <c r="G54" s="29" t="s">
        <v>91</v>
      </c>
      <c r="H54" s="29" t="s">
        <v>45</v>
      </c>
      <c r="I54" s="3">
        <v>46</v>
      </c>
      <c r="J54" s="3">
        <v>55</v>
      </c>
      <c r="K54" s="3">
        <v>20</v>
      </c>
      <c r="L54" s="3">
        <v>15</v>
      </c>
      <c r="M54" s="3">
        <v>108</v>
      </c>
      <c r="N54" s="3">
        <v>100</v>
      </c>
      <c r="O54" s="3">
        <v>112</v>
      </c>
      <c r="P54" s="3">
        <v>70</v>
      </c>
      <c r="Q54" s="3">
        <v>44</v>
      </c>
      <c r="R54" s="3">
        <v>46</v>
      </c>
      <c r="S54" s="3">
        <v>56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70</v>
      </c>
      <c r="Z54" s="3">
        <v>44</v>
      </c>
      <c r="AA54" s="3">
        <v>46</v>
      </c>
      <c r="AB54" s="3">
        <v>23</v>
      </c>
      <c r="AC54" s="3">
        <v>19</v>
      </c>
      <c r="AD54" s="3">
        <v>29</v>
      </c>
      <c r="AE54" s="3">
        <v>27</v>
      </c>
      <c r="AF54" s="3">
        <v>29</v>
      </c>
      <c r="AG54" s="3">
        <v>70</v>
      </c>
      <c r="AH54" s="3">
        <v>44</v>
      </c>
      <c r="AI54" s="3">
        <v>93</v>
      </c>
      <c r="AJ54" s="3">
        <v>108</v>
      </c>
      <c r="AK54" s="3">
        <v>67</v>
      </c>
      <c r="AL54" s="3">
        <v>35</v>
      </c>
      <c r="AM54" s="3">
        <v>27</v>
      </c>
      <c r="AN54" s="3">
        <v>22</v>
      </c>
      <c r="AO54" s="3">
        <v>94</v>
      </c>
      <c r="AP54" s="2">
        <v>1</v>
      </c>
      <c r="AQ54" s="4" t="s">
        <v>190</v>
      </c>
      <c r="AR54" s="41">
        <v>44446</v>
      </c>
      <c r="AS54" s="41">
        <v>44444</v>
      </c>
      <c r="AT54" s="41">
        <v>44444</v>
      </c>
    </row>
    <row r="55" spans="1:46" ht="30" customHeight="1" x14ac:dyDescent="0.25">
      <c r="A55" s="23" t="s">
        <v>142</v>
      </c>
      <c r="B55" s="32" t="s">
        <v>170</v>
      </c>
      <c r="C55" s="24" t="s">
        <v>138</v>
      </c>
      <c r="D55" s="20">
        <v>43</v>
      </c>
      <c r="E55" s="21" t="s">
        <v>31</v>
      </c>
      <c r="F55" s="22">
        <v>55</v>
      </c>
      <c r="G55" s="29" t="s">
        <v>91</v>
      </c>
      <c r="H55" s="29" t="s">
        <v>45</v>
      </c>
      <c r="I55" s="3">
        <v>47</v>
      </c>
      <c r="J55" s="3">
        <v>63</v>
      </c>
      <c r="K55" s="3">
        <v>19</v>
      </c>
      <c r="L55" s="3">
        <v>14</v>
      </c>
      <c r="M55" s="3">
        <v>104</v>
      </c>
      <c r="N55" s="3">
        <v>100</v>
      </c>
      <c r="O55" s="3">
        <v>108</v>
      </c>
      <c r="P55" s="3">
        <v>70</v>
      </c>
      <c r="Q55" s="3">
        <v>40</v>
      </c>
      <c r="R55" s="3">
        <v>47</v>
      </c>
      <c r="S55" s="3">
        <v>64</v>
      </c>
      <c r="T55" s="3">
        <v>18</v>
      </c>
      <c r="U55" s="3">
        <v>13</v>
      </c>
      <c r="V55" s="3">
        <v>29</v>
      </c>
      <c r="W55" s="3">
        <v>27</v>
      </c>
      <c r="X55" s="3">
        <v>29</v>
      </c>
      <c r="Y55" s="3">
        <v>70</v>
      </c>
      <c r="Z55" s="3">
        <v>40</v>
      </c>
      <c r="AA55" s="3">
        <v>47</v>
      </c>
      <c r="AB55" s="3">
        <v>26</v>
      </c>
      <c r="AC55" s="3">
        <v>18</v>
      </c>
      <c r="AD55" s="3">
        <v>29</v>
      </c>
      <c r="AE55" s="3">
        <v>27</v>
      </c>
      <c r="AF55" s="3">
        <v>29</v>
      </c>
      <c r="AG55" s="3">
        <v>70</v>
      </c>
      <c r="AH55" s="3">
        <v>40</v>
      </c>
      <c r="AI55" s="3">
        <v>90</v>
      </c>
      <c r="AJ55" s="3">
        <v>104</v>
      </c>
      <c r="AK55" s="3">
        <v>66</v>
      </c>
      <c r="AL55" s="3">
        <v>33</v>
      </c>
      <c r="AM55" s="3">
        <v>24</v>
      </c>
      <c r="AN55" s="3">
        <v>21</v>
      </c>
      <c r="AO55" s="3">
        <v>98</v>
      </c>
      <c r="AP55" s="2">
        <v>1</v>
      </c>
      <c r="AQ55" s="4" t="s">
        <v>190</v>
      </c>
      <c r="AR55" s="41">
        <v>44446</v>
      </c>
      <c r="AS55" s="41">
        <v>44444</v>
      </c>
      <c r="AT55" s="41">
        <v>44444</v>
      </c>
    </row>
    <row r="56" spans="1:46" ht="30" customHeight="1" x14ac:dyDescent="0.25">
      <c r="A56" s="23" t="s">
        <v>143</v>
      </c>
      <c r="B56" s="32" t="s">
        <v>171</v>
      </c>
      <c r="C56" s="24" t="s">
        <v>138</v>
      </c>
      <c r="D56" s="20">
        <v>41</v>
      </c>
      <c r="E56" s="21" t="s">
        <v>32</v>
      </c>
      <c r="F56" s="22">
        <v>56</v>
      </c>
      <c r="G56" s="29" t="s">
        <v>91</v>
      </c>
      <c r="H56" s="29" t="s">
        <v>45</v>
      </c>
      <c r="I56" s="3">
        <v>48</v>
      </c>
      <c r="J56" s="3">
        <v>56</v>
      </c>
      <c r="K56" s="3">
        <v>20</v>
      </c>
      <c r="L56" s="3">
        <v>15</v>
      </c>
      <c r="M56" s="3">
        <v>110</v>
      </c>
      <c r="N56" s="3">
        <v>108</v>
      </c>
      <c r="O56" s="3">
        <v>116</v>
      </c>
      <c r="P56" s="3">
        <v>72</v>
      </c>
      <c r="Q56" s="3">
        <v>42</v>
      </c>
      <c r="R56" s="3">
        <v>48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72</v>
      </c>
      <c r="Z56" s="3">
        <v>42</v>
      </c>
      <c r="AA56" s="3">
        <v>48</v>
      </c>
      <c r="AB56" s="3">
        <v>25</v>
      </c>
      <c r="AC56" s="3">
        <v>19</v>
      </c>
      <c r="AD56" s="3">
        <v>29</v>
      </c>
      <c r="AE56" s="3">
        <v>27</v>
      </c>
      <c r="AF56" s="3">
        <v>29</v>
      </c>
      <c r="AG56" s="3">
        <v>72</v>
      </c>
      <c r="AH56" s="3">
        <v>42</v>
      </c>
      <c r="AI56" s="3">
        <v>98</v>
      </c>
      <c r="AJ56" s="3">
        <v>114</v>
      </c>
      <c r="AK56" s="3">
        <v>68</v>
      </c>
      <c r="AL56" s="3">
        <v>34</v>
      </c>
      <c r="AM56" s="3">
        <v>26</v>
      </c>
      <c r="AN56" s="3">
        <v>21</v>
      </c>
      <c r="AO56" s="3">
        <v>97</v>
      </c>
      <c r="AP56" s="2">
        <v>1</v>
      </c>
      <c r="AQ56" s="4" t="s">
        <v>190</v>
      </c>
      <c r="AR56" s="41">
        <v>44446</v>
      </c>
      <c r="AS56" s="41">
        <v>44444</v>
      </c>
      <c r="AT56" s="41">
        <v>44444</v>
      </c>
    </row>
    <row r="57" spans="1:46" ht="30" customHeight="1" x14ac:dyDescent="0.25">
      <c r="A57" s="23" t="s">
        <v>144</v>
      </c>
      <c r="B57" s="32" t="s">
        <v>172</v>
      </c>
      <c r="C57" s="24" t="s">
        <v>138</v>
      </c>
      <c r="D57" s="20">
        <v>41</v>
      </c>
      <c r="E57" s="21" t="s">
        <v>32</v>
      </c>
      <c r="F57" s="22">
        <v>56</v>
      </c>
      <c r="G57" s="29" t="s">
        <v>91</v>
      </c>
      <c r="H57" s="29" t="s">
        <v>45</v>
      </c>
      <c r="I57" s="3">
        <v>48</v>
      </c>
      <c r="J57" s="3">
        <v>56</v>
      </c>
      <c r="K57" s="3">
        <v>20</v>
      </c>
      <c r="L57" s="3">
        <v>15</v>
      </c>
      <c r="M57" s="3">
        <v>110</v>
      </c>
      <c r="N57" s="3">
        <v>106</v>
      </c>
      <c r="O57" s="3">
        <v>116</v>
      </c>
      <c r="P57" s="3">
        <v>72</v>
      </c>
      <c r="Q57" s="3">
        <v>42</v>
      </c>
      <c r="R57" s="3">
        <v>48</v>
      </c>
      <c r="S57" s="3">
        <v>57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72</v>
      </c>
      <c r="Z57" s="3">
        <v>42</v>
      </c>
      <c r="AA57" s="3">
        <v>48</v>
      </c>
      <c r="AB57" s="3">
        <v>25</v>
      </c>
      <c r="AC57" s="3">
        <v>19</v>
      </c>
      <c r="AD57" s="3">
        <v>29</v>
      </c>
      <c r="AE57" s="3">
        <v>27</v>
      </c>
      <c r="AF57" s="3">
        <v>29</v>
      </c>
      <c r="AG57" s="3">
        <v>72</v>
      </c>
      <c r="AH57" s="3">
        <v>42</v>
      </c>
      <c r="AI57" s="3">
        <v>96</v>
      </c>
      <c r="AJ57" s="3">
        <v>114</v>
      </c>
      <c r="AK57" s="3">
        <v>68</v>
      </c>
      <c r="AL57" s="3">
        <v>34</v>
      </c>
      <c r="AM57" s="3">
        <v>26</v>
      </c>
      <c r="AN57" s="3">
        <v>21</v>
      </c>
      <c r="AO57" s="3">
        <v>97</v>
      </c>
      <c r="AP57" s="2">
        <v>1</v>
      </c>
      <c r="AQ57" s="4" t="s">
        <v>190</v>
      </c>
      <c r="AR57" s="41">
        <v>44446</v>
      </c>
      <c r="AS57" s="41">
        <v>44444</v>
      </c>
      <c r="AT57" s="41">
        <v>44444</v>
      </c>
    </row>
    <row r="58" spans="1:46" ht="30" customHeight="1" x14ac:dyDescent="0.25">
      <c r="A58" s="23" t="s">
        <v>145</v>
      </c>
      <c r="B58" s="32" t="s">
        <v>173</v>
      </c>
      <c r="C58" s="24" t="s">
        <v>138</v>
      </c>
      <c r="D58" s="20">
        <v>40</v>
      </c>
      <c r="E58" s="21" t="s">
        <v>32</v>
      </c>
      <c r="F58" s="22">
        <v>56</v>
      </c>
      <c r="G58" s="29" t="s">
        <v>91</v>
      </c>
      <c r="H58" s="29" t="s">
        <v>45</v>
      </c>
      <c r="I58" s="3">
        <v>46</v>
      </c>
      <c r="J58" s="3">
        <v>56</v>
      </c>
      <c r="K58" s="3">
        <v>20</v>
      </c>
      <c r="L58" s="3">
        <v>15</v>
      </c>
      <c r="M58" s="3">
        <v>112</v>
      </c>
      <c r="N58" s="3">
        <v>104</v>
      </c>
      <c r="O58" s="3">
        <v>112</v>
      </c>
      <c r="P58" s="3">
        <v>69</v>
      </c>
      <c r="Q58" s="3">
        <v>42</v>
      </c>
      <c r="R58" s="3">
        <v>46</v>
      </c>
      <c r="S58" s="3">
        <v>57</v>
      </c>
      <c r="T58" s="3">
        <v>19</v>
      </c>
      <c r="U58" s="3">
        <v>13</v>
      </c>
      <c r="V58" s="3">
        <v>29</v>
      </c>
      <c r="W58" s="3">
        <v>27</v>
      </c>
      <c r="X58" s="3">
        <v>29</v>
      </c>
      <c r="Y58" s="3">
        <v>69</v>
      </c>
      <c r="Z58" s="3">
        <v>42</v>
      </c>
      <c r="AA58" s="3">
        <v>46</v>
      </c>
      <c r="AB58" s="3">
        <v>24</v>
      </c>
      <c r="AC58" s="3">
        <v>19</v>
      </c>
      <c r="AD58" s="3">
        <v>29</v>
      </c>
      <c r="AE58" s="3">
        <v>27</v>
      </c>
      <c r="AF58" s="3">
        <v>9</v>
      </c>
      <c r="AG58" s="3">
        <v>69</v>
      </c>
      <c r="AH58" s="3">
        <v>42</v>
      </c>
      <c r="AI58" s="3">
        <v>96</v>
      </c>
      <c r="AJ58" s="3">
        <v>107</v>
      </c>
      <c r="AK58" s="3">
        <v>68</v>
      </c>
      <c r="AL58" s="3">
        <v>35</v>
      </c>
      <c r="AM58" s="3">
        <v>26</v>
      </c>
      <c r="AN58" s="3">
        <v>20</v>
      </c>
      <c r="AO58" s="3">
        <v>94</v>
      </c>
      <c r="AP58" s="2">
        <v>1</v>
      </c>
      <c r="AQ58" s="4" t="s">
        <v>190</v>
      </c>
      <c r="AR58" s="41">
        <v>44446</v>
      </c>
      <c r="AS58" s="41">
        <v>44444</v>
      </c>
      <c r="AT58" s="41">
        <v>44444</v>
      </c>
    </row>
    <row r="59" spans="1:46" ht="30" customHeight="1" x14ac:dyDescent="0.25">
      <c r="A59" s="23" t="s">
        <v>146</v>
      </c>
      <c r="B59" s="32" t="s">
        <v>174</v>
      </c>
      <c r="C59" s="24" t="s">
        <v>138</v>
      </c>
      <c r="D59" s="20">
        <v>42</v>
      </c>
      <c r="E59" s="21" t="s">
        <v>33</v>
      </c>
      <c r="F59" s="22">
        <v>56</v>
      </c>
      <c r="G59" s="29" t="s">
        <v>91</v>
      </c>
      <c r="H59" s="29" t="s">
        <v>45</v>
      </c>
      <c r="I59" s="3">
        <v>49</v>
      </c>
      <c r="J59" s="3">
        <v>61</v>
      </c>
      <c r="K59" s="3">
        <v>20</v>
      </c>
      <c r="L59" s="3">
        <v>15</v>
      </c>
      <c r="M59" s="3">
        <v>115</v>
      </c>
      <c r="N59" s="3">
        <v>109</v>
      </c>
      <c r="O59" s="3">
        <v>118</v>
      </c>
      <c r="P59" s="3">
        <v>74</v>
      </c>
      <c r="Q59" s="3">
        <v>42</v>
      </c>
      <c r="R59" s="3">
        <v>49</v>
      </c>
      <c r="S59" s="3">
        <v>62</v>
      </c>
      <c r="T59" s="3">
        <v>19</v>
      </c>
      <c r="U59" s="3">
        <v>13</v>
      </c>
      <c r="V59" s="3">
        <v>30</v>
      </c>
      <c r="W59" s="3">
        <v>28</v>
      </c>
      <c r="X59" s="3">
        <v>30</v>
      </c>
      <c r="Y59" s="3">
        <v>74</v>
      </c>
      <c r="Z59" s="3">
        <v>42</v>
      </c>
      <c r="AA59" s="3">
        <v>49</v>
      </c>
      <c r="AB59" s="3">
        <v>26</v>
      </c>
      <c r="AC59" s="3">
        <v>19</v>
      </c>
      <c r="AD59" s="3">
        <v>30</v>
      </c>
      <c r="AE59" s="3">
        <v>28</v>
      </c>
      <c r="AF59" s="3">
        <v>30</v>
      </c>
      <c r="AG59" s="3">
        <v>74</v>
      </c>
      <c r="AH59" s="3">
        <v>42</v>
      </c>
      <c r="AI59" s="3">
        <v>101</v>
      </c>
      <c r="AJ59" s="3">
        <v>113</v>
      </c>
      <c r="AK59" s="3">
        <v>73</v>
      </c>
      <c r="AL59" s="3">
        <v>36</v>
      </c>
      <c r="AM59" s="3">
        <v>28</v>
      </c>
      <c r="AN59" s="3">
        <v>21</v>
      </c>
      <c r="AO59" s="3">
        <v>99</v>
      </c>
      <c r="AP59" s="2">
        <v>1</v>
      </c>
      <c r="AQ59" s="4" t="s">
        <v>190</v>
      </c>
      <c r="AR59" s="41">
        <v>44446</v>
      </c>
      <c r="AS59" s="41">
        <v>44444</v>
      </c>
      <c r="AT59" s="41">
        <v>44444</v>
      </c>
    </row>
    <row r="60" spans="1:46" ht="30" customHeight="1" x14ac:dyDescent="0.25">
      <c r="A60" s="23" t="s">
        <v>147</v>
      </c>
      <c r="B60" s="32" t="s">
        <v>175</v>
      </c>
      <c r="C60" s="24" t="s">
        <v>138</v>
      </c>
      <c r="D60" s="20">
        <v>43</v>
      </c>
      <c r="E60" s="21" t="s">
        <v>34</v>
      </c>
      <c r="F60" s="22">
        <v>60</v>
      </c>
      <c r="G60" s="29" t="s">
        <v>91</v>
      </c>
      <c r="H60" s="29" t="s">
        <v>45</v>
      </c>
      <c r="I60" s="3">
        <v>47</v>
      </c>
      <c r="J60" s="3">
        <v>60</v>
      </c>
      <c r="K60" s="3">
        <v>20</v>
      </c>
      <c r="L60" s="3">
        <v>15</v>
      </c>
      <c r="M60" s="3">
        <v>112</v>
      </c>
      <c r="N60" s="3">
        <v>108</v>
      </c>
      <c r="O60" s="3">
        <v>118</v>
      </c>
      <c r="P60" s="3">
        <v>70</v>
      </c>
      <c r="Q60" s="3">
        <v>41</v>
      </c>
      <c r="R60" s="3">
        <v>47</v>
      </c>
      <c r="S60" s="3">
        <v>60</v>
      </c>
      <c r="T60" s="3">
        <v>19</v>
      </c>
      <c r="U60" s="3">
        <v>13</v>
      </c>
      <c r="V60" s="3">
        <v>30</v>
      </c>
      <c r="W60" s="3">
        <v>28</v>
      </c>
      <c r="X60" s="3">
        <v>30</v>
      </c>
      <c r="Y60" s="3">
        <v>70</v>
      </c>
      <c r="Z60" s="3">
        <v>41</v>
      </c>
      <c r="AA60" s="3">
        <v>47</v>
      </c>
      <c r="AB60" s="3">
        <v>26</v>
      </c>
      <c r="AC60" s="3">
        <v>19</v>
      </c>
      <c r="AD60" s="3">
        <v>30</v>
      </c>
      <c r="AE60" s="3">
        <v>28</v>
      </c>
      <c r="AF60" s="3">
        <v>30</v>
      </c>
      <c r="AG60" s="3">
        <v>70</v>
      </c>
      <c r="AH60" s="3">
        <v>41</v>
      </c>
      <c r="AI60" s="3">
        <v>99</v>
      </c>
      <c r="AJ60" s="3">
        <v>116</v>
      </c>
      <c r="AK60" s="3">
        <v>75</v>
      </c>
      <c r="AL60" s="3">
        <v>36</v>
      </c>
      <c r="AM60" s="3">
        <v>27</v>
      </c>
      <c r="AN60" s="3">
        <v>22</v>
      </c>
      <c r="AO60" s="3">
        <v>102</v>
      </c>
      <c r="AP60" s="2">
        <v>1</v>
      </c>
      <c r="AQ60" s="4" t="s">
        <v>190</v>
      </c>
      <c r="AR60" s="41">
        <v>44446</v>
      </c>
      <c r="AS60" s="41">
        <v>44444</v>
      </c>
      <c r="AT60" s="41">
        <v>44444</v>
      </c>
    </row>
    <row r="61" spans="1:46" ht="30" customHeight="1" x14ac:dyDescent="0.25">
      <c r="A61" s="23" t="s">
        <v>148</v>
      </c>
      <c r="B61" s="32" t="s">
        <v>176</v>
      </c>
      <c r="C61" s="24" t="s">
        <v>138</v>
      </c>
      <c r="D61" s="20">
        <v>45</v>
      </c>
      <c r="E61" s="21" t="s">
        <v>32</v>
      </c>
      <c r="F61" s="22">
        <v>56</v>
      </c>
      <c r="G61" s="29" t="s">
        <v>91</v>
      </c>
      <c r="H61" s="29" t="s">
        <v>45</v>
      </c>
      <c r="I61" s="3">
        <v>47</v>
      </c>
      <c r="J61" s="3">
        <v>62</v>
      </c>
      <c r="K61" s="3">
        <v>20</v>
      </c>
      <c r="L61" s="3">
        <v>15</v>
      </c>
      <c r="M61" s="3">
        <v>108</v>
      </c>
      <c r="N61" s="3">
        <v>104</v>
      </c>
      <c r="O61" s="3">
        <v>116</v>
      </c>
      <c r="P61" s="3">
        <v>74</v>
      </c>
      <c r="Q61" s="3">
        <v>41</v>
      </c>
      <c r="R61" s="3">
        <v>47</v>
      </c>
      <c r="S61" s="3">
        <v>63</v>
      </c>
      <c r="T61" s="3">
        <v>19</v>
      </c>
      <c r="U61" s="3">
        <v>13</v>
      </c>
      <c r="V61" s="3">
        <v>29</v>
      </c>
      <c r="W61" s="3">
        <v>28</v>
      </c>
      <c r="X61" s="3">
        <v>29</v>
      </c>
      <c r="Y61" s="3">
        <v>74</v>
      </c>
      <c r="Z61" s="3">
        <v>41</v>
      </c>
      <c r="AA61" s="3">
        <v>47</v>
      </c>
      <c r="AB61" s="3">
        <v>26</v>
      </c>
      <c r="AC61" s="3">
        <v>19</v>
      </c>
      <c r="AD61" s="3">
        <v>29</v>
      </c>
      <c r="AE61" s="3">
        <v>28</v>
      </c>
      <c r="AF61" s="3">
        <v>29</v>
      </c>
      <c r="AG61" s="3">
        <v>74</v>
      </c>
      <c r="AH61" s="3">
        <v>41</v>
      </c>
      <c r="AI61" s="3">
        <v>98</v>
      </c>
      <c r="AJ61" s="3">
        <v>116</v>
      </c>
      <c r="AK61" s="3">
        <v>70</v>
      </c>
      <c r="AL61" s="3">
        <v>35</v>
      </c>
      <c r="AM61" s="3">
        <v>27</v>
      </c>
      <c r="AN61" s="3">
        <v>22</v>
      </c>
      <c r="AO61" s="3">
        <v>100</v>
      </c>
      <c r="AP61" s="2">
        <v>1</v>
      </c>
      <c r="AQ61" s="4" t="s">
        <v>190</v>
      </c>
      <c r="AR61" s="41">
        <v>44446</v>
      </c>
      <c r="AS61" s="41">
        <v>44444</v>
      </c>
      <c r="AT61" s="41">
        <v>44444</v>
      </c>
    </row>
    <row r="62" spans="1:46" ht="30" customHeight="1" x14ac:dyDescent="0.25">
      <c r="A62" s="23" t="s">
        <v>149</v>
      </c>
      <c r="B62" s="32" t="s">
        <v>177</v>
      </c>
      <c r="C62" s="24" t="s">
        <v>138</v>
      </c>
      <c r="D62" s="20">
        <v>43</v>
      </c>
      <c r="E62" s="21" t="s">
        <v>32</v>
      </c>
      <c r="F62" s="22">
        <v>56</v>
      </c>
      <c r="G62" s="29" t="s">
        <v>91</v>
      </c>
      <c r="H62" s="29" t="s">
        <v>45</v>
      </c>
      <c r="I62" s="3">
        <v>47</v>
      </c>
      <c r="J62" s="3">
        <v>63</v>
      </c>
      <c r="K62" s="3">
        <v>20</v>
      </c>
      <c r="L62" s="3">
        <v>15</v>
      </c>
      <c r="M62" s="3">
        <v>110</v>
      </c>
      <c r="N62" s="3">
        <v>105</v>
      </c>
      <c r="O62" s="3">
        <v>118</v>
      </c>
      <c r="P62" s="3">
        <v>75</v>
      </c>
      <c r="Q62" s="3">
        <v>43</v>
      </c>
      <c r="R62" s="3">
        <v>47</v>
      </c>
      <c r="S62" s="3">
        <v>64</v>
      </c>
      <c r="T62" s="3">
        <v>19</v>
      </c>
      <c r="U62" s="3">
        <v>13</v>
      </c>
      <c r="V62" s="3">
        <v>29</v>
      </c>
      <c r="W62" s="3">
        <v>27</v>
      </c>
      <c r="X62" s="3">
        <v>29</v>
      </c>
      <c r="Y62" s="3">
        <v>75</v>
      </c>
      <c r="Z62" s="3">
        <v>43</v>
      </c>
      <c r="AA62" s="3">
        <v>47</v>
      </c>
      <c r="AB62" s="3">
        <v>26</v>
      </c>
      <c r="AC62" s="3">
        <v>19</v>
      </c>
      <c r="AD62" s="3">
        <v>29</v>
      </c>
      <c r="AE62" s="3">
        <v>27</v>
      </c>
      <c r="AF62" s="3">
        <v>29</v>
      </c>
      <c r="AG62" s="3">
        <v>75</v>
      </c>
      <c r="AH62" s="3">
        <v>43</v>
      </c>
      <c r="AI62" s="3">
        <v>95</v>
      </c>
      <c r="AJ62" s="3">
        <v>115</v>
      </c>
      <c r="AK62" s="3">
        <v>68</v>
      </c>
      <c r="AL62" s="3">
        <v>35</v>
      </c>
      <c r="AM62" s="3">
        <v>26</v>
      </c>
      <c r="AN62" s="3">
        <v>21</v>
      </c>
      <c r="AO62" s="3">
        <v>100</v>
      </c>
      <c r="AP62" s="2">
        <v>1</v>
      </c>
      <c r="AQ62" s="4" t="s">
        <v>190</v>
      </c>
      <c r="AR62" s="41">
        <v>44446</v>
      </c>
      <c r="AS62" s="41">
        <v>44444</v>
      </c>
      <c r="AT62" s="41">
        <v>44444</v>
      </c>
    </row>
    <row r="63" spans="1:46" ht="30" customHeight="1" x14ac:dyDescent="0.25">
      <c r="A63" s="23" t="s">
        <v>150</v>
      </c>
      <c r="B63" s="32" t="s">
        <v>178</v>
      </c>
      <c r="C63" s="24" t="s">
        <v>138</v>
      </c>
      <c r="D63" s="20">
        <v>43</v>
      </c>
      <c r="E63" s="21" t="s">
        <v>34</v>
      </c>
      <c r="F63" s="22">
        <v>57</v>
      </c>
      <c r="G63" s="29" t="s">
        <v>91</v>
      </c>
      <c r="H63" s="29" t="s">
        <v>45</v>
      </c>
      <c r="I63" s="3">
        <v>48</v>
      </c>
      <c r="J63" s="3">
        <v>56</v>
      </c>
      <c r="K63" s="3">
        <v>21</v>
      </c>
      <c r="L63" s="3">
        <v>15</v>
      </c>
      <c r="M63" s="3">
        <v>112</v>
      </c>
      <c r="N63" s="3">
        <v>108</v>
      </c>
      <c r="O63" s="3">
        <v>120</v>
      </c>
      <c r="P63" s="3">
        <v>72</v>
      </c>
      <c r="Q63" s="3">
        <v>44</v>
      </c>
      <c r="R63" s="3">
        <v>48</v>
      </c>
      <c r="S63" s="3">
        <v>57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72</v>
      </c>
      <c r="Z63" s="3">
        <v>44</v>
      </c>
      <c r="AA63" s="3">
        <v>48</v>
      </c>
      <c r="AB63" s="3">
        <v>26</v>
      </c>
      <c r="AC63" s="3">
        <v>20</v>
      </c>
      <c r="AD63" s="3">
        <v>30</v>
      </c>
      <c r="AE63" s="3">
        <v>28</v>
      </c>
      <c r="AF63" s="3">
        <v>30</v>
      </c>
      <c r="AG63" s="3">
        <v>72</v>
      </c>
      <c r="AH63" s="3">
        <v>44</v>
      </c>
      <c r="AI63" s="3">
        <v>100</v>
      </c>
      <c r="AJ63" s="3">
        <v>116</v>
      </c>
      <c r="AK63" s="3">
        <v>75</v>
      </c>
      <c r="AL63" s="3">
        <v>37</v>
      </c>
      <c r="AM63" s="3">
        <v>27</v>
      </c>
      <c r="AN63" s="3">
        <v>22</v>
      </c>
      <c r="AO63" s="3">
        <v>99</v>
      </c>
      <c r="AP63" s="2">
        <v>1</v>
      </c>
      <c r="AQ63" s="4" t="s">
        <v>190</v>
      </c>
      <c r="AR63" s="41">
        <v>44446</v>
      </c>
      <c r="AS63" s="41">
        <v>44444</v>
      </c>
      <c r="AT63" s="41">
        <v>44444</v>
      </c>
    </row>
    <row r="64" spans="1:46" ht="30" customHeight="1" x14ac:dyDescent="0.25">
      <c r="A64" s="23" t="s">
        <v>151</v>
      </c>
      <c r="B64" s="32" t="s">
        <v>179</v>
      </c>
      <c r="C64" s="24" t="s">
        <v>138</v>
      </c>
      <c r="D64" s="20">
        <v>43</v>
      </c>
      <c r="E64" s="21" t="s">
        <v>33</v>
      </c>
      <c r="F64" s="22">
        <v>59</v>
      </c>
      <c r="G64" s="29" t="s">
        <v>91</v>
      </c>
      <c r="H64" s="29" t="s">
        <v>45</v>
      </c>
      <c r="I64" s="3">
        <v>50</v>
      </c>
      <c r="J64" s="3">
        <v>61</v>
      </c>
      <c r="K64" s="3">
        <v>21</v>
      </c>
      <c r="L64" s="3">
        <v>15</v>
      </c>
      <c r="M64" s="3">
        <v>115</v>
      </c>
      <c r="N64" s="3">
        <v>110</v>
      </c>
      <c r="O64" s="3">
        <v>118</v>
      </c>
      <c r="P64" s="3">
        <v>70</v>
      </c>
      <c r="Q64" s="3">
        <v>45</v>
      </c>
      <c r="R64" s="3">
        <v>50</v>
      </c>
      <c r="S64" s="3">
        <v>62</v>
      </c>
      <c r="T64" s="3">
        <v>20</v>
      </c>
      <c r="U64" s="3">
        <v>13</v>
      </c>
      <c r="V64" s="3">
        <v>30</v>
      </c>
      <c r="W64" s="3">
        <v>28</v>
      </c>
      <c r="X64" s="3">
        <v>30</v>
      </c>
      <c r="Y64" s="3">
        <v>70</v>
      </c>
      <c r="Z64" s="3">
        <v>45</v>
      </c>
      <c r="AA64" s="3">
        <v>50</v>
      </c>
      <c r="AB64" s="3">
        <v>25</v>
      </c>
      <c r="AC64" s="3">
        <v>20</v>
      </c>
      <c r="AD64" s="3">
        <v>30</v>
      </c>
      <c r="AE64" s="3">
        <v>28</v>
      </c>
      <c r="AF64" s="3">
        <v>30</v>
      </c>
      <c r="AG64" s="3">
        <v>70</v>
      </c>
      <c r="AH64" s="3">
        <v>45</v>
      </c>
      <c r="AI64" s="3">
        <v>102</v>
      </c>
      <c r="AJ64" s="3">
        <v>115</v>
      </c>
      <c r="AK64" s="3">
        <v>70</v>
      </c>
      <c r="AL64" s="3">
        <v>37</v>
      </c>
      <c r="AM64" s="3">
        <v>27</v>
      </c>
      <c r="AN64" s="3">
        <v>22</v>
      </c>
      <c r="AO64" s="3">
        <v>95</v>
      </c>
      <c r="AP64" s="2">
        <v>1</v>
      </c>
      <c r="AQ64" s="4" t="s">
        <v>190</v>
      </c>
      <c r="AR64" s="41">
        <v>44446</v>
      </c>
      <c r="AS64" s="41">
        <v>44444</v>
      </c>
      <c r="AT64" s="41">
        <v>44444</v>
      </c>
    </row>
    <row r="65" spans="1:46" ht="30" customHeight="1" x14ac:dyDescent="0.25">
      <c r="A65" s="23" t="s">
        <v>152</v>
      </c>
      <c r="B65" s="32" t="s">
        <v>180</v>
      </c>
      <c r="C65" s="24" t="s">
        <v>138</v>
      </c>
      <c r="D65" s="20">
        <v>43</v>
      </c>
      <c r="E65" s="21" t="s">
        <v>36</v>
      </c>
      <c r="F65" s="22">
        <v>55</v>
      </c>
      <c r="G65" s="29" t="s">
        <v>91</v>
      </c>
      <c r="H65" s="29" t="s">
        <v>45</v>
      </c>
      <c r="I65" s="3">
        <v>50</v>
      </c>
      <c r="J65" s="3">
        <v>64</v>
      </c>
      <c r="K65" s="3">
        <v>21</v>
      </c>
      <c r="L65" s="3">
        <v>16</v>
      </c>
      <c r="M65" s="3">
        <v>122</v>
      </c>
      <c r="N65" s="3">
        <v>114</v>
      </c>
      <c r="O65" s="3">
        <v>124</v>
      </c>
      <c r="P65" s="3">
        <v>76</v>
      </c>
      <c r="Q65" s="3">
        <v>44</v>
      </c>
      <c r="R65" s="3">
        <v>50</v>
      </c>
      <c r="S65" s="3">
        <v>65</v>
      </c>
      <c r="T65" s="3">
        <v>20</v>
      </c>
      <c r="U65" s="3">
        <v>13</v>
      </c>
      <c r="V65" s="3">
        <v>30</v>
      </c>
      <c r="W65" s="3">
        <v>28</v>
      </c>
      <c r="X65" s="3">
        <v>30</v>
      </c>
      <c r="Y65" s="3">
        <v>76</v>
      </c>
      <c r="Z65" s="3">
        <v>44</v>
      </c>
      <c r="AA65" s="3">
        <v>50</v>
      </c>
      <c r="AB65" s="3">
        <v>27</v>
      </c>
      <c r="AC65" s="3">
        <v>20</v>
      </c>
      <c r="AD65" s="3">
        <v>30</v>
      </c>
      <c r="AE65" s="3">
        <v>28</v>
      </c>
      <c r="AF65" s="3">
        <v>30</v>
      </c>
      <c r="AG65" s="3">
        <v>76</v>
      </c>
      <c r="AH65" s="3">
        <v>44</v>
      </c>
      <c r="AI65" s="3">
        <v>100</v>
      </c>
      <c r="AJ65" s="3">
        <v>116</v>
      </c>
      <c r="AK65" s="3">
        <v>77</v>
      </c>
      <c r="AL65" s="3">
        <v>38</v>
      </c>
      <c r="AM65" s="3">
        <v>27</v>
      </c>
      <c r="AN65" s="3">
        <v>23</v>
      </c>
      <c r="AO65" s="3">
        <v>107</v>
      </c>
      <c r="AP65" s="2">
        <v>1</v>
      </c>
      <c r="AQ65" s="4" t="s">
        <v>190</v>
      </c>
      <c r="AR65" s="41">
        <v>44446</v>
      </c>
      <c r="AS65" s="41">
        <v>44444</v>
      </c>
      <c r="AT65" s="41">
        <v>44444</v>
      </c>
    </row>
    <row r="66" spans="1:46" ht="30" customHeight="1" x14ac:dyDescent="0.25">
      <c r="A66" s="23" t="s">
        <v>153</v>
      </c>
      <c r="B66" s="32" t="s">
        <v>181</v>
      </c>
      <c r="C66" s="24" t="s">
        <v>138</v>
      </c>
      <c r="D66" s="20">
        <v>41</v>
      </c>
      <c r="E66" s="21" t="s">
        <v>32</v>
      </c>
      <c r="F66" s="22">
        <v>56</v>
      </c>
      <c r="G66" s="29" t="s">
        <v>91</v>
      </c>
      <c r="H66" s="29" t="s">
        <v>45</v>
      </c>
      <c r="I66" s="3">
        <v>47</v>
      </c>
      <c r="J66" s="3">
        <v>55</v>
      </c>
      <c r="K66" s="3">
        <v>19</v>
      </c>
      <c r="L66" s="3">
        <v>14</v>
      </c>
      <c r="M66" s="3">
        <v>104</v>
      </c>
      <c r="N66" s="3">
        <v>98</v>
      </c>
      <c r="O66" s="3">
        <v>108</v>
      </c>
      <c r="P66" s="3">
        <v>70</v>
      </c>
      <c r="Q66" s="3">
        <v>41</v>
      </c>
      <c r="R66" s="3">
        <v>48</v>
      </c>
      <c r="S66" s="3">
        <v>56</v>
      </c>
      <c r="T66" s="3">
        <v>18</v>
      </c>
      <c r="U66" s="3">
        <v>13</v>
      </c>
      <c r="V66" s="3">
        <v>28</v>
      </c>
      <c r="W66" s="3">
        <v>26</v>
      </c>
      <c r="X66" s="3">
        <v>28</v>
      </c>
      <c r="Y66" s="3">
        <v>70</v>
      </c>
      <c r="Z66" s="3">
        <v>41</v>
      </c>
      <c r="AA66" s="3">
        <v>47</v>
      </c>
      <c r="AB66" s="3">
        <v>24</v>
      </c>
      <c r="AC66" s="3">
        <v>18</v>
      </c>
      <c r="AD66" s="3">
        <v>28</v>
      </c>
      <c r="AE66" s="3">
        <v>26</v>
      </c>
      <c r="AF66" s="3">
        <v>28</v>
      </c>
      <c r="AG66" s="3">
        <v>70</v>
      </c>
      <c r="AH66" s="3">
        <v>41</v>
      </c>
      <c r="AI66" s="3">
        <v>86</v>
      </c>
      <c r="AJ66" s="3">
        <v>104</v>
      </c>
      <c r="AK66" s="3">
        <v>68</v>
      </c>
      <c r="AL66" s="3">
        <v>33</v>
      </c>
      <c r="AM66" s="3">
        <v>26</v>
      </c>
      <c r="AN66" s="3">
        <v>20</v>
      </c>
      <c r="AO66" s="3">
        <v>90</v>
      </c>
      <c r="AP66" s="2">
        <v>1</v>
      </c>
      <c r="AQ66" s="4" t="s">
        <v>190</v>
      </c>
      <c r="AR66" s="41">
        <v>44446</v>
      </c>
      <c r="AS66" s="41">
        <v>44444</v>
      </c>
      <c r="AT66" s="41">
        <v>44444</v>
      </c>
    </row>
    <row r="67" spans="1:46" ht="30" customHeight="1" x14ac:dyDescent="0.25">
      <c r="A67" s="23" t="s">
        <v>154</v>
      </c>
      <c r="B67" s="32" t="s">
        <v>182</v>
      </c>
      <c r="C67" s="24" t="s">
        <v>138</v>
      </c>
      <c r="D67" s="20">
        <v>42</v>
      </c>
      <c r="E67" s="21" t="s">
        <v>34</v>
      </c>
      <c r="F67" s="22">
        <v>56</v>
      </c>
      <c r="G67" s="29" t="s">
        <v>91</v>
      </c>
      <c r="H67" s="29" t="s">
        <v>45</v>
      </c>
      <c r="I67" s="3">
        <v>50</v>
      </c>
      <c r="J67" s="3">
        <v>58</v>
      </c>
      <c r="K67" s="3">
        <v>21</v>
      </c>
      <c r="L67" s="3">
        <v>15</v>
      </c>
      <c r="M67" s="3">
        <v>115</v>
      </c>
      <c r="N67" s="3">
        <v>110</v>
      </c>
      <c r="O67" s="3">
        <v>120</v>
      </c>
      <c r="P67" s="3">
        <v>74</v>
      </c>
      <c r="Q67" s="3">
        <v>45</v>
      </c>
      <c r="R67" s="3">
        <v>50</v>
      </c>
      <c r="S67" s="3">
        <v>59</v>
      </c>
      <c r="T67" s="3">
        <v>20</v>
      </c>
      <c r="U67" s="3">
        <v>13</v>
      </c>
      <c r="V67" s="3">
        <v>30</v>
      </c>
      <c r="W67" s="3">
        <v>28</v>
      </c>
      <c r="X67" s="3">
        <v>30</v>
      </c>
      <c r="Y67" s="3">
        <v>74</v>
      </c>
      <c r="Z67" s="3">
        <v>45</v>
      </c>
      <c r="AA67" s="3">
        <v>50</v>
      </c>
      <c r="AB67" s="3">
        <v>26</v>
      </c>
      <c r="AC67" s="3">
        <v>20</v>
      </c>
      <c r="AD67" s="3">
        <v>30</v>
      </c>
      <c r="AE67" s="3">
        <v>28</v>
      </c>
      <c r="AF67" s="3">
        <v>30</v>
      </c>
      <c r="AG67" s="3">
        <v>74</v>
      </c>
      <c r="AH67" s="3">
        <v>45</v>
      </c>
      <c r="AI67" s="3">
        <v>103</v>
      </c>
      <c r="AJ67" s="3">
        <v>117</v>
      </c>
      <c r="AK67" s="3">
        <v>73</v>
      </c>
      <c r="AL67" s="3">
        <v>37</v>
      </c>
      <c r="AM67" s="3">
        <v>26</v>
      </c>
      <c r="AN67" s="3">
        <v>22</v>
      </c>
      <c r="AO67" s="3">
        <v>100</v>
      </c>
      <c r="AP67" s="2">
        <v>1</v>
      </c>
      <c r="AQ67" s="4" t="s">
        <v>190</v>
      </c>
      <c r="AR67" s="41">
        <v>44446</v>
      </c>
      <c r="AS67" s="41">
        <v>44444</v>
      </c>
      <c r="AT67" s="41">
        <v>44444</v>
      </c>
    </row>
    <row r="68" spans="1:46" ht="30" customHeight="1" x14ac:dyDescent="0.25">
      <c r="A68" s="23" t="s">
        <v>155</v>
      </c>
      <c r="B68" s="32" t="s">
        <v>183</v>
      </c>
      <c r="C68" s="24" t="s">
        <v>138</v>
      </c>
      <c r="D68" s="20">
        <v>41</v>
      </c>
      <c r="E68" s="21" t="s">
        <v>32</v>
      </c>
      <c r="F68" s="22">
        <v>56</v>
      </c>
      <c r="G68" s="29" t="s">
        <v>91</v>
      </c>
      <c r="H68" s="29" t="s">
        <v>45</v>
      </c>
      <c r="I68" s="3">
        <v>46</v>
      </c>
      <c r="J68" s="3">
        <v>56</v>
      </c>
      <c r="K68" s="3">
        <v>20</v>
      </c>
      <c r="L68" s="3">
        <v>15</v>
      </c>
      <c r="M68" s="3">
        <v>108</v>
      </c>
      <c r="N68" s="3">
        <v>104</v>
      </c>
      <c r="O68" s="3">
        <v>114</v>
      </c>
      <c r="P68" s="3">
        <v>70</v>
      </c>
      <c r="Q68" s="3">
        <v>43</v>
      </c>
      <c r="R68" s="3">
        <v>46</v>
      </c>
      <c r="S68" s="3">
        <v>57</v>
      </c>
      <c r="T68" s="3">
        <v>19</v>
      </c>
      <c r="U68" s="3">
        <v>13</v>
      </c>
      <c r="V68" s="3">
        <v>29</v>
      </c>
      <c r="W68" s="3">
        <v>27</v>
      </c>
      <c r="X68" s="3">
        <v>29</v>
      </c>
      <c r="Y68" s="3">
        <v>70</v>
      </c>
      <c r="Z68" s="3">
        <v>43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43</v>
      </c>
      <c r="AI68" s="3">
        <v>95</v>
      </c>
      <c r="AJ68" s="3">
        <v>110</v>
      </c>
      <c r="AK68" s="3">
        <v>68</v>
      </c>
      <c r="AL68" s="3">
        <v>35</v>
      </c>
      <c r="AM68" s="3">
        <v>26</v>
      </c>
      <c r="AN68" s="3">
        <v>20</v>
      </c>
      <c r="AO68" s="3">
        <v>94</v>
      </c>
      <c r="AP68" s="2">
        <v>1</v>
      </c>
      <c r="AQ68" s="4" t="s">
        <v>190</v>
      </c>
      <c r="AR68" s="41">
        <v>44446</v>
      </c>
      <c r="AS68" s="41">
        <v>44444</v>
      </c>
      <c r="AT68" s="41">
        <v>44444</v>
      </c>
    </row>
    <row r="69" spans="1:46" ht="30" customHeight="1" x14ac:dyDescent="0.25">
      <c r="A69" s="23" t="s">
        <v>156</v>
      </c>
      <c r="B69" s="32" t="s">
        <v>184</v>
      </c>
      <c r="C69" s="24" t="s">
        <v>138</v>
      </c>
      <c r="D69" s="20">
        <v>40</v>
      </c>
      <c r="E69" s="21" t="s">
        <v>31</v>
      </c>
      <c r="F69" s="22">
        <v>58</v>
      </c>
      <c r="G69" s="29" t="s">
        <v>91</v>
      </c>
      <c r="H69" s="29" t="s">
        <v>45</v>
      </c>
      <c r="I69" s="3">
        <v>45</v>
      </c>
      <c r="J69" s="3">
        <v>60</v>
      </c>
      <c r="K69" s="3">
        <v>19</v>
      </c>
      <c r="L69" s="3">
        <v>14</v>
      </c>
      <c r="M69" s="3">
        <v>102</v>
      </c>
      <c r="N69" s="3">
        <v>95</v>
      </c>
      <c r="O69" s="3">
        <v>108</v>
      </c>
      <c r="P69" s="3">
        <v>72</v>
      </c>
      <c r="Q69" s="3">
        <v>40</v>
      </c>
      <c r="R69" s="3">
        <v>45</v>
      </c>
      <c r="S69" s="3">
        <v>61</v>
      </c>
      <c r="T69" s="3">
        <v>18</v>
      </c>
      <c r="U69" s="3">
        <v>13</v>
      </c>
      <c r="V69" s="3">
        <v>28</v>
      </c>
      <c r="W69" s="3">
        <v>26</v>
      </c>
      <c r="X69" s="3">
        <v>28</v>
      </c>
      <c r="Y69" s="3">
        <v>72</v>
      </c>
      <c r="Z69" s="3">
        <v>40</v>
      </c>
      <c r="AA69" s="3">
        <v>45</v>
      </c>
      <c r="AB69" s="3">
        <v>25</v>
      </c>
      <c r="AC69" s="3">
        <v>18</v>
      </c>
      <c r="AD69" s="3">
        <v>28</v>
      </c>
      <c r="AE69" s="3">
        <v>26</v>
      </c>
      <c r="AF69" s="3">
        <v>28</v>
      </c>
      <c r="AG69" s="3">
        <v>72</v>
      </c>
      <c r="AH69" s="3">
        <v>40</v>
      </c>
      <c r="AI69" s="3">
        <v>88</v>
      </c>
      <c r="AJ69" s="3">
        <v>105</v>
      </c>
      <c r="AK69" s="3">
        <v>67</v>
      </c>
      <c r="AL69" s="3">
        <v>34</v>
      </c>
      <c r="AM69" s="3">
        <v>25</v>
      </c>
      <c r="AN69" s="3">
        <v>19</v>
      </c>
      <c r="AO69" s="3">
        <v>96</v>
      </c>
      <c r="AP69" s="2">
        <v>1</v>
      </c>
      <c r="AQ69" s="4" t="s">
        <v>190</v>
      </c>
      <c r="AR69" s="41">
        <v>44446</v>
      </c>
      <c r="AS69" s="41">
        <v>44444</v>
      </c>
      <c r="AT69" s="41">
        <v>44444</v>
      </c>
    </row>
    <row r="70" spans="1:46" ht="30" customHeight="1" x14ac:dyDescent="0.25">
      <c r="A70" s="23" t="s">
        <v>157</v>
      </c>
      <c r="B70" s="32" t="s">
        <v>185</v>
      </c>
      <c r="C70" s="24" t="s">
        <v>138</v>
      </c>
      <c r="D70" s="20">
        <v>42</v>
      </c>
      <c r="E70" s="21" t="s">
        <v>31</v>
      </c>
      <c r="F70" s="22">
        <v>56</v>
      </c>
      <c r="G70" s="29" t="s">
        <v>91</v>
      </c>
      <c r="H70" s="29" t="s">
        <v>45</v>
      </c>
      <c r="I70" s="3">
        <v>46</v>
      </c>
      <c r="J70" s="3">
        <v>56</v>
      </c>
      <c r="K70" s="3">
        <v>20</v>
      </c>
      <c r="L70" s="3">
        <v>15</v>
      </c>
      <c r="M70" s="3">
        <v>106</v>
      </c>
      <c r="N70" s="3">
        <v>100</v>
      </c>
      <c r="O70" s="3">
        <v>110</v>
      </c>
      <c r="P70" s="3">
        <v>70</v>
      </c>
      <c r="Q70" s="3">
        <v>42</v>
      </c>
      <c r="R70" s="3">
        <v>46</v>
      </c>
      <c r="S70" s="3">
        <v>57</v>
      </c>
      <c r="T70" s="3">
        <v>19</v>
      </c>
      <c r="U70" s="3">
        <v>14</v>
      </c>
      <c r="V70" s="3">
        <v>29</v>
      </c>
      <c r="W70" s="3">
        <v>27</v>
      </c>
      <c r="X70" s="3">
        <v>29</v>
      </c>
      <c r="Y70" s="3">
        <v>70</v>
      </c>
      <c r="Z70" s="3">
        <v>42</v>
      </c>
      <c r="AA70" s="3">
        <v>46</v>
      </c>
      <c r="AB70" s="3">
        <v>25</v>
      </c>
      <c r="AC70" s="3">
        <v>19</v>
      </c>
      <c r="AD70" s="3">
        <v>29</v>
      </c>
      <c r="AE70" s="3">
        <v>27</v>
      </c>
      <c r="AF70" s="3">
        <v>29</v>
      </c>
      <c r="AG70" s="3">
        <v>70</v>
      </c>
      <c r="AH70" s="3">
        <v>42</v>
      </c>
      <c r="AI70" s="3">
        <v>92</v>
      </c>
      <c r="AJ70" s="3">
        <v>106</v>
      </c>
      <c r="AK70" s="3">
        <v>68</v>
      </c>
      <c r="AL70" s="3">
        <v>34</v>
      </c>
      <c r="AM70" s="3">
        <v>24</v>
      </c>
      <c r="AN70" s="3">
        <v>19</v>
      </c>
      <c r="AO70" s="3">
        <v>96</v>
      </c>
      <c r="AP70" s="2">
        <v>1</v>
      </c>
      <c r="AQ70" s="4" t="s">
        <v>190</v>
      </c>
      <c r="AR70" s="41">
        <v>44446</v>
      </c>
      <c r="AS70" s="41">
        <v>44444</v>
      </c>
      <c r="AT70" s="41">
        <v>44444</v>
      </c>
    </row>
    <row r="71" spans="1:46" ht="30" customHeight="1" x14ac:dyDescent="0.25">
      <c r="A71" s="23" t="s">
        <v>158</v>
      </c>
      <c r="B71" s="32" t="s">
        <v>186</v>
      </c>
      <c r="C71" s="24" t="s">
        <v>138</v>
      </c>
      <c r="D71" s="20">
        <v>45</v>
      </c>
      <c r="E71" s="21" t="s">
        <v>187</v>
      </c>
      <c r="F71" s="22">
        <v>60</v>
      </c>
      <c r="G71" s="29" t="s">
        <v>91</v>
      </c>
      <c r="H71" s="29" t="s">
        <v>45</v>
      </c>
      <c r="I71" s="3">
        <v>52</v>
      </c>
      <c r="J71" s="3">
        <v>57</v>
      </c>
      <c r="K71" s="3">
        <v>22</v>
      </c>
      <c r="L71" s="3">
        <v>16</v>
      </c>
      <c r="M71" s="3">
        <v>134</v>
      </c>
      <c r="N71" s="3">
        <v>134</v>
      </c>
      <c r="O71" s="3">
        <v>134</v>
      </c>
      <c r="P71" s="3">
        <v>78</v>
      </c>
      <c r="Q71" s="3">
        <v>46</v>
      </c>
      <c r="R71" s="3">
        <v>52</v>
      </c>
      <c r="S71" s="3">
        <v>58</v>
      </c>
      <c r="T71" s="3">
        <v>21</v>
      </c>
      <c r="U71" s="3">
        <v>14</v>
      </c>
      <c r="V71" s="3">
        <v>33</v>
      </c>
      <c r="W71" s="3">
        <v>33</v>
      </c>
      <c r="X71" s="3">
        <v>33</v>
      </c>
      <c r="Y71" s="3">
        <v>78</v>
      </c>
      <c r="Z71" s="3">
        <v>46</v>
      </c>
      <c r="AA71" s="3">
        <v>52</v>
      </c>
      <c r="AB71" s="3">
        <v>27</v>
      </c>
      <c r="AC71" s="3">
        <v>21</v>
      </c>
      <c r="AD71" s="3">
        <v>33</v>
      </c>
      <c r="AE71" s="3">
        <v>33</v>
      </c>
      <c r="AF71" s="3">
        <v>33</v>
      </c>
      <c r="AG71" s="3">
        <v>78</v>
      </c>
      <c r="AH71" s="3">
        <v>46</v>
      </c>
      <c r="AI71" s="3">
        <v>112</v>
      </c>
      <c r="AJ71" s="3">
        <v>128</v>
      </c>
      <c r="AK71" s="3">
        <v>80</v>
      </c>
      <c r="AL71" s="3">
        <v>39</v>
      </c>
      <c r="AM71" s="3">
        <v>29</v>
      </c>
      <c r="AN71" s="3">
        <v>23</v>
      </c>
      <c r="AO71" s="3">
        <v>97</v>
      </c>
      <c r="AP71" s="2">
        <v>1</v>
      </c>
      <c r="AQ71" s="4" t="s">
        <v>190</v>
      </c>
      <c r="AR71" s="41">
        <v>44446</v>
      </c>
      <c r="AS71" s="41">
        <v>44444</v>
      </c>
      <c r="AT71" s="41">
        <v>44444</v>
      </c>
    </row>
    <row r="72" spans="1:46" ht="30" customHeight="1" x14ac:dyDescent="0.25">
      <c r="A72" s="23" t="s">
        <v>159</v>
      </c>
      <c r="B72" s="32" t="s">
        <v>188</v>
      </c>
      <c r="C72" s="24" t="s">
        <v>138</v>
      </c>
      <c r="D72" s="20">
        <v>41</v>
      </c>
      <c r="E72" s="21" t="s">
        <v>32</v>
      </c>
      <c r="F72" s="22">
        <v>55</v>
      </c>
      <c r="G72" s="29" t="s">
        <v>91</v>
      </c>
      <c r="H72" s="29" t="s">
        <v>45</v>
      </c>
      <c r="I72" s="3">
        <v>46</v>
      </c>
      <c r="J72" s="3">
        <v>55</v>
      </c>
      <c r="K72" s="3">
        <v>20</v>
      </c>
      <c r="L72" s="3">
        <v>15</v>
      </c>
      <c r="M72" s="3">
        <v>110</v>
      </c>
      <c r="N72" s="3">
        <v>106</v>
      </c>
      <c r="O72" s="3">
        <v>114</v>
      </c>
      <c r="P72" s="3">
        <v>70</v>
      </c>
      <c r="Q72" s="3">
        <v>43</v>
      </c>
      <c r="R72" s="3">
        <v>46</v>
      </c>
      <c r="S72" s="3">
        <v>56</v>
      </c>
      <c r="T72" s="3">
        <v>19</v>
      </c>
      <c r="U72" s="3">
        <v>14</v>
      </c>
      <c r="V72" s="3">
        <v>29</v>
      </c>
      <c r="W72" s="3">
        <v>27</v>
      </c>
      <c r="X72" s="3">
        <v>29</v>
      </c>
      <c r="Y72" s="3">
        <v>70</v>
      </c>
      <c r="Z72" s="3">
        <v>43</v>
      </c>
      <c r="AA72" s="3">
        <v>46</v>
      </c>
      <c r="AB72" s="3">
        <v>25</v>
      </c>
      <c r="AC72" s="3">
        <v>19</v>
      </c>
      <c r="AD72" s="3">
        <v>29</v>
      </c>
      <c r="AE72" s="3">
        <v>27</v>
      </c>
      <c r="AF72" s="3">
        <v>29</v>
      </c>
      <c r="AG72" s="3">
        <v>70</v>
      </c>
      <c r="AH72" s="3">
        <v>43</v>
      </c>
      <c r="AI72" s="3">
        <v>96</v>
      </c>
      <c r="AJ72" s="3">
        <v>110</v>
      </c>
      <c r="AK72" s="3">
        <v>70</v>
      </c>
      <c r="AL72" s="3">
        <v>35</v>
      </c>
      <c r="AM72" s="3">
        <v>26</v>
      </c>
      <c r="AN72" s="3">
        <v>21</v>
      </c>
      <c r="AO72" s="3">
        <v>96</v>
      </c>
      <c r="AP72" s="2">
        <v>1</v>
      </c>
      <c r="AQ72" s="4" t="s">
        <v>190</v>
      </c>
      <c r="AR72" s="41">
        <v>44446</v>
      </c>
      <c r="AS72" s="41">
        <v>44444</v>
      </c>
      <c r="AT72" s="41">
        <v>44444</v>
      </c>
    </row>
    <row r="73" spans="1:46" ht="30" customHeight="1" x14ac:dyDescent="0.25">
      <c r="A73" s="23" t="s">
        <v>160</v>
      </c>
      <c r="B73" s="32" t="s">
        <v>189</v>
      </c>
      <c r="C73" s="24" t="s">
        <v>138</v>
      </c>
      <c r="D73" s="20">
        <v>41</v>
      </c>
      <c r="E73" s="21" t="s">
        <v>32</v>
      </c>
      <c r="F73" s="22">
        <v>56</v>
      </c>
      <c r="G73" s="29" t="s">
        <v>91</v>
      </c>
      <c r="H73" s="29" t="s">
        <v>45</v>
      </c>
      <c r="I73" s="3">
        <v>49</v>
      </c>
      <c r="J73" s="3">
        <v>56</v>
      </c>
      <c r="K73" s="3">
        <v>20</v>
      </c>
      <c r="L73" s="3">
        <v>15</v>
      </c>
      <c r="M73" s="3">
        <v>108</v>
      </c>
      <c r="N73" s="3">
        <v>104</v>
      </c>
      <c r="O73" s="3">
        <v>114</v>
      </c>
      <c r="P73" s="3">
        <v>72</v>
      </c>
      <c r="Q73" s="3">
        <v>43</v>
      </c>
      <c r="R73" s="3">
        <v>49</v>
      </c>
      <c r="S73" s="3">
        <v>57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70</v>
      </c>
      <c r="Z73" s="3">
        <v>43</v>
      </c>
      <c r="AA73" s="3">
        <v>49</v>
      </c>
      <c r="AB73" s="3">
        <v>25</v>
      </c>
      <c r="AC73" s="3">
        <v>19</v>
      </c>
      <c r="AD73" s="3">
        <v>29</v>
      </c>
      <c r="AE73" s="3">
        <v>27</v>
      </c>
      <c r="AF73" s="3">
        <v>29</v>
      </c>
      <c r="AG73" s="3">
        <v>70</v>
      </c>
      <c r="AH73" s="3">
        <v>43</v>
      </c>
      <c r="AI73" s="3">
        <v>96</v>
      </c>
      <c r="AJ73" s="3">
        <v>112</v>
      </c>
      <c r="AK73" s="3">
        <v>68</v>
      </c>
      <c r="AL73" s="3">
        <v>35</v>
      </c>
      <c r="AM73" s="3">
        <v>26</v>
      </c>
      <c r="AN73" s="3">
        <v>21</v>
      </c>
      <c r="AO73" s="3">
        <v>97</v>
      </c>
      <c r="AP73" s="2">
        <v>1</v>
      </c>
      <c r="AQ73" s="4" t="s">
        <v>190</v>
      </c>
      <c r="AR73" s="41">
        <v>44446</v>
      </c>
      <c r="AS73" s="41">
        <v>44444</v>
      </c>
      <c r="AT73" s="41">
        <v>44444</v>
      </c>
    </row>
    <row r="74" spans="1:46" ht="30" customHeight="1" x14ac:dyDescent="0.25">
      <c r="A74" s="23" t="s">
        <v>199</v>
      </c>
      <c r="B74" s="32" t="s">
        <v>198</v>
      </c>
      <c r="C74" s="24" t="s">
        <v>138</v>
      </c>
      <c r="D74" s="20">
        <v>42</v>
      </c>
      <c r="E74" s="21" t="s">
        <v>34</v>
      </c>
      <c r="F74" s="30">
        <v>59</v>
      </c>
      <c r="G74" s="29" t="s">
        <v>91</v>
      </c>
      <c r="H74" s="29" t="s">
        <v>45</v>
      </c>
      <c r="I74" s="12">
        <v>46</v>
      </c>
      <c r="J74" s="12">
        <v>60</v>
      </c>
      <c r="K74" s="12">
        <v>19</v>
      </c>
      <c r="L74" s="12">
        <v>14</v>
      </c>
      <c r="M74" s="12">
        <v>108</v>
      </c>
      <c r="N74" s="12">
        <v>102</v>
      </c>
      <c r="O74" s="12">
        <v>112</v>
      </c>
      <c r="P74" s="12">
        <v>70</v>
      </c>
      <c r="Q74" s="12">
        <v>42</v>
      </c>
      <c r="R74" s="12">
        <v>46</v>
      </c>
      <c r="S74" s="12">
        <v>61</v>
      </c>
      <c r="T74" s="12">
        <v>18</v>
      </c>
      <c r="U74" s="12">
        <v>13</v>
      </c>
      <c r="V74" s="12">
        <v>29</v>
      </c>
      <c r="W74" s="12">
        <v>27</v>
      </c>
      <c r="X74" s="1">
        <v>29</v>
      </c>
      <c r="Y74" s="1">
        <v>70</v>
      </c>
      <c r="Z74" s="1">
        <v>42</v>
      </c>
      <c r="AA74" s="1">
        <v>46</v>
      </c>
      <c r="AB74" s="1">
        <v>26</v>
      </c>
      <c r="AC74" s="1">
        <v>18</v>
      </c>
      <c r="AD74" s="1">
        <v>29</v>
      </c>
      <c r="AE74" s="1">
        <v>27</v>
      </c>
      <c r="AF74" s="1">
        <v>29</v>
      </c>
      <c r="AG74" s="12">
        <v>70</v>
      </c>
      <c r="AH74" s="12">
        <v>42</v>
      </c>
      <c r="AI74" s="12">
        <v>95</v>
      </c>
      <c r="AJ74" s="12">
        <v>108</v>
      </c>
      <c r="AK74" s="12">
        <v>68</v>
      </c>
      <c r="AL74" s="12">
        <v>35</v>
      </c>
      <c r="AM74" s="12">
        <v>26</v>
      </c>
      <c r="AN74" s="12">
        <v>19</v>
      </c>
      <c r="AO74" s="12">
        <v>96</v>
      </c>
      <c r="AP74" s="2">
        <v>2</v>
      </c>
      <c r="AQ74" s="2" t="s">
        <v>200</v>
      </c>
      <c r="AR74" s="41">
        <v>44446</v>
      </c>
      <c r="AS74" s="41">
        <v>44444</v>
      </c>
      <c r="AT74" s="41">
        <v>44444</v>
      </c>
    </row>
    <row r="75" spans="1:46" ht="30" customHeight="1" x14ac:dyDescent="0.25">
      <c r="A75" s="23" t="s">
        <v>207</v>
      </c>
      <c r="B75" s="32" t="s">
        <v>206</v>
      </c>
      <c r="C75" s="24" t="s">
        <v>138</v>
      </c>
      <c r="D75" s="20">
        <v>44</v>
      </c>
      <c r="E75" s="21" t="s">
        <v>34</v>
      </c>
      <c r="F75" s="30">
        <v>58</v>
      </c>
      <c r="G75" s="29" t="s">
        <v>91</v>
      </c>
      <c r="H75" s="29" t="s">
        <v>45</v>
      </c>
      <c r="I75" s="12">
        <v>50</v>
      </c>
      <c r="J75" s="12">
        <v>56</v>
      </c>
      <c r="K75" s="12">
        <v>21</v>
      </c>
      <c r="L75" s="12">
        <v>15</v>
      </c>
      <c r="M75" s="12">
        <v>117</v>
      </c>
      <c r="N75" s="12">
        <v>115</v>
      </c>
      <c r="O75" s="12">
        <v>120</v>
      </c>
      <c r="P75" s="12">
        <v>70</v>
      </c>
      <c r="Q75" s="12">
        <v>45</v>
      </c>
      <c r="R75" s="12">
        <v>50</v>
      </c>
      <c r="S75" s="12">
        <v>57</v>
      </c>
      <c r="T75" s="12">
        <v>20</v>
      </c>
      <c r="U75" s="12">
        <v>13</v>
      </c>
      <c r="V75" s="12">
        <v>30</v>
      </c>
      <c r="W75" s="12">
        <v>28</v>
      </c>
      <c r="X75" s="1">
        <v>30</v>
      </c>
      <c r="Y75" s="1">
        <v>70</v>
      </c>
      <c r="Z75" s="1">
        <v>45</v>
      </c>
      <c r="AA75" s="1">
        <v>50</v>
      </c>
      <c r="AB75" s="1">
        <v>25</v>
      </c>
      <c r="AC75" s="1">
        <v>20</v>
      </c>
      <c r="AD75" s="1">
        <v>30</v>
      </c>
      <c r="AE75" s="1">
        <v>28</v>
      </c>
      <c r="AF75" s="1">
        <v>30</v>
      </c>
      <c r="AG75" s="12">
        <v>70</v>
      </c>
      <c r="AH75" s="12">
        <v>45</v>
      </c>
      <c r="AI75" s="12">
        <v>105</v>
      </c>
      <c r="AJ75" s="12">
        <v>116</v>
      </c>
      <c r="AK75" s="12">
        <v>70</v>
      </c>
      <c r="AL75" s="12">
        <v>36</v>
      </c>
      <c r="AM75" s="12">
        <v>27</v>
      </c>
      <c r="AN75" s="12">
        <v>22</v>
      </c>
      <c r="AO75" s="12">
        <v>95</v>
      </c>
      <c r="AP75" s="2">
        <v>3</v>
      </c>
      <c r="AQ75" s="28">
        <v>44440</v>
      </c>
      <c r="AR75" s="41">
        <v>44446</v>
      </c>
      <c r="AS75" s="41">
        <v>44444</v>
      </c>
      <c r="AT75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abSelected="1" topLeftCell="A3" zoomScale="130" zoomScaleNormal="130" workbookViewId="0">
      <selection activeCell="E7" sqref="E7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/>
    </row>
    <row r="4" spans="1:18" ht="15.75" x14ac:dyDescent="0.25">
      <c r="A4" s="1" t="s">
        <v>32</v>
      </c>
      <c r="B4">
        <f>COUNTIF(SEMUA!$E$2:$E$62,REKAP!A4)</f>
        <v>35</v>
      </c>
      <c r="C4">
        <v>3</v>
      </c>
      <c r="D4">
        <f>SUM(B4:C4)</f>
        <v>38</v>
      </c>
      <c r="E4" s="16">
        <v>25</v>
      </c>
      <c r="G4">
        <v>37</v>
      </c>
      <c r="H4">
        <f>COUNTIF(SEMUA!$D$1:$D$62,G4)</f>
        <v>0</v>
      </c>
      <c r="J4">
        <f>SUM(H4:I4)</f>
        <v>0</v>
      </c>
      <c r="K4" s="16">
        <v>0</v>
      </c>
      <c r="M4" s="7">
        <v>53</v>
      </c>
      <c r="N4">
        <f>COUNTIF(SEMUA!$F$2:$F$75,M4)</f>
        <v>2</v>
      </c>
      <c r="P4">
        <f>SUM(N4:O4)</f>
        <v>2</v>
      </c>
      <c r="Q4" s="16"/>
    </row>
    <row r="5" spans="1:18" ht="15.75" x14ac:dyDescent="0.25">
      <c r="A5" s="6" t="s">
        <v>31</v>
      </c>
      <c r="B5">
        <f>COUNTIF(SEMUA!$E$2:$E$62,REKAP!A5)</f>
        <v>5</v>
      </c>
      <c r="C5">
        <v>5</v>
      </c>
      <c r="D5">
        <f t="shared" ref="D5:D10" si="0">SUM(B5:C5)</f>
        <v>10</v>
      </c>
      <c r="E5" s="16">
        <v>16</v>
      </c>
      <c r="G5">
        <v>38</v>
      </c>
      <c r="H5">
        <f>COUNTIF(SEMUA!$D$1:$D$62,G5)</f>
        <v>0</v>
      </c>
      <c r="J5">
        <v>1</v>
      </c>
      <c r="K5" s="16">
        <v>0</v>
      </c>
      <c r="M5" s="7">
        <v>54</v>
      </c>
      <c r="N5">
        <f>COUNTIF(SEMUA!$F$2:$F$75,M5)</f>
        <v>5</v>
      </c>
      <c r="O5">
        <v>1</v>
      </c>
      <c r="Q5" s="16"/>
    </row>
    <row r="6" spans="1:18" ht="15.75" x14ac:dyDescent="0.25">
      <c r="A6" s="6" t="s">
        <v>35</v>
      </c>
      <c r="B6">
        <f>COUNTIF(SEMUA!$E$2:$E$62,REKAP!A6)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COUNTIF(SEMUA!$D$1:$D$62,G6)</f>
        <v>3</v>
      </c>
      <c r="I6">
        <v>3</v>
      </c>
      <c r="J6">
        <f t="shared" ref="J6:J13" si="1">SUM(H6:I6)</f>
        <v>6</v>
      </c>
      <c r="K6" s="16">
        <v>3</v>
      </c>
      <c r="M6" s="7">
        <v>55</v>
      </c>
      <c r="N6">
        <f>COUNTIF(SEMUA!$F$2:$F$75,M6)</f>
        <v>12</v>
      </c>
      <c r="O6">
        <v>5</v>
      </c>
      <c r="Q6" s="16"/>
    </row>
    <row r="7" spans="1:18" ht="15.75" x14ac:dyDescent="0.25">
      <c r="A7" s="6" t="s">
        <v>34</v>
      </c>
      <c r="B7">
        <f>COUNTIF(SEMUA!$E$2:$E$62,REKAP!A7)</f>
        <v>12</v>
      </c>
      <c r="C7">
        <v>7</v>
      </c>
      <c r="D7">
        <f t="shared" si="0"/>
        <v>19</v>
      </c>
      <c r="E7" s="16">
        <v>24</v>
      </c>
      <c r="G7" s="7">
        <v>40</v>
      </c>
      <c r="H7">
        <f>COUNTIF(SEMUA!$D$1:$D$62,G7)</f>
        <v>15</v>
      </c>
      <c r="I7">
        <v>3</v>
      </c>
      <c r="J7">
        <f t="shared" si="1"/>
        <v>18</v>
      </c>
      <c r="K7" s="16">
        <v>22</v>
      </c>
      <c r="M7" s="7">
        <v>56</v>
      </c>
      <c r="N7">
        <f>COUNTIF(SEMUA!$F$2:$F$75,M7)</f>
        <v>18</v>
      </c>
      <c r="O7">
        <v>6</v>
      </c>
      <c r="Q7" s="16"/>
    </row>
    <row r="8" spans="1:18" ht="15.75" x14ac:dyDescent="0.25">
      <c r="A8" s="6" t="s">
        <v>33</v>
      </c>
      <c r="B8">
        <f>COUNTIF(SEMUA!$E$2:$E$62,REKAP!A8)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COUNTIF(SEMUA!$D$1:$D$62,G8)</f>
        <v>12</v>
      </c>
      <c r="I8">
        <v>5</v>
      </c>
      <c r="J8">
        <f t="shared" si="1"/>
        <v>17</v>
      </c>
      <c r="K8" s="16">
        <v>23</v>
      </c>
      <c r="M8" s="7">
        <v>57</v>
      </c>
      <c r="N8">
        <f>COUNTIF(SEMUA!$F$2:$F$75,M8)</f>
        <v>13</v>
      </c>
      <c r="O8">
        <v>6</v>
      </c>
      <c r="Q8" s="16"/>
    </row>
    <row r="9" spans="1:18" ht="15.75" x14ac:dyDescent="0.25">
      <c r="A9" s="6" t="s">
        <v>36</v>
      </c>
      <c r="B9">
        <f>COUNTIF(SEMUA!$E$2:$E$62,REKAP!A9)</f>
        <v>2</v>
      </c>
      <c r="D9">
        <f t="shared" si="0"/>
        <v>2</v>
      </c>
      <c r="E9" s="16">
        <v>4</v>
      </c>
      <c r="G9" s="7">
        <v>42</v>
      </c>
      <c r="H9">
        <f>COUNTIF(SEMUA!$D$1:$D$62,G9)</f>
        <v>17</v>
      </c>
      <c r="I9">
        <v>2</v>
      </c>
      <c r="J9">
        <f t="shared" si="1"/>
        <v>19</v>
      </c>
      <c r="K9" s="16">
        <v>10</v>
      </c>
      <c r="M9" s="7">
        <v>58</v>
      </c>
      <c r="N9">
        <f>COUNTIF(SEMUA!$F$2:$F$75,M9)</f>
        <v>13</v>
      </c>
      <c r="O9">
        <v>4</v>
      </c>
      <c r="Q9" s="16"/>
    </row>
    <row r="10" spans="1:18" ht="15.75" x14ac:dyDescent="0.25">
      <c r="A10" s="6" t="s">
        <v>37</v>
      </c>
      <c r="B10">
        <f>COUNTIF(SEMUA!$E$2:$E$62,REKAP!A10)</f>
        <v>0</v>
      </c>
      <c r="D10">
        <f t="shared" si="0"/>
        <v>0</v>
      </c>
      <c r="E10" s="16">
        <v>1</v>
      </c>
      <c r="G10" s="7">
        <v>43</v>
      </c>
      <c r="H10">
        <f>COUNTIF(SEMUA!$D$1:$D$62,G10)</f>
        <v>12</v>
      </c>
      <c r="I10">
        <v>5</v>
      </c>
      <c r="J10">
        <f t="shared" si="1"/>
        <v>17</v>
      </c>
      <c r="K10" s="16">
        <v>10</v>
      </c>
      <c r="M10" s="7">
        <v>59</v>
      </c>
      <c r="N10">
        <f>COUNTIF(SEMUA!$F$2:$F$75,M10)</f>
        <v>4</v>
      </c>
      <c r="O10">
        <v>3</v>
      </c>
      <c r="Q10" s="16"/>
    </row>
    <row r="11" spans="1:18" ht="15.75" x14ac:dyDescent="0.25">
      <c r="A11" s="8" t="s">
        <v>44</v>
      </c>
      <c r="B11" s="9">
        <f>SUM(B4:B10)</f>
        <v>61</v>
      </c>
      <c r="C11" s="9"/>
      <c r="D11" s="9">
        <f>SUM(D4:D10)</f>
        <v>80</v>
      </c>
      <c r="E11" s="17">
        <f>SUM(E4:E10)</f>
        <v>85</v>
      </c>
      <c r="F11" s="9"/>
      <c r="G11" s="7">
        <v>44</v>
      </c>
      <c r="H11">
        <f>COUNTIF(SEMUA!$D$1:$D$62,G11)</f>
        <v>1</v>
      </c>
      <c r="J11">
        <f t="shared" si="1"/>
        <v>1</v>
      </c>
      <c r="K11" s="16">
        <v>1</v>
      </c>
      <c r="M11" s="1">
        <v>60</v>
      </c>
      <c r="N11">
        <f>COUNTIF(SEMUA!$F$2:$F$75,M11)</f>
        <v>7</v>
      </c>
      <c r="O11">
        <v>3</v>
      </c>
      <c r="Q11" s="16"/>
    </row>
    <row r="12" spans="1:18" ht="15.75" x14ac:dyDescent="0.25">
      <c r="G12" s="7">
        <v>45</v>
      </c>
      <c r="H12">
        <f>COUNTIF(SEMUA!$D$1:$D$62,G12)</f>
        <v>1</v>
      </c>
      <c r="I12">
        <v>1</v>
      </c>
      <c r="J12">
        <f t="shared" si="1"/>
        <v>2</v>
      </c>
      <c r="K12" s="16">
        <v>0</v>
      </c>
      <c r="N12">
        <f>SUM(N4:N11)</f>
        <v>74</v>
      </c>
      <c r="O12">
        <f>SUM(O5:O11)</f>
        <v>28</v>
      </c>
      <c r="Q12" s="16"/>
    </row>
    <row r="13" spans="1:18" ht="15.75" x14ac:dyDescent="0.25">
      <c r="G13" s="7">
        <v>46</v>
      </c>
      <c r="H13">
        <f>COUNTIF(SEMUA!$D$1:$D$62,G13)</f>
        <v>0</v>
      </c>
      <c r="J13">
        <f t="shared" si="1"/>
        <v>0</v>
      </c>
      <c r="K13" s="16">
        <v>1</v>
      </c>
      <c r="Q13" s="16"/>
    </row>
    <row r="14" spans="1:18" ht="15.75" x14ac:dyDescent="0.25">
      <c r="G14" s="7"/>
      <c r="H14">
        <f>SUM(H4:H13)</f>
        <v>61</v>
      </c>
      <c r="I14">
        <f>SUM(I4:I13)</f>
        <v>19</v>
      </c>
      <c r="K14" s="16">
        <f>SUM(K4:K13)</f>
        <v>70</v>
      </c>
      <c r="Q14" s="16"/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2021-10-05T15:41:24Z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