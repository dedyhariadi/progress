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7. DP 3T26 (F4 HIJAU K_6)\"/>
    </mc:Choice>
  </mc:AlternateContent>
  <xr:revisionPtr revIDLastSave="0" documentId="13_ncr:1_{E21BEFAA-042B-4364-933D-B8BC6B55B1EE}" xr6:coauthVersionLast="47" xr6:coauthVersionMax="47" xr10:uidLastSave="{00000000-0000-0000-0000-000000000000}"/>
  <bookViews>
    <workbookView xWindow="-120" yWindow="-120" windowWidth="29040" windowHeight="15840" tabRatio="500" activeTab="1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SEMUA!$A$1:$AZ$26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<sst xmlns="http://schemas.openxmlformats.org/spreadsheetml/2006/main" count="370" uniqueCount="136">
  <si>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</si>
  <si>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</si>
  <si>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</si>
  <si>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</si>
  <si>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</si>
  <si>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</si>
  <si>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</si>
  <si>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</si>
  <si>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</si>
  <si>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</si>
  <si>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</si>
  <si>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</si>
  <si>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</si>
  <si>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</si>
  <si>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</si>
  <si>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</si>
  <si>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</si>
  <si>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</si>
  <si>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</si>
  <si>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</si>
  <si>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</si>
  <si>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</si>
  <si>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</si>
  <si>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</si>
  <si>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</si>
  <si>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</si>
  <si>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</si>
  <si>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</si>
  <si>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</si>
  <si>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</si>
  <si>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</si>
  <si>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</si>
  <si>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</si>
  <si>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</si>
  <si>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</si>
  <si>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</si>
  <si>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</si>
  <si>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</si>
  <si>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</si>
  <si>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</si>
  <si>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</si>
  <si>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</si>
  <si>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</si>
  <si>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</si>
  <si>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</si>
  <si>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</si>
  <si>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</si>
  <si>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</si>
  <si>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</si>
  <si>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</si>
  <si>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</si>
  <si>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</si>
  <si>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</si>
  <si>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</si>
  <si>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</si>
  <si>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</si>
  <si>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</si>
  <si>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</si>
  <si>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</si>
  <si>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</si>
  <si>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CETAK PDH</t>
  </si>
  <si>
    <t>CETAK KAOS</t>
  </si>
  <si>
    <t>CETAK SEPATU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</si>
  <si>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</si>
  <si>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</si>
  <si>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</si>
  <si>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</si>
  <si>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</si>
  <si>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</si>
  <si>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</si>
  <si>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</si>
  <si>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</si>
  <si>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</si>
  <si>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</si>
  <si>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</si>
  <si>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</si>
  <si>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</si>
  <si>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</si>
  <si>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</si>
  <si>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</si>
  <si>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</si>
  <si>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</si>
  <si>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STREP 2</t>
  </si>
  <si>
    <t>DP 3 TEKNIKA / 26</t>
  </si>
  <si>
    <t>AHMAD FAUZI</t>
  </si>
  <si>
    <t>RUMADI</t>
  </si>
  <si>
    <t>APRILIA W</t>
  </si>
  <si>
    <t xml:space="preserve">AFIF ANNUR </t>
  </si>
  <si>
    <t>HANIF NUR R</t>
  </si>
  <si>
    <t>YULI HARYANTO</t>
  </si>
  <si>
    <t>ARI BAGUS</t>
  </si>
  <si>
    <t>BIMA</t>
  </si>
  <si>
    <t>IKHSAN SETIA P</t>
  </si>
  <si>
    <t>MAULANA A.Y.</t>
  </si>
  <si>
    <t>JONI PRASTYO</t>
  </si>
  <si>
    <t>BUYUNG SAUS P</t>
  </si>
  <si>
    <t>DAVID HANAFI</t>
  </si>
  <si>
    <t>RAHMAD DWI PANJI</t>
  </si>
  <si>
    <t>HEIN P. UNMEHOPA</t>
  </si>
  <si>
    <t>DOWI</t>
  </si>
  <si>
    <t>01 JUNI</t>
  </si>
  <si>
    <t>Wanita</t>
  </si>
  <si>
    <t>RIANTO</t>
  </si>
  <si>
    <t>MOCH.TAUFIK</t>
  </si>
  <si>
    <t>YUSUF HADI MAIMUN</t>
  </si>
  <si>
    <t>YULIUS YEBER K.</t>
  </si>
  <si>
    <t>MOCH.MALIQ</t>
  </si>
  <si>
    <t>SARMINTO EDI N</t>
  </si>
  <si>
    <t>DES ARYAS JEFRY BALLO</t>
  </si>
  <si>
    <t>12 JUNI</t>
  </si>
  <si>
    <t>M21</t>
  </si>
  <si>
    <t>M22</t>
  </si>
  <si>
    <t>M23</t>
  </si>
  <si>
    <t>M24</t>
  </si>
  <si>
    <t>M25</t>
  </si>
  <si>
    <t>M26</t>
  </si>
  <si>
    <t>DOUBLE  DGN M11, YG DIPAKE M23</t>
  </si>
  <si>
    <t>27 JUNI</t>
  </si>
  <si>
    <t>23 JUNI</t>
  </si>
  <si>
    <t>M27</t>
  </si>
  <si>
    <t>M28</t>
  </si>
  <si>
    <t>M29</t>
  </si>
  <si>
    <t>M30</t>
  </si>
  <si>
    <t>M31</t>
  </si>
  <si>
    <t>AGUNG M.</t>
  </si>
  <si>
    <t>ENDIK ULAN R.</t>
  </si>
  <si>
    <t>IRWAN SHODIQIN</t>
  </si>
  <si>
    <t>PURWANTO SUPARNO</t>
  </si>
  <si>
    <t>ADITYA PRANATA</t>
  </si>
  <si>
    <t>07 JULI</t>
  </si>
  <si>
    <t>15 OKT</t>
  </si>
  <si>
    <t>DIDIK SUTEDI</t>
  </si>
  <si>
    <t>ARIF KHOIRUL ROHMAN</t>
  </si>
  <si>
    <t>Row Labels</t>
  </si>
  <si>
    <t>Grand Total</t>
  </si>
  <si>
    <t>Count of SEPATU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</si>
</sst>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2"/>
      <name val="Arial"/>
      <family val="2"/>
    </font>
    <font>
      <b/>
      <sz val="11"/>
      <color rgb="FF000000"/>
      <name val="Arial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2" fillId="0" borderId="0" xfId="0" applyNumberFormat="1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Fill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2" fillId="9" borderId="0" xfId="0" applyFont="1" applyFill="1" applyAlignment="1">
      <alignment horizontal="center" vertical="center"/>
    </xf>
    <xf numFmtId="0" fontId="22" fillId="0" borderId="2" xfId="0" applyFont="1" applyFill="1" applyBorder="1" applyAlignment="1">
      <alignment vertical="center"/>
    </xf>
    <xf numFmtId="0" fontId="22" fillId="0" borderId="2" xfId="0" applyFont="1" applyFill="1" applyBorder="1" applyAlignment="1">
      <alignment horizontal="center" vertical="center"/>
    </xf>
    <xf numFmtId="1" fontId="22" fillId="0" borderId="2" xfId="0" applyNumberFormat="1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vertical="center"/>
    </xf>
    <xf numFmtId="1" fontId="21" fillId="0" borderId="2" xfId="0" applyNumberFormat="1" applyFont="1" applyFill="1" applyBorder="1" applyAlignment="1">
      <alignment horizontal="center" vertical="center"/>
    </xf>
    <xf numFmtId="0" fontId="21" fillId="0" borderId="2" xfId="0" applyNumberFormat="1" applyFont="1" applyFill="1" applyBorder="1" applyAlignment="1">
      <alignment horizontal="center" vertical="center"/>
    </xf>
    <xf numFmtId="49" fontId="21" fillId="0" borderId="2" xfId="0" applyNumberFormat="1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vertical="center"/>
    </xf>
    <xf numFmtId="0" fontId="23" fillId="0" borderId="2" xfId="0" applyFont="1" applyFill="1" applyBorder="1" applyAlignment="1">
      <alignment horizontal="center" vertical="center"/>
    </xf>
    <xf numFmtId="0" fontId="22" fillId="0" borderId="3" xfId="0" applyFont="1" applyFill="1" applyBorder="1" applyAlignment="1">
      <alignment vertical="center"/>
    </xf>
    <xf numFmtId="0" fontId="22" fillId="0" borderId="3" xfId="0" applyFont="1" applyFill="1" applyBorder="1" applyAlignment="1">
      <alignment horizontal="center" vertical="center"/>
    </xf>
    <xf numFmtId="1" fontId="22" fillId="0" borderId="3" xfId="0" applyNumberFormat="1" applyFont="1" applyFill="1" applyBorder="1" applyAlignment="1">
      <alignment horizontal="center" vertical="center"/>
    </xf>
    <xf numFmtId="49" fontId="24" fillId="0" borderId="4" xfId="0" applyNumberFormat="1" applyFont="1" applyFill="1" applyBorder="1" applyAlignment="1">
      <alignment horizontal="center" vertical="center"/>
    </xf>
    <xf numFmtId="49" fontId="19" fillId="0" borderId="4" xfId="0" applyNumberFormat="1" applyFont="1" applyFill="1" applyBorder="1" applyAlignment="1">
      <alignment horizontal="left" vertical="center"/>
    </xf>
    <xf numFmtId="0" fontId="0" fillId="0" borderId="0" xfId="0" quotePrefix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97.243369328702" createdVersion="7" refreshedVersion="7" minRefreshableVersion="3" recordCount="30" xr:uid="{59669CC7-48C2-4AE6-B6B6-CBA590A2D808}">
  <cacheSource type="worksheet">
    <worksheetSource ref="A1:G31" sheet="SEMUA"/>
  </cacheSource>
  <cacheFields count="7">
    <cacheField name="NO" numFmtId="0">
      <sharedItems/>
    </cacheField>
    <cacheField name="NAMA" numFmtId="0">
      <sharedItems/>
    </cacheField>
    <cacheField name="KELAS" numFmtId="0">
      <sharedItems/>
    </cacheField>
    <cacheField name="SEPATU" numFmtId="0">
      <sharedItems containsSemiMixedTypes="0" containsString="0" containsNumber="1" containsInteger="1" minValue="39" maxValue="45" count="7">
        <n v="40"/>
        <n v="42"/>
        <n v="41"/>
        <n v="39"/>
        <n v="43"/>
        <n v="44"/>
        <n v="45"/>
      </sharedItems>
    </cacheField>
    <cacheField name="TOPI" numFmtId="0">
      <sharedItems containsSemiMixedTypes="0" containsString="0" containsNumber="1" containsInteger="1" minValue="53" maxValue="60"/>
    </cacheField>
    <cacheField name="GENDER" numFmtId="0">
      <sharedItems count="1">
        <s v="PRIA"/>
      </sharedItems>
    </cacheField>
    <cacheField name="KA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M1"/>
    <s v="AHMAD FAUZI"/>
    <s v="DP 3 TEKNIKA / 26"/>
    <x v="0"/>
    <n v="57"/>
    <x v="0"/>
    <s v="M"/>
  </r>
  <r>
    <s v="M2"/>
    <s v="RUMADI"/>
    <s v="DP 3 TEKNIKA / 26"/>
    <x v="0"/>
    <n v="56"/>
    <x v="0"/>
    <s v="L"/>
  </r>
  <r>
    <s v="M3"/>
    <s v="APRILIA W"/>
    <s v="DP 3 TEKNIKA / 26"/>
    <x v="1"/>
    <n v="57"/>
    <x v="0"/>
    <s v="L"/>
  </r>
  <r>
    <s v="M4"/>
    <s v="AFIF ANNUR "/>
    <s v="DP 3 TEKNIKA / 26"/>
    <x v="1"/>
    <n v="56"/>
    <x v="0"/>
    <s v="L"/>
  </r>
  <r>
    <s v="M5"/>
    <s v="HANIF NUR R"/>
    <s v="DP 3 TEKNIKA / 26"/>
    <x v="1"/>
    <n v="53"/>
    <x v="0"/>
    <s v="L"/>
  </r>
  <r>
    <s v="M6"/>
    <s v="YULI HARYANTO"/>
    <s v="DP 3 TEKNIKA / 26"/>
    <x v="2"/>
    <n v="59"/>
    <x v="0"/>
    <s v="XXL"/>
  </r>
  <r>
    <s v="M7"/>
    <s v="ARI BAGUS"/>
    <s v="DP 3 TEKNIKA / 26"/>
    <x v="2"/>
    <n v="56"/>
    <x v="0"/>
    <s v="XL"/>
  </r>
  <r>
    <s v="M8"/>
    <s v="BIMA"/>
    <s v="DP 3 TEKNIKA / 26"/>
    <x v="1"/>
    <n v="59"/>
    <x v="0"/>
    <s v="XL"/>
  </r>
  <r>
    <s v="M9"/>
    <s v="IKHSAN SETIA P"/>
    <s v="DP 3 TEKNIKA / 26"/>
    <x v="1"/>
    <n v="57"/>
    <x v="0"/>
    <s v="XL"/>
  </r>
  <r>
    <s v="M10"/>
    <s v="MAULANA A.Y."/>
    <s v="DP 3 TEKNIKA / 26"/>
    <x v="0"/>
    <n v="54"/>
    <x v="0"/>
    <s v="M"/>
  </r>
  <r>
    <s v="M12"/>
    <s v="BUYUNG SAUS P"/>
    <s v="DP 3 TEKNIKA / 26"/>
    <x v="3"/>
    <n v="54"/>
    <x v="0"/>
    <s v="M"/>
  </r>
  <r>
    <s v="M13"/>
    <s v="DAVID HANAFI"/>
    <s v="DP 3 TEKNIKA / 26"/>
    <x v="4"/>
    <n v="58"/>
    <x v="0"/>
    <s v="XXL"/>
  </r>
  <r>
    <s v="M14"/>
    <s v="RAHMAD DWI PANJI"/>
    <s v="DP 3 TEKNIKA / 26"/>
    <x v="1"/>
    <n v="55"/>
    <x v="0"/>
    <s v="L"/>
  </r>
  <r>
    <s v="M15"/>
    <s v="HEIN P. UNMEHOPA"/>
    <s v="DP 3 TEKNIKA / 26"/>
    <x v="4"/>
    <n v="59"/>
    <x v="0"/>
    <s v="XL"/>
  </r>
  <r>
    <s v="M16"/>
    <s v="DOWI"/>
    <s v="DP 3 TEKNIKA / 26"/>
    <x v="1"/>
    <n v="56"/>
    <x v="0"/>
    <s v="XL"/>
  </r>
  <r>
    <s v="M17"/>
    <s v="DES ARYAS JEFRY BALLO"/>
    <s v="DP 3 TEKNIKA / 26"/>
    <x v="3"/>
    <n v="55"/>
    <x v="0"/>
    <s v="L"/>
  </r>
  <r>
    <s v="M18"/>
    <s v="SARMINTO EDI N"/>
    <s v="DP 3 TEKNIKA / 26"/>
    <x v="0"/>
    <n v="57"/>
    <x v="0"/>
    <s v="XL"/>
  </r>
  <r>
    <s v="M19"/>
    <s v="ARIF KHOIRUL ROHMAN"/>
    <s v="DP 3 TEKNIKA / 26"/>
    <x v="2"/>
    <n v="56"/>
    <x v="0"/>
    <s v="L"/>
  </r>
  <r>
    <s v="M20"/>
    <s v="MOCH.MALIQ"/>
    <s v="DP 3 TEKNIKA / 26"/>
    <x v="1"/>
    <n v="56"/>
    <x v="0"/>
    <s v="XL"/>
  </r>
  <r>
    <s v="M21"/>
    <s v="YULIUS YEBER K."/>
    <s v="DP 3 TEKNIKA / 26"/>
    <x v="1"/>
    <n v="57"/>
    <x v="0"/>
    <s v="XL"/>
  </r>
  <r>
    <s v="M22"/>
    <s v="YUSUF HADI MAIMUN"/>
    <s v="DP 3 TEKNIKA / 26"/>
    <x v="2"/>
    <n v="58"/>
    <x v="0"/>
    <s v="XL"/>
  </r>
  <r>
    <s v="M23"/>
    <s v="JONI PRASTYO"/>
    <s v="DP 3 TEKNIKA / 26"/>
    <x v="5"/>
    <n v="60"/>
    <x v="0"/>
    <s v="XXL"/>
  </r>
  <r>
    <s v="M24"/>
    <s v="MOCH.TAUFIK"/>
    <s v="DP 3 TEKNIKA / 26"/>
    <x v="1"/>
    <n v="56"/>
    <x v="0"/>
    <s v="L"/>
  </r>
  <r>
    <s v="M25"/>
    <s v="DIDIK SUTEDI"/>
    <s v="DP 3 TEKNIKA / 26"/>
    <x v="2"/>
    <n v="55"/>
    <x v="0"/>
    <s v="M"/>
  </r>
  <r>
    <s v="M26"/>
    <s v="RIANTO"/>
    <s v="DP 3 TEKNIKA / 26"/>
    <x v="1"/>
    <n v="55"/>
    <x v="0"/>
    <s v="L"/>
  </r>
  <r>
    <s v="M27"/>
    <s v="AGUNG M."/>
    <s v="DP 3 TEKNIKA / 26"/>
    <x v="2"/>
    <n v="60"/>
    <x v="0"/>
    <s v="L"/>
  </r>
  <r>
    <s v="M28"/>
    <s v="ENDIK ULAN R."/>
    <s v="DP 3 TEKNIKA / 26"/>
    <x v="0"/>
    <n v="56"/>
    <x v="0"/>
    <s v="M"/>
  </r>
  <r>
    <s v="M29"/>
    <s v="IRWAN SHODIQIN"/>
    <s v="DP 3 TEKNIKA / 26"/>
    <x v="2"/>
    <n v="55"/>
    <x v="0"/>
    <s v="XL"/>
  </r>
  <r>
    <s v="M30"/>
    <s v="PURWANTO SUPARNO"/>
    <s v="DP 3 TEKNIKA / 26"/>
    <x v="0"/>
    <n v="57"/>
    <x v="0"/>
    <s v="L"/>
  </r>
  <r>
    <s v="M31"/>
    <s v="ADITYA PRANATA"/>
    <s v="DP 3 TEKNIKA / 26"/>
    <x v="6"/>
    <n v="58"/>
    <x v="0"/>
    <s v="XXXL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E9373-83F9-4EDC-9EB1-C2A90E957311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3:B31" firstHeaderRow="1" firstDataRow="1" firstDataCol="1"/>
  <pivotFields count="7">
    <pivotField showAll="0"/>
    <pivotField showAll="0"/>
    <pivotField showAll="0"/>
    <pivotField axis="axisRow" dataField="1" showAll="0">
      <items count="8">
        <item x="3"/>
        <item x="0"/>
        <item x="2"/>
        <item x="1"/>
        <item x="4"/>
        <item x="5"/>
        <item x="6"/>
        <item t="default"/>
      </items>
    </pivotField>
    <pivotField showAll="0"/>
    <pivotField showAll="0">
      <items count="2">
        <item x="0"/>
        <item t="default"/>
      </items>
    </pivotField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35"/>
  <sheetViews>
    <sheetView zoomScale="55" zoomScaleNormal="55" workbookViewId="0">
      <pane ySplit="1" topLeftCell="A2" activePane="bottomLeft" state="frozen"/>
      <selection pane="bottomLeft" activeCell="B31" sqref="B2:B3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28515625" style="3" customWidth="1"/>
    <col min="7" max="7" width="9.28515625" style="11" customWidth="1"/>
    <col min="8" max="8" width="11.85546875" style="3" bestFit="1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6384" width="8.7109375" style="4"/>
  </cols>
  <sheetData>
    <row r="1" spans="1:1013" ht="28.15" customHeight="1" thickBot="1" x14ac:dyDescent="0.3">
      <c r="A1" s="34" t="s">
        <v>0</v>
      </c>
      <c r="B1" s="35" t="s">
        <v>1</v>
      </c>
      <c r="C1" s="34" t="s">
        <v>2</v>
      </c>
      <c r="D1" s="34" t="s">
        <v>4</v>
      </c>
      <c r="E1" s="34" t="s">
        <v>5</v>
      </c>
      <c r="F1" s="34" t="s">
        <v>3</v>
      </c>
      <c r="G1" s="34" t="s">
        <v>6</v>
      </c>
      <c r="H1" s="10" t="s">
        <v>58</v>
      </c>
      <c r="I1" s="16" t="s">
        <v>22</v>
      </c>
      <c r="J1" s="16" t="s">
        <v>23</v>
      </c>
      <c r="K1" s="16" t="s">
        <v>24</v>
      </c>
      <c r="L1" s="16" t="s">
        <v>25</v>
      </c>
      <c r="M1" s="16" t="s">
        <v>26</v>
      </c>
      <c r="N1" s="16" t="s">
        <v>27</v>
      </c>
      <c r="O1" s="16" t="s">
        <v>28</v>
      </c>
      <c r="P1" s="16" t="s">
        <v>29</v>
      </c>
      <c r="Q1" s="16" t="s">
        <v>30</v>
      </c>
      <c r="R1" s="16" t="s">
        <v>7</v>
      </c>
      <c r="S1" s="16" t="s">
        <v>8</v>
      </c>
      <c r="T1" s="16" t="s">
        <v>9</v>
      </c>
      <c r="U1" s="16" t="s">
        <v>10</v>
      </c>
      <c r="V1" s="16" t="s">
        <v>11</v>
      </c>
      <c r="W1" s="16" t="s">
        <v>12</v>
      </c>
      <c r="X1" s="16" t="s">
        <v>13</v>
      </c>
      <c r="Y1" s="16" t="s">
        <v>14</v>
      </c>
      <c r="Z1" s="16" t="s">
        <v>15</v>
      </c>
      <c r="AA1" s="16" t="s">
        <v>16</v>
      </c>
      <c r="AB1" s="16" t="s">
        <v>17</v>
      </c>
      <c r="AC1" s="16" t="s">
        <v>18</v>
      </c>
      <c r="AD1" s="16" t="s">
        <v>19</v>
      </c>
      <c r="AE1" s="16" t="s">
        <v>20</v>
      </c>
      <c r="AF1" s="16" t="s">
        <v>21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60</v>
      </c>
      <c r="AR1" s="2" t="s">
        <v>59</v>
      </c>
      <c r="AS1" s="2" t="s">
        <v>61</v>
      </c>
      <c r="AT1" s="2" t="s">
        <v>62</v>
      </c>
    </row>
    <row r="2" spans="1:1013" ht="28.15" customHeight="1" thickTop="1" x14ac:dyDescent="0.25">
      <c r="A2" s="31" t="s">
        <v>63</v>
      </c>
      <c r="B2" s="31" t="s">
        <v>84</v>
      </c>
      <c r="C2" s="32" t="s">
        <v>83</v>
      </c>
      <c r="D2" s="33">
        <v>40</v>
      </c>
      <c r="E2" s="32">
        <v>57</v>
      </c>
      <c r="F2" s="32" t="s">
        <v>46</v>
      </c>
      <c r="G2" s="32" t="s">
        <v>31</v>
      </c>
      <c r="H2" s="17" t="s">
        <v>82</v>
      </c>
      <c r="I2" s="12">
        <v>45</v>
      </c>
      <c r="J2" s="12">
        <v>58</v>
      </c>
      <c r="K2" s="12">
        <v>20</v>
      </c>
      <c r="L2" s="12">
        <v>15</v>
      </c>
      <c r="M2" s="12">
        <v>104</v>
      </c>
      <c r="N2" s="12">
        <v>98</v>
      </c>
      <c r="O2" s="12">
        <v>112</v>
      </c>
      <c r="P2" s="12">
        <v>68</v>
      </c>
      <c r="Q2" s="12">
        <v>43</v>
      </c>
      <c r="R2" s="12">
        <v>45</v>
      </c>
      <c r="S2" s="12">
        <v>24</v>
      </c>
      <c r="T2" s="12">
        <v>18</v>
      </c>
      <c r="U2" s="12">
        <v>28</v>
      </c>
      <c r="V2" s="12">
        <v>25</v>
      </c>
      <c r="W2" s="12">
        <v>28</v>
      </c>
      <c r="X2" s="12">
        <v>67</v>
      </c>
      <c r="Y2" s="12">
        <v>43</v>
      </c>
      <c r="Z2" s="12">
        <v>89</v>
      </c>
      <c r="AA2" s="12">
        <v>109</v>
      </c>
      <c r="AB2" s="12">
        <v>63</v>
      </c>
      <c r="AC2" s="12">
        <v>34</v>
      </c>
      <c r="AD2" s="12">
        <v>25</v>
      </c>
      <c r="AE2" s="12">
        <v>20</v>
      </c>
      <c r="AF2" s="12">
        <v>93</v>
      </c>
      <c r="AG2" s="12">
        <v>45</v>
      </c>
      <c r="AH2" s="12">
        <v>59</v>
      </c>
      <c r="AI2" s="12">
        <v>18</v>
      </c>
      <c r="AJ2" s="12">
        <v>13</v>
      </c>
      <c r="AK2" s="12">
        <v>28</v>
      </c>
      <c r="AL2" s="12">
        <v>25</v>
      </c>
      <c r="AM2" s="12">
        <v>28</v>
      </c>
      <c r="AN2" s="12">
        <v>68</v>
      </c>
      <c r="AO2" s="12">
        <v>43</v>
      </c>
      <c r="AP2" s="18">
        <v>1</v>
      </c>
      <c r="AQ2" s="4" t="s">
        <v>100</v>
      </c>
      <c r="AR2" s="36" t="s">
        <v>130</v>
      </c>
      <c r="AS2" s="4" t="s">
        <v>118</v>
      </c>
      <c r="AT2" s="4" t="s">
        <v>117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28.15" customHeight="1" x14ac:dyDescent="0.25">
      <c r="A3" s="22" t="s">
        <v>64</v>
      </c>
      <c r="B3" s="22" t="s">
        <v>85</v>
      </c>
      <c r="C3" s="23" t="s">
        <v>83</v>
      </c>
      <c r="D3" s="24">
        <v>40</v>
      </c>
      <c r="E3" s="23">
        <v>56</v>
      </c>
      <c r="F3" s="23" t="s">
        <v>46</v>
      </c>
      <c r="G3" s="23" t="s">
        <v>32</v>
      </c>
      <c r="H3" s="17" t="s">
        <v>82</v>
      </c>
      <c r="I3" s="12">
        <v>46</v>
      </c>
      <c r="J3" s="12">
        <v>59</v>
      </c>
      <c r="K3" s="12">
        <v>20</v>
      </c>
      <c r="L3" s="12">
        <v>15</v>
      </c>
      <c r="M3" s="12">
        <v>104</v>
      </c>
      <c r="N3" s="12">
        <v>100</v>
      </c>
      <c r="O3" s="12">
        <v>112</v>
      </c>
      <c r="P3" s="12">
        <v>72</v>
      </c>
      <c r="Q3" s="12">
        <v>42</v>
      </c>
      <c r="R3" s="12">
        <v>46</v>
      </c>
      <c r="S3" s="12">
        <v>25</v>
      </c>
      <c r="T3" s="12">
        <v>18</v>
      </c>
      <c r="U3" s="12">
        <v>28</v>
      </c>
      <c r="V3" s="12">
        <v>26</v>
      </c>
      <c r="W3" s="12">
        <v>28</v>
      </c>
      <c r="X3" s="12">
        <v>71</v>
      </c>
      <c r="Y3" s="12">
        <v>42</v>
      </c>
      <c r="Z3" s="12">
        <v>87</v>
      </c>
      <c r="AA3" s="12">
        <v>105</v>
      </c>
      <c r="AB3" s="12">
        <v>67</v>
      </c>
      <c r="AC3" s="12">
        <v>33</v>
      </c>
      <c r="AD3" s="12">
        <v>25</v>
      </c>
      <c r="AE3" s="12">
        <v>20</v>
      </c>
      <c r="AF3" s="12">
        <v>95</v>
      </c>
      <c r="AG3" s="12">
        <v>46</v>
      </c>
      <c r="AH3" s="12">
        <v>60</v>
      </c>
      <c r="AI3" s="12">
        <v>18</v>
      </c>
      <c r="AJ3" s="12">
        <v>13</v>
      </c>
      <c r="AK3" s="12">
        <v>28</v>
      </c>
      <c r="AL3" s="12">
        <v>26</v>
      </c>
      <c r="AM3" s="12">
        <v>28</v>
      </c>
      <c r="AN3" s="12">
        <v>72</v>
      </c>
      <c r="AO3" s="12">
        <v>42</v>
      </c>
      <c r="AP3" s="18">
        <v>1</v>
      </c>
      <c r="AQ3" s="4" t="s">
        <v>100</v>
      </c>
      <c r="AR3" s="36" t="s">
        <v>130</v>
      </c>
      <c r="AS3" s="4" t="s">
        <v>118</v>
      </c>
      <c r="AT3" s="4" t="s">
        <v>117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28.15" customHeight="1" x14ac:dyDescent="0.25">
      <c r="A4" s="22" t="s">
        <v>65</v>
      </c>
      <c r="B4" s="22" t="s">
        <v>86</v>
      </c>
      <c r="C4" s="23" t="s">
        <v>83</v>
      </c>
      <c r="D4" s="24">
        <v>42</v>
      </c>
      <c r="E4" s="23">
        <v>57</v>
      </c>
      <c r="F4" s="23" t="s">
        <v>46</v>
      </c>
      <c r="G4" s="23" t="s">
        <v>32</v>
      </c>
      <c r="H4" s="17" t="s">
        <v>82</v>
      </c>
      <c r="I4" s="12">
        <v>46</v>
      </c>
      <c r="J4" s="12">
        <v>63</v>
      </c>
      <c r="K4" s="12">
        <v>19</v>
      </c>
      <c r="L4" s="12">
        <v>15</v>
      </c>
      <c r="M4" s="12">
        <v>108</v>
      </c>
      <c r="N4" s="12">
        <v>103</v>
      </c>
      <c r="O4" s="12">
        <v>117</v>
      </c>
      <c r="P4" s="12">
        <v>74</v>
      </c>
      <c r="Q4" s="12">
        <v>42</v>
      </c>
      <c r="R4" s="12">
        <v>46</v>
      </c>
      <c r="S4" s="12">
        <v>26</v>
      </c>
      <c r="T4" s="12">
        <v>17</v>
      </c>
      <c r="U4" s="12">
        <v>28</v>
      </c>
      <c r="V4" s="12">
        <v>26</v>
      </c>
      <c r="W4" s="12">
        <v>28</v>
      </c>
      <c r="X4" s="12">
        <v>73</v>
      </c>
      <c r="Y4" s="12">
        <v>42</v>
      </c>
      <c r="Z4" s="12">
        <v>92</v>
      </c>
      <c r="AA4" s="12">
        <v>112</v>
      </c>
      <c r="AB4" s="12">
        <v>68</v>
      </c>
      <c r="AC4" s="12">
        <v>35</v>
      </c>
      <c r="AD4" s="12">
        <v>26</v>
      </c>
      <c r="AE4" s="12">
        <v>21</v>
      </c>
      <c r="AF4" s="12">
        <v>102</v>
      </c>
      <c r="AG4" s="12">
        <v>46</v>
      </c>
      <c r="AH4" s="12">
        <v>64</v>
      </c>
      <c r="AI4" s="12">
        <v>17</v>
      </c>
      <c r="AJ4" s="12">
        <v>13</v>
      </c>
      <c r="AK4" s="12">
        <v>28</v>
      </c>
      <c r="AL4" s="12">
        <v>26</v>
      </c>
      <c r="AM4" s="12">
        <v>28</v>
      </c>
      <c r="AN4" s="12">
        <v>74</v>
      </c>
      <c r="AO4" s="12">
        <v>42</v>
      </c>
      <c r="AP4" s="18">
        <v>1</v>
      </c>
      <c r="AQ4" s="4" t="s">
        <v>100</v>
      </c>
      <c r="AR4" s="36" t="s">
        <v>130</v>
      </c>
      <c r="AS4" s="4" t="s">
        <v>118</v>
      </c>
      <c r="AT4" s="4" t="s">
        <v>117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28.15" customHeight="1" x14ac:dyDescent="0.25">
      <c r="A5" s="22" t="s">
        <v>66</v>
      </c>
      <c r="B5" s="22" t="s">
        <v>87</v>
      </c>
      <c r="C5" s="23" t="s">
        <v>83</v>
      </c>
      <c r="D5" s="24">
        <v>42</v>
      </c>
      <c r="E5" s="23">
        <v>56</v>
      </c>
      <c r="F5" s="23" t="s">
        <v>46</v>
      </c>
      <c r="G5" s="23" t="s">
        <v>32</v>
      </c>
      <c r="H5" s="17" t="s">
        <v>82</v>
      </c>
      <c r="I5" s="12">
        <v>45</v>
      </c>
      <c r="J5" s="12">
        <v>59</v>
      </c>
      <c r="K5" s="12">
        <v>19</v>
      </c>
      <c r="L5" s="12">
        <v>14</v>
      </c>
      <c r="M5" s="12">
        <v>99</v>
      </c>
      <c r="N5" s="12">
        <v>86</v>
      </c>
      <c r="O5" s="12">
        <v>106</v>
      </c>
      <c r="P5" s="12">
        <v>72</v>
      </c>
      <c r="Q5" s="12">
        <v>40</v>
      </c>
      <c r="R5" s="12">
        <v>45</v>
      </c>
      <c r="S5" s="12">
        <v>25</v>
      </c>
      <c r="T5" s="12">
        <v>17</v>
      </c>
      <c r="U5" s="12">
        <v>26</v>
      </c>
      <c r="V5" s="12">
        <v>25</v>
      </c>
      <c r="W5" s="12">
        <v>26</v>
      </c>
      <c r="X5" s="12">
        <v>71</v>
      </c>
      <c r="Y5" s="12">
        <v>40</v>
      </c>
      <c r="Z5" s="12">
        <v>76</v>
      </c>
      <c r="AA5" s="12">
        <v>99</v>
      </c>
      <c r="AB5" s="12">
        <v>65</v>
      </c>
      <c r="AC5" s="12">
        <v>32</v>
      </c>
      <c r="AD5" s="12">
        <v>24</v>
      </c>
      <c r="AE5" s="12">
        <v>19</v>
      </c>
      <c r="AF5" s="12">
        <v>100</v>
      </c>
      <c r="AG5" s="12">
        <v>45</v>
      </c>
      <c r="AH5" s="12">
        <v>60</v>
      </c>
      <c r="AI5" s="12">
        <v>17</v>
      </c>
      <c r="AJ5" s="12">
        <v>12</v>
      </c>
      <c r="AK5" s="12">
        <v>26</v>
      </c>
      <c r="AL5" s="12">
        <v>25</v>
      </c>
      <c r="AM5" s="12">
        <v>26</v>
      </c>
      <c r="AN5" s="12">
        <v>72</v>
      </c>
      <c r="AO5" s="12">
        <v>40</v>
      </c>
      <c r="AP5" s="18">
        <v>1</v>
      </c>
      <c r="AQ5" s="4" t="s">
        <v>100</v>
      </c>
      <c r="AR5" s="36" t="s">
        <v>130</v>
      </c>
      <c r="AS5" s="4" t="s">
        <v>118</v>
      </c>
      <c r="AT5" s="4" t="s">
        <v>117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28.15" customHeight="1" x14ac:dyDescent="0.25">
      <c r="A6" s="22" t="s">
        <v>67</v>
      </c>
      <c r="B6" s="22" t="s">
        <v>88</v>
      </c>
      <c r="C6" s="23" t="s">
        <v>83</v>
      </c>
      <c r="D6" s="24">
        <v>42</v>
      </c>
      <c r="E6" s="23">
        <v>53</v>
      </c>
      <c r="F6" s="23" t="s">
        <v>46</v>
      </c>
      <c r="G6" s="23" t="s">
        <v>32</v>
      </c>
      <c r="H6" s="17" t="s">
        <v>82</v>
      </c>
      <c r="I6" s="12">
        <v>45</v>
      </c>
      <c r="J6" s="12">
        <v>59</v>
      </c>
      <c r="K6" s="12">
        <v>19</v>
      </c>
      <c r="L6" s="12">
        <v>14</v>
      </c>
      <c r="M6" s="12">
        <v>100</v>
      </c>
      <c r="N6" s="12">
        <v>99</v>
      </c>
      <c r="O6" s="12">
        <v>108</v>
      </c>
      <c r="P6" s="12">
        <v>72</v>
      </c>
      <c r="Q6" s="12">
        <v>39</v>
      </c>
      <c r="R6" s="12">
        <v>45</v>
      </c>
      <c r="S6" s="12">
        <v>25</v>
      </c>
      <c r="T6" s="12">
        <v>17</v>
      </c>
      <c r="U6" s="12">
        <v>27</v>
      </c>
      <c r="V6" s="12">
        <v>26</v>
      </c>
      <c r="W6" s="12">
        <v>27</v>
      </c>
      <c r="X6" s="12">
        <v>72</v>
      </c>
      <c r="Y6" s="12">
        <v>39</v>
      </c>
      <c r="Z6" s="12">
        <v>89</v>
      </c>
      <c r="AA6" s="12">
        <v>104</v>
      </c>
      <c r="AB6" s="12">
        <v>66</v>
      </c>
      <c r="AC6" s="12">
        <v>34</v>
      </c>
      <c r="AD6" s="12">
        <v>25</v>
      </c>
      <c r="AE6" s="12">
        <v>20</v>
      </c>
      <c r="AF6" s="12">
        <v>97</v>
      </c>
      <c r="AG6" s="12">
        <v>45</v>
      </c>
      <c r="AH6" s="12">
        <v>60</v>
      </c>
      <c r="AI6" s="12">
        <v>17</v>
      </c>
      <c r="AJ6" s="12">
        <v>13</v>
      </c>
      <c r="AK6" s="12">
        <v>27</v>
      </c>
      <c r="AL6" s="12">
        <v>26</v>
      </c>
      <c r="AM6" s="12">
        <v>27</v>
      </c>
      <c r="AN6" s="12">
        <v>72</v>
      </c>
      <c r="AO6" s="12">
        <v>39</v>
      </c>
      <c r="AP6" s="18">
        <v>1</v>
      </c>
      <c r="AQ6" s="4" t="s">
        <v>100</v>
      </c>
      <c r="AR6" s="36" t="s">
        <v>130</v>
      </c>
      <c r="AS6" s="4" t="s">
        <v>118</v>
      </c>
      <c r="AT6" s="4" t="s">
        <v>117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28.15" customHeight="1" x14ac:dyDescent="0.25">
      <c r="A7" s="22" t="s">
        <v>68</v>
      </c>
      <c r="B7" s="25" t="s">
        <v>89</v>
      </c>
      <c r="C7" s="23" t="s">
        <v>83</v>
      </c>
      <c r="D7" s="26">
        <v>41</v>
      </c>
      <c r="E7" s="27">
        <v>59</v>
      </c>
      <c r="F7" s="23" t="s">
        <v>46</v>
      </c>
      <c r="G7" s="28" t="s">
        <v>33</v>
      </c>
      <c r="H7" s="17" t="s">
        <v>82</v>
      </c>
      <c r="I7" s="13">
        <v>51</v>
      </c>
      <c r="J7" s="13">
        <v>56</v>
      </c>
      <c r="K7" s="13">
        <v>22</v>
      </c>
      <c r="L7" s="13">
        <v>16</v>
      </c>
      <c r="M7" s="13">
        <v>122</v>
      </c>
      <c r="N7" s="13">
        <v>117</v>
      </c>
      <c r="O7" s="13">
        <v>121</v>
      </c>
      <c r="P7" s="13">
        <v>75</v>
      </c>
      <c r="Q7" s="13">
        <v>49</v>
      </c>
      <c r="R7" s="13">
        <v>51</v>
      </c>
      <c r="S7" s="13">
        <v>25</v>
      </c>
      <c r="T7" s="13">
        <v>20</v>
      </c>
      <c r="U7" s="13">
        <v>33</v>
      </c>
      <c r="V7" s="13">
        <v>32</v>
      </c>
      <c r="W7" s="13">
        <v>33</v>
      </c>
      <c r="X7" s="13">
        <v>74</v>
      </c>
      <c r="Y7" s="13">
        <v>49</v>
      </c>
      <c r="Z7" s="13">
        <v>104</v>
      </c>
      <c r="AA7" s="13">
        <v>116</v>
      </c>
      <c r="AB7" s="13">
        <v>72</v>
      </c>
      <c r="AC7" s="13">
        <v>37</v>
      </c>
      <c r="AD7" s="13">
        <v>28</v>
      </c>
      <c r="AE7" s="13">
        <v>23</v>
      </c>
      <c r="AF7" s="13">
        <v>94</v>
      </c>
      <c r="AG7" s="13">
        <v>51</v>
      </c>
      <c r="AH7" s="13">
        <v>57</v>
      </c>
      <c r="AI7" s="13">
        <v>20</v>
      </c>
      <c r="AJ7" s="13">
        <v>13</v>
      </c>
      <c r="AK7" s="13">
        <v>33</v>
      </c>
      <c r="AL7" s="13">
        <v>32</v>
      </c>
      <c r="AM7" s="13">
        <v>33</v>
      </c>
      <c r="AN7" s="13">
        <v>75</v>
      </c>
      <c r="AO7" s="13">
        <v>49</v>
      </c>
      <c r="AP7" s="18">
        <v>1</v>
      </c>
      <c r="AQ7" s="4" t="s">
        <v>100</v>
      </c>
      <c r="AR7" s="36" t="s">
        <v>130</v>
      </c>
      <c r="AS7" s="4" t="s">
        <v>118</v>
      </c>
      <c r="AT7" s="4" t="s">
        <v>117</v>
      </c>
    </row>
    <row r="8" spans="1:1013" ht="28.15" customHeight="1" x14ac:dyDescent="0.25">
      <c r="A8" s="22" t="s">
        <v>69</v>
      </c>
      <c r="B8" s="25" t="s">
        <v>90</v>
      </c>
      <c r="C8" s="23" t="s">
        <v>83</v>
      </c>
      <c r="D8" s="26">
        <v>41</v>
      </c>
      <c r="E8" s="27">
        <v>56</v>
      </c>
      <c r="F8" s="23" t="s">
        <v>46</v>
      </c>
      <c r="G8" s="28" t="s">
        <v>34</v>
      </c>
      <c r="H8" s="17" t="s">
        <v>82</v>
      </c>
      <c r="I8" s="13">
        <v>47</v>
      </c>
      <c r="J8" s="13">
        <v>61</v>
      </c>
      <c r="K8" s="13">
        <v>20</v>
      </c>
      <c r="L8" s="13">
        <v>15</v>
      </c>
      <c r="M8" s="13">
        <v>110</v>
      </c>
      <c r="N8" s="13">
        <v>103</v>
      </c>
      <c r="O8" s="13">
        <v>115</v>
      </c>
      <c r="P8" s="13">
        <v>72</v>
      </c>
      <c r="Q8" s="13">
        <v>46</v>
      </c>
      <c r="R8" s="13">
        <v>47</v>
      </c>
      <c r="S8" s="13">
        <v>25</v>
      </c>
      <c r="T8" s="13">
        <v>19</v>
      </c>
      <c r="U8" s="13">
        <v>30</v>
      </c>
      <c r="V8" s="3">
        <v>28</v>
      </c>
      <c r="W8" s="3">
        <v>30</v>
      </c>
      <c r="X8" s="13">
        <v>71</v>
      </c>
      <c r="Y8" s="13">
        <v>46</v>
      </c>
      <c r="Z8" s="13">
        <v>91</v>
      </c>
      <c r="AA8" s="13">
        <v>107</v>
      </c>
      <c r="AB8" s="3">
        <v>68</v>
      </c>
      <c r="AC8" s="13">
        <v>34</v>
      </c>
      <c r="AD8" s="13">
        <v>26</v>
      </c>
      <c r="AE8" s="13">
        <v>20</v>
      </c>
      <c r="AF8" s="13">
        <v>95</v>
      </c>
      <c r="AG8" s="13">
        <v>47</v>
      </c>
      <c r="AH8" s="13">
        <v>62</v>
      </c>
      <c r="AI8" s="13">
        <v>19</v>
      </c>
      <c r="AJ8" s="13">
        <v>13</v>
      </c>
      <c r="AK8" s="13">
        <v>30</v>
      </c>
      <c r="AL8" s="13">
        <v>28</v>
      </c>
      <c r="AM8" s="13">
        <v>30</v>
      </c>
      <c r="AN8" s="13">
        <v>72</v>
      </c>
      <c r="AO8" s="13">
        <v>46</v>
      </c>
      <c r="AP8" s="18">
        <v>1</v>
      </c>
      <c r="AQ8" s="4" t="s">
        <v>100</v>
      </c>
      <c r="AR8" s="36" t="s">
        <v>130</v>
      </c>
      <c r="AS8" s="4" t="s">
        <v>118</v>
      </c>
      <c r="AT8" s="4" t="s">
        <v>117</v>
      </c>
    </row>
    <row r="9" spans="1:1013" ht="28.15" customHeight="1" x14ac:dyDescent="0.25">
      <c r="A9" s="22" t="s">
        <v>70</v>
      </c>
      <c r="B9" s="25" t="s">
        <v>91</v>
      </c>
      <c r="C9" s="23" t="s">
        <v>83</v>
      </c>
      <c r="D9" s="26">
        <v>42</v>
      </c>
      <c r="E9" s="27">
        <v>59</v>
      </c>
      <c r="F9" s="23" t="s">
        <v>46</v>
      </c>
      <c r="G9" s="28" t="s">
        <v>34</v>
      </c>
      <c r="H9" s="17" t="s">
        <v>82</v>
      </c>
      <c r="I9" s="13">
        <v>50</v>
      </c>
      <c r="J9" s="13">
        <v>62</v>
      </c>
      <c r="K9" s="13">
        <v>22</v>
      </c>
      <c r="L9" s="13">
        <v>16</v>
      </c>
      <c r="M9" s="13">
        <v>118</v>
      </c>
      <c r="N9" s="13">
        <v>115</v>
      </c>
      <c r="O9" s="13">
        <v>124</v>
      </c>
      <c r="P9" s="13">
        <v>76</v>
      </c>
      <c r="Q9" s="13">
        <v>44</v>
      </c>
      <c r="R9" s="13">
        <v>50</v>
      </c>
      <c r="S9" s="13">
        <v>25</v>
      </c>
      <c r="T9" s="13">
        <v>20</v>
      </c>
      <c r="U9" s="13">
        <v>31</v>
      </c>
      <c r="V9" s="13">
        <v>29</v>
      </c>
      <c r="W9" s="13">
        <v>31</v>
      </c>
      <c r="X9" s="13">
        <v>74</v>
      </c>
      <c r="Y9" s="13">
        <v>44</v>
      </c>
      <c r="Z9" s="13">
        <v>103</v>
      </c>
      <c r="AA9" s="13">
        <v>121</v>
      </c>
      <c r="AB9" s="13">
        <v>72</v>
      </c>
      <c r="AC9" s="13">
        <v>37</v>
      </c>
      <c r="AD9" s="13">
        <v>26</v>
      </c>
      <c r="AE9" s="13">
        <v>21</v>
      </c>
      <c r="AF9" s="13">
        <v>97</v>
      </c>
      <c r="AG9" s="3">
        <v>50</v>
      </c>
      <c r="AH9" s="3">
        <v>63</v>
      </c>
      <c r="AI9" s="3">
        <v>20</v>
      </c>
      <c r="AJ9" s="3">
        <v>13</v>
      </c>
      <c r="AK9" s="13">
        <v>31</v>
      </c>
      <c r="AL9" s="13">
        <v>29</v>
      </c>
      <c r="AM9" s="13">
        <v>31</v>
      </c>
      <c r="AN9" s="13">
        <v>76</v>
      </c>
      <c r="AO9" s="13">
        <v>44</v>
      </c>
      <c r="AP9" s="18">
        <v>1</v>
      </c>
      <c r="AQ9" s="4" t="s">
        <v>100</v>
      </c>
      <c r="AR9" s="36" t="s">
        <v>130</v>
      </c>
      <c r="AS9" s="4" t="s">
        <v>118</v>
      </c>
      <c r="AT9" s="4" t="s">
        <v>117</v>
      </c>
    </row>
    <row r="10" spans="1:1013" ht="28.15" customHeight="1" x14ac:dyDescent="0.25">
      <c r="A10" s="22" t="s">
        <v>71</v>
      </c>
      <c r="B10" s="25" t="s">
        <v>92</v>
      </c>
      <c r="C10" s="23" t="s">
        <v>83</v>
      </c>
      <c r="D10" s="26">
        <v>42</v>
      </c>
      <c r="E10" s="27">
        <v>57</v>
      </c>
      <c r="F10" s="23" t="s">
        <v>46</v>
      </c>
      <c r="G10" s="28" t="s">
        <v>34</v>
      </c>
      <c r="H10" s="17" t="s">
        <v>82</v>
      </c>
      <c r="I10" s="13">
        <v>45</v>
      </c>
      <c r="J10" s="13">
        <v>59</v>
      </c>
      <c r="K10" s="13">
        <v>20</v>
      </c>
      <c r="L10" s="13">
        <v>15</v>
      </c>
      <c r="M10" s="13">
        <v>104</v>
      </c>
      <c r="N10" s="13">
        <v>100</v>
      </c>
      <c r="O10" s="13">
        <v>115</v>
      </c>
      <c r="P10" s="13">
        <v>71</v>
      </c>
      <c r="Q10" s="13">
        <v>41</v>
      </c>
      <c r="R10" s="13">
        <v>45</v>
      </c>
      <c r="S10" s="13">
        <v>25</v>
      </c>
      <c r="T10" s="13">
        <v>18</v>
      </c>
      <c r="U10" s="13">
        <v>29</v>
      </c>
      <c r="V10" s="13">
        <v>27</v>
      </c>
      <c r="W10" s="13">
        <v>29</v>
      </c>
      <c r="X10" s="13">
        <v>71</v>
      </c>
      <c r="Y10" s="13">
        <v>41</v>
      </c>
      <c r="Z10" s="13">
        <v>93</v>
      </c>
      <c r="AA10" s="13">
        <v>115</v>
      </c>
      <c r="AB10" s="13">
        <v>68</v>
      </c>
      <c r="AC10" s="13">
        <v>34</v>
      </c>
      <c r="AD10" s="13">
        <v>25</v>
      </c>
      <c r="AE10" s="13">
        <v>20</v>
      </c>
      <c r="AF10" s="13">
        <v>94</v>
      </c>
      <c r="AG10" s="13">
        <v>45</v>
      </c>
      <c r="AH10" s="13">
        <v>60</v>
      </c>
      <c r="AI10" s="13">
        <v>18</v>
      </c>
      <c r="AJ10" s="13">
        <v>13</v>
      </c>
      <c r="AK10" s="13">
        <v>29</v>
      </c>
      <c r="AL10" s="13">
        <v>27</v>
      </c>
      <c r="AM10" s="13">
        <v>29</v>
      </c>
      <c r="AN10" s="13">
        <v>71</v>
      </c>
      <c r="AO10" s="13">
        <v>41</v>
      </c>
      <c r="AP10" s="18">
        <v>1</v>
      </c>
      <c r="AQ10" s="4" t="s">
        <v>100</v>
      </c>
      <c r="AR10" s="36" t="s">
        <v>130</v>
      </c>
      <c r="AS10" s="4" t="s">
        <v>118</v>
      </c>
      <c r="AT10" s="4" t="s">
        <v>117</v>
      </c>
    </row>
    <row r="11" spans="1:1013" ht="28.15" customHeight="1" x14ac:dyDescent="0.25">
      <c r="A11" s="22" t="s">
        <v>72</v>
      </c>
      <c r="B11" s="25" t="s">
        <v>93</v>
      </c>
      <c r="C11" s="23" t="s">
        <v>83</v>
      </c>
      <c r="D11" s="26">
        <v>40</v>
      </c>
      <c r="E11" s="27">
        <v>54</v>
      </c>
      <c r="F11" s="23" t="s">
        <v>46</v>
      </c>
      <c r="G11" s="28" t="s">
        <v>31</v>
      </c>
      <c r="H11" s="17" t="s">
        <v>82</v>
      </c>
      <c r="I11" s="13">
        <v>46</v>
      </c>
      <c r="J11" s="13">
        <v>59</v>
      </c>
      <c r="K11" s="13">
        <v>19</v>
      </c>
      <c r="L11" s="13">
        <v>14</v>
      </c>
      <c r="M11" s="13">
        <v>96</v>
      </c>
      <c r="N11" s="13">
        <v>83</v>
      </c>
      <c r="O11" s="13">
        <v>107</v>
      </c>
      <c r="P11" s="13">
        <v>70</v>
      </c>
      <c r="Q11" s="13">
        <v>41</v>
      </c>
      <c r="R11" s="13">
        <v>46</v>
      </c>
      <c r="S11" s="13">
        <v>26</v>
      </c>
      <c r="T11" s="13">
        <v>17</v>
      </c>
      <c r="U11" s="13">
        <v>26</v>
      </c>
      <c r="V11" s="13">
        <v>24</v>
      </c>
      <c r="W11" s="13">
        <v>26</v>
      </c>
      <c r="X11" s="13">
        <v>70</v>
      </c>
      <c r="Y11" s="13">
        <v>41</v>
      </c>
      <c r="Z11" s="13">
        <v>76</v>
      </c>
      <c r="AA11" s="13">
        <v>99</v>
      </c>
      <c r="AB11" s="13">
        <v>64</v>
      </c>
      <c r="AC11" s="13">
        <v>33</v>
      </c>
      <c r="AD11" s="13">
        <v>24</v>
      </c>
      <c r="AE11" s="13">
        <v>19</v>
      </c>
      <c r="AF11" s="3">
        <v>94</v>
      </c>
      <c r="AG11" s="13">
        <v>46</v>
      </c>
      <c r="AH11" s="13">
        <v>60</v>
      </c>
      <c r="AI11" s="13">
        <v>17</v>
      </c>
      <c r="AJ11" s="13">
        <v>12</v>
      </c>
      <c r="AK11" s="13">
        <v>26</v>
      </c>
      <c r="AL11" s="13">
        <v>24</v>
      </c>
      <c r="AM11" s="13">
        <v>26</v>
      </c>
      <c r="AN11" s="13">
        <v>70</v>
      </c>
      <c r="AO11" s="13">
        <v>41</v>
      </c>
      <c r="AP11" s="18">
        <v>1</v>
      </c>
      <c r="AQ11" s="4" t="s">
        <v>100</v>
      </c>
      <c r="AR11" s="36" t="s">
        <v>130</v>
      </c>
      <c r="AS11" s="4" t="s">
        <v>118</v>
      </c>
      <c r="AT11" s="4" t="s">
        <v>117</v>
      </c>
    </row>
    <row r="12" spans="1:1013" ht="28.15" customHeight="1" x14ac:dyDescent="0.25">
      <c r="A12" s="22" t="s">
        <v>73</v>
      </c>
      <c r="B12" s="25" t="s">
        <v>95</v>
      </c>
      <c r="C12" s="23" t="s">
        <v>83</v>
      </c>
      <c r="D12" s="26">
        <v>39</v>
      </c>
      <c r="E12" s="27">
        <v>54</v>
      </c>
      <c r="F12" s="23" t="s">
        <v>46</v>
      </c>
      <c r="G12" s="28" t="s">
        <v>31</v>
      </c>
      <c r="H12" s="17" t="s">
        <v>82</v>
      </c>
      <c r="I12" s="13">
        <v>42</v>
      </c>
      <c r="J12" s="13">
        <v>58</v>
      </c>
      <c r="K12" s="13">
        <v>18</v>
      </c>
      <c r="L12" s="13">
        <v>14</v>
      </c>
      <c r="M12" s="13">
        <v>92</v>
      </c>
      <c r="N12" s="13">
        <v>88</v>
      </c>
      <c r="O12" s="13">
        <v>95</v>
      </c>
      <c r="P12" s="13">
        <v>70</v>
      </c>
      <c r="Q12" s="13">
        <v>40</v>
      </c>
      <c r="R12" s="13">
        <v>42</v>
      </c>
      <c r="S12" s="13">
        <v>24</v>
      </c>
      <c r="T12" s="13">
        <v>16</v>
      </c>
      <c r="U12" s="13">
        <v>26</v>
      </c>
      <c r="V12" s="13">
        <v>24</v>
      </c>
      <c r="W12" s="13">
        <v>26</v>
      </c>
      <c r="X12" s="13">
        <v>69</v>
      </c>
      <c r="Y12" s="13">
        <v>40</v>
      </c>
      <c r="Z12" s="13">
        <v>69</v>
      </c>
      <c r="AA12" s="13">
        <v>90</v>
      </c>
      <c r="AB12" s="13">
        <v>62</v>
      </c>
      <c r="AC12" s="13">
        <v>30</v>
      </c>
      <c r="AD12" s="13">
        <v>23</v>
      </c>
      <c r="AE12" s="13">
        <v>19</v>
      </c>
      <c r="AF12" s="13">
        <v>95</v>
      </c>
      <c r="AG12" s="13">
        <v>42</v>
      </c>
      <c r="AH12" s="13">
        <v>59</v>
      </c>
      <c r="AI12" s="13">
        <v>16</v>
      </c>
      <c r="AJ12" s="13">
        <v>12</v>
      </c>
      <c r="AK12" s="13">
        <v>26</v>
      </c>
      <c r="AL12" s="13">
        <v>24</v>
      </c>
      <c r="AM12" s="13">
        <v>26</v>
      </c>
      <c r="AN12" s="13">
        <v>69</v>
      </c>
      <c r="AO12" s="13">
        <v>40</v>
      </c>
      <c r="AP12" s="18">
        <v>1</v>
      </c>
      <c r="AQ12" s="4" t="s">
        <v>100</v>
      </c>
      <c r="AR12" s="36" t="s">
        <v>130</v>
      </c>
      <c r="AS12" s="4" t="s">
        <v>118</v>
      </c>
      <c r="AT12" s="4" t="s">
        <v>117</v>
      </c>
    </row>
    <row r="13" spans="1:1013" ht="28.15" customHeight="1" x14ac:dyDescent="0.25">
      <c r="A13" s="22" t="s">
        <v>74</v>
      </c>
      <c r="B13" s="25" t="s">
        <v>96</v>
      </c>
      <c r="C13" s="23" t="s">
        <v>83</v>
      </c>
      <c r="D13" s="26">
        <v>43</v>
      </c>
      <c r="E13" s="27">
        <v>58</v>
      </c>
      <c r="F13" s="23" t="s">
        <v>46</v>
      </c>
      <c r="G13" s="28" t="s">
        <v>33</v>
      </c>
      <c r="H13" s="17" t="s">
        <v>82</v>
      </c>
      <c r="I13" s="13">
        <v>50</v>
      </c>
      <c r="J13" s="13">
        <v>62</v>
      </c>
      <c r="K13" s="13">
        <v>20</v>
      </c>
      <c r="L13" s="13">
        <v>15</v>
      </c>
      <c r="M13" s="13">
        <v>115</v>
      </c>
      <c r="N13" s="13">
        <v>110</v>
      </c>
      <c r="O13" s="13">
        <v>120</v>
      </c>
      <c r="P13" s="13">
        <v>77</v>
      </c>
      <c r="Q13" s="13">
        <v>47</v>
      </c>
      <c r="R13" s="13">
        <v>50</v>
      </c>
      <c r="S13" s="13">
        <v>26</v>
      </c>
      <c r="T13" s="13">
        <v>19</v>
      </c>
      <c r="U13" s="13">
        <v>30</v>
      </c>
      <c r="V13" s="13">
        <v>29</v>
      </c>
      <c r="W13" s="13">
        <v>30</v>
      </c>
      <c r="X13" s="13">
        <v>76</v>
      </c>
      <c r="Y13" s="13">
        <v>47</v>
      </c>
      <c r="Z13" s="13">
        <v>100</v>
      </c>
      <c r="AA13" s="13">
        <v>118</v>
      </c>
      <c r="AB13" s="13">
        <v>72</v>
      </c>
      <c r="AC13" s="13">
        <v>39</v>
      </c>
      <c r="AD13" s="13">
        <v>28</v>
      </c>
      <c r="AE13" s="13">
        <v>22</v>
      </c>
      <c r="AF13" s="13">
        <v>102</v>
      </c>
      <c r="AG13" s="13">
        <v>50</v>
      </c>
      <c r="AH13" s="13">
        <v>63</v>
      </c>
      <c r="AI13" s="13">
        <v>19</v>
      </c>
      <c r="AJ13" s="13">
        <v>13</v>
      </c>
      <c r="AK13" s="13">
        <v>30</v>
      </c>
      <c r="AL13" s="13">
        <v>29</v>
      </c>
      <c r="AM13" s="13">
        <v>30</v>
      </c>
      <c r="AN13" s="13">
        <v>76</v>
      </c>
      <c r="AO13" s="13">
        <v>47</v>
      </c>
      <c r="AP13" s="18">
        <v>1</v>
      </c>
      <c r="AQ13" s="4" t="s">
        <v>100</v>
      </c>
      <c r="AR13" s="36" t="s">
        <v>130</v>
      </c>
      <c r="AS13" s="4" t="s">
        <v>118</v>
      </c>
      <c r="AT13" s="4" t="s">
        <v>117</v>
      </c>
    </row>
    <row r="14" spans="1:1013" ht="28.15" customHeight="1" x14ac:dyDescent="0.25">
      <c r="A14" s="22" t="s">
        <v>75</v>
      </c>
      <c r="B14" s="25" t="s">
        <v>97</v>
      </c>
      <c r="C14" s="23" t="s">
        <v>83</v>
      </c>
      <c r="D14" s="26">
        <v>42</v>
      </c>
      <c r="E14" s="27">
        <v>55</v>
      </c>
      <c r="F14" s="23" t="s">
        <v>46</v>
      </c>
      <c r="G14" s="28" t="s">
        <v>32</v>
      </c>
      <c r="H14" s="17" t="s">
        <v>82</v>
      </c>
      <c r="I14" s="13">
        <v>46</v>
      </c>
      <c r="J14" s="13">
        <v>57</v>
      </c>
      <c r="K14" s="13">
        <v>20</v>
      </c>
      <c r="L14" s="13">
        <v>15</v>
      </c>
      <c r="M14" s="13">
        <v>110</v>
      </c>
      <c r="N14" s="13">
        <v>105</v>
      </c>
      <c r="O14" s="13">
        <v>108</v>
      </c>
      <c r="P14" s="13">
        <v>71</v>
      </c>
      <c r="Q14" s="13">
        <v>42</v>
      </c>
      <c r="R14" s="13">
        <v>46</v>
      </c>
      <c r="S14" s="13">
        <v>24</v>
      </c>
      <c r="T14" s="13">
        <v>19</v>
      </c>
      <c r="U14" s="13">
        <v>29</v>
      </c>
      <c r="V14" s="13">
        <v>27</v>
      </c>
      <c r="W14" s="13">
        <v>29</v>
      </c>
      <c r="X14" s="13">
        <v>71</v>
      </c>
      <c r="Y14" s="13">
        <v>42</v>
      </c>
      <c r="Z14" s="13">
        <v>95</v>
      </c>
      <c r="AA14" s="13">
        <v>106</v>
      </c>
      <c r="AB14" s="13">
        <v>75</v>
      </c>
      <c r="AC14" s="13">
        <v>35</v>
      </c>
      <c r="AD14" s="13">
        <v>27</v>
      </c>
      <c r="AE14" s="13">
        <v>21</v>
      </c>
      <c r="AF14" s="13">
        <v>95</v>
      </c>
      <c r="AG14" s="13">
        <v>46</v>
      </c>
      <c r="AH14" s="13">
        <v>58</v>
      </c>
      <c r="AI14" s="13">
        <v>19</v>
      </c>
      <c r="AJ14" s="13">
        <v>13</v>
      </c>
      <c r="AK14" s="13">
        <v>29</v>
      </c>
      <c r="AL14" s="13">
        <v>27</v>
      </c>
      <c r="AM14" s="13">
        <v>29</v>
      </c>
      <c r="AN14" s="13">
        <v>71</v>
      </c>
      <c r="AO14" s="13">
        <v>42</v>
      </c>
      <c r="AP14" s="18">
        <v>1</v>
      </c>
      <c r="AQ14" s="4" t="s">
        <v>100</v>
      </c>
      <c r="AR14" s="36" t="s">
        <v>130</v>
      </c>
      <c r="AS14" s="4" t="s">
        <v>118</v>
      </c>
      <c r="AT14" s="4" t="s">
        <v>117</v>
      </c>
    </row>
    <row r="15" spans="1:1013" ht="28.15" customHeight="1" x14ac:dyDescent="0.25">
      <c r="A15" s="22" t="s">
        <v>76</v>
      </c>
      <c r="B15" s="25" t="s">
        <v>98</v>
      </c>
      <c r="C15" s="23" t="s">
        <v>83</v>
      </c>
      <c r="D15" s="26">
        <v>43</v>
      </c>
      <c r="E15" s="27">
        <v>59</v>
      </c>
      <c r="F15" s="23" t="s">
        <v>46</v>
      </c>
      <c r="G15" s="28" t="s">
        <v>34</v>
      </c>
      <c r="H15" s="17" t="s">
        <v>82</v>
      </c>
      <c r="I15" s="13">
        <v>47</v>
      </c>
      <c r="J15" s="13">
        <v>58</v>
      </c>
      <c r="K15" s="13">
        <v>20</v>
      </c>
      <c r="L15" s="13">
        <v>15</v>
      </c>
      <c r="M15" s="13">
        <v>112</v>
      </c>
      <c r="N15" s="13">
        <v>106</v>
      </c>
      <c r="O15" s="13">
        <v>114</v>
      </c>
      <c r="P15" s="13">
        <v>73</v>
      </c>
      <c r="Q15" s="13">
        <v>43</v>
      </c>
      <c r="R15" s="13">
        <v>47</v>
      </c>
      <c r="S15" s="13">
        <v>26</v>
      </c>
      <c r="T15" s="13">
        <v>19</v>
      </c>
      <c r="U15" s="13">
        <v>29</v>
      </c>
      <c r="V15" s="13">
        <v>27</v>
      </c>
      <c r="W15" s="13">
        <v>29</v>
      </c>
      <c r="X15" s="13">
        <v>72</v>
      </c>
      <c r="Y15" s="13">
        <v>43</v>
      </c>
      <c r="Z15" s="13">
        <v>92</v>
      </c>
      <c r="AA15" s="13">
        <v>114</v>
      </c>
      <c r="AB15" s="13">
        <v>68</v>
      </c>
      <c r="AC15" s="13">
        <v>33</v>
      </c>
      <c r="AD15" s="13">
        <v>24</v>
      </c>
      <c r="AE15" s="13">
        <v>19</v>
      </c>
      <c r="AF15" s="13">
        <v>102</v>
      </c>
      <c r="AG15" s="13">
        <v>47</v>
      </c>
      <c r="AH15" s="13">
        <v>59</v>
      </c>
      <c r="AI15" s="13">
        <v>19</v>
      </c>
      <c r="AJ15" s="3">
        <v>13</v>
      </c>
      <c r="AK15" s="13">
        <v>29</v>
      </c>
      <c r="AL15" s="13">
        <v>27</v>
      </c>
      <c r="AM15" s="13">
        <v>29</v>
      </c>
      <c r="AN15" s="13">
        <v>72</v>
      </c>
      <c r="AO15" s="13">
        <v>43</v>
      </c>
      <c r="AP15" s="18">
        <v>1</v>
      </c>
      <c r="AQ15" s="4" t="s">
        <v>100</v>
      </c>
      <c r="AR15" s="36" t="s">
        <v>130</v>
      </c>
      <c r="AS15" s="4" t="s">
        <v>118</v>
      </c>
      <c r="AT15" s="4" t="s">
        <v>117</v>
      </c>
    </row>
    <row r="16" spans="1:1013" ht="28.15" customHeight="1" x14ac:dyDescent="0.25">
      <c r="A16" s="22" t="s">
        <v>77</v>
      </c>
      <c r="B16" s="25" t="s">
        <v>99</v>
      </c>
      <c r="C16" s="23" t="s">
        <v>83</v>
      </c>
      <c r="D16" s="26">
        <v>42</v>
      </c>
      <c r="E16" s="27">
        <v>56</v>
      </c>
      <c r="F16" s="23" t="s">
        <v>46</v>
      </c>
      <c r="G16" s="28" t="s">
        <v>34</v>
      </c>
      <c r="H16" s="17" t="s">
        <v>82</v>
      </c>
      <c r="I16" s="13">
        <v>46</v>
      </c>
      <c r="J16" s="13">
        <v>59</v>
      </c>
      <c r="K16" s="13">
        <v>19</v>
      </c>
      <c r="L16" s="13">
        <v>14</v>
      </c>
      <c r="M16" s="13">
        <v>108</v>
      </c>
      <c r="N16" s="13">
        <v>104</v>
      </c>
      <c r="O16" s="13">
        <v>117</v>
      </c>
      <c r="P16" s="13">
        <v>73</v>
      </c>
      <c r="Q16" s="13">
        <v>43</v>
      </c>
      <c r="R16" s="13">
        <v>46</v>
      </c>
      <c r="S16" s="13">
        <v>26</v>
      </c>
      <c r="T16" s="13">
        <v>18</v>
      </c>
      <c r="U16" s="13">
        <v>229</v>
      </c>
      <c r="V16" s="13">
        <v>27</v>
      </c>
      <c r="W16" s="13">
        <v>29</v>
      </c>
      <c r="X16" s="13">
        <v>72</v>
      </c>
      <c r="Y16" s="13">
        <v>43</v>
      </c>
      <c r="Z16" s="13">
        <v>91</v>
      </c>
      <c r="AA16" s="13">
        <v>115</v>
      </c>
      <c r="AB16" s="13">
        <v>70</v>
      </c>
      <c r="AC16" s="13">
        <v>36</v>
      </c>
      <c r="AD16" s="13">
        <v>27</v>
      </c>
      <c r="AE16" s="13">
        <v>21</v>
      </c>
      <c r="AF16" s="13">
        <v>101</v>
      </c>
      <c r="AG16" s="13">
        <v>46</v>
      </c>
      <c r="AH16" s="13">
        <v>60</v>
      </c>
      <c r="AI16" s="13">
        <v>18</v>
      </c>
      <c r="AJ16" s="13">
        <v>13</v>
      </c>
      <c r="AK16" s="13">
        <v>29</v>
      </c>
      <c r="AL16" s="13">
        <v>27</v>
      </c>
      <c r="AM16" s="13">
        <v>29</v>
      </c>
      <c r="AN16" s="13">
        <v>72</v>
      </c>
      <c r="AO16" s="13">
        <v>43</v>
      </c>
      <c r="AP16" s="18">
        <v>1</v>
      </c>
      <c r="AQ16" s="4" t="s">
        <v>100</v>
      </c>
      <c r="AR16" s="36" t="s">
        <v>130</v>
      </c>
      <c r="AS16" s="4" t="s">
        <v>118</v>
      </c>
      <c r="AT16" s="4" t="s">
        <v>117</v>
      </c>
    </row>
    <row r="17" spans="1:1013" ht="28.15" customHeight="1" x14ac:dyDescent="0.25">
      <c r="A17" s="22" t="s">
        <v>78</v>
      </c>
      <c r="B17" s="29" t="s">
        <v>108</v>
      </c>
      <c r="C17" s="23" t="s">
        <v>83</v>
      </c>
      <c r="D17" s="30">
        <v>39</v>
      </c>
      <c r="E17" s="30">
        <v>55</v>
      </c>
      <c r="F17" s="23" t="s">
        <v>46</v>
      </c>
      <c r="G17" s="30" t="s">
        <v>32</v>
      </c>
      <c r="H17" s="17" t="s">
        <v>82</v>
      </c>
      <c r="I17" s="19">
        <v>46</v>
      </c>
      <c r="J17" s="19">
        <v>57</v>
      </c>
      <c r="K17" s="19">
        <v>19</v>
      </c>
      <c r="L17" s="19">
        <v>14</v>
      </c>
      <c r="M17" s="19">
        <v>106</v>
      </c>
      <c r="N17" s="19">
        <v>103</v>
      </c>
      <c r="O17" s="19">
        <v>113</v>
      </c>
      <c r="P17" s="19">
        <v>71</v>
      </c>
      <c r="Q17" s="19">
        <v>42</v>
      </c>
      <c r="R17" s="19">
        <v>46</v>
      </c>
      <c r="S17" s="19">
        <v>24</v>
      </c>
      <c r="T17" s="19">
        <v>18</v>
      </c>
      <c r="U17" s="19">
        <v>29</v>
      </c>
      <c r="V17" s="19">
        <v>27</v>
      </c>
      <c r="W17" s="19">
        <v>29</v>
      </c>
      <c r="X17" s="19">
        <v>70</v>
      </c>
      <c r="Y17" s="19">
        <v>42</v>
      </c>
      <c r="Z17" s="19">
        <v>90</v>
      </c>
      <c r="AA17" s="19">
        <v>108</v>
      </c>
      <c r="AB17" s="19">
        <v>66</v>
      </c>
      <c r="AC17" s="19">
        <v>34</v>
      </c>
      <c r="AD17" s="19">
        <v>26</v>
      </c>
      <c r="AE17" s="19">
        <v>20</v>
      </c>
      <c r="AF17" s="19">
        <v>97</v>
      </c>
      <c r="AG17" s="19">
        <v>46</v>
      </c>
      <c r="AH17" s="19">
        <v>58</v>
      </c>
      <c r="AI17" s="19">
        <v>18</v>
      </c>
      <c r="AJ17" s="19">
        <v>12</v>
      </c>
      <c r="AK17" s="19">
        <v>29</v>
      </c>
      <c r="AL17" s="19">
        <v>27</v>
      </c>
      <c r="AM17" s="19">
        <v>29</v>
      </c>
      <c r="AN17" s="19">
        <v>70</v>
      </c>
      <c r="AO17" s="19">
        <v>42</v>
      </c>
      <c r="AP17" s="18">
        <v>2</v>
      </c>
      <c r="AQ17" s="4" t="s">
        <v>109</v>
      </c>
      <c r="AR17" s="36" t="s">
        <v>130</v>
      </c>
      <c r="AS17" s="4" t="s">
        <v>118</v>
      </c>
      <c r="AT17" s="4" t="s">
        <v>117</v>
      </c>
    </row>
    <row r="18" spans="1:1013" ht="28.15" customHeight="1" x14ac:dyDescent="0.25">
      <c r="A18" s="22" t="s">
        <v>79</v>
      </c>
      <c r="B18" s="29" t="s">
        <v>107</v>
      </c>
      <c r="C18" s="23" t="s">
        <v>83</v>
      </c>
      <c r="D18" s="30">
        <v>40</v>
      </c>
      <c r="E18" s="30">
        <v>57</v>
      </c>
      <c r="F18" s="23" t="s">
        <v>46</v>
      </c>
      <c r="G18" s="30" t="s">
        <v>34</v>
      </c>
      <c r="H18" s="17" t="s">
        <v>82</v>
      </c>
      <c r="I18" s="19">
        <v>50</v>
      </c>
      <c r="J18" s="19">
        <v>57</v>
      </c>
      <c r="K18" s="19">
        <v>21</v>
      </c>
      <c r="L18" s="19">
        <v>16</v>
      </c>
      <c r="M18" s="19">
        <v>120</v>
      </c>
      <c r="N18" s="19">
        <v>114</v>
      </c>
      <c r="O18" s="19">
        <v>120</v>
      </c>
      <c r="P18" s="19">
        <v>70</v>
      </c>
      <c r="Q18" s="19">
        <v>44</v>
      </c>
      <c r="R18" s="19">
        <v>50</v>
      </c>
      <c r="S18" s="19">
        <v>24</v>
      </c>
      <c r="T18" s="19">
        <v>20</v>
      </c>
      <c r="U18" s="19">
        <v>30</v>
      </c>
      <c r="V18" s="19">
        <v>28</v>
      </c>
      <c r="W18" s="19">
        <v>30</v>
      </c>
      <c r="X18" s="19">
        <v>69</v>
      </c>
      <c r="Y18" s="19">
        <v>44</v>
      </c>
      <c r="Z18" s="19">
        <v>104</v>
      </c>
      <c r="AA18" s="19">
        <v>116</v>
      </c>
      <c r="AB18" s="19">
        <v>70</v>
      </c>
      <c r="AC18" s="19">
        <v>36</v>
      </c>
      <c r="AD18" s="19">
        <v>26</v>
      </c>
      <c r="AE18" s="19">
        <v>21</v>
      </c>
      <c r="AF18" s="19">
        <v>93</v>
      </c>
      <c r="AG18" s="19">
        <v>50</v>
      </c>
      <c r="AH18" s="19">
        <v>58</v>
      </c>
      <c r="AI18" s="19">
        <v>20</v>
      </c>
      <c r="AJ18" s="19">
        <v>13</v>
      </c>
      <c r="AK18" s="19">
        <v>30</v>
      </c>
      <c r="AL18" s="19">
        <v>8</v>
      </c>
      <c r="AM18" s="19">
        <v>30</v>
      </c>
      <c r="AN18" s="19">
        <v>69</v>
      </c>
      <c r="AO18" s="19">
        <v>44</v>
      </c>
      <c r="AP18" s="18">
        <v>2</v>
      </c>
      <c r="AQ18" s="4" t="s">
        <v>109</v>
      </c>
      <c r="AR18" s="36" t="s">
        <v>130</v>
      </c>
      <c r="AS18" s="4" t="s">
        <v>118</v>
      </c>
      <c r="AT18" s="4" t="s">
        <v>117</v>
      </c>
    </row>
    <row r="19" spans="1:1013" ht="28.15" customHeight="1" x14ac:dyDescent="0.25">
      <c r="A19" s="22" t="s">
        <v>80</v>
      </c>
      <c r="B19" s="29" t="s">
        <v>132</v>
      </c>
      <c r="C19" s="23" t="s">
        <v>83</v>
      </c>
      <c r="D19" s="30">
        <v>41</v>
      </c>
      <c r="E19" s="30">
        <v>56</v>
      </c>
      <c r="F19" s="23" t="s">
        <v>46</v>
      </c>
      <c r="G19" s="30" t="s">
        <v>32</v>
      </c>
      <c r="H19" s="17" t="s">
        <v>82</v>
      </c>
      <c r="I19" s="19">
        <v>43</v>
      </c>
      <c r="J19" s="19">
        <v>61</v>
      </c>
      <c r="K19" s="19">
        <v>18</v>
      </c>
      <c r="L19" s="19">
        <v>14</v>
      </c>
      <c r="M19" s="19">
        <v>93</v>
      </c>
      <c r="N19" s="19">
        <v>87</v>
      </c>
      <c r="O19" s="19">
        <v>100</v>
      </c>
      <c r="P19" s="19">
        <v>68</v>
      </c>
      <c r="Q19" s="19">
        <v>39</v>
      </c>
      <c r="R19" s="19">
        <v>46</v>
      </c>
      <c r="S19" s="19">
        <v>26</v>
      </c>
      <c r="T19" s="19">
        <v>16</v>
      </c>
      <c r="U19" s="19">
        <v>27</v>
      </c>
      <c r="V19" s="19">
        <v>25</v>
      </c>
      <c r="W19" s="19">
        <v>27</v>
      </c>
      <c r="X19" s="19">
        <v>74</v>
      </c>
      <c r="Y19" s="19">
        <v>42</v>
      </c>
      <c r="Z19" s="19">
        <v>79</v>
      </c>
      <c r="AA19" s="19">
        <v>95</v>
      </c>
      <c r="AB19" s="19">
        <v>64</v>
      </c>
      <c r="AC19" s="19">
        <v>31</v>
      </c>
      <c r="AD19" s="19">
        <v>24</v>
      </c>
      <c r="AE19" s="19">
        <v>19</v>
      </c>
      <c r="AF19" s="19">
        <v>97</v>
      </c>
      <c r="AG19" s="19">
        <v>43</v>
      </c>
      <c r="AH19" s="19">
        <v>61</v>
      </c>
      <c r="AI19" s="19">
        <v>16</v>
      </c>
      <c r="AJ19" s="19">
        <v>12</v>
      </c>
      <c r="AK19" s="19">
        <v>26</v>
      </c>
      <c r="AL19" s="19">
        <v>24</v>
      </c>
      <c r="AM19" s="19">
        <v>26</v>
      </c>
      <c r="AN19" s="19">
        <v>68</v>
      </c>
      <c r="AO19" s="19">
        <v>39</v>
      </c>
      <c r="AP19" s="18">
        <v>2</v>
      </c>
      <c r="AQ19" s="4" t="s">
        <v>109</v>
      </c>
      <c r="AR19" s="36" t="s">
        <v>130</v>
      </c>
      <c r="AS19" s="4" t="s">
        <v>118</v>
      </c>
      <c r="AT19" s="4" t="s">
        <v>117</v>
      </c>
    </row>
    <row r="20" spans="1:1013" ht="28.15" customHeight="1" x14ac:dyDescent="0.25">
      <c r="A20" s="22" t="s">
        <v>81</v>
      </c>
      <c r="B20" s="29" t="s">
        <v>106</v>
      </c>
      <c r="C20" s="23" t="s">
        <v>83</v>
      </c>
      <c r="D20" s="30">
        <v>42</v>
      </c>
      <c r="E20" s="30">
        <v>56</v>
      </c>
      <c r="F20" s="23" t="s">
        <v>46</v>
      </c>
      <c r="G20" s="30" t="s">
        <v>34</v>
      </c>
      <c r="H20" s="17" t="s">
        <v>82</v>
      </c>
      <c r="I20" s="19">
        <v>48</v>
      </c>
      <c r="J20" s="19">
        <v>62</v>
      </c>
      <c r="K20" s="19">
        <v>20</v>
      </c>
      <c r="L20" s="19">
        <v>15</v>
      </c>
      <c r="M20" s="19">
        <v>102</v>
      </c>
      <c r="N20" s="19">
        <v>94</v>
      </c>
      <c r="O20" s="19">
        <v>108</v>
      </c>
      <c r="P20" s="19">
        <v>75</v>
      </c>
      <c r="Q20" s="19">
        <v>41</v>
      </c>
      <c r="R20" s="19">
        <v>48</v>
      </c>
      <c r="S20" s="19">
        <v>26</v>
      </c>
      <c r="T20" s="19">
        <v>18</v>
      </c>
      <c r="U20" s="19">
        <v>29</v>
      </c>
      <c r="V20" s="19">
        <v>27</v>
      </c>
      <c r="W20" s="19">
        <v>29</v>
      </c>
      <c r="X20" s="19">
        <v>74</v>
      </c>
      <c r="Y20" s="19">
        <v>41</v>
      </c>
      <c r="Z20" s="19">
        <v>86</v>
      </c>
      <c r="AA20" s="19">
        <v>104</v>
      </c>
      <c r="AB20" s="19">
        <v>66</v>
      </c>
      <c r="AC20" s="19">
        <v>33</v>
      </c>
      <c r="AD20" s="19">
        <v>26</v>
      </c>
      <c r="AE20" s="19">
        <v>22</v>
      </c>
      <c r="AF20" s="19">
        <v>101</v>
      </c>
      <c r="AG20" s="19">
        <v>48</v>
      </c>
      <c r="AH20" s="19">
        <v>63</v>
      </c>
      <c r="AI20" s="19">
        <v>18</v>
      </c>
      <c r="AJ20" s="19">
        <v>13</v>
      </c>
      <c r="AK20" s="19">
        <v>29</v>
      </c>
      <c r="AL20" s="19">
        <v>27</v>
      </c>
      <c r="AM20" s="19">
        <v>29</v>
      </c>
      <c r="AN20" s="19">
        <v>74</v>
      </c>
      <c r="AO20" s="19">
        <v>41</v>
      </c>
      <c r="AP20" s="18">
        <v>2</v>
      </c>
      <c r="AQ20" s="4" t="s">
        <v>109</v>
      </c>
      <c r="AR20" s="36" t="s">
        <v>130</v>
      </c>
      <c r="AS20" s="4" t="s">
        <v>118</v>
      </c>
      <c r="AT20" s="4" t="s">
        <v>117</v>
      </c>
    </row>
    <row r="21" spans="1:1013" ht="28.15" customHeight="1" x14ac:dyDescent="0.25">
      <c r="A21" s="22" t="s">
        <v>110</v>
      </c>
      <c r="B21" s="29" t="s">
        <v>105</v>
      </c>
      <c r="C21" s="23" t="s">
        <v>83</v>
      </c>
      <c r="D21" s="30">
        <v>42</v>
      </c>
      <c r="E21" s="30">
        <v>57</v>
      </c>
      <c r="F21" s="23" t="s">
        <v>46</v>
      </c>
      <c r="G21" s="30" t="s">
        <v>34</v>
      </c>
      <c r="H21" s="17" t="s">
        <v>82</v>
      </c>
      <c r="I21" s="19">
        <v>49</v>
      </c>
      <c r="J21" s="19">
        <v>64</v>
      </c>
      <c r="K21" s="19">
        <v>20</v>
      </c>
      <c r="L21" s="19">
        <v>16</v>
      </c>
      <c r="M21" s="19">
        <v>121</v>
      </c>
      <c r="N21" s="19">
        <v>120</v>
      </c>
      <c r="O21" s="19">
        <v>127</v>
      </c>
      <c r="P21" s="19">
        <v>79</v>
      </c>
      <c r="Q21" s="19">
        <v>45</v>
      </c>
      <c r="R21" s="19">
        <v>49</v>
      </c>
      <c r="S21" s="19">
        <v>25</v>
      </c>
      <c r="T21" s="19">
        <v>19</v>
      </c>
      <c r="U21" s="19">
        <v>32</v>
      </c>
      <c r="V21" s="19">
        <v>30</v>
      </c>
      <c r="W21" s="19">
        <v>32</v>
      </c>
      <c r="X21" s="19">
        <v>78</v>
      </c>
      <c r="Y21" s="19">
        <v>45</v>
      </c>
      <c r="Z21" s="19">
        <v>103</v>
      </c>
      <c r="AA21" s="19">
        <v>125</v>
      </c>
      <c r="AB21" s="19">
        <v>72</v>
      </c>
      <c r="AC21" s="19">
        <v>36</v>
      </c>
      <c r="AD21" s="19">
        <v>27</v>
      </c>
      <c r="AE21" s="19">
        <v>22</v>
      </c>
      <c r="AF21" s="19">
        <v>99</v>
      </c>
      <c r="AG21" s="19">
        <v>49</v>
      </c>
      <c r="AH21" s="19">
        <v>65</v>
      </c>
      <c r="AI21" s="19">
        <v>19</v>
      </c>
      <c r="AJ21" s="19">
        <v>13</v>
      </c>
      <c r="AK21" s="19">
        <v>32</v>
      </c>
      <c r="AL21" s="19">
        <v>30</v>
      </c>
      <c r="AM21" s="19">
        <v>32</v>
      </c>
      <c r="AN21" s="19">
        <v>78</v>
      </c>
      <c r="AO21" s="19">
        <v>45</v>
      </c>
      <c r="AP21" s="18">
        <v>2</v>
      </c>
      <c r="AQ21" s="4" t="s">
        <v>109</v>
      </c>
      <c r="AR21" s="36" t="s">
        <v>130</v>
      </c>
      <c r="AS21" s="4" t="s">
        <v>118</v>
      </c>
      <c r="AT21" s="4" t="s">
        <v>117</v>
      </c>
    </row>
    <row r="22" spans="1:1013" ht="27.75" customHeight="1" x14ac:dyDescent="0.25">
      <c r="A22" s="22" t="s">
        <v>111</v>
      </c>
      <c r="B22" s="29" t="s">
        <v>104</v>
      </c>
      <c r="C22" s="23" t="s">
        <v>83</v>
      </c>
      <c r="D22" s="30">
        <v>41</v>
      </c>
      <c r="E22" s="30">
        <v>58</v>
      </c>
      <c r="F22" s="23" t="s">
        <v>46</v>
      </c>
      <c r="G22" s="30" t="s">
        <v>34</v>
      </c>
      <c r="H22" s="17" t="s">
        <v>82</v>
      </c>
      <c r="I22" s="19">
        <v>48</v>
      </c>
      <c r="J22" s="19">
        <v>60</v>
      </c>
      <c r="K22" s="19">
        <v>20</v>
      </c>
      <c r="L22" s="19">
        <v>19</v>
      </c>
      <c r="M22" s="19">
        <v>110</v>
      </c>
      <c r="N22" s="19">
        <v>106</v>
      </c>
      <c r="O22" s="19">
        <v>112</v>
      </c>
      <c r="P22" s="19">
        <v>73</v>
      </c>
      <c r="Q22" s="19">
        <v>43</v>
      </c>
      <c r="R22" s="19">
        <v>48</v>
      </c>
      <c r="S22" s="19">
        <v>25</v>
      </c>
      <c r="T22" s="19">
        <v>19</v>
      </c>
      <c r="U22" s="19">
        <v>30</v>
      </c>
      <c r="V22" s="19">
        <v>28</v>
      </c>
      <c r="W22" s="19">
        <v>30</v>
      </c>
      <c r="X22" s="19">
        <v>72</v>
      </c>
      <c r="Y22" s="19">
        <v>43</v>
      </c>
      <c r="Z22" s="19">
        <v>98</v>
      </c>
      <c r="AA22" s="19">
        <v>110</v>
      </c>
      <c r="AB22" s="19">
        <v>70</v>
      </c>
      <c r="AC22" s="19">
        <v>35</v>
      </c>
      <c r="AD22" s="19">
        <v>25</v>
      </c>
      <c r="AE22" s="19">
        <v>22</v>
      </c>
      <c r="AF22" s="19">
        <v>96</v>
      </c>
      <c r="AG22" s="19">
        <v>48</v>
      </c>
      <c r="AH22" s="19">
        <v>61</v>
      </c>
      <c r="AI22" s="19">
        <v>19</v>
      </c>
      <c r="AJ22" s="19">
        <v>13</v>
      </c>
      <c r="AK22" s="19">
        <v>30</v>
      </c>
      <c r="AL22" s="19">
        <v>27</v>
      </c>
      <c r="AM22" s="19">
        <v>30</v>
      </c>
      <c r="AN22" s="19">
        <v>72</v>
      </c>
      <c r="AO22" s="19">
        <v>43</v>
      </c>
      <c r="AP22" s="18">
        <v>2</v>
      </c>
      <c r="AQ22" s="4" t="s">
        <v>109</v>
      </c>
      <c r="AR22" s="36" t="s">
        <v>130</v>
      </c>
      <c r="AS22" s="4" t="s">
        <v>118</v>
      </c>
      <c r="AT22" s="4" t="s">
        <v>117</v>
      </c>
    </row>
    <row r="23" spans="1:1013" s="15" customFormat="1" ht="28.15" customHeight="1" x14ac:dyDescent="0.25">
      <c r="A23" s="22" t="s">
        <v>112</v>
      </c>
      <c r="B23" s="29" t="s">
        <v>94</v>
      </c>
      <c r="C23" s="23" t="s">
        <v>83</v>
      </c>
      <c r="D23" s="30">
        <v>44</v>
      </c>
      <c r="E23" s="30">
        <v>60</v>
      </c>
      <c r="F23" s="23" t="s">
        <v>46</v>
      </c>
      <c r="G23" s="30" t="s">
        <v>33</v>
      </c>
      <c r="H23" s="17" t="s">
        <v>82</v>
      </c>
      <c r="I23" s="20">
        <v>50</v>
      </c>
      <c r="J23" s="20">
        <v>63</v>
      </c>
      <c r="K23" s="20">
        <v>22</v>
      </c>
      <c r="L23" s="20">
        <v>16</v>
      </c>
      <c r="M23" s="20">
        <v>126</v>
      </c>
      <c r="N23" s="20">
        <v>120</v>
      </c>
      <c r="O23" s="20">
        <v>128</v>
      </c>
      <c r="P23" s="20">
        <v>75</v>
      </c>
      <c r="Q23" s="20">
        <v>44</v>
      </c>
      <c r="R23" s="20">
        <v>50</v>
      </c>
      <c r="S23" s="20">
        <v>25</v>
      </c>
      <c r="T23" s="20">
        <v>21</v>
      </c>
      <c r="U23" s="20">
        <v>32</v>
      </c>
      <c r="V23" s="20">
        <v>30</v>
      </c>
      <c r="W23" s="20">
        <v>32</v>
      </c>
      <c r="X23" s="20">
        <v>74</v>
      </c>
      <c r="Y23" s="20">
        <v>44</v>
      </c>
      <c r="Z23" s="20">
        <v>112</v>
      </c>
      <c r="AA23" s="20">
        <v>122</v>
      </c>
      <c r="AB23" s="20">
        <v>73</v>
      </c>
      <c r="AC23" s="20">
        <v>39</v>
      </c>
      <c r="AD23" s="20">
        <v>27</v>
      </c>
      <c r="AE23" s="20">
        <v>22</v>
      </c>
      <c r="AF23" s="20">
        <v>100</v>
      </c>
      <c r="AG23" s="20">
        <v>50</v>
      </c>
      <c r="AH23" s="20">
        <v>64</v>
      </c>
      <c r="AI23" s="20">
        <v>21</v>
      </c>
      <c r="AJ23" s="20">
        <v>13</v>
      </c>
      <c r="AK23" s="20">
        <v>32</v>
      </c>
      <c r="AL23" s="20">
        <v>30</v>
      </c>
      <c r="AM23" s="20">
        <v>32</v>
      </c>
      <c r="AN23" s="20">
        <v>74</v>
      </c>
      <c r="AO23" s="20">
        <v>44</v>
      </c>
      <c r="AP23" s="21">
        <v>2</v>
      </c>
      <c r="AQ23" s="15" t="s">
        <v>109</v>
      </c>
      <c r="AR23" s="36" t="s">
        <v>130</v>
      </c>
      <c r="AS23" s="4" t="s">
        <v>118</v>
      </c>
      <c r="AT23" s="4" t="s">
        <v>117</v>
      </c>
      <c r="AU23" s="14" t="s">
        <v>116</v>
      </c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14"/>
      <c r="DQ23" s="14"/>
      <c r="DR23" s="14"/>
      <c r="DS23" s="14"/>
      <c r="DT23" s="14"/>
      <c r="DU23" s="14"/>
      <c r="DV23" s="14"/>
      <c r="DW23" s="14"/>
      <c r="DX23" s="14"/>
      <c r="DY23" s="14"/>
      <c r="DZ23" s="14"/>
      <c r="EA23" s="14"/>
      <c r="EB23" s="14"/>
      <c r="EC23" s="14"/>
      <c r="ED23" s="14"/>
      <c r="EE23" s="14"/>
      <c r="EF23" s="14"/>
      <c r="EG23" s="14"/>
      <c r="EH23" s="14"/>
      <c r="EI23" s="14"/>
      <c r="EJ23" s="14"/>
      <c r="EK23" s="14"/>
      <c r="EL23" s="14"/>
      <c r="EM23" s="14"/>
      <c r="EN23" s="14"/>
      <c r="EO23" s="14"/>
      <c r="EP23" s="14"/>
      <c r="EQ23" s="14"/>
      <c r="ER23" s="14"/>
      <c r="ES23" s="14"/>
      <c r="ET23" s="14"/>
      <c r="EU23" s="14"/>
      <c r="EV23" s="14"/>
      <c r="EW23" s="14"/>
      <c r="EX23" s="14"/>
      <c r="EY23" s="14"/>
      <c r="EZ23" s="14"/>
      <c r="FA23" s="14"/>
      <c r="FB23" s="14"/>
      <c r="FC23" s="14"/>
      <c r="FD23" s="14"/>
      <c r="FE23" s="14"/>
      <c r="FF23" s="14"/>
      <c r="FG23" s="14"/>
      <c r="FH23" s="14"/>
      <c r="FI23" s="14"/>
      <c r="FJ23" s="14"/>
      <c r="FK23" s="14"/>
      <c r="FL23" s="14"/>
      <c r="FM23" s="14"/>
      <c r="FN23" s="14"/>
      <c r="FO23" s="14"/>
      <c r="FP23" s="14"/>
      <c r="FQ23" s="14"/>
      <c r="FR23" s="14"/>
      <c r="FS23" s="14"/>
      <c r="FT23" s="14"/>
      <c r="FU23" s="14"/>
      <c r="FV23" s="14"/>
      <c r="FW23" s="14"/>
      <c r="FX23" s="14"/>
      <c r="FY23" s="14"/>
      <c r="FZ23" s="14"/>
      <c r="GA23" s="14"/>
      <c r="GB23" s="14"/>
      <c r="GC23" s="14"/>
      <c r="GD23" s="14"/>
      <c r="GE23" s="14"/>
      <c r="GF23" s="14"/>
      <c r="GG23" s="14"/>
      <c r="GH23" s="14"/>
      <c r="GI23" s="14"/>
      <c r="GJ23" s="14"/>
      <c r="GK23" s="14"/>
      <c r="GL23" s="14"/>
      <c r="GM23" s="14"/>
      <c r="GN23" s="14"/>
      <c r="GO23" s="14"/>
      <c r="GP23" s="14"/>
      <c r="GQ23" s="14"/>
      <c r="GR23" s="14"/>
      <c r="GS23" s="14"/>
      <c r="GT23" s="14"/>
      <c r="GU23" s="14"/>
      <c r="GV23" s="14"/>
      <c r="GW23" s="14"/>
      <c r="GX23" s="14"/>
      <c r="GY23" s="14"/>
      <c r="GZ23" s="14"/>
      <c r="HA23" s="14"/>
      <c r="HB23" s="14"/>
      <c r="HC23" s="14"/>
      <c r="HD23" s="14"/>
      <c r="HE23" s="14"/>
      <c r="HF23" s="14"/>
      <c r="HG23" s="14"/>
      <c r="HH23" s="14"/>
      <c r="HI23" s="14"/>
      <c r="HJ23" s="14"/>
      <c r="HK23" s="14"/>
      <c r="HL23" s="14"/>
      <c r="HM23" s="14"/>
      <c r="HN23" s="14"/>
      <c r="HO23" s="14"/>
      <c r="HP23" s="14"/>
      <c r="HQ23" s="14"/>
      <c r="HR23" s="14"/>
      <c r="HS23" s="14"/>
      <c r="HT23" s="14"/>
      <c r="HU23" s="14"/>
      <c r="HV23" s="14"/>
      <c r="HW23" s="14"/>
      <c r="HX23" s="14"/>
      <c r="HY23" s="14"/>
      <c r="HZ23" s="14"/>
      <c r="IA23" s="14"/>
      <c r="IB23" s="14"/>
      <c r="IC23" s="14"/>
      <c r="ID23" s="14"/>
      <c r="IE23" s="14"/>
      <c r="IF23" s="14"/>
      <c r="IG23" s="14"/>
      <c r="IH23" s="14"/>
      <c r="II23" s="14"/>
      <c r="IJ23" s="14"/>
      <c r="IK23" s="14"/>
      <c r="IL23" s="14"/>
      <c r="IM23" s="14"/>
      <c r="IN23" s="14"/>
      <c r="IO23" s="14"/>
      <c r="IP23" s="14"/>
      <c r="IQ23" s="14"/>
      <c r="IR23" s="14"/>
      <c r="IS23" s="14"/>
      <c r="IT23" s="14"/>
      <c r="IU23" s="14"/>
      <c r="IV23" s="14"/>
      <c r="IW23" s="14"/>
      <c r="IX23" s="14"/>
      <c r="IY23" s="14"/>
      <c r="IZ23" s="14"/>
      <c r="JA23" s="14"/>
      <c r="JB23" s="14"/>
      <c r="JC23" s="14"/>
      <c r="JD23" s="14"/>
      <c r="JE23" s="14"/>
      <c r="JF23" s="14"/>
      <c r="JG23" s="14"/>
      <c r="JH23" s="14"/>
      <c r="JI23" s="14"/>
      <c r="JJ23" s="14"/>
      <c r="JK23" s="14"/>
      <c r="JL23" s="14"/>
      <c r="JM23" s="14"/>
      <c r="JN23" s="14"/>
      <c r="JO23" s="14"/>
      <c r="JP23" s="14"/>
      <c r="JQ23" s="14"/>
      <c r="JR23" s="14"/>
      <c r="JS23" s="14"/>
      <c r="JT23" s="14"/>
      <c r="JU23" s="14"/>
      <c r="JV23" s="14"/>
      <c r="JW23" s="14"/>
      <c r="JX23" s="14"/>
      <c r="JY23" s="14"/>
      <c r="JZ23" s="14"/>
      <c r="KA23" s="14"/>
      <c r="KB23" s="14"/>
      <c r="KC23" s="14"/>
      <c r="KD23" s="14"/>
      <c r="KE23" s="14"/>
      <c r="KF23" s="14"/>
      <c r="KG23" s="14"/>
      <c r="KH23" s="14"/>
      <c r="KI23" s="14"/>
      <c r="KJ23" s="14"/>
      <c r="KK23" s="14"/>
      <c r="KL23" s="14"/>
      <c r="KM23" s="14"/>
      <c r="KN23" s="14"/>
      <c r="KO23" s="14"/>
      <c r="KP23" s="14"/>
      <c r="KQ23" s="14"/>
      <c r="KR23" s="14"/>
      <c r="KS23" s="14"/>
      <c r="KT23" s="14"/>
      <c r="KU23" s="14"/>
      <c r="KV23" s="14"/>
      <c r="KW23" s="14"/>
      <c r="KX23" s="14"/>
      <c r="KY23" s="14"/>
      <c r="KZ23" s="14"/>
      <c r="LA23" s="14"/>
      <c r="LB23" s="14"/>
      <c r="LC23" s="14"/>
      <c r="LD23" s="14"/>
      <c r="LE23" s="14"/>
      <c r="LF23" s="14"/>
      <c r="LG23" s="14"/>
      <c r="LH23" s="14"/>
      <c r="LI23" s="14"/>
      <c r="LJ23" s="14"/>
      <c r="LK23" s="14"/>
      <c r="LL23" s="14"/>
      <c r="LM23" s="14"/>
      <c r="LN23" s="14"/>
      <c r="LO23" s="14"/>
      <c r="LP23" s="14"/>
      <c r="LQ23" s="14"/>
      <c r="LR23" s="14"/>
      <c r="LS23" s="14"/>
      <c r="LT23" s="14"/>
      <c r="LU23" s="14"/>
      <c r="LV23" s="14"/>
      <c r="LW23" s="14"/>
      <c r="LX23" s="14"/>
      <c r="LY23" s="14"/>
      <c r="LZ23" s="14"/>
      <c r="MA23" s="14"/>
      <c r="MB23" s="14"/>
      <c r="MC23" s="14"/>
      <c r="MD23" s="14"/>
      <c r="ME23" s="14"/>
      <c r="MF23" s="14"/>
      <c r="MG23" s="14"/>
      <c r="MH23" s="14"/>
      <c r="MI23" s="14"/>
      <c r="MJ23" s="14"/>
      <c r="MK23" s="14"/>
      <c r="ML23" s="14"/>
      <c r="MM23" s="14"/>
      <c r="MN23" s="14"/>
      <c r="MO23" s="14"/>
      <c r="MP23" s="14"/>
      <c r="MQ23" s="14"/>
      <c r="MR23" s="14"/>
      <c r="MS23" s="14"/>
      <c r="MT23" s="14"/>
      <c r="MU23" s="14"/>
      <c r="MV23" s="14"/>
      <c r="MW23" s="14"/>
      <c r="MX23" s="14"/>
      <c r="MY23" s="14"/>
      <c r="MZ23" s="14"/>
      <c r="NA23" s="14"/>
      <c r="NB23" s="14"/>
      <c r="NC23" s="14"/>
      <c r="ND23" s="14"/>
      <c r="NE23" s="14"/>
      <c r="NF23" s="14"/>
      <c r="NG23" s="14"/>
      <c r="NH23" s="14"/>
      <c r="NI23" s="14"/>
      <c r="NJ23" s="14"/>
      <c r="NK23" s="14"/>
      <c r="NL23" s="14"/>
      <c r="NM23" s="14"/>
      <c r="NN23" s="14"/>
      <c r="NO23" s="14"/>
      <c r="NP23" s="14"/>
      <c r="NQ23" s="14"/>
      <c r="NR23" s="14"/>
      <c r="NS23" s="14"/>
      <c r="NT23" s="14"/>
      <c r="NU23" s="14"/>
      <c r="NV23" s="14"/>
      <c r="NW23" s="14"/>
      <c r="NX23" s="14"/>
      <c r="NY23" s="14"/>
      <c r="NZ23" s="14"/>
      <c r="OA23" s="14"/>
      <c r="OB23" s="14"/>
      <c r="OC23" s="14"/>
      <c r="OD23" s="14"/>
      <c r="OE23" s="14"/>
      <c r="OF23" s="14"/>
      <c r="OG23" s="14"/>
      <c r="OH23" s="14"/>
      <c r="OI23" s="14"/>
      <c r="OJ23" s="14"/>
      <c r="OK23" s="14"/>
      <c r="OL23" s="14"/>
      <c r="OM23" s="14"/>
      <c r="ON23" s="14"/>
      <c r="OO23" s="14"/>
      <c r="OP23" s="14"/>
      <c r="OQ23" s="14"/>
      <c r="OR23" s="14"/>
      <c r="OS23" s="14"/>
      <c r="OT23" s="14"/>
      <c r="OU23" s="14"/>
      <c r="OV23" s="14"/>
      <c r="OW23" s="14"/>
      <c r="OX23" s="14"/>
      <c r="OY23" s="14"/>
      <c r="OZ23" s="14"/>
      <c r="PA23" s="14"/>
      <c r="PB23" s="14"/>
      <c r="PC23" s="14"/>
      <c r="PD23" s="14"/>
      <c r="PE23" s="14"/>
      <c r="PF23" s="14"/>
      <c r="PG23" s="14"/>
      <c r="PH23" s="14"/>
      <c r="PI23" s="14"/>
      <c r="PJ23" s="14"/>
      <c r="PK23" s="14"/>
      <c r="PL23" s="14"/>
      <c r="PM23" s="14"/>
      <c r="PN23" s="14"/>
      <c r="PO23" s="14"/>
      <c r="PP23" s="14"/>
      <c r="PQ23" s="14"/>
      <c r="PR23" s="14"/>
      <c r="PS23" s="14"/>
      <c r="PT23" s="14"/>
      <c r="PU23" s="14"/>
      <c r="PV23" s="14"/>
      <c r="PW23" s="14"/>
      <c r="PX23" s="14"/>
      <c r="PY23" s="14"/>
      <c r="PZ23" s="14"/>
      <c r="QA23" s="14"/>
      <c r="QB23" s="14"/>
      <c r="QC23" s="14"/>
      <c r="QD23" s="14"/>
      <c r="QE23" s="14"/>
      <c r="QF23" s="14"/>
      <c r="QG23" s="14"/>
      <c r="QH23" s="14"/>
      <c r="QI23" s="14"/>
      <c r="QJ23" s="14"/>
      <c r="QK23" s="14"/>
      <c r="QL23" s="14"/>
      <c r="QM23" s="14"/>
      <c r="QN23" s="14"/>
      <c r="QO23" s="14"/>
      <c r="QP23" s="14"/>
      <c r="QQ23" s="14"/>
      <c r="QR23" s="14"/>
      <c r="QS23" s="14"/>
      <c r="QT23" s="14"/>
      <c r="QU23" s="14"/>
      <c r="QV23" s="14"/>
      <c r="QW23" s="14"/>
      <c r="QX23" s="14"/>
      <c r="QY23" s="14"/>
      <c r="QZ23" s="14"/>
      <c r="RA23" s="14"/>
      <c r="RB23" s="14"/>
      <c r="RC23" s="14"/>
      <c r="RD23" s="14"/>
      <c r="RE23" s="14"/>
      <c r="RF23" s="14"/>
      <c r="RG23" s="14"/>
      <c r="RH23" s="14"/>
      <c r="RI23" s="14"/>
      <c r="RJ23" s="14"/>
      <c r="RK23" s="14"/>
      <c r="RL23" s="14"/>
      <c r="RM23" s="14"/>
      <c r="RN23" s="14"/>
      <c r="RO23" s="14"/>
      <c r="RP23" s="14"/>
      <c r="RQ23" s="14"/>
      <c r="RR23" s="14"/>
      <c r="RS23" s="14"/>
      <c r="RT23" s="14"/>
      <c r="RU23" s="14"/>
      <c r="RV23" s="14"/>
      <c r="RW23" s="14"/>
      <c r="RX23" s="14"/>
      <c r="RY23" s="14"/>
      <c r="RZ23" s="14"/>
      <c r="SA23" s="14"/>
      <c r="SB23" s="14"/>
      <c r="SC23" s="14"/>
      <c r="SD23" s="14"/>
      <c r="SE23" s="14"/>
      <c r="SF23" s="14"/>
      <c r="SG23" s="14"/>
      <c r="SH23" s="14"/>
      <c r="SI23" s="14"/>
      <c r="SJ23" s="14"/>
      <c r="SK23" s="14"/>
      <c r="SL23" s="14"/>
      <c r="SM23" s="14"/>
      <c r="SN23" s="14"/>
      <c r="SO23" s="14"/>
      <c r="SP23" s="14"/>
      <c r="SQ23" s="14"/>
      <c r="SR23" s="14"/>
      <c r="SS23" s="14"/>
      <c r="ST23" s="14"/>
      <c r="SU23" s="14"/>
      <c r="SV23" s="14"/>
      <c r="SW23" s="14"/>
      <c r="SX23" s="14"/>
      <c r="SY23" s="14"/>
      <c r="SZ23" s="14"/>
      <c r="TA23" s="14"/>
      <c r="TB23" s="14"/>
      <c r="TC23" s="14"/>
      <c r="TD23" s="14"/>
      <c r="TE23" s="14"/>
      <c r="TF23" s="14"/>
      <c r="TG23" s="14"/>
      <c r="TH23" s="14"/>
      <c r="TI23" s="14"/>
      <c r="TJ23" s="14"/>
      <c r="TK23" s="14"/>
      <c r="TL23" s="14"/>
      <c r="TM23" s="14"/>
      <c r="TN23" s="14"/>
      <c r="TO23" s="14"/>
      <c r="TP23" s="14"/>
      <c r="TQ23" s="14"/>
      <c r="TR23" s="14"/>
      <c r="TS23" s="14"/>
      <c r="TT23" s="14"/>
      <c r="TU23" s="14"/>
      <c r="TV23" s="14"/>
      <c r="TW23" s="14"/>
      <c r="TX23" s="14"/>
      <c r="TY23" s="14"/>
      <c r="TZ23" s="14"/>
      <c r="UA23" s="14"/>
      <c r="UB23" s="14"/>
      <c r="UC23" s="14"/>
      <c r="UD23" s="14"/>
      <c r="UE23" s="14"/>
      <c r="UF23" s="14"/>
      <c r="UG23" s="14"/>
      <c r="UH23" s="14"/>
      <c r="UI23" s="14"/>
      <c r="UJ23" s="14"/>
      <c r="UK23" s="14"/>
      <c r="UL23" s="14"/>
      <c r="UM23" s="14"/>
      <c r="UN23" s="14"/>
      <c r="UO23" s="14"/>
      <c r="UP23" s="14"/>
      <c r="UQ23" s="14"/>
      <c r="UR23" s="14"/>
      <c r="US23" s="14"/>
      <c r="UT23" s="14"/>
      <c r="UU23" s="14"/>
      <c r="UV23" s="14"/>
      <c r="UW23" s="14"/>
      <c r="UX23" s="14"/>
      <c r="UY23" s="14"/>
      <c r="UZ23" s="14"/>
      <c r="VA23" s="14"/>
      <c r="VB23" s="14"/>
      <c r="VC23" s="14"/>
      <c r="VD23" s="14"/>
      <c r="VE23" s="14"/>
      <c r="VF23" s="14"/>
      <c r="VG23" s="14"/>
      <c r="VH23" s="14"/>
      <c r="VI23" s="14"/>
      <c r="VJ23" s="14"/>
      <c r="VK23" s="14"/>
      <c r="VL23" s="14"/>
      <c r="VM23" s="14"/>
      <c r="VN23" s="14"/>
      <c r="VO23" s="14"/>
      <c r="VP23" s="14"/>
      <c r="VQ23" s="14"/>
      <c r="VR23" s="14"/>
      <c r="VS23" s="14"/>
      <c r="VT23" s="14"/>
      <c r="VU23" s="14"/>
      <c r="VV23" s="14"/>
      <c r="VW23" s="14"/>
      <c r="VX23" s="14"/>
      <c r="VY23" s="14"/>
      <c r="VZ23" s="14"/>
      <c r="WA23" s="14"/>
      <c r="WB23" s="14"/>
      <c r="WC23" s="14"/>
      <c r="WD23" s="14"/>
      <c r="WE23" s="14"/>
      <c r="WF23" s="14"/>
      <c r="WG23" s="14"/>
      <c r="WH23" s="14"/>
      <c r="WI23" s="14"/>
      <c r="WJ23" s="14"/>
      <c r="WK23" s="14"/>
      <c r="WL23" s="14"/>
      <c r="WM23" s="14"/>
      <c r="WN23" s="14"/>
      <c r="WO23" s="14"/>
      <c r="WP23" s="14"/>
      <c r="WQ23" s="14"/>
      <c r="WR23" s="14"/>
      <c r="WS23" s="14"/>
      <c r="WT23" s="14"/>
      <c r="WU23" s="14"/>
      <c r="WV23" s="14"/>
      <c r="WW23" s="14"/>
      <c r="WX23" s="14"/>
      <c r="WY23" s="14"/>
      <c r="WZ23" s="14"/>
      <c r="XA23" s="14"/>
      <c r="XB23" s="14"/>
      <c r="XC23" s="14"/>
      <c r="XD23" s="14"/>
      <c r="XE23" s="14"/>
      <c r="XF23" s="14"/>
      <c r="XG23" s="14"/>
      <c r="XH23" s="14"/>
      <c r="XI23" s="14"/>
      <c r="XJ23" s="14"/>
      <c r="XK23" s="14"/>
      <c r="XL23" s="14"/>
      <c r="XM23" s="14"/>
      <c r="XN23" s="14"/>
      <c r="XO23" s="14"/>
      <c r="XP23" s="14"/>
      <c r="XQ23" s="14"/>
      <c r="XR23" s="14"/>
      <c r="XS23" s="14"/>
      <c r="XT23" s="14"/>
      <c r="XU23" s="14"/>
      <c r="XV23" s="14"/>
      <c r="XW23" s="14"/>
      <c r="XX23" s="14"/>
      <c r="XY23" s="14"/>
      <c r="XZ23" s="14"/>
      <c r="YA23" s="14"/>
      <c r="YB23" s="14"/>
      <c r="YC23" s="14"/>
      <c r="YD23" s="14"/>
      <c r="YE23" s="14"/>
      <c r="YF23" s="14"/>
      <c r="YG23" s="14"/>
      <c r="YH23" s="14"/>
      <c r="YI23" s="14"/>
      <c r="YJ23" s="14"/>
      <c r="YK23" s="14"/>
      <c r="YL23" s="14"/>
      <c r="YM23" s="14"/>
      <c r="YN23" s="14"/>
      <c r="YO23" s="14"/>
      <c r="YP23" s="14"/>
      <c r="YQ23" s="14"/>
      <c r="YR23" s="14"/>
      <c r="YS23" s="14"/>
      <c r="YT23" s="14"/>
      <c r="YU23" s="14"/>
      <c r="YV23" s="14"/>
      <c r="YW23" s="14"/>
      <c r="YX23" s="14"/>
      <c r="YY23" s="14"/>
      <c r="YZ23" s="14"/>
      <c r="ZA23" s="14"/>
      <c r="ZB23" s="14"/>
      <c r="ZC23" s="14"/>
      <c r="ZD23" s="14"/>
      <c r="ZE23" s="14"/>
      <c r="ZF23" s="14"/>
      <c r="ZG23" s="14"/>
      <c r="ZH23" s="14"/>
      <c r="ZI23" s="14"/>
      <c r="ZJ23" s="14"/>
      <c r="ZK23" s="14"/>
      <c r="ZL23" s="14"/>
      <c r="ZM23" s="14"/>
      <c r="ZN23" s="14"/>
      <c r="ZO23" s="14"/>
      <c r="ZP23" s="14"/>
      <c r="ZQ23" s="14"/>
      <c r="ZR23" s="14"/>
      <c r="ZS23" s="14"/>
      <c r="ZT23" s="14"/>
      <c r="ZU23" s="14"/>
      <c r="ZV23" s="14"/>
      <c r="ZW23" s="14"/>
      <c r="ZX23" s="14"/>
      <c r="ZY23" s="14"/>
      <c r="ZZ23" s="14"/>
      <c r="AAA23" s="14"/>
      <c r="AAB23" s="14"/>
      <c r="AAC23" s="14"/>
      <c r="AAD23" s="14"/>
      <c r="AAE23" s="14"/>
      <c r="AAF23" s="14"/>
      <c r="AAG23" s="14"/>
      <c r="AAH23" s="14"/>
      <c r="AAI23" s="14"/>
      <c r="AAJ23" s="14"/>
      <c r="AAK23" s="14"/>
      <c r="AAL23" s="14"/>
      <c r="AAM23" s="14"/>
      <c r="AAN23" s="14"/>
      <c r="AAO23" s="14"/>
      <c r="AAP23" s="14"/>
      <c r="AAQ23" s="14"/>
      <c r="AAR23" s="14"/>
      <c r="AAS23" s="14"/>
      <c r="AAT23" s="14"/>
      <c r="AAU23" s="14"/>
      <c r="AAV23" s="14"/>
      <c r="AAW23" s="14"/>
      <c r="AAX23" s="14"/>
      <c r="AAY23" s="14"/>
      <c r="AAZ23" s="14"/>
      <c r="ABA23" s="14"/>
      <c r="ABB23" s="14"/>
      <c r="ABC23" s="14"/>
      <c r="ABD23" s="14"/>
      <c r="ABE23" s="14"/>
      <c r="ABF23" s="14"/>
      <c r="ABG23" s="14"/>
      <c r="ABH23" s="14"/>
      <c r="ABI23" s="14"/>
      <c r="ABJ23" s="14"/>
      <c r="ABK23" s="14"/>
      <c r="ABL23" s="14"/>
      <c r="ABM23" s="14"/>
      <c r="ABN23" s="14"/>
      <c r="ABO23" s="14"/>
      <c r="ABP23" s="14"/>
      <c r="ABQ23" s="14"/>
      <c r="ABR23" s="14"/>
      <c r="ABS23" s="14"/>
      <c r="ABT23" s="14"/>
      <c r="ABU23" s="14"/>
      <c r="ABV23" s="14"/>
      <c r="ABW23" s="14"/>
      <c r="ABX23" s="14"/>
      <c r="ABY23" s="14"/>
      <c r="ABZ23" s="14"/>
      <c r="ACA23" s="14"/>
      <c r="ACB23" s="14"/>
      <c r="ACC23" s="14"/>
      <c r="ACD23" s="14"/>
      <c r="ACE23" s="14"/>
      <c r="ACF23" s="14"/>
      <c r="ACG23" s="14"/>
      <c r="ACH23" s="14"/>
      <c r="ACI23" s="14"/>
      <c r="ACJ23" s="14"/>
      <c r="ACK23" s="14"/>
      <c r="ACL23" s="14"/>
      <c r="ACM23" s="14"/>
      <c r="ACN23" s="14"/>
      <c r="ACO23" s="14"/>
      <c r="ACP23" s="14"/>
      <c r="ACQ23" s="14"/>
      <c r="ACR23" s="14"/>
      <c r="ACS23" s="14"/>
      <c r="ACT23" s="14"/>
      <c r="ACU23" s="14"/>
      <c r="ACV23" s="14"/>
      <c r="ACW23" s="14"/>
      <c r="ACX23" s="14"/>
      <c r="ACY23" s="14"/>
      <c r="ACZ23" s="14"/>
      <c r="ADA23" s="14"/>
      <c r="ADB23" s="14"/>
      <c r="ADC23" s="14"/>
      <c r="ADD23" s="14"/>
      <c r="ADE23" s="14"/>
      <c r="ADF23" s="14"/>
      <c r="ADG23" s="14"/>
      <c r="ADH23" s="14"/>
      <c r="ADI23" s="14"/>
      <c r="ADJ23" s="14"/>
      <c r="ADK23" s="14"/>
      <c r="ADL23" s="14"/>
      <c r="ADM23" s="14"/>
      <c r="ADN23" s="14"/>
      <c r="ADO23" s="14"/>
      <c r="ADP23" s="14"/>
      <c r="ADQ23" s="14"/>
      <c r="ADR23" s="14"/>
      <c r="ADS23" s="14"/>
      <c r="ADT23" s="14"/>
      <c r="ADU23" s="14"/>
      <c r="ADV23" s="14"/>
      <c r="ADW23" s="14"/>
      <c r="ADX23" s="14"/>
      <c r="ADY23" s="14"/>
      <c r="ADZ23" s="14"/>
      <c r="AEA23" s="14"/>
      <c r="AEB23" s="14"/>
      <c r="AEC23" s="14"/>
      <c r="AED23" s="14"/>
      <c r="AEE23" s="14"/>
      <c r="AEF23" s="14"/>
      <c r="AEG23" s="14"/>
      <c r="AEH23" s="14"/>
      <c r="AEI23" s="14"/>
      <c r="AEJ23" s="14"/>
      <c r="AEK23" s="14"/>
      <c r="AEL23" s="14"/>
      <c r="AEM23" s="14"/>
      <c r="AEN23" s="14"/>
      <c r="AEO23" s="14"/>
      <c r="AEP23" s="14"/>
      <c r="AEQ23" s="14"/>
      <c r="AER23" s="14"/>
      <c r="AES23" s="14"/>
      <c r="AET23" s="14"/>
      <c r="AEU23" s="14"/>
      <c r="AEV23" s="14"/>
      <c r="AEW23" s="14"/>
      <c r="AEX23" s="14"/>
      <c r="AEY23" s="14"/>
      <c r="AEZ23" s="14"/>
      <c r="AFA23" s="14"/>
      <c r="AFB23" s="14"/>
      <c r="AFC23" s="14"/>
      <c r="AFD23" s="14"/>
      <c r="AFE23" s="14"/>
      <c r="AFF23" s="14"/>
      <c r="AFG23" s="14"/>
      <c r="AFH23" s="14"/>
      <c r="AFI23" s="14"/>
      <c r="AFJ23" s="14"/>
      <c r="AFK23" s="14"/>
      <c r="AFL23" s="14"/>
      <c r="AFM23" s="14"/>
      <c r="AFN23" s="14"/>
      <c r="AFO23" s="14"/>
      <c r="AFP23" s="14"/>
      <c r="AFQ23" s="14"/>
      <c r="AFR23" s="14"/>
      <c r="AFS23" s="14"/>
      <c r="AFT23" s="14"/>
      <c r="AFU23" s="14"/>
      <c r="AFV23" s="14"/>
      <c r="AFW23" s="14"/>
      <c r="AFX23" s="14"/>
      <c r="AFY23" s="14"/>
      <c r="AFZ23" s="14"/>
      <c r="AGA23" s="14"/>
      <c r="AGB23" s="14"/>
      <c r="AGC23" s="14"/>
      <c r="AGD23" s="14"/>
      <c r="AGE23" s="14"/>
      <c r="AGF23" s="14"/>
      <c r="AGG23" s="14"/>
      <c r="AGH23" s="14"/>
      <c r="AGI23" s="14"/>
      <c r="AGJ23" s="14"/>
      <c r="AGK23" s="14"/>
      <c r="AGL23" s="14"/>
      <c r="AGM23" s="14"/>
      <c r="AGN23" s="14"/>
      <c r="AGO23" s="14"/>
      <c r="AGP23" s="14"/>
      <c r="AGQ23" s="14"/>
      <c r="AGR23" s="14"/>
      <c r="AGS23" s="14"/>
      <c r="AGT23" s="14"/>
      <c r="AGU23" s="14"/>
      <c r="AGV23" s="14"/>
      <c r="AGW23" s="14"/>
      <c r="AGX23" s="14"/>
      <c r="AGY23" s="14"/>
      <c r="AGZ23" s="14"/>
      <c r="AHA23" s="14"/>
      <c r="AHB23" s="14"/>
      <c r="AHC23" s="14"/>
      <c r="AHD23" s="14"/>
      <c r="AHE23" s="14"/>
      <c r="AHF23" s="14"/>
      <c r="AHG23" s="14"/>
      <c r="AHH23" s="14"/>
      <c r="AHI23" s="14"/>
      <c r="AHJ23" s="14"/>
      <c r="AHK23" s="14"/>
      <c r="AHL23" s="14"/>
      <c r="AHM23" s="14"/>
      <c r="AHN23" s="14"/>
      <c r="AHO23" s="14"/>
      <c r="AHP23" s="14"/>
      <c r="AHQ23" s="14"/>
      <c r="AHR23" s="14"/>
      <c r="AHS23" s="14"/>
      <c r="AHT23" s="14"/>
      <c r="AHU23" s="14"/>
      <c r="AHV23" s="14"/>
      <c r="AHW23" s="14"/>
      <c r="AHX23" s="14"/>
      <c r="AHY23" s="14"/>
      <c r="AHZ23" s="14"/>
      <c r="AIA23" s="14"/>
      <c r="AIB23" s="14"/>
      <c r="AIC23" s="14"/>
      <c r="AID23" s="14"/>
      <c r="AIE23" s="14"/>
      <c r="AIF23" s="14"/>
      <c r="AIG23" s="14"/>
      <c r="AIH23" s="14"/>
      <c r="AII23" s="14"/>
      <c r="AIJ23" s="14"/>
      <c r="AIK23" s="14"/>
      <c r="AIL23" s="14"/>
      <c r="AIM23" s="14"/>
      <c r="AIN23" s="14"/>
      <c r="AIO23" s="14"/>
      <c r="AIP23" s="14"/>
      <c r="AIQ23" s="14"/>
      <c r="AIR23" s="14"/>
      <c r="AIS23" s="14"/>
      <c r="AIT23" s="14"/>
      <c r="AIU23" s="14"/>
      <c r="AIV23" s="14"/>
      <c r="AIW23" s="14"/>
      <c r="AIX23" s="14"/>
      <c r="AIY23" s="14"/>
      <c r="AIZ23" s="14"/>
      <c r="AJA23" s="14"/>
      <c r="AJB23" s="14"/>
      <c r="AJC23" s="14"/>
      <c r="AJD23" s="14"/>
      <c r="AJE23" s="14"/>
      <c r="AJF23" s="14"/>
      <c r="AJG23" s="14"/>
      <c r="AJH23" s="14"/>
      <c r="AJI23" s="14"/>
      <c r="AJJ23" s="14"/>
      <c r="AJK23" s="14"/>
      <c r="AJL23" s="14"/>
      <c r="AJM23" s="14"/>
      <c r="AJN23" s="14"/>
      <c r="AJO23" s="14"/>
      <c r="AJP23" s="14"/>
      <c r="AJQ23" s="14"/>
      <c r="AJR23" s="14"/>
      <c r="AJS23" s="14"/>
      <c r="AJT23" s="14"/>
      <c r="AJU23" s="14"/>
      <c r="AJV23" s="14"/>
      <c r="AJW23" s="14"/>
      <c r="AJX23" s="14"/>
      <c r="AJY23" s="14"/>
      <c r="AJZ23" s="14"/>
      <c r="AKA23" s="14"/>
      <c r="AKB23" s="14"/>
      <c r="AKC23" s="14"/>
      <c r="AKD23" s="14"/>
      <c r="AKE23" s="14"/>
      <c r="AKF23" s="14"/>
      <c r="AKG23" s="14"/>
      <c r="AKH23" s="14"/>
      <c r="AKI23" s="14"/>
      <c r="AKJ23" s="14"/>
      <c r="AKK23" s="14"/>
      <c r="AKL23" s="14"/>
      <c r="AKM23" s="14"/>
      <c r="AKN23" s="14"/>
      <c r="AKO23" s="14"/>
      <c r="AKP23" s="14"/>
      <c r="AKQ23" s="14"/>
      <c r="AKR23" s="14"/>
      <c r="AKS23" s="14"/>
      <c r="AKT23" s="14"/>
      <c r="AKU23" s="14"/>
      <c r="AKV23" s="14"/>
      <c r="AKW23" s="14"/>
      <c r="AKX23" s="14"/>
      <c r="AKY23" s="14"/>
      <c r="AKZ23" s="14"/>
      <c r="ALA23" s="14"/>
      <c r="ALB23" s="14"/>
      <c r="ALC23" s="14"/>
      <c r="ALD23" s="14"/>
      <c r="ALE23" s="14"/>
      <c r="ALF23" s="14"/>
      <c r="ALG23" s="14"/>
      <c r="ALH23" s="14"/>
      <c r="ALI23" s="14"/>
      <c r="ALJ23" s="14"/>
      <c r="ALK23" s="14"/>
      <c r="ALL23" s="14"/>
      <c r="ALM23" s="14"/>
      <c r="ALN23" s="14"/>
      <c r="ALO23" s="14"/>
      <c r="ALP23" s="14"/>
      <c r="ALQ23" s="14"/>
      <c r="ALR23" s="14"/>
      <c r="ALS23" s="14"/>
      <c r="ALT23" s="14"/>
      <c r="ALU23" s="14"/>
      <c r="ALV23" s="14"/>
      <c r="ALW23" s="14"/>
      <c r="ALX23" s="14"/>
      <c r="ALY23" s="14"/>
    </row>
    <row r="24" spans="1:1013" ht="28.15" customHeight="1" x14ac:dyDescent="0.25">
      <c r="A24" s="22" t="s">
        <v>113</v>
      </c>
      <c r="B24" s="29" t="s">
        <v>103</v>
      </c>
      <c r="C24" s="23" t="s">
        <v>83</v>
      </c>
      <c r="D24" s="30">
        <v>42</v>
      </c>
      <c r="E24" s="30">
        <v>56</v>
      </c>
      <c r="F24" s="23" t="s">
        <v>46</v>
      </c>
      <c r="G24" s="30" t="s">
        <v>32</v>
      </c>
      <c r="H24" s="17" t="s">
        <v>82</v>
      </c>
      <c r="I24" s="19">
        <v>47</v>
      </c>
      <c r="J24" s="19">
        <v>56</v>
      </c>
      <c r="K24" s="19">
        <v>19</v>
      </c>
      <c r="L24" s="19">
        <v>14</v>
      </c>
      <c r="M24" s="19">
        <v>102</v>
      </c>
      <c r="N24" s="19">
        <v>94</v>
      </c>
      <c r="O24" s="19">
        <v>104</v>
      </c>
      <c r="P24" s="19">
        <v>71</v>
      </c>
      <c r="Q24" s="19">
        <v>42</v>
      </c>
      <c r="R24" s="19">
        <v>47</v>
      </c>
      <c r="S24" s="19">
        <v>23</v>
      </c>
      <c r="T24" s="19">
        <v>17</v>
      </c>
      <c r="U24" s="19">
        <v>28</v>
      </c>
      <c r="V24" s="19">
        <v>26</v>
      </c>
      <c r="W24" s="19">
        <v>28</v>
      </c>
      <c r="X24" s="19">
        <v>70</v>
      </c>
      <c r="Y24" s="19">
        <v>42</v>
      </c>
      <c r="Z24" s="19">
        <v>87</v>
      </c>
      <c r="AA24" s="19">
        <v>101</v>
      </c>
      <c r="AB24" s="19">
        <v>66</v>
      </c>
      <c r="AC24" s="19">
        <v>33</v>
      </c>
      <c r="AD24" s="19">
        <v>24</v>
      </c>
      <c r="AE24" s="19">
        <v>19</v>
      </c>
      <c r="AF24" s="19">
        <v>95</v>
      </c>
      <c r="AG24" s="19">
        <v>47</v>
      </c>
      <c r="AH24" s="19">
        <v>57</v>
      </c>
      <c r="AI24" s="19">
        <v>17</v>
      </c>
      <c r="AJ24" s="3">
        <v>12</v>
      </c>
      <c r="AK24" s="19">
        <v>27</v>
      </c>
      <c r="AL24" s="19">
        <v>25</v>
      </c>
      <c r="AM24" s="19">
        <v>27</v>
      </c>
      <c r="AN24" s="19">
        <v>70</v>
      </c>
      <c r="AO24" s="19">
        <v>42</v>
      </c>
      <c r="AP24" s="18">
        <v>2</v>
      </c>
      <c r="AQ24" s="4" t="s">
        <v>109</v>
      </c>
      <c r="AR24" s="36" t="s">
        <v>130</v>
      </c>
      <c r="AS24" s="4" t="s">
        <v>118</v>
      </c>
      <c r="AT24" s="4" t="s">
        <v>117</v>
      </c>
    </row>
    <row r="25" spans="1:1013" ht="28.15" customHeight="1" x14ac:dyDescent="0.25">
      <c r="A25" s="22" t="s">
        <v>114</v>
      </c>
      <c r="B25" s="29" t="s">
        <v>131</v>
      </c>
      <c r="C25" s="23" t="s">
        <v>83</v>
      </c>
      <c r="D25" s="30">
        <v>41</v>
      </c>
      <c r="E25" s="30">
        <v>55</v>
      </c>
      <c r="F25" s="23" t="s">
        <v>46</v>
      </c>
      <c r="G25" s="30" t="s">
        <v>31</v>
      </c>
      <c r="H25" s="17" t="s">
        <v>82</v>
      </c>
      <c r="I25" s="19">
        <v>43</v>
      </c>
      <c r="J25" s="19">
        <v>56</v>
      </c>
      <c r="K25" s="19">
        <v>18</v>
      </c>
      <c r="L25" s="19">
        <v>14</v>
      </c>
      <c r="M25" s="19">
        <v>92</v>
      </c>
      <c r="N25" s="19">
        <v>79</v>
      </c>
      <c r="O25" s="19">
        <v>96</v>
      </c>
      <c r="P25" s="19">
        <v>67</v>
      </c>
      <c r="Q25" s="19">
        <v>38</v>
      </c>
      <c r="R25" s="19">
        <v>43</v>
      </c>
      <c r="S25" s="19">
        <v>23</v>
      </c>
      <c r="T25" s="19">
        <v>16</v>
      </c>
      <c r="U25" s="19">
        <v>26</v>
      </c>
      <c r="V25" s="19">
        <v>24</v>
      </c>
      <c r="W25" s="19">
        <v>26</v>
      </c>
      <c r="X25" s="19">
        <v>67</v>
      </c>
      <c r="Y25" s="19">
        <v>37</v>
      </c>
      <c r="Z25" s="19">
        <v>71</v>
      </c>
      <c r="AA25" s="19">
        <v>89</v>
      </c>
      <c r="AB25" s="19">
        <v>62</v>
      </c>
      <c r="AC25" s="19">
        <v>29</v>
      </c>
      <c r="AD25" s="19">
        <v>23</v>
      </c>
      <c r="AE25" s="19">
        <v>19</v>
      </c>
      <c r="AF25" s="19">
        <v>90</v>
      </c>
      <c r="AG25" s="19">
        <v>43</v>
      </c>
      <c r="AH25" s="19">
        <v>56</v>
      </c>
      <c r="AI25" s="19">
        <v>16</v>
      </c>
      <c r="AJ25" s="19">
        <v>12</v>
      </c>
      <c r="AK25" s="19">
        <v>26</v>
      </c>
      <c r="AL25" s="19">
        <v>24</v>
      </c>
      <c r="AM25" s="19">
        <v>26</v>
      </c>
      <c r="AN25" s="19">
        <v>67</v>
      </c>
      <c r="AO25" s="19">
        <v>37</v>
      </c>
      <c r="AP25" s="18">
        <v>2</v>
      </c>
      <c r="AQ25" s="4" t="s">
        <v>109</v>
      </c>
      <c r="AR25" s="36" t="s">
        <v>130</v>
      </c>
      <c r="AS25" s="4" t="s">
        <v>118</v>
      </c>
      <c r="AT25" s="4" t="s">
        <v>117</v>
      </c>
    </row>
    <row r="26" spans="1:1013" ht="28.15" customHeight="1" x14ac:dyDescent="0.25">
      <c r="A26" s="22" t="s">
        <v>115</v>
      </c>
      <c r="B26" s="29" t="s">
        <v>102</v>
      </c>
      <c r="C26" s="23" t="s">
        <v>83</v>
      </c>
      <c r="D26" s="30">
        <v>42</v>
      </c>
      <c r="E26" s="30">
        <v>55</v>
      </c>
      <c r="F26" s="23" t="s">
        <v>46</v>
      </c>
      <c r="G26" s="30" t="s">
        <v>32</v>
      </c>
      <c r="H26" s="17" t="s">
        <v>82</v>
      </c>
      <c r="I26" s="19">
        <v>46</v>
      </c>
      <c r="J26" s="19">
        <v>58</v>
      </c>
      <c r="K26" s="19">
        <v>19</v>
      </c>
      <c r="L26" s="19">
        <v>14</v>
      </c>
      <c r="M26" s="19">
        <v>102</v>
      </c>
      <c r="N26" s="19">
        <v>94</v>
      </c>
      <c r="O26" s="19">
        <v>105</v>
      </c>
      <c r="P26" s="19">
        <v>70</v>
      </c>
      <c r="Q26" s="19">
        <v>42</v>
      </c>
      <c r="R26" s="19">
        <v>46</v>
      </c>
      <c r="S26" s="19">
        <v>24</v>
      </c>
      <c r="T26" s="19">
        <v>17</v>
      </c>
      <c r="U26" s="19">
        <v>28</v>
      </c>
      <c r="V26" s="19">
        <v>26</v>
      </c>
      <c r="W26" s="19">
        <v>28</v>
      </c>
      <c r="X26" s="19">
        <v>69</v>
      </c>
      <c r="Y26" s="19">
        <v>42</v>
      </c>
      <c r="Z26" s="19">
        <v>87</v>
      </c>
      <c r="AA26" s="19">
        <v>103</v>
      </c>
      <c r="AB26" s="19">
        <v>68</v>
      </c>
      <c r="AC26" s="19">
        <v>34</v>
      </c>
      <c r="AD26" s="19">
        <v>24</v>
      </c>
      <c r="AE26" s="19">
        <v>19</v>
      </c>
      <c r="AF26" s="19">
        <v>95</v>
      </c>
      <c r="AG26" s="19">
        <v>46</v>
      </c>
      <c r="AH26" s="19">
        <v>59</v>
      </c>
      <c r="AI26" s="19">
        <v>17</v>
      </c>
      <c r="AJ26" s="19">
        <v>13</v>
      </c>
      <c r="AK26" s="19">
        <v>28</v>
      </c>
      <c r="AL26" s="19">
        <v>26</v>
      </c>
      <c r="AM26" s="19">
        <v>28</v>
      </c>
      <c r="AN26" s="19">
        <v>69</v>
      </c>
      <c r="AO26" s="19">
        <v>42</v>
      </c>
      <c r="AP26" s="18">
        <v>2</v>
      </c>
      <c r="AQ26" s="4" t="s">
        <v>109</v>
      </c>
      <c r="AR26" s="36" t="s">
        <v>130</v>
      </c>
      <c r="AS26" s="4" t="s">
        <v>118</v>
      </c>
      <c r="AT26" s="4" t="s">
        <v>117</v>
      </c>
    </row>
    <row r="27" spans="1:1013" ht="28.15" customHeight="1" x14ac:dyDescent="0.25">
      <c r="A27" s="22" t="s">
        <v>119</v>
      </c>
      <c r="B27" s="29" t="s">
        <v>124</v>
      </c>
      <c r="C27" s="23" t="s">
        <v>83</v>
      </c>
      <c r="D27" s="30">
        <v>41</v>
      </c>
      <c r="E27" s="30">
        <v>60</v>
      </c>
      <c r="F27" s="23" t="s">
        <v>46</v>
      </c>
      <c r="G27" s="30" t="s">
        <v>32</v>
      </c>
      <c r="H27" s="17" t="s">
        <v>82</v>
      </c>
      <c r="I27" s="19">
        <v>45</v>
      </c>
      <c r="J27" s="19">
        <v>62</v>
      </c>
      <c r="K27" s="19">
        <v>19</v>
      </c>
      <c r="L27" s="19">
        <v>14</v>
      </c>
      <c r="M27" s="19">
        <v>99</v>
      </c>
      <c r="N27" s="19">
        <v>96</v>
      </c>
      <c r="O27" s="19">
        <v>108</v>
      </c>
      <c r="P27" s="19">
        <v>71</v>
      </c>
      <c r="Q27" s="19">
        <v>41</v>
      </c>
      <c r="R27" s="19">
        <v>51</v>
      </c>
      <c r="S27" s="19">
        <v>63</v>
      </c>
      <c r="T27" s="19">
        <v>20</v>
      </c>
      <c r="U27" s="19">
        <v>13</v>
      </c>
      <c r="V27" s="19">
        <v>31</v>
      </c>
      <c r="W27" s="19">
        <v>28</v>
      </c>
      <c r="X27" s="19">
        <v>31</v>
      </c>
      <c r="Y27" s="19">
        <v>77</v>
      </c>
      <c r="Z27" s="19">
        <v>90</v>
      </c>
      <c r="AA27" s="19">
        <v>105</v>
      </c>
      <c r="AB27" s="19">
        <v>66</v>
      </c>
      <c r="AC27" s="19">
        <v>34</v>
      </c>
      <c r="AD27" s="19">
        <v>24</v>
      </c>
      <c r="AE27" s="19">
        <v>20</v>
      </c>
      <c r="AF27" s="19">
        <v>98</v>
      </c>
      <c r="AG27" s="19">
        <v>46</v>
      </c>
      <c r="AH27" s="19">
        <v>63</v>
      </c>
      <c r="AI27" s="19">
        <v>18</v>
      </c>
      <c r="AJ27" s="19">
        <v>13</v>
      </c>
      <c r="AK27" s="19">
        <v>28</v>
      </c>
      <c r="AL27" s="19">
        <v>26</v>
      </c>
      <c r="AM27" s="19">
        <v>28</v>
      </c>
      <c r="AN27" s="19">
        <v>71</v>
      </c>
      <c r="AO27" s="19">
        <v>41</v>
      </c>
      <c r="AP27" s="4">
        <v>3</v>
      </c>
      <c r="AQ27" s="4" t="s">
        <v>129</v>
      </c>
      <c r="AR27" s="36" t="s">
        <v>130</v>
      </c>
      <c r="AS27" s="4" t="s">
        <v>129</v>
      </c>
      <c r="AT27" s="4" t="s">
        <v>129</v>
      </c>
    </row>
    <row r="28" spans="1:1013" ht="28.15" customHeight="1" x14ac:dyDescent="0.25">
      <c r="A28" s="22" t="s">
        <v>120</v>
      </c>
      <c r="B28" s="29" t="s">
        <v>125</v>
      </c>
      <c r="C28" s="23" t="s">
        <v>83</v>
      </c>
      <c r="D28" s="30">
        <v>40</v>
      </c>
      <c r="E28" s="30">
        <v>56</v>
      </c>
      <c r="F28" s="23" t="s">
        <v>46</v>
      </c>
      <c r="G28" s="30" t="s">
        <v>31</v>
      </c>
      <c r="H28" s="17" t="s">
        <v>82</v>
      </c>
      <c r="I28" s="19">
        <v>46</v>
      </c>
      <c r="J28" s="19">
        <v>58</v>
      </c>
      <c r="K28" s="19">
        <v>19</v>
      </c>
      <c r="L28" s="19">
        <v>14</v>
      </c>
      <c r="M28" s="19">
        <v>98</v>
      </c>
      <c r="N28" s="19">
        <v>89</v>
      </c>
      <c r="O28" s="19">
        <v>102</v>
      </c>
      <c r="P28" s="19">
        <v>71</v>
      </c>
      <c r="Q28" s="19">
        <v>42</v>
      </c>
      <c r="R28" s="19">
        <v>46</v>
      </c>
      <c r="S28" s="19">
        <v>59</v>
      </c>
      <c r="T28" s="19">
        <v>17</v>
      </c>
      <c r="U28" s="19">
        <v>12</v>
      </c>
      <c r="V28" s="19">
        <v>27</v>
      </c>
      <c r="W28" s="19">
        <v>24</v>
      </c>
      <c r="X28" s="19">
        <v>27</v>
      </c>
      <c r="Y28" s="19">
        <v>70</v>
      </c>
      <c r="Z28" s="19">
        <v>79</v>
      </c>
      <c r="AA28" s="19">
        <v>96</v>
      </c>
      <c r="AB28" s="19">
        <v>66</v>
      </c>
      <c r="AC28" s="19">
        <v>31</v>
      </c>
      <c r="AD28" s="19">
        <v>26</v>
      </c>
      <c r="AE28" s="19">
        <v>19</v>
      </c>
      <c r="AF28" s="19">
        <v>98</v>
      </c>
      <c r="AG28" s="19">
        <v>42</v>
      </c>
      <c r="AH28" s="19">
        <v>46</v>
      </c>
      <c r="AI28" s="19">
        <v>26</v>
      </c>
      <c r="AJ28" s="19">
        <v>17</v>
      </c>
      <c r="AK28" s="19">
        <v>27</v>
      </c>
      <c r="AL28" s="19">
        <v>24</v>
      </c>
      <c r="AM28" s="19">
        <v>27</v>
      </c>
      <c r="AN28" s="19">
        <v>70</v>
      </c>
      <c r="AO28" s="19">
        <v>42</v>
      </c>
      <c r="AP28" s="4">
        <v>3</v>
      </c>
      <c r="AQ28" s="4" t="s">
        <v>129</v>
      </c>
      <c r="AR28" s="36" t="s">
        <v>130</v>
      </c>
      <c r="AS28" s="4" t="s">
        <v>129</v>
      </c>
      <c r="AT28" s="4" t="s">
        <v>129</v>
      </c>
    </row>
    <row r="29" spans="1:1013" ht="28.15" customHeight="1" x14ac:dyDescent="0.25">
      <c r="A29" s="22" t="s">
        <v>121</v>
      </c>
      <c r="B29" s="29" t="s">
        <v>126</v>
      </c>
      <c r="C29" s="23" t="s">
        <v>83</v>
      </c>
      <c r="D29" s="30">
        <v>41</v>
      </c>
      <c r="E29" s="30">
        <v>55</v>
      </c>
      <c r="F29" s="23" t="s">
        <v>46</v>
      </c>
      <c r="G29" s="30" t="s">
        <v>34</v>
      </c>
      <c r="H29" s="17" t="s">
        <v>82</v>
      </c>
      <c r="I29" s="19">
        <v>47</v>
      </c>
      <c r="J29" s="19">
        <v>60</v>
      </c>
      <c r="K29" s="19">
        <v>20</v>
      </c>
      <c r="L29" s="19">
        <v>15</v>
      </c>
      <c r="M29" s="19">
        <v>110</v>
      </c>
      <c r="N29" s="19">
        <v>106</v>
      </c>
      <c r="O29" s="19">
        <v>112</v>
      </c>
      <c r="P29" s="19">
        <v>73</v>
      </c>
      <c r="Q29" s="19">
        <v>43</v>
      </c>
      <c r="R29" s="19">
        <v>47</v>
      </c>
      <c r="S29" s="19">
        <v>61</v>
      </c>
      <c r="T29" s="19">
        <v>19</v>
      </c>
      <c r="U29" s="19">
        <v>13</v>
      </c>
      <c r="V29" s="19">
        <v>29</v>
      </c>
      <c r="W29" s="19">
        <v>27</v>
      </c>
      <c r="X29" s="19">
        <v>29</v>
      </c>
      <c r="Y29" s="19">
        <v>72</v>
      </c>
      <c r="Z29" s="19">
        <v>92</v>
      </c>
      <c r="AA29" s="19">
        <v>110</v>
      </c>
      <c r="AB29" s="19">
        <v>68</v>
      </c>
      <c r="AC29" s="19">
        <v>34</v>
      </c>
      <c r="AD29" s="19">
        <v>25</v>
      </c>
      <c r="AE29" s="19">
        <v>22</v>
      </c>
      <c r="AF29" s="19">
        <v>96</v>
      </c>
      <c r="AG29" s="19">
        <v>43</v>
      </c>
      <c r="AH29" s="19">
        <v>47</v>
      </c>
      <c r="AI29" s="19">
        <v>25</v>
      </c>
      <c r="AJ29" s="19">
        <v>19</v>
      </c>
      <c r="AK29" s="19">
        <v>29</v>
      </c>
      <c r="AL29" s="19">
        <v>27</v>
      </c>
      <c r="AM29" s="19">
        <v>29</v>
      </c>
      <c r="AN29" s="19">
        <v>72</v>
      </c>
      <c r="AO29" s="19">
        <v>43</v>
      </c>
      <c r="AP29" s="4">
        <v>3</v>
      </c>
      <c r="AQ29" s="4" t="s">
        <v>129</v>
      </c>
      <c r="AR29" s="36" t="s">
        <v>130</v>
      </c>
      <c r="AS29" s="4" t="s">
        <v>129</v>
      </c>
      <c r="AT29" s="4" t="s">
        <v>129</v>
      </c>
    </row>
    <row r="30" spans="1:1013" ht="28.15" customHeight="1" x14ac:dyDescent="0.25">
      <c r="A30" s="22" t="s">
        <v>122</v>
      </c>
      <c r="B30" s="29" t="s">
        <v>127</v>
      </c>
      <c r="C30" s="23" t="s">
        <v>83</v>
      </c>
      <c r="D30" s="30">
        <v>40</v>
      </c>
      <c r="E30" s="30">
        <v>57</v>
      </c>
      <c r="F30" s="23" t="s">
        <v>46</v>
      </c>
      <c r="G30" s="30" t="s">
        <v>32</v>
      </c>
      <c r="H30" s="17" t="s">
        <v>82</v>
      </c>
      <c r="I30" s="19">
        <v>44</v>
      </c>
      <c r="J30" s="19">
        <v>56</v>
      </c>
      <c r="K30" s="19">
        <v>19</v>
      </c>
      <c r="L30" s="19">
        <v>14</v>
      </c>
      <c r="M30" s="19">
        <v>98</v>
      </c>
      <c r="N30" s="19">
        <v>94</v>
      </c>
      <c r="O30" s="19">
        <v>104</v>
      </c>
      <c r="P30" s="19">
        <v>69</v>
      </c>
      <c r="Q30" s="19">
        <v>42</v>
      </c>
      <c r="R30" s="19">
        <v>44</v>
      </c>
      <c r="S30" s="19">
        <v>57</v>
      </c>
      <c r="T30" s="19">
        <v>17</v>
      </c>
      <c r="U30" s="19">
        <v>13</v>
      </c>
      <c r="V30" s="19">
        <v>28</v>
      </c>
      <c r="W30" s="19">
        <v>26</v>
      </c>
      <c r="X30" s="19">
        <v>28</v>
      </c>
      <c r="Y30" s="19">
        <v>68</v>
      </c>
      <c r="Z30" s="19">
        <v>86</v>
      </c>
      <c r="AA30" s="19">
        <v>101</v>
      </c>
      <c r="AB30" s="19">
        <v>66</v>
      </c>
      <c r="AC30" s="19">
        <v>33</v>
      </c>
      <c r="AD30" s="19">
        <v>26</v>
      </c>
      <c r="AE30" s="19">
        <v>21</v>
      </c>
      <c r="AF30" s="18">
        <v>95</v>
      </c>
      <c r="AG30" s="19">
        <v>42</v>
      </c>
      <c r="AH30" s="19">
        <v>44</v>
      </c>
      <c r="AI30" s="19">
        <v>24</v>
      </c>
      <c r="AJ30" s="19">
        <v>17</v>
      </c>
      <c r="AK30" s="19">
        <v>28</v>
      </c>
      <c r="AL30" s="19">
        <v>26</v>
      </c>
      <c r="AM30" s="19">
        <v>28</v>
      </c>
      <c r="AN30" s="19">
        <v>68</v>
      </c>
      <c r="AO30" s="19">
        <v>42</v>
      </c>
      <c r="AP30" s="4">
        <v>3</v>
      </c>
      <c r="AQ30" s="4" t="s">
        <v>129</v>
      </c>
      <c r="AR30" s="36" t="s">
        <v>130</v>
      </c>
      <c r="AS30" s="4" t="s">
        <v>129</v>
      </c>
      <c r="AT30" s="4" t="s">
        <v>129</v>
      </c>
    </row>
    <row r="31" spans="1:1013" ht="28.15" customHeight="1" x14ac:dyDescent="0.25">
      <c r="A31" s="22" t="s">
        <v>123</v>
      </c>
      <c r="B31" s="29" t="s">
        <v>128</v>
      </c>
      <c r="C31" s="23" t="s">
        <v>83</v>
      </c>
      <c r="D31" s="30">
        <v>45</v>
      </c>
      <c r="E31" s="30">
        <v>58</v>
      </c>
      <c r="F31" s="23" t="s">
        <v>46</v>
      </c>
      <c r="G31" s="30" t="s">
        <v>36</v>
      </c>
      <c r="H31" s="17" t="s">
        <v>82</v>
      </c>
      <c r="I31" s="19">
        <v>55</v>
      </c>
      <c r="J31" s="19">
        <v>61</v>
      </c>
      <c r="K31" s="19">
        <v>22</v>
      </c>
      <c r="L31" s="19">
        <v>16</v>
      </c>
      <c r="M31" s="19">
        <v>140</v>
      </c>
      <c r="N31" s="19">
        <v>132</v>
      </c>
      <c r="O31" s="19">
        <v>140</v>
      </c>
      <c r="P31" s="19">
        <v>80</v>
      </c>
      <c r="Q31" s="19">
        <v>48</v>
      </c>
      <c r="R31" s="19">
        <v>55</v>
      </c>
      <c r="S31" s="19">
        <v>62</v>
      </c>
      <c r="T31" s="19">
        <v>21</v>
      </c>
      <c r="U31" s="19">
        <v>13</v>
      </c>
      <c r="V31" s="19">
        <v>34</v>
      </c>
      <c r="W31" s="19">
        <v>34</v>
      </c>
      <c r="X31" s="19">
        <v>34</v>
      </c>
      <c r="Y31" s="19">
        <v>79</v>
      </c>
      <c r="Z31" s="19">
        <v>120</v>
      </c>
      <c r="AA31" s="19">
        <v>135</v>
      </c>
      <c r="AB31" s="19">
        <v>75</v>
      </c>
      <c r="AC31" s="19">
        <v>41</v>
      </c>
      <c r="AD31" s="19">
        <v>30</v>
      </c>
      <c r="AE31" s="19">
        <v>23</v>
      </c>
      <c r="AF31" s="19">
        <v>98</v>
      </c>
      <c r="AG31" s="19">
        <v>48</v>
      </c>
      <c r="AH31" s="19">
        <v>55</v>
      </c>
      <c r="AI31" s="19">
        <v>26</v>
      </c>
      <c r="AJ31" s="19">
        <v>21</v>
      </c>
      <c r="AK31" s="19">
        <v>34</v>
      </c>
      <c r="AL31" s="19">
        <v>34</v>
      </c>
      <c r="AM31" s="19">
        <v>34</v>
      </c>
      <c r="AN31" s="19">
        <v>79</v>
      </c>
      <c r="AO31" s="19">
        <v>48</v>
      </c>
      <c r="AP31" s="4">
        <v>3</v>
      </c>
      <c r="AQ31" s="4" t="s">
        <v>129</v>
      </c>
      <c r="AR31" s="36" t="s">
        <v>130</v>
      </c>
      <c r="AS31" s="4" t="s">
        <v>129</v>
      </c>
      <c r="AT31" s="4" t="s">
        <v>129</v>
      </c>
    </row>
    <row r="32" spans="1:1013" x14ac:dyDescent="0.25">
      <c r="AG32" s="18"/>
    </row>
    <row r="33" spans="32:33" x14ac:dyDescent="0.25">
      <c r="AG33" s="18"/>
    </row>
    <row r="34" spans="32:33" x14ac:dyDescent="0.25">
      <c r="AF34" s="19"/>
    </row>
    <row r="35" spans="32:33" x14ac:dyDescent="0.25">
      <c r="AG35" s="18"/>
    </row>
  </sheetData>
  <phoneticPr fontId="20" type="noConversion"/>
  <pageMargins left="0.2755905511811023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81"/>
  <sheetViews>
    <sheetView tabSelected="1" topLeftCell="A4" zoomScale="115" zoomScaleNormal="115" workbookViewId="0">
      <selection activeCell="B24" sqref="B24:B30"/>
    </sheetView>
  </sheetViews>
  <sheetFormatPr defaultColWidth="8.5703125" defaultRowHeight="15" x14ac:dyDescent="0.25"/>
  <cols>
    <col min="1" max="1" width="13.140625" bestFit="1" customWidth="1"/>
    <col min="2" max="2" width="16" bestFit="1" customWidth="1"/>
    <col min="3" max="3" width="11.28515625" bestFit="1" customWidth="1"/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COUNTIF(SEMUA!$G$2:$G$26,REKAP!A4)</f>
        <v>9</v>
      </c>
      <c r="C4">
        <v>2</v>
      </c>
      <c r="D4">
        <v>37</v>
      </c>
      <c r="E4">
        <f>COUNTIF(SEMUA!$D$1:$D$26,D4)</f>
        <v>0</v>
      </c>
      <c r="J4" s="7">
        <v>53</v>
      </c>
      <c r="K4">
        <f>COUNTIF(SEMUA!$E$2:$E$26,J4)</f>
        <v>1</v>
      </c>
      <c r="M4" s="6">
        <v>1</v>
      </c>
      <c r="N4" s="6" t="s">
        <v>57</v>
      </c>
      <c r="O4">
        <f>COUNTIF(SEMUA!$C$1:$C$26,REKAP!N4)</f>
        <v>0</v>
      </c>
    </row>
    <row r="5" spans="1:15" ht="15.75" x14ac:dyDescent="0.25">
      <c r="A5" s="6" t="s">
        <v>31</v>
      </c>
      <c r="B5">
        <f>COUNTIF(SEMUA!$G$2:$G$26,REKAP!A5)</f>
        <v>4</v>
      </c>
      <c r="D5">
        <v>38</v>
      </c>
      <c r="E5">
        <f>COUNTIF(SEMUA!$D$1:$D$26,D5)</f>
        <v>0</v>
      </c>
      <c r="J5" s="7">
        <v>54</v>
      </c>
      <c r="K5">
        <f>COUNTIF(SEMUA!$E$2:$E$26,J5)</f>
        <v>2</v>
      </c>
      <c r="M5" s="6"/>
      <c r="N5" s="6"/>
    </row>
    <row r="6" spans="1:15" ht="15.75" x14ac:dyDescent="0.25">
      <c r="A6" s="6" t="s">
        <v>35</v>
      </c>
      <c r="B6">
        <f>COUNTIF(SEMUA!$G$2:$G$26,REKAP!A6)</f>
        <v>0</v>
      </c>
      <c r="D6" s="7">
        <v>39</v>
      </c>
      <c r="E6">
        <f>COUNTIF(SEMUA!$D$1:$D$26,D6)</f>
        <v>2</v>
      </c>
      <c r="G6">
        <f>F6+E6</f>
        <v>2</v>
      </c>
      <c r="H6">
        <v>2</v>
      </c>
      <c r="J6" s="7">
        <v>55</v>
      </c>
      <c r="K6">
        <f>COUNTIF(SEMUA!$E$2:$E$26,J6)</f>
        <v>4</v>
      </c>
      <c r="M6" s="6"/>
      <c r="N6" s="6"/>
    </row>
    <row r="7" spans="1:15" ht="15.75" x14ac:dyDescent="0.25">
      <c r="A7" s="6" t="s">
        <v>34</v>
      </c>
      <c r="B7">
        <f>COUNTIF(SEMUA!$G$2:$G$26,REKAP!A7)</f>
        <v>9</v>
      </c>
      <c r="C7">
        <v>2</v>
      </c>
      <c r="D7" s="7">
        <v>40</v>
      </c>
      <c r="E7">
        <f>COUNTIF(SEMUA!$D$1:$D$26,D7)</f>
        <v>4</v>
      </c>
      <c r="F7">
        <v>9</v>
      </c>
      <c r="G7">
        <f t="shared" ref="G7:G13" si="0">F7+E7</f>
        <v>13</v>
      </c>
      <c r="J7" s="7">
        <v>56</v>
      </c>
      <c r="K7">
        <f>COUNTIF(SEMUA!$E$2:$E$26,J7)</f>
        <v>7</v>
      </c>
      <c r="M7" s="6"/>
      <c r="N7" s="6"/>
    </row>
    <row r="8" spans="1:15" ht="15.75" x14ac:dyDescent="0.25">
      <c r="A8" s="6" t="s">
        <v>33</v>
      </c>
      <c r="B8">
        <f>COUNTIF(SEMUA!$G$2:$G$26,REKAP!A8)</f>
        <v>3</v>
      </c>
      <c r="C8">
        <v>1</v>
      </c>
      <c r="D8" s="7">
        <v>41</v>
      </c>
      <c r="E8">
        <f>COUNTIF(SEMUA!$D$1:$D$26,D8)</f>
        <v>5</v>
      </c>
      <c r="F8">
        <v>7</v>
      </c>
      <c r="G8">
        <f t="shared" si="0"/>
        <v>12</v>
      </c>
      <c r="J8" s="7">
        <v>57</v>
      </c>
      <c r="K8">
        <f>COUNTIF(SEMUA!$E$2:$E$26,J8)</f>
        <v>5</v>
      </c>
      <c r="M8" s="6"/>
      <c r="N8" s="6"/>
    </row>
    <row r="9" spans="1:15" ht="15.75" x14ac:dyDescent="0.25">
      <c r="A9" s="6" t="s">
        <v>36</v>
      </c>
      <c r="B9">
        <f>COUNTIF(SEMUA!$G$2:$G$26,REKAP!A9)</f>
        <v>0</v>
      </c>
      <c r="D9" s="7">
        <v>42</v>
      </c>
      <c r="E9">
        <f>COUNTIF(SEMUA!$D$1:$D$26,D9)</f>
        <v>11</v>
      </c>
      <c r="F9">
        <v>11</v>
      </c>
      <c r="G9">
        <f t="shared" si="0"/>
        <v>22</v>
      </c>
      <c r="J9" s="7">
        <v>58</v>
      </c>
      <c r="K9">
        <f>COUNTIF(SEMUA!$E$2:$E$26,J9)</f>
        <v>2</v>
      </c>
      <c r="M9" s="6"/>
    </row>
    <row r="10" spans="1:15" ht="15.75" x14ac:dyDescent="0.25">
      <c r="A10" s="6" t="s">
        <v>37</v>
      </c>
      <c r="B10">
        <f>COUNTIF(SEMUA!$G$2:$G$26,REKAP!A10)</f>
        <v>0</v>
      </c>
      <c r="D10" s="7">
        <v>43</v>
      </c>
      <c r="E10">
        <f>COUNTIF(SEMUA!$D$1:$D$26,D10)</f>
        <v>2</v>
      </c>
      <c r="F10">
        <v>7</v>
      </c>
      <c r="G10">
        <f t="shared" si="0"/>
        <v>9</v>
      </c>
      <c r="J10" s="7">
        <v>59</v>
      </c>
      <c r="K10">
        <f>COUNTIF(SEMUA!$E$2:$E$26,J10)</f>
        <v>3</v>
      </c>
      <c r="M10" s="6"/>
    </row>
    <row r="11" spans="1:15" ht="15.75" x14ac:dyDescent="0.25">
      <c r="A11" s="8" t="s">
        <v>44</v>
      </c>
      <c r="B11" s="9">
        <f>SUM(B4:B10)</f>
        <v>25</v>
      </c>
      <c r="C11" s="9"/>
      <c r="D11" s="7">
        <v>44</v>
      </c>
      <c r="E11">
        <f>COUNTIF(SEMUA!$D$1:$D$26,D11)</f>
        <v>1</v>
      </c>
      <c r="G11">
        <f t="shared" si="0"/>
        <v>1</v>
      </c>
      <c r="J11" s="1">
        <v>60</v>
      </c>
      <c r="K11">
        <f>COUNTIF(SEMUA!$E$2:$E$26,J11)</f>
        <v>1</v>
      </c>
      <c r="M11" s="6"/>
    </row>
    <row r="12" spans="1:15" ht="15.75" x14ac:dyDescent="0.25">
      <c r="D12" s="7">
        <v>45</v>
      </c>
      <c r="E12">
        <f>COUNTIF(SEMUA!$D$1:$D$26,D12)</f>
        <v>0</v>
      </c>
      <c r="G12">
        <f t="shared" si="0"/>
        <v>0</v>
      </c>
      <c r="K12">
        <f>SUM(K4:K11)</f>
        <v>25</v>
      </c>
      <c r="M12" s="6"/>
    </row>
    <row r="13" spans="1:15" ht="15.75" x14ac:dyDescent="0.25">
      <c r="D13" s="7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7"/>
      <c r="E14">
        <f>SUM(E4:E13)</f>
        <v>25</v>
      </c>
      <c r="F14">
        <f>SUM(F4:F13)</f>
        <v>34</v>
      </c>
      <c r="G14">
        <f>SUM(G4:G13)</f>
        <v>59</v>
      </c>
    </row>
    <row r="15" spans="1:15" ht="15.75" x14ac:dyDescent="0.25">
      <c r="D15" s="7"/>
    </row>
    <row r="16" spans="1:15" ht="15.75" x14ac:dyDescent="0.25">
      <c r="D16" s="7"/>
    </row>
    <row r="17" spans="1:6" ht="15.75" x14ac:dyDescent="0.25">
      <c r="D17" s="7" t="s">
        <v>101</v>
      </c>
      <c r="E17">
        <v>38</v>
      </c>
      <c r="F17">
        <v>1</v>
      </c>
    </row>
    <row r="18" spans="1:6" ht="15.75" x14ac:dyDescent="0.25">
      <c r="D18" s="7"/>
      <c r="E18">
        <v>44</v>
      </c>
      <c r="F18">
        <v>1</v>
      </c>
    </row>
    <row r="19" spans="1:6" ht="15.75" x14ac:dyDescent="0.25">
      <c r="D19" s="7"/>
    </row>
    <row r="20" spans="1:6" ht="15.75" x14ac:dyDescent="0.25">
      <c r="D20" s="7"/>
    </row>
    <row r="21" spans="1:6" ht="15.75" x14ac:dyDescent="0.25">
      <c r="D21" s="7"/>
    </row>
    <row r="22" spans="1:6" ht="15.75" x14ac:dyDescent="0.25">
      <c r="D22" s="7"/>
    </row>
    <row r="23" spans="1:6" ht="15.75" x14ac:dyDescent="0.25">
      <c r="A23" s="37" t="s">
        <v>133</v>
      </c>
      <c r="B23" t="s">
        <v>135</v>
      </c>
      <c r="D23" s="7"/>
    </row>
    <row r="24" spans="1:6" ht="15.75" x14ac:dyDescent="0.25">
      <c r="A24" s="38">
        <v>39</v>
      </c>
      <c r="B24" s="39">
        <v>2</v>
      </c>
      <c r="D24" s="7"/>
    </row>
    <row r="25" spans="1:6" ht="15.75" x14ac:dyDescent="0.25">
      <c r="A25" s="38">
        <v>40</v>
      </c>
      <c r="B25" s="39">
        <v>6</v>
      </c>
      <c r="D25" s="7"/>
    </row>
    <row r="26" spans="1:6" ht="15.75" x14ac:dyDescent="0.25">
      <c r="A26" s="38">
        <v>41</v>
      </c>
      <c r="B26" s="39">
        <v>7</v>
      </c>
      <c r="D26" s="7"/>
    </row>
    <row r="27" spans="1:6" ht="15.75" x14ac:dyDescent="0.25">
      <c r="A27" s="38">
        <v>42</v>
      </c>
      <c r="B27" s="39">
        <v>11</v>
      </c>
      <c r="D27" s="7"/>
    </row>
    <row r="28" spans="1:6" ht="15.75" x14ac:dyDescent="0.25">
      <c r="A28" s="38">
        <v>43</v>
      </c>
      <c r="B28" s="39">
        <v>2</v>
      </c>
      <c r="D28" s="7"/>
    </row>
    <row r="29" spans="1:6" ht="15.75" x14ac:dyDescent="0.25">
      <c r="A29" s="38">
        <v>44</v>
      </c>
      <c r="B29" s="39">
        <v>1</v>
      </c>
      <c r="D29" s="7"/>
    </row>
    <row r="30" spans="1:6" ht="15.75" x14ac:dyDescent="0.25">
      <c r="A30" s="38">
        <v>45</v>
      </c>
      <c r="B30" s="39">
        <v>1</v>
      </c>
      <c r="D30" s="7"/>
    </row>
    <row r="31" spans="1:6" ht="15.75" x14ac:dyDescent="0.25">
      <c r="A31" s="38" t="s">
        <v>134</v>
      </c>
      <c r="B31" s="39">
        <v>30</v>
      </c>
      <c r="D31" s="7"/>
    </row>
    <row r="32" spans="1:6" ht="15.75" x14ac:dyDescent="0.25">
      <c r="D32" s="7"/>
    </row>
    <row r="33" spans="4:4" ht="15.75" x14ac:dyDescent="0.25">
      <c r="D33" s="7"/>
    </row>
    <row r="34" spans="4:4" ht="15.75" x14ac:dyDescent="0.25">
      <c r="D34" s="7"/>
    </row>
    <row r="35" spans="4:4" ht="15.75" x14ac:dyDescent="0.25">
      <c r="D35" s="7"/>
    </row>
    <row r="36" spans="4:4" ht="15.75" x14ac:dyDescent="0.25">
      <c r="D36" s="7"/>
    </row>
    <row r="37" spans="4:4" ht="15.75" x14ac:dyDescent="0.25">
      <c r="D37" s="7"/>
    </row>
    <row r="38" spans="4:4" ht="15.75" x14ac:dyDescent="0.25">
      <c r="D38" s="7"/>
    </row>
    <row r="39" spans="4:4" ht="15.75" x14ac:dyDescent="0.25">
      <c r="D39" s="7"/>
    </row>
    <row r="40" spans="4:4" ht="15.75" x14ac:dyDescent="0.25">
      <c r="D40" s="7"/>
    </row>
    <row r="41" spans="4:4" ht="15.75" x14ac:dyDescent="0.25">
      <c r="D41" s="7"/>
    </row>
    <row r="42" spans="4:4" ht="15.75" x14ac:dyDescent="0.25">
      <c r="D42" s="7"/>
    </row>
    <row r="43" spans="4:4" ht="15.75" x14ac:dyDescent="0.25">
      <c r="D43" s="7"/>
    </row>
    <row r="44" spans="4:4" ht="15.75" x14ac:dyDescent="0.25">
      <c r="D44" s="7"/>
    </row>
    <row r="45" spans="4:4" ht="15.75" x14ac:dyDescent="0.25">
      <c r="D45" s="7"/>
    </row>
    <row r="46" spans="4:4" ht="15.75" x14ac:dyDescent="0.25">
      <c r="D46" s="7"/>
    </row>
    <row r="47" spans="4:4" ht="15.75" x14ac:dyDescent="0.25">
      <c r="D47" s="7"/>
    </row>
    <row r="48" spans="4:4" ht="15.75" x14ac:dyDescent="0.25">
      <c r="D48" s="7"/>
    </row>
    <row r="49" spans="4:4" ht="15.75" x14ac:dyDescent="0.25">
      <c r="D49" s="7"/>
    </row>
    <row r="50" spans="4:4" ht="15.75" x14ac:dyDescent="0.25">
      <c r="D50" s="7"/>
    </row>
    <row r="51" spans="4:4" ht="15.75" x14ac:dyDescent="0.25">
      <c r="D51" s="7"/>
    </row>
    <row r="52" spans="4:4" ht="15.75" x14ac:dyDescent="0.25">
      <c r="D52" s="7"/>
    </row>
    <row r="53" spans="4:4" ht="15.75" x14ac:dyDescent="0.25">
      <c r="D53" s="7"/>
    </row>
    <row r="54" spans="4:4" ht="15.75" x14ac:dyDescent="0.25">
      <c r="D54" s="7"/>
    </row>
    <row r="55" spans="4:4" ht="15.75" x14ac:dyDescent="0.25">
      <c r="D55" s="7"/>
    </row>
    <row r="56" spans="4:4" ht="15.75" x14ac:dyDescent="0.25">
      <c r="D56" s="7"/>
    </row>
    <row r="57" spans="4:4" ht="15.75" x14ac:dyDescent="0.25">
      <c r="D57" s="7"/>
    </row>
    <row r="58" spans="4:4" ht="15.75" x14ac:dyDescent="0.25">
      <c r="D58" s="7"/>
    </row>
    <row r="59" spans="4:4" ht="15.75" x14ac:dyDescent="0.25">
      <c r="D59" s="7"/>
    </row>
    <row r="60" spans="4:4" ht="15.75" x14ac:dyDescent="0.25">
      <c r="D60" s="7"/>
    </row>
    <row r="61" spans="4:4" ht="15.75" x14ac:dyDescent="0.25">
      <c r="D61" s="7"/>
    </row>
    <row r="62" spans="4:4" ht="15.75" x14ac:dyDescent="0.25">
      <c r="D62" s="7"/>
    </row>
    <row r="63" spans="4:4" ht="15.75" x14ac:dyDescent="0.25">
      <c r="D63" s="7"/>
    </row>
    <row r="64" spans="4:4" ht="15.75" x14ac:dyDescent="0.25">
      <c r="D64" s="7"/>
    </row>
    <row r="65" spans="4:4" ht="15.75" x14ac:dyDescent="0.25">
      <c r="D65" s="7"/>
    </row>
    <row r="66" spans="4:4" ht="15.75" x14ac:dyDescent="0.25">
      <c r="D66" s="7"/>
    </row>
    <row r="67" spans="4:4" ht="15.75" x14ac:dyDescent="0.25">
      <c r="D67" s="7"/>
    </row>
    <row r="68" spans="4:4" ht="15.75" x14ac:dyDescent="0.25">
      <c r="D68" s="7"/>
    </row>
    <row r="69" spans="4:4" ht="15.75" x14ac:dyDescent="0.25">
      <c r="D69" s="7"/>
    </row>
    <row r="70" spans="4:4" ht="15.75" x14ac:dyDescent="0.25">
      <c r="D70" s="7"/>
    </row>
    <row r="71" spans="4:4" ht="15.75" x14ac:dyDescent="0.25">
      <c r="D71" s="7"/>
    </row>
    <row r="72" spans="4:4" ht="15.75" x14ac:dyDescent="0.25">
      <c r="D72" s="7"/>
    </row>
    <row r="73" spans="4:4" ht="15.75" x14ac:dyDescent="0.25">
      <c r="D73" s="7"/>
    </row>
    <row r="74" spans="4:4" ht="15.75" x14ac:dyDescent="0.25">
      <c r="D74" s="7"/>
    </row>
    <row r="75" spans="4:4" ht="15.75" x14ac:dyDescent="0.25">
      <c r="D75" s="7"/>
    </row>
    <row r="76" spans="4:4" ht="15.75" x14ac:dyDescent="0.25">
      <c r="D76" s="7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M4:M153">
    <sortCondition ref="M4:M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2021-07-01T03:37:07Z</cp:lastPrinted>
  <dcterms:created xsi:type="dcterms:W3CDTF">2016-10-31T03:59:44Z</dcterms:created>
  <dcterms:modified xsi:type="dcterms:W3CDTF">2022-02-04T22:51:49Z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