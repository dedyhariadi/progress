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79. UHT PDH - PINKTUA\"/>
    </mc:Choice>
  </mc:AlternateContent>
  <xr:revisionPtr revIDLastSave="0" documentId="13_ncr:1_{4B7BD235-DEA2-4D75-B17E-641F2F0C31D6}" xr6:coauthVersionLast="46" xr6:coauthVersionMax="46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blm ukur 17022021" sheetId="11" r:id="rId2"/>
    <sheet name="CETAK 41ORG KE DUA" sheetId="17" r:id="rId3"/>
    <sheet name="UKUR 17s.d.24 feb 2021" sheetId="14" r:id="rId4"/>
    <sheet name="history setor" sheetId="9" r:id="rId5"/>
    <sheet name="Sheet4" sheetId="12" r:id="rId6"/>
    <sheet name="CETAK" sheetId="3" r:id="rId7"/>
    <sheet name="REKAP" sheetId="4" r:id="rId8"/>
    <sheet name="FORM REVISI UK" sheetId="5" r:id="rId9"/>
    <sheet name="CETAK GEL I" sheetId="6" r:id="rId10"/>
    <sheet name="serah trima 1 (46org)" sheetId="7" r:id="rId11"/>
    <sheet name="serah trima 2 (7org)" sheetId="8" r:id="rId12"/>
  </sheets>
  <definedNames>
    <definedName name="_xlnm._FilterDatabase" localSheetId="1" hidden="1">'blm ukur 17022021'!$A$1:$W$58</definedName>
    <definedName name="_xlnm._FilterDatabase" localSheetId="6">CETAK!$A$1:$M$117</definedName>
    <definedName name="_xlnm._FilterDatabase" localSheetId="2" hidden="1">'CETAK 41ORG KE DUA'!$B$1:$M$43</definedName>
    <definedName name="_xlnm._FilterDatabase" localSheetId="9">'CETAK GEL I'!$B$1:$U$105</definedName>
    <definedName name="_xlnm._FilterDatabase" localSheetId="8">'FORM REVISI UK'!$A$1:$X$53</definedName>
    <definedName name="_xlnm._FilterDatabase" localSheetId="4" hidden="1">'history setor'!$A$1:$X$113</definedName>
    <definedName name="_xlnm._FilterDatabase" localSheetId="0" hidden="1">SEMUA!$A$1:$X$113</definedName>
    <definedName name="_xlnm._FilterDatabase" localSheetId="10">'serah trima 1 (46org)'!$B$1:$U$93</definedName>
    <definedName name="_xlnm._FilterDatabase" localSheetId="11">'serah trima 2 (7org)'!$B$1:$U$15</definedName>
    <definedName name="_xlnm._FilterDatabase" localSheetId="3" hidden="1">'UKUR 17s.d.24 feb 2021'!$A$4:$N$36</definedName>
    <definedName name="_xlnm.Print_Titles" localSheetId="1">'blm ukur 17022021'!$1:$1</definedName>
    <definedName name="_xlnm.Print_Titles" localSheetId="6">CETAK!$1:$1</definedName>
    <definedName name="_xlnm.Print_Titles" localSheetId="2">'CETAK 41ORG KE DUA'!$1:$1</definedName>
    <definedName name="_xlnm.Print_Titles" localSheetId="9">'CETAK GEL I'!$1:$1</definedName>
    <definedName name="_xlnm.Print_Titles" localSheetId="8">'FORM REVISI UK'!$1:$1</definedName>
    <definedName name="_xlnm.Print_Titles" localSheetId="7">REKAP!$1:$1</definedName>
    <definedName name="_xlnm.Print_Titles" localSheetId="10">'serah trima 1 (46org)'!$1:$1</definedName>
    <definedName name="_xlnm.Print_Titles" localSheetId="11">'serah trima 2 (7org)'!$1:$1</definedName>
    <definedName name="_xlnm.Print_Titles" localSheetId="3">'UKUR 17s.d.24 feb 2021'!$4:$4</definedName>
    <definedName name="Print_Titles_0" localSheetId="7">REKAP!$1:$1</definedName>
  </definedNames>
  <calcPr calcId="191029" iterateDelta="1E-4"/>
</workbook>
</file>

<file path=xl/calcChain.xml><?xml version="1.0" encoding="utf-8"?>
<calcChain xmlns="http://schemas.openxmlformats.org/spreadsheetml/2006/main">
  <c r="C10" i="12" l="1"/>
  <c r="C12" i="12" s="1"/>
  <c r="D36" i="4"/>
  <c r="C35" i="4"/>
  <c r="C34" i="4"/>
  <c r="K33" i="4"/>
  <c r="C33" i="4"/>
  <c r="J32" i="4"/>
  <c r="G32" i="4"/>
  <c r="C32" i="4"/>
  <c r="J31" i="4"/>
  <c r="F31" i="4"/>
  <c r="C31" i="4"/>
  <c r="B31" i="4"/>
  <c r="J30" i="4"/>
  <c r="F30" i="4"/>
  <c r="C30" i="4"/>
  <c r="B30" i="4"/>
  <c r="J29" i="4"/>
  <c r="F29" i="4"/>
  <c r="C29" i="4"/>
  <c r="B29" i="4"/>
  <c r="M28" i="4"/>
  <c r="J28" i="4"/>
  <c r="F28" i="4"/>
  <c r="C28" i="4"/>
  <c r="B28" i="4"/>
  <c r="M27" i="4"/>
  <c r="J27" i="4"/>
  <c r="F27" i="4"/>
  <c r="C27" i="4"/>
  <c r="B27" i="4"/>
  <c r="M26" i="4"/>
  <c r="J26" i="4"/>
  <c r="F26" i="4"/>
  <c r="C26" i="4"/>
  <c r="M25" i="4"/>
  <c r="J25" i="4"/>
  <c r="F25" i="4"/>
  <c r="F32" i="4" s="1"/>
  <c r="C25" i="4"/>
  <c r="C36" i="4" s="1"/>
  <c r="M24" i="4"/>
  <c r="M29" i="4" s="1"/>
  <c r="J24" i="4"/>
  <c r="J33" i="4" s="1"/>
  <c r="D16" i="4"/>
  <c r="C15" i="4"/>
  <c r="C14" i="4"/>
  <c r="K13" i="4"/>
  <c r="C13" i="4"/>
  <c r="J12" i="4"/>
  <c r="H12" i="4"/>
  <c r="C12" i="4"/>
  <c r="J11" i="4"/>
  <c r="F11" i="4"/>
  <c r="C11" i="4"/>
  <c r="B11" i="4"/>
  <c r="J10" i="4"/>
  <c r="F10" i="4"/>
  <c r="C10" i="4"/>
  <c r="B10" i="4"/>
  <c r="J9" i="4"/>
  <c r="F9" i="4"/>
  <c r="C9" i="4"/>
  <c r="B9" i="4"/>
  <c r="J8" i="4"/>
  <c r="F8" i="4"/>
  <c r="C8" i="4"/>
  <c r="B8" i="4"/>
  <c r="J7" i="4"/>
  <c r="F7" i="4"/>
  <c r="C7" i="4"/>
  <c r="B7" i="4"/>
  <c r="M6" i="4"/>
  <c r="J6" i="4"/>
  <c r="F6" i="4"/>
  <c r="C6" i="4"/>
  <c r="M5" i="4"/>
  <c r="J5" i="4"/>
  <c r="F5" i="4"/>
  <c r="F12" i="4" s="1"/>
  <c r="C5" i="4"/>
  <c r="C16" i="4" s="1"/>
  <c r="M4" i="4"/>
  <c r="M9" i="4" s="1"/>
  <c r="J4" i="4"/>
  <c r="J13" i="4" s="1"/>
</calcChain>
</file>

<file path=xl/sharedStrings.xml><?xml version="1.0" encoding="utf-8"?>
<sst xmlns="http://schemas.openxmlformats.org/spreadsheetml/2006/main" count="5405" uniqueCount="546">
  <si>
    <t>NO</t>
  </si>
  <si>
    <t>NAMA</t>
  </si>
  <si>
    <t>PERUT</t>
  </si>
  <si>
    <t>PNJG CLNAA</t>
  </si>
  <si>
    <t>KELAS</t>
  </si>
  <si>
    <t>GENDER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</si>
  <si>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</si>
  <si>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</si>
  <si>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</si>
  <si>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</si>
  <si>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</si>
  <si>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</si>
  <si>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</si>
  <si>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</si>
  <si>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</si>
  <si>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</si>
  <si>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</si>
  <si>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</si>
  <si>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</si>
  <si>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</si>
  <si>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</si>
  <si>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</si>
  <si>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KET</t>
  </si>
  <si>
    <t>CETAK</t>
  </si>
  <si>
    <t>C1</t>
  </si>
  <si>
    <t>FERNANDA DHEA REVANI</t>
  </si>
  <si>
    <t>UHT-TEKNIKA</t>
  </si>
  <si>
    <t>2020.01.2.0001</t>
  </si>
  <si>
    <t>C2</t>
  </si>
  <si>
    <t>REDA ARDI PRADANA</t>
  </si>
  <si>
    <t>2020.01.2.0002</t>
  </si>
  <si>
    <t>C3</t>
  </si>
  <si>
    <t>SANDHY DWI KURNIACIPTA</t>
  </si>
  <si>
    <t>2020.01.2.0003</t>
  </si>
  <si>
    <t>C4</t>
  </si>
  <si>
    <t>JEREMY SURYADHARMA M.</t>
  </si>
  <si>
    <t>2020.01.2.0004</t>
  </si>
  <si>
    <t>C5</t>
  </si>
  <si>
    <t>AHMAD FADHILAH AKBAR</t>
  </si>
  <si>
    <t>2020.01.2.0005</t>
  </si>
  <si>
    <t>C6</t>
  </si>
  <si>
    <t>MOHAMMAD ALFIN MAULANA</t>
  </si>
  <si>
    <t>2020.01.2.0006</t>
  </si>
  <si>
    <t>C7</t>
  </si>
  <si>
    <t>GHAFIKI HASAN MAULANA</t>
  </si>
  <si>
    <t>2020.01.2.0007</t>
  </si>
  <si>
    <t>C8</t>
  </si>
  <si>
    <t>SANDY SATRIA WIDJAYA</t>
  </si>
  <si>
    <t>2020.01.2.0008</t>
  </si>
  <si>
    <t>C9</t>
  </si>
  <si>
    <t>ALVIAN BAIHAQI</t>
  </si>
  <si>
    <t>2020.01.2.0009</t>
  </si>
  <si>
    <t>C10</t>
  </si>
  <si>
    <t>MATIAS DANIEL UNOLA</t>
  </si>
  <si>
    <t>2020.01.2.0010</t>
  </si>
  <si>
    <t>C11</t>
  </si>
  <si>
    <t>AHMAD TRI RAMADHAN</t>
  </si>
  <si>
    <t>2020.01.2.0011</t>
  </si>
  <si>
    <t>C12</t>
  </si>
  <si>
    <t>MOHAMMAD RISQI UBAIDILLAH</t>
  </si>
  <si>
    <t>2020.01.2.0012</t>
  </si>
  <si>
    <t>C13</t>
  </si>
  <si>
    <t>DICKY IZHA LAZUARDI F.</t>
  </si>
  <si>
    <t>2020.01.2.0013</t>
  </si>
  <si>
    <t>C14</t>
  </si>
  <si>
    <t>PANGERAN JOHANES ANGELIO FD.</t>
  </si>
  <si>
    <t>2020.01.2.0014</t>
  </si>
  <si>
    <t>C15</t>
  </si>
  <si>
    <t>FERDYAN ALAM SYAHPUTRA</t>
  </si>
  <si>
    <t>2020.01.2.0015</t>
  </si>
  <si>
    <t>C16</t>
  </si>
  <si>
    <t>MASRUL KHOIRUDIN</t>
  </si>
  <si>
    <t>2020.01.2.0016</t>
  </si>
  <si>
    <t>C17</t>
  </si>
  <si>
    <t>SOFIAN HAMID</t>
  </si>
  <si>
    <t>2020.01.2.0017</t>
  </si>
  <si>
    <t>C18</t>
  </si>
  <si>
    <t>SOFIAN HADI</t>
  </si>
  <si>
    <t>2020.01.2.0018</t>
  </si>
  <si>
    <t>C19</t>
  </si>
  <si>
    <t>MUHAMMAD SUGIANTO</t>
  </si>
  <si>
    <t>2020.01.2.0019</t>
  </si>
  <si>
    <t>C20</t>
  </si>
  <si>
    <t>JERIANTO KAPUANGAN</t>
  </si>
  <si>
    <t>2020.01.2.0020</t>
  </si>
  <si>
    <t>C21</t>
  </si>
  <si>
    <t>APRILIAN</t>
  </si>
  <si>
    <t>2020.01.2.0021</t>
  </si>
  <si>
    <t>C22</t>
  </si>
  <si>
    <t>SULTHAN GHIFARI RIZQULLAH</t>
  </si>
  <si>
    <t>2020.01.2.0022</t>
  </si>
  <si>
    <t>C23</t>
  </si>
  <si>
    <t>EDO ARI PUTRA</t>
  </si>
  <si>
    <t>2020.01.2.0023</t>
  </si>
  <si>
    <t>C24</t>
  </si>
  <si>
    <t>FATHUL BARI</t>
  </si>
  <si>
    <t>2020.01.2.0024</t>
  </si>
  <si>
    <t>C25</t>
  </si>
  <si>
    <t>MUHAMMAD FIRHAN ABDI</t>
  </si>
  <si>
    <t>2020.01.2.0025</t>
  </si>
  <si>
    <t>C26</t>
  </si>
  <si>
    <t>LA ODE ALFIAN SAPUTRA ZUBAIR</t>
  </si>
  <si>
    <t>2020.01.2.0026</t>
  </si>
  <si>
    <t>C27</t>
  </si>
  <si>
    <t>ARDITO BILAWAL ASSASUNAZAH</t>
  </si>
  <si>
    <t>2020.01.2.0027</t>
  </si>
  <si>
    <t>C28</t>
  </si>
  <si>
    <t>RIZKY DWI WAHYUDI</t>
  </si>
  <si>
    <t>2020.01.2.0028</t>
  </si>
  <si>
    <t>C29</t>
  </si>
  <si>
    <t>FASLANG A.G</t>
  </si>
  <si>
    <t>2020.01.2.0029</t>
  </si>
  <si>
    <t>C30</t>
  </si>
  <si>
    <t>AHMAD FAZIL ALBSAMID</t>
  </si>
  <si>
    <t>2020.01.2.0030</t>
  </si>
  <si>
    <t>C31</t>
  </si>
  <si>
    <t>MUHAMMAD MAULANA ISHAQ</t>
  </si>
  <si>
    <t>2020.01.2.0031</t>
  </si>
  <si>
    <t>D1</t>
  </si>
  <si>
    <t>ORLANDO HERMENEGILDO DCO</t>
  </si>
  <si>
    <t>UHT-NAUTIKA</t>
  </si>
  <si>
    <t>2020.01.1.0001</t>
  </si>
  <si>
    <t>D2</t>
  </si>
  <si>
    <t>PETRUS YOHANES BINTANG IJJS</t>
  </si>
  <si>
    <t>2020.01.1.0002</t>
  </si>
  <si>
    <t>D3</t>
  </si>
  <si>
    <t>SYAHRUL MUNIR</t>
  </si>
  <si>
    <t>2020.01.1.0003</t>
  </si>
  <si>
    <t>D4</t>
  </si>
  <si>
    <t>NANDA PUTRA ARDIANSYAH</t>
  </si>
  <si>
    <t>2020.01.1.0004</t>
  </si>
  <si>
    <t>D5</t>
  </si>
  <si>
    <t>YUDHA EKA PUTRA</t>
  </si>
  <si>
    <t>2020.01.1.0005</t>
  </si>
  <si>
    <t>D6</t>
  </si>
  <si>
    <t>OKY ARMYNDO</t>
  </si>
  <si>
    <t>2020.01.1.0006</t>
  </si>
  <si>
    <t>D7</t>
  </si>
  <si>
    <t>BACHTIAR BAGUS SAPUTRA</t>
  </si>
  <si>
    <t>2020.01.1.0007</t>
  </si>
  <si>
    <t>D8</t>
  </si>
  <si>
    <t>JOHAN DWI FIRMANSYAH</t>
  </si>
  <si>
    <t>2020.01.1.0008</t>
  </si>
  <si>
    <t>D9</t>
  </si>
  <si>
    <t>ODE YAHYA SYAHDIKIN</t>
  </si>
  <si>
    <t>2020.01.1.0009</t>
  </si>
  <si>
    <t>D10</t>
  </si>
  <si>
    <t>FAISAL AKBAR</t>
  </si>
  <si>
    <t>2020.01.1.0010</t>
  </si>
  <si>
    <t>D11</t>
  </si>
  <si>
    <t>MUAMMAR</t>
  </si>
  <si>
    <t>2020.01.1.0011</t>
  </si>
  <si>
    <t>D12</t>
  </si>
  <si>
    <t>MUHAMMAD ALFIN PRASETIYA</t>
  </si>
  <si>
    <t>2020.01.1.0012</t>
  </si>
  <si>
    <t>D13</t>
  </si>
  <si>
    <t>JEFFY MAULIDI FERIYANTO</t>
  </si>
  <si>
    <t>2020.01.1.0013</t>
  </si>
  <si>
    <t>D14</t>
  </si>
  <si>
    <t>I KOMANG AGUS WAHYUDI</t>
  </si>
  <si>
    <t>2020.01.1.0014</t>
  </si>
  <si>
    <t>D15</t>
  </si>
  <si>
    <t>MUHAMMAD HILAL ARRAHMAN</t>
  </si>
  <si>
    <t>2020.01.1.0015</t>
  </si>
  <si>
    <t>D16</t>
  </si>
  <si>
    <t>MUHAMMAD ZAINUR RAHMAN</t>
  </si>
  <si>
    <t>2020.01.1.0016</t>
  </si>
  <si>
    <t>D17</t>
  </si>
  <si>
    <t>EGHIA SURYA</t>
  </si>
  <si>
    <t>2020.01.1.0017</t>
  </si>
  <si>
    <t>D18</t>
  </si>
  <si>
    <t>DODIK AGUNG SANTOSO</t>
  </si>
  <si>
    <t>2020.01.1.0018</t>
  </si>
  <si>
    <t>D19</t>
  </si>
  <si>
    <t>ZULHIKAM KOMARIL HIDAYAT</t>
  </si>
  <si>
    <t>2020.01.1.0019</t>
  </si>
  <si>
    <t>D20</t>
  </si>
  <si>
    <t>MAULANA ALGHIVARY</t>
  </si>
  <si>
    <t>2020.01.1.0020</t>
  </si>
  <si>
    <t>D21</t>
  </si>
  <si>
    <t>RIFKA FEBRIKA</t>
  </si>
  <si>
    <t>2020.01.1.0021</t>
  </si>
  <si>
    <t>D22</t>
  </si>
  <si>
    <t>SAIFUL ROHMAN FIRMANSYAH</t>
  </si>
  <si>
    <t>2020.01.1.0022</t>
  </si>
  <si>
    <t>D23</t>
  </si>
  <si>
    <t>RISKY HERIYANTO</t>
  </si>
  <si>
    <t>2020.01.1.0023</t>
  </si>
  <si>
    <t>D24</t>
  </si>
  <si>
    <t>ARYA NABIL ABYAN</t>
  </si>
  <si>
    <t>2020.01.1.0024</t>
  </si>
  <si>
    <t>D25</t>
  </si>
  <si>
    <t>MUHAMMAD RIZKY AFRIZAL A.</t>
  </si>
  <si>
    <t>2020.01.1.0025</t>
  </si>
  <si>
    <t>D26</t>
  </si>
  <si>
    <t>MUHAMMAD RIVALDY R.</t>
  </si>
  <si>
    <t>2020.01.1.0026</t>
  </si>
  <si>
    <t>D27</t>
  </si>
  <si>
    <t>FADIL ALBARIU</t>
  </si>
  <si>
    <t>2020.01.1.0027</t>
  </si>
  <si>
    <t>D28</t>
  </si>
  <si>
    <t>NARDIANSYAH HUSYAIN AL ATABI</t>
  </si>
  <si>
    <t>2020.01.1.0028</t>
  </si>
  <si>
    <t>D29</t>
  </si>
  <si>
    <t>JESUINHO DA C.S.P.C.DE.CARVALHO</t>
  </si>
  <si>
    <t>2020.01.1.0029</t>
  </si>
  <si>
    <t>D30</t>
  </si>
  <si>
    <t>SALMAN AL FARISI</t>
  </si>
  <si>
    <t>2020.01.1.0030</t>
  </si>
  <si>
    <t>D31</t>
  </si>
  <si>
    <t>RIZKY PRATAMA</t>
  </si>
  <si>
    <t>2020.01.1.0031</t>
  </si>
  <si>
    <t>D32</t>
  </si>
  <si>
    <t>GILANG SATRYA NANGGALA</t>
  </si>
  <si>
    <t>2020.01.1.0032</t>
  </si>
  <si>
    <t>D33</t>
  </si>
  <si>
    <t>LUCKY RIYOGA PRATAMA</t>
  </si>
  <si>
    <t>2020.01.1.0033</t>
  </si>
  <si>
    <t>D34</t>
  </si>
  <si>
    <t>DAWAM KAUTSAR</t>
  </si>
  <si>
    <t>2020.01.1.0034</t>
  </si>
  <si>
    <t>D35</t>
  </si>
  <si>
    <t>FAHRIL RIZKY MAULANA</t>
  </si>
  <si>
    <t>2020.01.1.0035</t>
  </si>
  <si>
    <t>D36</t>
  </si>
  <si>
    <t>KELVIN BRIFA PRATAMA</t>
  </si>
  <si>
    <t>2020.01.1.0036</t>
  </si>
  <si>
    <t>E1</t>
  </si>
  <si>
    <t>ANERSON HERMENEGILDO CABRAL</t>
  </si>
  <si>
    <t>UHT-KPN</t>
  </si>
  <si>
    <t>2020.01.3.0001</t>
  </si>
  <si>
    <t>E2</t>
  </si>
  <si>
    <t>MUOCHAMMAD NANDA</t>
  </si>
  <si>
    <t>2020.01.3.0002</t>
  </si>
  <si>
    <t>E3</t>
  </si>
  <si>
    <t>MUHAMMAD IQBAL DWI F.</t>
  </si>
  <si>
    <t>2020.01.3.0003</t>
  </si>
  <si>
    <t>E4</t>
  </si>
  <si>
    <t>NIKO ARIS RAMADHAN</t>
  </si>
  <si>
    <t>2020.01.3.0004</t>
  </si>
  <si>
    <t>E5</t>
  </si>
  <si>
    <t>NURUL ATIKAH</t>
  </si>
  <si>
    <t>2020.01.3.0005</t>
  </si>
  <si>
    <t>E6</t>
  </si>
  <si>
    <t>HUSNUL AMIR</t>
  </si>
  <si>
    <t>2020.01.3.0006</t>
  </si>
  <si>
    <t>E7</t>
  </si>
  <si>
    <t>FEBY LIA SALVA</t>
  </si>
  <si>
    <t>2020.01.3.0007</t>
  </si>
  <si>
    <t>E8</t>
  </si>
  <si>
    <t>MOCH.NASTA BAGUS WAHYUDI</t>
  </si>
  <si>
    <t>2020.01.3.0008</t>
  </si>
  <si>
    <t>E9</t>
  </si>
  <si>
    <t>SEPTIFA NADHA LAILIANO CERIA</t>
  </si>
  <si>
    <t>2020.01.3.0009</t>
  </si>
  <si>
    <t>E10</t>
  </si>
  <si>
    <t>ARIEL SEBASTIAN UMBU P.</t>
  </si>
  <si>
    <t>2020.01.3.0010</t>
  </si>
  <si>
    <t>E11</t>
  </si>
  <si>
    <t>MOCH ZULFI RUSDANI IQTIARI</t>
  </si>
  <si>
    <t>2020.01.3.0011</t>
  </si>
  <si>
    <t>E12</t>
  </si>
  <si>
    <t>DANY ZAKARIA PRANYOTO</t>
  </si>
  <si>
    <t>2020.01.3.0012</t>
  </si>
  <si>
    <t>E13</t>
  </si>
  <si>
    <t>ALAIK BAKHRUN NIAM</t>
  </si>
  <si>
    <t>2020.01.3.0013</t>
  </si>
  <si>
    <t>E14</t>
  </si>
  <si>
    <t>WILDAN ASSEGAFF</t>
  </si>
  <si>
    <t>2020.01.3.0014</t>
  </si>
  <si>
    <t>E15</t>
  </si>
  <si>
    <t>RISKY RYNALDO ANUGRAHA</t>
  </si>
  <si>
    <t>2020.01.3.0015</t>
  </si>
  <si>
    <t>E16</t>
  </si>
  <si>
    <t>AGUS CIPTO GILANG RAMADHAN</t>
  </si>
  <si>
    <t>2020.01.3.0016</t>
  </si>
  <si>
    <t>E17</t>
  </si>
  <si>
    <t>FAUZI ALWI YASIN</t>
  </si>
  <si>
    <t>2020.01.3.0017</t>
  </si>
  <si>
    <t>E18</t>
  </si>
  <si>
    <t>M.ABIL ARQOM</t>
  </si>
  <si>
    <t>2020.01.3.0018</t>
  </si>
  <si>
    <t>E19</t>
  </si>
  <si>
    <t>SABILA FAHA ASADIYAH</t>
  </si>
  <si>
    <t>2020.01.3.0019</t>
  </si>
  <si>
    <t>E20</t>
  </si>
  <si>
    <t>DANIEL DHARMA PUTRA TRISULA</t>
  </si>
  <si>
    <t>2020.01.3.0020</t>
  </si>
  <si>
    <t>E21</t>
  </si>
  <si>
    <t>ABDUL MUDI TAUFIQ</t>
  </si>
  <si>
    <t>2020.01.3.0021</t>
  </si>
  <si>
    <t>E22</t>
  </si>
  <si>
    <t>ADE PUTRI SEPFANI</t>
  </si>
  <si>
    <t>2020.01.3.0022</t>
  </si>
  <si>
    <t>E23</t>
  </si>
  <si>
    <t>ADILA DIANI APRILIA</t>
  </si>
  <si>
    <t>2020.01.3.0023</t>
  </si>
  <si>
    <t>E24</t>
  </si>
  <si>
    <t>ANGGUN SASMITA FAUZIAH</t>
  </si>
  <si>
    <t>2020.01.3.0024</t>
  </si>
  <si>
    <t>E25</t>
  </si>
  <si>
    <t>MOH.ILHAM ISYRAQI</t>
  </si>
  <si>
    <t>2020.01.3.0025</t>
  </si>
  <si>
    <t>E26</t>
  </si>
  <si>
    <t>DWIKI ALDY ANDRIANSYAH</t>
  </si>
  <si>
    <t>2020.01.3.0026</t>
  </si>
  <si>
    <t>E27</t>
  </si>
  <si>
    <t>AHMAD ALFIAN AWWALI</t>
  </si>
  <si>
    <t>2020.01.3.0027</t>
  </si>
  <si>
    <t>E28</t>
  </si>
  <si>
    <t>ANDHIKA RISQULLAH PUTRA</t>
  </si>
  <si>
    <t>2020.01.3.0028</t>
  </si>
  <si>
    <t>E29</t>
  </si>
  <si>
    <t>ANGGY RYO VERNANDY</t>
  </si>
  <si>
    <t>2020.01.3.0029</t>
  </si>
  <si>
    <t>E30</t>
  </si>
  <si>
    <t>SANDI EKWANTORO</t>
  </si>
  <si>
    <t>2020.01.3.0030</t>
  </si>
  <si>
    <t>E31</t>
  </si>
  <si>
    <t>RIKI ADI SUSANTO</t>
  </si>
  <si>
    <t>2020.01.3.0031</t>
  </si>
  <si>
    <t>E32</t>
  </si>
  <si>
    <t>ALIF RENDRA MAULANA ILLIYYUN</t>
  </si>
  <si>
    <t>2020.01.3.0032</t>
  </si>
  <si>
    <t>E33</t>
  </si>
  <si>
    <t>DINDA DEWI RUSYA</t>
  </si>
  <si>
    <t>2020.01.3.0033</t>
  </si>
  <si>
    <t>E34</t>
  </si>
  <si>
    <t>BINSAR HALOMOAN SITORUS</t>
  </si>
  <si>
    <t>2020.01.3.0034</t>
  </si>
  <si>
    <t>E35</t>
  </si>
  <si>
    <t>AKHMAD FAHREZA</t>
  </si>
  <si>
    <t>2020.01.3.0035</t>
  </si>
  <si>
    <t>E36</t>
  </si>
  <si>
    <t>ALVAR RIDHO ALAMSYAH</t>
  </si>
  <si>
    <t>2020.01.3.0036</t>
  </si>
  <si>
    <t>E37</t>
  </si>
  <si>
    <t>MUHAMMAD GUNAWAN WIBISONO</t>
  </si>
  <si>
    <t>2020.01.3.0037</t>
  </si>
  <si>
    <t>E38</t>
  </si>
  <si>
    <t>ALTHAF MAHESWARA R.</t>
  </si>
  <si>
    <t>2020.01.3.0038</t>
  </si>
  <si>
    <t>E39</t>
  </si>
  <si>
    <t>SRIWATI BUTON</t>
  </si>
  <si>
    <t>2020.01.3.0039</t>
  </si>
  <si>
    <t>E40</t>
  </si>
  <si>
    <t>MITA ANDRIANI</t>
  </si>
  <si>
    <t>2020.01.3.0040</t>
  </si>
  <si>
    <t>E41</t>
  </si>
  <si>
    <t>ACHMAD FIKIH MAULIDI</t>
  </si>
  <si>
    <t>2020.01.3.0041</t>
  </si>
  <si>
    <t>E42</t>
  </si>
  <si>
    <t>I DEWA KETUT ANANTA YUSTAMA P.</t>
  </si>
  <si>
    <t>2020.01.3.0042</t>
  </si>
  <si>
    <t>E43</t>
  </si>
  <si>
    <t>SALSA BELLA OCTAVIA PUTRI</t>
  </si>
  <si>
    <t>2020.01.3.0043</t>
  </si>
  <si>
    <t>E44</t>
  </si>
  <si>
    <t>DENY DIRMANSYAH</t>
  </si>
  <si>
    <t>2020.01.3.0044</t>
  </si>
  <si>
    <t>E45</t>
  </si>
  <si>
    <t>DENNI FAROBI AGUNG SAMUDRA</t>
  </si>
  <si>
    <t>2020.01.3.0045</t>
  </si>
  <si>
    <t>P/W</t>
  </si>
  <si>
    <t>BAJU</t>
  </si>
  <si>
    <t>CLANA</t>
  </si>
  <si>
    <t>REKAP DP2NT3N</t>
  </si>
  <si>
    <t>SEPATU</t>
  </si>
  <si>
    <t>KAOS</t>
  </si>
  <si>
    <t>TOPI PRIA</t>
  </si>
  <si>
    <t>EPOLET</t>
  </si>
  <si>
    <t>JML</t>
  </si>
  <si>
    <t>NO. SEPATU</t>
  </si>
  <si>
    <t>jml</t>
  </si>
  <si>
    <t>DP 2 TEKNIKA</t>
  </si>
  <si>
    <t>S</t>
  </si>
  <si>
    <t>DP 2 NAUTIKA</t>
  </si>
  <si>
    <t>M</t>
  </si>
  <si>
    <t>DP 3 NAUTIKA</t>
  </si>
  <si>
    <t>L</t>
  </si>
  <si>
    <t>XL</t>
  </si>
  <si>
    <t xml:space="preserve">                     </t>
  </si>
  <si>
    <t>XXL</t>
  </si>
  <si>
    <t>XXXL</t>
  </si>
  <si>
    <t>5L</t>
  </si>
  <si>
    <t>JUMLAH</t>
  </si>
  <si>
    <t>WANITA</t>
  </si>
  <si>
    <t>40</t>
  </si>
  <si>
    <t>1</t>
  </si>
  <si>
    <t>DP 1 TEKNIKA</t>
  </si>
  <si>
    <t>DP 1 NAUTIKA</t>
  </si>
  <si>
    <t>PNJG CLNA</t>
  </si>
  <si>
    <t>UB_9</t>
  </si>
  <si>
    <t>CETAK KE</t>
  </si>
  <si>
    <t>PRIA</t>
  </si>
  <si>
    <t>41</t>
  </si>
  <si>
    <t>25</t>
  </si>
  <si>
    <t>17</t>
  </si>
  <si>
    <t>27</t>
  </si>
  <si>
    <t>71</t>
  </si>
  <si>
    <t>39</t>
  </si>
  <si>
    <t>79</t>
  </si>
  <si>
    <t>97</t>
  </si>
  <si>
    <t>64</t>
  </si>
  <si>
    <t>32</t>
  </si>
  <si>
    <t>24</t>
  </si>
  <si>
    <t>19</t>
  </si>
  <si>
    <t>103</t>
  </si>
  <si>
    <t>26</t>
  </si>
  <si>
    <t>73</t>
  </si>
  <si>
    <t>38</t>
  </si>
  <si>
    <t>75</t>
  </si>
  <si>
    <t>98</t>
  </si>
  <si>
    <t>31</t>
  </si>
  <si>
    <t>105</t>
  </si>
  <si>
    <t>100</t>
  </si>
  <si>
    <t>62</t>
  </si>
  <si>
    <t>30</t>
  </si>
  <si>
    <t>16</t>
  </si>
  <si>
    <t>23</t>
  </si>
  <si>
    <t>67</t>
  </si>
  <si>
    <t>37</t>
  </si>
  <si>
    <t>95</t>
  </si>
  <si>
    <t>66</t>
  </si>
  <si>
    <t>82</t>
  </si>
  <si>
    <t>65</t>
  </si>
  <si>
    <t>96</t>
  </si>
  <si>
    <t>42</t>
  </si>
  <si>
    <t>22</t>
  </si>
  <si>
    <t>84</t>
  </si>
  <si>
    <t>107</t>
  </si>
  <si>
    <t>102</t>
  </si>
  <si>
    <t>28</t>
  </si>
  <si>
    <t>85</t>
  </si>
  <si>
    <t>104</t>
  </si>
  <si>
    <t>33</t>
  </si>
  <si>
    <t>93</t>
  </si>
  <si>
    <t>80</t>
  </si>
  <si>
    <t>63</t>
  </si>
  <si>
    <t>92</t>
  </si>
  <si>
    <t>101</t>
  </si>
  <si>
    <t>70</t>
  </si>
  <si>
    <t>106</t>
  </si>
  <si>
    <t>68</t>
  </si>
  <si>
    <t>72</t>
  </si>
  <si>
    <t>99</t>
  </si>
  <si>
    <t>18</t>
  </si>
  <si>
    <t>94</t>
  </si>
  <si>
    <t>44</t>
  </si>
  <si>
    <t>230</t>
  </si>
  <si>
    <t>110</t>
  </si>
  <si>
    <t>35</t>
  </si>
  <si>
    <t>20</t>
  </si>
  <si>
    <t>29</t>
  </si>
  <si>
    <t>76</t>
  </si>
  <si>
    <t>45</t>
  </si>
  <si>
    <t>43</t>
  </si>
  <si>
    <t>114</t>
  </si>
  <si>
    <t>36</t>
  </si>
  <si>
    <t>21</t>
  </si>
  <si>
    <t>90</t>
  </si>
  <si>
    <t>46</t>
  </si>
  <si>
    <t>69</t>
  </si>
  <si>
    <t>121</t>
  </si>
  <si>
    <t>118</t>
  </si>
  <si>
    <t>117</t>
  </si>
  <si>
    <t>77</t>
  </si>
  <si>
    <t>78</t>
  </si>
  <si>
    <t>88</t>
  </si>
  <si>
    <t>91</t>
  </si>
  <si>
    <t>61</t>
  </si>
  <si>
    <t>120</t>
  </si>
  <si>
    <t>34</t>
  </si>
  <si>
    <t>116</t>
  </si>
  <si>
    <t>83</t>
  </si>
  <si>
    <t>60</t>
  </si>
  <si>
    <t>86</t>
  </si>
  <si>
    <t>SALSA BELLA OCTAVIN</t>
  </si>
  <si>
    <t>SEPTIFA NADHA</t>
  </si>
  <si>
    <t>ANGGUN SASMITA</t>
  </si>
  <si>
    <t>FEBY LIA</t>
  </si>
  <si>
    <t>M. FIRHAN ABDI</t>
  </si>
  <si>
    <t>setor ke dua</t>
  </si>
  <si>
    <t>setor ke satu</t>
  </si>
  <si>
    <t>REKAPITULASI</t>
  </si>
  <si>
    <t>URAIAN</t>
  </si>
  <si>
    <t>SETOR KE 1</t>
  </si>
  <si>
    <t xml:space="preserve">SETOR KE 2 </t>
  </si>
  <si>
    <t>KETERANGAN</t>
  </si>
  <si>
    <t>BLM KIRIM</t>
  </si>
  <si>
    <t>JUMLAH SISWA</t>
  </si>
  <si>
    <t>BLM UKUR TMT 17022021</t>
  </si>
  <si>
    <t>KIRIM TGL 02 DES 2020</t>
  </si>
  <si>
    <t>KIRIM TGL 13 DES 2020</t>
  </si>
  <si>
    <t>,</t>
  </si>
  <si>
    <t>TOPI</t>
  </si>
  <si>
    <t>68; 42</t>
  </si>
  <si>
    <t>62; 37</t>
  </si>
  <si>
    <t xml:space="preserve">DAFTAR NAMA  </t>
  </si>
  <si>
    <t>YANG SUDHA UKUR TMT 17 S.D. 24 FEBRUARI 2021</t>
  </si>
  <si>
    <t>CETAK TGL</t>
  </si>
  <si>
    <t>10 MARET 2021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</si>
  <si>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</si>
  <si>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</si>
  <si>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</si>
  <si>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</si>
  <si>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</si>
  <si>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</si>
  <si>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</si>
  <si>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</si>
  <si>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</si>
  <si>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</si>
  <si>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</si>
  <si>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</si>
  <si>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</si>
  <si>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</si>
  <si>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</si>
  <si>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</si>
  <si>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</si>
  <si>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</si>
  <si>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</si>
  <si>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</si>
  <si>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</si>
  <si>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</si>
  <si>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</si>
  <si>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</si>
  <si>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</si>
  <si>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</si>
  <si>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</si>
  <si>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</si>
  <si>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</si>
  <si>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</si>
  <si>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</si>
  <si>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</si>
  <si>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</si>
  <si>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</si>
  <si>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</si>
  <si>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</si>
  <si>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</si>
  <si>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</si>
  <si>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</si>
  <si>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</si>
  <si>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</si>
  <si>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BELUM CETAK</t>
  </si>
  <si>
    <t>MUCHAMMAD NANDA</t>
  </si>
  <si>
    <t>08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</si>
</sst>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Rp&quot;* #,##0_-;&quot;-Rp&quot;* #,##0_-;_-&quot;Rp&quot;* \-_-;_-@_-"/>
    <numFmt numFmtId="165" formatCode="#"/>
    <numFmt numFmtId="166" formatCode="0\ &quot;ORG&quot;"/>
  </numFmts>
  <fonts count="13"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1"/>
      <color rgb="FF000000"/>
      <name val="Arial1"/>
      <charset val="1"/>
    </font>
    <font>
      <sz val="8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b/>
      <sz val="8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b/>
      <sz val="8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</borders>
  <cellStyleXfs count="2">
    <xf numFmtId="0" fontId="0" fillId="0" borderId="0"/>
    <xf numFmtId="164" fontId="8" fillId="0" borderId="0" applyBorder="0" applyProtection="0"/>
  </cellStyleXfs>
  <cellXfs count="11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3" fillId="0" borderId="0" xfId="0" applyNumberFormat="1" applyFont="1" applyAlignment="1">
      <alignment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/>
    <xf numFmtId="49" fontId="1" fillId="0" borderId="0" xfId="0" applyNumberFormat="1" applyFont="1" applyAlignment="1">
      <alignment vertical="center"/>
    </xf>
    <xf numFmtId="49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 applyFont="1" applyAlignment="1">
      <alignment horizontal="center"/>
    </xf>
    <xf numFmtId="49" fontId="0" fillId="0" borderId="0" xfId="0" applyNumberFormat="1" applyFont="1"/>
    <xf numFmtId="0" fontId="2" fillId="0" borderId="0" xfId="0" applyFont="1"/>
    <xf numFmtId="0" fontId="0" fillId="0" borderId="0" xfId="0" applyFont="1" applyAlignment="1">
      <alignment horizontal="center"/>
    </xf>
    <xf numFmtId="49" fontId="4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49" fontId="3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49" fontId="1" fillId="0" borderId="3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1" fontId="1" fillId="0" borderId="0" xfId="0" applyNumberFormat="1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64" fontId="1" fillId="0" borderId="0" xfId="1" applyFont="1" applyBorder="1" applyAlignment="1" applyProtection="1">
      <alignment vertical="center"/>
    </xf>
    <xf numFmtId="0" fontId="1" fillId="0" borderId="2" xfId="0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49" fontId="1" fillId="0" borderId="2" xfId="0" applyNumberFormat="1" applyFont="1" applyBorder="1" applyAlignment="1">
      <alignment vertical="center"/>
    </xf>
    <xf numFmtId="0" fontId="1" fillId="0" borderId="3" xfId="0" applyFont="1" applyBorder="1" applyAlignment="1">
      <alignment vertical="center"/>
    </xf>
    <xf numFmtId="49" fontId="1" fillId="0" borderId="3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1" fontId="4" fillId="0" borderId="2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49" fontId="7" fillId="0" borderId="3" xfId="0" applyNumberFormat="1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1" fontId="4" fillId="0" borderId="3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2" fillId="2" borderId="0" xfId="0" applyNumberFormat="1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49" fontId="2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166" fontId="10" fillId="2" borderId="1" xfId="0" applyNumberFormat="1" applyFont="1" applyFill="1" applyBorder="1" applyAlignment="1">
      <alignment vertical="center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vertical="center"/>
    </xf>
    <xf numFmtId="166" fontId="10" fillId="0" borderId="4" xfId="0" applyNumberFormat="1" applyFont="1" applyBorder="1" applyAlignme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vertical="center"/>
    </xf>
    <xf numFmtId="166" fontId="10" fillId="0" borderId="5" xfId="0" applyNumberFormat="1" applyFont="1" applyBorder="1" applyAlignment="1">
      <alignment vertical="center"/>
    </xf>
    <xf numFmtId="0" fontId="10" fillId="0" borderId="5" xfId="0" applyFont="1" applyBorder="1" applyAlignment="1">
      <alignment horizontal="right"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vertical="center"/>
    </xf>
    <xf numFmtId="166" fontId="10" fillId="0" borderId="6" xfId="0" applyNumberFormat="1" applyFont="1" applyBorder="1" applyAlignment="1">
      <alignment vertical="center"/>
    </xf>
    <xf numFmtId="0" fontId="10" fillId="0" borderId="5" xfId="0" applyFont="1" applyBorder="1" applyAlignment="1">
      <alignment horizontal="left" vertical="center" indent="2"/>
    </xf>
    <xf numFmtId="49" fontId="7" fillId="0" borderId="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/>
    </xf>
    <xf numFmtId="49" fontId="12" fillId="0" borderId="1" xfId="0" applyNumberFormat="1" applyFont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</cellXfs>
  <cellStyles count="2">
    <cellStyle name="Excel Built-in Explanatory Text" xfId="1" xr:uid="{00000000-0005-0000-0000-000006000000}"/>
    <cellStyle name="Normal" xfId="0" builtinId="0"/>
  </cellStyles>
  <dxfs count="2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H115"/>
  <sheetViews>
    <sheetView topLeftCell="A30" zoomScale="70" zoomScaleNormal="70" workbookViewId="0">
      <selection activeCell="B58" sqref="B58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customHeight="1">
      <c r="A6" s="1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customHeight="1">
      <c r="A7" s="1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customHeight="1">
      <c r="A8" s="1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customHeight="1">
      <c r="A10" s="1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0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>
      <c r="A33" s="3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>
      <c r="A34" s="3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>
      <c r="A36" s="3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>
      <c r="A37" s="3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>
      <c r="A43" s="3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>
      <c r="A44" s="3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>
      <c r="A47" s="3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>
      <c r="A50" s="3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>
      <c r="A51" s="3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>
      <c r="A62" s="3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>
      <c r="A64" s="3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>
      <c r="A67" s="3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>
      <c r="A71" s="3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>
      <c r="A74" s="3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3" t="s">
        <v>246</v>
      </c>
      <c r="B75" s="11" t="s">
        <v>247</v>
      </c>
      <c r="C75" s="11"/>
      <c r="D75" s="11"/>
      <c r="E75" s="3" t="s">
        <v>229</v>
      </c>
      <c r="F75" s="3"/>
      <c r="G75" s="11" t="s">
        <v>248</v>
      </c>
      <c r="O75" s="14"/>
      <c r="P75" s="14"/>
    </row>
    <row r="76" spans="1:22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3" t="s">
        <v>252</v>
      </c>
      <c r="B77" s="11" t="s">
        <v>253</v>
      </c>
      <c r="C77" s="11"/>
      <c r="D77" s="11"/>
      <c r="E77" s="3" t="s">
        <v>229</v>
      </c>
      <c r="F77" s="3"/>
      <c r="G77" s="11" t="s">
        <v>254</v>
      </c>
      <c r="O77" s="14"/>
      <c r="P77" s="14"/>
    </row>
    <row r="78" spans="1:22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>
      <c r="A84" s="3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>
      <c r="A88" s="3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>
      <c r="A89" s="3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3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>
      <c r="A97" s="3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>
      <c r="A98" s="3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>
      <c r="A100" s="3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>
      <c r="A102" s="3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>
      <c r="A103" s="3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>
      <c r="A105" s="3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>
      <c r="A106" s="3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3" t="s">
        <v>342</v>
      </c>
      <c r="B107" s="11" t="s">
        <v>343</v>
      </c>
      <c r="C107" s="11"/>
      <c r="D107" s="11"/>
      <c r="E107" s="3" t="s">
        <v>229</v>
      </c>
      <c r="F107" s="3"/>
      <c r="G107" s="11" t="s">
        <v>344</v>
      </c>
    </row>
    <row r="108" spans="1:22">
      <c r="A108" s="3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customHeight="1">
      <c r="A109" s="3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3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>
      <c r="A112" s="3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</sheetData>
  <pageMargins left="0.196527777777778" right="0.196527777777778" top="0.55069444444444404" bottom="0.39374999999999999" header="0.196527777777778" footer="0.51180555555555496"/>
  <pageSetup paperSize="9" firstPageNumber="0" orientation="portrait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1D857-4DB9-420E-BD36-D2BC69417342}">
  <sheetPr>
    <tabColor rgb="FFFF0000"/>
  </sheetPr>
  <dimension ref="A1:ALP60"/>
  <sheetViews>
    <sheetView tabSelected="1" zoomScaleNormal="100" workbookViewId="0">
      <pane ySplit="1" topLeftCell="A15" activePane="bottomLeft" state="frozen"/>
      <selection pane="bottomLeft" activeCell="D23" sqref="D23"/>
    </sheetView>
  </sheetViews>
  <sheetFormatPr defaultColWidth="9.140625" defaultRowHeight="23.25" customHeight="1"/>
  <cols>
    <col min="1" max="1" width="3.85546875" style="76" bestFit="1" customWidth="1"/>
    <col min="2" max="2" width="5.5703125" style="1" bestFit="1" customWidth="1"/>
    <col min="3" max="3" width="43.28515625" style="2" customWidth="1"/>
    <col min="4" max="4" width="17.7109375" style="1" customWidth="1"/>
    <col min="5" max="5" width="10" style="1" customWidth="1"/>
    <col min="6" max="6" width="17.28515625" style="3" customWidth="1"/>
    <col min="7" max="32" width="9.140625" style="5"/>
    <col min="33" max="33" width="13.140625" style="5" customWidth="1"/>
    <col min="34" max="1004" width="9.140625" style="5"/>
  </cols>
  <sheetData>
    <row r="1" spans="1:1004" s="1" customFormat="1" ht="23.25" customHeight="1">
      <c r="A1" s="114" t="s">
        <v>0</v>
      </c>
      <c r="B1" s="114"/>
      <c r="C1" s="82" t="s">
        <v>1</v>
      </c>
      <c r="D1" s="83" t="s">
        <v>4</v>
      </c>
      <c r="E1" s="83" t="s">
        <v>5</v>
      </c>
      <c r="F1" s="84" t="s">
        <v>495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23</v>
      </c>
      <c r="W1" s="1" t="s">
        <v>500</v>
      </c>
    </row>
    <row r="2" spans="1:1004" s="5" customFormat="1" ht="25.5" customHeight="1">
      <c r="A2" s="6">
        <v>1</v>
      </c>
      <c r="B2" s="77" t="s">
        <v>34</v>
      </c>
      <c r="C2" s="78" t="s">
        <v>35</v>
      </c>
      <c r="D2" s="79" t="s">
        <v>26</v>
      </c>
      <c r="E2" s="77" t="s">
        <v>394</v>
      </c>
      <c r="F2" s="78" t="s">
        <v>36</v>
      </c>
      <c r="G2" s="5">
        <v>48</v>
      </c>
      <c r="H2" s="5">
        <v>28</v>
      </c>
      <c r="I2" s="5">
        <v>19</v>
      </c>
      <c r="J2" s="5">
        <v>30</v>
      </c>
      <c r="K2" s="5">
        <v>28</v>
      </c>
      <c r="L2" s="5">
        <v>30</v>
      </c>
      <c r="M2" s="5">
        <v>77</v>
      </c>
      <c r="N2" s="5">
        <v>44</v>
      </c>
      <c r="O2" s="5">
        <v>101</v>
      </c>
      <c r="P2" s="5">
        <v>120</v>
      </c>
      <c r="Q2" s="5">
        <v>77</v>
      </c>
      <c r="R2" s="5">
        <v>33</v>
      </c>
      <c r="S2" s="5">
        <v>29</v>
      </c>
      <c r="T2" s="5">
        <v>19</v>
      </c>
      <c r="U2" s="5">
        <v>107</v>
      </c>
      <c r="V2" s="5">
        <v>3</v>
      </c>
      <c r="W2" s="5" t="s">
        <v>501</v>
      </c>
    </row>
    <row r="3" spans="1:1004" s="5" customFormat="1" ht="25.5" customHeight="1">
      <c r="A3" s="6">
        <v>2</v>
      </c>
      <c r="B3" s="77" t="s">
        <v>46</v>
      </c>
      <c r="C3" s="78" t="s">
        <v>47</v>
      </c>
      <c r="D3" s="79" t="s">
        <v>26</v>
      </c>
      <c r="E3" s="77" t="s">
        <v>394</v>
      </c>
      <c r="F3" s="78" t="s">
        <v>48</v>
      </c>
      <c r="G3" s="5">
        <v>43</v>
      </c>
      <c r="H3" s="5">
        <v>24</v>
      </c>
      <c r="I3" s="5">
        <v>15</v>
      </c>
      <c r="J3" s="5">
        <v>25</v>
      </c>
      <c r="K3" s="5">
        <v>23</v>
      </c>
      <c r="L3" s="5">
        <v>25</v>
      </c>
      <c r="M3" s="5">
        <v>70</v>
      </c>
      <c r="N3" s="5">
        <v>36</v>
      </c>
      <c r="O3" s="5">
        <v>73</v>
      </c>
      <c r="P3" s="5">
        <v>93</v>
      </c>
      <c r="Q3" s="5">
        <v>62</v>
      </c>
      <c r="R3" s="5">
        <v>29</v>
      </c>
      <c r="S3" s="5">
        <v>22</v>
      </c>
      <c r="T3" s="5">
        <v>18</v>
      </c>
      <c r="U3" s="5">
        <v>95</v>
      </c>
      <c r="V3" s="5">
        <v>4</v>
      </c>
      <c r="W3" s="5" t="s">
        <v>543</v>
      </c>
    </row>
    <row r="4" spans="1:1004" s="5" customFormat="1" ht="25.5" customHeight="1">
      <c r="A4" s="6">
        <v>3</v>
      </c>
      <c r="B4" s="77" t="s">
        <v>58</v>
      </c>
      <c r="C4" s="78" t="s">
        <v>59</v>
      </c>
      <c r="D4" s="79" t="s">
        <v>26</v>
      </c>
      <c r="E4" s="77"/>
      <c r="F4" s="78" t="s">
        <v>60</v>
      </c>
    </row>
    <row r="5" spans="1:1004" s="5" customFormat="1" ht="25.5" customHeight="1">
      <c r="A5" s="6">
        <v>4</v>
      </c>
      <c r="B5" s="77" t="s">
        <v>91</v>
      </c>
      <c r="C5" s="78" t="s">
        <v>92</v>
      </c>
      <c r="D5" s="79" t="s">
        <v>26</v>
      </c>
      <c r="E5" s="80" t="s">
        <v>394</v>
      </c>
      <c r="F5" s="78" t="s">
        <v>93</v>
      </c>
      <c r="G5" s="107">
        <v>44</v>
      </c>
      <c r="H5" s="107">
        <v>24</v>
      </c>
      <c r="I5" s="107">
        <v>15</v>
      </c>
      <c r="J5" s="107">
        <v>26</v>
      </c>
      <c r="K5" s="107">
        <v>24</v>
      </c>
      <c r="L5" s="107">
        <v>26</v>
      </c>
      <c r="M5" s="107">
        <v>73</v>
      </c>
      <c r="N5" s="107">
        <v>37</v>
      </c>
      <c r="O5" s="107">
        <v>82</v>
      </c>
      <c r="P5" s="107">
        <v>100</v>
      </c>
      <c r="Q5" s="107">
        <v>62</v>
      </c>
      <c r="R5" s="107">
        <v>30</v>
      </c>
      <c r="S5" s="107">
        <v>23</v>
      </c>
      <c r="T5" s="107">
        <v>18</v>
      </c>
      <c r="U5" s="107">
        <v>97</v>
      </c>
      <c r="V5" s="5">
        <v>2</v>
      </c>
    </row>
    <row r="6" spans="1:1004" s="5" customFormat="1" ht="25.5" customHeight="1">
      <c r="A6" s="6">
        <v>5</v>
      </c>
      <c r="B6" s="77" t="s">
        <v>94</v>
      </c>
      <c r="C6" s="78" t="s">
        <v>95</v>
      </c>
      <c r="D6" s="79" t="s">
        <v>26</v>
      </c>
      <c r="E6" s="80" t="s">
        <v>394</v>
      </c>
      <c r="F6" s="78" t="s">
        <v>96</v>
      </c>
      <c r="G6" s="5">
        <v>44</v>
      </c>
      <c r="H6" s="5">
        <v>24</v>
      </c>
      <c r="I6" s="5">
        <v>16</v>
      </c>
      <c r="J6" s="5">
        <v>25</v>
      </c>
      <c r="K6" s="5">
        <v>23</v>
      </c>
      <c r="L6" s="5">
        <v>26</v>
      </c>
      <c r="M6" s="5">
        <v>71</v>
      </c>
      <c r="N6" s="5">
        <v>38</v>
      </c>
      <c r="O6" s="5">
        <v>73</v>
      </c>
      <c r="P6" s="5">
        <v>96</v>
      </c>
      <c r="Q6" s="5">
        <v>63</v>
      </c>
      <c r="R6" s="5">
        <v>30</v>
      </c>
      <c r="S6" s="5">
        <v>24</v>
      </c>
      <c r="T6" s="5">
        <v>18</v>
      </c>
      <c r="U6" s="5">
        <v>99</v>
      </c>
      <c r="V6" s="5">
        <v>1</v>
      </c>
    </row>
    <row r="7" spans="1:1004" s="5" customFormat="1" ht="25.5" customHeight="1">
      <c r="A7" s="6">
        <v>6</v>
      </c>
      <c r="B7" s="77" t="s">
        <v>100</v>
      </c>
      <c r="C7" s="78" t="s">
        <v>101</v>
      </c>
      <c r="D7" s="79" t="s">
        <v>26</v>
      </c>
      <c r="E7" s="80" t="s">
        <v>394</v>
      </c>
      <c r="F7" s="78" t="s">
        <v>102</v>
      </c>
      <c r="G7" s="5">
        <v>40</v>
      </c>
      <c r="H7" s="5">
        <v>23</v>
      </c>
      <c r="I7" s="5">
        <v>15</v>
      </c>
      <c r="J7" s="5">
        <v>25</v>
      </c>
      <c r="K7" s="5">
        <v>23</v>
      </c>
      <c r="L7" s="5">
        <v>25</v>
      </c>
      <c r="M7" s="5">
        <v>68</v>
      </c>
      <c r="N7" s="5">
        <v>37</v>
      </c>
      <c r="O7" s="5">
        <v>71</v>
      </c>
      <c r="P7" s="5">
        <v>97</v>
      </c>
      <c r="Q7" s="5">
        <v>64</v>
      </c>
      <c r="R7" s="5">
        <v>32</v>
      </c>
      <c r="S7" s="5">
        <v>24</v>
      </c>
      <c r="T7" s="5">
        <v>18</v>
      </c>
      <c r="U7" s="5">
        <v>94</v>
      </c>
      <c r="V7" s="5">
        <v>2</v>
      </c>
    </row>
    <row r="8" spans="1:1004" s="5" customFormat="1" ht="25.5" customHeight="1">
      <c r="A8" s="6">
        <v>7</v>
      </c>
      <c r="B8" s="77" t="s">
        <v>103</v>
      </c>
      <c r="C8" s="78" t="s">
        <v>104</v>
      </c>
      <c r="D8" s="79" t="s">
        <v>26</v>
      </c>
      <c r="E8" s="80" t="s">
        <v>394</v>
      </c>
      <c r="F8" s="78" t="s">
        <v>105</v>
      </c>
      <c r="G8" s="5">
        <v>45</v>
      </c>
      <c r="H8" s="5">
        <v>25</v>
      </c>
      <c r="I8" s="5">
        <v>18</v>
      </c>
      <c r="J8" s="5">
        <v>29</v>
      </c>
      <c r="K8" s="5">
        <v>28</v>
      </c>
      <c r="L8" s="5">
        <v>29</v>
      </c>
      <c r="M8" s="5">
        <v>74</v>
      </c>
      <c r="N8" s="5">
        <v>42</v>
      </c>
      <c r="O8" s="5">
        <v>98</v>
      </c>
      <c r="P8" s="5">
        <v>119</v>
      </c>
      <c r="Q8" s="5">
        <v>67</v>
      </c>
      <c r="R8" s="5">
        <v>36</v>
      </c>
      <c r="S8" s="5">
        <v>26</v>
      </c>
      <c r="T8" s="5">
        <v>20</v>
      </c>
      <c r="U8" s="5">
        <v>98</v>
      </c>
      <c r="V8" s="5">
        <v>2</v>
      </c>
    </row>
    <row r="9" spans="1:1004" s="5" customFormat="1" ht="25.5" customHeight="1">
      <c r="A9" s="6">
        <v>8</v>
      </c>
      <c r="B9" s="77" t="s">
        <v>109</v>
      </c>
      <c r="C9" s="78" t="s">
        <v>110</v>
      </c>
      <c r="D9" s="79" t="s">
        <v>26</v>
      </c>
      <c r="E9" s="80" t="s">
        <v>394</v>
      </c>
      <c r="F9" s="78" t="s">
        <v>111</v>
      </c>
      <c r="G9" s="5">
        <v>42</v>
      </c>
      <c r="H9" s="5">
        <v>22</v>
      </c>
      <c r="I9" s="5">
        <v>16</v>
      </c>
      <c r="J9" s="5">
        <v>27</v>
      </c>
      <c r="K9" s="5">
        <v>25</v>
      </c>
      <c r="L9" s="5">
        <v>27</v>
      </c>
      <c r="M9" s="5">
        <v>67</v>
      </c>
      <c r="N9" s="5">
        <v>37</v>
      </c>
      <c r="O9" s="5">
        <v>82</v>
      </c>
      <c r="P9" s="5">
        <v>101</v>
      </c>
      <c r="Q9" s="5">
        <v>62</v>
      </c>
      <c r="R9" s="5">
        <v>31</v>
      </c>
      <c r="S9" s="5">
        <v>24</v>
      </c>
      <c r="T9" s="5">
        <v>19</v>
      </c>
      <c r="U9" s="5">
        <v>91</v>
      </c>
      <c r="V9" s="5">
        <v>2</v>
      </c>
    </row>
    <row r="10" spans="1:1004" s="5" customFormat="1" ht="25.5" customHeight="1">
      <c r="A10" s="6">
        <v>9</v>
      </c>
      <c r="B10" s="77" t="s">
        <v>112</v>
      </c>
      <c r="C10" s="78" t="s">
        <v>113</v>
      </c>
      <c r="D10" s="79" t="s">
        <v>26</v>
      </c>
      <c r="E10" s="80" t="s">
        <v>394</v>
      </c>
      <c r="F10" s="78" t="s">
        <v>114</v>
      </c>
      <c r="G10" s="5">
        <v>42</v>
      </c>
      <c r="H10" s="5">
        <v>22</v>
      </c>
      <c r="I10" s="5">
        <v>16</v>
      </c>
      <c r="J10" s="5">
        <v>25</v>
      </c>
      <c r="K10" s="5">
        <v>23</v>
      </c>
      <c r="L10" s="5">
        <v>25</v>
      </c>
      <c r="M10" s="5">
        <v>67</v>
      </c>
      <c r="N10" s="5">
        <v>38</v>
      </c>
      <c r="O10" s="5">
        <v>73</v>
      </c>
      <c r="P10" s="5">
        <v>93</v>
      </c>
      <c r="Q10" s="5">
        <v>64</v>
      </c>
      <c r="R10" s="5">
        <v>32</v>
      </c>
      <c r="S10" s="5">
        <v>24</v>
      </c>
      <c r="T10" s="5">
        <v>18</v>
      </c>
      <c r="U10" s="5">
        <v>94</v>
      </c>
      <c r="V10" s="5">
        <v>2</v>
      </c>
    </row>
    <row r="11" spans="1:1004" s="4" customFormat="1" ht="25.5" customHeight="1">
      <c r="A11" s="6">
        <v>10</v>
      </c>
      <c r="B11" s="8" t="s">
        <v>125</v>
      </c>
      <c r="C11" s="78" t="s">
        <v>126</v>
      </c>
      <c r="D11" s="8" t="s">
        <v>120</v>
      </c>
      <c r="E11" s="8" t="s">
        <v>394</v>
      </c>
      <c r="F11" s="81" t="s">
        <v>127</v>
      </c>
      <c r="G11" s="5">
        <v>44</v>
      </c>
      <c r="H11" s="5">
        <v>25</v>
      </c>
      <c r="I11" s="5">
        <v>32</v>
      </c>
      <c r="J11" s="5">
        <v>96</v>
      </c>
      <c r="K11" s="5">
        <v>86</v>
      </c>
      <c r="L11" s="5">
        <v>100</v>
      </c>
      <c r="M11" s="5">
        <v>68</v>
      </c>
      <c r="N11" s="5">
        <v>40</v>
      </c>
      <c r="O11" s="5">
        <v>82</v>
      </c>
      <c r="P11" s="5">
        <v>100</v>
      </c>
      <c r="Q11" s="5">
        <v>68</v>
      </c>
      <c r="R11" s="5">
        <v>33</v>
      </c>
      <c r="S11" s="5">
        <v>23</v>
      </c>
      <c r="T11" s="5">
        <v>21</v>
      </c>
      <c r="U11" s="4">
        <v>93</v>
      </c>
      <c r="V11" s="5">
        <v>2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  <c r="ALH11" s="5"/>
      <c r="ALI11" s="5"/>
      <c r="ALJ11" s="5"/>
      <c r="ALK11" s="5"/>
      <c r="ALL11" s="5"/>
      <c r="ALM11" s="5"/>
      <c r="ALN11" s="5"/>
      <c r="ALO11" s="5"/>
      <c r="ALP11" s="5"/>
    </row>
    <row r="12" spans="1:1004" s="4" customFormat="1" ht="25.5" customHeight="1">
      <c r="A12" s="6">
        <v>11</v>
      </c>
      <c r="B12" s="8" t="s">
        <v>134</v>
      </c>
      <c r="C12" s="78" t="s">
        <v>135</v>
      </c>
      <c r="D12" s="8" t="s">
        <v>120</v>
      </c>
      <c r="E12" s="8" t="s">
        <v>394</v>
      </c>
      <c r="F12" s="81" t="s">
        <v>136</v>
      </c>
      <c r="G12" s="5">
        <v>42</v>
      </c>
      <c r="H12" s="5">
        <v>25</v>
      </c>
      <c r="I12" s="5">
        <v>16</v>
      </c>
      <c r="J12" s="5">
        <v>25</v>
      </c>
      <c r="K12" s="5">
        <v>23</v>
      </c>
      <c r="L12" s="5">
        <v>26</v>
      </c>
      <c r="M12" s="5">
        <v>72</v>
      </c>
      <c r="N12" s="5">
        <v>38</v>
      </c>
      <c r="O12" s="5">
        <v>77</v>
      </c>
      <c r="P12" s="5">
        <v>99</v>
      </c>
      <c r="Q12" s="5">
        <v>65</v>
      </c>
      <c r="R12" s="5">
        <v>32</v>
      </c>
      <c r="S12" s="5">
        <v>24</v>
      </c>
      <c r="T12" s="5">
        <v>19</v>
      </c>
      <c r="U12" s="5">
        <v>103</v>
      </c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  <c r="ALH12" s="5"/>
      <c r="ALI12" s="5"/>
      <c r="ALJ12" s="5"/>
      <c r="ALK12" s="5"/>
      <c r="ALL12" s="5"/>
      <c r="ALM12" s="5"/>
      <c r="ALN12" s="5"/>
      <c r="ALO12" s="5"/>
      <c r="ALP12" s="5"/>
    </row>
    <row r="13" spans="1:1004" s="4" customFormat="1" ht="25.5" customHeight="1">
      <c r="A13" s="6">
        <v>12</v>
      </c>
      <c r="B13" s="8" t="s">
        <v>137</v>
      </c>
      <c r="C13" s="78" t="s">
        <v>138</v>
      </c>
      <c r="D13" s="8" t="s">
        <v>120</v>
      </c>
      <c r="E13" s="8" t="s">
        <v>394</v>
      </c>
      <c r="F13" s="81" t="s">
        <v>139</v>
      </c>
      <c r="G13" s="5">
        <v>42</v>
      </c>
      <c r="H13" s="5">
        <v>24</v>
      </c>
      <c r="I13" s="5">
        <v>15</v>
      </c>
      <c r="J13" s="5">
        <v>25</v>
      </c>
      <c r="K13" s="5">
        <v>23</v>
      </c>
      <c r="L13" s="5">
        <v>25</v>
      </c>
      <c r="M13" s="5">
        <v>70</v>
      </c>
      <c r="N13" s="5">
        <v>36</v>
      </c>
      <c r="O13" s="5">
        <v>74</v>
      </c>
      <c r="P13" s="5">
        <v>97</v>
      </c>
      <c r="Q13" s="5">
        <v>65</v>
      </c>
      <c r="R13" s="5">
        <v>30</v>
      </c>
      <c r="S13" s="5">
        <v>23</v>
      </c>
      <c r="T13" s="5">
        <v>18</v>
      </c>
      <c r="U13" s="5">
        <v>103</v>
      </c>
      <c r="V13" s="5">
        <v>3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  <c r="ALH13" s="5"/>
      <c r="ALI13" s="5"/>
      <c r="ALJ13" s="5"/>
      <c r="ALK13" s="5"/>
      <c r="ALL13" s="5"/>
      <c r="ALM13" s="5"/>
      <c r="ALN13" s="5"/>
      <c r="ALO13" s="5"/>
      <c r="ALP13" s="5"/>
    </row>
    <row r="14" spans="1:1004" s="4" customFormat="1" ht="25.5" customHeight="1">
      <c r="A14" s="6">
        <v>13</v>
      </c>
      <c r="B14" s="8" t="s">
        <v>140</v>
      </c>
      <c r="C14" s="78" t="s">
        <v>141</v>
      </c>
      <c r="D14" s="8" t="s">
        <v>120</v>
      </c>
      <c r="E14" s="8" t="s">
        <v>394</v>
      </c>
      <c r="F14" s="81" t="s">
        <v>142</v>
      </c>
      <c r="G14" s="5">
        <v>47</v>
      </c>
      <c r="H14" s="5">
        <v>27</v>
      </c>
      <c r="I14" s="5">
        <v>18</v>
      </c>
      <c r="J14" s="5">
        <v>28</v>
      </c>
      <c r="K14" s="5">
        <v>26</v>
      </c>
      <c r="L14" s="5">
        <v>28</v>
      </c>
      <c r="M14" s="5">
        <v>75</v>
      </c>
      <c r="N14" s="5">
        <v>43</v>
      </c>
      <c r="O14" s="5">
        <v>88</v>
      </c>
      <c r="P14" s="5">
        <v>100</v>
      </c>
      <c r="Q14" s="5">
        <v>63</v>
      </c>
      <c r="R14" s="5">
        <v>31</v>
      </c>
      <c r="S14" s="5">
        <v>23</v>
      </c>
      <c r="T14" s="5">
        <v>18</v>
      </c>
      <c r="U14" s="5">
        <v>105</v>
      </c>
      <c r="V14" s="5">
        <v>3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  <c r="ALI14" s="5"/>
      <c r="ALJ14" s="5"/>
      <c r="ALK14" s="5"/>
      <c r="ALL14" s="5"/>
      <c r="ALM14" s="5"/>
      <c r="ALN14" s="5"/>
      <c r="ALO14" s="5"/>
      <c r="ALP14" s="5"/>
    </row>
    <row r="15" spans="1:1004" s="4" customFormat="1" ht="25.5" customHeight="1">
      <c r="A15" s="6">
        <v>14</v>
      </c>
      <c r="B15" s="8" t="s">
        <v>143</v>
      </c>
      <c r="C15" s="78" t="s">
        <v>144</v>
      </c>
      <c r="D15" s="8" t="s">
        <v>120</v>
      </c>
      <c r="E15" s="8" t="s">
        <v>394</v>
      </c>
      <c r="F15" s="81" t="s">
        <v>145</v>
      </c>
      <c r="G15" s="5">
        <v>43</v>
      </c>
      <c r="H15" s="5">
        <v>23</v>
      </c>
      <c r="I15" s="5">
        <v>15</v>
      </c>
      <c r="J15" s="5">
        <v>25</v>
      </c>
      <c r="K15" s="5">
        <v>23</v>
      </c>
      <c r="L15" s="5">
        <v>25</v>
      </c>
      <c r="M15" s="5">
        <v>68</v>
      </c>
      <c r="N15" s="5">
        <v>36</v>
      </c>
      <c r="O15" s="5">
        <v>70</v>
      </c>
      <c r="P15" s="5">
        <v>94</v>
      </c>
      <c r="Q15" s="5">
        <v>66</v>
      </c>
      <c r="R15" s="5">
        <v>30</v>
      </c>
      <c r="S15" s="5">
        <v>23</v>
      </c>
      <c r="T15" s="5">
        <v>18</v>
      </c>
      <c r="U15" s="5">
        <v>99</v>
      </c>
      <c r="V15" s="5">
        <v>2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  <c r="ALI15" s="5"/>
      <c r="ALJ15" s="5"/>
      <c r="ALK15" s="5"/>
      <c r="ALL15" s="5"/>
      <c r="ALM15" s="5"/>
      <c r="ALN15" s="5"/>
      <c r="ALO15" s="5"/>
      <c r="ALP15" s="5"/>
    </row>
    <row r="16" spans="1:1004" s="4" customFormat="1" ht="25.5" customHeight="1">
      <c r="A16" s="6">
        <v>15</v>
      </c>
      <c r="B16" s="8" t="s">
        <v>146</v>
      </c>
      <c r="C16" s="78" t="s">
        <v>147</v>
      </c>
      <c r="D16" s="8" t="s">
        <v>120</v>
      </c>
      <c r="E16" s="8" t="s">
        <v>394</v>
      </c>
      <c r="F16" s="81" t="s">
        <v>148</v>
      </c>
      <c r="G16" s="5">
        <v>47</v>
      </c>
      <c r="H16" s="5">
        <v>26</v>
      </c>
      <c r="I16" s="5">
        <v>38</v>
      </c>
      <c r="J16" s="5">
        <v>112</v>
      </c>
      <c r="K16" s="5">
        <v>106</v>
      </c>
      <c r="L16" s="5">
        <v>118</v>
      </c>
      <c r="M16" s="5">
        <v>42</v>
      </c>
      <c r="N16" s="4">
        <v>72</v>
      </c>
      <c r="O16" s="5">
        <v>105</v>
      </c>
      <c r="P16" s="5">
        <v>118</v>
      </c>
      <c r="Q16" s="5">
        <v>70</v>
      </c>
      <c r="R16" s="5">
        <v>72</v>
      </c>
      <c r="S16" s="5">
        <v>54</v>
      </c>
      <c r="T16" s="5">
        <v>42</v>
      </c>
      <c r="U16" s="4">
        <v>98</v>
      </c>
      <c r="V16" s="5">
        <v>2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  <c r="ALI16" s="5"/>
      <c r="ALJ16" s="5"/>
      <c r="ALK16" s="5"/>
      <c r="ALL16" s="5"/>
      <c r="ALM16" s="5"/>
      <c r="ALN16" s="5"/>
      <c r="ALO16" s="5"/>
      <c r="ALP16" s="5"/>
    </row>
    <row r="17" spans="1:1004" s="4" customFormat="1" ht="25.5" customHeight="1">
      <c r="A17" s="6">
        <v>16</v>
      </c>
      <c r="B17" s="8" t="s">
        <v>155</v>
      </c>
      <c r="C17" s="78" t="s">
        <v>156</v>
      </c>
      <c r="D17" s="8" t="s">
        <v>120</v>
      </c>
      <c r="E17" s="8" t="s">
        <v>394</v>
      </c>
      <c r="F17" s="81" t="s">
        <v>157</v>
      </c>
      <c r="G17" s="5">
        <v>43</v>
      </c>
      <c r="H17" s="5">
        <v>24</v>
      </c>
      <c r="I17" s="5">
        <v>34</v>
      </c>
      <c r="J17" s="5">
        <v>102</v>
      </c>
      <c r="K17" s="5">
        <v>90</v>
      </c>
      <c r="L17" s="5">
        <v>106</v>
      </c>
      <c r="M17" s="5">
        <v>40</v>
      </c>
      <c r="N17" s="5">
        <v>70</v>
      </c>
      <c r="O17" s="5">
        <v>88</v>
      </c>
      <c r="P17" s="5">
        <v>106</v>
      </c>
      <c r="Q17" s="5">
        <v>68</v>
      </c>
      <c r="R17" s="5">
        <v>70</v>
      </c>
      <c r="S17" s="5">
        <v>50</v>
      </c>
      <c r="T17" s="5">
        <v>42</v>
      </c>
      <c r="U17" s="4">
        <v>96</v>
      </c>
      <c r="V17" s="5">
        <v>2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  <c r="ALI17" s="5"/>
      <c r="ALJ17" s="5"/>
      <c r="ALK17" s="5"/>
      <c r="ALL17" s="5"/>
      <c r="ALM17" s="5"/>
      <c r="ALN17" s="5"/>
      <c r="ALO17" s="5"/>
      <c r="ALP17" s="5"/>
    </row>
    <row r="18" spans="1:1004" s="4" customFormat="1" ht="25.5" customHeight="1">
      <c r="A18" s="6">
        <v>17</v>
      </c>
      <c r="B18" s="8" t="s">
        <v>158</v>
      </c>
      <c r="C18" s="78" t="s">
        <v>159</v>
      </c>
      <c r="D18" s="8" t="s">
        <v>120</v>
      </c>
      <c r="E18" s="8" t="s">
        <v>394</v>
      </c>
      <c r="F18" s="81" t="s">
        <v>160</v>
      </c>
      <c r="G18" s="5">
        <v>47</v>
      </c>
      <c r="H18" s="5">
        <v>24</v>
      </c>
      <c r="I18" s="5">
        <v>17</v>
      </c>
      <c r="J18" s="5">
        <v>28</v>
      </c>
      <c r="K18" s="5">
        <v>26</v>
      </c>
      <c r="L18" s="5">
        <v>28</v>
      </c>
      <c r="M18" s="5">
        <v>39</v>
      </c>
      <c r="N18" s="5">
        <v>72</v>
      </c>
      <c r="O18" s="5">
        <v>81</v>
      </c>
      <c r="P18" s="5">
        <v>108</v>
      </c>
      <c r="Q18" s="5">
        <v>69</v>
      </c>
      <c r="R18" s="5">
        <v>36</v>
      </c>
      <c r="S18" s="5">
        <v>27</v>
      </c>
      <c r="T18" s="5">
        <v>20</v>
      </c>
      <c r="U18" s="5">
        <v>100</v>
      </c>
      <c r="V18" s="5">
        <v>4</v>
      </c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  <c r="ALI18" s="5"/>
      <c r="ALJ18" s="5"/>
      <c r="ALK18" s="5"/>
      <c r="ALL18" s="5"/>
      <c r="ALM18" s="5"/>
      <c r="ALN18" s="5"/>
      <c r="ALO18" s="5"/>
      <c r="ALP18" s="5"/>
    </row>
    <row r="19" spans="1:1004" s="4" customFormat="1" ht="25.5" customHeight="1">
      <c r="A19" s="6">
        <v>18</v>
      </c>
      <c r="B19" s="8" t="s">
        <v>164</v>
      </c>
      <c r="C19" s="78" t="s">
        <v>165</v>
      </c>
      <c r="D19" s="8" t="s">
        <v>120</v>
      </c>
      <c r="E19" s="8" t="s">
        <v>394</v>
      </c>
      <c r="F19" s="81" t="s">
        <v>166</v>
      </c>
      <c r="G19" s="5">
        <v>45</v>
      </c>
      <c r="H19" s="5">
        <v>25</v>
      </c>
      <c r="I19" s="5">
        <v>18</v>
      </c>
      <c r="J19" s="5">
        <v>28.5</v>
      </c>
      <c r="K19" s="5">
        <v>26</v>
      </c>
      <c r="L19" s="5">
        <v>28.5</v>
      </c>
      <c r="M19" s="5">
        <v>72</v>
      </c>
      <c r="N19" s="5">
        <v>41</v>
      </c>
      <c r="O19" s="5">
        <v>89</v>
      </c>
      <c r="P19" s="5">
        <v>108</v>
      </c>
      <c r="Q19" s="5">
        <v>70</v>
      </c>
      <c r="R19" s="5">
        <v>34</v>
      </c>
      <c r="S19" s="5">
        <v>25</v>
      </c>
      <c r="T19" s="5">
        <v>19</v>
      </c>
      <c r="U19" s="5">
        <v>99</v>
      </c>
      <c r="V19" s="5">
        <v>1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  <c r="ALI19" s="5"/>
      <c r="ALJ19" s="5"/>
      <c r="ALK19" s="5"/>
      <c r="ALL19" s="5"/>
      <c r="ALM19" s="5"/>
      <c r="ALN19" s="5"/>
      <c r="ALO19" s="5"/>
      <c r="ALP19" s="5"/>
    </row>
    <row r="20" spans="1:1004" s="4" customFormat="1" ht="25.5" customHeight="1">
      <c r="A20" s="6">
        <v>19</v>
      </c>
      <c r="B20" s="8" t="s">
        <v>167</v>
      </c>
      <c r="C20" s="78" t="s">
        <v>168</v>
      </c>
      <c r="D20" s="8" t="s">
        <v>120</v>
      </c>
      <c r="E20" s="8" t="s">
        <v>394</v>
      </c>
      <c r="F20" s="81" t="s">
        <v>169</v>
      </c>
      <c r="G20" s="5">
        <v>47</v>
      </c>
      <c r="H20" s="5">
        <v>27</v>
      </c>
      <c r="I20" s="5">
        <v>36</v>
      </c>
      <c r="J20" s="5">
        <v>108</v>
      </c>
      <c r="K20" s="5">
        <v>102</v>
      </c>
      <c r="L20" s="5">
        <v>110</v>
      </c>
      <c r="M20" s="5">
        <v>70</v>
      </c>
      <c r="N20" s="4">
        <v>40</v>
      </c>
      <c r="O20" s="5">
        <v>94</v>
      </c>
      <c r="P20" s="5">
        <v>104</v>
      </c>
      <c r="Q20" s="5">
        <v>110</v>
      </c>
      <c r="R20" s="5">
        <v>74</v>
      </c>
      <c r="S20" s="5">
        <v>68</v>
      </c>
      <c r="T20" s="5">
        <v>50</v>
      </c>
      <c r="U20" s="5">
        <v>42</v>
      </c>
      <c r="V20" s="5">
        <v>2</v>
      </c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  <c r="ALI20" s="5"/>
      <c r="ALJ20" s="5"/>
      <c r="ALK20" s="5"/>
      <c r="ALL20" s="5"/>
      <c r="ALM20" s="5"/>
      <c r="ALN20" s="5"/>
      <c r="ALO20" s="5"/>
      <c r="ALP20" s="5"/>
    </row>
    <row r="21" spans="1:1004" s="4" customFormat="1" ht="25.5" customHeight="1">
      <c r="A21" s="6">
        <v>20</v>
      </c>
      <c r="B21" s="8" t="s">
        <v>176</v>
      </c>
      <c r="C21" s="78" t="s">
        <v>177</v>
      </c>
      <c r="D21" s="8" t="s">
        <v>120</v>
      </c>
      <c r="E21" s="8" t="s">
        <v>394</v>
      </c>
      <c r="F21" s="81" t="s">
        <v>178</v>
      </c>
      <c r="G21" s="5">
        <v>43</v>
      </c>
      <c r="H21" s="5">
        <v>25</v>
      </c>
      <c r="I21" s="5">
        <v>16</v>
      </c>
      <c r="J21" s="5">
        <v>25</v>
      </c>
      <c r="K21" s="5">
        <v>24</v>
      </c>
      <c r="L21" s="5">
        <v>26</v>
      </c>
      <c r="M21" s="5">
        <v>70</v>
      </c>
      <c r="N21" s="5">
        <v>38</v>
      </c>
      <c r="O21" s="5">
        <v>79</v>
      </c>
      <c r="P21" s="5">
        <v>99</v>
      </c>
      <c r="Q21" s="5">
        <v>67</v>
      </c>
      <c r="R21" s="5">
        <v>30</v>
      </c>
      <c r="S21" s="5">
        <v>23</v>
      </c>
      <c r="T21" s="5">
        <v>18</v>
      </c>
      <c r="U21" s="5">
        <v>102</v>
      </c>
      <c r="V21" s="5">
        <v>1</v>
      </c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  <c r="ALI21" s="5"/>
      <c r="ALJ21" s="5"/>
      <c r="ALK21" s="5"/>
      <c r="ALL21" s="5"/>
      <c r="ALM21" s="5"/>
      <c r="ALN21" s="5"/>
      <c r="ALO21" s="5"/>
      <c r="ALP21" s="5"/>
    </row>
    <row r="22" spans="1:1004" s="4" customFormat="1" ht="25.5" customHeight="1">
      <c r="A22" s="6">
        <v>21</v>
      </c>
      <c r="B22" s="8" t="s">
        <v>179</v>
      </c>
      <c r="C22" s="78" t="s">
        <v>180</v>
      </c>
      <c r="D22" s="8" t="s">
        <v>120</v>
      </c>
      <c r="E22" s="8"/>
      <c r="F22" s="81" t="s">
        <v>181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  <c r="ALI22" s="5"/>
      <c r="ALJ22" s="5"/>
      <c r="ALK22" s="5"/>
      <c r="ALL22" s="5"/>
      <c r="ALM22" s="5"/>
      <c r="ALN22" s="5"/>
      <c r="ALO22" s="5"/>
      <c r="ALP22" s="5"/>
    </row>
    <row r="23" spans="1:1004" s="4" customFormat="1" ht="25.5" customHeight="1">
      <c r="A23" s="6">
        <v>22</v>
      </c>
      <c r="B23" s="8" t="s">
        <v>182</v>
      </c>
      <c r="C23" s="78" t="s">
        <v>183</v>
      </c>
      <c r="D23" s="8" t="s">
        <v>120</v>
      </c>
      <c r="E23" s="8" t="s">
        <v>394</v>
      </c>
      <c r="F23" s="81" t="s">
        <v>184</v>
      </c>
      <c r="G23" s="5">
        <v>48</v>
      </c>
      <c r="H23" s="5">
        <v>27</v>
      </c>
      <c r="I23" s="5">
        <v>20</v>
      </c>
      <c r="J23" s="5">
        <v>28</v>
      </c>
      <c r="K23" s="5">
        <v>26</v>
      </c>
      <c r="L23" s="5">
        <v>28</v>
      </c>
      <c r="M23" s="5">
        <v>74</v>
      </c>
      <c r="N23" s="5">
        <v>40</v>
      </c>
      <c r="O23" s="5">
        <v>93</v>
      </c>
      <c r="P23" s="5">
        <v>118</v>
      </c>
      <c r="Q23" s="5">
        <v>74</v>
      </c>
      <c r="R23" s="5">
        <v>35</v>
      </c>
      <c r="S23" s="5">
        <v>25</v>
      </c>
      <c r="T23" s="5">
        <v>19</v>
      </c>
      <c r="U23" s="5">
        <v>103</v>
      </c>
      <c r="V23" s="5">
        <v>1</v>
      </c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  <c r="ALI23" s="5"/>
      <c r="ALJ23" s="5"/>
      <c r="ALK23" s="5"/>
      <c r="ALL23" s="5"/>
      <c r="ALM23" s="5"/>
      <c r="ALN23" s="5"/>
      <c r="ALO23" s="5"/>
      <c r="ALP23" s="5"/>
    </row>
    <row r="24" spans="1:1004" s="4" customFormat="1" ht="25.5" customHeight="1">
      <c r="A24" s="6">
        <v>23</v>
      </c>
      <c r="B24" s="8" t="s">
        <v>185</v>
      </c>
      <c r="C24" s="78" t="s">
        <v>186</v>
      </c>
      <c r="D24" s="8" t="s">
        <v>120</v>
      </c>
      <c r="E24" s="8" t="s">
        <v>394</v>
      </c>
      <c r="F24" s="81" t="s">
        <v>187</v>
      </c>
      <c r="G24" s="5">
        <v>44</v>
      </c>
      <c r="H24" s="5">
        <v>25</v>
      </c>
      <c r="I24" s="5">
        <v>16</v>
      </c>
      <c r="J24" s="5">
        <v>25</v>
      </c>
      <c r="K24" s="5">
        <v>24</v>
      </c>
      <c r="L24" s="5">
        <v>25</v>
      </c>
      <c r="M24" s="5">
        <v>70</v>
      </c>
      <c r="N24" s="5">
        <v>39</v>
      </c>
      <c r="O24" s="5">
        <v>80</v>
      </c>
      <c r="P24" s="5">
        <v>102</v>
      </c>
      <c r="Q24" s="5">
        <v>63</v>
      </c>
      <c r="R24" s="5">
        <v>31</v>
      </c>
      <c r="S24" s="5">
        <v>23</v>
      </c>
      <c r="T24" s="5">
        <v>18</v>
      </c>
      <c r="U24" s="5">
        <v>95</v>
      </c>
      <c r="V24" s="5">
        <v>1</v>
      </c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  <c r="ALI24" s="5"/>
      <c r="ALJ24" s="5"/>
      <c r="ALK24" s="5"/>
      <c r="ALL24" s="5"/>
      <c r="ALM24" s="5"/>
      <c r="ALN24" s="5"/>
      <c r="ALO24" s="5"/>
      <c r="ALP24" s="5"/>
    </row>
    <row r="25" spans="1:1004" s="4" customFormat="1" ht="25.5" customHeight="1">
      <c r="A25" s="6">
        <v>24</v>
      </c>
      <c r="B25" s="8" t="s">
        <v>188</v>
      </c>
      <c r="C25" s="78" t="s">
        <v>189</v>
      </c>
      <c r="D25" s="8" t="s">
        <v>120</v>
      </c>
      <c r="E25" s="8" t="s">
        <v>394</v>
      </c>
      <c r="F25" s="81" t="s">
        <v>190</v>
      </c>
      <c r="G25" s="5">
        <v>40</v>
      </c>
      <c r="H25" s="5">
        <v>24</v>
      </c>
      <c r="I25" s="5">
        <v>16</v>
      </c>
      <c r="J25" s="5">
        <v>25</v>
      </c>
      <c r="K25" s="5">
        <v>23</v>
      </c>
      <c r="L25" s="5">
        <v>25</v>
      </c>
      <c r="M25" s="5">
        <v>68</v>
      </c>
      <c r="N25" s="5">
        <v>37</v>
      </c>
      <c r="O25" s="5">
        <v>68</v>
      </c>
      <c r="P25" s="5">
        <v>90</v>
      </c>
      <c r="Q25" s="5">
        <v>61</v>
      </c>
      <c r="R25" s="5">
        <v>30</v>
      </c>
      <c r="S25" s="5">
        <v>23</v>
      </c>
      <c r="T25" s="5">
        <v>18</v>
      </c>
      <c r="U25" s="5">
        <v>96</v>
      </c>
      <c r="V25" s="5">
        <v>5</v>
      </c>
      <c r="W25" s="5" t="s">
        <v>545</v>
      </c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  <c r="ALI25" s="5"/>
      <c r="ALJ25" s="5"/>
      <c r="ALK25" s="5"/>
      <c r="ALL25" s="5"/>
      <c r="ALM25" s="5"/>
      <c r="ALN25" s="5"/>
      <c r="ALO25" s="5"/>
      <c r="ALP25" s="5"/>
    </row>
    <row r="26" spans="1:1004" s="5" customFormat="1" ht="25.5" customHeight="1">
      <c r="A26" s="6">
        <v>25</v>
      </c>
      <c r="B26" s="8" t="s">
        <v>191</v>
      </c>
      <c r="C26" s="78" t="s">
        <v>192</v>
      </c>
      <c r="D26" s="8" t="s">
        <v>120</v>
      </c>
      <c r="E26" s="8" t="s">
        <v>394</v>
      </c>
      <c r="F26" s="81" t="s">
        <v>193</v>
      </c>
      <c r="G26" s="5">
        <v>43</v>
      </c>
      <c r="H26" s="5">
        <v>25</v>
      </c>
      <c r="I26" s="5">
        <v>17</v>
      </c>
      <c r="J26" s="5">
        <v>28</v>
      </c>
      <c r="K26" s="5">
        <v>26</v>
      </c>
      <c r="L26" s="5">
        <v>28</v>
      </c>
      <c r="M26" s="5">
        <v>76</v>
      </c>
      <c r="N26" s="5">
        <v>40</v>
      </c>
      <c r="O26" s="5">
        <v>88</v>
      </c>
      <c r="P26" s="5">
        <v>109</v>
      </c>
      <c r="Q26" s="5">
        <v>67</v>
      </c>
      <c r="R26" s="5">
        <v>34</v>
      </c>
      <c r="S26" s="5">
        <v>25</v>
      </c>
      <c r="T26" s="5">
        <v>19</v>
      </c>
      <c r="U26" s="5">
        <v>102</v>
      </c>
      <c r="V26" s="5">
        <v>1</v>
      </c>
    </row>
    <row r="27" spans="1:1004" s="5" customFormat="1" ht="25.5" customHeight="1">
      <c r="A27" s="6">
        <v>26</v>
      </c>
      <c r="B27" s="8" t="s">
        <v>194</v>
      </c>
      <c r="C27" s="78" t="s">
        <v>195</v>
      </c>
      <c r="D27" s="8" t="s">
        <v>120</v>
      </c>
      <c r="E27" s="8" t="s">
        <v>394</v>
      </c>
      <c r="F27" s="81" t="s">
        <v>196</v>
      </c>
      <c r="G27" s="5">
        <v>50</v>
      </c>
      <c r="H27" s="5">
        <v>27</v>
      </c>
      <c r="I27" s="5">
        <v>20</v>
      </c>
      <c r="J27" s="5">
        <v>31</v>
      </c>
      <c r="K27" s="5">
        <v>29</v>
      </c>
      <c r="L27" s="5">
        <v>31</v>
      </c>
      <c r="M27" s="5">
        <v>78</v>
      </c>
      <c r="N27" s="5">
        <v>43</v>
      </c>
      <c r="O27" s="5">
        <v>108</v>
      </c>
      <c r="P27" s="5">
        <v>120</v>
      </c>
      <c r="Q27" s="5">
        <v>74</v>
      </c>
      <c r="R27" s="5">
        <v>37</v>
      </c>
      <c r="S27" s="5">
        <v>28</v>
      </c>
      <c r="T27" s="5">
        <v>22</v>
      </c>
      <c r="U27" s="5">
        <v>98</v>
      </c>
      <c r="V27" s="5">
        <v>5</v>
      </c>
      <c r="W27" s="5" t="s">
        <v>545</v>
      </c>
    </row>
    <row r="28" spans="1:1004" s="5" customFormat="1" ht="25.5" customHeight="1">
      <c r="A28" s="6">
        <v>27</v>
      </c>
      <c r="B28" s="8" t="s">
        <v>197</v>
      </c>
      <c r="C28" s="78" t="s">
        <v>198</v>
      </c>
      <c r="D28" s="8" t="s">
        <v>120</v>
      </c>
      <c r="E28" s="8"/>
      <c r="F28" s="81" t="s">
        <v>199</v>
      </c>
    </row>
    <row r="29" spans="1:1004" s="5" customFormat="1" ht="25.5" customHeight="1">
      <c r="A29" s="6">
        <v>28</v>
      </c>
      <c r="B29" s="8" t="s">
        <v>200</v>
      </c>
      <c r="C29" s="78" t="s">
        <v>201</v>
      </c>
      <c r="D29" s="8" t="s">
        <v>120</v>
      </c>
      <c r="E29" s="8" t="s">
        <v>394</v>
      </c>
      <c r="F29" s="81" t="s">
        <v>202</v>
      </c>
      <c r="G29" s="5">
        <v>44</v>
      </c>
      <c r="H29" s="5">
        <v>28</v>
      </c>
      <c r="I29" s="5">
        <v>16</v>
      </c>
      <c r="J29" s="5">
        <v>27</v>
      </c>
      <c r="K29" s="5">
        <v>25</v>
      </c>
      <c r="L29" s="5">
        <v>27</v>
      </c>
      <c r="M29" s="5">
        <v>78</v>
      </c>
      <c r="N29" s="5">
        <v>39</v>
      </c>
      <c r="O29" s="5">
        <v>88</v>
      </c>
      <c r="P29" s="5">
        <v>112</v>
      </c>
      <c r="Q29" s="5">
        <v>69</v>
      </c>
      <c r="R29" s="5">
        <v>33</v>
      </c>
      <c r="S29" s="5">
        <v>25</v>
      </c>
      <c r="T29" s="5">
        <v>19</v>
      </c>
      <c r="U29" s="5">
        <v>106</v>
      </c>
      <c r="V29" s="5">
        <v>3</v>
      </c>
    </row>
    <row r="30" spans="1:1004" s="5" customFormat="1" ht="25.5" customHeight="1">
      <c r="A30" s="6">
        <v>29</v>
      </c>
      <c r="B30" s="8" t="s">
        <v>203</v>
      </c>
      <c r="C30" s="78" t="s">
        <v>204</v>
      </c>
      <c r="D30" s="8" t="s">
        <v>120</v>
      </c>
      <c r="E30" s="8"/>
      <c r="F30" s="81" t="s">
        <v>205</v>
      </c>
    </row>
    <row r="31" spans="1:1004" s="5" customFormat="1" ht="25.5" customHeight="1">
      <c r="A31" s="6">
        <v>30</v>
      </c>
      <c r="B31" s="8" t="s">
        <v>209</v>
      </c>
      <c r="C31" s="78" t="s">
        <v>210</v>
      </c>
      <c r="D31" s="8" t="s">
        <v>120</v>
      </c>
      <c r="E31" s="8" t="s">
        <v>394</v>
      </c>
      <c r="F31" s="81" t="s">
        <v>211</v>
      </c>
      <c r="G31" s="5">
        <v>46</v>
      </c>
      <c r="H31" s="5">
        <v>26</v>
      </c>
      <c r="I31" s="5">
        <v>15</v>
      </c>
      <c r="J31" s="5">
        <v>26</v>
      </c>
      <c r="K31" s="5">
        <v>23</v>
      </c>
      <c r="L31" s="5">
        <v>26</v>
      </c>
      <c r="M31" s="5">
        <v>74</v>
      </c>
      <c r="N31" s="5">
        <v>39</v>
      </c>
      <c r="O31" s="5">
        <v>81</v>
      </c>
      <c r="P31" s="5">
        <v>101</v>
      </c>
      <c r="Q31" s="5">
        <v>64</v>
      </c>
      <c r="R31" s="5">
        <v>31</v>
      </c>
      <c r="S31" s="5">
        <v>23</v>
      </c>
      <c r="T31" s="5">
        <v>19</v>
      </c>
      <c r="U31" s="5">
        <v>101</v>
      </c>
      <c r="V31" s="5">
        <v>3</v>
      </c>
    </row>
    <row r="32" spans="1:1004" s="5" customFormat="1" ht="25.5" customHeight="1">
      <c r="A32" s="6">
        <v>31</v>
      </c>
      <c r="B32" s="8" t="s">
        <v>215</v>
      </c>
      <c r="C32" s="78" t="s">
        <v>216</v>
      </c>
      <c r="D32" s="8" t="s">
        <v>120</v>
      </c>
      <c r="E32" s="8" t="s">
        <v>394</v>
      </c>
      <c r="F32" s="81" t="s">
        <v>217</v>
      </c>
      <c r="G32" s="5">
        <v>46</v>
      </c>
      <c r="H32" s="5">
        <v>27</v>
      </c>
      <c r="I32" s="5">
        <v>17</v>
      </c>
      <c r="J32" s="5">
        <v>28</v>
      </c>
      <c r="K32" s="5">
        <v>26.5</v>
      </c>
      <c r="L32" s="5">
        <v>29</v>
      </c>
      <c r="M32" s="5">
        <v>72</v>
      </c>
      <c r="N32" s="5">
        <v>41</v>
      </c>
      <c r="O32" s="5">
        <v>92</v>
      </c>
      <c r="P32" s="5">
        <v>112</v>
      </c>
      <c r="Q32" s="5">
        <v>71</v>
      </c>
      <c r="R32" s="5">
        <v>35</v>
      </c>
      <c r="S32" s="5">
        <v>26</v>
      </c>
      <c r="T32" s="5">
        <v>19</v>
      </c>
      <c r="U32" s="5">
        <v>100</v>
      </c>
      <c r="V32" s="5">
        <v>1</v>
      </c>
    </row>
    <row r="33" spans="1:1004" s="5" customFormat="1" ht="25.5" customHeight="1">
      <c r="A33" s="6">
        <v>32</v>
      </c>
      <c r="B33" s="8" t="s">
        <v>218</v>
      </c>
      <c r="C33" s="78" t="s">
        <v>219</v>
      </c>
      <c r="D33" s="8" t="s">
        <v>120</v>
      </c>
      <c r="E33" s="8" t="s">
        <v>394</v>
      </c>
      <c r="F33" s="81" t="s">
        <v>220</v>
      </c>
      <c r="G33" s="19">
        <v>44</v>
      </c>
      <c r="H33" s="19">
        <v>22</v>
      </c>
      <c r="I33" s="19">
        <v>17</v>
      </c>
      <c r="J33" s="19">
        <v>26</v>
      </c>
      <c r="K33" s="19">
        <v>24</v>
      </c>
      <c r="L33" s="19">
        <v>26</v>
      </c>
      <c r="M33" s="19">
        <v>65</v>
      </c>
      <c r="N33" s="19">
        <v>38</v>
      </c>
      <c r="O33" s="19">
        <v>74</v>
      </c>
      <c r="P33" s="5">
        <v>95</v>
      </c>
      <c r="Q33" s="5">
        <v>63</v>
      </c>
      <c r="R33" s="5">
        <v>29</v>
      </c>
      <c r="S33" s="5">
        <v>23</v>
      </c>
      <c r="T33" s="5">
        <v>18</v>
      </c>
      <c r="U33" s="5">
        <v>95</v>
      </c>
      <c r="V33" s="5">
        <v>3</v>
      </c>
    </row>
    <row r="34" spans="1:1004" s="5" customFormat="1" ht="25.5" customHeight="1">
      <c r="A34" s="6">
        <v>33</v>
      </c>
      <c r="B34" s="8" t="s">
        <v>224</v>
      </c>
      <c r="C34" s="78" t="s">
        <v>225</v>
      </c>
      <c r="D34" s="8" t="s">
        <v>120</v>
      </c>
      <c r="E34" s="8" t="s">
        <v>394</v>
      </c>
      <c r="F34" s="81" t="s">
        <v>226</v>
      </c>
      <c r="G34" s="19">
        <v>43</v>
      </c>
      <c r="H34" s="19">
        <v>26</v>
      </c>
      <c r="I34" s="19">
        <v>17</v>
      </c>
      <c r="J34" s="19">
        <v>26</v>
      </c>
      <c r="K34" s="19">
        <v>24</v>
      </c>
      <c r="L34" s="19">
        <v>26</v>
      </c>
      <c r="M34" s="19">
        <v>70</v>
      </c>
      <c r="N34" s="19">
        <v>40</v>
      </c>
      <c r="O34" s="19">
        <v>84</v>
      </c>
      <c r="P34" s="5">
        <v>107</v>
      </c>
      <c r="Q34" s="5">
        <v>67</v>
      </c>
      <c r="R34" s="5">
        <v>33</v>
      </c>
      <c r="S34" s="5">
        <v>23</v>
      </c>
      <c r="T34" s="5">
        <v>19</v>
      </c>
      <c r="U34" s="5">
        <v>94</v>
      </c>
      <c r="V34" s="5">
        <v>2</v>
      </c>
    </row>
    <row r="35" spans="1:1004" s="5" customFormat="1" ht="25.5" customHeight="1">
      <c r="A35" s="6">
        <v>34</v>
      </c>
      <c r="B35" s="8" t="s">
        <v>227</v>
      </c>
      <c r="C35" s="78" t="s">
        <v>228</v>
      </c>
      <c r="D35" s="8" t="s">
        <v>229</v>
      </c>
      <c r="E35" s="8"/>
      <c r="F35" s="78" t="s">
        <v>230</v>
      </c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</row>
    <row r="36" spans="1:1004" s="5" customFormat="1" ht="25.5" customHeight="1">
      <c r="A36" s="6">
        <v>35</v>
      </c>
      <c r="B36" s="8" t="s">
        <v>231</v>
      </c>
      <c r="C36" s="78" t="s">
        <v>544</v>
      </c>
      <c r="D36" s="8" t="s">
        <v>229</v>
      </c>
      <c r="E36" s="8" t="s">
        <v>394</v>
      </c>
      <c r="F36" s="78" t="s">
        <v>233</v>
      </c>
      <c r="G36" s="21">
        <v>40</v>
      </c>
      <c r="H36" s="21">
        <v>23</v>
      </c>
      <c r="I36" s="21">
        <v>16</v>
      </c>
      <c r="J36" s="21">
        <v>25</v>
      </c>
      <c r="K36" s="21">
        <v>23</v>
      </c>
      <c r="L36" s="21">
        <v>26</v>
      </c>
      <c r="M36" s="21">
        <v>65</v>
      </c>
      <c r="N36" s="21">
        <v>38</v>
      </c>
      <c r="O36" s="21">
        <v>70</v>
      </c>
      <c r="P36" s="21">
        <v>96</v>
      </c>
      <c r="Q36" s="21">
        <v>62</v>
      </c>
      <c r="R36" s="21">
        <v>29</v>
      </c>
      <c r="S36" s="15">
        <v>21</v>
      </c>
      <c r="T36" s="15">
        <v>18</v>
      </c>
      <c r="U36" s="15">
        <v>91</v>
      </c>
      <c r="V36" s="15">
        <v>4</v>
      </c>
    </row>
    <row r="37" spans="1:1004" s="5" customFormat="1" ht="25.5" customHeight="1">
      <c r="A37" s="6">
        <v>36</v>
      </c>
      <c r="B37" s="8" t="s">
        <v>237</v>
      </c>
      <c r="C37" s="78" t="s">
        <v>238</v>
      </c>
      <c r="D37" s="8" t="s">
        <v>229</v>
      </c>
      <c r="E37" s="8" t="s">
        <v>394</v>
      </c>
      <c r="F37" s="78" t="s">
        <v>239</v>
      </c>
      <c r="G37" s="21">
        <v>45</v>
      </c>
      <c r="H37" s="21">
        <v>23</v>
      </c>
      <c r="I37" s="21">
        <v>17</v>
      </c>
      <c r="J37" s="21">
        <v>26</v>
      </c>
      <c r="K37" s="21">
        <v>23</v>
      </c>
      <c r="L37" s="21">
        <v>26</v>
      </c>
      <c r="M37" s="21">
        <v>65</v>
      </c>
      <c r="N37" s="21">
        <v>38</v>
      </c>
      <c r="O37" s="21">
        <v>70</v>
      </c>
      <c r="P37" s="21">
        <v>96</v>
      </c>
      <c r="Q37" s="21">
        <v>62</v>
      </c>
      <c r="R37" s="21">
        <v>29</v>
      </c>
      <c r="S37" s="15">
        <v>21</v>
      </c>
      <c r="T37" s="15">
        <v>18</v>
      </c>
      <c r="U37" s="15">
        <v>91</v>
      </c>
      <c r="V37" s="15">
        <v>3</v>
      </c>
    </row>
    <row r="38" spans="1:1004" s="5" customFormat="1" ht="25.5" customHeight="1">
      <c r="A38" s="6">
        <v>37</v>
      </c>
      <c r="B38" s="8" t="s">
        <v>240</v>
      </c>
      <c r="C38" s="78" t="s">
        <v>241</v>
      </c>
      <c r="D38" s="8" t="s">
        <v>229</v>
      </c>
      <c r="E38" s="8"/>
      <c r="F38" s="78" t="s">
        <v>242</v>
      </c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</row>
    <row r="39" spans="1:1004" s="5" customFormat="1" ht="25.5" customHeight="1">
      <c r="A39" s="6">
        <v>38</v>
      </c>
      <c r="B39" s="8" t="s">
        <v>249</v>
      </c>
      <c r="C39" s="78" t="s">
        <v>250</v>
      </c>
      <c r="D39" s="8" t="s">
        <v>229</v>
      </c>
      <c r="E39" s="8" t="s">
        <v>394</v>
      </c>
      <c r="F39" s="78" t="s">
        <v>251</v>
      </c>
      <c r="G39" s="5">
        <v>42</v>
      </c>
      <c r="H39" s="5">
        <v>24</v>
      </c>
      <c r="I39" s="5">
        <v>17</v>
      </c>
      <c r="J39" s="5">
        <v>26</v>
      </c>
      <c r="K39" s="5">
        <v>23</v>
      </c>
      <c r="L39" s="5">
        <v>26</v>
      </c>
      <c r="M39" s="5">
        <v>73</v>
      </c>
      <c r="N39" s="5">
        <v>40</v>
      </c>
      <c r="O39" s="5">
        <v>76</v>
      </c>
      <c r="P39" s="5">
        <v>97</v>
      </c>
      <c r="Q39" s="5">
        <v>63</v>
      </c>
      <c r="R39" s="5">
        <v>31</v>
      </c>
      <c r="S39" s="5">
        <v>25</v>
      </c>
      <c r="T39" s="5">
        <v>18</v>
      </c>
      <c r="U39" s="5">
        <v>104</v>
      </c>
      <c r="V39" s="5">
        <v>1</v>
      </c>
    </row>
    <row r="40" spans="1:1004" s="5" customFormat="1" ht="25.5" customHeight="1">
      <c r="A40" s="6">
        <v>39</v>
      </c>
      <c r="B40" s="8" t="s">
        <v>255</v>
      </c>
      <c r="C40" s="78" t="s">
        <v>256</v>
      </c>
      <c r="D40" s="8" t="s">
        <v>229</v>
      </c>
      <c r="E40" s="8" t="s">
        <v>394</v>
      </c>
      <c r="F40" s="78" t="s">
        <v>257</v>
      </c>
      <c r="G40" s="5">
        <v>45</v>
      </c>
      <c r="H40" s="5">
        <v>25</v>
      </c>
      <c r="I40" s="5">
        <v>16</v>
      </c>
      <c r="J40" s="5">
        <v>26</v>
      </c>
      <c r="K40" s="5">
        <v>24</v>
      </c>
      <c r="L40" s="5">
        <v>26</v>
      </c>
      <c r="M40" s="5">
        <v>73</v>
      </c>
      <c r="N40" s="5">
        <v>38</v>
      </c>
      <c r="O40" s="5">
        <v>78</v>
      </c>
      <c r="P40" s="5">
        <v>103</v>
      </c>
      <c r="Q40" s="5">
        <v>63</v>
      </c>
      <c r="R40" s="5">
        <v>32</v>
      </c>
      <c r="S40" s="5">
        <v>25</v>
      </c>
      <c r="T40" s="5">
        <v>19</v>
      </c>
      <c r="U40" s="5">
        <v>98</v>
      </c>
      <c r="V40" s="5">
        <v>1</v>
      </c>
    </row>
    <row r="41" spans="1:1004" s="5" customFormat="1" ht="25.5" customHeight="1">
      <c r="A41" s="6">
        <v>40</v>
      </c>
      <c r="B41" s="8" t="s">
        <v>258</v>
      </c>
      <c r="C41" s="78" t="s">
        <v>259</v>
      </c>
      <c r="D41" s="8" t="s">
        <v>229</v>
      </c>
      <c r="E41" s="8" t="s">
        <v>394</v>
      </c>
      <c r="F41" s="78" t="s">
        <v>260</v>
      </c>
      <c r="G41" s="5">
        <v>44</v>
      </c>
      <c r="H41" s="5">
        <v>24</v>
      </c>
      <c r="I41" s="5">
        <v>16</v>
      </c>
      <c r="J41" s="5">
        <v>25</v>
      </c>
      <c r="K41" s="5">
        <v>23</v>
      </c>
      <c r="L41" s="5">
        <v>25</v>
      </c>
      <c r="M41" s="5">
        <v>72</v>
      </c>
      <c r="N41" s="5">
        <v>38</v>
      </c>
      <c r="O41" s="5">
        <v>75</v>
      </c>
      <c r="P41" s="5">
        <v>99</v>
      </c>
      <c r="Q41" s="5">
        <v>65</v>
      </c>
      <c r="R41" s="5">
        <v>31</v>
      </c>
      <c r="S41" s="5">
        <v>23</v>
      </c>
      <c r="T41" s="5">
        <v>18</v>
      </c>
      <c r="U41" s="5">
        <v>99</v>
      </c>
      <c r="V41" s="5">
        <v>1</v>
      </c>
    </row>
    <row r="42" spans="1:1004" s="5" customFormat="1" ht="25.5" customHeight="1">
      <c r="A42" s="6">
        <v>41</v>
      </c>
      <c r="B42" s="8" t="s">
        <v>261</v>
      </c>
      <c r="C42" s="78" t="s">
        <v>262</v>
      </c>
      <c r="D42" s="8" t="s">
        <v>229</v>
      </c>
      <c r="E42" s="8" t="s">
        <v>394</v>
      </c>
      <c r="F42" s="78" t="s">
        <v>263</v>
      </c>
      <c r="G42" s="5">
        <v>42</v>
      </c>
      <c r="H42" s="5">
        <v>24</v>
      </c>
      <c r="I42" s="5">
        <v>16</v>
      </c>
      <c r="J42" s="5">
        <v>25</v>
      </c>
      <c r="K42" s="5">
        <v>22</v>
      </c>
      <c r="L42" s="5">
        <v>25</v>
      </c>
      <c r="M42" s="5">
        <v>67</v>
      </c>
      <c r="N42" s="5">
        <v>36</v>
      </c>
      <c r="O42" s="5">
        <v>70</v>
      </c>
      <c r="P42" s="5">
        <v>92</v>
      </c>
      <c r="Q42" s="5">
        <v>64</v>
      </c>
      <c r="R42" s="5">
        <v>30</v>
      </c>
      <c r="S42" s="5">
        <v>24</v>
      </c>
      <c r="T42" s="5">
        <v>18</v>
      </c>
      <c r="U42" s="5">
        <v>95</v>
      </c>
      <c r="V42" s="5">
        <v>1</v>
      </c>
    </row>
    <row r="43" spans="1:1004" s="4" customFormat="1" ht="25.5" customHeight="1">
      <c r="A43" s="6">
        <v>42</v>
      </c>
      <c r="B43" s="8" t="s">
        <v>264</v>
      </c>
      <c r="C43" s="78" t="s">
        <v>265</v>
      </c>
      <c r="D43" s="8" t="s">
        <v>229</v>
      </c>
      <c r="E43" s="8" t="s">
        <v>394</v>
      </c>
      <c r="F43" s="78" t="s">
        <v>266</v>
      </c>
      <c r="G43" s="5">
        <v>44</v>
      </c>
      <c r="H43" s="5">
        <v>26</v>
      </c>
      <c r="I43" s="5">
        <v>16</v>
      </c>
      <c r="J43" s="5">
        <v>26</v>
      </c>
      <c r="K43" s="5">
        <v>24</v>
      </c>
      <c r="L43" s="5">
        <v>27</v>
      </c>
      <c r="M43" s="5">
        <v>73</v>
      </c>
      <c r="N43" s="5">
        <v>39</v>
      </c>
      <c r="O43" s="5">
        <v>78</v>
      </c>
      <c r="P43" s="5">
        <v>100</v>
      </c>
      <c r="Q43" s="5">
        <v>66</v>
      </c>
      <c r="R43" s="5">
        <v>32</v>
      </c>
      <c r="S43" s="5">
        <v>23</v>
      </c>
      <c r="T43" s="5">
        <v>19</v>
      </c>
      <c r="U43" s="5">
        <v>105</v>
      </c>
      <c r="V43" s="5">
        <v>1</v>
      </c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  <c r="AAA43" s="5"/>
      <c r="AAB43" s="5"/>
      <c r="AAC43" s="5"/>
      <c r="AAD43" s="5"/>
      <c r="AAE43" s="5"/>
      <c r="AAF43" s="5"/>
      <c r="AAG43" s="5"/>
      <c r="AAH43" s="5"/>
      <c r="AAI43" s="5"/>
      <c r="AAJ43" s="5"/>
      <c r="AAK43" s="5"/>
      <c r="AAL43" s="5"/>
      <c r="AAM43" s="5"/>
      <c r="AAN43" s="5"/>
      <c r="AAO43" s="5"/>
      <c r="AAP43" s="5"/>
      <c r="AAQ43" s="5"/>
      <c r="AAR43" s="5"/>
      <c r="AAS43" s="5"/>
      <c r="AAT43" s="5"/>
      <c r="AAU43" s="5"/>
      <c r="AAV43" s="5"/>
      <c r="AAW43" s="5"/>
      <c r="AAX43" s="5"/>
      <c r="AAY43" s="5"/>
      <c r="AAZ43" s="5"/>
      <c r="ABA43" s="5"/>
      <c r="ABB43" s="5"/>
      <c r="ABC43" s="5"/>
      <c r="ABD43" s="5"/>
      <c r="ABE43" s="5"/>
      <c r="ABF43" s="5"/>
      <c r="ABG43" s="5"/>
      <c r="ABH43" s="5"/>
      <c r="ABI43" s="5"/>
      <c r="ABJ43" s="5"/>
      <c r="ABK43" s="5"/>
      <c r="ABL43" s="5"/>
      <c r="ABM43" s="5"/>
      <c r="ABN43" s="5"/>
      <c r="ABO43" s="5"/>
      <c r="ABP43" s="5"/>
      <c r="ABQ43" s="5"/>
      <c r="ABR43" s="5"/>
      <c r="ABS43" s="5"/>
      <c r="ABT43" s="5"/>
      <c r="ABU43" s="5"/>
      <c r="ABV43" s="5"/>
      <c r="ABW43" s="5"/>
      <c r="ABX43" s="5"/>
      <c r="ABY43" s="5"/>
      <c r="ABZ43" s="5"/>
      <c r="ACA43" s="5"/>
      <c r="ACB43" s="5"/>
      <c r="ACC43" s="5"/>
      <c r="ACD43" s="5"/>
      <c r="ACE43" s="5"/>
      <c r="ACF43" s="5"/>
      <c r="ACG43" s="5"/>
      <c r="ACH43" s="5"/>
      <c r="ACI43" s="5"/>
      <c r="ACJ43" s="5"/>
      <c r="ACK43" s="5"/>
      <c r="ACL43" s="5"/>
      <c r="ACM43" s="5"/>
      <c r="ACN43" s="5"/>
      <c r="ACO43" s="5"/>
      <c r="ACP43" s="5"/>
      <c r="ACQ43" s="5"/>
      <c r="ACR43" s="5"/>
      <c r="ACS43" s="5"/>
      <c r="ACT43" s="5"/>
      <c r="ACU43" s="5"/>
      <c r="ACV43" s="5"/>
      <c r="ACW43" s="5"/>
      <c r="ACX43" s="5"/>
      <c r="ACY43" s="5"/>
      <c r="ACZ43" s="5"/>
      <c r="ADA43" s="5"/>
      <c r="ADB43" s="5"/>
      <c r="ADC43" s="5"/>
      <c r="ADD43" s="5"/>
      <c r="ADE43" s="5"/>
      <c r="ADF43" s="5"/>
      <c r="ADG43" s="5"/>
      <c r="ADH43" s="5"/>
      <c r="ADI43" s="5"/>
      <c r="ADJ43" s="5"/>
      <c r="ADK43" s="5"/>
      <c r="ADL43" s="5"/>
      <c r="ADM43" s="5"/>
      <c r="ADN43" s="5"/>
      <c r="ADO43" s="5"/>
      <c r="ADP43" s="5"/>
      <c r="ADQ43" s="5"/>
      <c r="ADR43" s="5"/>
      <c r="ADS43" s="5"/>
      <c r="ADT43" s="5"/>
      <c r="ADU43" s="5"/>
      <c r="ADV43" s="5"/>
      <c r="ADW43" s="5"/>
      <c r="ADX43" s="5"/>
      <c r="ADY43" s="5"/>
      <c r="ADZ43" s="5"/>
      <c r="AEA43" s="5"/>
      <c r="AEB43" s="5"/>
      <c r="AEC43" s="5"/>
      <c r="AED43" s="5"/>
      <c r="AEE43" s="5"/>
      <c r="AEF43" s="5"/>
      <c r="AEG43" s="5"/>
      <c r="AEH43" s="5"/>
      <c r="AEI43" s="5"/>
      <c r="AEJ43" s="5"/>
      <c r="AEK43" s="5"/>
      <c r="AEL43" s="5"/>
      <c r="AEM43" s="5"/>
      <c r="AEN43" s="5"/>
      <c r="AEO43" s="5"/>
      <c r="AEP43" s="5"/>
      <c r="AEQ43" s="5"/>
      <c r="AER43" s="5"/>
      <c r="AES43" s="5"/>
      <c r="AET43" s="5"/>
      <c r="AEU43" s="5"/>
      <c r="AEV43" s="5"/>
      <c r="AEW43" s="5"/>
      <c r="AEX43" s="5"/>
      <c r="AEY43" s="5"/>
      <c r="AEZ43" s="5"/>
      <c r="AFA43" s="5"/>
      <c r="AFB43" s="5"/>
      <c r="AFC43" s="5"/>
      <c r="AFD43" s="5"/>
      <c r="AFE43" s="5"/>
      <c r="AFF43" s="5"/>
      <c r="AFG43" s="5"/>
      <c r="AFH43" s="5"/>
      <c r="AFI43" s="5"/>
      <c r="AFJ43" s="5"/>
      <c r="AFK43" s="5"/>
      <c r="AFL43" s="5"/>
      <c r="AFM43" s="5"/>
      <c r="AFN43" s="5"/>
      <c r="AFO43" s="5"/>
      <c r="AFP43" s="5"/>
      <c r="AFQ43" s="5"/>
      <c r="AFR43" s="5"/>
      <c r="AFS43" s="5"/>
      <c r="AFT43" s="5"/>
      <c r="AFU43" s="5"/>
      <c r="AFV43" s="5"/>
      <c r="AFW43" s="5"/>
      <c r="AFX43" s="5"/>
      <c r="AFY43" s="5"/>
      <c r="AFZ43" s="5"/>
      <c r="AGA43" s="5"/>
      <c r="AGB43" s="5"/>
      <c r="AGC43" s="5"/>
      <c r="AGD43" s="5"/>
      <c r="AGE43" s="5"/>
      <c r="AGF43" s="5"/>
      <c r="AGG43" s="5"/>
      <c r="AGH43" s="5"/>
      <c r="AGI43" s="5"/>
      <c r="AGJ43" s="5"/>
      <c r="AGK43" s="5"/>
      <c r="AGL43" s="5"/>
      <c r="AGM43" s="5"/>
      <c r="AGN43" s="5"/>
      <c r="AGO43" s="5"/>
      <c r="AGP43" s="5"/>
      <c r="AGQ43" s="5"/>
      <c r="AGR43" s="5"/>
      <c r="AGS43" s="5"/>
      <c r="AGT43" s="5"/>
      <c r="AGU43" s="5"/>
      <c r="AGV43" s="5"/>
      <c r="AGW43" s="5"/>
      <c r="AGX43" s="5"/>
      <c r="AGY43" s="5"/>
      <c r="AGZ43" s="5"/>
      <c r="AHA43" s="5"/>
      <c r="AHB43" s="5"/>
      <c r="AHC43" s="5"/>
      <c r="AHD43" s="5"/>
      <c r="AHE43" s="5"/>
      <c r="AHF43" s="5"/>
      <c r="AHG43" s="5"/>
      <c r="AHH43" s="5"/>
      <c r="AHI43" s="5"/>
      <c r="AHJ43" s="5"/>
      <c r="AHK43" s="5"/>
      <c r="AHL43" s="5"/>
      <c r="AHM43" s="5"/>
      <c r="AHN43" s="5"/>
      <c r="AHO43" s="5"/>
      <c r="AHP43" s="5"/>
      <c r="AHQ43" s="5"/>
      <c r="AHR43" s="5"/>
      <c r="AHS43" s="5"/>
      <c r="AHT43" s="5"/>
      <c r="AHU43" s="5"/>
      <c r="AHV43" s="5"/>
      <c r="AHW43" s="5"/>
      <c r="AHX43" s="5"/>
      <c r="AHY43" s="5"/>
      <c r="AHZ43" s="5"/>
      <c r="AIA43" s="5"/>
      <c r="AIB43" s="5"/>
      <c r="AIC43" s="5"/>
      <c r="AID43" s="5"/>
      <c r="AIE43" s="5"/>
      <c r="AIF43" s="5"/>
      <c r="AIG43" s="5"/>
      <c r="AIH43" s="5"/>
      <c r="AII43" s="5"/>
      <c r="AIJ43" s="5"/>
      <c r="AIK43" s="5"/>
      <c r="AIL43" s="5"/>
      <c r="AIM43" s="5"/>
      <c r="AIN43" s="5"/>
      <c r="AIO43" s="5"/>
      <c r="AIP43" s="5"/>
      <c r="AIQ43" s="5"/>
      <c r="AIR43" s="5"/>
      <c r="AIS43" s="5"/>
      <c r="AIT43" s="5"/>
      <c r="AIU43" s="5"/>
      <c r="AIV43" s="5"/>
      <c r="AIW43" s="5"/>
      <c r="AIX43" s="5"/>
      <c r="AIY43" s="5"/>
      <c r="AIZ43" s="5"/>
      <c r="AJA43" s="5"/>
      <c r="AJB43" s="5"/>
      <c r="AJC43" s="5"/>
      <c r="AJD43" s="5"/>
      <c r="AJE43" s="5"/>
      <c r="AJF43" s="5"/>
      <c r="AJG43" s="5"/>
      <c r="AJH43" s="5"/>
      <c r="AJI43" s="5"/>
      <c r="AJJ43" s="5"/>
      <c r="AJK43" s="5"/>
      <c r="AJL43" s="5"/>
      <c r="AJM43" s="5"/>
      <c r="AJN43" s="5"/>
      <c r="AJO43" s="5"/>
      <c r="AJP43" s="5"/>
      <c r="AJQ43" s="5"/>
      <c r="AJR43" s="5"/>
      <c r="AJS43" s="5"/>
      <c r="AJT43" s="5"/>
      <c r="AJU43" s="5"/>
      <c r="AJV43" s="5"/>
      <c r="AJW43" s="5"/>
      <c r="AJX43" s="5"/>
      <c r="AJY43" s="5"/>
      <c r="AJZ43" s="5"/>
      <c r="AKA43" s="5"/>
      <c r="AKB43" s="5"/>
      <c r="AKC43" s="5"/>
      <c r="AKD43" s="5"/>
      <c r="AKE43" s="5"/>
      <c r="AKF43" s="5"/>
      <c r="AKG43" s="5"/>
      <c r="AKH43" s="5"/>
      <c r="AKI43" s="5"/>
      <c r="AKJ43" s="5"/>
      <c r="AKK43" s="5"/>
      <c r="AKL43" s="5"/>
      <c r="AKM43" s="5"/>
      <c r="AKN43" s="5"/>
      <c r="AKO43" s="5"/>
      <c r="AKP43" s="5"/>
      <c r="AKQ43" s="5"/>
      <c r="AKR43" s="5"/>
      <c r="AKS43" s="5"/>
      <c r="AKT43" s="5"/>
      <c r="AKU43" s="5"/>
      <c r="AKV43" s="5"/>
      <c r="AKW43" s="5"/>
      <c r="AKX43" s="5"/>
      <c r="AKY43" s="5"/>
      <c r="AKZ43" s="5"/>
      <c r="ALA43" s="5"/>
      <c r="ALB43" s="5"/>
      <c r="ALC43" s="5"/>
      <c r="ALD43" s="5"/>
      <c r="ALE43" s="5"/>
      <c r="ALF43" s="5"/>
      <c r="ALG43" s="5"/>
      <c r="ALH43" s="5"/>
      <c r="ALI43" s="5"/>
      <c r="ALJ43" s="5"/>
      <c r="ALK43" s="5"/>
      <c r="ALL43" s="5"/>
      <c r="ALM43" s="5"/>
      <c r="ALN43" s="5"/>
      <c r="ALO43" s="5"/>
      <c r="ALP43" s="5"/>
    </row>
    <row r="44" spans="1:1004" s="4" customFormat="1" ht="25.5" customHeight="1">
      <c r="A44" s="6">
        <v>43</v>
      </c>
      <c r="B44" s="8" t="s">
        <v>267</v>
      </c>
      <c r="C44" s="78" t="s">
        <v>268</v>
      </c>
      <c r="D44" s="8" t="s">
        <v>229</v>
      </c>
      <c r="E44" s="8" t="s">
        <v>394</v>
      </c>
      <c r="F44" s="78" t="s">
        <v>269</v>
      </c>
      <c r="G44" s="5">
        <v>45</v>
      </c>
      <c r="H44" s="5">
        <v>24</v>
      </c>
      <c r="I44" s="5">
        <v>17</v>
      </c>
      <c r="J44" s="5">
        <v>28</v>
      </c>
      <c r="K44" s="5">
        <v>27</v>
      </c>
      <c r="L44" s="5">
        <v>28</v>
      </c>
      <c r="M44" s="5">
        <v>72</v>
      </c>
      <c r="N44" s="5">
        <v>42</v>
      </c>
      <c r="O44" s="5">
        <v>93</v>
      </c>
      <c r="P44" s="5">
        <v>112</v>
      </c>
      <c r="Q44" s="5">
        <v>65</v>
      </c>
      <c r="R44" s="5">
        <v>34</v>
      </c>
      <c r="S44" s="5">
        <v>24</v>
      </c>
      <c r="T44" s="5">
        <v>20</v>
      </c>
      <c r="U44" s="5">
        <v>98</v>
      </c>
      <c r="V44" s="5">
        <v>1</v>
      </c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  <c r="ALH44" s="5"/>
      <c r="ALI44" s="5"/>
      <c r="ALJ44" s="5"/>
      <c r="ALK44" s="5"/>
      <c r="ALL44" s="5"/>
      <c r="ALM44" s="5"/>
      <c r="ALN44" s="5"/>
      <c r="ALO44" s="5"/>
      <c r="ALP44" s="5"/>
    </row>
    <row r="45" spans="1:1004" s="4" customFormat="1" ht="25.5" customHeight="1">
      <c r="A45" s="6">
        <v>44</v>
      </c>
      <c r="B45" s="8" t="s">
        <v>270</v>
      </c>
      <c r="C45" s="78" t="s">
        <v>271</v>
      </c>
      <c r="D45" s="8" t="s">
        <v>229</v>
      </c>
      <c r="E45" s="8" t="s">
        <v>394</v>
      </c>
      <c r="F45" s="78" t="s">
        <v>272</v>
      </c>
      <c r="G45" s="5">
        <v>46</v>
      </c>
      <c r="H45" s="5">
        <v>27</v>
      </c>
      <c r="I45" s="5">
        <v>17</v>
      </c>
      <c r="J45" s="5">
        <v>26</v>
      </c>
      <c r="K45" s="5">
        <v>25</v>
      </c>
      <c r="L45" s="5">
        <v>26</v>
      </c>
      <c r="M45" s="5">
        <v>75</v>
      </c>
      <c r="N45" s="5">
        <v>38</v>
      </c>
      <c r="O45" s="5">
        <v>80</v>
      </c>
      <c r="P45" s="5">
        <v>99</v>
      </c>
      <c r="Q45" s="5">
        <v>68</v>
      </c>
      <c r="R45" s="5">
        <v>32</v>
      </c>
      <c r="S45" s="5">
        <v>24</v>
      </c>
      <c r="T45" s="5">
        <v>19</v>
      </c>
      <c r="U45" s="5">
        <v>105</v>
      </c>
      <c r="V45" s="5">
        <v>1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  <c r="ALH45" s="5"/>
      <c r="ALI45" s="5"/>
      <c r="ALJ45" s="5"/>
      <c r="ALK45" s="5"/>
      <c r="ALL45" s="5"/>
      <c r="ALM45" s="5"/>
      <c r="ALN45" s="5"/>
      <c r="ALO45" s="5"/>
      <c r="ALP45" s="5"/>
    </row>
    <row r="46" spans="1:1004" s="4" customFormat="1" ht="25.5" customHeight="1">
      <c r="A46" s="6">
        <v>45</v>
      </c>
      <c r="B46" s="8" t="s">
        <v>276</v>
      </c>
      <c r="C46" s="78" t="s">
        <v>277</v>
      </c>
      <c r="D46" s="8" t="s">
        <v>229</v>
      </c>
      <c r="E46" s="8" t="s">
        <v>394</v>
      </c>
      <c r="F46" s="78" t="s">
        <v>278</v>
      </c>
      <c r="G46" s="5">
        <v>44</v>
      </c>
      <c r="H46" s="5">
        <v>24</v>
      </c>
      <c r="I46" s="5">
        <v>16</v>
      </c>
      <c r="J46" s="5">
        <v>26</v>
      </c>
      <c r="K46" s="5">
        <v>24</v>
      </c>
      <c r="L46" s="5">
        <v>26</v>
      </c>
      <c r="M46" s="5">
        <v>69</v>
      </c>
      <c r="N46" s="5">
        <v>39</v>
      </c>
      <c r="O46" s="5">
        <v>79</v>
      </c>
      <c r="P46" s="5">
        <v>101</v>
      </c>
      <c r="Q46" s="5">
        <v>65</v>
      </c>
      <c r="R46" s="5">
        <v>31</v>
      </c>
      <c r="S46" s="5">
        <v>23</v>
      </c>
      <c r="T46" s="5">
        <v>18</v>
      </c>
      <c r="U46" s="5">
        <v>96</v>
      </c>
      <c r="V46" s="5">
        <v>3</v>
      </c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  <c r="AAA46" s="5"/>
      <c r="AAB46" s="5"/>
      <c r="AAC46" s="5"/>
      <c r="AAD46" s="5"/>
      <c r="AAE46" s="5"/>
      <c r="AAF46" s="5"/>
      <c r="AAG46" s="5"/>
      <c r="AAH46" s="5"/>
      <c r="AAI46" s="5"/>
      <c r="AAJ46" s="5"/>
      <c r="AAK46" s="5"/>
      <c r="AAL46" s="5"/>
      <c r="AAM46" s="5"/>
      <c r="AAN46" s="5"/>
      <c r="AAO46" s="5"/>
      <c r="AAP46" s="5"/>
      <c r="AAQ46" s="5"/>
      <c r="AAR46" s="5"/>
      <c r="AAS46" s="5"/>
      <c r="AAT46" s="5"/>
      <c r="AAU46" s="5"/>
      <c r="AAV46" s="5"/>
      <c r="AAW46" s="5"/>
      <c r="AAX46" s="5"/>
      <c r="AAY46" s="5"/>
      <c r="AAZ46" s="5"/>
      <c r="ABA46" s="5"/>
      <c r="ABB46" s="5"/>
      <c r="ABC46" s="5"/>
      <c r="ABD46" s="5"/>
      <c r="ABE46" s="5"/>
      <c r="ABF46" s="5"/>
      <c r="ABG46" s="5"/>
      <c r="ABH46" s="5"/>
      <c r="ABI46" s="5"/>
      <c r="ABJ46" s="5"/>
      <c r="ABK46" s="5"/>
      <c r="ABL46" s="5"/>
      <c r="ABM46" s="5"/>
      <c r="ABN46" s="5"/>
      <c r="ABO46" s="5"/>
      <c r="ABP46" s="5"/>
      <c r="ABQ46" s="5"/>
      <c r="ABR46" s="5"/>
      <c r="ABS46" s="5"/>
      <c r="ABT46" s="5"/>
      <c r="ABU46" s="5"/>
      <c r="ABV46" s="5"/>
      <c r="ABW46" s="5"/>
      <c r="ABX46" s="5"/>
      <c r="ABY46" s="5"/>
      <c r="ABZ46" s="5"/>
      <c r="ACA46" s="5"/>
      <c r="ACB46" s="5"/>
      <c r="ACC46" s="5"/>
      <c r="ACD46" s="5"/>
      <c r="ACE46" s="5"/>
      <c r="ACF46" s="5"/>
      <c r="ACG46" s="5"/>
      <c r="ACH46" s="5"/>
      <c r="ACI46" s="5"/>
      <c r="ACJ46" s="5"/>
      <c r="ACK46" s="5"/>
      <c r="ACL46" s="5"/>
      <c r="ACM46" s="5"/>
      <c r="ACN46" s="5"/>
      <c r="ACO46" s="5"/>
      <c r="ACP46" s="5"/>
      <c r="ACQ46" s="5"/>
      <c r="ACR46" s="5"/>
      <c r="ACS46" s="5"/>
      <c r="ACT46" s="5"/>
      <c r="ACU46" s="5"/>
      <c r="ACV46" s="5"/>
      <c r="ACW46" s="5"/>
      <c r="ACX46" s="5"/>
      <c r="ACY46" s="5"/>
      <c r="ACZ46" s="5"/>
      <c r="ADA46" s="5"/>
      <c r="ADB46" s="5"/>
      <c r="ADC46" s="5"/>
      <c r="ADD46" s="5"/>
      <c r="ADE46" s="5"/>
      <c r="ADF46" s="5"/>
      <c r="ADG46" s="5"/>
      <c r="ADH46" s="5"/>
      <c r="ADI46" s="5"/>
      <c r="ADJ46" s="5"/>
      <c r="ADK46" s="5"/>
      <c r="ADL46" s="5"/>
      <c r="ADM46" s="5"/>
      <c r="ADN46" s="5"/>
      <c r="ADO46" s="5"/>
      <c r="ADP46" s="5"/>
      <c r="ADQ46" s="5"/>
      <c r="ADR46" s="5"/>
      <c r="ADS46" s="5"/>
      <c r="ADT46" s="5"/>
      <c r="ADU46" s="5"/>
      <c r="ADV46" s="5"/>
      <c r="ADW46" s="5"/>
      <c r="ADX46" s="5"/>
      <c r="ADY46" s="5"/>
      <c r="ADZ46" s="5"/>
      <c r="AEA46" s="5"/>
      <c r="AEB46" s="5"/>
      <c r="AEC46" s="5"/>
      <c r="AED46" s="5"/>
      <c r="AEE46" s="5"/>
      <c r="AEF46" s="5"/>
      <c r="AEG46" s="5"/>
      <c r="AEH46" s="5"/>
      <c r="AEI46" s="5"/>
      <c r="AEJ46" s="5"/>
      <c r="AEK46" s="5"/>
      <c r="AEL46" s="5"/>
      <c r="AEM46" s="5"/>
      <c r="AEN46" s="5"/>
      <c r="AEO46" s="5"/>
      <c r="AEP46" s="5"/>
      <c r="AEQ46" s="5"/>
      <c r="AER46" s="5"/>
      <c r="AES46" s="5"/>
      <c r="AET46" s="5"/>
      <c r="AEU46" s="5"/>
      <c r="AEV46" s="5"/>
      <c r="AEW46" s="5"/>
      <c r="AEX46" s="5"/>
      <c r="AEY46" s="5"/>
      <c r="AEZ46" s="5"/>
      <c r="AFA46" s="5"/>
      <c r="AFB46" s="5"/>
      <c r="AFC46" s="5"/>
      <c r="AFD46" s="5"/>
      <c r="AFE46" s="5"/>
      <c r="AFF46" s="5"/>
      <c r="AFG46" s="5"/>
      <c r="AFH46" s="5"/>
      <c r="AFI46" s="5"/>
      <c r="AFJ46" s="5"/>
      <c r="AFK46" s="5"/>
      <c r="AFL46" s="5"/>
      <c r="AFM46" s="5"/>
      <c r="AFN46" s="5"/>
      <c r="AFO46" s="5"/>
      <c r="AFP46" s="5"/>
      <c r="AFQ46" s="5"/>
      <c r="AFR46" s="5"/>
      <c r="AFS46" s="5"/>
      <c r="AFT46" s="5"/>
      <c r="AFU46" s="5"/>
      <c r="AFV46" s="5"/>
      <c r="AFW46" s="5"/>
      <c r="AFX46" s="5"/>
      <c r="AFY46" s="5"/>
      <c r="AFZ46" s="5"/>
      <c r="AGA46" s="5"/>
      <c r="AGB46" s="5"/>
      <c r="AGC46" s="5"/>
      <c r="AGD46" s="5"/>
      <c r="AGE46" s="5"/>
      <c r="AGF46" s="5"/>
      <c r="AGG46" s="5"/>
      <c r="AGH46" s="5"/>
      <c r="AGI46" s="5"/>
      <c r="AGJ46" s="5"/>
      <c r="AGK46" s="5"/>
      <c r="AGL46" s="5"/>
      <c r="AGM46" s="5"/>
      <c r="AGN46" s="5"/>
      <c r="AGO46" s="5"/>
      <c r="AGP46" s="5"/>
      <c r="AGQ46" s="5"/>
      <c r="AGR46" s="5"/>
      <c r="AGS46" s="5"/>
      <c r="AGT46" s="5"/>
      <c r="AGU46" s="5"/>
      <c r="AGV46" s="5"/>
      <c r="AGW46" s="5"/>
      <c r="AGX46" s="5"/>
      <c r="AGY46" s="5"/>
      <c r="AGZ46" s="5"/>
      <c r="AHA46" s="5"/>
      <c r="AHB46" s="5"/>
      <c r="AHC46" s="5"/>
      <c r="AHD46" s="5"/>
      <c r="AHE46" s="5"/>
      <c r="AHF46" s="5"/>
      <c r="AHG46" s="5"/>
      <c r="AHH46" s="5"/>
      <c r="AHI46" s="5"/>
      <c r="AHJ46" s="5"/>
      <c r="AHK46" s="5"/>
      <c r="AHL46" s="5"/>
      <c r="AHM46" s="5"/>
      <c r="AHN46" s="5"/>
      <c r="AHO46" s="5"/>
      <c r="AHP46" s="5"/>
      <c r="AHQ46" s="5"/>
      <c r="AHR46" s="5"/>
      <c r="AHS46" s="5"/>
      <c r="AHT46" s="5"/>
      <c r="AHU46" s="5"/>
      <c r="AHV46" s="5"/>
      <c r="AHW46" s="5"/>
      <c r="AHX46" s="5"/>
      <c r="AHY46" s="5"/>
      <c r="AHZ46" s="5"/>
      <c r="AIA46" s="5"/>
      <c r="AIB46" s="5"/>
      <c r="AIC46" s="5"/>
      <c r="AID46" s="5"/>
      <c r="AIE46" s="5"/>
      <c r="AIF46" s="5"/>
      <c r="AIG46" s="5"/>
      <c r="AIH46" s="5"/>
      <c r="AII46" s="5"/>
      <c r="AIJ46" s="5"/>
      <c r="AIK46" s="5"/>
      <c r="AIL46" s="5"/>
      <c r="AIM46" s="5"/>
      <c r="AIN46" s="5"/>
      <c r="AIO46" s="5"/>
      <c r="AIP46" s="5"/>
      <c r="AIQ46" s="5"/>
      <c r="AIR46" s="5"/>
      <c r="AIS46" s="5"/>
      <c r="AIT46" s="5"/>
      <c r="AIU46" s="5"/>
      <c r="AIV46" s="5"/>
      <c r="AIW46" s="5"/>
      <c r="AIX46" s="5"/>
      <c r="AIY46" s="5"/>
      <c r="AIZ46" s="5"/>
      <c r="AJA46" s="5"/>
      <c r="AJB46" s="5"/>
      <c r="AJC46" s="5"/>
      <c r="AJD46" s="5"/>
      <c r="AJE46" s="5"/>
      <c r="AJF46" s="5"/>
      <c r="AJG46" s="5"/>
      <c r="AJH46" s="5"/>
      <c r="AJI46" s="5"/>
      <c r="AJJ46" s="5"/>
      <c r="AJK46" s="5"/>
      <c r="AJL46" s="5"/>
      <c r="AJM46" s="5"/>
      <c r="AJN46" s="5"/>
      <c r="AJO46" s="5"/>
      <c r="AJP46" s="5"/>
      <c r="AJQ46" s="5"/>
      <c r="AJR46" s="5"/>
      <c r="AJS46" s="5"/>
      <c r="AJT46" s="5"/>
      <c r="AJU46" s="5"/>
      <c r="AJV46" s="5"/>
      <c r="AJW46" s="5"/>
      <c r="AJX46" s="5"/>
      <c r="AJY46" s="5"/>
      <c r="AJZ46" s="5"/>
      <c r="AKA46" s="5"/>
      <c r="AKB46" s="5"/>
      <c r="AKC46" s="5"/>
      <c r="AKD46" s="5"/>
      <c r="AKE46" s="5"/>
      <c r="AKF46" s="5"/>
      <c r="AKG46" s="5"/>
      <c r="AKH46" s="5"/>
      <c r="AKI46" s="5"/>
      <c r="AKJ46" s="5"/>
      <c r="AKK46" s="5"/>
      <c r="AKL46" s="5"/>
      <c r="AKM46" s="5"/>
      <c r="AKN46" s="5"/>
      <c r="AKO46" s="5"/>
      <c r="AKP46" s="5"/>
      <c r="AKQ46" s="5"/>
      <c r="AKR46" s="5"/>
      <c r="AKS46" s="5"/>
      <c r="AKT46" s="5"/>
      <c r="AKU46" s="5"/>
      <c r="AKV46" s="5"/>
      <c r="AKW46" s="5"/>
      <c r="AKX46" s="5"/>
      <c r="AKY46" s="5"/>
      <c r="AKZ46" s="5"/>
      <c r="ALA46" s="5"/>
      <c r="ALB46" s="5"/>
      <c r="ALC46" s="5"/>
      <c r="ALD46" s="5"/>
      <c r="ALE46" s="5"/>
      <c r="ALF46" s="5"/>
      <c r="ALG46" s="5"/>
      <c r="ALH46" s="5"/>
      <c r="ALI46" s="5"/>
      <c r="ALJ46" s="5"/>
      <c r="ALK46" s="5"/>
      <c r="ALL46" s="5"/>
      <c r="ALM46" s="5"/>
      <c r="ALN46" s="5"/>
      <c r="ALO46" s="5"/>
      <c r="ALP46" s="5"/>
    </row>
    <row r="47" spans="1:1004" s="4" customFormat="1" ht="25.5" customHeight="1">
      <c r="A47" s="6">
        <v>46</v>
      </c>
      <c r="B47" s="8" t="s">
        <v>279</v>
      </c>
      <c r="C47" s="78" t="s">
        <v>280</v>
      </c>
      <c r="D47" s="8" t="s">
        <v>229</v>
      </c>
      <c r="E47" s="8" t="s">
        <v>394</v>
      </c>
      <c r="F47" s="78" t="s">
        <v>281</v>
      </c>
      <c r="G47" s="5">
        <v>44</v>
      </c>
      <c r="H47" s="5">
        <v>25</v>
      </c>
      <c r="I47" s="5">
        <v>17</v>
      </c>
      <c r="J47" s="5">
        <v>27</v>
      </c>
      <c r="K47" s="5">
        <v>25</v>
      </c>
      <c r="L47" s="5">
        <v>27</v>
      </c>
      <c r="M47" s="5">
        <v>70</v>
      </c>
      <c r="N47" s="5">
        <v>39</v>
      </c>
      <c r="O47" s="5">
        <v>86</v>
      </c>
      <c r="P47" s="5">
        <v>106</v>
      </c>
      <c r="Q47" s="5">
        <v>64</v>
      </c>
      <c r="R47" s="5">
        <v>33</v>
      </c>
      <c r="S47" s="5">
        <v>24</v>
      </c>
      <c r="T47" s="5">
        <v>19</v>
      </c>
      <c r="U47" s="5">
        <v>99</v>
      </c>
      <c r="V47" s="5">
        <v>3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  <c r="AAA47" s="5"/>
      <c r="AAB47" s="5"/>
      <c r="AAC47" s="5"/>
      <c r="AAD47" s="5"/>
      <c r="AAE47" s="5"/>
      <c r="AAF47" s="5"/>
      <c r="AAG47" s="5"/>
      <c r="AAH47" s="5"/>
      <c r="AAI47" s="5"/>
      <c r="AAJ47" s="5"/>
      <c r="AAK47" s="5"/>
      <c r="AAL47" s="5"/>
      <c r="AAM47" s="5"/>
      <c r="AAN47" s="5"/>
      <c r="AAO47" s="5"/>
      <c r="AAP47" s="5"/>
      <c r="AAQ47" s="5"/>
      <c r="AAR47" s="5"/>
      <c r="AAS47" s="5"/>
      <c r="AAT47" s="5"/>
      <c r="AAU47" s="5"/>
      <c r="AAV47" s="5"/>
      <c r="AAW47" s="5"/>
      <c r="AAX47" s="5"/>
      <c r="AAY47" s="5"/>
      <c r="AAZ47" s="5"/>
      <c r="ABA47" s="5"/>
      <c r="ABB47" s="5"/>
      <c r="ABC47" s="5"/>
      <c r="ABD47" s="5"/>
      <c r="ABE47" s="5"/>
      <c r="ABF47" s="5"/>
      <c r="ABG47" s="5"/>
      <c r="ABH47" s="5"/>
      <c r="ABI47" s="5"/>
      <c r="ABJ47" s="5"/>
      <c r="ABK47" s="5"/>
      <c r="ABL47" s="5"/>
      <c r="ABM47" s="5"/>
      <c r="ABN47" s="5"/>
      <c r="ABO47" s="5"/>
      <c r="ABP47" s="5"/>
      <c r="ABQ47" s="5"/>
      <c r="ABR47" s="5"/>
      <c r="ABS47" s="5"/>
      <c r="ABT47" s="5"/>
      <c r="ABU47" s="5"/>
      <c r="ABV47" s="5"/>
      <c r="ABW47" s="5"/>
      <c r="ABX47" s="5"/>
      <c r="ABY47" s="5"/>
      <c r="ABZ47" s="5"/>
      <c r="ACA47" s="5"/>
      <c r="ACB47" s="5"/>
      <c r="ACC47" s="5"/>
      <c r="ACD47" s="5"/>
      <c r="ACE47" s="5"/>
      <c r="ACF47" s="5"/>
      <c r="ACG47" s="5"/>
      <c r="ACH47" s="5"/>
      <c r="ACI47" s="5"/>
      <c r="ACJ47" s="5"/>
      <c r="ACK47" s="5"/>
      <c r="ACL47" s="5"/>
      <c r="ACM47" s="5"/>
      <c r="ACN47" s="5"/>
      <c r="ACO47" s="5"/>
      <c r="ACP47" s="5"/>
      <c r="ACQ47" s="5"/>
      <c r="ACR47" s="5"/>
      <c r="ACS47" s="5"/>
      <c r="ACT47" s="5"/>
      <c r="ACU47" s="5"/>
      <c r="ACV47" s="5"/>
      <c r="ACW47" s="5"/>
      <c r="ACX47" s="5"/>
      <c r="ACY47" s="5"/>
      <c r="ACZ47" s="5"/>
      <c r="ADA47" s="5"/>
      <c r="ADB47" s="5"/>
      <c r="ADC47" s="5"/>
      <c r="ADD47" s="5"/>
      <c r="ADE47" s="5"/>
      <c r="ADF47" s="5"/>
      <c r="ADG47" s="5"/>
      <c r="ADH47" s="5"/>
      <c r="ADI47" s="5"/>
      <c r="ADJ47" s="5"/>
      <c r="ADK47" s="5"/>
      <c r="ADL47" s="5"/>
      <c r="ADM47" s="5"/>
      <c r="ADN47" s="5"/>
      <c r="ADO47" s="5"/>
      <c r="ADP47" s="5"/>
      <c r="ADQ47" s="5"/>
      <c r="ADR47" s="5"/>
      <c r="ADS47" s="5"/>
      <c r="ADT47" s="5"/>
      <c r="ADU47" s="5"/>
      <c r="ADV47" s="5"/>
      <c r="ADW47" s="5"/>
      <c r="ADX47" s="5"/>
      <c r="ADY47" s="5"/>
      <c r="ADZ47" s="5"/>
      <c r="AEA47" s="5"/>
      <c r="AEB47" s="5"/>
      <c r="AEC47" s="5"/>
      <c r="AED47" s="5"/>
      <c r="AEE47" s="5"/>
      <c r="AEF47" s="5"/>
      <c r="AEG47" s="5"/>
      <c r="AEH47" s="5"/>
      <c r="AEI47" s="5"/>
      <c r="AEJ47" s="5"/>
      <c r="AEK47" s="5"/>
      <c r="AEL47" s="5"/>
      <c r="AEM47" s="5"/>
      <c r="AEN47" s="5"/>
      <c r="AEO47" s="5"/>
      <c r="AEP47" s="5"/>
      <c r="AEQ47" s="5"/>
      <c r="AER47" s="5"/>
      <c r="AES47" s="5"/>
      <c r="AET47" s="5"/>
      <c r="AEU47" s="5"/>
      <c r="AEV47" s="5"/>
      <c r="AEW47" s="5"/>
      <c r="AEX47" s="5"/>
      <c r="AEY47" s="5"/>
      <c r="AEZ47" s="5"/>
      <c r="AFA47" s="5"/>
      <c r="AFB47" s="5"/>
      <c r="AFC47" s="5"/>
      <c r="AFD47" s="5"/>
      <c r="AFE47" s="5"/>
      <c r="AFF47" s="5"/>
      <c r="AFG47" s="5"/>
      <c r="AFH47" s="5"/>
      <c r="AFI47" s="5"/>
      <c r="AFJ47" s="5"/>
      <c r="AFK47" s="5"/>
      <c r="AFL47" s="5"/>
      <c r="AFM47" s="5"/>
      <c r="AFN47" s="5"/>
      <c r="AFO47" s="5"/>
      <c r="AFP47" s="5"/>
      <c r="AFQ47" s="5"/>
      <c r="AFR47" s="5"/>
      <c r="AFS47" s="5"/>
      <c r="AFT47" s="5"/>
      <c r="AFU47" s="5"/>
      <c r="AFV47" s="5"/>
      <c r="AFW47" s="5"/>
      <c r="AFX47" s="5"/>
      <c r="AFY47" s="5"/>
      <c r="AFZ47" s="5"/>
      <c r="AGA47" s="5"/>
      <c r="AGB47" s="5"/>
      <c r="AGC47" s="5"/>
      <c r="AGD47" s="5"/>
      <c r="AGE47" s="5"/>
      <c r="AGF47" s="5"/>
      <c r="AGG47" s="5"/>
      <c r="AGH47" s="5"/>
      <c r="AGI47" s="5"/>
      <c r="AGJ47" s="5"/>
      <c r="AGK47" s="5"/>
      <c r="AGL47" s="5"/>
      <c r="AGM47" s="5"/>
      <c r="AGN47" s="5"/>
      <c r="AGO47" s="5"/>
      <c r="AGP47" s="5"/>
      <c r="AGQ47" s="5"/>
      <c r="AGR47" s="5"/>
      <c r="AGS47" s="5"/>
      <c r="AGT47" s="5"/>
      <c r="AGU47" s="5"/>
      <c r="AGV47" s="5"/>
      <c r="AGW47" s="5"/>
      <c r="AGX47" s="5"/>
      <c r="AGY47" s="5"/>
      <c r="AGZ47" s="5"/>
      <c r="AHA47" s="5"/>
      <c r="AHB47" s="5"/>
      <c r="AHC47" s="5"/>
      <c r="AHD47" s="5"/>
      <c r="AHE47" s="5"/>
      <c r="AHF47" s="5"/>
      <c r="AHG47" s="5"/>
      <c r="AHH47" s="5"/>
      <c r="AHI47" s="5"/>
      <c r="AHJ47" s="5"/>
      <c r="AHK47" s="5"/>
      <c r="AHL47" s="5"/>
      <c r="AHM47" s="5"/>
      <c r="AHN47" s="5"/>
      <c r="AHO47" s="5"/>
      <c r="AHP47" s="5"/>
      <c r="AHQ47" s="5"/>
      <c r="AHR47" s="5"/>
      <c r="AHS47" s="5"/>
      <c r="AHT47" s="5"/>
      <c r="AHU47" s="5"/>
      <c r="AHV47" s="5"/>
      <c r="AHW47" s="5"/>
      <c r="AHX47" s="5"/>
      <c r="AHY47" s="5"/>
      <c r="AHZ47" s="5"/>
      <c r="AIA47" s="5"/>
      <c r="AIB47" s="5"/>
      <c r="AIC47" s="5"/>
      <c r="AID47" s="5"/>
      <c r="AIE47" s="5"/>
      <c r="AIF47" s="5"/>
      <c r="AIG47" s="5"/>
      <c r="AIH47" s="5"/>
      <c r="AII47" s="5"/>
      <c r="AIJ47" s="5"/>
      <c r="AIK47" s="5"/>
      <c r="AIL47" s="5"/>
      <c r="AIM47" s="5"/>
      <c r="AIN47" s="5"/>
      <c r="AIO47" s="5"/>
      <c r="AIP47" s="5"/>
      <c r="AIQ47" s="5"/>
      <c r="AIR47" s="5"/>
      <c r="AIS47" s="5"/>
      <c r="AIT47" s="5"/>
      <c r="AIU47" s="5"/>
      <c r="AIV47" s="5"/>
      <c r="AIW47" s="5"/>
      <c r="AIX47" s="5"/>
      <c r="AIY47" s="5"/>
      <c r="AIZ47" s="5"/>
      <c r="AJA47" s="5"/>
      <c r="AJB47" s="5"/>
      <c r="AJC47" s="5"/>
      <c r="AJD47" s="5"/>
      <c r="AJE47" s="5"/>
      <c r="AJF47" s="5"/>
      <c r="AJG47" s="5"/>
      <c r="AJH47" s="5"/>
      <c r="AJI47" s="5"/>
      <c r="AJJ47" s="5"/>
      <c r="AJK47" s="5"/>
      <c r="AJL47" s="5"/>
      <c r="AJM47" s="5"/>
      <c r="AJN47" s="5"/>
      <c r="AJO47" s="5"/>
      <c r="AJP47" s="5"/>
      <c r="AJQ47" s="5"/>
      <c r="AJR47" s="5"/>
      <c r="AJS47" s="5"/>
      <c r="AJT47" s="5"/>
      <c r="AJU47" s="5"/>
      <c r="AJV47" s="5"/>
      <c r="AJW47" s="5"/>
      <c r="AJX47" s="5"/>
      <c r="AJY47" s="5"/>
      <c r="AJZ47" s="5"/>
      <c r="AKA47" s="5"/>
      <c r="AKB47" s="5"/>
      <c r="AKC47" s="5"/>
      <c r="AKD47" s="5"/>
      <c r="AKE47" s="5"/>
      <c r="AKF47" s="5"/>
      <c r="AKG47" s="5"/>
      <c r="AKH47" s="5"/>
      <c r="AKI47" s="5"/>
      <c r="AKJ47" s="5"/>
      <c r="AKK47" s="5"/>
      <c r="AKL47" s="5"/>
      <c r="AKM47" s="5"/>
      <c r="AKN47" s="5"/>
      <c r="AKO47" s="5"/>
      <c r="AKP47" s="5"/>
      <c r="AKQ47" s="5"/>
      <c r="AKR47" s="5"/>
      <c r="AKS47" s="5"/>
      <c r="AKT47" s="5"/>
      <c r="AKU47" s="5"/>
      <c r="AKV47" s="5"/>
      <c r="AKW47" s="5"/>
      <c r="AKX47" s="5"/>
      <c r="AKY47" s="5"/>
      <c r="AKZ47" s="5"/>
      <c r="ALA47" s="5"/>
      <c r="ALB47" s="5"/>
      <c r="ALC47" s="5"/>
      <c r="ALD47" s="5"/>
      <c r="ALE47" s="5"/>
      <c r="ALF47" s="5"/>
      <c r="ALG47" s="5"/>
      <c r="ALH47" s="5"/>
      <c r="ALI47" s="5"/>
      <c r="ALJ47" s="5"/>
      <c r="ALK47" s="5"/>
      <c r="ALL47" s="5"/>
      <c r="ALM47" s="5"/>
      <c r="ALN47" s="5"/>
      <c r="ALO47" s="5"/>
      <c r="ALP47" s="5"/>
    </row>
    <row r="48" spans="1:1004" s="4" customFormat="1" ht="25.5" customHeight="1">
      <c r="A48" s="6">
        <v>47</v>
      </c>
      <c r="B48" s="8" t="s">
        <v>282</v>
      </c>
      <c r="C48" s="78" t="s">
        <v>283</v>
      </c>
      <c r="D48" s="8" t="s">
        <v>229</v>
      </c>
      <c r="E48" s="8" t="s">
        <v>386</v>
      </c>
      <c r="F48" s="78" t="s">
        <v>284</v>
      </c>
      <c r="G48" s="5">
        <v>43</v>
      </c>
      <c r="H48" s="5">
        <v>54</v>
      </c>
      <c r="I48" s="5">
        <v>19</v>
      </c>
      <c r="J48" s="5">
        <v>11</v>
      </c>
      <c r="K48" s="5">
        <v>121</v>
      </c>
      <c r="L48" s="5">
        <v>111</v>
      </c>
      <c r="M48" s="5">
        <v>130</v>
      </c>
      <c r="N48" s="5" t="s">
        <v>496</v>
      </c>
      <c r="O48" s="5">
        <v>103</v>
      </c>
      <c r="P48" s="5">
        <v>128</v>
      </c>
      <c r="Q48" s="5">
        <v>81</v>
      </c>
      <c r="R48" s="5">
        <v>39</v>
      </c>
      <c r="S48" s="5">
        <v>27</v>
      </c>
      <c r="T48" s="5">
        <v>19</v>
      </c>
      <c r="U48" s="5">
        <v>90</v>
      </c>
      <c r="V48" s="5">
        <v>1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  <c r="AAA48" s="5"/>
      <c r="AAB48" s="5"/>
      <c r="AAC48" s="5"/>
      <c r="AAD48" s="5"/>
      <c r="AAE48" s="5"/>
      <c r="AAF48" s="5"/>
      <c r="AAG48" s="5"/>
      <c r="AAH48" s="5"/>
      <c r="AAI48" s="5"/>
      <c r="AAJ48" s="5"/>
      <c r="AAK48" s="5"/>
      <c r="AAL48" s="5"/>
      <c r="AAM48" s="5"/>
      <c r="AAN48" s="5"/>
      <c r="AAO48" s="5"/>
      <c r="AAP48" s="5"/>
      <c r="AAQ48" s="5"/>
      <c r="AAR48" s="5"/>
      <c r="AAS48" s="5"/>
      <c r="AAT48" s="5"/>
      <c r="AAU48" s="5"/>
      <c r="AAV48" s="5"/>
      <c r="AAW48" s="5"/>
      <c r="AAX48" s="5"/>
      <c r="AAY48" s="5"/>
      <c r="AAZ48" s="5"/>
      <c r="ABA48" s="5"/>
      <c r="ABB48" s="5"/>
      <c r="ABC48" s="5"/>
      <c r="ABD48" s="5"/>
      <c r="ABE48" s="5"/>
      <c r="ABF48" s="5"/>
      <c r="ABG48" s="5"/>
      <c r="ABH48" s="5"/>
      <c r="ABI48" s="5"/>
      <c r="ABJ48" s="5"/>
      <c r="ABK48" s="5"/>
      <c r="ABL48" s="5"/>
      <c r="ABM48" s="5"/>
      <c r="ABN48" s="5"/>
      <c r="ABO48" s="5"/>
      <c r="ABP48" s="5"/>
      <c r="ABQ48" s="5"/>
      <c r="ABR48" s="5"/>
      <c r="ABS48" s="5"/>
      <c r="ABT48" s="5"/>
      <c r="ABU48" s="5"/>
      <c r="ABV48" s="5"/>
      <c r="ABW48" s="5"/>
      <c r="ABX48" s="5"/>
      <c r="ABY48" s="5"/>
      <c r="ABZ48" s="5"/>
      <c r="ACA48" s="5"/>
      <c r="ACB48" s="5"/>
      <c r="ACC48" s="5"/>
      <c r="ACD48" s="5"/>
      <c r="ACE48" s="5"/>
      <c r="ACF48" s="5"/>
      <c r="ACG48" s="5"/>
      <c r="ACH48" s="5"/>
      <c r="ACI48" s="5"/>
      <c r="ACJ48" s="5"/>
      <c r="ACK48" s="5"/>
      <c r="ACL48" s="5"/>
      <c r="ACM48" s="5"/>
      <c r="ACN48" s="5"/>
      <c r="ACO48" s="5"/>
      <c r="ACP48" s="5"/>
      <c r="ACQ48" s="5"/>
      <c r="ACR48" s="5"/>
      <c r="ACS48" s="5"/>
      <c r="ACT48" s="5"/>
      <c r="ACU48" s="5"/>
      <c r="ACV48" s="5"/>
      <c r="ACW48" s="5"/>
      <c r="ACX48" s="5"/>
      <c r="ACY48" s="5"/>
      <c r="ACZ48" s="5"/>
      <c r="ADA48" s="5"/>
      <c r="ADB48" s="5"/>
      <c r="ADC48" s="5"/>
      <c r="ADD48" s="5"/>
      <c r="ADE48" s="5"/>
      <c r="ADF48" s="5"/>
      <c r="ADG48" s="5"/>
      <c r="ADH48" s="5"/>
      <c r="ADI48" s="5"/>
      <c r="ADJ48" s="5"/>
      <c r="ADK48" s="5"/>
      <c r="ADL48" s="5"/>
      <c r="ADM48" s="5"/>
      <c r="ADN48" s="5"/>
      <c r="ADO48" s="5"/>
      <c r="ADP48" s="5"/>
      <c r="ADQ48" s="5"/>
      <c r="ADR48" s="5"/>
      <c r="ADS48" s="5"/>
      <c r="ADT48" s="5"/>
      <c r="ADU48" s="5"/>
      <c r="ADV48" s="5"/>
      <c r="ADW48" s="5"/>
      <c r="ADX48" s="5"/>
      <c r="ADY48" s="5"/>
      <c r="ADZ48" s="5"/>
      <c r="AEA48" s="5"/>
      <c r="AEB48" s="5"/>
      <c r="AEC48" s="5"/>
      <c r="AED48" s="5"/>
      <c r="AEE48" s="5"/>
      <c r="AEF48" s="5"/>
      <c r="AEG48" s="5"/>
      <c r="AEH48" s="5"/>
      <c r="AEI48" s="5"/>
      <c r="AEJ48" s="5"/>
      <c r="AEK48" s="5"/>
      <c r="AEL48" s="5"/>
      <c r="AEM48" s="5"/>
      <c r="AEN48" s="5"/>
      <c r="AEO48" s="5"/>
      <c r="AEP48" s="5"/>
      <c r="AEQ48" s="5"/>
      <c r="AER48" s="5"/>
      <c r="AES48" s="5"/>
      <c r="AET48" s="5"/>
      <c r="AEU48" s="5"/>
      <c r="AEV48" s="5"/>
      <c r="AEW48" s="5"/>
      <c r="AEX48" s="5"/>
      <c r="AEY48" s="5"/>
      <c r="AEZ48" s="5"/>
      <c r="AFA48" s="5"/>
      <c r="AFB48" s="5"/>
      <c r="AFC48" s="5"/>
      <c r="AFD48" s="5"/>
      <c r="AFE48" s="5"/>
      <c r="AFF48" s="5"/>
      <c r="AFG48" s="5"/>
      <c r="AFH48" s="5"/>
      <c r="AFI48" s="5"/>
      <c r="AFJ48" s="5"/>
      <c r="AFK48" s="5"/>
      <c r="AFL48" s="5"/>
      <c r="AFM48" s="5"/>
      <c r="AFN48" s="5"/>
      <c r="AFO48" s="5"/>
      <c r="AFP48" s="5"/>
      <c r="AFQ48" s="5"/>
      <c r="AFR48" s="5"/>
      <c r="AFS48" s="5"/>
      <c r="AFT48" s="5"/>
      <c r="AFU48" s="5"/>
      <c r="AFV48" s="5"/>
      <c r="AFW48" s="5"/>
      <c r="AFX48" s="5"/>
      <c r="AFY48" s="5"/>
      <c r="AFZ48" s="5"/>
      <c r="AGA48" s="5"/>
      <c r="AGB48" s="5"/>
      <c r="AGC48" s="5"/>
      <c r="AGD48" s="5"/>
      <c r="AGE48" s="5"/>
      <c r="AGF48" s="5"/>
      <c r="AGG48" s="5"/>
      <c r="AGH48" s="5"/>
      <c r="AGI48" s="5"/>
      <c r="AGJ48" s="5"/>
      <c r="AGK48" s="5"/>
      <c r="AGL48" s="5"/>
      <c r="AGM48" s="5"/>
      <c r="AGN48" s="5"/>
      <c r="AGO48" s="5"/>
      <c r="AGP48" s="5"/>
      <c r="AGQ48" s="5"/>
      <c r="AGR48" s="5"/>
      <c r="AGS48" s="5"/>
      <c r="AGT48" s="5"/>
      <c r="AGU48" s="5"/>
      <c r="AGV48" s="5"/>
      <c r="AGW48" s="5"/>
      <c r="AGX48" s="5"/>
      <c r="AGY48" s="5"/>
      <c r="AGZ48" s="5"/>
      <c r="AHA48" s="5"/>
      <c r="AHB48" s="5"/>
      <c r="AHC48" s="5"/>
      <c r="AHD48" s="5"/>
      <c r="AHE48" s="5"/>
      <c r="AHF48" s="5"/>
      <c r="AHG48" s="5"/>
      <c r="AHH48" s="5"/>
      <c r="AHI48" s="5"/>
      <c r="AHJ48" s="5"/>
      <c r="AHK48" s="5"/>
      <c r="AHL48" s="5"/>
      <c r="AHM48" s="5"/>
      <c r="AHN48" s="5"/>
      <c r="AHO48" s="5"/>
      <c r="AHP48" s="5"/>
      <c r="AHQ48" s="5"/>
      <c r="AHR48" s="5"/>
      <c r="AHS48" s="5"/>
      <c r="AHT48" s="5"/>
      <c r="AHU48" s="5"/>
      <c r="AHV48" s="5"/>
      <c r="AHW48" s="5"/>
      <c r="AHX48" s="5"/>
      <c r="AHY48" s="5"/>
      <c r="AHZ48" s="5"/>
      <c r="AIA48" s="5"/>
      <c r="AIB48" s="5"/>
      <c r="AIC48" s="5"/>
      <c r="AID48" s="5"/>
      <c r="AIE48" s="5"/>
      <c r="AIF48" s="5"/>
      <c r="AIG48" s="5"/>
      <c r="AIH48" s="5"/>
      <c r="AII48" s="5"/>
      <c r="AIJ48" s="5"/>
      <c r="AIK48" s="5"/>
      <c r="AIL48" s="5"/>
      <c r="AIM48" s="5"/>
      <c r="AIN48" s="5"/>
      <c r="AIO48" s="5"/>
      <c r="AIP48" s="5"/>
      <c r="AIQ48" s="5"/>
      <c r="AIR48" s="5"/>
      <c r="AIS48" s="5"/>
      <c r="AIT48" s="5"/>
      <c r="AIU48" s="5"/>
      <c r="AIV48" s="5"/>
      <c r="AIW48" s="5"/>
      <c r="AIX48" s="5"/>
      <c r="AIY48" s="5"/>
      <c r="AIZ48" s="5"/>
      <c r="AJA48" s="5"/>
      <c r="AJB48" s="5"/>
      <c r="AJC48" s="5"/>
      <c r="AJD48" s="5"/>
      <c r="AJE48" s="5"/>
      <c r="AJF48" s="5"/>
      <c r="AJG48" s="5"/>
      <c r="AJH48" s="5"/>
      <c r="AJI48" s="5"/>
      <c r="AJJ48" s="5"/>
      <c r="AJK48" s="5"/>
      <c r="AJL48" s="5"/>
      <c r="AJM48" s="5"/>
      <c r="AJN48" s="5"/>
      <c r="AJO48" s="5"/>
      <c r="AJP48" s="5"/>
      <c r="AJQ48" s="5"/>
      <c r="AJR48" s="5"/>
      <c r="AJS48" s="5"/>
      <c r="AJT48" s="5"/>
      <c r="AJU48" s="5"/>
      <c r="AJV48" s="5"/>
      <c r="AJW48" s="5"/>
      <c r="AJX48" s="5"/>
      <c r="AJY48" s="5"/>
      <c r="AJZ48" s="5"/>
      <c r="AKA48" s="5"/>
      <c r="AKB48" s="5"/>
      <c r="AKC48" s="5"/>
      <c r="AKD48" s="5"/>
      <c r="AKE48" s="5"/>
      <c r="AKF48" s="5"/>
      <c r="AKG48" s="5"/>
      <c r="AKH48" s="5"/>
      <c r="AKI48" s="5"/>
      <c r="AKJ48" s="5"/>
      <c r="AKK48" s="5"/>
      <c r="AKL48" s="5"/>
      <c r="AKM48" s="5"/>
      <c r="AKN48" s="5"/>
      <c r="AKO48" s="5"/>
      <c r="AKP48" s="5"/>
      <c r="AKQ48" s="5"/>
      <c r="AKR48" s="5"/>
      <c r="AKS48" s="5"/>
      <c r="AKT48" s="5"/>
      <c r="AKU48" s="5"/>
      <c r="AKV48" s="5"/>
      <c r="AKW48" s="5"/>
      <c r="AKX48" s="5"/>
      <c r="AKY48" s="5"/>
      <c r="AKZ48" s="5"/>
      <c r="ALA48" s="5"/>
      <c r="ALB48" s="5"/>
      <c r="ALC48" s="5"/>
      <c r="ALD48" s="5"/>
      <c r="ALE48" s="5"/>
      <c r="ALF48" s="5"/>
      <c r="ALG48" s="5"/>
      <c r="ALH48" s="5"/>
      <c r="ALI48" s="5"/>
      <c r="ALJ48" s="5"/>
      <c r="ALK48" s="5"/>
      <c r="ALL48" s="5"/>
      <c r="ALM48" s="5"/>
      <c r="ALN48" s="5"/>
      <c r="ALO48" s="5"/>
      <c r="ALP48" s="5"/>
    </row>
    <row r="49" spans="1:1004" s="4" customFormat="1" ht="25.5" customHeight="1">
      <c r="A49" s="6">
        <v>48</v>
      </c>
      <c r="B49" s="8" t="s">
        <v>291</v>
      </c>
      <c r="C49" s="78" t="s">
        <v>292</v>
      </c>
      <c r="D49" s="8" t="s">
        <v>229</v>
      </c>
      <c r="E49" s="8"/>
      <c r="F49" s="78" t="s">
        <v>293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  <c r="AAA49" s="5"/>
      <c r="AAB49" s="5"/>
      <c r="AAC49" s="5"/>
      <c r="AAD49" s="5"/>
      <c r="AAE49" s="5"/>
      <c r="AAF49" s="5"/>
      <c r="AAG49" s="5"/>
      <c r="AAH49" s="5"/>
      <c r="AAI49" s="5"/>
      <c r="AAJ49" s="5"/>
      <c r="AAK49" s="5"/>
      <c r="AAL49" s="5"/>
      <c r="AAM49" s="5"/>
      <c r="AAN49" s="5"/>
      <c r="AAO49" s="5"/>
      <c r="AAP49" s="5"/>
      <c r="AAQ49" s="5"/>
      <c r="AAR49" s="5"/>
      <c r="AAS49" s="5"/>
      <c r="AAT49" s="5"/>
      <c r="AAU49" s="5"/>
      <c r="AAV49" s="5"/>
      <c r="AAW49" s="5"/>
      <c r="AAX49" s="5"/>
      <c r="AAY49" s="5"/>
      <c r="AAZ49" s="5"/>
      <c r="ABA49" s="5"/>
      <c r="ABB49" s="5"/>
      <c r="ABC49" s="5"/>
      <c r="ABD49" s="5"/>
      <c r="ABE49" s="5"/>
      <c r="ABF49" s="5"/>
      <c r="ABG49" s="5"/>
      <c r="ABH49" s="5"/>
      <c r="ABI49" s="5"/>
      <c r="ABJ49" s="5"/>
      <c r="ABK49" s="5"/>
      <c r="ABL49" s="5"/>
      <c r="ABM49" s="5"/>
      <c r="ABN49" s="5"/>
      <c r="ABO49" s="5"/>
      <c r="ABP49" s="5"/>
      <c r="ABQ49" s="5"/>
      <c r="ABR49" s="5"/>
      <c r="ABS49" s="5"/>
      <c r="ABT49" s="5"/>
      <c r="ABU49" s="5"/>
      <c r="ABV49" s="5"/>
      <c r="ABW49" s="5"/>
      <c r="ABX49" s="5"/>
      <c r="ABY49" s="5"/>
      <c r="ABZ49" s="5"/>
      <c r="ACA49" s="5"/>
      <c r="ACB49" s="5"/>
      <c r="ACC49" s="5"/>
      <c r="ACD49" s="5"/>
      <c r="ACE49" s="5"/>
      <c r="ACF49" s="5"/>
      <c r="ACG49" s="5"/>
      <c r="ACH49" s="5"/>
      <c r="ACI49" s="5"/>
      <c r="ACJ49" s="5"/>
      <c r="ACK49" s="5"/>
      <c r="ACL49" s="5"/>
      <c r="ACM49" s="5"/>
      <c r="ACN49" s="5"/>
      <c r="ACO49" s="5"/>
      <c r="ACP49" s="5"/>
      <c r="ACQ49" s="5"/>
      <c r="ACR49" s="5"/>
      <c r="ACS49" s="5"/>
      <c r="ACT49" s="5"/>
      <c r="ACU49" s="5"/>
      <c r="ACV49" s="5"/>
      <c r="ACW49" s="5"/>
      <c r="ACX49" s="5"/>
      <c r="ACY49" s="5"/>
      <c r="ACZ49" s="5"/>
      <c r="ADA49" s="5"/>
      <c r="ADB49" s="5"/>
      <c r="ADC49" s="5"/>
      <c r="ADD49" s="5"/>
      <c r="ADE49" s="5"/>
      <c r="ADF49" s="5"/>
      <c r="ADG49" s="5"/>
      <c r="ADH49" s="5"/>
      <c r="ADI49" s="5"/>
      <c r="ADJ49" s="5"/>
      <c r="ADK49" s="5"/>
      <c r="ADL49" s="5"/>
      <c r="ADM49" s="5"/>
      <c r="ADN49" s="5"/>
      <c r="ADO49" s="5"/>
      <c r="ADP49" s="5"/>
      <c r="ADQ49" s="5"/>
      <c r="ADR49" s="5"/>
      <c r="ADS49" s="5"/>
      <c r="ADT49" s="5"/>
      <c r="ADU49" s="5"/>
      <c r="ADV49" s="5"/>
      <c r="ADW49" s="5"/>
      <c r="ADX49" s="5"/>
      <c r="ADY49" s="5"/>
      <c r="ADZ49" s="5"/>
      <c r="AEA49" s="5"/>
      <c r="AEB49" s="5"/>
      <c r="AEC49" s="5"/>
      <c r="AED49" s="5"/>
      <c r="AEE49" s="5"/>
      <c r="AEF49" s="5"/>
      <c r="AEG49" s="5"/>
      <c r="AEH49" s="5"/>
      <c r="AEI49" s="5"/>
      <c r="AEJ49" s="5"/>
      <c r="AEK49" s="5"/>
      <c r="AEL49" s="5"/>
      <c r="AEM49" s="5"/>
      <c r="AEN49" s="5"/>
      <c r="AEO49" s="5"/>
      <c r="AEP49" s="5"/>
      <c r="AEQ49" s="5"/>
      <c r="AER49" s="5"/>
      <c r="AES49" s="5"/>
      <c r="AET49" s="5"/>
      <c r="AEU49" s="5"/>
      <c r="AEV49" s="5"/>
      <c r="AEW49" s="5"/>
      <c r="AEX49" s="5"/>
      <c r="AEY49" s="5"/>
      <c r="AEZ49" s="5"/>
      <c r="AFA49" s="5"/>
      <c r="AFB49" s="5"/>
      <c r="AFC49" s="5"/>
      <c r="AFD49" s="5"/>
      <c r="AFE49" s="5"/>
      <c r="AFF49" s="5"/>
      <c r="AFG49" s="5"/>
      <c r="AFH49" s="5"/>
      <c r="AFI49" s="5"/>
      <c r="AFJ49" s="5"/>
      <c r="AFK49" s="5"/>
      <c r="AFL49" s="5"/>
      <c r="AFM49" s="5"/>
      <c r="AFN49" s="5"/>
      <c r="AFO49" s="5"/>
      <c r="AFP49" s="5"/>
      <c r="AFQ49" s="5"/>
      <c r="AFR49" s="5"/>
      <c r="AFS49" s="5"/>
      <c r="AFT49" s="5"/>
      <c r="AFU49" s="5"/>
      <c r="AFV49" s="5"/>
      <c r="AFW49" s="5"/>
      <c r="AFX49" s="5"/>
      <c r="AFY49" s="5"/>
      <c r="AFZ49" s="5"/>
      <c r="AGA49" s="5"/>
      <c r="AGB49" s="5"/>
      <c r="AGC49" s="5"/>
      <c r="AGD49" s="5"/>
      <c r="AGE49" s="5"/>
      <c r="AGF49" s="5"/>
      <c r="AGG49" s="5"/>
      <c r="AGH49" s="5"/>
      <c r="AGI49" s="5"/>
      <c r="AGJ49" s="5"/>
      <c r="AGK49" s="5"/>
      <c r="AGL49" s="5"/>
      <c r="AGM49" s="5"/>
      <c r="AGN49" s="5"/>
      <c r="AGO49" s="5"/>
      <c r="AGP49" s="5"/>
      <c r="AGQ49" s="5"/>
      <c r="AGR49" s="5"/>
      <c r="AGS49" s="5"/>
      <c r="AGT49" s="5"/>
      <c r="AGU49" s="5"/>
      <c r="AGV49" s="5"/>
      <c r="AGW49" s="5"/>
      <c r="AGX49" s="5"/>
      <c r="AGY49" s="5"/>
      <c r="AGZ49" s="5"/>
      <c r="AHA49" s="5"/>
      <c r="AHB49" s="5"/>
      <c r="AHC49" s="5"/>
      <c r="AHD49" s="5"/>
      <c r="AHE49" s="5"/>
      <c r="AHF49" s="5"/>
      <c r="AHG49" s="5"/>
      <c r="AHH49" s="5"/>
      <c r="AHI49" s="5"/>
      <c r="AHJ49" s="5"/>
      <c r="AHK49" s="5"/>
      <c r="AHL49" s="5"/>
      <c r="AHM49" s="5"/>
      <c r="AHN49" s="5"/>
      <c r="AHO49" s="5"/>
      <c r="AHP49" s="5"/>
      <c r="AHQ49" s="5"/>
      <c r="AHR49" s="5"/>
      <c r="AHS49" s="5"/>
      <c r="AHT49" s="5"/>
      <c r="AHU49" s="5"/>
      <c r="AHV49" s="5"/>
      <c r="AHW49" s="5"/>
      <c r="AHX49" s="5"/>
      <c r="AHY49" s="5"/>
      <c r="AHZ49" s="5"/>
      <c r="AIA49" s="5"/>
      <c r="AIB49" s="5"/>
      <c r="AIC49" s="5"/>
      <c r="AID49" s="5"/>
      <c r="AIE49" s="5"/>
      <c r="AIF49" s="5"/>
      <c r="AIG49" s="5"/>
      <c r="AIH49" s="5"/>
      <c r="AII49" s="5"/>
      <c r="AIJ49" s="5"/>
      <c r="AIK49" s="5"/>
      <c r="AIL49" s="5"/>
      <c r="AIM49" s="5"/>
      <c r="AIN49" s="5"/>
      <c r="AIO49" s="5"/>
      <c r="AIP49" s="5"/>
      <c r="AIQ49" s="5"/>
      <c r="AIR49" s="5"/>
      <c r="AIS49" s="5"/>
      <c r="AIT49" s="5"/>
      <c r="AIU49" s="5"/>
      <c r="AIV49" s="5"/>
      <c r="AIW49" s="5"/>
      <c r="AIX49" s="5"/>
      <c r="AIY49" s="5"/>
      <c r="AIZ49" s="5"/>
      <c r="AJA49" s="5"/>
      <c r="AJB49" s="5"/>
      <c r="AJC49" s="5"/>
      <c r="AJD49" s="5"/>
      <c r="AJE49" s="5"/>
      <c r="AJF49" s="5"/>
      <c r="AJG49" s="5"/>
      <c r="AJH49" s="5"/>
      <c r="AJI49" s="5"/>
      <c r="AJJ49" s="5"/>
      <c r="AJK49" s="5"/>
      <c r="AJL49" s="5"/>
      <c r="AJM49" s="5"/>
      <c r="AJN49" s="5"/>
      <c r="AJO49" s="5"/>
      <c r="AJP49" s="5"/>
      <c r="AJQ49" s="5"/>
      <c r="AJR49" s="5"/>
      <c r="AJS49" s="5"/>
      <c r="AJT49" s="5"/>
      <c r="AJU49" s="5"/>
      <c r="AJV49" s="5"/>
      <c r="AJW49" s="5"/>
      <c r="AJX49" s="5"/>
      <c r="AJY49" s="5"/>
      <c r="AJZ49" s="5"/>
      <c r="AKA49" s="5"/>
      <c r="AKB49" s="5"/>
      <c r="AKC49" s="5"/>
      <c r="AKD49" s="5"/>
      <c r="AKE49" s="5"/>
      <c r="AKF49" s="5"/>
      <c r="AKG49" s="5"/>
      <c r="AKH49" s="5"/>
      <c r="AKI49" s="5"/>
      <c r="AKJ49" s="5"/>
      <c r="AKK49" s="5"/>
      <c r="AKL49" s="5"/>
      <c r="AKM49" s="5"/>
      <c r="AKN49" s="5"/>
      <c r="AKO49" s="5"/>
      <c r="AKP49" s="5"/>
      <c r="AKQ49" s="5"/>
      <c r="AKR49" s="5"/>
      <c r="AKS49" s="5"/>
      <c r="AKT49" s="5"/>
      <c r="AKU49" s="5"/>
      <c r="AKV49" s="5"/>
      <c r="AKW49" s="5"/>
      <c r="AKX49" s="5"/>
      <c r="AKY49" s="5"/>
      <c r="AKZ49" s="5"/>
      <c r="ALA49" s="5"/>
      <c r="ALB49" s="5"/>
      <c r="ALC49" s="5"/>
      <c r="ALD49" s="5"/>
      <c r="ALE49" s="5"/>
      <c r="ALF49" s="5"/>
      <c r="ALG49" s="5"/>
      <c r="ALH49" s="5"/>
      <c r="ALI49" s="5"/>
      <c r="ALJ49" s="5"/>
      <c r="ALK49" s="5"/>
      <c r="ALL49" s="5"/>
      <c r="ALM49" s="5"/>
      <c r="ALN49" s="5"/>
      <c r="ALO49" s="5"/>
      <c r="ALP49" s="5"/>
    </row>
    <row r="50" spans="1:1004" s="4" customFormat="1" ht="25.5" customHeight="1">
      <c r="A50" s="6">
        <v>49</v>
      </c>
      <c r="B50" s="8" t="s">
        <v>294</v>
      </c>
      <c r="C50" s="78" t="s">
        <v>295</v>
      </c>
      <c r="D50" s="8" t="s">
        <v>229</v>
      </c>
      <c r="E50" s="8" t="s">
        <v>386</v>
      </c>
      <c r="F50" s="78" t="s">
        <v>296</v>
      </c>
      <c r="G50" s="5">
        <v>40</v>
      </c>
      <c r="H50" s="5">
        <v>53</v>
      </c>
      <c r="I50" s="5">
        <v>15</v>
      </c>
      <c r="J50" s="5">
        <v>11</v>
      </c>
      <c r="K50" s="5">
        <v>94</v>
      </c>
      <c r="L50" s="5">
        <v>84</v>
      </c>
      <c r="M50" s="5">
        <v>105</v>
      </c>
      <c r="N50" s="5" t="s">
        <v>497</v>
      </c>
      <c r="O50" s="5">
        <v>82</v>
      </c>
      <c r="P50" s="5">
        <v>103</v>
      </c>
      <c r="Q50" s="5">
        <v>63</v>
      </c>
      <c r="R50" s="5">
        <v>32</v>
      </c>
      <c r="S50" s="5">
        <v>23</v>
      </c>
      <c r="T50" s="5">
        <v>18</v>
      </c>
      <c r="U50" s="5">
        <v>91</v>
      </c>
      <c r="V50" s="5">
        <v>1</v>
      </c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  <c r="AAA50" s="5"/>
      <c r="AAB50" s="5"/>
      <c r="AAC50" s="5"/>
      <c r="AAD50" s="5"/>
      <c r="AAE50" s="5"/>
      <c r="AAF50" s="5"/>
      <c r="AAG50" s="5"/>
      <c r="AAH50" s="5"/>
      <c r="AAI50" s="5"/>
      <c r="AAJ50" s="5"/>
      <c r="AAK50" s="5"/>
      <c r="AAL50" s="5"/>
      <c r="AAM50" s="5"/>
      <c r="AAN50" s="5"/>
      <c r="AAO50" s="5"/>
      <c r="AAP50" s="5"/>
      <c r="AAQ50" s="5"/>
      <c r="AAR50" s="5"/>
      <c r="AAS50" s="5"/>
      <c r="AAT50" s="5"/>
      <c r="AAU50" s="5"/>
      <c r="AAV50" s="5"/>
      <c r="AAW50" s="5"/>
      <c r="AAX50" s="5"/>
      <c r="AAY50" s="5"/>
      <c r="AAZ50" s="5"/>
      <c r="ABA50" s="5"/>
      <c r="ABB50" s="5"/>
      <c r="ABC50" s="5"/>
      <c r="ABD50" s="5"/>
      <c r="ABE50" s="5"/>
      <c r="ABF50" s="5"/>
      <c r="ABG50" s="5"/>
      <c r="ABH50" s="5"/>
      <c r="ABI50" s="5"/>
      <c r="ABJ50" s="5"/>
      <c r="ABK50" s="5"/>
      <c r="ABL50" s="5"/>
      <c r="ABM50" s="5"/>
      <c r="ABN50" s="5"/>
      <c r="ABO50" s="5"/>
      <c r="ABP50" s="5"/>
      <c r="ABQ50" s="5"/>
      <c r="ABR50" s="5"/>
      <c r="ABS50" s="5"/>
      <c r="ABT50" s="5"/>
      <c r="ABU50" s="5"/>
      <c r="ABV50" s="5"/>
      <c r="ABW50" s="5"/>
      <c r="ABX50" s="5"/>
      <c r="ABY50" s="5"/>
      <c r="ABZ50" s="5"/>
      <c r="ACA50" s="5"/>
      <c r="ACB50" s="5"/>
      <c r="ACC50" s="5"/>
      <c r="ACD50" s="5"/>
      <c r="ACE50" s="5"/>
      <c r="ACF50" s="5"/>
      <c r="ACG50" s="5"/>
      <c r="ACH50" s="5"/>
      <c r="ACI50" s="5"/>
      <c r="ACJ50" s="5"/>
      <c r="ACK50" s="5"/>
      <c r="ACL50" s="5"/>
      <c r="ACM50" s="5"/>
      <c r="ACN50" s="5"/>
      <c r="ACO50" s="5"/>
      <c r="ACP50" s="5"/>
      <c r="ACQ50" s="5"/>
      <c r="ACR50" s="5"/>
      <c r="ACS50" s="5"/>
      <c r="ACT50" s="5"/>
      <c r="ACU50" s="5"/>
      <c r="ACV50" s="5"/>
      <c r="ACW50" s="5"/>
      <c r="ACX50" s="5"/>
      <c r="ACY50" s="5"/>
      <c r="ACZ50" s="5"/>
      <c r="ADA50" s="5"/>
      <c r="ADB50" s="5"/>
      <c r="ADC50" s="5"/>
      <c r="ADD50" s="5"/>
      <c r="ADE50" s="5"/>
      <c r="ADF50" s="5"/>
      <c r="ADG50" s="5"/>
      <c r="ADH50" s="5"/>
      <c r="ADI50" s="5"/>
      <c r="ADJ50" s="5"/>
      <c r="ADK50" s="5"/>
      <c r="ADL50" s="5"/>
      <c r="ADM50" s="5"/>
      <c r="ADN50" s="5"/>
      <c r="ADO50" s="5"/>
      <c r="ADP50" s="5"/>
      <c r="ADQ50" s="5"/>
      <c r="ADR50" s="5"/>
      <c r="ADS50" s="5"/>
      <c r="ADT50" s="5"/>
      <c r="ADU50" s="5"/>
      <c r="ADV50" s="5"/>
      <c r="ADW50" s="5"/>
      <c r="ADX50" s="5"/>
      <c r="ADY50" s="5"/>
      <c r="ADZ50" s="5"/>
      <c r="AEA50" s="5"/>
      <c r="AEB50" s="5"/>
      <c r="AEC50" s="5"/>
      <c r="AED50" s="5"/>
      <c r="AEE50" s="5"/>
      <c r="AEF50" s="5"/>
      <c r="AEG50" s="5"/>
      <c r="AEH50" s="5"/>
      <c r="AEI50" s="5"/>
      <c r="AEJ50" s="5"/>
      <c r="AEK50" s="5"/>
      <c r="AEL50" s="5"/>
      <c r="AEM50" s="5"/>
      <c r="AEN50" s="5"/>
      <c r="AEO50" s="5"/>
      <c r="AEP50" s="5"/>
      <c r="AEQ50" s="5"/>
      <c r="AER50" s="5"/>
      <c r="AES50" s="5"/>
      <c r="AET50" s="5"/>
      <c r="AEU50" s="5"/>
      <c r="AEV50" s="5"/>
      <c r="AEW50" s="5"/>
      <c r="AEX50" s="5"/>
      <c r="AEY50" s="5"/>
      <c r="AEZ50" s="5"/>
      <c r="AFA50" s="5"/>
      <c r="AFB50" s="5"/>
      <c r="AFC50" s="5"/>
      <c r="AFD50" s="5"/>
      <c r="AFE50" s="5"/>
      <c r="AFF50" s="5"/>
      <c r="AFG50" s="5"/>
      <c r="AFH50" s="5"/>
      <c r="AFI50" s="5"/>
      <c r="AFJ50" s="5"/>
      <c r="AFK50" s="5"/>
      <c r="AFL50" s="5"/>
      <c r="AFM50" s="5"/>
      <c r="AFN50" s="5"/>
      <c r="AFO50" s="5"/>
      <c r="AFP50" s="5"/>
      <c r="AFQ50" s="5"/>
      <c r="AFR50" s="5"/>
      <c r="AFS50" s="5"/>
      <c r="AFT50" s="5"/>
      <c r="AFU50" s="5"/>
      <c r="AFV50" s="5"/>
      <c r="AFW50" s="5"/>
      <c r="AFX50" s="5"/>
      <c r="AFY50" s="5"/>
      <c r="AFZ50" s="5"/>
      <c r="AGA50" s="5"/>
      <c r="AGB50" s="5"/>
      <c r="AGC50" s="5"/>
      <c r="AGD50" s="5"/>
      <c r="AGE50" s="5"/>
      <c r="AGF50" s="5"/>
      <c r="AGG50" s="5"/>
      <c r="AGH50" s="5"/>
      <c r="AGI50" s="5"/>
      <c r="AGJ50" s="5"/>
      <c r="AGK50" s="5"/>
      <c r="AGL50" s="5"/>
      <c r="AGM50" s="5"/>
      <c r="AGN50" s="5"/>
      <c r="AGO50" s="5"/>
      <c r="AGP50" s="5"/>
      <c r="AGQ50" s="5"/>
      <c r="AGR50" s="5"/>
      <c r="AGS50" s="5"/>
      <c r="AGT50" s="5"/>
      <c r="AGU50" s="5"/>
      <c r="AGV50" s="5"/>
      <c r="AGW50" s="5"/>
      <c r="AGX50" s="5"/>
      <c r="AGY50" s="5"/>
      <c r="AGZ50" s="5"/>
      <c r="AHA50" s="5"/>
      <c r="AHB50" s="5"/>
      <c r="AHC50" s="5"/>
      <c r="AHD50" s="5"/>
      <c r="AHE50" s="5"/>
      <c r="AHF50" s="5"/>
      <c r="AHG50" s="5"/>
      <c r="AHH50" s="5"/>
      <c r="AHI50" s="5"/>
      <c r="AHJ50" s="5"/>
      <c r="AHK50" s="5"/>
      <c r="AHL50" s="5"/>
      <c r="AHM50" s="5"/>
      <c r="AHN50" s="5"/>
      <c r="AHO50" s="5"/>
      <c r="AHP50" s="5"/>
      <c r="AHQ50" s="5"/>
      <c r="AHR50" s="5"/>
      <c r="AHS50" s="5"/>
      <c r="AHT50" s="5"/>
      <c r="AHU50" s="5"/>
      <c r="AHV50" s="5"/>
      <c r="AHW50" s="5"/>
      <c r="AHX50" s="5"/>
      <c r="AHY50" s="5"/>
      <c r="AHZ50" s="5"/>
      <c r="AIA50" s="5"/>
      <c r="AIB50" s="5"/>
      <c r="AIC50" s="5"/>
      <c r="AID50" s="5"/>
      <c r="AIE50" s="5"/>
      <c r="AIF50" s="5"/>
      <c r="AIG50" s="5"/>
      <c r="AIH50" s="5"/>
      <c r="AII50" s="5"/>
      <c r="AIJ50" s="5"/>
      <c r="AIK50" s="5"/>
      <c r="AIL50" s="5"/>
      <c r="AIM50" s="5"/>
      <c r="AIN50" s="5"/>
      <c r="AIO50" s="5"/>
      <c r="AIP50" s="5"/>
      <c r="AIQ50" s="5"/>
      <c r="AIR50" s="5"/>
      <c r="AIS50" s="5"/>
      <c r="AIT50" s="5"/>
      <c r="AIU50" s="5"/>
      <c r="AIV50" s="5"/>
      <c r="AIW50" s="5"/>
      <c r="AIX50" s="5"/>
      <c r="AIY50" s="5"/>
      <c r="AIZ50" s="5"/>
      <c r="AJA50" s="5"/>
      <c r="AJB50" s="5"/>
      <c r="AJC50" s="5"/>
      <c r="AJD50" s="5"/>
      <c r="AJE50" s="5"/>
      <c r="AJF50" s="5"/>
      <c r="AJG50" s="5"/>
      <c r="AJH50" s="5"/>
      <c r="AJI50" s="5"/>
      <c r="AJJ50" s="5"/>
      <c r="AJK50" s="5"/>
      <c r="AJL50" s="5"/>
      <c r="AJM50" s="5"/>
      <c r="AJN50" s="5"/>
      <c r="AJO50" s="5"/>
      <c r="AJP50" s="5"/>
      <c r="AJQ50" s="5"/>
      <c r="AJR50" s="5"/>
      <c r="AJS50" s="5"/>
      <c r="AJT50" s="5"/>
      <c r="AJU50" s="5"/>
      <c r="AJV50" s="5"/>
      <c r="AJW50" s="5"/>
      <c r="AJX50" s="5"/>
      <c r="AJY50" s="5"/>
      <c r="AJZ50" s="5"/>
      <c r="AKA50" s="5"/>
      <c r="AKB50" s="5"/>
      <c r="AKC50" s="5"/>
      <c r="AKD50" s="5"/>
      <c r="AKE50" s="5"/>
      <c r="AKF50" s="5"/>
      <c r="AKG50" s="5"/>
      <c r="AKH50" s="5"/>
      <c r="AKI50" s="5"/>
      <c r="AKJ50" s="5"/>
      <c r="AKK50" s="5"/>
      <c r="AKL50" s="5"/>
      <c r="AKM50" s="5"/>
      <c r="AKN50" s="5"/>
      <c r="AKO50" s="5"/>
      <c r="AKP50" s="5"/>
      <c r="AKQ50" s="5"/>
      <c r="AKR50" s="5"/>
      <c r="AKS50" s="5"/>
      <c r="AKT50" s="5"/>
      <c r="AKU50" s="5"/>
      <c r="AKV50" s="5"/>
      <c r="AKW50" s="5"/>
      <c r="AKX50" s="5"/>
      <c r="AKY50" s="5"/>
      <c r="AKZ50" s="5"/>
      <c r="ALA50" s="5"/>
      <c r="ALB50" s="5"/>
      <c r="ALC50" s="5"/>
      <c r="ALD50" s="5"/>
      <c r="ALE50" s="5"/>
      <c r="ALF50" s="5"/>
      <c r="ALG50" s="5"/>
      <c r="ALH50" s="5"/>
      <c r="ALI50" s="5"/>
      <c r="ALJ50" s="5"/>
      <c r="ALK50" s="5"/>
      <c r="ALL50" s="5"/>
      <c r="ALM50" s="5"/>
      <c r="ALN50" s="5"/>
      <c r="ALO50" s="5"/>
      <c r="ALP50" s="5"/>
    </row>
    <row r="51" spans="1:1004" s="4" customFormat="1" ht="25.5" customHeight="1">
      <c r="A51" s="6">
        <v>50</v>
      </c>
      <c r="B51" s="8" t="s">
        <v>300</v>
      </c>
      <c r="C51" s="78" t="s">
        <v>301</v>
      </c>
      <c r="D51" s="8" t="s">
        <v>229</v>
      </c>
      <c r="E51" s="8" t="s">
        <v>394</v>
      </c>
      <c r="F51" s="78" t="s">
        <v>302</v>
      </c>
      <c r="G51" s="5">
        <v>44</v>
      </c>
      <c r="H51" s="5">
        <v>26</v>
      </c>
      <c r="I51" s="5">
        <v>16</v>
      </c>
      <c r="J51" s="5">
        <v>26</v>
      </c>
      <c r="K51" s="5">
        <v>24</v>
      </c>
      <c r="L51" s="5">
        <v>26</v>
      </c>
      <c r="M51" s="5">
        <v>71</v>
      </c>
      <c r="N51" s="5">
        <v>37</v>
      </c>
      <c r="O51" s="5">
        <v>78</v>
      </c>
      <c r="P51" s="5">
        <v>101</v>
      </c>
      <c r="Q51" s="5">
        <v>65</v>
      </c>
      <c r="R51" s="5">
        <v>31</v>
      </c>
      <c r="S51" s="5">
        <v>24</v>
      </c>
      <c r="T51" s="5">
        <v>18</v>
      </c>
      <c r="U51" s="5">
        <v>100</v>
      </c>
      <c r="V51" s="5">
        <v>2</v>
      </c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  <c r="AAA51" s="5"/>
      <c r="AAB51" s="5"/>
      <c r="AAC51" s="5"/>
      <c r="AAD51" s="5"/>
      <c r="AAE51" s="5"/>
      <c r="AAF51" s="5"/>
      <c r="AAG51" s="5"/>
      <c r="AAH51" s="5"/>
      <c r="AAI51" s="5"/>
      <c r="AAJ51" s="5"/>
      <c r="AAK51" s="5"/>
      <c r="AAL51" s="5"/>
      <c r="AAM51" s="5"/>
      <c r="AAN51" s="5"/>
      <c r="AAO51" s="5"/>
      <c r="AAP51" s="5"/>
      <c r="AAQ51" s="5"/>
      <c r="AAR51" s="5"/>
      <c r="AAS51" s="5"/>
      <c r="AAT51" s="5"/>
      <c r="AAU51" s="5"/>
      <c r="AAV51" s="5"/>
      <c r="AAW51" s="5"/>
      <c r="AAX51" s="5"/>
      <c r="AAY51" s="5"/>
      <c r="AAZ51" s="5"/>
      <c r="ABA51" s="5"/>
      <c r="ABB51" s="5"/>
      <c r="ABC51" s="5"/>
      <c r="ABD51" s="5"/>
      <c r="ABE51" s="5"/>
      <c r="ABF51" s="5"/>
      <c r="ABG51" s="5"/>
      <c r="ABH51" s="5"/>
      <c r="ABI51" s="5"/>
      <c r="ABJ51" s="5"/>
      <c r="ABK51" s="5"/>
      <c r="ABL51" s="5"/>
      <c r="ABM51" s="5"/>
      <c r="ABN51" s="5"/>
      <c r="ABO51" s="5"/>
      <c r="ABP51" s="5"/>
      <c r="ABQ51" s="5"/>
      <c r="ABR51" s="5"/>
      <c r="ABS51" s="5"/>
      <c r="ABT51" s="5"/>
      <c r="ABU51" s="5"/>
      <c r="ABV51" s="5"/>
      <c r="ABW51" s="5"/>
      <c r="ABX51" s="5"/>
      <c r="ABY51" s="5"/>
      <c r="ABZ51" s="5"/>
      <c r="ACA51" s="5"/>
      <c r="ACB51" s="5"/>
      <c r="ACC51" s="5"/>
      <c r="ACD51" s="5"/>
      <c r="ACE51" s="5"/>
      <c r="ACF51" s="5"/>
      <c r="ACG51" s="5"/>
      <c r="ACH51" s="5"/>
      <c r="ACI51" s="5"/>
      <c r="ACJ51" s="5"/>
      <c r="ACK51" s="5"/>
      <c r="ACL51" s="5"/>
      <c r="ACM51" s="5"/>
      <c r="ACN51" s="5"/>
      <c r="ACO51" s="5"/>
      <c r="ACP51" s="5"/>
      <c r="ACQ51" s="5"/>
      <c r="ACR51" s="5"/>
      <c r="ACS51" s="5"/>
      <c r="ACT51" s="5"/>
      <c r="ACU51" s="5"/>
      <c r="ACV51" s="5"/>
      <c r="ACW51" s="5"/>
      <c r="ACX51" s="5"/>
      <c r="ACY51" s="5"/>
      <c r="ACZ51" s="5"/>
      <c r="ADA51" s="5"/>
      <c r="ADB51" s="5"/>
      <c r="ADC51" s="5"/>
      <c r="ADD51" s="5"/>
      <c r="ADE51" s="5"/>
      <c r="ADF51" s="5"/>
      <c r="ADG51" s="5"/>
      <c r="ADH51" s="5"/>
      <c r="ADI51" s="5"/>
      <c r="ADJ51" s="5"/>
      <c r="ADK51" s="5"/>
      <c r="ADL51" s="5"/>
      <c r="ADM51" s="5"/>
      <c r="ADN51" s="5"/>
      <c r="ADO51" s="5"/>
      <c r="ADP51" s="5"/>
      <c r="ADQ51" s="5"/>
      <c r="ADR51" s="5"/>
      <c r="ADS51" s="5"/>
      <c r="ADT51" s="5"/>
      <c r="ADU51" s="5"/>
      <c r="ADV51" s="5"/>
      <c r="ADW51" s="5"/>
      <c r="ADX51" s="5"/>
      <c r="ADY51" s="5"/>
      <c r="ADZ51" s="5"/>
      <c r="AEA51" s="5"/>
      <c r="AEB51" s="5"/>
      <c r="AEC51" s="5"/>
      <c r="AED51" s="5"/>
      <c r="AEE51" s="5"/>
      <c r="AEF51" s="5"/>
      <c r="AEG51" s="5"/>
      <c r="AEH51" s="5"/>
      <c r="AEI51" s="5"/>
      <c r="AEJ51" s="5"/>
      <c r="AEK51" s="5"/>
      <c r="AEL51" s="5"/>
      <c r="AEM51" s="5"/>
      <c r="AEN51" s="5"/>
      <c r="AEO51" s="5"/>
      <c r="AEP51" s="5"/>
      <c r="AEQ51" s="5"/>
      <c r="AER51" s="5"/>
      <c r="AES51" s="5"/>
      <c r="AET51" s="5"/>
      <c r="AEU51" s="5"/>
      <c r="AEV51" s="5"/>
      <c r="AEW51" s="5"/>
      <c r="AEX51" s="5"/>
      <c r="AEY51" s="5"/>
      <c r="AEZ51" s="5"/>
      <c r="AFA51" s="5"/>
      <c r="AFB51" s="5"/>
      <c r="AFC51" s="5"/>
      <c r="AFD51" s="5"/>
      <c r="AFE51" s="5"/>
      <c r="AFF51" s="5"/>
      <c r="AFG51" s="5"/>
      <c r="AFH51" s="5"/>
      <c r="AFI51" s="5"/>
      <c r="AFJ51" s="5"/>
      <c r="AFK51" s="5"/>
      <c r="AFL51" s="5"/>
      <c r="AFM51" s="5"/>
      <c r="AFN51" s="5"/>
      <c r="AFO51" s="5"/>
      <c r="AFP51" s="5"/>
      <c r="AFQ51" s="5"/>
      <c r="AFR51" s="5"/>
      <c r="AFS51" s="5"/>
      <c r="AFT51" s="5"/>
      <c r="AFU51" s="5"/>
      <c r="AFV51" s="5"/>
      <c r="AFW51" s="5"/>
      <c r="AFX51" s="5"/>
      <c r="AFY51" s="5"/>
      <c r="AFZ51" s="5"/>
      <c r="AGA51" s="5"/>
      <c r="AGB51" s="5"/>
      <c r="AGC51" s="5"/>
      <c r="AGD51" s="5"/>
      <c r="AGE51" s="5"/>
      <c r="AGF51" s="5"/>
      <c r="AGG51" s="5"/>
      <c r="AGH51" s="5"/>
      <c r="AGI51" s="5"/>
      <c r="AGJ51" s="5"/>
      <c r="AGK51" s="5"/>
      <c r="AGL51" s="5"/>
      <c r="AGM51" s="5"/>
      <c r="AGN51" s="5"/>
      <c r="AGO51" s="5"/>
      <c r="AGP51" s="5"/>
      <c r="AGQ51" s="5"/>
      <c r="AGR51" s="5"/>
      <c r="AGS51" s="5"/>
      <c r="AGT51" s="5"/>
      <c r="AGU51" s="5"/>
      <c r="AGV51" s="5"/>
      <c r="AGW51" s="5"/>
      <c r="AGX51" s="5"/>
      <c r="AGY51" s="5"/>
      <c r="AGZ51" s="5"/>
      <c r="AHA51" s="5"/>
      <c r="AHB51" s="5"/>
      <c r="AHC51" s="5"/>
      <c r="AHD51" s="5"/>
      <c r="AHE51" s="5"/>
      <c r="AHF51" s="5"/>
      <c r="AHG51" s="5"/>
      <c r="AHH51" s="5"/>
      <c r="AHI51" s="5"/>
      <c r="AHJ51" s="5"/>
      <c r="AHK51" s="5"/>
      <c r="AHL51" s="5"/>
      <c r="AHM51" s="5"/>
      <c r="AHN51" s="5"/>
      <c r="AHO51" s="5"/>
      <c r="AHP51" s="5"/>
      <c r="AHQ51" s="5"/>
      <c r="AHR51" s="5"/>
      <c r="AHS51" s="5"/>
      <c r="AHT51" s="5"/>
      <c r="AHU51" s="5"/>
      <c r="AHV51" s="5"/>
      <c r="AHW51" s="5"/>
      <c r="AHX51" s="5"/>
      <c r="AHY51" s="5"/>
      <c r="AHZ51" s="5"/>
      <c r="AIA51" s="5"/>
      <c r="AIB51" s="5"/>
      <c r="AIC51" s="5"/>
      <c r="AID51" s="5"/>
      <c r="AIE51" s="5"/>
      <c r="AIF51" s="5"/>
      <c r="AIG51" s="5"/>
      <c r="AIH51" s="5"/>
      <c r="AII51" s="5"/>
      <c r="AIJ51" s="5"/>
      <c r="AIK51" s="5"/>
      <c r="AIL51" s="5"/>
      <c r="AIM51" s="5"/>
      <c r="AIN51" s="5"/>
      <c r="AIO51" s="5"/>
      <c r="AIP51" s="5"/>
      <c r="AIQ51" s="5"/>
      <c r="AIR51" s="5"/>
      <c r="AIS51" s="5"/>
      <c r="AIT51" s="5"/>
      <c r="AIU51" s="5"/>
      <c r="AIV51" s="5"/>
      <c r="AIW51" s="5"/>
      <c r="AIX51" s="5"/>
      <c r="AIY51" s="5"/>
      <c r="AIZ51" s="5"/>
      <c r="AJA51" s="5"/>
      <c r="AJB51" s="5"/>
      <c r="AJC51" s="5"/>
      <c r="AJD51" s="5"/>
      <c r="AJE51" s="5"/>
      <c r="AJF51" s="5"/>
      <c r="AJG51" s="5"/>
      <c r="AJH51" s="5"/>
      <c r="AJI51" s="5"/>
      <c r="AJJ51" s="5"/>
      <c r="AJK51" s="5"/>
      <c r="AJL51" s="5"/>
      <c r="AJM51" s="5"/>
      <c r="AJN51" s="5"/>
      <c r="AJO51" s="5"/>
      <c r="AJP51" s="5"/>
      <c r="AJQ51" s="5"/>
      <c r="AJR51" s="5"/>
      <c r="AJS51" s="5"/>
      <c r="AJT51" s="5"/>
      <c r="AJU51" s="5"/>
      <c r="AJV51" s="5"/>
      <c r="AJW51" s="5"/>
      <c r="AJX51" s="5"/>
      <c r="AJY51" s="5"/>
      <c r="AJZ51" s="5"/>
      <c r="AKA51" s="5"/>
      <c r="AKB51" s="5"/>
      <c r="AKC51" s="5"/>
      <c r="AKD51" s="5"/>
      <c r="AKE51" s="5"/>
      <c r="AKF51" s="5"/>
      <c r="AKG51" s="5"/>
      <c r="AKH51" s="5"/>
      <c r="AKI51" s="5"/>
      <c r="AKJ51" s="5"/>
      <c r="AKK51" s="5"/>
      <c r="AKL51" s="5"/>
      <c r="AKM51" s="5"/>
      <c r="AKN51" s="5"/>
      <c r="AKO51" s="5"/>
      <c r="AKP51" s="5"/>
      <c r="AKQ51" s="5"/>
      <c r="AKR51" s="5"/>
      <c r="AKS51" s="5"/>
      <c r="AKT51" s="5"/>
      <c r="AKU51" s="5"/>
      <c r="AKV51" s="5"/>
      <c r="AKW51" s="5"/>
      <c r="AKX51" s="5"/>
      <c r="AKY51" s="5"/>
      <c r="AKZ51" s="5"/>
      <c r="ALA51" s="5"/>
      <c r="ALB51" s="5"/>
      <c r="ALC51" s="5"/>
      <c r="ALD51" s="5"/>
      <c r="ALE51" s="5"/>
      <c r="ALF51" s="5"/>
      <c r="ALG51" s="5"/>
      <c r="ALH51" s="5"/>
      <c r="ALI51" s="5"/>
      <c r="ALJ51" s="5"/>
      <c r="ALK51" s="5"/>
      <c r="ALL51" s="5"/>
      <c r="ALM51" s="5"/>
      <c r="ALN51" s="5"/>
      <c r="ALO51" s="5"/>
      <c r="ALP51" s="5"/>
    </row>
    <row r="52" spans="1:1004" s="4" customFormat="1" ht="25.5" customHeight="1">
      <c r="A52" s="6">
        <v>51</v>
      </c>
      <c r="B52" s="8" t="s">
        <v>303</v>
      </c>
      <c r="C52" s="78" t="s">
        <v>304</v>
      </c>
      <c r="D52" s="8" t="s">
        <v>229</v>
      </c>
      <c r="E52" s="8" t="s">
        <v>394</v>
      </c>
      <c r="F52" s="78" t="s">
        <v>305</v>
      </c>
      <c r="G52" s="5">
        <v>46</v>
      </c>
      <c r="H52" s="5">
        <v>24</v>
      </c>
      <c r="I52" s="5">
        <v>17</v>
      </c>
      <c r="J52" s="5">
        <v>28</v>
      </c>
      <c r="K52" s="5">
        <v>26</v>
      </c>
      <c r="L52" s="5">
        <v>28</v>
      </c>
      <c r="M52" s="5">
        <v>38</v>
      </c>
      <c r="N52" s="5">
        <v>71</v>
      </c>
      <c r="O52" s="5">
        <v>85</v>
      </c>
      <c r="P52" s="5">
        <v>105</v>
      </c>
      <c r="Q52" s="5">
        <v>69</v>
      </c>
      <c r="R52" s="5">
        <v>34</v>
      </c>
      <c r="S52" s="5">
        <v>26</v>
      </c>
      <c r="T52" s="5">
        <v>20</v>
      </c>
      <c r="U52" s="5">
        <v>99</v>
      </c>
      <c r="V52" s="5">
        <v>4</v>
      </c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  <c r="AAA52" s="5"/>
      <c r="AAB52" s="5"/>
      <c r="AAC52" s="5"/>
      <c r="AAD52" s="5"/>
      <c r="AAE52" s="5"/>
      <c r="AAF52" s="5"/>
      <c r="AAG52" s="5"/>
      <c r="AAH52" s="5"/>
      <c r="AAI52" s="5"/>
      <c r="AAJ52" s="5"/>
      <c r="AAK52" s="5"/>
      <c r="AAL52" s="5"/>
      <c r="AAM52" s="5"/>
      <c r="AAN52" s="5"/>
      <c r="AAO52" s="5"/>
      <c r="AAP52" s="5"/>
      <c r="AAQ52" s="5"/>
      <c r="AAR52" s="5"/>
      <c r="AAS52" s="5"/>
      <c r="AAT52" s="5"/>
      <c r="AAU52" s="5"/>
      <c r="AAV52" s="5"/>
      <c r="AAW52" s="5"/>
      <c r="AAX52" s="5"/>
      <c r="AAY52" s="5"/>
      <c r="AAZ52" s="5"/>
      <c r="ABA52" s="5"/>
      <c r="ABB52" s="5"/>
      <c r="ABC52" s="5"/>
      <c r="ABD52" s="5"/>
      <c r="ABE52" s="5"/>
      <c r="ABF52" s="5"/>
      <c r="ABG52" s="5"/>
      <c r="ABH52" s="5"/>
      <c r="ABI52" s="5"/>
      <c r="ABJ52" s="5"/>
      <c r="ABK52" s="5"/>
      <c r="ABL52" s="5"/>
      <c r="ABM52" s="5"/>
      <c r="ABN52" s="5"/>
      <c r="ABO52" s="5"/>
      <c r="ABP52" s="5"/>
      <c r="ABQ52" s="5"/>
      <c r="ABR52" s="5"/>
      <c r="ABS52" s="5"/>
      <c r="ABT52" s="5"/>
      <c r="ABU52" s="5"/>
      <c r="ABV52" s="5"/>
      <c r="ABW52" s="5"/>
      <c r="ABX52" s="5"/>
      <c r="ABY52" s="5"/>
      <c r="ABZ52" s="5"/>
      <c r="ACA52" s="5"/>
      <c r="ACB52" s="5"/>
      <c r="ACC52" s="5"/>
      <c r="ACD52" s="5"/>
      <c r="ACE52" s="5"/>
      <c r="ACF52" s="5"/>
      <c r="ACG52" s="5"/>
      <c r="ACH52" s="5"/>
      <c r="ACI52" s="5"/>
      <c r="ACJ52" s="5"/>
      <c r="ACK52" s="5"/>
      <c r="ACL52" s="5"/>
      <c r="ACM52" s="5"/>
      <c r="ACN52" s="5"/>
      <c r="ACO52" s="5"/>
      <c r="ACP52" s="5"/>
      <c r="ACQ52" s="5"/>
      <c r="ACR52" s="5"/>
      <c r="ACS52" s="5"/>
      <c r="ACT52" s="5"/>
      <c r="ACU52" s="5"/>
      <c r="ACV52" s="5"/>
      <c r="ACW52" s="5"/>
      <c r="ACX52" s="5"/>
      <c r="ACY52" s="5"/>
      <c r="ACZ52" s="5"/>
      <c r="ADA52" s="5"/>
      <c r="ADB52" s="5"/>
      <c r="ADC52" s="5"/>
      <c r="ADD52" s="5"/>
      <c r="ADE52" s="5"/>
      <c r="ADF52" s="5"/>
      <c r="ADG52" s="5"/>
      <c r="ADH52" s="5"/>
      <c r="ADI52" s="5"/>
      <c r="ADJ52" s="5"/>
      <c r="ADK52" s="5"/>
      <c r="ADL52" s="5"/>
      <c r="ADM52" s="5"/>
      <c r="ADN52" s="5"/>
      <c r="ADO52" s="5"/>
      <c r="ADP52" s="5"/>
      <c r="ADQ52" s="5"/>
      <c r="ADR52" s="5"/>
      <c r="ADS52" s="5"/>
      <c r="ADT52" s="5"/>
      <c r="ADU52" s="5"/>
      <c r="ADV52" s="5"/>
      <c r="ADW52" s="5"/>
      <c r="ADX52" s="5"/>
      <c r="ADY52" s="5"/>
      <c r="ADZ52" s="5"/>
      <c r="AEA52" s="5"/>
      <c r="AEB52" s="5"/>
      <c r="AEC52" s="5"/>
      <c r="AED52" s="5"/>
      <c r="AEE52" s="5"/>
      <c r="AEF52" s="5"/>
      <c r="AEG52" s="5"/>
      <c r="AEH52" s="5"/>
      <c r="AEI52" s="5"/>
      <c r="AEJ52" s="5"/>
      <c r="AEK52" s="5"/>
      <c r="AEL52" s="5"/>
      <c r="AEM52" s="5"/>
      <c r="AEN52" s="5"/>
      <c r="AEO52" s="5"/>
      <c r="AEP52" s="5"/>
      <c r="AEQ52" s="5"/>
      <c r="AER52" s="5"/>
      <c r="AES52" s="5"/>
      <c r="AET52" s="5"/>
      <c r="AEU52" s="5"/>
      <c r="AEV52" s="5"/>
      <c r="AEW52" s="5"/>
      <c r="AEX52" s="5"/>
      <c r="AEY52" s="5"/>
      <c r="AEZ52" s="5"/>
      <c r="AFA52" s="5"/>
      <c r="AFB52" s="5"/>
      <c r="AFC52" s="5"/>
      <c r="AFD52" s="5"/>
      <c r="AFE52" s="5"/>
      <c r="AFF52" s="5"/>
      <c r="AFG52" s="5"/>
      <c r="AFH52" s="5"/>
      <c r="AFI52" s="5"/>
      <c r="AFJ52" s="5"/>
      <c r="AFK52" s="5"/>
      <c r="AFL52" s="5"/>
      <c r="AFM52" s="5"/>
      <c r="AFN52" s="5"/>
      <c r="AFO52" s="5"/>
      <c r="AFP52" s="5"/>
      <c r="AFQ52" s="5"/>
      <c r="AFR52" s="5"/>
      <c r="AFS52" s="5"/>
      <c r="AFT52" s="5"/>
      <c r="AFU52" s="5"/>
      <c r="AFV52" s="5"/>
      <c r="AFW52" s="5"/>
      <c r="AFX52" s="5"/>
      <c r="AFY52" s="5"/>
      <c r="AFZ52" s="5"/>
      <c r="AGA52" s="5"/>
      <c r="AGB52" s="5"/>
      <c r="AGC52" s="5"/>
      <c r="AGD52" s="5"/>
      <c r="AGE52" s="5"/>
      <c r="AGF52" s="5"/>
      <c r="AGG52" s="5"/>
      <c r="AGH52" s="5"/>
      <c r="AGI52" s="5"/>
      <c r="AGJ52" s="5"/>
      <c r="AGK52" s="5"/>
      <c r="AGL52" s="5"/>
      <c r="AGM52" s="5"/>
      <c r="AGN52" s="5"/>
      <c r="AGO52" s="5"/>
      <c r="AGP52" s="5"/>
      <c r="AGQ52" s="5"/>
      <c r="AGR52" s="5"/>
      <c r="AGS52" s="5"/>
      <c r="AGT52" s="5"/>
      <c r="AGU52" s="5"/>
      <c r="AGV52" s="5"/>
      <c r="AGW52" s="5"/>
      <c r="AGX52" s="5"/>
      <c r="AGY52" s="5"/>
      <c r="AGZ52" s="5"/>
      <c r="AHA52" s="5"/>
      <c r="AHB52" s="5"/>
      <c r="AHC52" s="5"/>
      <c r="AHD52" s="5"/>
      <c r="AHE52" s="5"/>
      <c r="AHF52" s="5"/>
      <c r="AHG52" s="5"/>
      <c r="AHH52" s="5"/>
      <c r="AHI52" s="5"/>
      <c r="AHJ52" s="5"/>
      <c r="AHK52" s="5"/>
      <c r="AHL52" s="5"/>
      <c r="AHM52" s="5"/>
      <c r="AHN52" s="5"/>
      <c r="AHO52" s="5"/>
      <c r="AHP52" s="5"/>
      <c r="AHQ52" s="5"/>
      <c r="AHR52" s="5"/>
      <c r="AHS52" s="5"/>
      <c r="AHT52" s="5"/>
      <c r="AHU52" s="5"/>
      <c r="AHV52" s="5"/>
      <c r="AHW52" s="5"/>
      <c r="AHX52" s="5"/>
      <c r="AHY52" s="5"/>
      <c r="AHZ52" s="5"/>
      <c r="AIA52" s="5"/>
      <c r="AIB52" s="5"/>
      <c r="AIC52" s="5"/>
      <c r="AID52" s="5"/>
      <c r="AIE52" s="5"/>
      <c r="AIF52" s="5"/>
      <c r="AIG52" s="5"/>
      <c r="AIH52" s="5"/>
      <c r="AII52" s="5"/>
      <c r="AIJ52" s="5"/>
      <c r="AIK52" s="5"/>
      <c r="AIL52" s="5"/>
      <c r="AIM52" s="5"/>
      <c r="AIN52" s="5"/>
      <c r="AIO52" s="5"/>
      <c r="AIP52" s="5"/>
      <c r="AIQ52" s="5"/>
      <c r="AIR52" s="5"/>
      <c r="AIS52" s="5"/>
      <c r="AIT52" s="5"/>
      <c r="AIU52" s="5"/>
      <c r="AIV52" s="5"/>
      <c r="AIW52" s="5"/>
      <c r="AIX52" s="5"/>
      <c r="AIY52" s="5"/>
      <c r="AIZ52" s="5"/>
      <c r="AJA52" s="5"/>
      <c r="AJB52" s="5"/>
      <c r="AJC52" s="5"/>
      <c r="AJD52" s="5"/>
      <c r="AJE52" s="5"/>
      <c r="AJF52" s="5"/>
      <c r="AJG52" s="5"/>
      <c r="AJH52" s="5"/>
      <c r="AJI52" s="5"/>
      <c r="AJJ52" s="5"/>
      <c r="AJK52" s="5"/>
      <c r="AJL52" s="5"/>
      <c r="AJM52" s="5"/>
      <c r="AJN52" s="5"/>
      <c r="AJO52" s="5"/>
      <c r="AJP52" s="5"/>
      <c r="AJQ52" s="5"/>
      <c r="AJR52" s="5"/>
      <c r="AJS52" s="5"/>
      <c r="AJT52" s="5"/>
      <c r="AJU52" s="5"/>
      <c r="AJV52" s="5"/>
      <c r="AJW52" s="5"/>
      <c r="AJX52" s="5"/>
      <c r="AJY52" s="5"/>
      <c r="AJZ52" s="5"/>
      <c r="AKA52" s="5"/>
      <c r="AKB52" s="5"/>
      <c r="AKC52" s="5"/>
      <c r="AKD52" s="5"/>
      <c r="AKE52" s="5"/>
      <c r="AKF52" s="5"/>
      <c r="AKG52" s="5"/>
      <c r="AKH52" s="5"/>
      <c r="AKI52" s="5"/>
      <c r="AKJ52" s="5"/>
      <c r="AKK52" s="5"/>
      <c r="AKL52" s="5"/>
      <c r="AKM52" s="5"/>
      <c r="AKN52" s="5"/>
      <c r="AKO52" s="5"/>
      <c r="AKP52" s="5"/>
      <c r="AKQ52" s="5"/>
      <c r="AKR52" s="5"/>
      <c r="AKS52" s="5"/>
      <c r="AKT52" s="5"/>
      <c r="AKU52" s="5"/>
      <c r="AKV52" s="5"/>
      <c r="AKW52" s="5"/>
      <c r="AKX52" s="5"/>
      <c r="AKY52" s="5"/>
      <c r="AKZ52" s="5"/>
      <c r="ALA52" s="5"/>
      <c r="ALB52" s="5"/>
      <c r="ALC52" s="5"/>
      <c r="ALD52" s="5"/>
      <c r="ALE52" s="5"/>
      <c r="ALF52" s="5"/>
      <c r="ALG52" s="5"/>
      <c r="ALH52" s="5"/>
      <c r="ALI52" s="5"/>
      <c r="ALJ52" s="5"/>
      <c r="ALK52" s="5"/>
      <c r="ALL52" s="5"/>
      <c r="ALM52" s="5"/>
      <c r="ALN52" s="5"/>
      <c r="ALO52" s="5"/>
      <c r="ALP52" s="5"/>
    </row>
    <row r="53" spans="1:1004" s="4" customFormat="1" ht="25.5" customHeight="1">
      <c r="A53" s="6">
        <v>52</v>
      </c>
      <c r="B53" s="8" t="s">
        <v>306</v>
      </c>
      <c r="C53" s="78" t="s">
        <v>307</v>
      </c>
      <c r="D53" s="8" t="s">
        <v>229</v>
      </c>
      <c r="E53" s="8" t="s">
        <v>394</v>
      </c>
      <c r="F53" s="78" t="s">
        <v>308</v>
      </c>
      <c r="G53" s="5">
        <v>45</v>
      </c>
      <c r="H53" s="5">
        <v>26</v>
      </c>
      <c r="I53" s="5">
        <v>17</v>
      </c>
      <c r="J53" s="5">
        <v>28</v>
      </c>
      <c r="K53" s="5">
        <v>26</v>
      </c>
      <c r="L53" s="5">
        <v>28</v>
      </c>
      <c r="M53" s="5">
        <v>71</v>
      </c>
      <c r="N53" s="5">
        <v>40</v>
      </c>
      <c r="O53" s="5">
        <v>89</v>
      </c>
      <c r="P53" s="5">
        <v>113</v>
      </c>
      <c r="Q53" s="5">
        <v>67</v>
      </c>
      <c r="R53" s="5">
        <v>35</v>
      </c>
      <c r="S53" s="5">
        <v>25</v>
      </c>
      <c r="T53" s="5">
        <v>19</v>
      </c>
      <c r="U53" s="5">
        <v>99</v>
      </c>
      <c r="V53" s="5">
        <v>2</v>
      </c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  <c r="AAA53" s="5"/>
      <c r="AAB53" s="5"/>
      <c r="AAC53" s="5"/>
      <c r="AAD53" s="5"/>
      <c r="AAE53" s="5"/>
      <c r="AAF53" s="5"/>
      <c r="AAG53" s="5"/>
      <c r="AAH53" s="5"/>
      <c r="AAI53" s="5"/>
      <c r="AAJ53" s="5"/>
      <c r="AAK53" s="5"/>
      <c r="AAL53" s="5"/>
      <c r="AAM53" s="5"/>
      <c r="AAN53" s="5"/>
      <c r="AAO53" s="5"/>
      <c r="AAP53" s="5"/>
      <c r="AAQ53" s="5"/>
      <c r="AAR53" s="5"/>
      <c r="AAS53" s="5"/>
      <c r="AAT53" s="5"/>
      <c r="AAU53" s="5"/>
      <c r="AAV53" s="5"/>
      <c r="AAW53" s="5"/>
      <c r="AAX53" s="5"/>
      <c r="AAY53" s="5"/>
      <c r="AAZ53" s="5"/>
      <c r="ABA53" s="5"/>
      <c r="ABB53" s="5"/>
      <c r="ABC53" s="5"/>
      <c r="ABD53" s="5"/>
      <c r="ABE53" s="5"/>
      <c r="ABF53" s="5"/>
      <c r="ABG53" s="5"/>
      <c r="ABH53" s="5"/>
      <c r="ABI53" s="5"/>
      <c r="ABJ53" s="5"/>
      <c r="ABK53" s="5"/>
      <c r="ABL53" s="5"/>
      <c r="ABM53" s="5"/>
      <c r="ABN53" s="5"/>
      <c r="ABO53" s="5"/>
      <c r="ABP53" s="5"/>
      <c r="ABQ53" s="5"/>
      <c r="ABR53" s="5"/>
      <c r="ABS53" s="5"/>
      <c r="ABT53" s="5"/>
      <c r="ABU53" s="5"/>
      <c r="ABV53" s="5"/>
      <c r="ABW53" s="5"/>
      <c r="ABX53" s="5"/>
      <c r="ABY53" s="5"/>
      <c r="ABZ53" s="5"/>
      <c r="ACA53" s="5"/>
      <c r="ACB53" s="5"/>
      <c r="ACC53" s="5"/>
      <c r="ACD53" s="5"/>
      <c r="ACE53" s="5"/>
      <c r="ACF53" s="5"/>
      <c r="ACG53" s="5"/>
      <c r="ACH53" s="5"/>
      <c r="ACI53" s="5"/>
      <c r="ACJ53" s="5"/>
      <c r="ACK53" s="5"/>
      <c r="ACL53" s="5"/>
      <c r="ACM53" s="5"/>
      <c r="ACN53" s="5"/>
      <c r="ACO53" s="5"/>
      <c r="ACP53" s="5"/>
      <c r="ACQ53" s="5"/>
      <c r="ACR53" s="5"/>
      <c r="ACS53" s="5"/>
      <c r="ACT53" s="5"/>
      <c r="ACU53" s="5"/>
      <c r="ACV53" s="5"/>
      <c r="ACW53" s="5"/>
      <c r="ACX53" s="5"/>
      <c r="ACY53" s="5"/>
      <c r="ACZ53" s="5"/>
      <c r="ADA53" s="5"/>
      <c r="ADB53" s="5"/>
      <c r="ADC53" s="5"/>
      <c r="ADD53" s="5"/>
      <c r="ADE53" s="5"/>
      <c r="ADF53" s="5"/>
      <c r="ADG53" s="5"/>
      <c r="ADH53" s="5"/>
      <c r="ADI53" s="5"/>
      <c r="ADJ53" s="5"/>
      <c r="ADK53" s="5"/>
      <c r="ADL53" s="5"/>
      <c r="ADM53" s="5"/>
      <c r="ADN53" s="5"/>
      <c r="ADO53" s="5"/>
      <c r="ADP53" s="5"/>
      <c r="ADQ53" s="5"/>
      <c r="ADR53" s="5"/>
      <c r="ADS53" s="5"/>
      <c r="ADT53" s="5"/>
      <c r="ADU53" s="5"/>
      <c r="ADV53" s="5"/>
      <c r="ADW53" s="5"/>
      <c r="ADX53" s="5"/>
      <c r="ADY53" s="5"/>
      <c r="ADZ53" s="5"/>
      <c r="AEA53" s="5"/>
      <c r="AEB53" s="5"/>
      <c r="AEC53" s="5"/>
      <c r="AED53" s="5"/>
      <c r="AEE53" s="5"/>
      <c r="AEF53" s="5"/>
      <c r="AEG53" s="5"/>
      <c r="AEH53" s="5"/>
      <c r="AEI53" s="5"/>
      <c r="AEJ53" s="5"/>
      <c r="AEK53" s="5"/>
      <c r="AEL53" s="5"/>
      <c r="AEM53" s="5"/>
      <c r="AEN53" s="5"/>
      <c r="AEO53" s="5"/>
      <c r="AEP53" s="5"/>
      <c r="AEQ53" s="5"/>
      <c r="AER53" s="5"/>
      <c r="AES53" s="5"/>
      <c r="AET53" s="5"/>
      <c r="AEU53" s="5"/>
      <c r="AEV53" s="5"/>
      <c r="AEW53" s="5"/>
      <c r="AEX53" s="5"/>
      <c r="AEY53" s="5"/>
      <c r="AEZ53" s="5"/>
      <c r="AFA53" s="5"/>
      <c r="AFB53" s="5"/>
      <c r="AFC53" s="5"/>
      <c r="AFD53" s="5"/>
      <c r="AFE53" s="5"/>
      <c r="AFF53" s="5"/>
      <c r="AFG53" s="5"/>
      <c r="AFH53" s="5"/>
      <c r="AFI53" s="5"/>
      <c r="AFJ53" s="5"/>
      <c r="AFK53" s="5"/>
      <c r="AFL53" s="5"/>
      <c r="AFM53" s="5"/>
      <c r="AFN53" s="5"/>
      <c r="AFO53" s="5"/>
      <c r="AFP53" s="5"/>
      <c r="AFQ53" s="5"/>
      <c r="AFR53" s="5"/>
      <c r="AFS53" s="5"/>
      <c r="AFT53" s="5"/>
      <c r="AFU53" s="5"/>
      <c r="AFV53" s="5"/>
      <c r="AFW53" s="5"/>
      <c r="AFX53" s="5"/>
      <c r="AFY53" s="5"/>
      <c r="AFZ53" s="5"/>
      <c r="AGA53" s="5"/>
      <c r="AGB53" s="5"/>
      <c r="AGC53" s="5"/>
      <c r="AGD53" s="5"/>
      <c r="AGE53" s="5"/>
      <c r="AGF53" s="5"/>
      <c r="AGG53" s="5"/>
      <c r="AGH53" s="5"/>
      <c r="AGI53" s="5"/>
      <c r="AGJ53" s="5"/>
      <c r="AGK53" s="5"/>
      <c r="AGL53" s="5"/>
      <c r="AGM53" s="5"/>
      <c r="AGN53" s="5"/>
      <c r="AGO53" s="5"/>
      <c r="AGP53" s="5"/>
      <c r="AGQ53" s="5"/>
      <c r="AGR53" s="5"/>
      <c r="AGS53" s="5"/>
      <c r="AGT53" s="5"/>
      <c r="AGU53" s="5"/>
      <c r="AGV53" s="5"/>
      <c r="AGW53" s="5"/>
      <c r="AGX53" s="5"/>
      <c r="AGY53" s="5"/>
      <c r="AGZ53" s="5"/>
      <c r="AHA53" s="5"/>
      <c r="AHB53" s="5"/>
      <c r="AHC53" s="5"/>
      <c r="AHD53" s="5"/>
      <c r="AHE53" s="5"/>
      <c r="AHF53" s="5"/>
      <c r="AHG53" s="5"/>
      <c r="AHH53" s="5"/>
      <c r="AHI53" s="5"/>
      <c r="AHJ53" s="5"/>
      <c r="AHK53" s="5"/>
      <c r="AHL53" s="5"/>
      <c r="AHM53" s="5"/>
      <c r="AHN53" s="5"/>
      <c r="AHO53" s="5"/>
      <c r="AHP53" s="5"/>
      <c r="AHQ53" s="5"/>
      <c r="AHR53" s="5"/>
      <c r="AHS53" s="5"/>
      <c r="AHT53" s="5"/>
      <c r="AHU53" s="5"/>
      <c r="AHV53" s="5"/>
      <c r="AHW53" s="5"/>
      <c r="AHX53" s="5"/>
      <c r="AHY53" s="5"/>
      <c r="AHZ53" s="5"/>
      <c r="AIA53" s="5"/>
      <c r="AIB53" s="5"/>
      <c r="AIC53" s="5"/>
      <c r="AID53" s="5"/>
      <c r="AIE53" s="5"/>
      <c r="AIF53" s="5"/>
      <c r="AIG53" s="5"/>
      <c r="AIH53" s="5"/>
      <c r="AII53" s="5"/>
      <c r="AIJ53" s="5"/>
      <c r="AIK53" s="5"/>
      <c r="AIL53" s="5"/>
      <c r="AIM53" s="5"/>
      <c r="AIN53" s="5"/>
      <c r="AIO53" s="5"/>
      <c r="AIP53" s="5"/>
      <c r="AIQ53" s="5"/>
      <c r="AIR53" s="5"/>
      <c r="AIS53" s="5"/>
      <c r="AIT53" s="5"/>
      <c r="AIU53" s="5"/>
      <c r="AIV53" s="5"/>
      <c r="AIW53" s="5"/>
      <c r="AIX53" s="5"/>
      <c r="AIY53" s="5"/>
      <c r="AIZ53" s="5"/>
      <c r="AJA53" s="5"/>
      <c r="AJB53" s="5"/>
      <c r="AJC53" s="5"/>
      <c r="AJD53" s="5"/>
      <c r="AJE53" s="5"/>
      <c r="AJF53" s="5"/>
      <c r="AJG53" s="5"/>
      <c r="AJH53" s="5"/>
      <c r="AJI53" s="5"/>
      <c r="AJJ53" s="5"/>
      <c r="AJK53" s="5"/>
      <c r="AJL53" s="5"/>
      <c r="AJM53" s="5"/>
      <c r="AJN53" s="5"/>
      <c r="AJO53" s="5"/>
      <c r="AJP53" s="5"/>
      <c r="AJQ53" s="5"/>
      <c r="AJR53" s="5"/>
      <c r="AJS53" s="5"/>
      <c r="AJT53" s="5"/>
      <c r="AJU53" s="5"/>
      <c r="AJV53" s="5"/>
      <c r="AJW53" s="5"/>
      <c r="AJX53" s="5"/>
      <c r="AJY53" s="5"/>
      <c r="AJZ53" s="5"/>
      <c r="AKA53" s="5"/>
      <c r="AKB53" s="5"/>
      <c r="AKC53" s="5"/>
      <c r="AKD53" s="5"/>
      <c r="AKE53" s="5"/>
      <c r="AKF53" s="5"/>
      <c r="AKG53" s="5"/>
      <c r="AKH53" s="5"/>
      <c r="AKI53" s="5"/>
      <c r="AKJ53" s="5"/>
      <c r="AKK53" s="5"/>
      <c r="AKL53" s="5"/>
      <c r="AKM53" s="5"/>
      <c r="AKN53" s="5"/>
      <c r="AKO53" s="5"/>
      <c r="AKP53" s="5"/>
      <c r="AKQ53" s="5"/>
      <c r="AKR53" s="5"/>
      <c r="AKS53" s="5"/>
      <c r="AKT53" s="5"/>
      <c r="AKU53" s="5"/>
      <c r="AKV53" s="5"/>
      <c r="AKW53" s="5"/>
      <c r="AKX53" s="5"/>
      <c r="AKY53" s="5"/>
      <c r="AKZ53" s="5"/>
      <c r="ALA53" s="5"/>
      <c r="ALB53" s="5"/>
      <c r="ALC53" s="5"/>
      <c r="ALD53" s="5"/>
      <c r="ALE53" s="5"/>
      <c r="ALF53" s="5"/>
      <c r="ALG53" s="5"/>
      <c r="ALH53" s="5"/>
      <c r="ALI53" s="5"/>
      <c r="ALJ53" s="5"/>
      <c r="ALK53" s="5"/>
      <c r="ALL53" s="5"/>
      <c r="ALM53" s="5"/>
      <c r="ALN53" s="5"/>
      <c r="ALO53" s="5"/>
      <c r="ALP53" s="5"/>
    </row>
    <row r="54" spans="1:1004" s="4" customFormat="1" ht="25.5" customHeight="1">
      <c r="A54" s="6">
        <v>53</v>
      </c>
      <c r="B54" s="8" t="s">
        <v>309</v>
      </c>
      <c r="C54" s="78" t="s">
        <v>310</v>
      </c>
      <c r="D54" s="8" t="s">
        <v>229</v>
      </c>
      <c r="E54" s="8" t="s">
        <v>394</v>
      </c>
      <c r="F54" s="78" t="s">
        <v>311</v>
      </c>
      <c r="G54" s="5">
        <v>42</v>
      </c>
      <c r="H54" s="5">
        <v>24</v>
      </c>
      <c r="I54" s="5">
        <v>17</v>
      </c>
      <c r="J54" s="5">
        <v>27.5</v>
      </c>
      <c r="K54" s="5">
        <v>26</v>
      </c>
      <c r="L54" s="5">
        <v>27.5</v>
      </c>
      <c r="M54" s="5">
        <v>71</v>
      </c>
      <c r="N54" s="5">
        <v>39</v>
      </c>
      <c r="O54" s="5">
        <v>87</v>
      </c>
      <c r="P54" s="5">
        <v>106</v>
      </c>
      <c r="Q54" s="5">
        <v>67</v>
      </c>
      <c r="R54" s="5">
        <v>34</v>
      </c>
      <c r="S54" s="5">
        <v>24</v>
      </c>
      <c r="T54" s="5">
        <v>18</v>
      </c>
      <c r="U54" s="5">
        <v>95</v>
      </c>
      <c r="V54" s="5">
        <v>2</v>
      </c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  <c r="AAA54" s="5"/>
      <c r="AAB54" s="5"/>
      <c r="AAC54" s="5"/>
      <c r="AAD54" s="5"/>
      <c r="AAE54" s="5"/>
      <c r="AAF54" s="5"/>
      <c r="AAG54" s="5"/>
      <c r="AAH54" s="5"/>
      <c r="AAI54" s="5"/>
      <c r="AAJ54" s="5"/>
      <c r="AAK54" s="5"/>
      <c r="AAL54" s="5"/>
      <c r="AAM54" s="5"/>
      <c r="AAN54" s="5"/>
      <c r="AAO54" s="5"/>
      <c r="AAP54" s="5"/>
      <c r="AAQ54" s="5"/>
      <c r="AAR54" s="5"/>
      <c r="AAS54" s="5"/>
      <c r="AAT54" s="5"/>
      <c r="AAU54" s="5"/>
      <c r="AAV54" s="5"/>
      <c r="AAW54" s="5"/>
      <c r="AAX54" s="5"/>
      <c r="AAY54" s="5"/>
      <c r="AAZ54" s="5"/>
      <c r="ABA54" s="5"/>
      <c r="ABB54" s="5"/>
      <c r="ABC54" s="5"/>
      <c r="ABD54" s="5"/>
      <c r="ABE54" s="5"/>
      <c r="ABF54" s="5"/>
      <c r="ABG54" s="5"/>
      <c r="ABH54" s="5"/>
      <c r="ABI54" s="5"/>
      <c r="ABJ54" s="5"/>
      <c r="ABK54" s="5"/>
      <c r="ABL54" s="5"/>
      <c r="ABM54" s="5"/>
      <c r="ABN54" s="5"/>
      <c r="ABO54" s="5"/>
      <c r="ABP54" s="5"/>
      <c r="ABQ54" s="5"/>
      <c r="ABR54" s="5"/>
      <c r="ABS54" s="5"/>
      <c r="ABT54" s="5"/>
      <c r="ABU54" s="5"/>
      <c r="ABV54" s="5"/>
      <c r="ABW54" s="5"/>
      <c r="ABX54" s="5"/>
      <c r="ABY54" s="5"/>
      <c r="ABZ54" s="5"/>
      <c r="ACA54" s="5"/>
      <c r="ACB54" s="5"/>
      <c r="ACC54" s="5"/>
      <c r="ACD54" s="5"/>
      <c r="ACE54" s="5"/>
      <c r="ACF54" s="5"/>
      <c r="ACG54" s="5"/>
      <c r="ACH54" s="5"/>
      <c r="ACI54" s="5"/>
      <c r="ACJ54" s="5"/>
      <c r="ACK54" s="5"/>
      <c r="ACL54" s="5"/>
      <c r="ACM54" s="5"/>
      <c r="ACN54" s="5"/>
      <c r="ACO54" s="5"/>
      <c r="ACP54" s="5"/>
      <c r="ACQ54" s="5"/>
      <c r="ACR54" s="5"/>
      <c r="ACS54" s="5"/>
      <c r="ACT54" s="5"/>
      <c r="ACU54" s="5"/>
      <c r="ACV54" s="5"/>
      <c r="ACW54" s="5"/>
      <c r="ACX54" s="5"/>
      <c r="ACY54" s="5"/>
      <c r="ACZ54" s="5"/>
      <c r="ADA54" s="5"/>
      <c r="ADB54" s="5"/>
      <c r="ADC54" s="5"/>
      <c r="ADD54" s="5"/>
      <c r="ADE54" s="5"/>
      <c r="ADF54" s="5"/>
      <c r="ADG54" s="5"/>
      <c r="ADH54" s="5"/>
      <c r="ADI54" s="5"/>
      <c r="ADJ54" s="5"/>
      <c r="ADK54" s="5"/>
      <c r="ADL54" s="5"/>
      <c r="ADM54" s="5"/>
      <c r="ADN54" s="5"/>
      <c r="ADO54" s="5"/>
      <c r="ADP54" s="5"/>
      <c r="ADQ54" s="5"/>
      <c r="ADR54" s="5"/>
      <c r="ADS54" s="5"/>
      <c r="ADT54" s="5"/>
      <c r="ADU54" s="5"/>
      <c r="ADV54" s="5"/>
      <c r="ADW54" s="5"/>
      <c r="ADX54" s="5"/>
      <c r="ADY54" s="5"/>
      <c r="ADZ54" s="5"/>
      <c r="AEA54" s="5"/>
      <c r="AEB54" s="5"/>
      <c r="AEC54" s="5"/>
      <c r="AED54" s="5"/>
      <c r="AEE54" s="5"/>
      <c r="AEF54" s="5"/>
      <c r="AEG54" s="5"/>
      <c r="AEH54" s="5"/>
      <c r="AEI54" s="5"/>
      <c r="AEJ54" s="5"/>
      <c r="AEK54" s="5"/>
      <c r="AEL54" s="5"/>
      <c r="AEM54" s="5"/>
      <c r="AEN54" s="5"/>
      <c r="AEO54" s="5"/>
      <c r="AEP54" s="5"/>
      <c r="AEQ54" s="5"/>
      <c r="AER54" s="5"/>
      <c r="AES54" s="5"/>
      <c r="AET54" s="5"/>
      <c r="AEU54" s="5"/>
      <c r="AEV54" s="5"/>
      <c r="AEW54" s="5"/>
      <c r="AEX54" s="5"/>
      <c r="AEY54" s="5"/>
      <c r="AEZ54" s="5"/>
      <c r="AFA54" s="5"/>
      <c r="AFB54" s="5"/>
      <c r="AFC54" s="5"/>
      <c r="AFD54" s="5"/>
      <c r="AFE54" s="5"/>
      <c r="AFF54" s="5"/>
      <c r="AFG54" s="5"/>
      <c r="AFH54" s="5"/>
      <c r="AFI54" s="5"/>
      <c r="AFJ54" s="5"/>
      <c r="AFK54" s="5"/>
      <c r="AFL54" s="5"/>
      <c r="AFM54" s="5"/>
      <c r="AFN54" s="5"/>
      <c r="AFO54" s="5"/>
      <c r="AFP54" s="5"/>
      <c r="AFQ54" s="5"/>
      <c r="AFR54" s="5"/>
      <c r="AFS54" s="5"/>
      <c r="AFT54" s="5"/>
      <c r="AFU54" s="5"/>
      <c r="AFV54" s="5"/>
      <c r="AFW54" s="5"/>
      <c r="AFX54" s="5"/>
      <c r="AFY54" s="5"/>
      <c r="AFZ54" s="5"/>
      <c r="AGA54" s="5"/>
      <c r="AGB54" s="5"/>
      <c r="AGC54" s="5"/>
      <c r="AGD54" s="5"/>
      <c r="AGE54" s="5"/>
      <c r="AGF54" s="5"/>
      <c r="AGG54" s="5"/>
      <c r="AGH54" s="5"/>
      <c r="AGI54" s="5"/>
      <c r="AGJ54" s="5"/>
      <c r="AGK54" s="5"/>
      <c r="AGL54" s="5"/>
      <c r="AGM54" s="5"/>
      <c r="AGN54" s="5"/>
      <c r="AGO54" s="5"/>
      <c r="AGP54" s="5"/>
      <c r="AGQ54" s="5"/>
      <c r="AGR54" s="5"/>
      <c r="AGS54" s="5"/>
      <c r="AGT54" s="5"/>
      <c r="AGU54" s="5"/>
      <c r="AGV54" s="5"/>
      <c r="AGW54" s="5"/>
      <c r="AGX54" s="5"/>
      <c r="AGY54" s="5"/>
      <c r="AGZ54" s="5"/>
      <c r="AHA54" s="5"/>
      <c r="AHB54" s="5"/>
      <c r="AHC54" s="5"/>
      <c r="AHD54" s="5"/>
      <c r="AHE54" s="5"/>
      <c r="AHF54" s="5"/>
      <c r="AHG54" s="5"/>
      <c r="AHH54" s="5"/>
      <c r="AHI54" s="5"/>
      <c r="AHJ54" s="5"/>
      <c r="AHK54" s="5"/>
      <c r="AHL54" s="5"/>
      <c r="AHM54" s="5"/>
      <c r="AHN54" s="5"/>
      <c r="AHO54" s="5"/>
      <c r="AHP54" s="5"/>
      <c r="AHQ54" s="5"/>
      <c r="AHR54" s="5"/>
      <c r="AHS54" s="5"/>
      <c r="AHT54" s="5"/>
      <c r="AHU54" s="5"/>
      <c r="AHV54" s="5"/>
      <c r="AHW54" s="5"/>
      <c r="AHX54" s="5"/>
      <c r="AHY54" s="5"/>
      <c r="AHZ54" s="5"/>
      <c r="AIA54" s="5"/>
      <c r="AIB54" s="5"/>
      <c r="AIC54" s="5"/>
      <c r="AID54" s="5"/>
      <c r="AIE54" s="5"/>
      <c r="AIF54" s="5"/>
      <c r="AIG54" s="5"/>
      <c r="AIH54" s="5"/>
      <c r="AII54" s="5"/>
      <c r="AIJ54" s="5"/>
      <c r="AIK54" s="5"/>
      <c r="AIL54" s="5"/>
      <c r="AIM54" s="5"/>
      <c r="AIN54" s="5"/>
      <c r="AIO54" s="5"/>
      <c r="AIP54" s="5"/>
      <c r="AIQ54" s="5"/>
      <c r="AIR54" s="5"/>
      <c r="AIS54" s="5"/>
      <c r="AIT54" s="5"/>
      <c r="AIU54" s="5"/>
      <c r="AIV54" s="5"/>
      <c r="AIW54" s="5"/>
      <c r="AIX54" s="5"/>
      <c r="AIY54" s="5"/>
      <c r="AIZ54" s="5"/>
      <c r="AJA54" s="5"/>
      <c r="AJB54" s="5"/>
      <c r="AJC54" s="5"/>
      <c r="AJD54" s="5"/>
      <c r="AJE54" s="5"/>
      <c r="AJF54" s="5"/>
      <c r="AJG54" s="5"/>
      <c r="AJH54" s="5"/>
      <c r="AJI54" s="5"/>
      <c r="AJJ54" s="5"/>
      <c r="AJK54" s="5"/>
      <c r="AJL54" s="5"/>
      <c r="AJM54" s="5"/>
      <c r="AJN54" s="5"/>
      <c r="AJO54" s="5"/>
      <c r="AJP54" s="5"/>
      <c r="AJQ54" s="5"/>
      <c r="AJR54" s="5"/>
      <c r="AJS54" s="5"/>
      <c r="AJT54" s="5"/>
      <c r="AJU54" s="5"/>
      <c r="AJV54" s="5"/>
      <c r="AJW54" s="5"/>
      <c r="AJX54" s="5"/>
      <c r="AJY54" s="5"/>
      <c r="AJZ54" s="5"/>
      <c r="AKA54" s="5"/>
      <c r="AKB54" s="5"/>
      <c r="AKC54" s="5"/>
      <c r="AKD54" s="5"/>
      <c r="AKE54" s="5"/>
      <c r="AKF54" s="5"/>
      <c r="AKG54" s="5"/>
      <c r="AKH54" s="5"/>
      <c r="AKI54" s="5"/>
      <c r="AKJ54" s="5"/>
      <c r="AKK54" s="5"/>
      <c r="AKL54" s="5"/>
      <c r="AKM54" s="5"/>
      <c r="AKN54" s="5"/>
      <c r="AKO54" s="5"/>
      <c r="AKP54" s="5"/>
      <c r="AKQ54" s="5"/>
      <c r="AKR54" s="5"/>
      <c r="AKS54" s="5"/>
      <c r="AKT54" s="5"/>
      <c r="AKU54" s="5"/>
      <c r="AKV54" s="5"/>
      <c r="AKW54" s="5"/>
      <c r="AKX54" s="5"/>
      <c r="AKY54" s="5"/>
      <c r="AKZ54" s="5"/>
      <c r="ALA54" s="5"/>
      <c r="ALB54" s="5"/>
      <c r="ALC54" s="5"/>
      <c r="ALD54" s="5"/>
      <c r="ALE54" s="5"/>
      <c r="ALF54" s="5"/>
      <c r="ALG54" s="5"/>
      <c r="ALH54" s="5"/>
      <c r="ALI54" s="5"/>
      <c r="ALJ54" s="5"/>
      <c r="ALK54" s="5"/>
      <c r="ALL54" s="5"/>
      <c r="ALM54" s="5"/>
      <c r="ALN54" s="5"/>
      <c r="ALO54" s="5"/>
      <c r="ALP54" s="5"/>
    </row>
    <row r="55" spans="1:1004" s="4" customFormat="1" ht="25.5" customHeight="1">
      <c r="A55" s="6">
        <v>54</v>
      </c>
      <c r="B55" s="8" t="s">
        <v>318</v>
      </c>
      <c r="C55" s="78" t="s">
        <v>319</v>
      </c>
      <c r="D55" s="8" t="s">
        <v>229</v>
      </c>
      <c r="E55" s="8"/>
      <c r="F55" s="78" t="s">
        <v>320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  <c r="AAA55" s="5"/>
      <c r="AAB55" s="5"/>
      <c r="AAC55" s="5"/>
      <c r="AAD55" s="5"/>
      <c r="AAE55" s="5"/>
      <c r="AAF55" s="5"/>
      <c r="AAG55" s="5"/>
      <c r="AAH55" s="5"/>
      <c r="AAI55" s="5"/>
      <c r="AAJ55" s="5"/>
      <c r="AAK55" s="5"/>
      <c r="AAL55" s="5"/>
      <c r="AAM55" s="5"/>
      <c r="AAN55" s="5"/>
      <c r="AAO55" s="5"/>
      <c r="AAP55" s="5"/>
      <c r="AAQ55" s="5"/>
      <c r="AAR55" s="5"/>
      <c r="AAS55" s="5"/>
      <c r="AAT55" s="5"/>
      <c r="AAU55" s="5"/>
      <c r="AAV55" s="5"/>
      <c r="AAW55" s="5"/>
      <c r="AAX55" s="5"/>
      <c r="AAY55" s="5"/>
      <c r="AAZ55" s="5"/>
      <c r="ABA55" s="5"/>
      <c r="ABB55" s="5"/>
      <c r="ABC55" s="5"/>
      <c r="ABD55" s="5"/>
      <c r="ABE55" s="5"/>
      <c r="ABF55" s="5"/>
      <c r="ABG55" s="5"/>
      <c r="ABH55" s="5"/>
      <c r="ABI55" s="5"/>
      <c r="ABJ55" s="5"/>
      <c r="ABK55" s="5"/>
      <c r="ABL55" s="5"/>
      <c r="ABM55" s="5"/>
      <c r="ABN55" s="5"/>
      <c r="ABO55" s="5"/>
      <c r="ABP55" s="5"/>
      <c r="ABQ55" s="5"/>
      <c r="ABR55" s="5"/>
      <c r="ABS55" s="5"/>
      <c r="ABT55" s="5"/>
      <c r="ABU55" s="5"/>
      <c r="ABV55" s="5"/>
      <c r="ABW55" s="5"/>
      <c r="ABX55" s="5"/>
      <c r="ABY55" s="5"/>
      <c r="ABZ55" s="5"/>
      <c r="ACA55" s="5"/>
      <c r="ACB55" s="5"/>
      <c r="ACC55" s="5"/>
      <c r="ACD55" s="5"/>
      <c r="ACE55" s="5"/>
      <c r="ACF55" s="5"/>
      <c r="ACG55" s="5"/>
      <c r="ACH55" s="5"/>
      <c r="ACI55" s="5"/>
      <c r="ACJ55" s="5"/>
      <c r="ACK55" s="5"/>
      <c r="ACL55" s="5"/>
      <c r="ACM55" s="5"/>
      <c r="ACN55" s="5"/>
      <c r="ACO55" s="5"/>
      <c r="ACP55" s="5"/>
      <c r="ACQ55" s="5"/>
      <c r="ACR55" s="5"/>
      <c r="ACS55" s="5"/>
      <c r="ACT55" s="5"/>
      <c r="ACU55" s="5"/>
      <c r="ACV55" s="5"/>
      <c r="ACW55" s="5"/>
      <c r="ACX55" s="5"/>
      <c r="ACY55" s="5"/>
      <c r="ACZ55" s="5"/>
      <c r="ADA55" s="5"/>
      <c r="ADB55" s="5"/>
      <c r="ADC55" s="5"/>
      <c r="ADD55" s="5"/>
      <c r="ADE55" s="5"/>
      <c r="ADF55" s="5"/>
      <c r="ADG55" s="5"/>
      <c r="ADH55" s="5"/>
      <c r="ADI55" s="5"/>
      <c r="ADJ55" s="5"/>
      <c r="ADK55" s="5"/>
      <c r="ADL55" s="5"/>
      <c r="ADM55" s="5"/>
      <c r="ADN55" s="5"/>
      <c r="ADO55" s="5"/>
      <c r="ADP55" s="5"/>
      <c r="ADQ55" s="5"/>
      <c r="ADR55" s="5"/>
      <c r="ADS55" s="5"/>
      <c r="ADT55" s="5"/>
      <c r="ADU55" s="5"/>
      <c r="ADV55" s="5"/>
      <c r="ADW55" s="5"/>
      <c r="ADX55" s="5"/>
      <c r="ADY55" s="5"/>
      <c r="ADZ55" s="5"/>
      <c r="AEA55" s="5"/>
      <c r="AEB55" s="5"/>
      <c r="AEC55" s="5"/>
      <c r="AED55" s="5"/>
      <c r="AEE55" s="5"/>
      <c r="AEF55" s="5"/>
      <c r="AEG55" s="5"/>
      <c r="AEH55" s="5"/>
      <c r="AEI55" s="5"/>
      <c r="AEJ55" s="5"/>
      <c r="AEK55" s="5"/>
      <c r="AEL55" s="5"/>
      <c r="AEM55" s="5"/>
      <c r="AEN55" s="5"/>
      <c r="AEO55" s="5"/>
      <c r="AEP55" s="5"/>
      <c r="AEQ55" s="5"/>
      <c r="AER55" s="5"/>
      <c r="AES55" s="5"/>
      <c r="AET55" s="5"/>
      <c r="AEU55" s="5"/>
      <c r="AEV55" s="5"/>
      <c r="AEW55" s="5"/>
      <c r="AEX55" s="5"/>
      <c r="AEY55" s="5"/>
      <c r="AEZ55" s="5"/>
      <c r="AFA55" s="5"/>
      <c r="AFB55" s="5"/>
      <c r="AFC55" s="5"/>
      <c r="AFD55" s="5"/>
      <c r="AFE55" s="5"/>
      <c r="AFF55" s="5"/>
      <c r="AFG55" s="5"/>
      <c r="AFH55" s="5"/>
      <c r="AFI55" s="5"/>
      <c r="AFJ55" s="5"/>
      <c r="AFK55" s="5"/>
      <c r="AFL55" s="5"/>
      <c r="AFM55" s="5"/>
      <c r="AFN55" s="5"/>
      <c r="AFO55" s="5"/>
      <c r="AFP55" s="5"/>
      <c r="AFQ55" s="5"/>
      <c r="AFR55" s="5"/>
      <c r="AFS55" s="5"/>
      <c r="AFT55" s="5"/>
      <c r="AFU55" s="5"/>
      <c r="AFV55" s="5"/>
      <c r="AFW55" s="5"/>
      <c r="AFX55" s="5"/>
      <c r="AFY55" s="5"/>
      <c r="AFZ55" s="5"/>
      <c r="AGA55" s="5"/>
      <c r="AGB55" s="5"/>
      <c r="AGC55" s="5"/>
      <c r="AGD55" s="5"/>
      <c r="AGE55" s="5"/>
      <c r="AGF55" s="5"/>
      <c r="AGG55" s="5"/>
      <c r="AGH55" s="5"/>
      <c r="AGI55" s="5"/>
      <c r="AGJ55" s="5"/>
      <c r="AGK55" s="5"/>
      <c r="AGL55" s="5"/>
      <c r="AGM55" s="5"/>
      <c r="AGN55" s="5"/>
      <c r="AGO55" s="5"/>
      <c r="AGP55" s="5"/>
      <c r="AGQ55" s="5"/>
      <c r="AGR55" s="5"/>
      <c r="AGS55" s="5"/>
      <c r="AGT55" s="5"/>
      <c r="AGU55" s="5"/>
      <c r="AGV55" s="5"/>
      <c r="AGW55" s="5"/>
      <c r="AGX55" s="5"/>
      <c r="AGY55" s="5"/>
      <c r="AGZ55" s="5"/>
      <c r="AHA55" s="5"/>
      <c r="AHB55" s="5"/>
      <c r="AHC55" s="5"/>
      <c r="AHD55" s="5"/>
      <c r="AHE55" s="5"/>
      <c r="AHF55" s="5"/>
      <c r="AHG55" s="5"/>
      <c r="AHH55" s="5"/>
      <c r="AHI55" s="5"/>
      <c r="AHJ55" s="5"/>
      <c r="AHK55" s="5"/>
      <c r="AHL55" s="5"/>
      <c r="AHM55" s="5"/>
      <c r="AHN55" s="5"/>
      <c r="AHO55" s="5"/>
      <c r="AHP55" s="5"/>
      <c r="AHQ55" s="5"/>
      <c r="AHR55" s="5"/>
      <c r="AHS55" s="5"/>
      <c r="AHT55" s="5"/>
      <c r="AHU55" s="5"/>
      <c r="AHV55" s="5"/>
      <c r="AHW55" s="5"/>
      <c r="AHX55" s="5"/>
      <c r="AHY55" s="5"/>
      <c r="AHZ55" s="5"/>
      <c r="AIA55" s="5"/>
      <c r="AIB55" s="5"/>
      <c r="AIC55" s="5"/>
      <c r="AID55" s="5"/>
      <c r="AIE55" s="5"/>
      <c r="AIF55" s="5"/>
      <c r="AIG55" s="5"/>
      <c r="AIH55" s="5"/>
      <c r="AII55" s="5"/>
      <c r="AIJ55" s="5"/>
      <c r="AIK55" s="5"/>
      <c r="AIL55" s="5"/>
      <c r="AIM55" s="5"/>
      <c r="AIN55" s="5"/>
      <c r="AIO55" s="5"/>
      <c r="AIP55" s="5"/>
      <c r="AIQ55" s="5"/>
      <c r="AIR55" s="5"/>
      <c r="AIS55" s="5"/>
      <c r="AIT55" s="5"/>
      <c r="AIU55" s="5"/>
      <c r="AIV55" s="5"/>
      <c r="AIW55" s="5"/>
      <c r="AIX55" s="5"/>
      <c r="AIY55" s="5"/>
      <c r="AIZ55" s="5"/>
      <c r="AJA55" s="5"/>
      <c r="AJB55" s="5"/>
      <c r="AJC55" s="5"/>
      <c r="AJD55" s="5"/>
      <c r="AJE55" s="5"/>
      <c r="AJF55" s="5"/>
      <c r="AJG55" s="5"/>
      <c r="AJH55" s="5"/>
      <c r="AJI55" s="5"/>
      <c r="AJJ55" s="5"/>
      <c r="AJK55" s="5"/>
      <c r="AJL55" s="5"/>
      <c r="AJM55" s="5"/>
      <c r="AJN55" s="5"/>
      <c r="AJO55" s="5"/>
      <c r="AJP55" s="5"/>
      <c r="AJQ55" s="5"/>
      <c r="AJR55" s="5"/>
      <c r="AJS55" s="5"/>
      <c r="AJT55" s="5"/>
      <c r="AJU55" s="5"/>
      <c r="AJV55" s="5"/>
      <c r="AJW55" s="5"/>
      <c r="AJX55" s="5"/>
      <c r="AJY55" s="5"/>
      <c r="AJZ55" s="5"/>
      <c r="AKA55" s="5"/>
      <c r="AKB55" s="5"/>
      <c r="AKC55" s="5"/>
      <c r="AKD55" s="5"/>
      <c r="AKE55" s="5"/>
      <c r="AKF55" s="5"/>
      <c r="AKG55" s="5"/>
      <c r="AKH55" s="5"/>
      <c r="AKI55" s="5"/>
      <c r="AKJ55" s="5"/>
      <c r="AKK55" s="5"/>
      <c r="AKL55" s="5"/>
      <c r="AKM55" s="5"/>
      <c r="AKN55" s="5"/>
      <c r="AKO55" s="5"/>
      <c r="AKP55" s="5"/>
      <c r="AKQ55" s="5"/>
      <c r="AKR55" s="5"/>
      <c r="AKS55" s="5"/>
      <c r="AKT55" s="5"/>
      <c r="AKU55" s="5"/>
      <c r="AKV55" s="5"/>
      <c r="AKW55" s="5"/>
      <c r="AKX55" s="5"/>
      <c r="AKY55" s="5"/>
      <c r="AKZ55" s="5"/>
      <c r="ALA55" s="5"/>
      <c r="ALB55" s="5"/>
      <c r="ALC55" s="5"/>
      <c r="ALD55" s="5"/>
      <c r="ALE55" s="5"/>
      <c r="ALF55" s="5"/>
      <c r="ALG55" s="5"/>
      <c r="ALH55" s="5"/>
      <c r="ALI55" s="5"/>
      <c r="ALJ55" s="5"/>
      <c r="ALK55" s="5"/>
      <c r="ALL55" s="5"/>
      <c r="ALM55" s="5"/>
      <c r="ALN55" s="5"/>
      <c r="ALO55" s="5"/>
      <c r="ALP55" s="5"/>
    </row>
    <row r="56" spans="1:1004" s="5" customFormat="1" ht="25.5" customHeight="1">
      <c r="A56" s="6">
        <v>55</v>
      </c>
      <c r="B56" s="8" t="s">
        <v>333</v>
      </c>
      <c r="C56" s="78" t="s">
        <v>334</v>
      </c>
      <c r="D56" s="8" t="s">
        <v>229</v>
      </c>
      <c r="E56" s="8" t="s">
        <v>394</v>
      </c>
      <c r="F56" s="78" t="s">
        <v>335</v>
      </c>
      <c r="G56" s="5">
        <v>43</v>
      </c>
      <c r="H56" s="5">
        <v>25</v>
      </c>
      <c r="I56" s="5">
        <v>17</v>
      </c>
      <c r="J56" s="5">
        <v>26</v>
      </c>
      <c r="K56" s="5">
        <v>24</v>
      </c>
      <c r="L56" s="5">
        <v>26</v>
      </c>
      <c r="M56" s="5">
        <v>69</v>
      </c>
      <c r="N56" s="5">
        <v>39</v>
      </c>
      <c r="O56" s="5">
        <v>80</v>
      </c>
      <c r="P56" s="5">
        <v>106</v>
      </c>
      <c r="Q56" s="5">
        <v>68</v>
      </c>
      <c r="R56" s="5">
        <v>33</v>
      </c>
      <c r="S56" s="5">
        <v>24</v>
      </c>
      <c r="T56" s="5">
        <v>19</v>
      </c>
      <c r="U56" s="5">
        <v>100</v>
      </c>
      <c r="V56" s="5">
        <v>2</v>
      </c>
    </row>
    <row r="57" spans="1:1004" s="5" customFormat="1" ht="25.5" customHeight="1">
      <c r="A57" s="6">
        <v>56</v>
      </c>
      <c r="B57" s="8" t="s">
        <v>351</v>
      </c>
      <c r="C57" s="78" t="s">
        <v>352</v>
      </c>
      <c r="D57" s="8" t="s">
        <v>229</v>
      </c>
      <c r="E57" s="8" t="s">
        <v>394</v>
      </c>
      <c r="F57" s="78" t="s">
        <v>353</v>
      </c>
      <c r="G57" s="5">
        <v>44</v>
      </c>
      <c r="H57" s="5">
        <v>23</v>
      </c>
      <c r="I57" s="5">
        <v>16.5</v>
      </c>
      <c r="J57" s="5">
        <v>24</v>
      </c>
      <c r="K57" s="5">
        <v>22</v>
      </c>
      <c r="L57" s="5">
        <v>24</v>
      </c>
      <c r="M57" s="5">
        <v>38</v>
      </c>
      <c r="N57" s="5">
        <v>71</v>
      </c>
      <c r="O57" s="5">
        <v>74</v>
      </c>
      <c r="P57" s="5">
        <v>100</v>
      </c>
      <c r="Q57" s="5">
        <v>67</v>
      </c>
      <c r="R57" s="5">
        <v>31</v>
      </c>
      <c r="S57" s="5">
        <v>25</v>
      </c>
      <c r="T57" s="5">
        <v>19</v>
      </c>
      <c r="U57" s="5">
        <v>100</v>
      </c>
      <c r="V57" s="5">
        <v>4</v>
      </c>
    </row>
    <row r="58" spans="1:1004" s="4" customFormat="1" ht="25.5" customHeight="1">
      <c r="A58" s="6">
        <v>57</v>
      </c>
      <c r="B58" s="8" t="s">
        <v>360</v>
      </c>
      <c r="C58" s="78" t="s">
        <v>361</v>
      </c>
      <c r="D58" s="8" t="s">
        <v>229</v>
      </c>
      <c r="E58" s="8"/>
      <c r="F58" s="78" t="s">
        <v>362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  <c r="AAA58" s="5"/>
      <c r="AAB58" s="5"/>
      <c r="AAC58" s="5"/>
      <c r="AAD58" s="5"/>
      <c r="AAE58" s="5"/>
      <c r="AAF58" s="5"/>
      <c r="AAG58" s="5"/>
      <c r="AAH58" s="5"/>
      <c r="AAI58" s="5"/>
      <c r="AAJ58" s="5"/>
      <c r="AAK58" s="5"/>
      <c r="AAL58" s="5"/>
      <c r="AAM58" s="5"/>
      <c r="AAN58" s="5"/>
      <c r="AAO58" s="5"/>
      <c r="AAP58" s="5"/>
      <c r="AAQ58" s="5"/>
      <c r="AAR58" s="5"/>
      <c r="AAS58" s="5"/>
      <c r="AAT58" s="5"/>
      <c r="AAU58" s="5"/>
      <c r="AAV58" s="5"/>
      <c r="AAW58" s="5"/>
      <c r="AAX58" s="5"/>
      <c r="AAY58" s="5"/>
      <c r="AAZ58" s="5"/>
      <c r="ABA58" s="5"/>
      <c r="ABB58" s="5"/>
      <c r="ABC58" s="5"/>
      <c r="ABD58" s="5"/>
      <c r="ABE58" s="5"/>
      <c r="ABF58" s="5"/>
      <c r="ABG58" s="5"/>
      <c r="ABH58" s="5"/>
      <c r="ABI58" s="5"/>
      <c r="ABJ58" s="5"/>
      <c r="ABK58" s="5"/>
      <c r="ABL58" s="5"/>
      <c r="ABM58" s="5"/>
      <c r="ABN58" s="5"/>
      <c r="ABO58" s="5"/>
      <c r="ABP58" s="5"/>
      <c r="ABQ58" s="5"/>
      <c r="ABR58" s="5"/>
      <c r="ABS58" s="5"/>
      <c r="ABT58" s="5"/>
      <c r="ABU58" s="5"/>
      <c r="ABV58" s="5"/>
      <c r="ABW58" s="5"/>
      <c r="ABX58" s="5"/>
      <c r="ABY58" s="5"/>
      <c r="ABZ58" s="5"/>
      <c r="ACA58" s="5"/>
      <c r="ACB58" s="5"/>
      <c r="ACC58" s="5"/>
      <c r="ACD58" s="5"/>
      <c r="ACE58" s="5"/>
      <c r="ACF58" s="5"/>
      <c r="ACG58" s="5"/>
      <c r="ACH58" s="5"/>
      <c r="ACI58" s="5"/>
      <c r="ACJ58" s="5"/>
      <c r="ACK58" s="5"/>
      <c r="ACL58" s="5"/>
      <c r="ACM58" s="5"/>
      <c r="ACN58" s="5"/>
      <c r="ACO58" s="5"/>
      <c r="ACP58" s="5"/>
      <c r="ACQ58" s="5"/>
      <c r="ACR58" s="5"/>
      <c r="ACS58" s="5"/>
      <c r="ACT58" s="5"/>
      <c r="ACU58" s="5"/>
      <c r="ACV58" s="5"/>
      <c r="ACW58" s="5"/>
      <c r="ACX58" s="5"/>
      <c r="ACY58" s="5"/>
      <c r="ACZ58" s="5"/>
      <c r="ADA58" s="5"/>
      <c r="ADB58" s="5"/>
      <c r="ADC58" s="5"/>
      <c r="ADD58" s="5"/>
      <c r="ADE58" s="5"/>
      <c r="ADF58" s="5"/>
      <c r="ADG58" s="5"/>
      <c r="ADH58" s="5"/>
      <c r="ADI58" s="5"/>
      <c r="ADJ58" s="5"/>
      <c r="ADK58" s="5"/>
      <c r="ADL58" s="5"/>
      <c r="ADM58" s="5"/>
      <c r="ADN58" s="5"/>
      <c r="ADO58" s="5"/>
      <c r="ADP58" s="5"/>
      <c r="ADQ58" s="5"/>
      <c r="ADR58" s="5"/>
      <c r="ADS58" s="5"/>
      <c r="ADT58" s="5"/>
      <c r="ADU58" s="5"/>
      <c r="ADV58" s="5"/>
      <c r="ADW58" s="5"/>
      <c r="ADX58" s="5"/>
      <c r="ADY58" s="5"/>
      <c r="ADZ58" s="5"/>
      <c r="AEA58" s="5"/>
      <c r="AEB58" s="5"/>
      <c r="AEC58" s="5"/>
      <c r="AED58" s="5"/>
      <c r="AEE58" s="5"/>
      <c r="AEF58" s="5"/>
      <c r="AEG58" s="5"/>
      <c r="AEH58" s="5"/>
      <c r="AEI58" s="5"/>
      <c r="AEJ58" s="5"/>
      <c r="AEK58" s="5"/>
      <c r="AEL58" s="5"/>
      <c r="AEM58" s="5"/>
      <c r="AEN58" s="5"/>
      <c r="AEO58" s="5"/>
      <c r="AEP58" s="5"/>
      <c r="AEQ58" s="5"/>
      <c r="AER58" s="5"/>
      <c r="AES58" s="5"/>
      <c r="AET58" s="5"/>
      <c r="AEU58" s="5"/>
      <c r="AEV58" s="5"/>
      <c r="AEW58" s="5"/>
      <c r="AEX58" s="5"/>
      <c r="AEY58" s="5"/>
      <c r="AEZ58" s="5"/>
      <c r="AFA58" s="5"/>
      <c r="AFB58" s="5"/>
      <c r="AFC58" s="5"/>
      <c r="AFD58" s="5"/>
      <c r="AFE58" s="5"/>
      <c r="AFF58" s="5"/>
      <c r="AFG58" s="5"/>
      <c r="AFH58" s="5"/>
      <c r="AFI58" s="5"/>
      <c r="AFJ58" s="5"/>
      <c r="AFK58" s="5"/>
      <c r="AFL58" s="5"/>
      <c r="AFM58" s="5"/>
      <c r="AFN58" s="5"/>
      <c r="AFO58" s="5"/>
      <c r="AFP58" s="5"/>
      <c r="AFQ58" s="5"/>
      <c r="AFR58" s="5"/>
      <c r="AFS58" s="5"/>
      <c r="AFT58" s="5"/>
      <c r="AFU58" s="5"/>
      <c r="AFV58" s="5"/>
      <c r="AFW58" s="5"/>
      <c r="AFX58" s="5"/>
      <c r="AFY58" s="5"/>
      <c r="AFZ58" s="5"/>
      <c r="AGA58" s="5"/>
      <c r="AGB58" s="5"/>
      <c r="AGC58" s="5"/>
      <c r="AGD58" s="5"/>
      <c r="AGE58" s="5"/>
      <c r="AGF58" s="5"/>
      <c r="AGG58" s="5"/>
      <c r="AGH58" s="5"/>
      <c r="AGI58" s="5"/>
      <c r="AGJ58" s="5"/>
      <c r="AGK58" s="5"/>
      <c r="AGL58" s="5"/>
      <c r="AGM58" s="5"/>
      <c r="AGN58" s="5"/>
      <c r="AGO58" s="5"/>
      <c r="AGP58" s="5"/>
      <c r="AGQ58" s="5"/>
      <c r="AGR58" s="5"/>
      <c r="AGS58" s="5"/>
      <c r="AGT58" s="5"/>
      <c r="AGU58" s="5"/>
      <c r="AGV58" s="5"/>
      <c r="AGW58" s="5"/>
      <c r="AGX58" s="5"/>
      <c r="AGY58" s="5"/>
      <c r="AGZ58" s="5"/>
      <c r="AHA58" s="5"/>
      <c r="AHB58" s="5"/>
      <c r="AHC58" s="5"/>
      <c r="AHD58" s="5"/>
      <c r="AHE58" s="5"/>
      <c r="AHF58" s="5"/>
      <c r="AHG58" s="5"/>
      <c r="AHH58" s="5"/>
      <c r="AHI58" s="5"/>
      <c r="AHJ58" s="5"/>
      <c r="AHK58" s="5"/>
      <c r="AHL58" s="5"/>
      <c r="AHM58" s="5"/>
      <c r="AHN58" s="5"/>
      <c r="AHO58" s="5"/>
      <c r="AHP58" s="5"/>
      <c r="AHQ58" s="5"/>
      <c r="AHR58" s="5"/>
      <c r="AHS58" s="5"/>
      <c r="AHT58" s="5"/>
      <c r="AHU58" s="5"/>
      <c r="AHV58" s="5"/>
      <c r="AHW58" s="5"/>
      <c r="AHX58" s="5"/>
      <c r="AHY58" s="5"/>
      <c r="AHZ58" s="5"/>
      <c r="AIA58" s="5"/>
      <c r="AIB58" s="5"/>
      <c r="AIC58" s="5"/>
      <c r="AID58" s="5"/>
      <c r="AIE58" s="5"/>
      <c r="AIF58" s="5"/>
      <c r="AIG58" s="5"/>
      <c r="AIH58" s="5"/>
      <c r="AII58" s="5"/>
      <c r="AIJ58" s="5"/>
      <c r="AIK58" s="5"/>
      <c r="AIL58" s="5"/>
      <c r="AIM58" s="5"/>
      <c r="AIN58" s="5"/>
      <c r="AIO58" s="5"/>
      <c r="AIP58" s="5"/>
      <c r="AIQ58" s="5"/>
      <c r="AIR58" s="5"/>
      <c r="AIS58" s="5"/>
      <c r="AIT58" s="5"/>
      <c r="AIU58" s="5"/>
      <c r="AIV58" s="5"/>
      <c r="AIW58" s="5"/>
      <c r="AIX58" s="5"/>
      <c r="AIY58" s="5"/>
      <c r="AIZ58" s="5"/>
      <c r="AJA58" s="5"/>
      <c r="AJB58" s="5"/>
      <c r="AJC58" s="5"/>
      <c r="AJD58" s="5"/>
      <c r="AJE58" s="5"/>
      <c r="AJF58" s="5"/>
      <c r="AJG58" s="5"/>
      <c r="AJH58" s="5"/>
      <c r="AJI58" s="5"/>
      <c r="AJJ58" s="5"/>
      <c r="AJK58" s="5"/>
      <c r="AJL58" s="5"/>
      <c r="AJM58" s="5"/>
      <c r="AJN58" s="5"/>
      <c r="AJO58" s="5"/>
      <c r="AJP58" s="5"/>
      <c r="AJQ58" s="5"/>
      <c r="AJR58" s="5"/>
      <c r="AJS58" s="5"/>
      <c r="AJT58" s="5"/>
      <c r="AJU58" s="5"/>
      <c r="AJV58" s="5"/>
      <c r="AJW58" s="5"/>
      <c r="AJX58" s="5"/>
      <c r="AJY58" s="5"/>
      <c r="AJZ58" s="5"/>
      <c r="AKA58" s="5"/>
      <c r="AKB58" s="5"/>
      <c r="AKC58" s="5"/>
      <c r="AKD58" s="5"/>
      <c r="AKE58" s="5"/>
      <c r="AKF58" s="5"/>
      <c r="AKG58" s="5"/>
      <c r="AKH58" s="5"/>
      <c r="AKI58" s="5"/>
      <c r="AKJ58" s="5"/>
      <c r="AKK58" s="5"/>
      <c r="AKL58" s="5"/>
      <c r="AKM58" s="5"/>
      <c r="AKN58" s="5"/>
      <c r="AKO58" s="5"/>
      <c r="AKP58" s="5"/>
      <c r="AKQ58" s="5"/>
      <c r="AKR58" s="5"/>
      <c r="AKS58" s="5"/>
      <c r="AKT58" s="5"/>
      <c r="AKU58" s="5"/>
      <c r="AKV58" s="5"/>
      <c r="AKW58" s="5"/>
      <c r="AKX58" s="5"/>
      <c r="AKY58" s="5"/>
      <c r="AKZ58" s="5"/>
      <c r="ALA58" s="5"/>
      <c r="ALB58" s="5"/>
      <c r="ALC58" s="5"/>
      <c r="ALD58" s="5"/>
      <c r="ALE58" s="5"/>
      <c r="ALF58" s="5"/>
      <c r="ALG58" s="5"/>
      <c r="ALH58" s="5"/>
      <c r="ALI58" s="5"/>
      <c r="ALJ58" s="5"/>
      <c r="ALK58" s="5"/>
      <c r="ALL58" s="5"/>
      <c r="ALM58" s="5"/>
      <c r="ALN58" s="5"/>
      <c r="ALO58" s="5"/>
      <c r="ALP58" s="5"/>
    </row>
    <row r="59" spans="1:1004" s="4" customFormat="1" ht="23.25" customHeight="1">
      <c r="B59" s="1"/>
      <c r="C59" s="2"/>
      <c r="D59" s="1"/>
      <c r="E59" s="1"/>
      <c r="F59" s="18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  <c r="AAA59" s="5"/>
      <c r="AAB59" s="5"/>
      <c r="AAC59" s="5"/>
      <c r="AAD59" s="5"/>
      <c r="AAE59" s="5"/>
      <c r="AAF59" s="5"/>
      <c r="AAG59" s="5"/>
      <c r="AAH59" s="5"/>
      <c r="AAI59" s="5"/>
      <c r="AAJ59" s="5"/>
      <c r="AAK59" s="5"/>
      <c r="AAL59" s="5"/>
      <c r="AAM59" s="5"/>
      <c r="AAN59" s="5"/>
      <c r="AAO59" s="5"/>
      <c r="AAP59" s="5"/>
      <c r="AAQ59" s="5"/>
      <c r="AAR59" s="5"/>
      <c r="AAS59" s="5"/>
      <c r="AAT59" s="5"/>
      <c r="AAU59" s="5"/>
      <c r="AAV59" s="5"/>
      <c r="AAW59" s="5"/>
      <c r="AAX59" s="5"/>
      <c r="AAY59" s="5"/>
      <c r="AAZ59" s="5"/>
      <c r="ABA59" s="5"/>
      <c r="ABB59" s="5"/>
      <c r="ABC59" s="5"/>
      <c r="ABD59" s="5"/>
      <c r="ABE59" s="5"/>
      <c r="ABF59" s="5"/>
      <c r="ABG59" s="5"/>
      <c r="ABH59" s="5"/>
      <c r="ABI59" s="5"/>
      <c r="ABJ59" s="5"/>
      <c r="ABK59" s="5"/>
      <c r="ABL59" s="5"/>
      <c r="ABM59" s="5"/>
      <c r="ABN59" s="5"/>
      <c r="ABO59" s="5"/>
      <c r="ABP59" s="5"/>
      <c r="ABQ59" s="5"/>
      <c r="ABR59" s="5"/>
      <c r="ABS59" s="5"/>
      <c r="ABT59" s="5"/>
      <c r="ABU59" s="5"/>
      <c r="ABV59" s="5"/>
      <c r="ABW59" s="5"/>
      <c r="ABX59" s="5"/>
      <c r="ABY59" s="5"/>
      <c r="ABZ59" s="5"/>
      <c r="ACA59" s="5"/>
      <c r="ACB59" s="5"/>
      <c r="ACC59" s="5"/>
      <c r="ACD59" s="5"/>
      <c r="ACE59" s="5"/>
      <c r="ACF59" s="5"/>
      <c r="ACG59" s="5"/>
      <c r="ACH59" s="5"/>
      <c r="ACI59" s="5"/>
      <c r="ACJ59" s="5"/>
      <c r="ACK59" s="5"/>
      <c r="ACL59" s="5"/>
      <c r="ACM59" s="5"/>
      <c r="ACN59" s="5"/>
      <c r="ACO59" s="5"/>
      <c r="ACP59" s="5"/>
      <c r="ACQ59" s="5"/>
      <c r="ACR59" s="5"/>
      <c r="ACS59" s="5"/>
      <c r="ACT59" s="5"/>
      <c r="ACU59" s="5"/>
      <c r="ACV59" s="5"/>
      <c r="ACW59" s="5"/>
      <c r="ACX59" s="5"/>
      <c r="ACY59" s="5"/>
      <c r="ACZ59" s="5"/>
      <c r="ADA59" s="5"/>
      <c r="ADB59" s="5"/>
      <c r="ADC59" s="5"/>
      <c r="ADD59" s="5"/>
      <c r="ADE59" s="5"/>
      <c r="ADF59" s="5"/>
      <c r="ADG59" s="5"/>
      <c r="ADH59" s="5"/>
      <c r="ADI59" s="5"/>
      <c r="ADJ59" s="5"/>
      <c r="ADK59" s="5"/>
      <c r="ADL59" s="5"/>
      <c r="ADM59" s="5"/>
      <c r="ADN59" s="5"/>
      <c r="ADO59" s="5"/>
      <c r="ADP59" s="5"/>
      <c r="ADQ59" s="5"/>
      <c r="ADR59" s="5"/>
      <c r="ADS59" s="5"/>
      <c r="ADT59" s="5"/>
      <c r="ADU59" s="5"/>
      <c r="ADV59" s="5"/>
      <c r="ADW59" s="5"/>
      <c r="ADX59" s="5"/>
      <c r="ADY59" s="5"/>
      <c r="ADZ59" s="5"/>
      <c r="AEA59" s="5"/>
      <c r="AEB59" s="5"/>
      <c r="AEC59" s="5"/>
      <c r="AED59" s="5"/>
      <c r="AEE59" s="5"/>
      <c r="AEF59" s="5"/>
      <c r="AEG59" s="5"/>
      <c r="AEH59" s="5"/>
      <c r="AEI59" s="5"/>
      <c r="AEJ59" s="5"/>
      <c r="AEK59" s="5"/>
      <c r="AEL59" s="5"/>
      <c r="AEM59" s="5"/>
      <c r="AEN59" s="5"/>
      <c r="AEO59" s="5"/>
      <c r="AEP59" s="5"/>
      <c r="AEQ59" s="5"/>
      <c r="AER59" s="5"/>
      <c r="AES59" s="5"/>
      <c r="AET59" s="5"/>
      <c r="AEU59" s="5"/>
      <c r="AEV59" s="5"/>
      <c r="AEW59" s="5"/>
      <c r="AEX59" s="5"/>
      <c r="AEY59" s="5"/>
      <c r="AEZ59" s="5"/>
      <c r="AFA59" s="5"/>
      <c r="AFB59" s="5"/>
      <c r="AFC59" s="5"/>
      <c r="AFD59" s="5"/>
      <c r="AFE59" s="5"/>
      <c r="AFF59" s="5"/>
      <c r="AFG59" s="5"/>
      <c r="AFH59" s="5"/>
      <c r="AFI59" s="5"/>
      <c r="AFJ59" s="5"/>
      <c r="AFK59" s="5"/>
      <c r="AFL59" s="5"/>
      <c r="AFM59" s="5"/>
      <c r="AFN59" s="5"/>
      <c r="AFO59" s="5"/>
      <c r="AFP59" s="5"/>
      <c r="AFQ59" s="5"/>
      <c r="AFR59" s="5"/>
      <c r="AFS59" s="5"/>
      <c r="AFT59" s="5"/>
      <c r="AFU59" s="5"/>
      <c r="AFV59" s="5"/>
      <c r="AFW59" s="5"/>
      <c r="AFX59" s="5"/>
      <c r="AFY59" s="5"/>
      <c r="AFZ59" s="5"/>
      <c r="AGA59" s="5"/>
      <c r="AGB59" s="5"/>
      <c r="AGC59" s="5"/>
      <c r="AGD59" s="5"/>
      <c r="AGE59" s="5"/>
      <c r="AGF59" s="5"/>
      <c r="AGG59" s="5"/>
      <c r="AGH59" s="5"/>
      <c r="AGI59" s="5"/>
      <c r="AGJ59" s="5"/>
      <c r="AGK59" s="5"/>
      <c r="AGL59" s="5"/>
      <c r="AGM59" s="5"/>
      <c r="AGN59" s="5"/>
      <c r="AGO59" s="5"/>
      <c r="AGP59" s="5"/>
      <c r="AGQ59" s="5"/>
      <c r="AGR59" s="5"/>
      <c r="AGS59" s="5"/>
      <c r="AGT59" s="5"/>
      <c r="AGU59" s="5"/>
      <c r="AGV59" s="5"/>
      <c r="AGW59" s="5"/>
      <c r="AGX59" s="5"/>
      <c r="AGY59" s="5"/>
      <c r="AGZ59" s="5"/>
      <c r="AHA59" s="5"/>
      <c r="AHB59" s="5"/>
      <c r="AHC59" s="5"/>
      <c r="AHD59" s="5"/>
      <c r="AHE59" s="5"/>
      <c r="AHF59" s="5"/>
      <c r="AHG59" s="5"/>
      <c r="AHH59" s="5"/>
      <c r="AHI59" s="5"/>
      <c r="AHJ59" s="5"/>
      <c r="AHK59" s="5"/>
      <c r="AHL59" s="5"/>
      <c r="AHM59" s="5"/>
      <c r="AHN59" s="5"/>
      <c r="AHO59" s="5"/>
      <c r="AHP59" s="5"/>
      <c r="AHQ59" s="5"/>
      <c r="AHR59" s="5"/>
      <c r="AHS59" s="5"/>
      <c r="AHT59" s="5"/>
      <c r="AHU59" s="5"/>
      <c r="AHV59" s="5"/>
      <c r="AHW59" s="5"/>
      <c r="AHX59" s="5"/>
      <c r="AHY59" s="5"/>
      <c r="AHZ59" s="5"/>
      <c r="AIA59" s="5"/>
      <c r="AIB59" s="5"/>
      <c r="AIC59" s="5"/>
      <c r="AID59" s="5"/>
      <c r="AIE59" s="5"/>
      <c r="AIF59" s="5"/>
      <c r="AIG59" s="5"/>
      <c r="AIH59" s="5"/>
      <c r="AII59" s="5"/>
      <c r="AIJ59" s="5"/>
      <c r="AIK59" s="5"/>
      <c r="AIL59" s="5"/>
      <c r="AIM59" s="5"/>
      <c r="AIN59" s="5"/>
      <c r="AIO59" s="5"/>
      <c r="AIP59" s="5"/>
      <c r="AIQ59" s="5"/>
      <c r="AIR59" s="5"/>
      <c r="AIS59" s="5"/>
      <c r="AIT59" s="5"/>
      <c r="AIU59" s="5"/>
      <c r="AIV59" s="5"/>
      <c r="AIW59" s="5"/>
      <c r="AIX59" s="5"/>
      <c r="AIY59" s="5"/>
      <c r="AIZ59" s="5"/>
      <c r="AJA59" s="5"/>
      <c r="AJB59" s="5"/>
      <c r="AJC59" s="5"/>
      <c r="AJD59" s="5"/>
      <c r="AJE59" s="5"/>
      <c r="AJF59" s="5"/>
      <c r="AJG59" s="5"/>
      <c r="AJH59" s="5"/>
      <c r="AJI59" s="5"/>
      <c r="AJJ59" s="5"/>
      <c r="AJK59" s="5"/>
      <c r="AJL59" s="5"/>
      <c r="AJM59" s="5"/>
      <c r="AJN59" s="5"/>
      <c r="AJO59" s="5"/>
      <c r="AJP59" s="5"/>
      <c r="AJQ59" s="5"/>
      <c r="AJR59" s="5"/>
      <c r="AJS59" s="5"/>
      <c r="AJT59" s="5"/>
      <c r="AJU59" s="5"/>
      <c r="AJV59" s="5"/>
      <c r="AJW59" s="5"/>
      <c r="AJX59" s="5"/>
      <c r="AJY59" s="5"/>
      <c r="AJZ59" s="5"/>
      <c r="AKA59" s="5"/>
      <c r="AKB59" s="5"/>
      <c r="AKC59" s="5"/>
      <c r="AKD59" s="5"/>
      <c r="AKE59" s="5"/>
      <c r="AKF59" s="5"/>
      <c r="AKG59" s="5"/>
      <c r="AKH59" s="5"/>
      <c r="AKI59" s="5"/>
      <c r="AKJ59" s="5"/>
      <c r="AKK59" s="5"/>
      <c r="AKL59" s="5"/>
      <c r="AKM59" s="5"/>
      <c r="AKN59" s="5"/>
      <c r="AKO59" s="5"/>
      <c r="AKP59" s="5"/>
      <c r="AKQ59" s="5"/>
      <c r="AKR59" s="5"/>
      <c r="AKS59" s="5"/>
      <c r="AKT59" s="5"/>
      <c r="AKU59" s="5"/>
      <c r="AKV59" s="5"/>
      <c r="AKW59" s="5"/>
      <c r="AKX59" s="5"/>
      <c r="AKY59" s="5"/>
      <c r="AKZ59" s="5"/>
      <c r="ALA59" s="5"/>
      <c r="ALB59" s="5"/>
      <c r="ALC59" s="5"/>
      <c r="ALD59" s="5"/>
      <c r="ALE59" s="5"/>
      <c r="ALF59" s="5"/>
      <c r="ALG59" s="5"/>
      <c r="ALH59" s="5"/>
      <c r="ALI59" s="5"/>
      <c r="ALJ59" s="5"/>
      <c r="ALK59" s="5"/>
      <c r="ALL59" s="5"/>
      <c r="ALM59" s="5"/>
      <c r="ALN59" s="5"/>
      <c r="ALO59" s="5"/>
      <c r="ALP59" s="5"/>
    </row>
    <row r="60" spans="1:1004" s="4" customFormat="1" ht="23.25" customHeight="1">
      <c r="B60" s="1"/>
      <c r="C60" s="2"/>
      <c r="D60" s="1"/>
      <c r="E60" s="1"/>
      <c r="F60" s="18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  <c r="AAA60" s="5"/>
      <c r="AAB60" s="5"/>
      <c r="AAC60" s="5"/>
      <c r="AAD60" s="5"/>
      <c r="AAE60" s="5"/>
      <c r="AAF60" s="5"/>
      <c r="AAG60" s="5"/>
      <c r="AAH60" s="5"/>
      <c r="AAI60" s="5"/>
      <c r="AAJ60" s="5"/>
      <c r="AAK60" s="5"/>
      <c r="AAL60" s="5"/>
      <c r="AAM60" s="5"/>
      <c r="AAN60" s="5"/>
      <c r="AAO60" s="5"/>
      <c r="AAP60" s="5"/>
      <c r="AAQ60" s="5"/>
      <c r="AAR60" s="5"/>
      <c r="AAS60" s="5"/>
      <c r="AAT60" s="5"/>
      <c r="AAU60" s="5"/>
      <c r="AAV60" s="5"/>
      <c r="AAW60" s="5"/>
      <c r="AAX60" s="5"/>
      <c r="AAY60" s="5"/>
      <c r="AAZ60" s="5"/>
      <c r="ABA60" s="5"/>
      <c r="ABB60" s="5"/>
      <c r="ABC60" s="5"/>
      <c r="ABD60" s="5"/>
      <c r="ABE60" s="5"/>
      <c r="ABF60" s="5"/>
      <c r="ABG60" s="5"/>
      <c r="ABH60" s="5"/>
      <c r="ABI60" s="5"/>
      <c r="ABJ60" s="5"/>
      <c r="ABK60" s="5"/>
      <c r="ABL60" s="5"/>
      <c r="ABM60" s="5"/>
      <c r="ABN60" s="5"/>
      <c r="ABO60" s="5"/>
      <c r="ABP60" s="5"/>
      <c r="ABQ60" s="5"/>
      <c r="ABR60" s="5"/>
      <c r="ABS60" s="5"/>
      <c r="ABT60" s="5"/>
      <c r="ABU60" s="5"/>
      <c r="ABV60" s="5"/>
      <c r="ABW60" s="5"/>
      <c r="ABX60" s="5"/>
      <c r="ABY60" s="5"/>
      <c r="ABZ60" s="5"/>
      <c r="ACA60" s="5"/>
      <c r="ACB60" s="5"/>
      <c r="ACC60" s="5"/>
      <c r="ACD60" s="5"/>
      <c r="ACE60" s="5"/>
      <c r="ACF60" s="5"/>
      <c r="ACG60" s="5"/>
      <c r="ACH60" s="5"/>
      <c r="ACI60" s="5"/>
      <c r="ACJ60" s="5"/>
      <c r="ACK60" s="5"/>
      <c r="ACL60" s="5"/>
      <c r="ACM60" s="5"/>
      <c r="ACN60" s="5"/>
      <c r="ACO60" s="5"/>
      <c r="ACP60" s="5"/>
      <c r="ACQ60" s="5"/>
      <c r="ACR60" s="5"/>
      <c r="ACS60" s="5"/>
      <c r="ACT60" s="5"/>
      <c r="ACU60" s="5"/>
      <c r="ACV60" s="5"/>
      <c r="ACW60" s="5"/>
      <c r="ACX60" s="5"/>
      <c r="ACY60" s="5"/>
      <c r="ACZ60" s="5"/>
      <c r="ADA60" s="5"/>
      <c r="ADB60" s="5"/>
      <c r="ADC60" s="5"/>
      <c r="ADD60" s="5"/>
      <c r="ADE60" s="5"/>
      <c r="ADF60" s="5"/>
      <c r="ADG60" s="5"/>
      <c r="ADH60" s="5"/>
      <c r="ADI60" s="5"/>
      <c r="ADJ60" s="5"/>
      <c r="ADK60" s="5"/>
      <c r="ADL60" s="5"/>
      <c r="ADM60" s="5"/>
      <c r="ADN60" s="5"/>
      <c r="ADO60" s="5"/>
      <c r="ADP60" s="5"/>
      <c r="ADQ60" s="5"/>
      <c r="ADR60" s="5"/>
      <c r="ADS60" s="5"/>
      <c r="ADT60" s="5"/>
      <c r="ADU60" s="5"/>
      <c r="ADV60" s="5"/>
      <c r="ADW60" s="5"/>
      <c r="ADX60" s="5"/>
      <c r="ADY60" s="5"/>
      <c r="ADZ60" s="5"/>
      <c r="AEA60" s="5"/>
      <c r="AEB60" s="5"/>
      <c r="AEC60" s="5"/>
      <c r="AED60" s="5"/>
      <c r="AEE60" s="5"/>
      <c r="AEF60" s="5"/>
      <c r="AEG60" s="5"/>
      <c r="AEH60" s="5"/>
      <c r="AEI60" s="5"/>
      <c r="AEJ60" s="5"/>
      <c r="AEK60" s="5"/>
      <c r="AEL60" s="5"/>
      <c r="AEM60" s="5"/>
      <c r="AEN60" s="5"/>
      <c r="AEO60" s="5"/>
      <c r="AEP60" s="5"/>
      <c r="AEQ60" s="5"/>
      <c r="AER60" s="5"/>
      <c r="AES60" s="5"/>
      <c r="AET60" s="5"/>
      <c r="AEU60" s="5"/>
      <c r="AEV60" s="5"/>
      <c r="AEW60" s="5"/>
      <c r="AEX60" s="5"/>
      <c r="AEY60" s="5"/>
      <c r="AEZ60" s="5"/>
      <c r="AFA60" s="5"/>
      <c r="AFB60" s="5"/>
      <c r="AFC60" s="5"/>
      <c r="AFD60" s="5"/>
      <c r="AFE60" s="5"/>
      <c r="AFF60" s="5"/>
      <c r="AFG60" s="5"/>
      <c r="AFH60" s="5"/>
      <c r="AFI60" s="5"/>
      <c r="AFJ60" s="5"/>
      <c r="AFK60" s="5"/>
      <c r="AFL60" s="5"/>
      <c r="AFM60" s="5"/>
      <c r="AFN60" s="5"/>
      <c r="AFO60" s="5"/>
      <c r="AFP60" s="5"/>
      <c r="AFQ60" s="5"/>
      <c r="AFR60" s="5"/>
      <c r="AFS60" s="5"/>
      <c r="AFT60" s="5"/>
      <c r="AFU60" s="5"/>
      <c r="AFV60" s="5"/>
      <c r="AFW60" s="5"/>
      <c r="AFX60" s="5"/>
      <c r="AFY60" s="5"/>
      <c r="AFZ60" s="5"/>
      <c r="AGA60" s="5"/>
      <c r="AGB60" s="5"/>
      <c r="AGC60" s="5"/>
      <c r="AGD60" s="5"/>
      <c r="AGE60" s="5"/>
      <c r="AGF60" s="5"/>
      <c r="AGG60" s="5"/>
      <c r="AGH60" s="5"/>
      <c r="AGI60" s="5"/>
      <c r="AGJ60" s="5"/>
      <c r="AGK60" s="5"/>
      <c r="AGL60" s="5"/>
      <c r="AGM60" s="5"/>
      <c r="AGN60" s="5"/>
      <c r="AGO60" s="5"/>
      <c r="AGP60" s="5"/>
      <c r="AGQ60" s="5"/>
      <c r="AGR60" s="5"/>
      <c r="AGS60" s="5"/>
      <c r="AGT60" s="5"/>
      <c r="AGU60" s="5"/>
      <c r="AGV60" s="5"/>
      <c r="AGW60" s="5"/>
      <c r="AGX60" s="5"/>
      <c r="AGY60" s="5"/>
      <c r="AGZ60" s="5"/>
      <c r="AHA60" s="5"/>
      <c r="AHB60" s="5"/>
      <c r="AHC60" s="5"/>
      <c r="AHD60" s="5"/>
      <c r="AHE60" s="5"/>
      <c r="AHF60" s="5"/>
      <c r="AHG60" s="5"/>
      <c r="AHH60" s="5"/>
      <c r="AHI60" s="5"/>
      <c r="AHJ60" s="5"/>
      <c r="AHK60" s="5"/>
      <c r="AHL60" s="5"/>
      <c r="AHM60" s="5"/>
      <c r="AHN60" s="5"/>
      <c r="AHO60" s="5"/>
      <c r="AHP60" s="5"/>
      <c r="AHQ60" s="5"/>
      <c r="AHR60" s="5"/>
      <c r="AHS60" s="5"/>
      <c r="AHT60" s="5"/>
      <c r="AHU60" s="5"/>
      <c r="AHV60" s="5"/>
      <c r="AHW60" s="5"/>
      <c r="AHX60" s="5"/>
      <c r="AHY60" s="5"/>
      <c r="AHZ60" s="5"/>
      <c r="AIA60" s="5"/>
      <c r="AIB60" s="5"/>
      <c r="AIC60" s="5"/>
      <c r="AID60" s="5"/>
      <c r="AIE60" s="5"/>
      <c r="AIF60" s="5"/>
      <c r="AIG60" s="5"/>
      <c r="AIH60" s="5"/>
      <c r="AII60" s="5"/>
      <c r="AIJ60" s="5"/>
      <c r="AIK60" s="5"/>
      <c r="AIL60" s="5"/>
      <c r="AIM60" s="5"/>
      <c r="AIN60" s="5"/>
      <c r="AIO60" s="5"/>
      <c r="AIP60" s="5"/>
      <c r="AIQ60" s="5"/>
      <c r="AIR60" s="5"/>
      <c r="AIS60" s="5"/>
      <c r="AIT60" s="5"/>
      <c r="AIU60" s="5"/>
      <c r="AIV60" s="5"/>
      <c r="AIW60" s="5"/>
      <c r="AIX60" s="5"/>
      <c r="AIY60" s="5"/>
      <c r="AIZ60" s="5"/>
      <c r="AJA60" s="5"/>
      <c r="AJB60" s="5"/>
      <c r="AJC60" s="5"/>
      <c r="AJD60" s="5"/>
      <c r="AJE60" s="5"/>
      <c r="AJF60" s="5"/>
      <c r="AJG60" s="5"/>
      <c r="AJH60" s="5"/>
      <c r="AJI60" s="5"/>
      <c r="AJJ60" s="5"/>
      <c r="AJK60" s="5"/>
      <c r="AJL60" s="5"/>
      <c r="AJM60" s="5"/>
      <c r="AJN60" s="5"/>
      <c r="AJO60" s="5"/>
      <c r="AJP60" s="5"/>
      <c r="AJQ60" s="5"/>
      <c r="AJR60" s="5"/>
      <c r="AJS60" s="5"/>
      <c r="AJT60" s="5"/>
      <c r="AJU60" s="5"/>
      <c r="AJV60" s="5"/>
      <c r="AJW60" s="5"/>
      <c r="AJX60" s="5"/>
      <c r="AJY60" s="5"/>
      <c r="AJZ60" s="5"/>
      <c r="AKA60" s="5"/>
      <c r="AKB60" s="5"/>
      <c r="AKC60" s="5"/>
      <c r="AKD60" s="5"/>
      <c r="AKE60" s="5"/>
      <c r="AKF60" s="5"/>
      <c r="AKG60" s="5"/>
      <c r="AKH60" s="5"/>
      <c r="AKI60" s="5"/>
      <c r="AKJ60" s="5"/>
      <c r="AKK60" s="5"/>
      <c r="AKL60" s="5"/>
      <c r="AKM60" s="5"/>
      <c r="AKN60" s="5"/>
      <c r="AKO60" s="5"/>
      <c r="AKP60" s="5"/>
      <c r="AKQ60" s="5"/>
      <c r="AKR60" s="5"/>
      <c r="AKS60" s="5"/>
      <c r="AKT60" s="5"/>
      <c r="AKU60" s="5"/>
      <c r="AKV60" s="5"/>
      <c r="AKW60" s="5"/>
      <c r="AKX60" s="5"/>
      <c r="AKY60" s="5"/>
      <c r="AKZ60" s="5"/>
      <c r="ALA60" s="5"/>
      <c r="ALB60" s="5"/>
      <c r="ALC60" s="5"/>
      <c r="ALD60" s="5"/>
      <c r="ALE60" s="5"/>
      <c r="ALF60" s="5"/>
      <c r="ALG60" s="5"/>
      <c r="ALH60" s="5"/>
      <c r="ALI60" s="5"/>
      <c r="ALJ60" s="5"/>
      <c r="ALK60" s="5"/>
      <c r="ALL60" s="5"/>
      <c r="ALM60" s="5"/>
      <c r="ALN60" s="5"/>
      <c r="ALO60" s="5"/>
      <c r="ALP60" s="5"/>
    </row>
  </sheetData>
  <sortState xmlns:xlrd2="http://schemas.microsoft.com/office/spreadsheetml/2017/richdata2" ref="B2:F58">
    <sortCondition descending="1" sortBy="cellColor" ref="B2:B58" dxfId="1"/>
  </sortState>
  <mergeCells count="1">
    <mergeCell ref="A1:B1"/>
  </mergeCells>
  <phoneticPr fontId="11" type="noConversion"/>
  <pageMargins left="0.43307086614173229" right="0.23622047244094491" top="0.43307086614173229" bottom="0.43307086614173229" header="0.31496062992125984" footer="0.31496062992125984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sheetPr>
    <tabColor rgb="FFFF0000"/>
  </sheetPr>
  <dimension ref="A1:ALG83"/>
  <sheetViews>
    <sheetView workbookViewId="0">
      <pane ySplit="1" topLeftCell="A2" activePane="bottomLeft" state="frozen"/>
      <selection pane="bottomLeft" activeCell="C17" sqref="C17"/>
    </sheetView>
  </sheetViews>
  <sheetFormatPr defaultColWidth="9.140625" defaultRowHeight="23.25" customHeight="1"/>
  <cols>
    <col min="1" max="1" width="5.5703125" style="1" bestFit="1" customWidth="1"/>
    <col min="2" max="2" width="3.28515625" style="76" bestFit="1" customWidth="1"/>
    <col min="3" max="3" width="31.28515625" style="2" customWidth="1"/>
    <col min="4" max="4" width="14.7109375" style="1" bestFit="1" customWidth="1"/>
    <col min="5" max="5" width="8.85546875" style="1" bestFit="1" customWidth="1"/>
    <col min="6" max="8" width="4.7109375" style="1" bestFit="1" customWidth="1"/>
    <col min="9" max="11" width="5.5703125" style="1" bestFit="1" customWidth="1"/>
    <col min="12" max="12" width="4.7109375" style="1" bestFit="1" customWidth="1"/>
    <col min="13" max="13" width="6.7109375" style="1" bestFit="1" customWidth="1"/>
    <col min="14" max="23" width="9.140625" style="5"/>
    <col min="24" max="24" width="13.140625" style="5" customWidth="1"/>
    <col min="25" max="995" width="9.140625" style="5"/>
  </cols>
  <sheetData>
    <row r="1" spans="1:995" s="1" customFormat="1" ht="23.25" customHeight="1">
      <c r="A1" s="114" t="s">
        <v>0</v>
      </c>
      <c r="B1" s="114"/>
      <c r="C1" s="82" t="s">
        <v>1</v>
      </c>
      <c r="D1" s="108" t="s">
        <v>4</v>
      </c>
      <c r="E1" s="108" t="s">
        <v>363</v>
      </c>
      <c r="F1" s="109" t="s">
        <v>7</v>
      </c>
      <c r="G1" s="109" t="s">
        <v>8</v>
      </c>
      <c r="H1" s="109" t="s">
        <v>9</v>
      </c>
      <c r="I1" s="109" t="s">
        <v>10</v>
      </c>
      <c r="J1" s="109" t="s">
        <v>11</v>
      </c>
      <c r="K1" s="109" t="s">
        <v>12</v>
      </c>
      <c r="L1" s="109" t="s">
        <v>13</v>
      </c>
      <c r="M1" s="109" t="s">
        <v>14</v>
      </c>
    </row>
    <row r="2" spans="1:995" s="5" customFormat="1" ht="23.25" customHeight="1">
      <c r="A2" s="30" t="s">
        <v>502</v>
      </c>
      <c r="B2" s="44">
        <v>1</v>
      </c>
      <c r="C2" s="31" t="s">
        <v>35</v>
      </c>
      <c r="D2" s="32" t="s">
        <v>26</v>
      </c>
      <c r="E2" s="104" t="s">
        <v>394</v>
      </c>
      <c r="F2" s="111">
        <v>48</v>
      </c>
      <c r="G2" s="111">
        <v>28</v>
      </c>
      <c r="H2" s="111">
        <v>19</v>
      </c>
      <c r="I2" s="111">
        <v>30</v>
      </c>
      <c r="J2" s="111">
        <v>28</v>
      </c>
      <c r="K2" s="111">
        <v>30</v>
      </c>
      <c r="L2" s="111">
        <v>77</v>
      </c>
      <c r="M2" s="111">
        <v>44</v>
      </c>
      <c r="V2" s="5">
        <v>3</v>
      </c>
      <c r="W2" s="5" t="s">
        <v>501</v>
      </c>
    </row>
    <row r="3" spans="1:995" s="5" customFormat="1" ht="23.25" customHeight="1">
      <c r="A3" s="36"/>
      <c r="B3" s="110"/>
      <c r="C3" s="37"/>
      <c r="D3" s="36"/>
      <c r="E3" s="36"/>
      <c r="F3" s="112">
        <v>101</v>
      </c>
      <c r="G3" s="112">
        <v>120</v>
      </c>
      <c r="H3" s="112">
        <v>77</v>
      </c>
      <c r="I3" s="112">
        <v>33</v>
      </c>
      <c r="J3" s="112">
        <v>29</v>
      </c>
      <c r="K3" s="112">
        <v>19</v>
      </c>
      <c r="L3" s="112">
        <v>107</v>
      </c>
      <c r="M3" s="113"/>
    </row>
    <row r="4" spans="1:995" s="5" customFormat="1" ht="23.25" customHeight="1">
      <c r="A4" s="30" t="s">
        <v>503</v>
      </c>
      <c r="B4" s="44">
        <v>4</v>
      </c>
      <c r="C4" s="31" t="s">
        <v>92</v>
      </c>
      <c r="D4" s="32" t="s">
        <v>26</v>
      </c>
      <c r="E4" s="104" t="s">
        <v>394</v>
      </c>
      <c r="F4" s="111">
        <v>44</v>
      </c>
      <c r="G4" s="111">
        <v>24</v>
      </c>
      <c r="H4" s="111">
        <v>15</v>
      </c>
      <c r="I4" s="111">
        <v>26</v>
      </c>
      <c r="J4" s="111">
        <v>24</v>
      </c>
      <c r="K4" s="111">
        <v>26</v>
      </c>
      <c r="L4" s="111">
        <v>73</v>
      </c>
      <c r="M4" s="111">
        <v>37</v>
      </c>
    </row>
    <row r="5" spans="1:995" s="5" customFormat="1" ht="23.25" customHeight="1">
      <c r="A5" s="36"/>
      <c r="B5" s="110"/>
      <c r="C5" s="37"/>
      <c r="D5" s="36"/>
      <c r="E5" s="36"/>
      <c r="F5" s="112">
        <v>82</v>
      </c>
      <c r="G5" s="112">
        <v>100</v>
      </c>
      <c r="H5" s="112">
        <v>62</v>
      </c>
      <c r="I5" s="112">
        <v>30</v>
      </c>
      <c r="J5" s="112">
        <v>23</v>
      </c>
      <c r="K5" s="112">
        <v>18</v>
      </c>
      <c r="L5" s="112">
        <v>97</v>
      </c>
      <c r="M5" s="113"/>
    </row>
    <row r="6" spans="1:995" s="5" customFormat="1" ht="23.25" customHeight="1">
      <c r="A6" s="30" t="s">
        <v>504</v>
      </c>
      <c r="B6" s="44">
        <v>5</v>
      </c>
      <c r="C6" s="31" t="s">
        <v>95</v>
      </c>
      <c r="D6" s="32" t="s">
        <v>26</v>
      </c>
      <c r="E6" s="104" t="s">
        <v>394</v>
      </c>
      <c r="F6" s="111">
        <v>44</v>
      </c>
      <c r="G6" s="111">
        <v>24</v>
      </c>
      <c r="H6" s="111">
        <v>16</v>
      </c>
      <c r="I6" s="111">
        <v>25</v>
      </c>
      <c r="J6" s="111">
        <v>23</v>
      </c>
      <c r="K6" s="111">
        <v>26</v>
      </c>
      <c r="L6" s="111">
        <v>71</v>
      </c>
      <c r="M6" s="111">
        <v>38</v>
      </c>
    </row>
    <row r="7" spans="1:995" s="5" customFormat="1" ht="23.25" customHeight="1">
      <c r="A7" s="36"/>
      <c r="B7" s="110"/>
      <c r="C7" s="37"/>
      <c r="D7" s="36"/>
      <c r="E7" s="36"/>
      <c r="F7" s="112">
        <v>73</v>
      </c>
      <c r="G7" s="112">
        <v>96</v>
      </c>
      <c r="H7" s="112">
        <v>63</v>
      </c>
      <c r="I7" s="112">
        <v>30</v>
      </c>
      <c r="J7" s="112">
        <v>24</v>
      </c>
      <c r="K7" s="112">
        <v>18</v>
      </c>
      <c r="L7" s="112">
        <v>99</v>
      </c>
      <c r="M7" s="113"/>
    </row>
    <row r="8" spans="1:995" s="5" customFormat="1" ht="23.25" customHeight="1">
      <c r="A8" s="30" t="s">
        <v>505</v>
      </c>
      <c r="B8" s="44">
        <v>6</v>
      </c>
      <c r="C8" s="31" t="s">
        <v>101</v>
      </c>
      <c r="D8" s="32" t="s">
        <v>26</v>
      </c>
      <c r="E8" s="104" t="s">
        <v>394</v>
      </c>
      <c r="F8" s="111">
        <v>40</v>
      </c>
      <c r="G8" s="111">
        <v>23</v>
      </c>
      <c r="H8" s="111">
        <v>15</v>
      </c>
      <c r="I8" s="111">
        <v>25</v>
      </c>
      <c r="J8" s="111">
        <v>23</v>
      </c>
      <c r="K8" s="111">
        <v>25</v>
      </c>
      <c r="L8" s="111">
        <v>68</v>
      </c>
      <c r="M8" s="111">
        <v>37</v>
      </c>
    </row>
    <row r="9" spans="1:995" s="5" customFormat="1" ht="23.25" customHeight="1">
      <c r="A9" s="36"/>
      <c r="B9" s="110"/>
      <c r="C9" s="37"/>
      <c r="D9" s="36"/>
      <c r="E9" s="36"/>
      <c r="F9" s="112">
        <v>71</v>
      </c>
      <c r="G9" s="112">
        <v>97</v>
      </c>
      <c r="H9" s="112">
        <v>64</v>
      </c>
      <c r="I9" s="112">
        <v>32</v>
      </c>
      <c r="J9" s="112">
        <v>24</v>
      </c>
      <c r="K9" s="112">
        <v>18</v>
      </c>
      <c r="L9" s="112">
        <v>94</v>
      </c>
      <c r="M9" s="113"/>
    </row>
    <row r="10" spans="1:995" s="4" customFormat="1" ht="23.25" customHeight="1">
      <c r="A10" s="30" t="s">
        <v>506</v>
      </c>
      <c r="B10" s="44">
        <v>7</v>
      </c>
      <c r="C10" s="31" t="s">
        <v>104</v>
      </c>
      <c r="D10" s="32" t="s">
        <v>26</v>
      </c>
      <c r="E10" s="104" t="s">
        <v>394</v>
      </c>
      <c r="F10" s="111">
        <v>45</v>
      </c>
      <c r="G10" s="111">
        <v>25</v>
      </c>
      <c r="H10" s="111">
        <v>18</v>
      </c>
      <c r="I10" s="111">
        <v>29</v>
      </c>
      <c r="J10" s="111">
        <v>28</v>
      </c>
      <c r="K10" s="111">
        <v>29</v>
      </c>
      <c r="L10" s="111">
        <v>74</v>
      </c>
      <c r="M10" s="111">
        <v>42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  <c r="AAA10" s="5"/>
      <c r="AAB10" s="5"/>
      <c r="AAC10" s="5"/>
      <c r="AAD10" s="5"/>
      <c r="AAE10" s="5"/>
      <c r="AAF10" s="5"/>
      <c r="AAG10" s="5"/>
      <c r="AAH10" s="5"/>
      <c r="AAI10" s="5"/>
      <c r="AAJ10" s="5"/>
      <c r="AAK10" s="5"/>
      <c r="AAL10" s="5"/>
      <c r="AAM10" s="5"/>
      <c r="AAN10" s="5"/>
      <c r="AAO10" s="5"/>
      <c r="AAP10" s="5"/>
      <c r="AAQ10" s="5"/>
      <c r="AAR10" s="5"/>
      <c r="AAS10" s="5"/>
      <c r="AAT10" s="5"/>
      <c r="AAU10" s="5"/>
      <c r="AAV10" s="5"/>
      <c r="AAW10" s="5"/>
      <c r="AAX10" s="5"/>
      <c r="AAY10" s="5"/>
      <c r="AAZ10" s="5"/>
      <c r="ABA10" s="5"/>
      <c r="ABB10" s="5"/>
      <c r="ABC10" s="5"/>
      <c r="ABD10" s="5"/>
      <c r="ABE10" s="5"/>
      <c r="ABF10" s="5"/>
      <c r="ABG10" s="5"/>
      <c r="ABH10" s="5"/>
      <c r="ABI10" s="5"/>
      <c r="ABJ10" s="5"/>
      <c r="ABK10" s="5"/>
      <c r="ABL10" s="5"/>
      <c r="ABM10" s="5"/>
      <c r="ABN10" s="5"/>
      <c r="ABO10" s="5"/>
      <c r="ABP10" s="5"/>
      <c r="ABQ10" s="5"/>
      <c r="ABR10" s="5"/>
      <c r="ABS10" s="5"/>
      <c r="ABT10" s="5"/>
      <c r="ABU10" s="5"/>
      <c r="ABV10" s="5"/>
      <c r="ABW10" s="5"/>
      <c r="ABX10" s="5"/>
      <c r="ABY10" s="5"/>
      <c r="ABZ10" s="5"/>
      <c r="ACA10" s="5"/>
      <c r="ACB10" s="5"/>
      <c r="ACC10" s="5"/>
      <c r="ACD10" s="5"/>
      <c r="ACE10" s="5"/>
      <c r="ACF10" s="5"/>
      <c r="ACG10" s="5"/>
      <c r="ACH10" s="5"/>
      <c r="ACI10" s="5"/>
      <c r="ACJ10" s="5"/>
      <c r="ACK10" s="5"/>
      <c r="ACL10" s="5"/>
      <c r="ACM10" s="5"/>
      <c r="ACN10" s="5"/>
      <c r="ACO10" s="5"/>
      <c r="ACP10" s="5"/>
      <c r="ACQ10" s="5"/>
      <c r="ACR10" s="5"/>
      <c r="ACS10" s="5"/>
      <c r="ACT10" s="5"/>
      <c r="ACU10" s="5"/>
      <c r="ACV10" s="5"/>
      <c r="ACW10" s="5"/>
      <c r="ACX10" s="5"/>
      <c r="ACY10" s="5"/>
      <c r="ACZ10" s="5"/>
      <c r="ADA10" s="5"/>
      <c r="ADB10" s="5"/>
      <c r="ADC10" s="5"/>
      <c r="ADD10" s="5"/>
      <c r="ADE10" s="5"/>
      <c r="ADF10" s="5"/>
      <c r="ADG10" s="5"/>
      <c r="ADH10" s="5"/>
      <c r="ADI10" s="5"/>
      <c r="ADJ10" s="5"/>
      <c r="ADK10" s="5"/>
      <c r="ADL10" s="5"/>
      <c r="ADM10" s="5"/>
      <c r="ADN10" s="5"/>
      <c r="ADO10" s="5"/>
      <c r="ADP10" s="5"/>
      <c r="ADQ10" s="5"/>
      <c r="ADR10" s="5"/>
      <c r="ADS10" s="5"/>
      <c r="ADT10" s="5"/>
      <c r="ADU10" s="5"/>
      <c r="ADV10" s="5"/>
      <c r="ADW10" s="5"/>
      <c r="ADX10" s="5"/>
      <c r="ADY10" s="5"/>
      <c r="ADZ10" s="5"/>
      <c r="AEA10" s="5"/>
      <c r="AEB10" s="5"/>
      <c r="AEC10" s="5"/>
      <c r="AED10" s="5"/>
      <c r="AEE10" s="5"/>
      <c r="AEF10" s="5"/>
      <c r="AEG10" s="5"/>
      <c r="AEH10" s="5"/>
      <c r="AEI10" s="5"/>
      <c r="AEJ10" s="5"/>
      <c r="AEK10" s="5"/>
      <c r="AEL10" s="5"/>
      <c r="AEM10" s="5"/>
      <c r="AEN10" s="5"/>
      <c r="AEO10" s="5"/>
      <c r="AEP10" s="5"/>
      <c r="AEQ10" s="5"/>
      <c r="AER10" s="5"/>
      <c r="AES10" s="5"/>
      <c r="AET10" s="5"/>
      <c r="AEU10" s="5"/>
      <c r="AEV10" s="5"/>
      <c r="AEW10" s="5"/>
      <c r="AEX10" s="5"/>
      <c r="AEY10" s="5"/>
      <c r="AEZ10" s="5"/>
      <c r="AFA10" s="5"/>
      <c r="AFB10" s="5"/>
      <c r="AFC10" s="5"/>
      <c r="AFD10" s="5"/>
      <c r="AFE10" s="5"/>
      <c r="AFF10" s="5"/>
      <c r="AFG10" s="5"/>
      <c r="AFH10" s="5"/>
      <c r="AFI10" s="5"/>
      <c r="AFJ10" s="5"/>
      <c r="AFK10" s="5"/>
      <c r="AFL10" s="5"/>
      <c r="AFM10" s="5"/>
      <c r="AFN10" s="5"/>
      <c r="AFO10" s="5"/>
      <c r="AFP10" s="5"/>
      <c r="AFQ10" s="5"/>
      <c r="AFR10" s="5"/>
      <c r="AFS10" s="5"/>
      <c r="AFT10" s="5"/>
      <c r="AFU10" s="5"/>
      <c r="AFV10" s="5"/>
      <c r="AFW10" s="5"/>
      <c r="AFX10" s="5"/>
      <c r="AFY10" s="5"/>
      <c r="AFZ10" s="5"/>
      <c r="AGA10" s="5"/>
      <c r="AGB10" s="5"/>
      <c r="AGC10" s="5"/>
      <c r="AGD10" s="5"/>
      <c r="AGE10" s="5"/>
      <c r="AGF10" s="5"/>
      <c r="AGG10" s="5"/>
      <c r="AGH10" s="5"/>
      <c r="AGI10" s="5"/>
      <c r="AGJ10" s="5"/>
      <c r="AGK10" s="5"/>
      <c r="AGL10" s="5"/>
      <c r="AGM10" s="5"/>
      <c r="AGN10" s="5"/>
      <c r="AGO10" s="5"/>
      <c r="AGP10" s="5"/>
      <c r="AGQ10" s="5"/>
      <c r="AGR10" s="5"/>
      <c r="AGS10" s="5"/>
      <c r="AGT10" s="5"/>
      <c r="AGU10" s="5"/>
      <c r="AGV10" s="5"/>
      <c r="AGW10" s="5"/>
      <c r="AGX10" s="5"/>
      <c r="AGY10" s="5"/>
      <c r="AGZ10" s="5"/>
      <c r="AHA10" s="5"/>
      <c r="AHB10" s="5"/>
      <c r="AHC10" s="5"/>
      <c r="AHD10" s="5"/>
      <c r="AHE10" s="5"/>
      <c r="AHF10" s="5"/>
      <c r="AHG10" s="5"/>
      <c r="AHH10" s="5"/>
      <c r="AHI10" s="5"/>
      <c r="AHJ10" s="5"/>
      <c r="AHK10" s="5"/>
      <c r="AHL10" s="5"/>
      <c r="AHM10" s="5"/>
      <c r="AHN10" s="5"/>
      <c r="AHO10" s="5"/>
      <c r="AHP10" s="5"/>
      <c r="AHQ10" s="5"/>
      <c r="AHR10" s="5"/>
      <c r="AHS10" s="5"/>
      <c r="AHT10" s="5"/>
      <c r="AHU10" s="5"/>
      <c r="AHV10" s="5"/>
      <c r="AHW10" s="5"/>
      <c r="AHX10" s="5"/>
      <c r="AHY10" s="5"/>
      <c r="AHZ10" s="5"/>
      <c r="AIA10" s="5"/>
      <c r="AIB10" s="5"/>
      <c r="AIC10" s="5"/>
      <c r="AID10" s="5"/>
      <c r="AIE10" s="5"/>
      <c r="AIF10" s="5"/>
      <c r="AIG10" s="5"/>
      <c r="AIH10" s="5"/>
      <c r="AII10" s="5"/>
      <c r="AIJ10" s="5"/>
      <c r="AIK10" s="5"/>
      <c r="AIL10" s="5"/>
      <c r="AIM10" s="5"/>
      <c r="AIN10" s="5"/>
      <c r="AIO10" s="5"/>
      <c r="AIP10" s="5"/>
      <c r="AIQ10" s="5"/>
      <c r="AIR10" s="5"/>
      <c r="AIS10" s="5"/>
      <c r="AIT10" s="5"/>
      <c r="AIU10" s="5"/>
      <c r="AIV10" s="5"/>
      <c r="AIW10" s="5"/>
      <c r="AIX10" s="5"/>
      <c r="AIY10" s="5"/>
      <c r="AIZ10" s="5"/>
      <c r="AJA10" s="5"/>
      <c r="AJB10" s="5"/>
      <c r="AJC10" s="5"/>
      <c r="AJD10" s="5"/>
      <c r="AJE10" s="5"/>
      <c r="AJF10" s="5"/>
      <c r="AJG10" s="5"/>
      <c r="AJH10" s="5"/>
      <c r="AJI10" s="5"/>
      <c r="AJJ10" s="5"/>
      <c r="AJK10" s="5"/>
      <c r="AJL10" s="5"/>
      <c r="AJM10" s="5"/>
      <c r="AJN10" s="5"/>
      <c r="AJO10" s="5"/>
      <c r="AJP10" s="5"/>
      <c r="AJQ10" s="5"/>
      <c r="AJR10" s="5"/>
      <c r="AJS10" s="5"/>
      <c r="AJT10" s="5"/>
      <c r="AJU10" s="5"/>
      <c r="AJV10" s="5"/>
      <c r="AJW10" s="5"/>
      <c r="AJX10" s="5"/>
      <c r="AJY10" s="5"/>
      <c r="AJZ10" s="5"/>
      <c r="AKA10" s="5"/>
      <c r="AKB10" s="5"/>
      <c r="AKC10" s="5"/>
      <c r="AKD10" s="5"/>
      <c r="AKE10" s="5"/>
      <c r="AKF10" s="5"/>
      <c r="AKG10" s="5"/>
      <c r="AKH10" s="5"/>
      <c r="AKI10" s="5"/>
      <c r="AKJ10" s="5"/>
      <c r="AKK10" s="5"/>
      <c r="AKL10" s="5"/>
      <c r="AKM10" s="5"/>
      <c r="AKN10" s="5"/>
      <c r="AKO10" s="5"/>
      <c r="AKP10" s="5"/>
      <c r="AKQ10" s="5"/>
      <c r="AKR10" s="5"/>
      <c r="AKS10" s="5"/>
      <c r="AKT10" s="5"/>
      <c r="AKU10" s="5"/>
      <c r="AKV10" s="5"/>
      <c r="AKW10" s="5"/>
      <c r="AKX10" s="5"/>
      <c r="AKY10" s="5"/>
      <c r="AKZ10" s="5"/>
      <c r="ALA10" s="5"/>
      <c r="ALB10" s="5"/>
      <c r="ALC10" s="5"/>
      <c r="ALD10" s="5"/>
      <c r="ALE10" s="5"/>
      <c r="ALF10" s="5"/>
      <c r="ALG10" s="5"/>
    </row>
    <row r="11" spans="1:995" s="4" customFormat="1" ht="23.25" customHeight="1">
      <c r="A11" s="36"/>
      <c r="B11" s="110"/>
      <c r="C11" s="37"/>
      <c r="D11" s="36"/>
      <c r="E11" s="36"/>
      <c r="F11" s="112">
        <v>98</v>
      </c>
      <c r="G11" s="112">
        <v>119</v>
      </c>
      <c r="H11" s="112">
        <v>67</v>
      </c>
      <c r="I11" s="112">
        <v>36</v>
      </c>
      <c r="J11" s="112">
        <v>26</v>
      </c>
      <c r="K11" s="112">
        <v>20</v>
      </c>
      <c r="L11" s="112">
        <v>98</v>
      </c>
      <c r="M11" s="113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</row>
    <row r="12" spans="1:995" s="4" customFormat="1" ht="23.25" customHeight="1">
      <c r="A12" s="30" t="s">
        <v>507</v>
      </c>
      <c r="B12" s="44">
        <v>8</v>
      </c>
      <c r="C12" s="31" t="s">
        <v>110</v>
      </c>
      <c r="D12" s="32" t="s">
        <v>26</v>
      </c>
      <c r="E12" s="104" t="s">
        <v>394</v>
      </c>
      <c r="F12" s="111">
        <v>42</v>
      </c>
      <c r="G12" s="111">
        <v>22</v>
      </c>
      <c r="H12" s="111">
        <v>16</v>
      </c>
      <c r="I12" s="111">
        <v>27</v>
      </c>
      <c r="J12" s="111">
        <v>25</v>
      </c>
      <c r="K12" s="111">
        <v>27</v>
      </c>
      <c r="L12" s="111">
        <v>67</v>
      </c>
      <c r="M12" s="111">
        <v>37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</row>
    <row r="13" spans="1:995" s="4" customFormat="1" ht="23.25" customHeight="1">
      <c r="A13" s="36"/>
      <c r="B13" s="110"/>
      <c r="C13" s="37"/>
      <c r="D13" s="36"/>
      <c r="E13" s="36"/>
      <c r="F13" s="112">
        <v>82</v>
      </c>
      <c r="G13" s="112">
        <v>101</v>
      </c>
      <c r="H13" s="112">
        <v>62</v>
      </c>
      <c r="I13" s="112">
        <v>31</v>
      </c>
      <c r="J13" s="112">
        <v>24</v>
      </c>
      <c r="K13" s="112">
        <v>19</v>
      </c>
      <c r="L13" s="112">
        <v>91</v>
      </c>
      <c r="M13" s="113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</row>
    <row r="14" spans="1:995" s="4" customFormat="1" ht="23.25" customHeight="1">
      <c r="A14" s="30" t="s">
        <v>508</v>
      </c>
      <c r="B14" s="44">
        <v>9</v>
      </c>
      <c r="C14" s="31" t="s">
        <v>113</v>
      </c>
      <c r="D14" s="32" t="s">
        <v>26</v>
      </c>
      <c r="E14" s="104" t="s">
        <v>394</v>
      </c>
      <c r="F14" s="111">
        <v>42</v>
      </c>
      <c r="G14" s="111">
        <v>22</v>
      </c>
      <c r="H14" s="111">
        <v>16</v>
      </c>
      <c r="I14" s="111">
        <v>25</v>
      </c>
      <c r="J14" s="111">
        <v>23</v>
      </c>
      <c r="K14" s="111">
        <v>25</v>
      </c>
      <c r="L14" s="111">
        <v>67</v>
      </c>
      <c r="M14" s="111">
        <v>38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</row>
    <row r="15" spans="1:995" s="4" customFormat="1" ht="23.25" customHeight="1">
      <c r="A15" s="36"/>
      <c r="B15" s="110"/>
      <c r="C15" s="37"/>
      <c r="D15" s="36"/>
      <c r="E15" s="36"/>
      <c r="F15" s="112">
        <v>73</v>
      </c>
      <c r="G15" s="112">
        <v>93</v>
      </c>
      <c r="H15" s="112">
        <v>64</v>
      </c>
      <c r="I15" s="112">
        <v>32</v>
      </c>
      <c r="J15" s="112">
        <v>24</v>
      </c>
      <c r="K15" s="112">
        <v>18</v>
      </c>
      <c r="L15" s="112">
        <v>94</v>
      </c>
      <c r="M15" s="113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</row>
    <row r="16" spans="1:995" s="4" customFormat="1" ht="23.25" customHeight="1">
      <c r="A16" s="30" t="s">
        <v>509</v>
      </c>
      <c r="B16" s="44">
        <v>10</v>
      </c>
      <c r="C16" s="31" t="s">
        <v>126</v>
      </c>
      <c r="D16" s="32" t="s">
        <v>120</v>
      </c>
      <c r="E16" s="104" t="s">
        <v>394</v>
      </c>
      <c r="F16" s="111">
        <v>44</v>
      </c>
      <c r="G16" s="111">
        <v>25</v>
      </c>
      <c r="H16" s="111">
        <v>32</v>
      </c>
      <c r="I16" s="111">
        <v>96</v>
      </c>
      <c r="J16" s="111">
        <v>86</v>
      </c>
      <c r="K16" s="111">
        <v>100</v>
      </c>
      <c r="L16" s="111">
        <v>68</v>
      </c>
      <c r="M16" s="111">
        <v>40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</row>
    <row r="17" spans="1:995" s="4" customFormat="1" ht="23.25" customHeight="1">
      <c r="A17" s="36"/>
      <c r="B17" s="110"/>
      <c r="C17" s="37"/>
      <c r="D17" s="36"/>
      <c r="E17" s="36"/>
      <c r="F17" s="112">
        <v>82</v>
      </c>
      <c r="G17" s="112">
        <v>100</v>
      </c>
      <c r="H17" s="112">
        <v>68</v>
      </c>
      <c r="I17" s="112">
        <v>33</v>
      </c>
      <c r="J17" s="112">
        <v>23</v>
      </c>
      <c r="K17" s="112">
        <v>21</v>
      </c>
      <c r="L17" s="112">
        <v>93</v>
      </c>
      <c r="M17" s="113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</row>
    <row r="18" spans="1:995" s="4" customFormat="1" ht="23.25" customHeight="1">
      <c r="A18" s="30" t="s">
        <v>510</v>
      </c>
      <c r="B18" s="44">
        <v>11</v>
      </c>
      <c r="C18" s="31" t="s">
        <v>135</v>
      </c>
      <c r="D18" s="32" t="s">
        <v>120</v>
      </c>
      <c r="E18" s="104" t="s">
        <v>394</v>
      </c>
      <c r="F18" s="111">
        <v>42</v>
      </c>
      <c r="G18" s="111">
        <v>25</v>
      </c>
      <c r="H18" s="111">
        <v>16</v>
      </c>
      <c r="I18" s="111">
        <v>25</v>
      </c>
      <c r="J18" s="111">
        <v>23</v>
      </c>
      <c r="K18" s="111">
        <v>26</v>
      </c>
      <c r="L18" s="111">
        <v>72</v>
      </c>
      <c r="M18" s="111">
        <v>38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</row>
    <row r="19" spans="1:995" s="4" customFormat="1" ht="23.25" customHeight="1">
      <c r="A19" s="36"/>
      <c r="B19" s="110"/>
      <c r="C19" s="37"/>
      <c r="D19" s="36"/>
      <c r="E19" s="36"/>
      <c r="F19" s="112">
        <v>77</v>
      </c>
      <c r="G19" s="112">
        <v>99</v>
      </c>
      <c r="H19" s="112">
        <v>65</v>
      </c>
      <c r="I19" s="112">
        <v>32</v>
      </c>
      <c r="J19" s="112">
        <v>24</v>
      </c>
      <c r="K19" s="112">
        <v>19</v>
      </c>
      <c r="L19" s="112">
        <v>103</v>
      </c>
      <c r="M19" s="113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</row>
    <row r="20" spans="1:995" s="4" customFormat="1" ht="23.25" customHeight="1">
      <c r="A20" s="30" t="s">
        <v>511</v>
      </c>
      <c r="B20" s="44">
        <v>12</v>
      </c>
      <c r="C20" s="31" t="s">
        <v>138</v>
      </c>
      <c r="D20" s="32" t="s">
        <v>120</v>
      </c>
      <c r="E20" s="104" t="s">
        <v>394</v>
      </c>
      <c r="F20" s="111">
        <v>42</v>
      </c>
      <c r="G20" s="111">
        <v>24</v>
      </c>
      <c r="H20" s="111">
        <v>15</v>
      </c>
      <c r="I20" s="111">
        <v>25</v>
      </c>
      <c r="J20" s="111">
        <v>23</v>
      </c>
      <c r="K20" s="111">
        <v>25</v>
      </c>
      <c r="L20" s="111">
        <v>70</v>
      </c>
      <c r="M20" s="111">
        <v>36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</row>
    <row r="21" spans="1:995" s="4" customFormat="1" ht="23.25" customHeight="1">
      <c r="A21" s="36"/>
      <c r="B21" s="110"/>
      <c r="C21" s="37"/>
      <c r="D21" s="36"/>
      <c r="E21" s="36"/>
      <c r="F21" s="112">
        <v>74</v>
      </c>
      <c r="G21" s="112">
        <v>97</v>
      </c>
      <c r="H21" s="112">
        <v>65</v>
      </c>
      <c r="I21" s="112">
        <v>30</v>
      </c>
      <c r="J21" s="112">
        <v>23</v>
      </c>
      <c r="K21" s="112">
        <v>18</v>
      </c>
      <c r="L21" s="112">
        <v>103</v>
      </c>
      <c r="M21" s="113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</row>
    <row r="22" spans="1:995" s="5" customFormat="1" ht="23.25" customHeight="1">
      <c r="A22" s="30" t="s">
        <v>512</v>
      </c>
      <c r="B22" s="44">
        <v>13</v>
      </c>
      <c r="C22" s="31" t="s">
        <v>141</v>
      </c>
      <c r="D22" s="32" t="s">
        <v>120</v>
      </c>
      <c r="E22" s="104" t="s">
        <v>394</v>
      </c>
      <c r="F22" s="111">
        <v>47</v>
      </c>
      <c r="G22" s="111">
        <v>27</v>
      </c>
      <c r="H22" s="111">
        <v>18</v>
      </c>
      <c r="I22" s="111">
        <v>28</v>
      </c>
      <c r="J22" s="111">
        <v>26</v>
      </c>
      <c r="K22" s="111">
        <v>28</v>
      </c>
      <c r="L22" s="111">
        <v>75</v>
      </c>
      <c r="M22" s="111">
        <v>43</v>
      </c>
    </row>
    <row r="23" spans="1:995" s="5" customFormat="1" ht="23.25" customHeight="1">
      <c r="A23" s="36"/>
      <c r="B23" s="110"/>
      <c r="C23" s="37"/>
      <c r="D23" s="36"/>
      <c r="E23" s="36"/>
      <c r="F23" s="112">
        <v>88</v>
      </c>
      <c r="G23" s="112">
        <v>100</v>
      </c>
      <c r="H23" s="112">
        <v>63</v>
      </c>
      <c r="I23" s="112">
        <v>31</v>
      </c>
      <c r="J23" s="112">
        <v>23</v>
      </c>
      <c r="K23" s="112">
        <v>18</v>
      </c>
      <c r="L23" s="112">
        <v>105</v>
      </c>
      <c r="M23" s="113"/>
    </row>
    <row r="24" spans="1:995" s="5" customFormat="1" ht="23.25" customHeight="1">
      <c r="A24" s="30" t="s">
        <v>513</v>
      </c>
      <c r="B24" s="44">
        <v>14</v>
      </c>
      <c r="C24" s="31" t="s">
        <v>144</v>
      </c>
      <c r="D24" s="32" t="s">
        <v>120</v>
      </c>
      <c r="E24" s="104" t="s">
        <v>394</v>
      </c>
      <c r="F24" s="111">
        <v>43</v>
      </c>
      <c r="G24" s="111">
        <v>23</v>
      </c>
      <c r="H24" s="111">
        <v>15</v>
      </c>
      <c r="I24" s="111">
        <v>25</v>
      </c>
      <c r="J24" s="111">
        <v>23</v>
      </c>
      <c r="K24" s="111">
        <v>25</v>
      </c>
      <c r="L24" s="111">
        <v>68</v>
      </c>
      <c r="M24" s="111">
        <v>36</v>
      </c>
    </row>
    <row r="25" spans="1:995" s="5" customFormat="1" ht="23.25" customHeight="1">
      <c r="A25" s="36"/>
      <c r="B25" s="110"/>
      <c r="C25" s="37"/>
      <c r="D25" s="36"/>
      <c r="E25" s="36"/>
      <c r="F25" s="112">
        <v>70</v>
      </c>
      <c r="G25" s="112">
        <v>94</v>
      </c>
      <c r="H25" s="112">
        <v>66</v>
      </c>
      <c r="I25" s="112">
        <v>30</v>
      </c>
      <c r="J25" s="112">
        <v>23</v>
      </c>
      <c r="K25" s="112">
        <v>18</v>
      </c>
      <c r="L25" s="112">
        <v>99</v>
      </c>
      <c r="M25" s="113"/>
    </row>
    <row r="26" spans="1:995" s="5" customFormat="1" ht="23.25" customHeight="1">
      <c r="A26" s="30" t="s">
        <v>514</v>
      </c>
      <c r="B26" s="44">
        <v>15</v>
      </c>
      <c r="C26" s="31" t="s">
        <v>147</v>
      </c>
      <c r="D26" s="32" t="s">
        <v>120</v>
      </c>
      <c r="E26" s="104" t="s">
        <v>394</v>
      </c>
      <c r="F26" s="111">
        <v>47</v>
      </c>
      <c r="G26" s="111">
        <v>26</v>
      </c>
      <c r="H26" s="111">
        <v>38</v>
      </c>
      <c r="I26" s="111">
        <v>112</v>
      </c>
      <c r="J26" s="111">
        <v>106</v>
      </c>
      <c r="K26" s="111">
        <v>118</v>
      </c>
      <c r="L26" s="111">
        <v>42</v>
      </c>
      <c r="M26" s="111">
        <v>72</v>
      </c>
    </row>
    <row r="27" spans="1:995" s="5" customFormat="1" ht="23.25" customHeight="1">
      <c r="A27" s="36"/>
      <c r="B27" s="110"/>
      <c r="C27" s="37"/>
      <c r="D27" s="36"/>
      <c r="E27" s="36"/>
      <c r="F27" s="112">
        <v>105</v>
      </c>
      <c r="G27" s="112">
        <v>118</v>
      </c>
      <c r="H27" s="112">
        <v>70</v>
      </c>
      <c r="I27" s="112">
        <v>72</v>
      </c>
      <c r="J27" s="112">
        <v>54</v>
      </c>
      <c r="K27" s="112">
        <v>42</v>
      </c>
      <c r="L27" s="112">
        <v>98</v>
      </c>
      <c r="M27" s="113"/>
    </row>
    <row r="28" spans="1:995" s="5" customFormat="1" ht="23.25" customHeight="1">
      <c r="A28" s="30" t="s">
        <v>515</v>
      </c>
      <c r="B28" s="44">
        <v>16</v>
      </c>
      <c r="C28" s="31" t="s">
        <v>156</v>
      </c>
      <c r="D28" s="32" t="s">
        <v>120</v>
      </c>
      <c r="E28" s="104" t="s">
        <v>394</v>
      </c>
      <c r="F28" s="111">
        <v>43</v>
      </c>
      <c r="G28" s="111">
        <v>24</v>
      </c>
      <c r="H28" s="111">
        <v>34</v>
      </c>
      <c r="I28" s="111">
        <v>102</v>
      </c>
      <c r="J28" s="111">
        <v>90</v>
      </c>
      <c r="K28" s="111">
        <v>106</v>
      </c>
      <c r="L28" s="111">
        <v>40</v>
      </c>
      <c r="M28" s="111">
        <v>70</v>
      </c>
    </row>
    <row r="29" spans="1:995" s="5" customFormat="1" ht="23.25" customHeight="1">
      <c r="A29" s="36"/>
      <c r="B29" s="110"/>
      <c r="C29" s="37"/>
      <c r="D29" s="36"/>
      <c r="E29" s="36"/>
      <c r="F29" s="112">
        <v>88</v>
      </c>
      <c r="G29" s="112">
        <v>106</v>
      </c>
      <c r="H29" s="112">
        <v>68</v>
      </c>
      <c r="I29" s="112">
        <v>70</v>
      </c>
      <c r="J29" s="112">
        <v>50</v>
      </c>
      <c r="K29" s="112">
        <v>42</v>
      </c>
      <c r="L29" s="112">
        <v>96</v>
      </c>
      <c r="M29" s="113"/>
    </row>
    <row r="30" spans="1:995" s="5" customFormat="1" ht="23.25" customHeight="1">
      <c r="A30" s="30" t="s">
        <v>516</v>
      </c>
      <c r="B30" s="44">
        <v>18</v>
      </c>
      <c r="C30" s="31" t="s">
        <v>165</v>
      </c>
      <c r="D30" s="32" t="s">
        <v>120</v>
      </c>
      <c r="E30" s="104" t="s">
        <v>394</v>
      </c>
      <c r="F30" s="111">
        <v>45</v>
      </c>
      <c r="G30" s="111">
        <v>25</v>
      </c>
      <c r="H30" s="111">
        <v>18</v>
      </c>
      <c r="I30" s="111">
        <v>28.5</v>
      </c>
      <c r="J30" s="111">
        <v>26</v>
      </c>
      <c r="K30" s="111">
        <v>28.5</v>
      </c>
      <c r="L30" s="111">
        <v>72</v>
      </c>
      <c r="M30" s="111">
        <v>41</v>
      </c>
    </row>
    <row r="31" spans="1:995" s="5" customFormat="1" ht="23.25" customHeight="1">
      <c r="A31" s="36"/>
      <c r="B31" s="110"/>
      <c r="C31" s="37"/>
      <c r="D31" s="36"/>
      <c r="E31" s="36"/>
      <c r="F31" s="112">
        <v>89</v>
      </c>
      <c r="G31" s="112">
        <v>108</v>
      </c>
      <c r="H31" s="112">
        <v>70</v>
      </c>
      <c r="I31" s="112">
        <v>34</v>
      </c>
      <c r="J31" s="112">
        <v>25</v>
      </c>
      <c r="K31" s="112">
        <v>19</v>
      </c>
      <c r="L31" s="112">
        <v>99</v>
      </c>
      <c r="M31" s="113"/>
    </row>
    <row r="32" spans="1:995" s="5" customFormat="1" ht="23.25" customHeight="1">
      <c r="A32" s="30" t="s">
        <v>517</v>
      </c>
      <c r="B32" s="44">
        <v>19</v>
      </c>
      <c r="C32" s="31" t="s">
        <v>168</v>
      </c>
      <c r="D32" s="32" t="s">
        <v>120</v>
      </c>
      <c r="E32" s="104" t="s">
        <v>394</v>
      </c>
      <c r="F32" s="111">
        <v>47</v>
      </c>
      <c r="G32" s="111">
        <v>27</v>
      </c>
      <c r="H32" s="111">
        <v>36</v>
      </c>
      <c r="I32" s="111">
        <v>108</v>
      </c>
      <c r="J32" s="111">
        <v>102</v>
      </c>
      <c r="K32" s="111">
        <v>110</v>
      </c>
      <c r="L32" s="111">
        <v>70</v>
      </c>
      <c r="M32" s="111">
        <v>40</v>
      </c>
    </row>
    <row r="33" spans="1:995" s="4" customFormat="1" ht="23.25" customHeight="1">
      <c r="A33" s="36"/>
      <c r="B33" s="110"/>
      <c r="C33" s="37"/>
      <c r="D33" s="36"/>
      <c r="E33" s="36"/>
      <c r="F33" s="112">
        <v>94</v>
      </c>
      <c r="G33" s="112">
        <v>104</v>
      </c>
      <c r="H33" s="112">
        <v>110</v>
      </c>
      <c r="I33" s="112">
        <v>74</v>
      </c>
      <c r="J33" s="112">
        <v>68</v>
      </c>
      <c r="K33" s="112">
        <v>50</v>
      </c>
      <c r="L33" s="112">
        <v>42</v>
      </c>
      <c r="M33" s="113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  <c r="AAA33" s="5"/>
      <c r="AAB33" s="5"/>
      <c r="AAC33" s="5"/>
      <c r="AAD33" s="5"/>
      <c r="AAE33" s="5"/>
      <c r="AAF33" s="5"/>
      <c r="AAG33" s="5"/>
      <c r="AAH33" s="5"/>
      <c r="AAI33" s="5"/>
      <c r="AAJ33" s="5"/>
      <c r="AAK33" s="5"/>
      <c r="AAL33" s="5"/>
      <c r="AAM33" s="5"/>
      <c r="AAN33" s="5"/>
      <c r="AAO33" s="5"/>
      <c r="AAP33" s="5"/>
      <c r="AAQ33" s="5"/>
      <c r="AAR33" s="5"/>
      <c r="AAS33" s="5"/>
      <c r="AAT33" s="5"/>
      <c r="AAU33" s="5"/>
      <c r="AAV33" s="5"/>
      <c r="AAW33" s="5"/>
      <c r="AAX33" s="5"/>
      <c r="AAY33" s="5"/>
      <c r="AAZ33" s="5"/>
      <c r="ABA33" s="5"/>
      <c r="ABB33" s="5"/>
      <c r="ABC33" s="5"/>
      <c r="ABD33" s="5"/>
      <c r="ABE33" s="5"/>
      <c r="ABF33" s="5"/>
      <c r="ABG33" s="5"/>
      <c r="ABH33" s="5"/>
      <c r="ABI33" s="5"/>
      <c r="ABJ33" s="5"/>
      <c r="ABK33" s="5"/>
      <c r="ABL33" s="5"/>
      <c r="ABM33" s="5"/>
      <c r="ABN33" s="5"/>
      <c r="ABO33" s="5"/>
      <c r="ABP33" s="5"/>
      <c r="ABQ33" s="5"/>
      <c r="ABR33" s="5"/>
      <c r="ABS33" s="5"/>
      <c r="ABT33" s="5"/>
      <c r="ABU33" s="5"/>
      <c r="ABV33" s="5"/>
      <c r="ABW33" s="5"/>
      <c r="ABX33" s="5"/>
      <c r="ABY33" s="5"/>
      <c r="ABZ33" s="5"/>
      <c r="ACA33" s="5"/>
      <c r="ACB33" s="5"/>
      <c r="ACC33" s="5"/>
      <c r="ACD33" s="5"/>
      <c r="ACE33" s="5"/>
      <c r="ACF33" s="5"/>
      <c r="ACG33" s="5"/>
      <c r="ACH33" s="5"/>
      <c r="ACI33" s="5"/>
      <c r="ACJ33" s="5"/>
      <c r="ACK33" s="5"/>
      <c r="ACL33" s="5"/>
      <c r="ACM33" s="5"/>
      <c r="ACN33" s="5"/>
      <c r="ACO33" s="5"/>
      <c r="ACP33" s="5"/>
      <c r="ACQ33" s="5"/>
      <c r="ACR33" s="5"/>
      <c r="ACS33" s="5"/>
      <c r="ACT33" s="5"/>
      <c r="ACU33" s="5"/>
      <c r="ACV33" s="5"/>
      <c r="ACW33" s="5"/>
      <c r="ACX33" s="5"/>
      <c r="ACY33" s="5"/>
      <c r="ACZ33" s="5"/>
      <c r="ADA33" s="5"/>
      <c r="ADB33" s="5"/>
      <c r="ADC33" s="5"/>
      <c r="ADD33" s="5"/>
      <c r="ADE33" s="5"/>
      <c r="ADF33" s="5"/>
      <c r="ADG33" s="5"/>
      <c r="ADH33" s="5"/>
      <c r="ADI33" s="5"/>
      <c r="ADJ33" s="5"/>
      <c r="ADK33" s="5"/>
      <c r="ADL33" s="5"/>
      <c r="ADM33" s="5"/>
      <c r="ADN33" s="5"/>
      <c r="ADO33" s="5"/>
      <c r="ADP33" s="5"/>
      <c r="ADQ33" s="5"/>
      <c r="ADR33" s="5"/>
      <c r="ADS33" s="5"/>
      <c r="ADT33" s="5"/>
      <c r="ADU33" s="5"/>
      <c r="ADV33" s="5"/>
      <c r="ADW33" s="5"/>
      <c r="ADX33" s="5"/>
      <c r="ADY33" s="5"/>
      <c r="ADZ33" s="5"/>
      <c r="AEA33" s="5"/>
      <c r="AEB33" s="5"/>
      <c r="AEC33" s="5"/>
      <c r="AED33" s="5"/>
      <c r="AEE33" s="5"/>
      <c r="AEF33" s="5"/>
      <c r="AEG33" s="5"/>
      <c r="AEH33" s="5"/>
      <c r="AEI33" s="5"/>
      <c r="AEJ33" s="5"/>
      <c r="AEK33" s="5"/>
      <c r="AEL33" s="5"/>
      <c r="AEM33" s="5"/>
      <c r="AEN33" s="5"/>
      <c r="AEO33" s="5"/>
      <c r="AEP33" s="5"/>
      <c r="AEQ33" s="5"/>
      <c r="AER33" s="5"/>
      <c r="AES33" s="5"/>
      <c r="AET33" s="5"/>
      <c r="AEU33" s="5"/>
      <c r="AEV33" s="5"/>
      <c r="AEW33" s="5"/>
      <c r="AEX33" s="5"/>
      <c r="AEY33" s="5"/>
      <c r="AEZ33" s="5"/>
      <c r="AFA33" s="5"/>
      <c r="AFB33" s="5"/>
      <c r="AFC33" s="5"/>
      <c r="AFD33" s="5"/>
      <c r="AFE33" s="5"/>
      <c r="AFF33" s="5"/>
      <c r="AFG33" s="5"/>
      <c r="AFH33" s="5"/>
      <c r="AFI33" s="5"/>
      <c r="AFJ33" s="5"/>
      <c r="AFK33" s="5"/>
      <c r="AFL33" s="5"/>
      <c r="AFM33" s="5"/>
      <c r="AFN33" s="5"/>
      <c r="AFO33" s="5"/>
      <c r="AFP33" s="5"/>
      <c r="AFQ33" s="5"/>
      <c r="AFR33" s="5"/>
      <c r="AFS33" s="5"/>
      <c r="AFT33" s="5"/>
      <c r="AFU33" s="5"/>
      <c r="AFV33" s="5"/>
      <c r="AFW33" s="5"/>
      <c r="AFX33" s="5"/>
      <c r="AFY33" s="5"/>
      <c r="AFZ33" s="5"/>
      <c r="AGA33" s="5"/>
      <c r="AGB33" s="5"/>
      <c r="AGC33" s="5"/>
      <c r="AGD33" s="5"/>
      <c r="AGE33" s="5"/>
      <c r="AGF33" s="5"/>
      <c r="AGG33" s="5"/>
      <c r="AGH33" s="5"/>
      <c r="AGI33" s="5"/>
      <c r="AGJ33" s="5"/>
      <c r="AGK33" s="5"/>
      <c r="AGL33" s="5"/>
      <c r="AGM33" s="5"/>
      <c r="AGN33" s="5"/>
      <c r="AGO33" s="5"/>
      <c r="AGP33" s="5"/>
      <c r="AGQ33" s="5"/>
      <c r="AGR33" s="5"/>
      <c r="AGS33" s="5"/>
      <c r="AGT33" s="5"/>
      <c r="AGU33" s="5"/>
      <c r="AGV33" s="5"/>
      <c r="AGW33" s="5"/>
      <c r="AGX33" s="5"/>
      <c r="AGY33" s="5"/>
      <c r="AGZ33" s="5"/>
      <c r="AHA33" s="5"/>
      <c r="AHB33" s="5"/>
      <c r="AHC33" s="5"/>
      <c r="AHD33" s="5"/>
      <c r="AHE33" s="5"/>
      <c r="AHF33" s="5"/>
      <c r="AHG33" s="5"/>
      <c r="AHH33" s="5"/>
      <c r="AHI33" s="5"/>
      <c r="AHJ33" s="5"/>
      <c r="AHK33" s="5"/>
      <c r="AHL33" s="5"/>
      <c r="AHM33" s="5"/>
      <c r="AHN33" s="5"/>
      <c r="AHO33" s="5"/>
      <c r="AHP33" s="5"/>
      <c r="AHQ33" s="5"/>
      <c r="AHR33" s="5"/>
      <c r="AHS33" s="5"/>
      <c r="AHT33" s="5"/>
      <c r="AHU33" s="5"/>
      <c r="AHV33" s="5"/>
      <c r="AHW33" s="5"/>
      <c r="AHX33" s="5"/>
      <c r="AHY33" s="5"/>
      <c r="AHZ33" s="5"/>
      <c r="AIA33" s="5"/>
      <c r="AIB33" s="5"/>
      <c r="AIC33" s="5"/>
      <c r="AID33" s="5"/>
      <c r="AIE33" s="5"/>
      <c r="AIF33" s="5"/>
      <c r="AIG33" s="5"/>
      <c r="AIH33" s="5"/>
      <c r="AII33" s="5"/>
      <c r="AIJ33" s="5"/>
      <c r="AIK33" s="5"/>
      <c r="AIL33" s="5"/>
      <c r="AIM33" s="5"/>
      <c r="AIN33" s="5"/>
      <c r="AIO33" s="5"/>
      <c r="AIP33" s="5"/>
      <c r="AIQ33" s="5"/>
      <c r="AIR33" s="5"/>
      <c r="AIS33" s="5"/>
      <c r="AIT33" s="5"/>
      <c r="AIU33" s="5"/>
      <c r="AIV33" s="5"/>
      <c r="AIW33" s="5"/>
      <c r="AIX33" s="5"/>
      <c r="AIY33" s="5"/>
      <c r="AIZ33" s="5"/>
      <c r="AJA33" s="5"/>
      <c r="AJB33" s="5"/>
      <c r="AJC33" s="5"/>
      <c r="AJD33" s="5"/>
      <c r="AJE33" s="5"/>
      <c r="AJF33" s="5"/>
      <c r="AJG33" s="5"/>
      <c r="AJH33" s="5"/>
      <c r="AJI33" s="5"/>
      <c r="AJJ33" s="5"/>
      <c r="AJK33" s="5"/>
      <c r="AJL33" s="5"/>
      <c r="AJM33" s="5"/>
      <c r="AJN33" s="5"/>
      <c r="AJO33" s="5"/>
      <c r="AJP33" s="5"/>
      <c r="AJQ33" s="5"/>
      <c r="AJR33" s="5"/>
      <c r="AJS33" s="5"/>
      <c r="AJT33" s="5"/>
      <c r="AJU33" s="5"/>
      <c r="AJV33" s="5"/>
      <c r="AJW33" s="5"/>
      <c r="AJX33" s="5"/>
      <c r="AJY33" s="5"/>
      <c r="AJZ33" s="5"/>
      <c r="AKA33" s="5"/>
      <c r="AKB33" s="5"/>
      <c r="AKC33" s="5"/>
      <c r="AKD33" s="5"/>
      <c r="AKE33" s="5"/>
      <c r="AKF33" s="5"/>
      <c r="AKG33" s="5"/>
      <c r="AKH33" s="5"/>
      <c r="AKI33" s="5"/>
      <c r="AKJ33" s="5"/>
      <c r="AKK33" s="5"/>
      <c r="AKL33" s="5"/>
      <c r="AKM33" s="5"/>
      <c r="AKN33" s="5"/>
      <c r="AKO33" s="5"/>
      <c r="AKP33" s="5"/>
      <c r="AKQ33" s="5"/>
      <c r="AKR33" s="5"/>
      <c r="AKS33" s="5"/>
      <c r="AKT33" s="5"/>
      <c r="AKU33" s="5"/>
      <c r="AKV33" s="5"/>
      <c r="AKW33" s="5"/>
      <c r="AKX33" s="5"/>
      <c r="AKY33" s="5"/>
      <c r="AKZ33" s="5"/>
      <c r="ALA33" s="5"/>
      <c r="ALB33" s="5"/>
      <c r="ALC33" s="5"/>
      <c r="ALD33" s="5"/>
      <c r="ALE33" s="5"/>
      <c r="ALF33" s="5"/>
      <c r="ALG33" s="5"/>
    </row>
    <row r="34" spans="1:995" s="4" customFormat="1" ht="23.25" customHeight="1">
      <c r="A34" s="30" t="s">
        <v>518</v>
      </c>
      <c r="B34" s="44">
        <v>20</v>
      </c>
      <c r="C34" s="31" t="s">
        <v>177</v>
      </c>
      <c r="D34" s="32" t="s">
        <v>120</v>
      </c>
      <c r="E34" s="104" t="s">
        <v>394</v>
      </c>
      <c r="F34" s="111">
        <v>43</v>
      </c>
      <c r="G34" s="111">
        <v>25</v>
      </c>
      <c r="H34" s="111">
        <v>16</v>
      </c>
      <c r="I34" s="111">
        <v>25</v>
      </c>
      <c r="J34" s="111">
        <v>24</v>
      </c>
      <c r="K34" s="111">
        <v>26</v>
      </c>
      <c r="L34" s="111">
        <v>70</v>
      </c>
      <c r="M34" s="111">
        <v>38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  <c r="AAA34" s="5"/>
      <c r="AAB34" s="5"/>
      <c r="AAC34" s="5"/>
      <c r="AAD34" s="5"/>
      <c r="AAE34" s="5"/>
      <c r="AAF34" s="5"/>
      <c r="AAG34" s="5"/>
      <c r="AAH34" s="5"/>
      <c r="AAI34" s="5"/>
      <c r="AAJ34" s="5"/>
      <c r="AAK34" s="5"/>
      <c r="AAL34" s="5"/>
      <c r="AAM34" s="5"/>
      <c r="AAN34" s="5"/>
      <c r="AAO34" s="5"/>
      <c r="AAP34" s="5"/>
      <c r="AAQ34" s="5"/>
      <c r="AAR34" s="5"/>
      <c r="AAS34" s="5"/>
      <c r="AAT34" s="5"/>
      <c r="AAU34" s="5"/>
      <c r="AAV34" s="5"/>
      <c r="AAW34" s="5"/>
      <c r="AAX34" s="5"/>
      <c r="AAY34" s="5"/>
      <c r="AAZ34" s="5"/>
      <c r="ABA34" s="5"/>
      <c r="ABB34" s="5"/>
      <c r="ABC34" s="5"/>
      <c r="ABD34" s="5"/>
      <c r="ABE34" s="5"/>
      <c r="ABF34" s="5"/>
      <c r="ABG34" s="5"/>
      <c r="ABH34" s="5"/>
      <c r="ABI34" s="5"/>
      <c r="ABJ34" s="5"/>
      <c r="ABK34" s="5"/>
      <c r="ABL34" s="5"/>
      <c r="ABM34" s="5"/>
      <c r="ABN34" s="5"/>
      <c r="ABO34" s="5"/>
      <c r="ABP34" s="5"/>
      <c r="ABQ34" s="5"/>
      <c r="ABR34" s="5"/>
      <c r="ABS34" s="5"/>
      <c r="ABT34" s="5"/>
      <c r="ABU34" s="5"/>
      <c r="ABV34" s="5"/>
      <c r="ABW34" s="5"/>
      <c r="ABX34" s="5"/>
      <c r="ABY34" s="5"/>
      <c r="ABZ34" s="5"/>
      <c r="ACA34" s="5"/>
      <c r="ACB34" s="5"/>
      <c r="ACC34" s="5"/>
      <c r="ACD34" s="5"/>
      <c r="ACE34" s="5"/>
      <c r="ACF34" s="5"/>
      <c r="ACG34" s="5"/>
      <c r="ACH34" s="5"/>
      <c r="ACI34" s="5"/>
      <c r="ACJ34" s="5"/>
      <c r="ACK34" s="5"/>
      <c r="ACL34" s="5"/>
      <c r="ACM34" s="5"/>
      <c r="ACN34" s="5"/>
      <c r="ACO34" s="5"/>
      <c r="ACP34" s="5"/>
      <c r="ACQ34" s="5"/>
      <c r="ACR34" s="5"/>
      <c r="ACS34" s="5"/>
      <c r="ACT34" s="5"/>
      <c r="ACU34" s="5"/>
      <c r="ACV34" s="5"/>
      <c r="ACW34" s="5"/>
      <c r="ACX34" s="5"/>
      <c r="ACY34" s="5"/>
      <c r="ACZ34" s="5"/>
      <c r="ADA34" s="5"/>
      <c r="ADB34" s="5"/>
      <c r="ADC34" s="5"/>
      <c r="ADD34" s="5"/>
      <c r="ADE34" s="5"/>
      <c r="ADF34" s="5"/>
      <c r="ADG34" s="5"/>
      <c r="ADH34" s="5"/>
      <c r="ADI34" s="5"/>
      <c r="ADJ34" s="5"/>
      <c r="ADK34" s="5"/>
      <c r="ADL34" s="5"/>
      <c r="ADM34" s="5"/>
      <c r="ADN34" s="5"/>
      <c r="ADO34" s="5"/>
      <c r="ADP34" s="5"/>
      <c r="ADQ34" s="5"/>
      <c r="ADR34" s="5"/>
      <c r="ADS34" s="5"/>
      <c r="ADT34" s="5"/>
      <c r="ADU34" s="5"/>
      <c r="ADV34" s="5"/>
      <c r="ADW34" s="5"/>
      <c r="ADX34" s="5"/>
      <c r="ADY34" s="5"/>
      <c r="ADZ34" s="5"/>
      <c r="AEA34" s="5"/>
      <c r="AEB34" s="5"/>
      <c r="AEC34" s="5"/>
      <c r="AED34" s="5"/>
      <c r="AEE34" s="5"/>
      <c r="AEF34" s="5"/>
      <c r="AEG34" s="5"/>
      <c r="AEH34" s="5"/>
      <c r="AEI34" s="5"/>
      <c r="AEJ34" s="5"/>
      <c r="AEK34" s="5"/>
      <c r="AEL34" s="5"/>
      <c r="AEM34" s="5"/>
      <c r="AEN34" s="5"/>
      <c r="AEO34" s="5"/>
      <c r="AEP34" s="5"/>
      <c r="AEQ34" s="5"/>
      <c r="AER34" s="5"/>
      <c r="AES34" s="5"/>
      <c r="AET34" s="5"/>
      <c r="AEU34" s="5"/>
      <c r="AEV34" s="5"/>
      <c r="AEW34" s="5"/>
      <c r="AEX34" s="5"/>
      <c r="AEY34" s="5"/>
      <c r="AEZ34" s="5"/>
      <c r="AFA34" s="5"/>
      <c r="AFB34" s="5"/>
      <c r="AFC34" s="5"/>
      <c r="AFD34" s="5"/>
      <c r="AFE34" s="5"/>
      <c r="AFF34" s="5"/>
      <c r="AFG34" s="5"/>
      <c r="AFH34" s="5"/>
      <c r="AFI34" s="5"/>
      <c r="AFJ34" s="5"/>
      <c r="AFK34" s="5"/>
      <c r="AFL34" s="5"/>
      <c r="AFM34" s="5"/>
      <c r="AFN34" s="5"/>
      <c r="AFO34" s="5"/>
      <c r="AFP34" s="5"/>
      <c r="AFQ34" s="5"/>
      <c r="AFR34" s="5"/>
      <c r="AFS34" s="5"/>
      <c r="AFT34" s="5"/>
      <c r="AFU34" s="5"/>
      <c r="AFV34" s="5"/>
      <c r="AFW34" s="5"/>
      <c r="AFX34" s="5"/>
      <c r="AFY34" s="5"/>
      <c r="AFZ34" s="5"/>
      <c r="AGA34" s="5"/>
      <c r="AGB34" s="5"/>
      <c r="AGC34" s="5"/>
      <c r="AGD34" s="5"/>
      <c r="AGE34" s="5"/>
      <c r="AGF34" s="5"/>
      <c r="AGG34" s="5"/>
      <c r="AGH34" s="5"/>
      <c r="AGI34" s="5"/>
      <c r="AGJ34" s="5"/>
      <c r="AGK34" s="5"/>
      <c r="AGL34" s="5"/>
      <c r="AGM34" s="5"/>
      <c r="AGN34" s="5"/>
      <c r="AGO34" s="5"/>
      <c r="AGP34" s="5"/>
      <c r="AGQ34" s="5"/>
      <c r="AGR34" s="5"/>
      <c r="AGS34" s="5"/>
      <c r="AGT34" s="5"/>
      <c r="AGU34" s="5"/>
      <c r="AGV34" s="5"/>
      <c r="AGW34" s="5"/>
      <c r="AGX34" s="5"/>
      <c r="AGY34" s="5"/>
      <c r="AGZ34" s="5"/>
      <c r="AHA34" s="5"/>
      <c r="AHB34" s="5"/>
      <c r="AHC34" s="5"/>
      <c r="AHD34" s="5"/>
      <c r="AHE34" s="5"/>
      <c r="AHF34" s="5"/>
      <c r="AHG34" s="5"/>
      <c r="AHH34" s="5"/>
      <c r="AHI34" s="5"/>
      <c r="AHJ34" s="5"/>
      <c r="AHK34" s="5"/>
      <c r="AHL34" s="5"/>
      <c r="AHM34" s="5"/>
      <c r="AHN34" s="5"/>
      <c r="AHO34" s="5"/>
      <c r="AHP34" s="5"/>
      <c r="AHQ34" s="5"/>
      <c r="AHR34" s="5"/>
      <c r="AHS34" s="5"/>
      <c r="AHT34" s="5"/>
      <c r="AHU34" s="5"/>
      <c r="AHV34" s="5"/>
      <c r="AHW34" s="5"/>
      <c r="AHX34" s="5"/>
      <c r="AHY34" s="5"/>
      <c r="AHZ34" s="5"/>
      <c r="AIA34" s="5"/>
      <c r="AIB34" s="5"/>
      <c r="AIC34" s="5"/>
      <c r="AID34" s="5"/>
      <c r="AIE34" s="5"/>
      <c r="AIF34" s="5"/>
      <c r="AIG34" s="5"/>
      <c r="AIH34" s="5"/>
      <c r="AII34" s="5"/>
      <c r="AIJ34" s="5"/>
      <c r="AIK34" s="5"/>
      <c r="AIL34" s="5"/>
      <c r="AIM34" s="5"/>
      <c r="AIN34" s="5"/>
      <c r="AIO34" s="5"/>
      <c r="AIP34" s="5"/>
      <c r="AIQ34" s="5"/>
      <c r="AIR34" s="5"/>
      <c r="AIS34" s="5"/>
      <c r="AIT34" s="5"/>
      <c r="AIU34" s="5"/>
      <c r="AIV34" s="5"/>
      <c r="AIW34" s="5"/>
      <c r="AIX34" s="5"/>
      <c r="AIY34" s="5"/>
      <c r="AIZ34" s="5"/>
      <c r="AJA34" s="5"/>
      <c r="AJB34" s="5"/>
      <c r="AJC34" s="5"/>
      <c r="AJD34" s="5"/>
      <c r="AJE34" s="5"/>
      <c r="AJF34" s="5"/>
      <c r="AJG34" s="5"/>
      <c r="AJH34" s="5"/>
      <c r="AJI34" s="5"/>
      <c r="AJJ34" s="5"/>
      <c r="AJK34" s="5"/>
      <c r="AJL34" s="5"/>
      <c r="AJM34" s="5"/>
      <c r="AJN34" s="5"/>
      <c r="AJO34" s="5"/>
      <c r="AJP34" s="5"/>
      <c r="AJQ34" s="5"/>
      <c r="AJR34" s="5"/>
      <c r="AJS34" s="5"/>
      <c r="AJT34" s="5"/>
      <c r="AJU34" s="5"/>
      <c r="AJV34" s="5"/>
      <c r="AJW34" s="5"/>
      <c r="AJX34" s="5"/>
      <c r="AJY34" s="5"/>
      <c r="AJZ34" s="5"/>
      <c r="AKA34" s="5"/>
      <c r="AKB34" s="5"/>
      <c r="AKC34" s="5"/>
      <c r="AKD34" s="5"/>
      <c r="AKE34" s="5"/>
      <c r="AKF34" s="5"/>
      <c r="AKG34" s="5"/>
      <c r="AKH34" s="5"/>
      <c r="AKI34" s="5"/>
      <c r="AKJ34" s="5"/>
      <c r="AKK34" s="5"/>
      <c r="AKL34" s="5"/>
      <c r="AKM34" s="5"/>
      <c r="AKN34" s="5"/>
      <c r="AKO34" s="5"/>
      <c r="AKP34" s="5"/>
      <c r="AKQ34" s="5"/>
      <c r="AKR34" s="5"/>
      <c r="AKS34" s="5"/>
      <c r="AKT34" s="5"/>
      <c r="AKU34" s="5"/>
      <c r="AKV34" s="5"/>
      <c r="AKW34" s="5"/>
      <c r="AKX34" s="5"/>
      <c r="AKY34" s="5"/>
      <c r="AKZ34" s="5"/>
      <c r="ALA34" s="5"/>
      <c r="ALB34" s="5"/>
      <c r="ALC34" s="5"/>
      <c r="ALD34" s="5"/>
      <c r="ALE34" s="5"/>
      <c r="ALF34" s="5"/>
      <c r="ALG34" s="5"/>
    </row>
    <row r="35" spans="1:995" s="4" customFormat="1" ht="23.25" customHeight="1">
      <c r="A35" s="36"/>
      <c r="B35" s="110"/>
      <c r="C35" s="37"/>
      <c r="D35" s="36"/>
      <c r="E35" s="36"/>
      <c r="F35" s="112">
        <v>79</v>
      </c>
      <c r="G35" s="112">
        <v>99</v>
      </c>
      <c r="H35" s="112">
        <v>67</v>
      </c>
      <c r="I35" s="112">
        <v>30</v>
      </c>
      <c r="J35" s="112">
        <v>23</v>
      </c>
      <c r="K35" s="112">
        <v>18</v>
      </c>
      <c r="L35" s="112">
        <v>102</v>
      </c>
      <c r="M35" s="113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  <c r="AAA35" s="5"/>
      <c r="AAB35" s="5"/>
      <c r="AAC35" s="5"/>
      <c r="AAD35" s="5"/>
      <c r="AAE35" s="5"/>
      <c r="AAF35" s="5"/>
      <c r="AAG35" s="5"/>
      <c r="AAH35" s="5"/>
      <c r="AAI35" s="5"/>
      <c r="AAJ35" s="5"/>
      <c r="AAK35" s="5"/>
      <c r="AAL35" s="5"/>
      <c r="AAM35" s="5"/>
      <c r="AAN35" s="5"/>
      <c r="AAO35" s="5"/>
      <c r="AAP35" s="5"/>
      <c r="AAQ35" s="5"/>
      <c r="AAR35" s="5"/>
      <c r="AAS35" s="5"/>
      <c r="AAT35" s="5"/>
      <c r="AAU35" s="5"/>
      <c r="AAV35" s="5"/>
      <c r="AAW35" s="5"/>
      <c r="AAX35" s="5"/>
      <c r="AAY35" s="5"/>
      <c r="AAZ35" s="5"/>
      <c r="ABA35" s="5"/>
      <c r="ABB35" s="5"/>
      <c r="ABC35" s="5"/>
      <c r="ABD35" s="5"/>
      <c r="ABE35" s="5"/>
      <c r="ABF35" s="5"/>
      <c r="ABG35" s="5"/>
      <c r="ABH35" s="5"/>
      <c r="ABI35" s="5"/>
      <c r="ABJ35" s="5"/>
      <c r="ABK35" s="5"/>
      <c r="ABL35" s="5"/>
      <c r="ABM35" s="5"/>
      <c r="ABN35" s="5"/>
      <c r="ABO35" s="5"/>
      <c r="ABP35" s="5"/>
      <c r="ABQ35" s="5"/>
      <c r="ABR35" s="5"/>
      <c r="ABS35" s="5"/>
      <c r="ABT35" s="5"/>
      <c r="ABU35" s="5"/>
      <c r="ABV35" s="5"/>
      <c r="ABW35" s="5"/>
      <c r="ABX35" s="5"/>
      <c r="ABY35" s="5"/>
      <c r="ABZ35" s="5"/>
      <c r="ACA35" s="5"/>
      <c r="ACB35" s="5"/>
      <c r="ACC35" s="5"/>
      <c r="ACD35" s="5"/>
      <c r="ACE35" s="5"/>
      <c r="ACF35" s="5"/>
      <c r="ACG35" s="5"/>
      <c r="ACH35" s="5"/>
      <c r="ACI35" s="5"/>
      <c r="ACJ35" s="5"/>
      <c r="ACK35" s="5"/>
      <c r="ACL35" s="5"/>
      <c r="ACM35" s="5"/>
      <c r="ACN35" s="5"/>
      <c r="ACO35" s="5"/>
      <c r="ACP35" s="5"/>
      <c r="ACQ35" s="5"/>
      <c r="ACR35" s="5"/>
      <c r="ACS35" s="5"/>
      <c r="ACT35" s="5"/>
      <c r="ACU35" s="5"/>
      <c r="ACV35" s="5"/>
      <c r="ACW35" s="5"/>
      <c r="ACX35" s="5"/>
      <c r="ACY35" s="5"/>
      <c r="ACZ35" s="5"/>
      <c r="ADA35" s="5"/>
      <c r="ADB35" s="5"/>
      <c r="ADC35" s="5"/>
      <c r="ADD35" s="5"/>
      <c r="ADE35" s="5"/>
      <c r="ADF35" s="5"/>
      <c r="ADG35" s="5"/>
      <c r="ADH35" s="5"/>
      <c r="ADI35" s="5"/>
      <c r="ADJ35" s="5"/>
      <c r="ADK35" s="5"/>
      <c r="ADL35" s="5"/>
      <c r="ADM35" s="5"/>
      <c r="ADN35" s="5"/>
      <c r="ADO35" s="5"/>
      <c r="ADP35" s="5"/>
      <c r="ADQ35" s="5"/>
      <c r="ADR35" s="5"/>
      <c r="ADS35" s="5"/>
      <c r="ADT35" s="5"/>
      <c r="ADU35" s="5"/>
      <c r="ADV35" s="5"/>
      <c r="ADW35" s="5"/>
      <c r="ADX35" s="5"/>
      <c r="ADY35" s="5"/>
      <c r="ADZ35" s="5"/>
      <c r="AEA35" s="5"/>
      <c r="AEB35" s="5"/>
      <c r="AEC35" s="5"/>
      <c r="AED35" s="5"/>
      <c r="AEE35" s="5"/>
      <c r="AEF35" s="5"/>
      <c r="AEG35" s="5"/>
      <c r="AEH35" s="5"/>
      <c r="AEI35" s="5"/>
      <c r="AEJ35" s="5"/>
      <c r="AEK35" s="5"/>
      <c r="AEL35" s="5"/>
      <c r="AEM35" s="5"/>
      <c r="AEN35" s="5"/>
      <c r="AEO35" s="5"/>
      <c r="AEP35" s="5"/>
      <c r="AEQ35" s="5"/>
      <c r="AER35" s="5"/>
      <c r="AES35" s="5"/>
      <c r="AET35" s="5"/>
      <c r="AEU35" s="5"/>
      <c r="AEV35" s="5"/>
      <c r="AEW35" s="5"/>
      <c r="AEX35" s="5"/>
      <c r="AEY35" s="5"/>
      <c r="AEZ35" s="5"/>
      <c r="AFA35" s="5"/>
      <c r="AFB35" s="5"/>
      <c r="AFC35" s="5"/>
      <c r="AFD35" s="5"/>
      <c r="AFE35" s="5"/>
      <c r="AFF35" s="5"/>
      <c r="AFG35" s="5"/>
      <c r="AFH35" s="5"/>
      <c r="AFI35" s="5"/>
      <c r="AFJ35" s="5"/>
      <c r="AFK35" s="5"/>
      <c r="AFL35" s="5"/>
      <c r="AFM35" s="5"/>
      <c r="AFN35" s="5"/>
      <c r="AFO35" s="5"/>
      <c r="AFP35" s="5"/>
      <c r="AFQ35" s="5"/>
      <c r="AFR35" s="5"/>
      <c r="AFS35" s="5"/>
      <c r="AFT35" s="5"/>
      <c r="AFU35" s="5"/>
      <c r="AFV35" s="5"/>
      <c r="AFW35" s="5"/>
      <c r="AFX35" s="5"/>
      <c r="AFY35" s="5"/>
      <c r="AFZ35" s="5"/>
      <c r="AGA35" s="5"/>
      <c r="AGB35" s="5"/>
      <c r="AGC35" s="5"/>
      <c r="AGD35" s="5"/>
      <c r="AGE35" s="5"/>
      <c r="AGF35" s="5"/>
      <c r="AGG35" s="5"/>
      <c r="AGH35" s="5"/>
      <c r="AGI35" s="5"/>
      <c r="AGJ35" s="5"/>
      <c r="AGK35" s="5"/>
      <c r="AGL35" s="5"/>
      <c r="AGM35" s="5"/>
      <c r="AGN35" s="5"/>
      <c r="AGO35" s="5"/>
      <c r="AGP35" s="5"/>
      <c r="AGQ35" s="5"/>
      <c r="AGR35" s="5"/>
      <c r="AGS35" s="5"/>
      <c r="AGT35" s="5"/>
      <c r="AGU35" s="5"/>
      <c r="AGV35" s="5"/>
      <c r="AGW35" s="5"/>
      <c r="AGX35" s="5"/>
      <c r="AGY35" s="5"/>
      <c r="AGZ35" s="5"/>
      <c r="AHA35" s="5"/>
      <c r="AHB35" s="5"/>
      <c r="AHC35" s="5"/>
      <c r="AHD35" s="5"/>
      <c r="AHE35" s="5"/>
      <c r="AHF35" s="5"/>
      <c r="AHG35" s="5"/>
      <c r="AHH35" s="5"/>
      <c r="AHI35" s="5"/>
      <c r="AHJ35" s="5"/>
      <c r="AHK35" s="5"/>
      <c r="AHL35" s="5"/>
      <c r="AHM35" s="5"/>
      <c r="AHN35" s="5"/>
      <c r="AHO35" s="5"/>
      <c r="AHP35" s="5"/>
      <c r="AHQ35" s="5"/>
      <c r="AHR35" s="5"/>
      <c r="AHS35" s="5"/>
      <c r="AHT35" s="5"/>
      <c r="AHU35" s="5"/>
      <c r="AHV35" s="5"/>
      <c r="AHW35" s="5"/>
      <c r="AHX35" s="5"/>
      <c r="AHY35" s="5"/>
      <c r="AHZ35" s="5"/>
      <c r="AIA35" s="5"/>
      <c r="AIB35" s="5"/>
      <c r="AIC35" s="5"/>
      <c r="AID35" s="5"/>
      <c r="AIE35" s="5"/>
      <c r="AIF35" s="5"/>
      <c r="AIG35" s="5"/>
      <c r="AIH35" s="5"/>
      <c r="AII35" s="5"/>
      <c r="AIJ35" s="5"/>
      <c r="AIK35" s="5"/>
      <c r="AIL35" s="5"/>
      <c r="AIM35" s="5"/>
      <c r="AIN35" s="5"/>
      <c r="AIO35" s="5"/>
      <c r="AIP35" s="5"/>
      <c r="AIQ35" s="5"/>
      <c r="AIR35" s="5"/>
      <c r="AIS35" s="5"/>
      <c r="AIT35" s="5"/>
      <c r="AIU35" s="5"/>
      <c r="AIV35" s="5"/>
      <c r="AIW35" s="5"/>
      <c r="AIX35" s="5"/>
      <c r="AIY35" s="5"/>
      <c r="AIZ35" s="5"/>
      <c r="AJA35" s="5"/>
      <c r="AJB35" s="5"/>
      <c r="AJC35" s="5"/>
      <c r="AJD35" s="5"/>
      <c r="AJE35" s="5"/>
      <c r="AJF35" s="5"/>
      <c r="AJG35" s="5"/>
      <c r="AJH35" s="5"/>
      <c r="AJI35" s="5"/>
      <c r="AJJ35" s="5"/>
      <c r="AJK35" s="5"/>
      <c r="AJL35" s="5"/>
      <c r="AJM35" s="5"/>
      <c r="AJN35" s="5"/>
      <c r="AJO35" s="5"/>
      <c r="AJP35" s="5"/>
      <c r="AJQ35" s="5"/>
      <c r="AJR35" s="5"/>
      <c r="AJS35" s="5"/>
      <c r="AJT35" s="5"/>
      <c r="AJU35" s="5"/>
      <c r="AJV35" s="5"/>
      <c r="AJW35" s="5"/>
      <c r="AJX35" s="5"/>
      <c r="AJY35" s="5"/>
      <c r="AJZ35" s="5"/>
      <c r="AKA35" s="5"/>
      <c r="AKB35" s="5"/>
      <c r="AKC35" s="5"/>
      <c r="AKD35" s="5"/>
      <c r="AKE35" s="5"/>
      <c r="AKF35" s="5"/>
      <c r="AKG35" s="5"/>
      <c r="AKH35" s="5"/>
      <c r="AKI35" s="5"/>
      <c r="AKJ35" s="5"/>
      <c r="AKK35" s="5"/>
      <c r="AKL35" s="5"/>
      <c r="AKM35" s="5"/>
      <c r="AKN35" s="5"/>
      <c r="AKO35" s="5"/>
      <c r="AKP35" s="5"/>
      <c r="AKQ35" s="5"/>
      <c r="AKR35" s="5"/>
      <c r="AKS35" s="5"/>
      <c r="AKT35" s="5"/>
      <c r="AKU35" s="5"/>
      <c r="AKV35" s="5"/>
      <c r="AKW35" s="5"/>
      <c r="AKX35" s="5"/>
      <c r="AKY35" s="5"/>
      <c r="AKZ35" s="5"/>
      <c r="ALA35" s="5"/>
      <c r="ALB35" s="5"/>
      <c r="ALC35" s="5"/>
      <c r="ALD35" s="5"/>
      <c r="ALE35" s="5"/>
      <c r="ALF35" s="5"/>
      <c r="ALG35" s="5"/>
    </row>
    <row r="36" spans="1:995" s="4" customFormat="1" ht="23.25" customHeight="1">
      <c r="A36" s="30" t="s">
        <v>519</v>
      </c>
      <c r="B36" s="44">
        <v>22</v>
      </c>
      <c r="C36" s="31" t="s">
        <v>183</v>
      </c>
      <c r="D36" s="32" t="s">
        <v>120</v>
      </c>
      <c r="E36" s="104" t="s">
        <v>394</v>
      </c>
      <c r="F36" s="111">
        <v>48</v>
      </c>
      <c r="G36" s="111">
        <v>27</v>
      </c>
      <c r="H36" s="111">
        <v>20</v>
      </c>
      <c r="I36" s="111">
        <v>28</v>
      </c>
      <c r="J36" s="111">
        <v>26</v>
      </c>
      <c r="K36" s="111">
        <v>28</v>
      </c>
      <c r="L36" s="111">
        <v>74</v>
      </c>
      <c r="M36" s="111">
        <v>40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  <c r="AAA36" s="5"/>
      <c r="AAB36" s="5"/>
      <c r="AAC36" s="5"/>
      <c r="AAD36" s="5"/>
      <c r="AAE36" s="5"/>
      <c r="AAF36" s="5"/>
      <c r="AAG36" s="5"/>
      <c r="AAH36" s="5"/>
      <c r="AAI36" s="5"/>
      <c r="AAJ36" s="5"/>
      <c r="AAK36" s="5"/>
      <c r="AAL36" s="5"/>
      <c r="AAM36" s="5"/>
      <c r="AAN36" s="5"/>
      <c r="AAO36" s="5"/>
      <c r="AAP36" s="5"/>
      <c r="AAQ36" s="5"/>
      <c r="AAR36" s="5"/>
      <c r="AAS36" s="5"/>
      <c r="AAT36" s="5"/>
      <c r="AAU36" s="5"/>
      <c r="AAV36" s="5"/>
      <c r="AAW36" s="5"/>
      <c r="AAX36" s="5"/>
      <c r="AAY36" s="5"/>
      <c r="AAZ36" s="5"/>
      <c r="ABA36" s="5"/>
      <c r="ABB36" s="5"/>
      <c r="ABC36" s="5"/>
      <c r="ABD36" s="5"/>
      <c r="ABE36" s="5"/>
      <c r="ABF36" s="5"/>
      <c r="ABG36" s="5"/>
      <c r="ABH36" s="5"/>
      <c r="ABI36" s="5"/>
      <c r="ABJ36" s="5"/>
      <c r="ABK36" s="5"/>
      <c r="ABL36" s="5"/>
      <c r="ABM36" s="5"/>
      <c r="ABN36" s="5"/>
      <c r="ABO36" s="5"/>
      <c r="ABP36" s="5"/>
      <c r="ABQ36" s="5"/>
      <c r="ABR36" s="5"/>
      <c r="ABS36" s="5"/>
      <c r="ABT36" s="5"/>
      <c r="ABU36" s="5"/>
      <c r="ABV36" s="5"/>
      <c r="ABW36" s="5"/>
      <c r="ABX36" s="5"/>
      <c r="ABY36" s="5"/>
      <c r="ABZ36" s="5"/>
      <c r="ACA36" s="5"/>
      <c r="ACB36" s="5"/>
      <c r="ACC36" s="5"/>
      <c r="ACD36" s="5"/>
      <c r="ACE36" s="5"/>
      <c r="ACF36" s="5"/>
      <c r="ACG36" s="5"/>
      <c r="ACH36" s="5"/>
      <c r="ACI36" s="5"/>
      <c r="ACJ36" s="5"/>
      <c r="ACK36" s="5"/>
      <c r="ACL36" s="5"/>
      <c r="ACM36" s="5"/>
      <c r="ACN36" s="5"/>
      <c r="ACO36" s="5"/>
      <c r="ACP36" s="5"/>
      <c r="ACQ36" s="5"/>
      <c r="ACR36" s="5"/>
      <c r="ACS36" s="5"/>
      <c r="ACT36" s="5"/>
      <c r="ACU36" s="5"/>
      <c r="ACV36" s="5"/>
      <c r="ACW36" s="5"/>
      <c r="ACX36" s="5"/>
      <c r="ACY36" s="5"/>
      <c r="ACZ36" s="5"/>
      <c r="ADA36" s="5"/>
      <c r="ADB36" s="5"/>
      <c r="ADC36" s="5"/>
      <c r="ADD36" s="5"/>
      <c r="ADE36" s="5"/>
      <c r="ADF36" s="5"/>
      <c r="ADG36" s="5"/>
      <c r="ADH36" s="5"/>
      <c r="ADI36" s="5"/>
      <c r="ADJ36" s="5"/>
      <c r="ADK36" s="5"/>
      <c r="ADL36" s="5"/>
      <c r="ADM36" s="5"/>
      <c r="ADN36" s="5"/>
      <c r="ADO36" s="5"/>
      <c r="ADP36" s="5"/>
      <c r="ADQ36" s="5"/>
      <c r="ADR36" s="5"/>
      <c r="ADS36" s="5"/>
      <c r="ADT36" s="5"/>
      <c r="ADU36" s="5"/>
      <c r="ADV36" s="5"/>
      <c r="ADW36" s="5"/>
      <c r="ADX36" s="5"/>
      <c r="ADY36" s="5"/>
      <c r="ADZ36" s="5"/>
      <c r="AEA36" s="5"/>
      <c r="AEB36" s="5"/>
      <c r="AEC36" s="5"/>
      <c r="AED36" s="5"/>
      <c r="AEE36" s="5"/>
      <c r="AEF36" s="5"/>
      <c r="AEG36" s="5"/>
      <c r="AEH36" s="5"/>
      <c r="AEI36" s="5"/>
      <c r="AEJ36" s="5"/>
      <c r="AEK36" s="5"/>
      <c r="AEL36" s="5"/>
      <c r="AEM36" s="5"/>
      <c r="AEN36" s="5"/>
      <c r="AEO36" s="5"/>
      <c r="AEP36" s="5"/>
      <c r="AEQ36" s="5"/>
      <c r="AER36" s="5"/>
      <c r="AES36" s="5"/>
      <c r="AET36" s="5"/>
      <c r="AEU36" s="5"/>
      <c r="AEV36" s="5"/>
      <c r="AEW36" s="5"/>
      <c r="AEX36" s="5"/>
      <c r="AEY36" s="5"/>
      <c r="AEZ36" s="5"/>
      <c r="AFA36" s="5"/>
      <c r="AFB36" s="5"/>
      <c r="AFC36" s="5"/>
      <c r="AFD36" s="5"/>
      <c r="AFE36" s="5"/>
      <c r="AFF36" s="5"/>
      <c r="AFG36" s="5"/>
      <c r="AFH36" s="5"/>
      <c r="AFI36" s="5"/>
      <c r="AFJ36" s="5"/>
      <c r="AFK36" s="5"/>
      <c r="AFL36" s="5"/>
      <c r="AFM36" s="5"/>
      <c r="AFN36" s="5"/>
      <c r="AFO36" s="5"/>
      <c r="AFP36" s="5"/>
      <c r="AFQ36" s="5"/>
      <c r="AFR36" s="5"/>
      <c r="AFS36" s="5"/>
      <c r="AFT36" s="5"/>
      <c r="AFU36" s="5"/>
      <c r="AFV36" s="5"/>
      <c r="AFW36" s="5"/>
      <c r="AFX36" s="5"/>
      <c r="AFY36" s="5"/>
      <c r="AFZ36" s="5"/>
      <c r="AGA36" s="5"/>
      <c r="AGB36" s="5"/>
      <c r="AGC36" s="5"/>
      <c r="AGD36" s="5"/>
      <c r="AGE36" s="5"/>
      <c r="AGF36" s="5"/>
      <c r="AGG36" s="5"/>
      <c r="AGH36" s="5"/>
      <c r="AGI36" s="5"/>
      <c r="AGJ36" s="5"/>
      <c r="AGK36" s="5"/>
      <c r="AGL36" s="5"/>
      <c r="AGM36" s="5"/>
      <c r="AGN36" s="5"/>
      <c r="AGO36" s="5"/>
      <c r="AGP36" s="5"/>
      <c r="AGQ36" s="5"/>
      <c r="AGR36" s="5"/>
      <c r="AGS36" s="5"/>
      <c r="AGT36" s="5"/>
      <c r="AGU36" s="5"/>
      <c r="AGV36" s="5"/>
      <c r="AGW36" s="5"/>
      <c r="AGX36" s="5"/>
      <c r="AGY36" s="5"/>
      <c r="AGZ36" s="5"/>
      <c r="AHA36" s="5"/>
      <c r="AHB36" s="5"/>
      <c r="AHC36" s="5"/>
      <c r="AHD36" s="5"/>
      <c r="AHE36" s="5"/>
      <c r="AHF36" s="5"/>
      <c r="AHG36" s="5"/>
      <c r="AHH36" s="5"/>
      <c r="AHI36" s="5"/>
      <c r="AHJ36" s="5"/>
      <c r="AHK36" s="5"/>
      <c r="AHL36" s="5"/>
      <c r="AHM36" s="5"/>
      <c r="AHN36" s="5"/>
      <c r="AHO36" s="5"/>
      <c r="AHP36" s="5"/>
      <c r="AHQ36" s="5"/>
      <c r="AHR36" s="5"/>
      <c r="AHS36" s="5"/>
      <c r="AHT36" s="5"/>
      <c r="AHU36" s="5"/>
      <c r="AHV36" s="5"/>
      <c r="AHW36" s="5"/>
      <c r="AHX36" s="5"/>
      <c r="AHY36" s="5"/>
      <c r="AHZ36" s="5"/>
      <c r="AIA36" s="5"/>
      <c r="AIB36" s="5"/>
      <c r="AIC36" s="5"/>
      <c r="AID36" s="5"/>
      <c r="AIE36" s="5"/>
      <c r="AIF36" s="5"/>
      <c r="AIG36" s="5"/>
      <c r="AIH36" s="5"/>
      <c r="AII36" s="5"/>
      <c r="AIJ36" s="5"/>
      <c r="AIK36" s="5"/>
      <c r="AIL36" s="5"/>
      <c r="AIM36" s="5"/>
      <c r="AIN36" s="5"/>
      <c r="AIO36" s="5"/>
      <c r="AIP36" s="5"/>
      <c r="AIQ36" s="5"/>
      <c r="AIR36" s="5"/>
      <c r="AIS36" s="5"/>
      <c r="AIT36" s="5"/>
      <c r="AIU36" s="5"/>
      <c r="AIV36" s="5"/>
      <c r="AIW36" s="5"/>
      <c r="AIX36" s="5"/>
      <c r="AIY36" s="5"/>
      <c r="AIZ36" s="5"/>
      <c r="AJA36" s="5"/>
      <c r="AJB36" s="5"/>
      <c r="AJC36" s="5"/>
      <c r="AJD36" s="5"/>
      <c r="AJE36" s="5"/>
      <c r="AJF36" s="5"/>
      <c r="AJG36" s="5"/>
      <c r="AJH36" s="5"/>
      <c r="AJI36" s="5"/>
      <c r="AJJ36" s="5"/>
      <c r="AJK36" s="5"/>
      <c r="AJL36" s="5"/>
      <c r="AJM36" s="5"/>
      <c r="AJN36" s="5"/>
      <c r="AJO36" s="5"/>
      <c r="AJP36" s="5"/>
      <c r="AJQ36" s="5"/>
      <c r="AJR36" s="5"/>
      <c r="AJS36" s="5"/>
      <c r="AJT36" s="5"/>
      <c r="AJU36" s="5"/>
      <c r="AJV36" s="5"/>
      <c r="AJW36" s="5"/>
      <c r="AJX36" s="5"/>
      <c r="AJY36" s="5"/>
      <c r="AJZ36" s="5"/>
      <c r="AKA36" s="5"/>
      <c r="AKB36" s="5"/>
      <c r="AKC36" s="5"/>
      <c r="AKD36" s="5"/>
      <c r="AKE36" s="5"/>
      <c r="AKF36" s="5"/>
      <c r="AKG36" s="5"/>
      <c r="AKH36" s="5"/>
      <c r="AKI36" s="5"/>
      <c r="AKJ36" s="5"/>
      <c r="AKK36" s="5"/>
      <c r="AKL36" s="5"/>
      <c r="AKM36" s="5"/>
      <c r="AKN36" s="5"/>
      <c r="AKO36" s="5"/>
      <c r="AKP36" s="5"/>
      <c r="AKQ36" s="5"/>
      <c r="AKR36" s="5"/>
      <c r="AKS36" s="5"/>
      <c r="AKT36" s="5"/>
      <c r="AKU36" s="5"/>
      <c r="AKV36" s="5"/>
      <c r="AKW36" s="5"/>
      <c r="AKX36" s="5"/>
      <c r="AKY36" s="5"/>
      <c r="AKZ36" s="5"/>
      <c r="ALA36" s="5"/>
      <c r="ALB36" s="5"/>
      <c r="ALC36" s="5"/>
      <c r="ALD36" s="5"/>
      <c r="ALE36" s="5"/>
      <c r="ALF36" s="5"/>
      <c r="ALG36" s="5"/>
    </row>
    <row r="37" spans="1:995" s="4" customFormat="1" ht="23.25" customHeight="1">
      <c r="A37" s="36"/>
      <c r="B37" s="110"/>
      <c r="C37" s="37"/>
      <c r="D37" s="36"/>
      <c r="E37" s="36"/>
      <c r="F37" s="112">
        <v>93</v>
      </c>
      <c r="G37" s="112">
        <v>118</v>
      </c>
      <c r="H37" s="112">
        <v>74</v>
      </c>
      <c r="I37" s="112">
        <v>35</v>
      </c>
      <c r="J37" s="112">
        <v>25</v>
      </c>
      <c r="K37" s="112">
        <v>19</v>
      </c>
      <c r="L37" s="112">
        <v>103</v>
      </c>
      <c r="M37" s="113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</row>
    <row r="38" spans="1:995" s="4" customFormat="1" ht="23.25" customHeight="1">
      <c r="A38" s="30" t="s">
        <v>520</v>
      </c>
      <c r="B38" s="44">
        <v>23</v>
      </c>
      <c r="C38" s="31" t="s">
        <v>186</v>
      </c>
      <c r="D38" s="32" t="s">
        <v>120</v>
      </c>
      <c r="E38" s="104" t="s">
        <v>394</v>
      </c>
      <c r="F38" s="111">
        <v>44</v>
      </c>
      <c r="G38" s="111">
        <v>25</v>
      </c>
      <c r="H38" s="111">
        <v>16</v>
      </c>
      <c r="I38" s="111">
        <v>25</v>
      </c>
      <c r="J38" s="111">
        <v>24</v>
      </c>
      <c r="K38" s="111">
        <v>25</v>
      </c>
      <c r="L38" s="111">
        <v>70</v>
      </c>
      <c r="M38" s="111">
        <v>39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</row>
    <row r="39" spans="1:995" s="4" customFormat="1" ht="23.25" customHeight="1">
      <c r="A39" s="36"/>
      <c r="B39" s="110"/>
      <c r="C39" s="37"/>
      <c r="D39" s="36"/>
      <c r="E39" s="36"/>
      <c r="F39" s="112">
        <v>80</v>
      </c>
      <c r="G39" s="112">
        <v>102</v>
      </c>
      <c r="H39" s="112">
        <v>63</v>
      </c>
      <c r="I39" s="112">
        <v>31</v>
      </c>
      <c r="J39" s="112">
        <v>23</v>
      </c>
      <c r="K39" s="112">
        <v>18</v>
      </c>
      <c r="L39" s="112">
        <v>95</v>
      </c>
      <c r="M39" s="113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  <c r="AAA39" s="5"/>
      <c r="AAB39" s="5"/>
      <c r="AAC39" s="5"/>
      <c r="AAD39" s="5"/>
      <c r="AAE39" s="5"/>
      <c r="AAF39" s="5"/>
      <c r="AAG39" s="5"/>
      <c r="AAH39" s="5"/>
      <c r="AAI39" s="5"/>
      <c r="AAJ39" s="5"/>
      <c r="AAK39" s="5"/>
      <c r="AAL39" s="5"/>
      <c r="AAM39" s="5"/>
      <c r="AAN39" s="5"/>
      <c r="AAO39" s="5"/>
      <c r="AAP39" s="5"/>
      <c r="AAQ39" s="5"/>
      <c r="AAR39" s="5"/>
      <c r="AAS39" s="5"/>
      <c r="AAT39" s="5"/>
      <c r="AAU39" s="5"/>
      <c r="AAV39" s="5"/>
      <c r="AAW39" s="5"/>
      <c r="AAX39" s="5"/>
      <c r="AAY39" s="5"/>
      <c r="AAZ39" s="5"/>
      <c r="ABA39" s="5"/>
      <c r="ABB39" s="5"/>
      <c r="ABC39" s="5"/>
      <c r="ABD39" s="5"/>
      <c r="ABE39" s="5"/>
      <c r="ABF39" s="5"/>
      <c r="ABG39" s="5"/>
      <c r="ABH39" s="5"/>
      <c r="ABI39" s="5"/>
      <c r="ABJ39" s="5"/>
      <c r="ABK39" s="5"/>
      <c r="ABL39" s="5"/>
      <c r="ABM39" s="5"/>
      <c r="ABN39" s="5"/>
      <c r="ABO39" s="5"/>
      <c r="ABP39" s="5"/>
      <c r="ABQ39" s="5"/>
      <c r="ABR39" s="5"/>
      <c r="ABS39" s="5"/>
      <c r="ABT39" s="5"/>
      <c r="ABU39" s="5"/>
      <c r="ABV39" s="5"/>
      <c r="ABW39" s="5"/>
      <c r="ABX39" s="5"/>
      <c r="ABY39" s="5"/>
      <c r="ABZ39" s="5"/>
      <c r="ACA39" s="5"/>
      <c r="ACB39" s="5"/>
      <c r="ACC39" s="5"/>
      <c r="ACD39" s="5"/>
      <c r="ACE39" s="5"/>
      <c r="ACF39" s="5"/>
      <c r="ACG39" s="5"/>
      <c r="ACH39" s="5"/>
      <c r="ACI39" s="5"/>
      <c r="ACJ39" s="5"/>
      <c r="ACK39" s="5"/>
      <c r="ACL39" s="5"/>
      <c r="ACM39" s="5"/>
      <c r="ACN39" s="5"/>
      <c r="ACO39" s="5"/>
      <c r="ACP39" s="5"/>
      <c r="ACQ39" s="5"/>
      <c r="ACR39" s="5"/>
      <c r="ACS39" s="5"/>
      <c r="ACT39" s="5"/>
      <c r="ACU39" s="5"/>
      <c r="ACV39" s="5"/>
      <c r="ACW39" s="5"/>
      <c r="ACX39" s="5"/>
      <c r="ACY39" s="5"/>
      <c r="ACZ39" s="5"/>
      <c r="ADA39" s="5"/>
      <c r="ADB39" s="5"/>
      <c r="ADC39" s="5"/>
      <c r="ADD39" s="5"/>
      <c r="ADE39" s="5"/>
      <c r="ADF39" s="5"/>
      <c r="ADG39" s="5"/>
      <c r="ADH39" s="5"/>
      <c r="ADI39" s="5"/>
      <c r="ADJ39" s="5"/>
      <c r="ADK39" s="5"/>
      <c r="ADL39" s="5"/>
      <c r="ADM39" s="5"/>
      <c r="ADN39" s="5"/>
      <c r="ADO39" s="5"/>
      <c r="ADP39" s="5"/>
      <c r="ADQ39" s="5"/>
      <c r="ADR39" s="5"/>
      <c r="ADS39" s="5"/>
      <c r="ADT39" s="5"/>
      <c r="ADU39" s="5"/>
      <c r="ADV39" s="5"/>
      <c r="ADW39" s="5"/>
      <c r="ADX39" s="5"/>
      <c r="ADY39" s="5"/>
      <c r="ADZ39" s="5"/>
      <c r="AEA39" s="5"/>
      <c r="AEB39" s="5"/>
      <c r="AEC39" s="5"/>
      <c r="AED39" s="5"/>
      <c r="AEE39" s="5"/>
      <c r="AEF39" s="5"/>
      <c r="AEG39" s="5"/>
      <c r="AEH39" s="5"/>
      <c r="AEI39" s="5"/>
      <c r="AEJ39" s="5"/>
      <c r="AEK39" s="5"/>
      <c r="AEL39" s="5"/>
      <c r="AEM39" s="5"/>
      <c r="AEN39" s="5"/>
      <c r="AEO39" s="5"/>
      <c r="AEP39" s="5"/>
      <c r="AEQ39" s="5"/>
      <c r="AER39" s="5"/>
      <c r="AES39" s="5"/>
      <c r="AET39" s="5"/>
      <c r="AEU39" s="5"/>
      <c r="AEV39" s="5"/>
      <c r="AEW39" s="5"/>
      <c r="AEX39" s="5"/>
      <c r="AEY39" s="5"/>
      <c r="AEZ39" s="5"/>
      <c r="AFA39" s="5"/>
      <c r="AFB39" s="5"/>
      <c r="AFC39" s="5"/>
      <c r="AFD39" s="5"/>
      <c r="AFE39" s="5"/>
      <c r="AFF39" s="5"/>
      <c r="AFG39" s="5"/>
      <c r="AFH39" s="5"/>
      <c r="AFI39" s="5"/>
      <c r="AFJ39" s="5"/>
      <c r="AFK39" s="5"/>
      <c r="AFL39" s="5"/>
      <c r="AFM39" s="5"/>
      <c r="AFN39" s="5"/>
      <c r="AFO39" s="5"/>
      <c r="AFP39" s="5"/>
      <c r="AFQ39" s="5"/>
      <c r="AFR39" s="5"/>
      <c r="AFS39" s="5"/>
      <c r="AFT39" s="5"/>
      <c r="AFU39" s="5"/>
      <c r="AFV39" s="5"/>
      <c r="AFW39" s="5"/>
      <c r="AFX39" s="5"/>
      <c r="AFY39" s="5"/>
      <c r="AFZ39" s="5"/>
      <c r="AGA39" s="5"/>
      <c r="AGB39" s="5"/>
      <c r="AGC39" s="5"/>
      <c r="AGD39" s="5"/>
      <c r="AGE39" s="5"/>
      <c r="AGF39" s="5"/>
      <c r="AGG39" s="5"/>
      <c r="AGH39" s="5"/>
      <c r="AGI39" s="5"/>
      <c r="AGJ39" s="5"/>
      <c r="AGK39" s="5"/>
      <c r="AGL39" s="5"/>
      <c r="AGM39" s="5"/>
      <c r="AGN39" s="5"/>
      <c r="AGO39" s="5"/>
      <c r="AGP39" s="5"/>
      <c r="AGQ39" s="5"/>
      <c r="AGR39" s="5"/>
      <c r="AGS39" s="5"/>
      <c r="AGT39" s="5"/>
      <c r="AGU39" s="5"/>
      <c r="AGV39" s="5"/>
      <c r="AGW39" s="5"/>
      <c r="AGX39" s="5"/>
      <c r="AGY39" s="5"/>
      <c r="AGZ39" s="5"/>
      <c r="AHA39" s="5"/>
      <c r="AHB39" s="5"/>
      <c r="AHC39" s="5"/>
      <c r="AHD39" s="5"/>
      <c r="AHE39" s="5"/>
      <c r="AHF39" s="5"/>
      <c r="AHG39" s="5"/>
      <c r="AHH39" s="5"/>
      <c r="AHI39" s="5"/>
      <c r="AHJ39" s="5"/>
      <c r="AHK39" s="5"/>
      <c r="AHL39" s="5"/>
      <c r="AHM39" s="5"/>
      <c r="AHN39" s="5"/>
      <c r="AHO39" s="5"/>
      <c r="AHP39" s="5"/>
      <c r="AHQ39" s="5"/>
      <c r="AHR39" s="5"/>
      <c r="AHS39" s="5"/>
      <c r="AHT39" s="5"/>
      <c r="AHU39" s="5"/>
      <c r="AHV39" s="5"/>
      <c r="AHW39" s="5"/>
      <c r="AHX39" s="5"/>
      <c r="AHY39" s="5"/>
      <c r="AHZ39" s="5"/>
      <c r="AIA39" s="5"/>
      <c r="AIB39" s="5"/>
      <c r="AIC39" s="5"/>
      <c r="AID39" s="5"/>
      <c r="AIE39" s="5"/>
      <c r="AIF39" s="5"/>
      <c r="AIG39" s="5"/>
      <c r="AIH39" s="5"/>
      <c r="AII39" s="5"/>
      <c r="AIJ39" s="5"/>
      <c r="AIK39" s="5"/>
      <c r="AIL39" s="5"/>
      <c r="AIM39" s="5"/>
      <c r="AIN39" s="5"/>
      <c r="AIO39" s="5"/>
      <c r="AIP39" s="5"/>
      <c r="AIQ39" s="5"/>
      <c r="AIR39" s="5"/>
      <c r="AIS39" s="5"/>
      <c r="AIT39" s="5"/>
      <c r="AIU39" s="5"/>
      <c r="AIV39" s="5"/>
      <c r="AIW39" s="5"/>
      <c r="AIX39" s="5"/>
      <c r="AIY39" s="5"/>
      <c r="AIZ39" s="5"/>
      <c r="AJA39" s="5"/>
      <c r="AJB39" s="5"/>
      <c r="AJC39" s="5"/>
      <c r="AJD39" s="5"/>
      <c r="AJE39" s="5"/>
      <c r="AJF39" s="5"/>
      <c r="AJG39" s="5"/>
      <c r="AJH39" s="5"/>
      <c r="AJI39" s="5"/>
      <c r="AJJ39" s="5"/>
      <c r="AJK39" s="5"/>
      <c r="AJL39" s="5"/>
      <c r="AJM39" s="5"/>
      <c r="AJN39" s="5"/>
      <c r="AJO39" s="5"/>
      <c r="AJP39" s="5"/>
      <c r="AJQ39" s="5"/>
      <c r="AJR39" s="5"/>
      <c r="AJS39" s="5"/>
      <c r="AJT39" s="5"/>
      <c r="AJU39" s="5"/>
      <c r="AJV39" s="5"/>
      <c r="AJW39" s="5"/>
      <c r="AJX39" s="5"/>
      <c r="AJY39" s="5"/>
      <c r="AJZ39" s="5"/>
      <c r="AKA39" s="5"/>
      <c r="AKB39" s="5"/>
      <c r="AKC39" s="5"/>
      <c r="AKD39" s="5"/>
      <c r="AKE39" s="5"/>
      <c r="AKF39" s="5"/>
      <c r="AKG39" s="5"/>
      <c r="AKH39" s="5"/>
      <c r="AKI39" s="5"/>
      <c r="AKJ39" s="5"/>
      <c r="AKK39" s="5"/>
      <c r="AKL39" s="5"/>
      <c r="AKM39" s="5"/>
      <c r="AKN39" s="5"/>
      <c r="AKO39" s="5"/>
      <c r="AKP39" s="5"/>
      <c r="AKQ39" s="5"/>
      <c r="AKR39" s="5"/>
      <c r="AKS39" s="5"/>
      <c r="AKT39" s="5"/>
      <c r="AKU39" s="5"/>
      <c r="AKV39" s="5"/>
      <c r="AKW39" s="5"/>
      <c r="AKX39" s="5"/>
      <c r="AKY39" s="5"/>
      <c r="AKZ39" s="5"/>
      <c r="ALA39" s="5"/>
      <c r="ALB39" s="5"/>
      <c r="ALC39" s="5"/>
      <c r="ALD39" s="5"/>
      <c r="ALE39" s="5"/>
      <c r="ALF39" s="5"/>
      <c r="ALG39" s="5"/>
    </row>
    <row r="40" spans="1:995" s="4" customFormat="1" ht="23.25" customHeight="1">
      <c r="A40" s="30" t="s">
        <v>521</v>
      </c>
      <c r="B40" s="44">
        <v>25</v>
      </c>
      <c r="C40" s="31" t="s">
        <v>192</v>
      </c>
      <c r="D40" s="32" t="s">
        <v>120</v>
      </c>
      <c r="E40" s="104" t="s">
        <v>394</v>
      </c>
      <c r="F40" s="111">
        <v>43</v>
      </c>
      <c r="G40" s="111">
        <v>25</v>
      </c>
      <c r="H40" s="111">
        <v>17</v>
      </c>
      <c r="I40" s="111">
        <v>28</v>
      </c>
      <c r="J40" s="111">
        <v>26</v>
      </c>
      <c r="K40" s="111">
        <v>28</v>
      </c>
      <c r="L40" s="111">
        <v>76</v>
      </c>
      <c r="M40" s="111">
        <v>40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  <c r="AAA40" s="5"/>
      <c r="AAB40" s="5"/>
      <c r="AAC40" s="5"/>
      <c r="AAD40" s="5"/>
      <c r="AAE40" s="5"/>
      <c r="AAF40" s="5"/>
      <c r="AAG40" s="5"/>
      <c r="AAH40" s="5"/>
      <c r="AAI40" s="5"/>
      <c r="AAJ40" s="5"/>
      <c r="AAK40" s="5"/>
      <c r="AAL40" s="5"/>
      <c r="AAM40" s="5"/>
      <c r="AAN40" s="5"/>
      <c r="AAO40" s="5"/>
      <c r="AAP40" s="5"/>
      <c r="AAQ40" s="5"/>
      <c r="AAR40" s="5"/>
      <c r="AAS40" s="5"/>
      <c r="AAT40" s="5"/>
      <c r="AAU40" s="5"/>
      <c r="AAV40" s="5"/>
      <c r="AAW40" s="5"/>
      <c r="AAX40" s="5"/>
      <c r="AAY40" s="5"/>
      <c r="AAZ40" s="5"/>
      <c r="ABA40" s="5"/>
      <c r="ABB40" s="5"/>
      <c r="ABC40" s="5"/>
      <c r="ABD40" s="5"/>
      <c r="ABE40" s="5"/>
      <c r="ABF40" s="5"/>
      <c r="ABG40" s="5"/>
      <c r="ABH40" s="5"/>
      <c r="ABI40" s="5"/>
      <c r="ABJ40" s="5"/>
      <c r="ABK40" s="5"/>
      <c r="ABL40" s="5"/>
      <c r="ABM40" s="5"/>
      <c r="ABN40" s="5"/>
      <c r="ABO40" s="5"/>
      <c r="ABP40" s="5"/>
      <c r="ABQ40" s="5"/>
      <c r="ABR40" s="5"/>
      <c r="ABS40" s="5"/>
      <c r="ABT40" s="5"/>
      <c r="ABU40" s="5"/>
      <c r="ABV40" s="5"/>
      <c r="ABW40" s="5"/>
      <c r="ABX40" s="5"/>
      <c r="ABY40" s="5"/>
      <c r="ABZ40" s="5"/>
      <c r="ACA40" s="5"/>
      <c r="ACB40" s="5"/>
      <c r="ACC40" s="5"/>
      <c r="ACD40" s="5"/>
      <c r="ACE40" s="5"/>
      <c r="ACF40" s="5"/>
      <c r="ACG40" s="5"/>
      <c r="ACH40" s="5"/>
      <c r="ACI40" s="5"/>
      <c r="ACJ40" s="5"/>
      <c r="ACK40" s="5"/>
      <c r="ACL40" s="5"/>
      <c r="ACM40" s="5"/>
      <c r="ACN40" s="5"/>
      <c r="ACO40" s="5"/>
      <c r="ACP40" s="5"/>
      <c r="ACQ40" s="5"/>
      <c r="ACR40" s="5"/>
      <c r="ACS40" s="5"/>
      <c r="ACT40" s="5"/>
      <c r="ACU40" s="5"/>
      <c r="ACV40" s="5"/>
      <c r="ACW40" s="5"/>
      <c r="ACX40" s="5"/>
      <c r="ACY40" s="5"/>
      <c r="ACZ40" s="5"/>
      <c r="ADA40" s="5"/>
      <c r="ADB40" s="5"/>
      <c r="ADC40" s="5"/>
      <c r="ADD40" s="5"/>
      <c r="ADE40" s="5"/>
      <c r="ADF40" s="5"/>
      <c r="ADG40" s="5"/>
      <c r="ADH40" s="5"/>
      <c r="ADI40" s="5"/>
      <c r="ADJ40" s="5"/>
      <c r="ADK40" s="5"/>
      <c r="ADL40" s="5"/>
      <c r="ADM40" s="5"/>
      <c r="ADN40" s="5"/>
      <c r="ADO40" s="5"/>
      <c r="ADP40" s="5"/>
      <c r="ADQ40" s="5"/>
      <c r="ADR40" s="5"/>
      <c r="ADS40" s="5"/>
      <c r="ADT40" s="5"/>
      <c r="ADU40" s="5"/>
      <c r="ADV40" s="5"/>
      <c r="ADW40" s="5"/>
      <c r="ADX40" s="5"/>
      <c r="ADY40" s="5"/>
      <c r="ADZ40" s="5"/>
      <c r="AEA40" s="5"/>
      <c r="AEB40" s="5"/>
      <c r="AEC40" s="5"/>
      <c r="AED40" s="5"/>
      <c r="AEE40" s="5"/>
      <c r="AEF40" s="5"/>
      <c r="AEG40" s="5"/>
      <c r="AEH40" s="5"/>
      <c r="AEI40" s="5"/>
      <c r="AEJ40" s="5"/>
      <c r="AEK40" s="5"/>
      <c r="AEL40" s="5"/>
      <c r="AEM40" s="5"/>
      <c r="AEN40" s="5"/>
      <c r="AEO40" s="5"/>
      <c r="AEP40" s="5"/>
      <c r="AEQ40" s="5"/>
      <c r="AER40" s="5"/>
      <c r="AES40" s="5"/>
      <c r="AET40" s="5"/>
      <c r="AEU40" s="5"/>
      <c r="AEV40" s="5"/>
      <c r="AEW40" s="5"/>
      <c r="AEX40" s="5"/>
      <c r="AEY40" s="5"/>
      <c r="AEZ40" s="5"/>
      <c r="AFA40" s="5"/>
      <c r="AFB40" s="5"/>
      <c r="AFC40" s="5"/>
      <c r="AFD40" s="5"/>
      <c r="AFE40" s="5"/>
      <c r="AFF40" s="5"/>
      <c r="AFG40" s="5"/>
      <c r="AFH40" s="5"/>
      <c r="AFI40" s="5"/>
      <c r="AFJ40" s="5"/>
      <c r="AFK40" s="5"/>
      <c r="AFL40" s="5"/>
      <c r="AFM40" s="5"/>
      <c r="AFN40" s="5"/>
      <c r="AFO40" s="5"/>
      <c r="AFP40" s="5"/>
      <c r="AFQ40" s="5"/>
      <c r="AFR40" s="5"/>
      <c r="AFS40" s="5"/>
      <c r="AFT40" s="5"/>
      <c r="AFU40" s="5"/>
      <c r="AFV40" s="5"/>
      <c r="AFW40" s="5"/>
      <c r="AFX40" s="5"/>
      <c r="AFY40" s="5"/>
      <c r="AFZ40" s="5"/>
      <c r="AGA40" s="5"/>
      <c r="AGB40" s="5"/>
      <c r="AGC40" s="5"/>
      <c r="AGD40" s="5"/>
      <c r="AGE40" s="5"/>
      <c r="AGF40" s="5"/>
      <c r="AGG40" s="5"/>
      <c r="AGH40" s="5"/>
      <c r="AGI40" s="5"/>
      <c r="AGJ40" s="5"/>
      <c r="AGK40" s="5"/>
      <c r="AGL40" s="5"/>
      <c r="AGM40" s="5"/>
      <c r="AGN40" s="5"/>
      <c r="AGO40" s="5"/>
      <c r="AGP40" s="5"/>
      <c r="AGQ40" s="5"/>
      <c r="AGR40" s="5"/>
      <c r="AGS40" s="5"/>
      <c r="AGT40" s="5"/>
      <c r="AGU40" s="5"/>
      <c r="AGV40" s="5"/>
      <c r="AGW40" s="5"/>
      <c r="AGX40" s="5"/>
      <c r="AGY40" s="5"/>
      <c r="AGZ40" s="5"/>
      <c r="AHA40" s="5"/>
      <c r="AHB40" s="5"/>
      <c r="AHC40" s="5"/>
      <c r="AHD40" s="5"/>
      <c r="AHE40" s="5"/>
      <c r="AHF40" s="5"/>
      <c r="AHG40" s="5"/>
      <c r="AHH40" s="5"/>
      <c r="AHI40" s="5"/>
      <c r="AHJ40" s="5"/>
      <c r="AHK40" s="5"/>
      <c r="AHL40" s="5"/>
      <c r="AHM40" s="5"/>
      <c r="AHN40" s="5"/>
      <c r="AHO40" s="5"/>
      <c r="AHP40" s="5"/>
      <c r="AHQ40" s="5"/>
      <c r="AHR40" s="5"/>
      <c r="AHS40" s="5"/>
      <c r="AHT40" s="5"/>
      <c r="AHU40" s="5"/>
      <c r="AHV40" s="5"/>
      <c r="AHW40" s="5"/>
      <c r="AHX40" s="5"/>
      <c r="AHY40" s="5"/>
      <c r="AHZ40" s="5"/>
      <c r="AIA40" s="5"/>
      <c r="AIB40" s="5"/>
      <c r="AIC40" s="5"/>
      <c r="AID40" s="5"/>
      <c r="AIE40" s="5"/>
      <c r="AIF40" s="5"/>
      <c r="AIG40" s="5"/>
      <c r="AIH40" s="5"/>
      <c r="AII40" s="5"/>
      <c r="AIJ40" s="5"/>
      <c r="AIK40" s="5"/>
      <c r="AIL40" s="5"/>
      <c r="AIM40" s="5"/>
      <c r="AIN40" s="5"/>
      <c r="AIO40" s="5"/>
      <c r="AIP40" s="5"/>
      <c r="AIQ40" s="5"/>
      <c r="AIR40" s="5"/>
      <c r="AIS40" s="5"/>
      <c r="AIT40" s="5"/>
      <c r="AIU40" s="5"/>
      <c r="AIV40" s="5"/>
      <c r="AIW40" s="5"/>
      <c r="AIX40" s="5"/>
      <c r="AIY40" s="5"/>
      <c r="AIZ40" s="5"/>
      <c r="AJA40" s="5"/>
      <c r="AJB40" s="5"/>
      <c r="AJC40" s="5"/>
      <c r="AJD40" s="5"/>
      <c r="AJE40" s="5"/>
      <c r="AJF40" s="5"/>
      <c r="AJG40" s="5"/>
      <c r="AJH40" s="5"/>
      <c r="AJI40" s="5"/>
      <c r="AJJ40" s="5"/>
      <c r="AJK40" s="5"/>
      <c r="AJL40" s="5"/>
      <c r="AJM40" s="5"/>
      <c r="AJN40" s="5"/>
      <c r="AJO40" s="5"/>
      <c r="AJP40" s="5"/>
      <c r="AJQ40" s="5"/>
      <c r="AJR40" s="5"/>
      <c r="AJS40" s="5"/>
      <c r="AJT40" s="5"/>
      <c r="AJU40" s="5"/>
      <c r="AJV40" s="5"/>
      <c r="AJW40" s="5"/>
      <c r="AJX40" s="5"/>
      <c r="AJY40" s="5"/>
      <c r="AJZ40" s="5"/>
      <c r="AKA40" s="5"/>
      <c r="AKB40" s="5"/>
      <c r="AKC40" s="5"/>
      <c r="AKD40" s="5"/>
      <c r="AKE40" s="5"/>
      <c r="AKF40" s="5"/>
      <c r="AKG40" s="5"/>
      <c r="AKH40" s="5"/>
      <c r="AKI40" s="5"/>
      <c r="AKJ40" s="5"/>
      <c r="AKK40" s="5"/>
      <c r="AKL40" s="5"/>
      <c r="AKM40" s="5"/>
      <c r="AKN40" s="5"/>
      <c r="AKO40" s="5"/>
      <c r="AKP40" s="5"/>
      <c r="AKQ40" s="5"/>
      <c r="AKR40" s="5"/>
      <c r="AKS40" s="5"/>
      <c r="AKT40" s="5"/>
      <c r="AKU40" s="5"/>
      <c r="AKV40" s="5"/>
      <c r="AKW40" s="5"/>
      <c r="AKX40" s="5"/>
      <c r="AKY40" s="5"/>
      <c r="AKZ40" s="5"/>
      <c r="ALA40" s="5"/>
      <c r="ALB40" s="5"/>
      <c r="ALC40" s="5"/>
      <c r="ALD40" s="5"/>
      <c r="ALE40" s="5"/>
      <c r="ALF40" s="5"/>
      <c r="ALG40" s="5"/>
    </row>
    <row r="41" spans="1:995" s="4" customFormat="1" ht="23.25" customHeight="1">
      <c r="A41" s="36"/>
      <c r="B41" s="110"/>
      <c r="C41" s="37"/>
      <c r="D41" s="36"/>
      <c r="E41" s="36"/>
      <c r="F41" s="112">
        <v>88</v>
      </c>
      <c r="G41" s="112">
        <v>109</v>
      </c>
      <c r="H41" s="112">
        <v>67</v>
      </c>
      <c r="I41" s="112">
        <v>34</v>
      </c>
      <c r="J41" s="112">
        <v>25</v>
      </c>
      <c r="K41" s="112">
        <v>19</v>
      </c>
      <c r="L41" s="112">
        <v>102</v>
      </c>
      <c r="M41" s="113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  <c r="AAA41" s="5"/>
      <c r="AAB41" s="5"/>
      <c r="AAC41" s="5"/>
      <c r="AAD41" s="5"/>
      <c r="AAE41" s="5"/>
      <c r="AAF41" s="5"/>
      <c r="AAG41" s="5"/>
      <c r="AAH41" s="5"/>
      <c r="AAI41" s="5"/>
      <c r="AAJ41" s="5"/>
      <c r="AAK41" s="5"/>
      <c r="AAL41" s="5"/>
      <c r="AAM41" s="5"/>
      <c r="AAN41" s="5"/>
      <c r="AAO41" s="5"/>
      <c r="AAP41" s="5"/>
      <c r="AAQ41" s="5"/>
      <c r="AAR41" s="5"/>
      <c r="AAS41" s="5"/>
      <c r="AAT41" s="5"/>
      <c r="AAU41" s="5"/>
      <c r="AAV41" s="5"/>
      <c r="AAW41" s="5"/>
      <c r="AAX41" s="5"/>
      <c r="AAY41" s="5"/>
      <c r="AAZ41" s="5"/>
      <c r="ABA41" s="5"/>
      <c r="ABB41" s="5"/>
      <c r="ABC41" s="5"/>
      <c r="ABD41" s="5"/>
      <c r="ABE41" s="5"/>
      <c r="ABF41" s="5"/>
      <c r="ABG41" s="5"/>
      <c r="ABH41" s="5"/>
      <c r="ABI41" s="5"/>
      <c r="ABJ41" s="5"/>
      <c r="ABK41" s="5"/>
      <c r="ABL41" s="5"/>
      <c r="ABM41" s="5"/>
      <c r="ABN41" s="5"/>
      <c r="ABO41" s="5"/>
      <c r="ABP41" s="5"/>
      <c r="ABQ41" s="5"/>
      <c r="ABR41" s="5"/>
      <c r="ABS41" s="5"/>
      <c r="ABT41" s="5"/>
      <c r="ABU41" s="5"/>
      <c r="ABV41" s="5"/>
      <c r="ABW41" s="5"/>
      <c r="ABX41" s="5"/>
      <c r="ABY41" s="5"/>
      <c r="ABZ41" s="5"/>
      <c r="ACA41" s="5"/>
      <c r="ACB41" s="5"/>
      <c r="ACC41" s="5"/>
      <c r="ACD41" s="5"/>
      <c r="ACE41" s="5"/>
      <c r="ACF41" s="5"/>
      <c r="ACG41" s="5"/>
      <c r="ACH41" s="5"/>
      <c r="ACI41" s="5"/>
      <c r="ACJ41" s="5"/>
      <c r="ACK41" s="5"/>
      <c r="ACL41" s="5"/>
      <c r="ACM41" s="5"/>
      <c r="ACN41" s="5"/>
      <c r="ACO41" s="5"/>
      <c r="ACP41" s="5"/>
      <c r="ACQ41" s="5"/>
      <c r="ACR41" s="5"/>
      <c r="ACS41" s="5"/>
      <c r="ACT41" s="5"/>
      <c r="ACU41" s="5"/>
      <c r="ACV41" s="5"/>
      <c r="ACW41" s="5"/>
      <c r="ACX41" s="5"/>
      <c r="ACY41" s="5"/>
      <c r="ACZ41" s="5"/>
      <c r="ADA41" s="5"/>
      <c r="ADB41" s="5"/>
      <c r="ADC41" s="5"/>
      <c r="ADD41" s="5"/>
      <c r="ADE41" s="5"/>
      <c r="ADF41" s="5"/>
      <c r="ADG41" s="5"/>
      <c r="ADH41" s="5"/>
      <c r="ADI41" s="5"/>
      <c r="ADJ41" s="5"/>
      <c r="ADK41" s="5"/>
      <c r="ADL41" s="5"/>
      <c r="ADM41" s="5"/>
      <c r="ADN41" s="5"/>
      <c r="ADO41" s="5"/>
      <c r="ADP41" s="5"/>
      <c r="ADQ41" s="5"/>
      <c r="ADR41" s="5"/>
      <c r="ADS41" s="5"/>
      <c r="ADT41" s="5"/>
      <c r="ADU41" s="5"/>
      <c r="ADV41" s="5"/>
      <c r="ADW41" s="5"/>
      <c r="ADX41" s="5"/>
      <c r="ADY41" s="5"/>
      <c r="ADZ41" s="5"/>
      <c r="AEA41" s="5"/>
      <c r="AEB41" s="5"/>
      <c r="AEC41" s="5"/>
      <c r="AED41" s="5"/>
      <c r="AEE41" s="5"/>
      <c r="AEF41" s="5"/>
      <c r="AEG41" s="5"/>
      <c r="AEH41" s="5"/>
      <c r="AEI41" s="5"/>
      <c r="AEJ41" s="5"/>
      <c r="AEK41" s="5"/>
      <c r="AEL41" s="5"/>
      <c r="AEM41" s="5"/>
      <c r="AEN41" s="5"/>
      <c r="AEO41" s="5"/>
      <c r="AEP41" s="5"/>
      <c r="AEQ41" s="5"/>
      <c r="AER41" s="5"/>
      <c r="AES41" s="5"/>
      <c r="AET41" s="5"/>
      <c r="AEU41" s="5"/>
      <c r="AEV41" s="5"/>
      <c r="AEW41" s="5"/>
      <c r="AEX41" s="5"/>
      <c r="AEY41" s="5"/>
      <c r="AEZ41" s="5"/>
      <c r="AFA41" s="5"/>
      <c r="AFB41" s="5"/>
      <c r="AFC41" s="5"/>
      <c r="AFD41" s="5"/>
      <c r="AFE41" s="5"/>
      <c r="AFF41" s="5"/>
      <c r="AFG41" s="5"/>
      <c r="AFH41" s="5"/>
      <c r="AFI41" s="5"/>
      <c r="AFJ41" s="5"/>
      <c r="AFK41" s="5"/>
      <c r="AFL41" s="5"/>
      <c r="AFM41" s="5"/>
      <c r="AFN41" s="5"/>
      <c r="AFO41" s="5"/>
      <c r="AFP41" s="5"/>
      <c r="AFQ41" s="5"/>
      <c r="AFR41" s="5"/>
      <c r="AFS41" s="5"/>
      <c r="AFT41" s="5"/>
      <c r="AFU41" s="5"/>
      <c r="AFV41" s="5"/>
      <c r="AFW41" s="5"/>
      <c r="AFX41" s="5"/>
      <c r="AFY41" s="5"/>
      <c r="AFZ41" s="5"/>
      <c r="AGA41" s="5"/>
      <c r="AGB41" s="5"/>
      <c r="AGC41" s="5"/>
      <c r="AGD41" s="5"/>
      <c r="AGE41" s="5"/>
      <c r="AGF41" s="5"/>
      <c r="AGG41" s="5"/>
      <c r="AGH41" s="5"/>
      <c r="AGI41" s="5"/>
      <c r="AGJ41" s="5"/>
      <c r="AGK41" s="5"/>
      <c r="AGL41" s="5"/>
      <c r="AGM41" s="5"/>
      <c r="AGN41" s="5"/>
      <c r="AGO41" s="5"/>
      <c r="AGP41" s="5"/>
      <c r="AGQ41" s="5"/>
      <c r="AGR41" s="5"/>
      <c r="AGS41" s="5"/>
      <c r="AGT41" s="5"/>
      <c r="AGU41" s="5"/>
      <c r="AGV41" s="5"/>
      <c r="AGW41" s="5"/>
      <c r="AGX41" s="5"/>
      <c r="AGY41" s="5"/>
      <c r="AGZ41" s="5"/>
      <c r="AHA41" s="5"/>
      <c r="AHB41" s="5"/>
      <c r="AHC41" s="5"/>
      <c r="AHD41" s="5"/>
      <c r="AHE41" s="5"/>
      <c r="AHF41" s="5"/>
      <c r="AHG41" s="5"/>
      <c r="AHH41" s="5"/>
      <c r="AHI41" s="5"/>
      <c r="AHJ41" s="5"/>
      <c r="AHK41" s="5"/>
      <c r="AHL41" s="5"/>
      <c r="AHM41" s="5"/>
      <c r="AHN41" s="5"/>
      <c r="AHO41" s="5"/>
      <c r="AHP41" s="5"/>
      <c r="AHQ41" s="5"/>
      <c r="AHR41" s="5"/>
      <c r="AHS41" s="5"/>
      <c r="AHT41" s="5"/>
      <c r="AHU41" s="5"/>
      <c r="AHV41" s="5"/>
      <c r="AHW41" s="5"/>
      <c r="AHX41" s="5"/>
      <c r="AHY41" s="5"/>
      <c r="AHZ41" s="5"/>
      <c r="AIA41" s="5"/>
      <c r="AIB41" s="5"/>
      <c r="AIC41" s="5"/>
      <c r="AID41" s="5"/>
      <c r="AIE41" s="5"/>
      <c r="AIF41" s="5"/>
      <c r="AIG41" s="5"/>
      <c r="AIH41" s="5"/>
      <c r="AII41" s="5"/>
      <c r="AIJ41" s="5"/>
      <c r="AIK41" s="5"/>
      <c r="AIL41" s="5"/>
      <c r="AIM41" s="5"/>
      <c r="AIN41" s="5"/>
      <c r="AIO41" s="5"/>
      <c r="AIP41" s="5"/>
      <c r="AIQ41" s="5"/>
      <c r="AIR41" s="5"/>
      <c r="AIS41" s="5"/>
      <c r="AIT41" s="5"/>
      <c r="AIU41" s="5"/>
      <c r="AIV41" s="5"/>
      <c r="AIW41" s="5"/>
      <c r="AIX41" s="5"/>
      <c r="AIY41" s="5"/>
      <c r="AIZ41" s="5"/>
      <c r="AJA41" s="5"/>
      <c r="AJB41" s="5"/>
      <c r="AJC41" s="5"/>
      <c r="AJD41" s="5"/>
      <c r="AJE41" s="5"/>
      <c r="AJF41" s="5"/>
      <c r="AJG41" s="5"/>
      <c r="AJH41" s="5"/>
      <c r="AJI41" s="5"/>
      <c r="AJJ41" s="5"/>
      <c r="AJK41" s="5"/>
      <c r="AJL41" s="5"/>
      <c r="AJM41" s="5"/>
      <c r="AJN41" s="5"/>
      <c r="AJO41" s="5"/>
      <c r="AJP41" s="5"/>
      <c r="AJQ41" s="5"/>
      <c r="AJR41" s="5"/>
      <c r="AJS41" s="5"/>
      <c r="AJT41" s="5"/>
      <c r="AJU41" s="5"/>
      <c r="AJV41" s="5"/>
      <c r="AJW41" s="5"/>
      <c r="AJX41" s="5"/>
      <c r="AJY41" s="5"/>
      <c r="AJZ41" s="5"/>
      <c r="AKA41" s="5"/>
      <c r="AKB41" s="5"/>
      <c r="AKC41" s="5"/>
      <c r="AKD41" s="5"/>
      <c r="AKE41" s="5"/>
      <c r="AKF41" s="5"/>
      <c r="AKG41" s="5"/>
      <c r="AKH41" s="5"/>
      <c r="AKI41" s="5"/>
      <c r="AKJ41" s="5"/>
      <c r="AKK41" s="5"/>
      <c r="AKL41" s="5"/>
      <c r="AKM41" s="5"/>
      <c r="AKN41" s="5"/>
      <c r="AKO41" s="5"/>
      <c r="AKP41" s="5"/>
      <c r="AKQ41" s="5"/>
      <c r="AKR41" s="5"/>
      <c r="AKS41" s="5"/>
      <c r="AKT41" s="5"/>
      <c r="AKU41" s="5"/>
      <c r="AKV41" s="5"/>
      <c r="AKW41" s="5"/>
      <c r="AKX41" s="5"/>
      <c r="AKY41" s="5"/>
      <c r="AKZ41" s="5"/>
      <c r="ALA41" s="5"/>
      <c r="ALB41" s="5"/>
      <c r="ALC41" s="5"/>
      <c r="ALD41" s="5"/>
      <c r="ALE41" s="5"/>
      <c r="ALF41" s="5"/>
      <c r="ALG41" s="5"/>
    </row>
    <row r="42" spans="1:995" s="4" customFormat="1" ht="23.25" customHeight="1">
      <c r="A42" s="30" t="s">
        <v>522</v>
      </c>
      <c r="B42" s="44">
        <v>28</v>
      </c>
      <c r="C42" s="31" t="s">
        <v>201</v>
      </c>
      <c r="D42" s="32" t="s">
        <v>120</v>
      </c>
      <c r="E42" s="104" t="s">
        <v>394</v>
      </c>
      <c r="F42" s="111">
        <v>44</v>
      </c>
      <c r="G42" s="111">
        <v>28</v>
      </c>
      <c r="H42" s="111">
        <v>16</v>
      </c>
      <c r="I42" s="111">
        <v>27</v>
      </c>
      <c r="J42" s="111">
        <v>25</v>
      </c>
      <c r="K42" s="111">
        <v>27</v>
      </c>
      <c r="L42" s="111">
        <v>78</v>
      </c>
      <c r="M42" s="111">
        <v>39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  <c r="AAA42" s="5"/>
      <c r="AAB42" s="5"/>
      <c r="AAC42" s="5"/>
      <c r="AAD42" s="5"/>
      <c r="AAE42" s="5"/>
      <c r="AAF42" s="5"/>
      <c r="AAG42" s="5"/>
      <c r="AAH42" s="5"/>
      <c r="AAI42" s="5"/>
      <c r="AAJ42" s="5"/>
      <c r="AAK42" s="5"/>
      <c r="AAL42" s="5"/>
      <c r="AAM42" s="5"/>
      <c r="AAN42" s="5"/>
      <c r="AAO42" s="5"/>
      <c r="AAP42" s="5"/>
      <c r="AAQ42" s="5"/>
      <c r="AAR42" s="5"/>
      <c r="AAS42" s="5"/>
      <c r="AAT42" s="5"/>
      <c r="AAU42" s="5"/>
      <c r="AAV42" s="5"/>
      <c r="AAW42" s="5"/>
      <c r="AAX42" s="5"/>
      <c r="AAY42" s="5"/>
      <c r="AAZ42" s="5"/>
      <c r="ABA42" s="5"/>
      <c r="ABB42" s="5"/>
      <c r="ABC42" s="5"/>
      <c r="ABD42" s="5"/>
      <c r="ABE42" s="5"/>
      <c r="ABF42" s="5"/>
      <c r="ABG42" s="5"/>
      <c r="ABH42" s="5"/>
      <c r="ABI42" s="5"/>
      <c r="ABJ42" s="5"/>
      <c r="ABK42" s="5"/>
      <c r="ABL42" s="5"/>
      <c r="ABM42" s="5"/>
      <c r="ABN42" s="5"/>
      <c r="ABO42" s="5"/>
      <c r="ABP42" s="5"/>
      <c r="ABQ42" s="5"/>
      <c r="ABR42" s="5"/>
      <c r="ABS42" s="5"/>
      <c r="ABT42" s="5"/>
      <c r="ABU42" s="5"/>
      <c r="ABV42" s="5"/>
      <c r="ABW42" s="5"/>
      <c r="ABX42" s="5"/>
      <c r="ABY42" s="5"/>
      <c r="ABZ42" s="5"/>
      <c r="ACA42" s="5"/>
      <c r="ACB42" s="5"/>
      <c r="ACC42" s="5"/>
      <c r="ACD42" s="5"/>
      <c r="ACE42" s="5"/>
      <c r="ACF42" s="5"/>
      <c r="ACG42" s="5"/>
      <c r="ACH42" s="5"/>
      <c r="ACI42" s="5"/>
      <c r="ACJ42" s="5"/>
      <c r="ACK42" s="5"/>
      <c r="ACL42" s="5"/>
      <c r="ACM42" s="5"/>
      <c r="ACN42" s="5"/>
      <c r="ACO42" s="5"/>
      <c r="ACP42" s="5"/>
      <c r="ACQ42" s="5"/>
      <c r="ACR42" s="5"/>
      <c r="ACS42" s="5"/>
      <c r="ACT42" s="5"/>
      <c r="ACU42" s="5"/>
      <c r="ACV42" s="5"/>
      <c r="ACW42" s="5"/>
      <c r="ACX42" s="5"/>
      <c r="ACY42" s="5"/>
      <c r="ACZ42" s="5"/>
      <c r="ADA42" s="5"/>
      <c r="ADB42" s="5"/>
      <c r="ADC42" s="5"/>
      <c r="ADD42" s="5"/>
      <c r="ADE42" s="5"/>
      <c r="ADF42" s="5"/>
      <c r="ADG42" s="5"/>
      <c r="ADH42" s="5"/>
      <c r="ADI42" s="5"/>
      <c r="ADJ42" s="5"/>
      <c r="ADK42" s="5"/>
      <c r="ADL42" s="5"/>
      <c r="ADM42" s="5"/>
      <c r="ADN42" s="5"/>
      <c r="ADO42" s="5"/>
      <c r="ADP42" s="5"/>
      <c r="ADQ42" s="5"/>
      <c r="ADR42" s="5"/>
      <c r="ADS42" s="5"/>
      <c r="ADT42" s="5"/>
      <c r="ADU42" s="5"/>
      <c r="ADV42" s="5"/>
      <c r="ADW42" s="5"/>
      <c r="ADX42" s="5"/>
      <c r="ADY42" s="5"/>
      <c r="ADZ42" s="5"/>
      <c r="AEA42" s="5"/>
      <c r="AEB42" s="5"/>
      <c r="AEC42" s="5"/>
      <c r="AED42" s="5"/>
      <c r="AEE42" s="5"/>
      <c r="AEF42" s="5"/>
      <c r="AEG42" s="5"/>
      <c r="AEH42" s="5"/>
      <c r="AEI42" s="5"/>
      <c r="AEJ42" s="5"/>
      <c r="AEK42" s="5"/>
      <c r="AEL42" s="5"/>
      <c r="AEM42" s="5"/>
      <c r="AEN42" s="5"/>
      <c r="AEO42" s="5"/>
      <c r="AEP42" s="5"/>
      <c r="AEQ42" s="5"/>
      <c r="AER42" s="5"/>
      <c r="AES42" s="5"/>
      <c r="AET42" s="5"/>
      <c r="AEU42" s="5"/>
      <c r="AEV42" s="5"/>
      <c r="AEW42" s="5"/>
      <c r="AEX42" s="5"/>
      <c r="AEY42" s="5"/>
      <c r="AEZ42" s="5"/>
      <c r="AFA42" s="5"/>
      <c r="AFB42" s="5"/>
      <c r="AFC42" s="5"/>
      <c r="AFD42" s="5"/>
      <c r="AFE42" s="5"/>
      <c r="AFF42" s="5"/>
      <c r="AFG42" s="5"/>
      <c r="AFH42" s="5"/>
      <c r="AFI42" s="5"/>
      <c r="AFJ42" s="5"/>
      <c r="AFK42" s="5"/>
      <c r="AFL42" s="5"/>
      <c r="AFM42" s="5"/>
      <c r="AFN42" s="5"/>
      <c r="AFO42" s="5"/>
      <c r="AFP42" s="5"/>
      <c r="AFQ42" s="5"/>
      <c r="AFR42" s="5"/>
      <c r="AFS42" s="5"/>
      <c r="AFT42" s="5"/>
      <c r="AFU42" s="5"/>
      <c r="AFV42" s="5"/>
      <c r="AFW42" s="5"/>
      <c r="AFX42" s="5"/>
      <c r="AFY42" s="5"/>
      <c r="AFZ42" s="5"/>
      <c r="AGA42" s="5"/>
      <c r="AGB42" s="5"/>
      <c r="AGC42" s="5"/>
      <c r="AGD42" s="5"/>
      <c r="AGE42" s="5"/>
      <c r="AGF42" s="5"/>
      <c r="AGG42" s="5"/>
      <c r="AGH42" s="5"/>
      <c r="AGI42" s="5"/>
      <c r="AGJ42" s="5"/>
      <c r="AGK42" s="5"/>
      <c r="AGL42" s="5"/>
      <c r="AGM42" s="5"/>
      <c r="AGN42" s="5"/>
      <c r="AGO42" s="5"/>
      <c r="AGP42" s="5"/>
      <c r="AGQ42" s="5"/>
      <c r="AGR42" s="5"/>
      <c r="AGS42" s="5"/>
      <c r="AGT42" s="5"/>
      <c r="AGU42" s="5"/>
      <c r="AGV42" s="5"/>
      <c r="AGW42" s="5"/>
      <c r="AGX42" s="5"/>
      <c r="AGY42" s="5"/>
      <c r="AGZ42" s="5"/>
      <c r="AHA42" s="5"/>
      <c r="AHB42" s="5"/>
      <c r="AHC42" s="5"/>
      <c r="AHD42" s="5"/>
      <c r="AHE42" s="5"/>
      <c r="AHF42" s="5"/>
      <c r="AHG42" s="5"/>
      <c r="AHH42" s="5"/>
      <c r="AHI42" s="5"/>
      <c r="AHJ42" s="5"/>
      <c r="AHK42" s="5"/>
      <c r="AHL42" s="5"/>
      <c r="AHM42" s="5"/>
      <c r="AHN42" s="5"/>
      <c r="AHO42" s="5"/>
      <c r="AHP42" s="5"/>
      <c r="AHQ42" s="5"/>
      <c r="AHR42" s="5"/>
      <c r="AHS42" s="5"/>
      <c r="AHT42" s="5"/>
      <c r="AHU42" s="5"/>
      <c r="AHV42" s="5"/>
      <c r="AHW42" s="5"/>
      <c r="AHX42" s="5"/>
      <c r="AHY42" s="5"/>
      <c r="AHZ42" s="5"/>
      <c r="AIA42" s="5"/>
      <c r="AIB42" s="5"/>
      <c r="AIC42" s="5"/>
      <c r="AID42" s="5"/>
      <c r="AIE42" s="5"/>
      <c r="AIF42" s="5"/>
      <c r="AIG42" s="5"/>
      <c r="AIH42" s="5"/>
      <c r="AII42" s="5"/>
      <c r="AIJ42" s="5"/>
      <c r="AIK42" s="5"/>
      <c r="AIL42" s="5"/>
      <c r="AIM42" s="5"/>
      <c r="AIN42" s="5"/>
      <c r="AIO42" s="5"/>
      <c r="AIP42" s="5"/>
      <c r="AIQ42" s="5"/>
      <c r="AIR42" s="5"/>
      <c r="AIS42" s="5"/>
      <c r="AIT42" s="5"/>
      <c r="AIU42" s="5"/>
      <c r="AIV42" s="5"/>
      <c r="AIW42" s="5"/>
      <c r="AIX42" s="5"/>
      <c r="AIY42" s="5"/>
      <c r="AIZ42" s="5"/>
      <c r="AJA42" s="5"/>
      <c r="AJB42" s="5"/>
      <c r="AJC42" s="5"/>
      <c r="AJD42" s="5"/>
      <c r="AJE42" s="5"/>
      <c r="AJF42" s="5"/>
      <c r="AJG42" s="5"/>
      <c r="AJH42" s="5"/>
      <c r="AJI42" s="5"/>
      <c r="AJJ42" s="5"/>
      <c r="AJK42" s="5"/>
      <c r="AJL42" s="5"/>
      <c r="AJM42" s="5"/>
      <c r="AJN42" s="5"/>
      <c r="AJO42" s="5"/>
      <c r="AJP42" s="5"/>
      <c r="AJQ42" s="5"/>
      <c r="AJR42" s="5"/>
      <c r="AJS42" s="5"/>
      <c r="AJT42" s="5"/>
      <c r="AJU42" s="5"/>
      <c r="AJV42" s="5"/>
      <c r="AJW42" s="5"/>
      <c r="AJX42" s="5"/>
      <c r="AJY42" s="5"/>
      <c r="AJZ42" s="5"/>
      <c r="AKA42" s="5"/>
      <c r="AKB42" s="5"/>
      <c r="AKC42" s="5"/>
      <c r="AKD42" s="5"/>
      <c r="AKE42" s="5"/>
      <c r="AKF42" s="5"/>
      <c r="AKG42" s="5"/>
      <c r="AKH42" s="5"/>
      <c r="AKI42" s="5"/>
      <c r="AKJ42" s="5"/>
      <c r="AKK42" s="5"/>
      <c r="AKL42" s="5"/>
      <c r="AKM42" s="5"/>
      <c r="AKN42" s="5"/>
      <c r="AKO42" s="5"/>
      <c r="AKP42" s="5"/>
      <c r="AKQ42" s="5"/>
      <c r="AKR42" s="5"/>
      <c r="AKS42" s="5"/>
      <c r="AKT42" s="5"/>
      <c r="AKU42" s="5"/>
      <c r="AKV42" s="5"/>
      <c r="AKW42" s="5"/>
      <c r="AKX42" s="5"/>
      <c r="AKY42" s="5"/>
      <c r="AKZ42" s="5"/>
      <c r="ALA42" s="5"/>
      <c r="ALB42" s="5"/>
      <c r="ALC42" s="5"/>
      <c r="ALD42" s="5"/>
      <c r="ALE42" s="5"/>
      <c r="ALF42" s="5"/>
      <c r="ALG42" s="5"/>
    </row>
    <row r="43" spans="1:995" s="5" customFormat="1" ht="23.25" customHeight="1">
      <c r="A43" s="36"/>
      <c r="B43" s="110"/>
      <c r="C43" s="37"/>
      <c r="D43" s="36"/>
      <c r="E43" s="36"/>
      <c r="F43" s="112">
        <v>88</v>
      </c>
      <c r="G43" s="112">
        <v>112</v>
      </c>
      <c r="H43" s="112">
        <v>69</v>
      </c>
      <c r="I43" s="112">
        <v>33</v>
      </c>
      <c r="J43" s="112">
        <v>25</v>
      </c>
      <c r="K43" s="112">
        <v>19</v>
      </c>
      <c r="L43" s="112">
        <v>106</v>
      </c>
      <c r="M43" s="113"/>
    </row>
    <row r="44" spans="1:995" s="4" customFormat="1" ht="23.25" customHeight="1">
      <c r="A44" s="30" t="s">
        <v>523</v>
      </c>
      <c r="B44" s="44">
        <v>30</v>
      </c>
      <c r="C44" s="31" t="s">
        <v>210</v>
      </c>
      <c r="D44" s="32" t="s">
        <v>120</v>
      </c>
      <c r="E44" s="104" t="s">
        <v>394</v>
      </c>
      <c r="F44" s="111">
        <v>46</v>
      </c>
      <c r="G44" s="111">
        <v>26</v>
      </c>
      <c r="H44" s="111">
        <v>15</v>
      </c>
      <c r="I44" s="111">
        <v>26</v>
      </c>
      <c r="J44" s="111">
        <v>23</v>
      </c>
      <c r="K44" s="111">
        <v>26</v>
      </c>
      <c r="L44" s="111">
        <v>74</v>
      </c>
      <c r="M44" s="111">
        <v>39</v>
      </c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</row>
    <row r="45" spans="1:995" s="4" customFormat="1" ht="23.25" customHeight="1">
      <c r="A45" s="36"/>
      <c r="B45" s="110"/>
      <c r="C45" s="37"/>
      <c r="D45" s="36"/>
      <c r="E45" s="36"/>
      <c r="F45" s="112">
        <v>81</v>
      </c>
      <c r="G45" s="112">
        <v>101</v>
      </c>
      <c r="H45" s="112">
        <v>64</v>
      </c>
      <c r="I45" s="112">
        <v>31</v>
      </c>
      <c r="J45" s="112">
        <v>23</v>
      </c>
      <c r="K45" s="112">
        <v>19</v>
      </c>
      <c r="L45" s="112">
        <v>101</v>
      </c>
      <c r="M45" s="113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</row>
    <row r="46" spans="1:995" ht="23.25" customHeight="1">
      <c r="A46" s="30" t="s">
        <v>524</v>
      </c>
      <c r="B46" s="44">
        <v>31</v>
      </c>
      <c r="C46" s="31" t="s">
        <v>216</v>
      </c>
      <c r="D46" s="32" t="s">
        <v>120</v>
      </c>
      <c r="E46" s="104" t="s">
        <v>394</v>
      </c>
      <c r="F46" s="111">
        <v>46</v>
      </c>
      <c r="G46" s="111">
        <v>27</v>
      </c>
      <c r="H46" s="111">
        <v>17</v>
      </c>
      <c r="I46" s="111">
        <v>28</v>
      </c>
      <c r="J46" s="111">
        <v>26.5</v>
      </c>
      <c r="K46" s="111">
        <v>29</v>
      </c>
      <c r="L46" s="111">
        <v>72</v>
      </c>
      <c r="M46" s="111">
        <v>41</v>
      </c>
    </row>
    <row r="47" spans="1:995" ht="23.25" customHeight="1">
      <c r="A47" s="36"/>
      <c r="B47" s="110"/>
      <c r="C47" s="37"/>
      <c r="D47" s="36"/>
      <c r="E47" s="36"/>
      <c r="F47" s="112">
        <v>92</v>
      </c>
      <c r="G47" s="112">
        <v>112</v>
      </c>
      <c r="H47" s="112">
        <v>71</v>
      </c>
      <c r="I47" s="112">
        <v>35</v>
      </c>
      <c r="J47" s="112">
        <v>26</v>
      </c>
      <c r="K47" s="112">
        <v>19</v>
      </c>
      <c r="L47" s="112">
        <v>100</v>
      </c>
      <c r="M47" s="113"/>
    </row>
    <row r="48" spans="1:995" ht="23.25" customHeight="1">
      <c r="A48" s="30" t="s">
        <v>525</v>
      </c>
      <c r="B48" s="44">
        <v>32</v>
      </c>
      <c r="C48" s="31" t="s">
        <v>219</v>
      </c>
      <c r="D48" s="32" t="s">
        <v>120</v>
      </c>
      <c r="E48" s="104" t="s">
        <v>394</v>
      </c>
      <c r="F48" s="111">
        <v>44</v>
      </c>
      <c r="G48" s="111">
        <v>22</v>
      </c>
      <c r="H48" s="111">
        <v>17</v>
      </c>
      <c r="I48" s="111">
        <v>26</v>
      </c>
      <c r="J48" s="111">
        <v>24</v>
      </c>
      <c r="K48" s="111">
        <v>26</v>
      </c>
      <c r="L48" s="111">
        <v>65</v>
      </c>
      <c r="M48" s="111">
        <v>38</v>
      </c>
    </row>
    <row r="49" spans="1:13" ht="23.25" customHeight="1">
      <c r="A49" s="36"/>
      <c r="B49" s="110"/>
      <c r="C49" s="37"/>
      <c r="D49" s="36"/>
      <c r="E49" s="36"/>
      <c r="F49" s="112">
        <v>74</v>
      </c>
      <c r="G49" s="112">
        <v>95</v>
      </c>
      <c r="H49" s="112">
        <v>63</v>
      </c>
      <c r="I49" s="112">
        <v>29</v>
      </c>
      <c r="J49" s="112">
        <v>23</v>
      </c>
      <c r="K49" s="112">
        <v>18</v>
      </c>
      <c r="L49" s="112">
        <v>95</v>
      </c>
      <c r="M49" s="113"/>
    </row>
    <row r="50" spans="1:13" ht="23.25" customHeight="1">
      <c r="A50" s="30" t="s">
        <v>526</v>
      </c>
      <c r="B50" s="44">
        <v>33</v>
      </c>
      <c r="C50" s="31" t="s">
        <v>225</v>
      </c>
      <c r="D50" s="32" t="s">
        <v>120</v>
      </c>
      <c r="E50" s="104" t="s">
        <v>394</v>
      </c>
      <c r="F50" s="111">
        <v>43</v>
      </c>
      <c r="G50" s="111">
        <v>26</v>
      </c>
      <c r="H50" s="111">
        <v>17</v>
      </c>
      <c r="I50" s="111">
        <v>26</v>
      </c>
      <c r="J50" s="111">
        <v>24</v>
      </c>
      <c r="K50" s="111">
        <v>26</v>
      </c>
      <c r="L50" s="111">
        <v>70</v>
      </c>
      <c r="M50" s="111">
        <v>40</v>
      </c>
    </row>
    <row r="51" spans="1:13" ht="23.25" customHeight="1">
      <c r="A51" s="36"/>
      <c r="B51" s="110"/>
      <c r="C51" s="37"/>
      <c r="D51" s="36"/>
      <c r="E51" s="36"/>
      <c r="F51" s="112">
        <v>84</v>
      </c>
      <c r="G51" s="112">
        <v>107</v>
      </c>
      <c r="H51" s="112">
        <v>67</v>
      </c>
      <c r="I51" s="112">
        <v>33</v>
      </c>
      <c r="J51" s="112">
        <v>23</v>
      </c>
      <c r="K51" s="112">
        <v>19</v>
      </c>
      <c r="L51" s="112">
        <v>94</v>
      </c>
      <c r="M51" s="113"/>
    </row>
    <row r="52" spans="1:13" ht="23.25" customHeight="1">
      <c r="A52" s="30" t="s">
        <v>527</v>
      </c>
      <c r="B52" s="44">
        <v>36</v>
      </c>
      <c r="C52" s="31" t="s">
        <v>238</v>
      </c>
      <c r="D52" s="32" t="s">
        <v>229</v>
      </c>
      <c r="E52" s="104" t="s">
        <v>394</v>
      </c>
      <c r="F52" s="111">
        <v>45</v>
      </c>
      <c r="G52" s="111">
        <v>23</v>
      </c>
      <c r="H52" s="111">
        <v>17</v>
      </c>
      <c r="I52" s="111">
        <v>26</v>
      </c>
      <c r="J52" s="111">
        <v>23</v>
      </c>
      <c r="K52" s="111">
        <v>26</v>
      </c>
      <c r="L52" s="111">
        <v>65</v>
      </c>
      <c r="M52" s="111">
        <v>38</v>
      </c>
    </row>
    <row r="53" spans="1:13" ht="23.25" customHeight="1">
      <c r="A53" s="36"/>
      <c r="B53" s="110"/>
      <c r="C53" s="37"/>
      <c r="D53" s="36"/>
      <c r="E53" s="36"/>
      <c r="F53" s="112">
        <v>70</v>
      </c>
      <c r="G53" s="112">
        <v>96</v>
      </c>
      <c r="H53" s="112">
        <v>62</v>
      </c>
      <c r="I53" s="112">
        <v>29</v>
      </c>
      <c r="J53" s="112">
        <v>21</v>
      </c>
      <c r="K53" s="112">
        <v>18</v>
      </c>
      <c r="L53" s="112">
        <v>91</v>
      </c>
      <c r="M53" s="113"/>
    </row>
    <row r="54" spans="1:13" ht="23.25" customHeight="1">
      <c r="A54" s="30" t="s">
        <v>528</v>
      </c>
      <c r="B54" s="44">
        <v>38</v>
      </c>
      <c r="C54" s="31" t="s">
        <v>250</v>
      </c>
      <c r="D54" s="32" t="s">
        <v>229</v>
      </c>
      <c r="E54" s="104" t="s">
        <v>394</v>
      </c>
      <c r="F54" s="111">
        <v>42</v>
      </c>
      <c r="G54" s="111">
        <v>24</v>
      </c>
      <c r="H54" s="111">
        <v>17</v>
      </c>
      <c r="I54" s="111">
        <v>26</v>
      </c>
      <c r="J54" s="111">
        <v>23</v>
      </c>
      <c r="K54" s="111">
        <v>26</v>
      </c>
      <c r="L54" s="111">
        <v>73</v>
      </c>
      <c r="M54" s="111">
        <v>40</v>
      </c>
    </row>
    <row r="55" spans="1:13" ht="23.25" customHeight="1">
      <c r="A55" s="36"/>
      <c r="B55" s="110"/>
      <c r="C55" s="37"/>
      <c r="D55" s="36"/>
      <c r="E55" s="36"/>
      <c r="F55" s="112">
        <v>76</v>
      </c>
      <c r="G55" s="112">
        <v>97</v>
      </c>
      <c r="H55" s="112">
        <v>63</v>
      </c>
      <c r="I55" s="112">
        <v>31</v>
      </c>
      <c r="J55" s="112">
        <v>25</v>
      </c>
      <c r="K55" s="112">
        <v>18</v>
      </c>
      <c r="L55" s="112">
        <v>104</v>
      </c>
      <c r="M55" s="113"/>
    </row>
    <row r="56" spans="1:13" ht="23.25" customHeight="1">
      <c r="A56" s="30" t="s">
        <v>529</v>
      </c>
      <c r="B56" s="44">
        <v>39</v>
      </c>
      <c r="C56" s="31" t="s">
        <v>256</v>
      </c>
      <c r="D56" s="32" t="s">
        <v>229</v>
      </c>
      <c r="E56" s="104" t="s">
        <v>394</v>
      </c>
      <c r="F56" s="111">
        <v>45</v>
      </c>
      <c r="G56" s="111">
        <v>25</v>
      </c>
      <c r="H56" s="111">
        <v>16</v>
      </c>
      <c r="I56" s="111">
        <v>26</v>
      </c>
      <c r="J56" s="111">
        <v>24</v>
      </c>
      <c r="K56" s="111">
        <v>26</v>
      </c>
      <c r="L56" s="111">
        <v>73</v>
      </c>
      <c r="M56" s="111">
        <v>38</v>
      </c>
    </row>
    <row r="57" spans="1:13" ht="23.25" customHeight="1">
      <c r="A57" s="36"/>
      <c r="B57" s="110"/>
      <c r="C57" s="37"/>
      <c r="D57" s="36"/>
      <c r="E57" s="36"/>
      <c r="F57" s="112">
        <v>78</v>
      </c>
      <c r="G57" s="112">
        <v>103</v>
      </c>
      <c r="H57" s="112">
        <v>63</v>
      </c>
      <c r="I57" s="112">
        <v>32</v>
      </c>
      <c r="J57" s="112">
        <v>25</v>
      </c>
      <c r="K57" s="112">
        <v>19</v>
      </c>
      <c r="L57" s="112">
        <v>98</v>
      </c>
      <c r="M57" s="113"/>
    </row>
    <row r="58" spans="1:13" ht="23.25" customHeight="1">
      <c r="A58" s="30" t="s">
        <v>530</v>
      </c>
      <c r="B58" s="44">
        <v>40</v>
      </c>
      <c r="C58" s="31" t="s">
        <v>259</v>
      </c>
      <c r="D58" s="32" t="s">
        <v>229</v>
      </c>
      <c r="E58" s="104" t="s">
        <v>394</v>
      </c>
      <c r="F58" s="111">
        <v>44</v>
      </c>
      <c r="G58" s="111">
        <v>24</v>
      </c>
      <c r="H58" s="111">
        <v>16</v>
      </c>
      <c r="I58" s="111">
        <v>25</v>
      </c>
      <c r="J58" s="111">
        <v>23</v>
      </c>
      <c r="K58" s="111">
        <v>25</v>
      </c>
      <c r="L58" s="111">
        <v>72</v>
      </c>
      <c r="M58" s="111">
        <v>38</v>
      </c>
    </row>
    <row r="59" spans="1:13" ht="23.25" customHeight="1">
      <c r="A59" s="36"/>
      <c r="B59" s="110"/>
      <c r="C59" s="37"/>
      <c r="D59" s="36"/>
      <c r="E59" s="36"/>
      <c r="F59" s="112">
        <v>75</v>
      </c>
      <c r="G59" s="112">
        <v>99</v>
      </c>
      <c r="H59" s="112">
        <v>65</v>
      </c>
      <c r="I59" s="112">
        <v>31</v>
      </c>
      <c r="J59" s="112">
        <v>23</v>
      </c>
      <c r="K59" s="112">
        <v>18</v>
      </c>
      <c r="L59" s="112">
        <v>99</v>
      </c>
      <c r="M59" s="113"/>
    </row>
    <row r="60" spans="1:13" ht="23.25" customHeight="1">
      <c r="A60" s="30" t="s">
        <v>531</v>
      </c>
      <c r="B60" s="44">
        <v>41</v>
      </c>
      <c r="C60" s="31" t="s">
        <v>262</v>
      </c>
      <c r="D60" s="32" t="s">
        <v>229</v>
      </c>
      <c r="E60" s="104" t="s">
        <v>394</v>
      </c>
      <c r="F60" s="111">
        <v>42</v>
      </c>
      <c r="G60" s="111">
        <v>24</v>
      </c>
      <c r="H60" s="111">
        <v>16</v>
      </c>
      <c r="I60" s="111">
        <v>25</v>
      </c>
      <c r="J60" s="111">
        <v>22</v>
      </c>
      <c r="K60" s="111">
        <v>25</v>
      </c>
      <c r="L60" s="111">
        <v>67</v>
      </c>
      <c r="M60" s="111">
        <v>36</v>
      </c>
    </row>
    <row r="61" spans="1:13" ht="23.25" customHeight="1">
      <c r="A61" s="36"/>
      <c r="B61" s="110"/>
      <c r="C61" s="37"/>
      <c r="D61" s="36"/>
      <c r="E61" s="36"/>
      <c r="F61" s="112">
        <v>70</v>
      </c>
      <c r="G61" s="112">
        <v>92</v>
      </c>
      <c r="H61" s="112">
        <v>64</v>
      </c>
      <c r="I61" s="112">
        <v>30</v>
      </c>
      <c r="J61" s="112">
        <v>24</v>
      </c>
      <c r="K61" s="112">
        <v>18</v>
      </c>
      <c r="L61" s="112">
        <v>95</v>
      </c>
      <c r="M61" s="113"/>
    </row>
    <row r="62" spans="1:13" ht="23.25" customHeight="1">
      <c r="A62" s="30" t="s">
        <v>532</v>
      </c>
      <c r="B62" s="44">
        <v>42</v>
      </c>
      <c r="C62" s="31" t="s">
        <v>265</v>
      </c>
      <c r="D62" s="32" t="s">
        <v>229</v>
      </c>
      <c r="E62" s="104" t="s">
        <v>394</v>
      </c>
      <c r="F62" s="111">
        <v>44</v>
      </c>
      <c r="G62" s="111">
        <v>26</v>
      </c>
      <c r="H62" s="111">
        <v>16</v>
      </c>
      <c r="I62" s="111">
        <v>26</v>
      </c>
      <c r="J62" s="111">
        <v>24</v>
      </c>
      <c r="K62" s="111">
        <v>27</v>
      </c>
      <c r="L62" s="111">
        <v>73</v>
      </c>
      <c r="M62" s="111">
        <v>39</v>
      </c>
    </row>
    <row r="63" spans="1:13" ht="23.25" customHeight="1">
      <c r="A63" s="36"/>
      <c r="B63" s="110"/>
      <c r="C63" s="37"/>
      <c r="D63" s="36"/>
      <c r="E63" s="36"/>
      <c r="F63" s="112">
        <v>78</v>
      </c>
      <c r="G63" s="112">
        <v>100</v>
      </c>
      <c r="H63" s="112">
        <v>66</v>
      </c>
      <c r="I63" s="112">
        <v>32</v>
      </c>
      <c r="J63" s="112">
        <v>23</v>
      </c>
      <c r="K63" s="112">
        <v>19</v>
      </c>
      <c r="L63" s="112">
        <v>105</v>
      </c>
      <c r="M63" s="113"/>
    </row>
    <row r="64" spans="1:13" ht="23.25" customHeight="1">
      <c r="A64" s="30" t="s">
        <v>533</v>
      </c>
      <c r="B64" s="44">
        <v>43</v>
      </c>
      <c r="C64" s="31" t="s">
        <v>268</v>
      </c>
      <c r="D64" s="32" t="s">
        <v>229</v>
      </c>
      <c r="E64" s="104" t="s">
        <v>394</v>
      </c>
      <c r="F64" s="111">
        <v>45</v>
      </c>
      <c r="G64" s="111">
        <v>24</v>
      </c>
      <c r="H64" s="111">
        <v>17</v>
      </c>
      <c r="I64" s="111">
        <v>28</v>
      </c>
      <c r="J64" s="111">
        <v>27</v>
      </c>
      <c r="K64" s="111">
        <v>28</v>
      </c>
      <c r="L64" s="111">
        <v>72</v>
      </c>
      <c r="M64" s="111">
        <v>42</v>
      </c>
    </row>
    <row r="65" spans="1:13" ht="23.25" customHeight="1">
      <c r="A65" s="36"/>
      <c r="B65" s="110"/>
      <c r="C65" s="37"/>
      <c r="D65" s="36"/>
      <c r="E65" s="36"/>
      <c r="F65" s="112">
        <v>93</v>
      </c>
      <c r="G65" s="112">
        <v>112</v>
      </c>
      <c r="H65" s="112">
        <v>65</v>
      </c>
      <c r="I65" s="112">
        <v>34</v>
      </c>
      <c r="J65" s="112">
        <v>24</v>
      </c>
      <c r="K65" s="112">
        <v>20</v>
      </c>
      <c r="L65" s="112">
        <v>98</v>
      </c>
      <c r="M65" s="113"/>
    </row>
    <row r="66" spans="1:13" ht="23.25" customHeight="1">
      <c r="A66" s="30" t="s">
        <v>534</v>
      </c>
      <c r="B66" s="44">
        <v>44</v>
      </c>
      <c r="C66" s="31" t="s">
        <v>271</v>
      </c>
      <c r="D66" s="32" t="s">
        <v>229</v>
      </c>
      <c r="E66" s="104" t="s">
        <v>394</v>
      </c>
      <c r="F66" s="111">
        <v>46</v>
      </c>
      <c r="G66" s="111">
        <v>27</v>
      </c>
      <c r="H66" s="111">
        <v>17</v>
      </c>
      <c r="I66" s="111">
        <v>26</v>
      </c>
      <c r="J66" s="111">
        <v>25</v>
      </c>
      <c r="K66" s="111">
        <v>26</v>
      </c>
      <c r="L66" s="111">
        <v>75</v>
      </c>
      <c r="M66" s="111">
        <v>38</v>
      </c>
    </row>
    <row r="67" spans="1:13" ht="23.25" customHeight="1">
      <c r="A67" s="36"/>
      <c r="B67" s="110"/>
      <c r="C67" s="37"/>
      <c r="D67" s="36"/>
      <c r="E67" s="36"/>
      <c r="F67" s="112">
        <v>80</v>
      </c>
      <c r="G67" s="112">
        <v>99</v>
      </c>
      <c r="H67" s="112">
        <v>68</v>
      </c>
      <c r="I67" s="112">
        <v>32</v>
      </c>
      <c r="J67" s="112">
        <v>24</v>
      </c>
      <c r="K67" s="112">
        <v>19</v>
      </c>
      <c r="L67" s="112">
        <v>105</v>
      </c>
      <c r="M67" s="113"/>
    </row>
    <row r="68" spans="1:13" ht="23.25" customHeight="1">
      <c r="A68" s="30" t="s">
        <v>535</v>
      </c>
      <c r="B68" s="44">
        <v>45</v>
      </c>
      <c r="C68" s="31" t="s">
        <v>277</v>
      </c>
      <c r="D68" s="32" t="s">
        <v>229</v>
      </c>
      <c r="E68" s="104" t="s">
        <v>394</v>
      </c>
      <c r="F68" s="111">
        <v>44</v>
      </c>
      <c r="G68" s="111">
        <v>24</v>
      </c>
      <c r="H68" s="111">
        <v>16</v>
      </c>
      <c r="I68" s="111">
        <v>26</v>
      </c>
      <c r="J68" s="111">
        <v>24</v>
      </c>
      <c r="K68" s="111">
        <v>26</v>
      </c>
      <c r="L68" s="111">
        <v>69</v>
      </c>
      <c r="M68" s="111">
        <v>39</v>
      </c>
    </row>
    <row r="69" spans="1:13" ht="23.25" customHeight="1">
      <c r="A69" s="36"/>
      <c r="B69" s="110"/>
      <c r="C69" s="37"/>
      <c r="D69" s="36"/>
      <c r="E69" s="36"/>
      <c r="F69" s="112">
        <v>79</v>
      </c>
      <c r="G69" s="112">
        <v>101</v>
      </c>
      <c r="H69" s="112">
        <v>65</v>
      </c>
      <c r="I69" s="112">
        <v>31</v>
      </c>
      <c r="J69" s="112">
        <v>23</v>
      </c>
      <c r="K69" s="112">
        <v>18</v>
      </c>
      <c r="L69" s="112">
        <v>96</v>
      </c>
      <c r="M69" s="113"/>
    </row>
    <row r="70" spans="1:13" ht="23.25" customHeight="1">
      <c r="A70" s="30" t="s">
        <v>536</v>
      </c>
      <c r="B70" s="44">
        <v>46</v>
      </c>
      <c r="C70" s="31" t="s">
        <v>280</v>
      </c>
      <c r="D70" s="32" t="s">
        <v>229</v>
      </c>
      <c r="E70" s="104" t="s">
        <v>394</v>
      </c>
      <c r="F70" s="111">
        <v>44</v>
      </c>
      <c r="G70" s="111">
        <v>25</v>
      </c>
      <c r="H70" s="111">
        <v>17</v>
      </c>
      <c r="I70" s="111">
        <v>27</v>
      </c>
      <c r="J70" s="111">
        <v>25</v>
      </c>
      <c r="K70" s="111">
        <v>27</v>
      </c>
      <c r="L70" s="111">
        <v>70</v>
      </c>
      <c r="M70" s="111">
        <v>39</v>
      </c>
    </row>
    <row r="71" spans="1:13" ht="23.25" customHeight="1">
      <c r="A71" s="36"/>
      <c r="B71" s="110"/>
      <c r="C71" s="37"/>
      <c r="D71" s="36"/>
      <c r="E71" s="36"/>
      <c r="F71" s="112">
        <v>86</v>
      </c>
      <c r="G71" s="112">
        <v>106</v>
      </c>
      <c r="H71" s="112">
        <v>64</v>
      </c>
      <c r="I71" s="112">
        <v>33</v>
      </c>
      <c r="J71" s="112">
        <v>24</v>
      </c>
      <c r="K71" s="112">
        <v>19</v>
      </c>
      <c r="L71" s="112">
        <v>99</v>
      </c>
      <c r="M71" s="113"/>
    </row>
    <row r="72" spans="1:13" ht="23.25" customHeight="1">
      <c r="A72" s="30" t="s">
        <v>537</v>
      </c>
      <c r="B72" s="44">
        <v>47</v>
      </c>
      <c r="C72" s="31" t="s">
        <v>283</v>
      </c>
      <c r="D72" s="32" t="s">
        <v>229</v>
      </c>
      <c r="E72" s="104" t="s">
        <v>386</v>
      </c>
      <c r="F72" s="111">
        <v>43</v>
      </c>
      <c r="G72" s="111">
        <v>54</v>
      </c>
      <c r="H72" s="111">
        <v>19</v>
      </c>
      <c r="I72" s="111">
        <v>11</v>
      </c>
      <c r="J72" s="111">
        <v>121</v>
      </c>
      <c r="K72" s="111">
        <v>111</v>
      </c>
      <c r="L72" s="111">
        <v>130</v>
      </c>
      <c r="M72" s="111" t="s">
        <v>496</v>
      </c>
    </row>
    <row r="73" spans="1:13" ht="23.25" customHeight="1">
      <c r="A73" s="36"/>
      <c r="B73" s="110"/>
      <c r="C73" s="37"/>
      <c r="D73" s="36"/>
      <c r="E73" s="36"/>
      <c r="F73" s="112">
        <v>103</v>
      </c>
      <c r="G73" s="112">
        <v>128</v>
      </c>
      <c r="H73" s="112">
        <v>81</v>
      </c>
      <c r="I73" s="112">
        <v>39</v>
      </c>
      <c r="J73" s="112">
        <v>27</v>
      </c>
      <c r="K73" s="112">
        <v>19</v>
      </c>
      <c r="L73" s="112">
        <v>90</v>
      </c>
      <c r="M73" s="113"/>
    </row>
    <row r="74" spans="1:13" ht="23.25" customHeight="1">
      <c r="A74" s="30" t="s">
        <v>538</v>
      </c>
      <c r="B74" s="44">
        <v>49</v>
      </c>
      <c r="C74" s="31" t="s">
        <v>295</v>
      </c>
      <c r="D74" s="32" t="s">
        <v>229</v>
      </c>
      <c r="E74" s="104" t="s">
        <v>386</v>
      </c>
      <c r="F74" s="111">
        <v>40</v>
      </c>
      <c r="G74" s="111">
        <v>53</v>
      </c>
      <c r="H74" s="111">
        <v>15</v>
      </c>
      <c r="I74" s="111">
        <v>11</v>
      </c>
      <c r="J74" s="111">
        <v>94</v>
      </c>
      <c r="K74" s="111">
        <v>84</v>
      </c>
      <c r="L74" s="111">
        <v>105</v>
      </c>
      <c r="M74" s="111" t="s">
        <v>497</v>
      </c>
    </row>
    <row r="75" spans="1:13" ht="23.25" customHeight="1">
      <c r="A75" s="36"/>
      <c r="B75" s="110"/>
      <c r="C75" s="37"/>
      <c r="D75" s="36"/>
      <c r="E75" s="36"/>
      <c r="F75" s="112">
        <v>82</v>
      </c>
      <c r="G75" s="112">
        <v>103</v>
      </c>
      <c r="H75" s="112">
        <v>63</v>
      </c>
      <c r="I75" s="112">
        <v>32</v>
      </c>
      <c r="J75" s="112">
        <v>23</v>
      </c>
      <c r="K75" s="112">
        <v>18</v>
      </c>
      <c r="L75" s="112">
        <v>91</v>
      </c>
      <c r="M75" s="113"/>
    </row>
    <row r="76" spans="1:13" ht="23.25" customHeight="1">
      <c r="A76" s="30" t="s">
        <v>539</v>
      </c>
      <c r="B76" s="44">
        <v>50</v>
      </c>
      <c r="C76" s="31" t="s">
        <v>301</v>
      </c>
      <c r="D76" s="32" t="s">
        <v>229</v>
      </c>
      <c r="E76" s="104" t="s">
        <v>394</v>
      </c>
      <c r="F76" s="111">
        <v>44</v>
      </c>
      <c r="G76" s="111">
        <v>26</v>
      </c>
      <c r="H76" s="111">
        <v>16</v>
      </c>
      <c r="I76" s="111">
        <v>26</v>
      </c>
      <c r="J76" s="111">
        <v>24</v>
      </c>
      <c r="K76" s="111">
        <v>26</v>
      </c>
      <c r="L76" s="111">
        <v>71</v>
      </c>
      <c r="M76" s="111">
        <v>37</v>
      </c>
    </row>
    <row r="77" spans="1:13" ht="23.25" customHeight="1">
      <c r="A77" s="36"/>
      <c r="B77" s="110"/>
      <c r="C77" s="37"/>
      <c r="D77" s="36"/>
      <c r="E77" s="36"/>
      <c r="F77" s="112">
        <v>78</v>
      </c>
      <c r="G77" s="112">
        <v>101</v>
      </c>
      <c r="H77" s="112">
        <v>65</v>
      </c>
      <c r="I77" s="112">
        <v>31</v>
      </c>
      <c r="J77" s="112">
        <v>24</v>
      </c>
      <c r="K77" s="112">
        <v>18</v>
      </c>
      <c r="L77" s="112">
        <v>100</v>
      </c>
      <c r="M77" s="113"/>
    </row>
    <row r="78" spans="1:13" ht="23.25" customHeight="1">
      <c r="A78" s="30" t="s">
        <v>540</v>
      </c>
      <c r="B78" s="44">
        <v>52</v>
      </c>
      <c r="C78" s="31" t="s">
        <v>307</v>
      </c>
      <c r="D78" s="32" t="s">
        <v>229</v>
      </c>
      <c r="E78" s="104" t="s">
        <v>394</v>
      </c>
      <c r="F78" s="111">
        <v>45</v>
      </c>
      <c r="G78" s="111">
        <v>26</v>
      </c>
      <c r="H78" s="111">
        <v>17</v>
      </c>
      <c r="I78" s="111">
        <v>28</v>
      </c>
      <c r="J78" s="111">
        <v>26</v>
      </c>
      <c r="K78" s="111">
        <v>28</v>
      </c>
      <c r="L78" s="111">
        <v>71</v>
      </c>
      <c r="M78" s="111">
        <v>40</v>
      </c>
    </row>
    <row r="79" spans="1:13" ht="23.25" customHeight="1">
      <c r="A79" s="36"/>
      <c r="B79" s="110"/>
      <c r="C79" s="37"/>
      <c r="D79" s="36"/>
      <c r="E79" s="36"/>
      <c r="F79" s="112">
        <v>89</v>
      </c>
      <c r="G79" s="112">
        <v>113</v>
      </c>
      <c r="H79" s="112">
        <v>67</v>
      </c>
      <c r="I79" s="112">
        <v>35</v>
      </c>
      <c r="J79" s="112">
        <v>25</v>
      </c>
      <c r="K79" s="112">
        <v>19</v>
      </c>
      <c r="L79" s="112">
        <v>99</v>
      </c>
      <c r="M79" s="113"/>
    </row>
    <row r="80" spans="1:13" ht="23.25" customHeight="1">
      <c r="A80" s="30" t="s">
        <v>541</v>
      </c>
      <c r="B80" s="44">
        <v>53</v>
      </c>
      <c r="C80" s="31" t="s">
        <v>310</v>
      </c>
      <c r="D80" s="32" t="s">
        <v>229</v>
      </c>
      <c r="E80" s="104" t="s">
        <v>394</v>
      </c>
      <c r="F80" s="111">
        <v>42</v>
      </c>
      <c r="G80" s="111">
        <v>24</v>
      </c>
      <c r="H80" s="111">
        <v>17</v>
      </c>
      <c r="I80" s="111">
        <v>27.5</v>
      </c>
      <c r="J80" s="111">
        <v>26</v>
      </c>
      <c r="K80" s="111">
        <v>27.5</v>
      </c>
      <c r="L80" s="111">
        <v>71</v>
      </c>
      <c r="M80" s="111">
        <v>39</v>
      </c>
    </row>
    <row r="81" spans="1:13" ht="23.25" customHeight="1">
      <c r="A81" s="36"/>
      <c r="B81" s="110"/>
      <c r="C81" s="37"/>
      <c r="D81" s="36"/>
      <c r="E81" s="36"/>
      <c r="F81" s="112">
        <v>87</v>
      </c>
      <c r="G81" s="112">
        <v>106</v>
      </c>
      <c r="H81" s="112">
        <v>67</v>
      </c>
      <c r="I81" s="112">
        <v>34</v>
      </c>
      <c r="J81" s="112">
        <v>24</v>
      </c>
      <c r="K81" s="112">
        <v>18</v>
      </c>
      <c r="L81" s="112">
        <v>95</v>
      </c>
      <c r="M81" s="113"/>
    </row>
    <row r="82" spans="1:13" ht="23.25" customHeight="1">
      <c r="A82" s="30" t="s">
        <v>542</v>
      </c>
      <c r="B82" s="44">
        <v>55</v>
      </c>
      <c r="C82" s="31" t="s">
        <v>334</v>
      </c>
      <c r="D82" s="32" t="s">
        <v>229</v>
      </c>
      <c r="E82" s="104" t="s">
        <v>394</v>
      </c>
      <c r="F82" s="111">
        <v>43</v>
      </c>
      <c r="G82" s="111">
        <v>25</v>
      </c>
      <c r="H82" s="111">
        <v>17</v>
      </c>
      <c r="I82" s="111">
        <v>26</v>
      </c>
      <c r="J82" s="111">
        <v>24</v>
      </c>
      <c r="K82" s="111">
        <v>26</v>
      </c>
      <c r="L82" s="111">
        <v>69</v>
      </c>
      <c r="M82" s="111">
        <v>39</v>
      </c>
    </row>
    <row r="83" spans="1:13" ht="23.25" customHeight="1">
      <c r="A83" s="36"/>
      <c r="B83" s="110"/>
      <c r="C83" s="37"/>
      <c r="D83" s="36"/>
      <c r="E83" s="36"/>
      <c r="F83" s="112">
        <v>80</v>
      </c>
      <c r="G83" s="112">
        <v>106</v>
      </c>
      <c r="H83" s="112">
        <v>68</v>
      </c>
      <c r="I83" s="112">
        <v>33</v>
      </c>
      <c r="J83" s="112">
        <v>24</v>
      </c>
      <c r="K83" s="112">
        <v>19</v>
      </c>
      <c r="L83" s="112">
        <v>100</v>
      </c>
      <c r="M83" s="113"/>
    </row>
  </sheetData>
  <mergeCells count="1">
    <mergeCell ref="A1:B1"/>
  </mergeCells>
  <phoneticPr fontId="11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4DDEA-6684-4069-A3FF-C1BAC402FB60}">
  <sheetPr>
    <tabColor rgb="FFFF0000"/>
  </sheetPr>
  <dimension ref="A1:ALH68"/>
  <sheetViews>
    <sheetView workbookViewId="0">
      <pane ySplit="4" topLeftCell="A61" activePane="bottomLeft" state="frozen"/>
      <selection pane="bottomLeft" activeCell="D48" sqref="D48"/>
    </sheetView>
  </sheetViews>
  <sheetFormatPr defaultColWidth="9.140625" defaultRowHeight="24.75" customHeight="1"/>
  <cols>
    <col min="1" max="1" width="3.28515625" style="76" bestFit="1" customWidth="1"/>
    <col min="2" max="2" width="5.5703125" style="1" bestFit="1" customWidth="1"/>
    <col min="3" max="3" width="25" style="2" customWidth="1"/>
    <col min="4" max="4" width="14.7109375" style="1" bestFit="1" customWidth="1"/>
    <col min="5" max="5" width="8.42578125" style="1" bestFit="1" customWidth="1"/>
    <col min="6" max="6" width="17.28515625" style="3" customWidth="1"/>
    <col min="7" max="9" width="4.7109375" style="1" bestFit="1" customWidth="1"/>
    <col min="10" max="12" width="5.5703125" style="1" bestFit="1" customWidth="1"/>
    <col min="13" max="13" width="4.7109375" style="1" bestFit="1" customWidth="1"/>
    <col min="14" max="14" width="5.7109375" style="1" customWidth="1"/>
    <col min="15" max="24" width="9.140625" style="5"/>
    <col min="25" max="25" width="13.140625" style="5" customWidth="1"/>
    <col min="26" max="996" width="9.140625" style="5"/>
  </cols>
  <sheetData>
    <row r="1" spans="1:996" ht="24.75" customHeight="1">
      <c r="A1" s="115" t="s">
        <v>498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</row>
    <row r="2" spans="1:996" ht="24.75" customHeight="1">
      <c r="A2" s="115" t="s">
        <v>499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</row>
    <row r="4" spans="1:996" s="1" customFormat="1" ht="24.75" customHeight="1">
      <c r="A4" s="114" t="s">
        <v>0</v>
      </c>
      <c r="B4" s="114"/>
      <c r="C4" s="82" t="s">
        <v>1</v>
      </c>
      <c r="D4" s="103" t="s">
        <v>4</v>
      </c>
      <c r="E4" s="103" t="s">
        <v>363</v>
      </c>
      <c r="F4" s="84" t="s">
        <v>6</v>
      </c>
      <c r="G4" s="106" t="s">
        <v>7</v>
      </c>
      <c r="H4" s="106" t="s">
        <v>8</v>
      </c>
      <c r="I4" s="106" t="s">
        <v>9</v>
      </c>
      <c r="J4" s="106" t="s">
        <v>10</v>
      </c>
      <c r="K4" s="106" t="s">
        <v>11</v>
      </c>
      <c r="L4" s="106" t="s">
        <v>12</v>
      </c>
      <c r="M4" s="106" t="s">
        <v>13</v>
      </c>
      <c r="N4" s="106" t="s">
        <v>14</v>
      </c>
    </row>
    <row r="5" spans="1:996" s="5" customFormat="1" ht="24.75" customHeight="1">
      <c r="A5" s="44">
        <v>1</v>
      </c>
      <c r="B5" s="30" t="s">
        <v>94</v>
      </c>
      <c r="C5" s="31" t="s">
        <v>95</v>
      </c>
      <c r="D5" s="32" t="s">
        <v>26</v>
      </c>
      <c r="E5" s="104" t="s">
        <v>394</v>
      </c>
      <c r="F5" s="31" t="s">
        <v>96</v>
      </c>
      <c r="G5" s="44">
        <v>44</v>
      </c>
      <c r="H5" s="44">
        <v>24</v>
      </c>
      <c r="I5" s="44">
        <v>16</v>
      </c>
      <c r="J5" s="44">
        <v>25</v>
      </c>
      <c r="K5" s="44">
        <v>23</v>
      </c>
      <c r="L5" s="44">
        <v>26</v>
      </c>
      <c r="M5" s="44">
        <v>71</v>
      </c>
      <c r="N5" s="44">
        <v>38</v>
      </c>
    </row>
    <row r="6" spans="1:996" s="5" customFormat="1" ht="24.75" customHeight="1">
      <c r="A6" s="36"/>
      <c r="B6" s="36"/>
      <c r="C6" s="37"/>
      <c r="D6" s="36"/>
      <c r="E6" s="36"/>
      <c r="F6" s="105"/>
      <c r="G6" s="36">
        <v>73</v>
      </c>
      <c r="H6" s="36">
        <v>96</v>
      </c>
      <c r="I6" s="36">
        <v>63</v>
      </c>
      <c r="J6" s="36">
        <v>30</v>
      </c>
      <c r="K6" s="36">
        <v>24</v>
      </c>
      <c r="L6" s="36">
        <v>18</v>
      </c>
      <c r="M6" s="36">
        <v>99</v>
      </c>
      <c r="N6" s="36"/>
    </row>
    <row r="7" spans="1:996" s="5" customFormat="1" ht="24.75" customHeight="1">
      <c r="A7" s="44">
        <v>2</v>
      </c>
      <c r="B7" s="30" t="s">
        <v>134</v>
      </c>
      <c r="C7" s="31" t="s">
        <v>135</v>
      </c>
      <c r="D7" s="32" t="s">
        <v>120</v>
      </c>
      <c r="E7" s="104" t="s">
        <v>394</v>
      </c>
      <c r="F7" s="31" t="s">
        <v>136</v>
      </c>
      <c r="G7" s="44">
        <v>42</v>
      </c>
      <c r="H7" s="44">
        <v>25</v>
      </c>
      <c r="I7" s="44">
        <v>16</v>
      </c>
      <c r="J7" s="44">
        <v>25</v>
      </c>
      <c r="K7" s="44">
        <v>23</v>
      </c>
      <c r="L7" s="44">
        <v>26</v>
      </c>
      <c r="M7" s="44">
        <v>72</v>
      </c>
      <c r="N7" s="44">
        <v>38</v>
      </c>
    </row>
    <row r="8" spans="1:996" s="5" customFormat="1" ht="24.75" customHeight="1">
      <c r="A8" s="36"/>
      <c r="B8" s="36"/>
      <c r="C8" s="37"/>
      <c r="D8" s="36"/>
      <c r="E8" s="36"/>
      <c r="F8" s="105"/>
      <c r="G8" s="36">
        <v>77</v>
      </c>
      <c r="H8" s="36">
        <v>99</v>
      </c>
      <c r="I8" s="36">
        <v>65</v>
      </c>
      <c r="J8" s="36">
        <v>32</v>
      </c>
      <c r="K8" s="36">
        <v>24</v>
      </c>
      <c r="L8" s="36">
        <v>19</v>
      </c>
      <c r="M8" s="36">
        <v>103</v>
      </c>
      <c r="N8" s="36"/>
    </row>
    <row r="9" spans="1:996" s="5" customFormat="1" ht="24.75" customHeight="1">
      <c r="A9" s="44">
        <v>3</v>
      </c>
      <c r="B9" s="30" t="s">
        <v>164</v>
      </c>
      <c r="C9" s="31" t="s">
        <v>165</v>
      </c>
      <c r="D9" s="32" t="s">
        <v>120</v>
      </c>
      <c r="E9" s="104" t="s">
        <v>394</v>
      </c>
      <c r="F9" s="31" t="s">
        <v>166</v>
      </c>
      <c r="G9" s="44">
        <v>45</v>
      </c>
      <c r="H9" s="44">
        <v>25</v>
      </c>
      <c r="I9" s="44">
        <v>18</v>
      </c>
      <c r="J9" s="44">
        <v>28.5</v>
      </c>
      <c r="K9" s="44">
        <v>26</v>
      </c>
      <c r="L9" s="44">
        <v>28.5</v>
      </c>
      <c r="M9" s="44">
        <v>72</v>
      </c>
      <c r="N9" s="44">
        <v>41</v>
      </c>
    </row>
    <row r="10" spans="1:996" s="5" customFormat="1" ht="24.75" customHeight="1">
      <c r="A10" s="36"/>
      <c r="B10" s="36"/>
      <c r="C10" s="37"/>
      <c r="D10" s="36"/>
      <c r="E10" s="36"/>
      <c r="F10" s="105"/>
      <c r="G10" s="36">
        <v>89</v>
      </c>
      <c r="H10" s="36">
        <v>108</v>
      </c>
      <c r="I10" s="36">
        <v>70</v>
      </c>
      <c r="J10" s="36">
        <v>34</v>
      </c>
      <c r="K10" s="36">
        <v>25</v>
      </c>
      <c r="L10" s="36">
        <v>19</v>
      </c>
      <c r="M10" s="36">
        <v>99</v>
      </c>
      <c r="N10" s="36"/>
    </row>
    <row r="11" spans="1:996" s="5" customFormat="1" ht="24.75" customHeight="1">
      <c r="A11" s="44">
        <v>4</v>
      </c>
      <c r="B11" s="30" t="s">
        <v>176</v>
      </c>
      <c r="C11" s="31" t="s">
        <v>177</v>
      </c>
      <c r="D11" s="32" t="s">
        <v>120</v>
      </c>
      <c r="E11" s="104" t="s">
        <v>394</v>
      </c>
      <c r="F11" s="31" t="s">
        <v>178</v>
      </c>
      <c r="G11" s="44">
        <v>43</v>
      </c>
      <c r="H11" s="44">
        <v>25</v>
      </c>
      <c r="I11" s="44">
        <v>16</v>
      </c>
      <c r="J11" s="44">
        <v>25</v>
      </c>
      <c r="K11" s="44">
        <v>24</v>
      </c>
      <c r="L11" s="44">
        <v>26</v>
      </c>
      <c r="M11" s="44">
        <v>70</v>
      </c>
      <c r="N11" s="44">
        <v>38</v>
      </c>
    </row>
    <row r="12" spans="1:996" s="5" customFormat="1" ht="24.75" customHeight="1">
      <c r="A12" s="36"/>
      <c r="B12" s="36"/>
      <c r="C12" s="37"/>
      <c r="D12" s="36"/>
      <c r="E12" s="36"/>
      <c r="F12" s="105"/>
      <c r="G12" s="36">
        <v>79</v>
      </c>
      <c r="H12" s="36">
        <v>99</v>
      </c>
      <c r="I12" s="36">
        <v>67</v>
      </c>
      <c r="J12" s="36">
        <v>30</v>
      </c>
      <c r="K12" s="36">
        <v>23</v>
      </c>
      <c r="L12" s="36">
        <v>18</v>
      </c>
      <c r="M12" s="36">
        <v>102</v>
      </c>
      <c r="N12" s="36"/>
    </row>
    <row r="13" spans="1:996" s="5" customFormat="1" ht="24.75" customHeight="1">
      <c r="A13" s="44">
        <v>5</v>
      </c>
      <c r="B13" s="30" t="s">
        <v>182</v>
      </c>
      <c r="C13" s="31" t="s">
        <v>183</v>
      </c>
      <c r="D13" s="32" t="s">
        <v>120</v>
      </c>
      <c r="E13" s="104" t="s">
        <v>394</v>
      </c>
      <c r="F13" s="31" t="s">
        <v>184</v>
      </c>
      <c r="G13" s="44">
        <v>48</v>
      </c>
      <c r="H13" s="44">
        <v>27</v>
      </c>
      <c r="I13" s="44">
        <v>20</v>
      </c>
      <c r="J13" s="44">
        <v>28</v>
      </c>
      <c r="K13" s="44">
        <v>26</v>
      </c>
      <c r="L13" s="44">
        <v>28</v>
      </c>
      <c r="M13" s="44">
        <v>74</v>
      </c>
      <c r="N13" s="44">
        <v>40</v>
      </c>
    </row>
    <row r="14" spans="1:996" s="4" customFormat="1" ht="24.75" customHeight="1">
      <c r="A14" s="36"/>
      <c r="B14" s="36"/>
      <c r="C14" s="37"/>
      <c r="D14" s="36"/>
      <c r="E14" s="36"/>
      <c r="F14" s="105"/>
      <c r="G14" s="36">
        <v>93</v>
      </c>
      <c r="H14" s="36">
        <v>118</v>
      </c>
      <c r="I14" s="36">
        <v>74</v>
      </c>
      <c r="J14" s="36">
        <v>35</v>
      </c>
      <c r="K14" s="36">
        <v>25</v>
      </c>
      <c r="L14" s="36">
        <v>19</v>
      </c>
      <c r="M14" s="36">
        <v>103</v>
      </c>
      <c r="N14" s="36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</row>
    <row r="15" spans="1:996" s="4" customFormat="1" ht="24.75" customHeight="1">
      <c r="A15" s="44">
        <v>6</v>
      </c>
      <c r="B15" s="30" t="s">
        <v>185</v>
      </c>
      <c r="C15" s="31" t="s">
        <v>186</v>
      </c>
      <c r="D15" s="32" t="s">
        <v>120</v>
      </c>
      <c r="E15" s="104" t="s">
        <v>394</v>
      </c>
      <c r="F15" s="31" t="s">
        <v>187</v>
      </c>
      <c r="G15" s="44">
        <v>44</v>
      </c>
      <c r="H15" s="44">
        <v>25</v>
      </c>
      <c r="I15" s="44">
        <v>16</v>
      </c>
      <c r="J15" s="44">
        <v>25</v>
      </c>
      <c r="K15" s="44">
        <v>24</v>
      </c>
      <c r="L15" s="44">
        <v>25</v>
      </c>
      <c r="M15" s="44">
        <v>70</v>
      </c>
      <c r="N15" s="44">
        <v>39</v>
      </c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</row>
    <row r="16" spans="1:996" s="4" customFormat="1" ht="24.75" customHeight="1">
      <c r="A16" s="36"/>
      <c r="B16" s="36"/>
      <c r="C16" s="37"/>
      <c r="D16" s="36"/>
      <c r="E16" s="36"/>
      <c r="F16" s="105"/>
      <c r="G16" s="36">
        <v>80</v>
      </c>
      <c r="H16" s="36">
        <v>102</v>
      </c>
      <c r="I16" s="36">
        <v>63</v>
      </c>
      <c r="J16" s="36">
        <v>31</v>
      </c>
      <c r="K16" s="36">
        <v>23</v>
      </c>
      <c r="L16" s="36">
        <v>18</v>
      </c>
      <c r="M16" s="36">
        <v>95</v>
      </c>
      <c r="N16" s="36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</row>
    <row r="17" spans="1:996" s="4" customFormat="1" ht="24.75" customHeight="1">
      <c r="A17" s="44">
        <v>7</v>
      </c>
      <c r="B17" s="30" t="s">
        <v>191</v>
      </c>
      <c r="C17" s="31" t="s">
        <v>192</v>
      </c>
      <c r="D17" s="32" t="s">
        <v>120</v>
      </c>
      <c r="E17" s="104" t="s">
        <v>394</v>
      </c>
      <c r="F17" s="31" t="s">
        <v>193</v>
      </c>
      <c r="G17" s="44">
        <v>43</v>
      </c>
      <c r="H17" s="44">
        <v>25</v>
      </c>
      <c r="I17" s="44">
        <v>17</v>
      </c>
      <c r="J17" s="44">
        <v>28</v>
      </c>
      <c r="K17" s="44">
        <v>26</v>
      </c>
      <c r="L17" s="44">
        <v>28</v>
      </c>
      <c r="M17" s="44">
        <v>76</v>
      </c>
      <c r="N17" s="44">
        <v>40</v>
      </c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</row>
    <row r="18" spans="1:996" s="4" customFormat="1" ht="24.75" customHeight="1">
      <c r="A18" s="36"/>
      <c r="B18" s="36"/>
      <c r="C18" s="37"/>
      <c r="D18" s="36"/>
      <c r="E18" s="36"/>
      <c r="F18" s="105"/>
      <c r="G18" s="36">
        <v>88</v>
      </c>
      <c r="H18" s="36">
        <v>109</v>
      </c>
      <c r="I18" s="36">
        <v>67</v>
      </c>
      <c r="J18" s="36">
        <v>34</v>
      </c>
      <c r="K18" s="36">
        <v>25</v>
      </c>
      <c r="L18" s="36">
        <v>19</v>
      </c>
      <c r="M18" s="36">
        <v>102</v>
      </c>
      <c r="N18" s="36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</row>
    <row r="19" spans="1:996" s="4" customFormat="1" ht="24.75" customHeight="1">
      <c r="A19" s="44">
        <v>8</v>
      </c>
      <c r="B19" s="30" t="s">
        <v>215</v>
      </c>
      <c r="C19" s="31" t="s">
        <v>216</v>
      </c>
      <c r="D19" s="32" t="s">
        <v>120</v>
      </c>
      <c r="E19" s="104" t="s">
        <v>394</v>
      </c>
      <c r="F19" s="31" t="s">
        <v>217</v>
      </c>
      <c r="G19" s="44">
        <v>46</v>
      </c>
      <c r="H19" s="44">
        <v>27</v>
      </c>
      <c r="I19" s="44">
        <v>17</v>
      </c>
      <c r="J19" s="44">
        <v>28</v>
      </c>
      <c r="K19" s="44">
        <v>26.5</v>
      </c>
      <c r="L19" s="44">
        <v>29</v>
      </c>
      <c r="M19" s="44">
        <v>72</v>
      </c>
      <c r="N19" s="44">
        <v>41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</row>
    <row r="20" spans="1:996" s="4" customFormat="1" ht="24.75" customHeight="1">
      <c r="A20" s="36"/>
      <c r="B20" s="36"/>
      <c r="C20" s="37"/>
      <c r="D20" s="36"/>
      <c r="E20" s="36"/>
      <c r="F20" s="105"/>
      <c r="G20" s="36">
        <v>92</v>
      </c>
      <c r="H20" s="36">
        <v>112</v>
      </c>
      <c r="I20" s="36">
        <v>71</v>
      </c>
      <c r="J20" s="36">
        <v>35</v>
      </c>
      <c r="K20" s="36">
        <v>26</v>
      </c>
      <c r="L20" s="36">
        <v>19</v>
      </c>
      <c r="M20" s="36">
        <v>100</v>
      </c>
      <c r="N20" s="36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</row>
    <row r="21" spans="1:996" s="4" customFormat="1" ht="24.75" customHeight="1">
      <c r="A21" s="44">
        <v>9</v>
      </c>
      <c r="B21" s="30" t="s">
        <v>249</v>
      </c>
      <c r="C21" s="31" t="s">
        <v>250</v>
      </c>
      <c r="D21" s="32" t="s">
        <v>229</v>
      </c>
      <c r="E21" s="104" t="s">
        <v>394</v>
      </c>
      <c r="F21" s="31" t="s">
        <v>251</v>
      </c>
      <c r="G21" s="44">
        <v>42</v>
      </c>
      <c r="H21" s="44">
        <v>24</v>
      </c>
      <c r="I21" s="44">
        <v>17</v>
      </c>
      <c r="J21" s="44">
        <v>26</v>
      </c>
      <c r="K21" s="44">
        <v>23</v>
      </c>
      <c r="L21" s="44">
        <v>26</v>
      </c>
      <c r="M21" s="44">
        <v>73</v>
      </c>
      <c r="N21" s="44">
        <v>40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</row>
    <row r="22" spans="1:996" s="4" customFormat="1" ht="24.75" customHeight="1">
      <c r="A22" s="36"/>
      <c r="B22" s="36"/>
      <c r="C22" s="37"/>
      <c r="D22" s="36"/>
      <c r="E22" s="36"/>
      <c r="F22" s="105"/>
      <c r="G22" s="36">
        <v>76</v>
      </c>
      <c r="H22" s="36">
        <v>97</v>
      </c>
      <c r="I22" s="36">
        <v>63</v>
      </c>
      <c r="J22" s="36">
        <v>31</v>
      </c>
      <c r="K22" s="36">
        <v>25</v>
      </c>
      <c r="L22" s="36">
        <v>18</v>
      </c>
      <c r="M22" s="36">
        <v>104</v>
      </c>
      <c r="N22" s="36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</row>
    <row r="23" spans="1:996" s="4" customFormat="1" ht="24.75" customHeight="1">
      <c r="A23" s="44">
        <v>10</v>
      </c>
      <c r="B23" s="30" t="s">
        <v>255</v>
      </c>
      <c r="C23" s="31" t="s">
        <v>256</v>
      </c>
      <c r="D23" s="32" t="s">
        <v>229</v>
      </c>
      <c r="E23" s="104" t="s">
        <v>394</v>
      </c>
      <c r="F23" s="31" t="s">
        <v>257</v>
      </c>
      <c r="G23" s="44">
        <v>45</v>
      </c>
      <c r="H23" s="44">
        <v>25</v>
      </c>
      <c r="I23" s="44">
        <v>16</v>
      </c>
      <c r="J23" s="44">
        <v>26</v>
      </c>
      <c r="K23" s="44">
        <v>24</v>
      </c>
      <c r="L23" s="44">
        <v>26</v>
      </c>
      <c r="M23" s="44">
        <v>73</v>
      </c>
      <c r="N23" s="44">
        <v>38</v>
      </c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</row>
    <row r="24" spans="1:996" s="4" customFormat="1" ht="24.75" customHeight="1">
      <c r="A24" s="36"/>
      <c r="B24" s="36"/>
      <c r="C24" s="37"/>
      <c r="D24" s="36"/>
      <c r="E24" s="36"/>
      <c r="F24" s="105"/>
      <c r="G24" s="36">
        <v>78</v>
      </c>
      <c r="H24" s="36">
        <v>103</v>
      </c>
      <c r="I24" s="36">
        <v>63</v>
      </c>
      <c r="J24" s="36">
        <v>32</v>
      </c>
      <c r="K24" s="36">
        <v>25</v>
      </c>
      <c r="L24" s="36">
        <v>19</v>
      </c>
      <c r="M24" s="36">
        <v>98</v>
      </c>
      <c r="N24" s="36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</row>
    <row r="25" spans="1:996" s="4" customFormat="1" ht="24.75" customHeight="1">
      <c r="A25" s="44">
        <v>11</v>
      </c>
      <c r="B25" s="30" t="s">
        <v>258</v>
      </c>
      <c r="C25" s="31" t="s">
        <v>259</v>
      </c>
      <c r="D25" s="32" t="s">
        <v>229</v>
      </c>
      <c r="E25" s="104" t="s">
        <v>394</v>
      </c>
      <c r="F25" s="31" t="s">
        <v>260</v>
      </c>
      <c r="G25" s="44">
        <v>44</v>
      </c>
      <c r="H25" s="44">
        <v>24</v>
      </c>
      <c r="I25" s="44">
        <v>16</v>
      </c>
      <c r="J25" s="44">
        <v>25</v>
      </c>
      <c r="K25" s="44">
        <v>23</v>
      </c>
      <c r="L25" s="44">
        <v>25</v>
      </c>
      <c r="M25" s="44">
        <v>72</v>
      </c>
      <c r="N25" s="44">
        <v>38</v>
      </c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</row>
    <row r="26" spans="1:996" s="4" customFormat="1" ht="24.75" customHeight="1">
      <c r="A26" s="36"/>
      <c r="B26" s="36"/>
      <c r="C26" s="37"/>
      <c r="D26" s="36"/>
      <c r="E26" s="36"/>
      <c r="F26" s="105"/>
      <c r="G26" s="36">
        <v>75</v>
      </c>
      <c r="H26" s="36">
        <v>99</v>
      </c>
      <c r="I26" s="36">
        <v>65</v>
      </c>
      <c r="J26" s="36">
        <v>31</v>
      </c>
      <c r="K26" s="36">
        <v>23</v>
      </c>
      <c r="L26" s="36">
        <v>18</v>
      </c>
      <c r="M26" s="36">
        <v>99</v>
      </c>
      <c r="N26" s="36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  <c r="AAA26" s="5"/>
      <c r="AAB26" s="5"/>
      <c r="AAC26" s="5"/>
      <c r="AAD26" s="5"/>
      <c r="AAE26" s="5"/>
      <c r="AAF26" s="5"/>
      <c r="AAG26" s="5"/>
      <c r="AAH26" s="5"/>
      <c r="AAI26" s="5"/>
      <c r="AAJ26" s="5"/>
      <c r="AAK26" s="5"/>
      <c r="AAL26" s="5"/>
      <c r="AAM26" s="5"/>
      <c r="AAN26" s="5"/>
      <c r="AAO26" s="5"/>
      <c r="AAP26" s="5"/>
      <c r="AAQ26" s="5"/>
      <c r="AAR26" s="5"/>
      <c r="AAS26" s="5"/>
      <c r="AAT26" s="5"/>
      <c r="AAU26" s="5"/>
      <c r="AAV26" s="5"/>
      <c r="AAW26" s="5"/>
      <c r="AAX26" s="5"/>
      <c r="AAY26" s="5"/>
      <c r="AAZ26" s="5"/>
      <c r="ABA26" s="5"/>
      <c r="ABB26" s="5"/>
      <c r="ABC26" s="5"/>
      <c r="ABD26" s="5"/>
      <c r="ABE26" s="5"/>
      <c r="ABF26" s="5"/>
      <c r="ABG26" s="5"/>
      <c r="ABH26" s="5"/>
      <c r="ABI26" s="5"/>
      <c r="ABJ26" s="5"/>
      <c r="ABK26" s="5"/>
      <c r="ABL26" s="5"/>
      <c r="ABM26" s="5"/>
      <c r="ABN26" s="5"/>
      <c r="ABO26" s="5"/>
      <c r="ABP26" s="5"/>
      <c r="ABQ26" s="5"/>
      <c r="ABR26" s="5"/>
      <c r="ABS26" s="5"/>
      <c r="ABT26" s="5"/>
      <c r="ABU26" s="5"/>
      <c r="ABV26" s="5"/>
      <c r="ABW26" s="5"/>
      <c r="ABX26" s="5"/>
      <c r="ABY26" s="5"/>
      <c r="ABZ26" s="5"/>
      <c r="ACA26" s="5"/>
      <c r="ACB26" s="5"/>
      <c r="ACC26" s="5"/>
      <c r="ACD26" s="5"/>
      <c r="ACE26" s="5"/>
      <c r="ACF26" s="5"/>
      <c r="ACG26" s="5"/>
      <c r="ACH26" s="5"/>
      <c r="ACI26" s="5"/>
      <c r="ACJ26" s="5"/>
      <c r="ACK26" s="5"/>
      <c r="ACL26" s="5"/>
      <c r="ACM26" s="5"/>
      <c r="ACN26" s="5"/>
      <c r="ACO26" s="5"/>
      <c r="ACP26" s="5"/>
      <c r="ACQ26" s="5"/>
      <c r="ACR26" s="5"/>
      <c r="ACS26" s="5"/>
      <c r="ACT26" s="5"/>
      <c r="ACU26" s="5"/>
      <c r="ACV26" s="5"/>
      <c r="ACW26" s="5"/>
      <c r="ACX26" s="5"/>
      <c r="ACY26" s="5"/>
      <c r="ACZ26" s="5"/>
      <c r="ADA26" s="5"/>
      <c r="ADB26" s="5"/>
      <c r="ADC26" s="5"/>
      <c r="ADD26" s="5"/>
      <c r="ADE26" s="5"/>
      <c r="ADF26" s="5"/>
      <c r="ADG26" s="5"/>
      <c r="ADH26" s="5"/>
      <c r="ADI26" s="5"/>
      <c r="ADJ26" s="5"/>
      <c r="ADK26" s="5"/>
      <c r="ADL26" s="5"/>
      <c r="ADM26" s="5"/>
      <c r="ADN26" s="5"/>
      <c r="ADO26" s="5"/>
      <c r="ADP26" s="5"/>
      <c r="ADQ26" s="5"/>
      <c r="ADR26" s="5"/>
      <c r="ADS26" s="5"/>
      <c r="ADT26" s="5"/>
      <c r="ADU26" s="5"/>
      <c r="ADV26" s="5"/>
      <c r="ADW26" s="5"/>
      <c r="ADX26" s="5"/>
      <c r="ADY26" s="5"/>
      <c r="ADZ26" s="5"/>
      <c r="AEA26" s="5"/>
      <c r="AEB26" s="5"/>
      <c r="AEC26" s="5"/>
      <c r="AED26" s="5"/>
      <c r="AEE26" s="5"/>
      <c r="AEF26" s="5"/>
      <c r="AEG26" s="5"/>
      <c r="AEH26" s="5"/>
      <c r="AEI26" s="5"/>
      <c r="AEJ26" s="5"/>
      <c r="AEK26" s="5"/>
      <c r="AEL26" s="5"/>
      <c r="AEM26" s="5"/>
      <c r="AEN26" s="5"/>
      <c r="AEO26" s="5"/>
      <c r="AEP26" s="5"/>
      <c r="AEQ26" s="5"/>
      <c r="AER26" s="5"/>
      <c r="AES26" s="5"/>
      <c r="AET26" s="5"/>
      <c r="AEU26" s="5"/>
      <c r="AEV26" s="5"/>
      <c r="AEW26" s="5"/>
      <c r="AEX26" s="5"/>
      <c r="AEY26" s="5"/>
      <c r="AEZ26" s="5"/>
      <c r="AFA26" s="5"/>
      <c r="AFB26" s="5"/>
      <c r="AFC26" s="5"/>
      <c r="AFD26" s="5"/>
      <c r="AFE26" s="5"/>
      <c r="AFF26" s="5"/>
      <c r="AFG26" s="5"/>
      <c r="AFH26" s="5"/>
      <c r="AFI26" s="5"/>
      <c r="AFJ26" s="5"/>
      <c r="AFK26" s="5"/>
      <c r="AFL26" s="5"/>
      <c r="AFM26" s="5"/>
      <c r="AFN26" s="5"/>
      <c r="AFO26" s="5"/>
      <c r="AFP26" s="5"/>
      <c r="AFQ26" s="5"/>
      <c r="AFR26" s="5"/>
      <c r="AFS26" s="5"/>
      <c r="AFT26" s="5"/>
      <c r="AFU26" s="5"/>
      <c r="AFV26" s="5"/>
      <c r="AFW26" s="5"/>
      <c r="AFX26" s="5"/>
      <c r="AFY26" s="5"/>
      <c r="AFZ26" s="5"/>
      <c r="AGA26" s="5"/>
      <c r="AGB26" s="5"/>
      <c r="AGC26" s="5"/>
      <c r="AGD26" s="5"/>
      <c r="AGE26" s="5"/>
      <c r="AGF26" s="5"/>
      <c r="AGG26" s="5"/>
      <c r="AGH26" s="5"/>
      <c r="AGI26" s="5"/>
      <c r="AGJ26" s="5"/>
      <c r="AGK26" s="5"/>
      <c r="AGL26" s="5"/>
      <c r="AGM26" s="5"/>
      <c r="AGN26" s="5"/>
      <c r="AGO26" s="5"/>
      <c r="AGP26" s="5"/>
      <c r="AGQ26" s="5"/>
      <c r="AGR26" s="5"/>
      <c r="AGS26" s="5"/>
      <c r="AGT26" s="5"/>
      <c r="AGU26" s="5"/>
      <c r="AGV26" s="5"/>
      <c r="AGW26" s="5"/>
      <c r="AGX26" s="5"/>
      <c r="AGY26" s="5"/>
      <c r="AGZ26" s="5"/>
      <c r="AHA26" s="5"/>
      <c r="AHB26" s="5"/>
      <c r="AHC26" s="5"/>
      <c r="AHD26" s="5"/>
      <c r="AHE26" s="5"/>
      <c r="AHF26" s="5"/>
      <c r="AHG26" s="5"/>
      <c r="AHH26" s="5"/>
      <c r="AHI26" s="5"/>
      <c r="AHJ26" s="5"/>
      <c r="AHK26" s="5"/>
      <c r="AHL26" s="5"/>
      <c r="AHM26" s="5"/>
      <c r="AHN26" s="5"/>
      <c r="AHO26" s="5"/>
      <c r="AHP26" s="5"/>
      <c r="AHQ26" s="5"/>
      <c r="AHR26" s="5"/>
      <c r="AHS26" s="5"/>
      <c r="AHT26" s="5"/>
      <c r="AHU26" s="5"/>
      <c r="AHV26" s="5"/>
      <c r="AHW26" s="5"/>
      <c r="AHX26" s="5"/>
      <c r="AHY26" s="5"/>
      <c r="AHZ26" s="5"/>
      <c r="AIA26" s="5"/>
      <c r="AIB26" s="5"/>
      <c r="AIC26" s="5"/>
      <c r="AID26" s="5"/>
      <c r="AIE26" s="5"/>
      <c r="AIF26" s="5"/>
      <c r="AIG26" s="5"/>
      <c r="AIH26" s="5"/>
      <c r="AII26" s="5"/>
      <c r="AIJ26" s="5"/>
      <c r="AIK26" s="5"/>
      <c r="AIL26" s="5"/>
      <c r="AIM26" s="5"/>
      <c r="AIN26" s="5"/>
      <c r="AIO26" s="5"/>
      <c r="AIP26" s="5"/>
      <c r="AIQ26" s="5"/>
      <c r="AIR26" s="5"/>
      <c r="AIS26" s="5"/>
      <c r="AIT26" s="5"/>
      <c r="AIU26" s="5"/>
      <c r="AIV26" s="5"/>
      <c r="AIW26" s="5"/>
      <c r="AIX26" s="5"/>
      <c r="AIY26" s="5"/>
      <c r="AIZ26" s="5"/>
      <c r="AJA26" s="5"/>
      <c r="AJB26" s="5"/>
      <c r="AJC26" s="5"/>
      <c r="AJD26" s="5"/>
      <c r="AJE26" s="5"/>
      <c r="AJF26" s="5"/>
      <c r="AJG26" s="5"/>
      <c r="AJH26" s="5"/>
      <c r="AJI26" s="5"/>
      <c r="AJJ26" s="5"/>
      <c r="AJK26" s="5"/>
      <c r="AJL26" s="5"/>
      <c r="AJM26" s="5"/>
      <c r="AJN26" s="5"/>
      <c r="AJO26" s="5"/>
      <c r="AJP26" s="5"/>
      <c r="AJQ26" s="5"/>
      <c r="AJR26" s="5"/>
      <c r="AJS26" s="5"/>
      <c r="AJT26" s="5"/>
      <c r="AJU26" s="5"/>
      <c r="AJV26" s="5"/>
      <c r="AJW26" s="5"/>
      <c r="AJX26" s="5"/>
      <c r="AJY26" s="5"/>
      <c r="AJZ26" s="5"/>
      <c r="AKA26" s="5"/>
      <c r="AKB26" s="5"/>
      <c r="AKC26" s="5"/>
      <c r="AKD26" s="5"/>
      <c r="AKE26" s="5"/>
      <c r="AKF26" s="5"/>
      <c r="AKG26" s="5"/>
      <c r="AKH26" s="5"/>
      <c r="AKI26" s="5"/>
      <c r="AKJ26" s="5"/>
      <c r="AKK26" s="5"/>
      <c r="AKL26" s="5"/>
      <c r="AKM26" s="5"/>
      <c r="AKN26" s="5"/>
      <c r="AKO26" s="5"/>
      <c r="AKP26" s="5"/>
      <c r="AKQ26" s="5"/>
      <c r="AKR26" s="5"/>
      <c r="AKS26" s="5"/>
      <c r="AKT26" s="5"/>
      <c r="AKU26" s="5"/>
      <c r="AKV26" s="5"/>
      <c r="AKW26" s="5"/>
      <c r="AKX26" s="5"/>
      <c r="AKY26" s="5"/>
      <c r="AKZ26" s="5"/>
      <c r="ALA26" s="5"/>
      <c r="ALB26" s="5"/>
      <c r="ALC26" s="5"/>
      <c r="ALD26" s="5"/>
      <c r="ALE26" s="5"/>
      <c r="ALF26" s="5"/>
      <c r="ALG26" s="5"/>
      <c r="ALH26" s="5"/>
    </row>
    <row r="27" spans="1:996" s="4" customFormat="1" ht="24.75" customHeight="1">
      <c r="A27" s="44">
        <v>12</v>
      </c>
      <c r="B27" s="30" t="s">
        <v>261</v>
      </c>
      <c r="C27" s="31" t="s">
        <v>262</v>
      </c>
      <c r="D27" s="32" t="s">
        <v>229</v>
      </c>
      <c r="E27" s="104" t="s">
        <v>394</v>
      </c>
      <c r="F27" s="31" t="s">
        <v>263</v>
      </c>
      <c r="G27" s="44">
        <v>42</v>
      </c>
      <c r="H27" s="44">
        <v>24</v>
      </c>
      <c r="I27" s="44">
        <v>16</v>
      </c>
      <c r="J27" s="44">
        <v>25</v>
      </c>
      <c r="K27" s="44">
        <v>22</v>
      </c>
      <c r="L27" s="44">
        <v>25</v>
      </c>
      <c r="M27" s="44">
        <v>67</v>
      </c>
      <c r="N27" s="44">
        <v>36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  <c r="AAA27" s="5"/>
      <c r="AAB27" s="5"/>
      <c r="AAC27" s="5"/>
      <c r="AAD27" s="5"/>
      <c r="AAE27" s="5"/>
      <c r="AAF27" s="5"/>
      <c r="AAG27" s="5"/>
      <c r="AAH27" s="5"/>
      <c r="AAI27" s="5"/>
      <c r="AAJ27" s="5"/>
      <c r="AAK27" s="5"/>
      <c r="AAL27" s="5"/>
      <c r="AAM27" s="5"/>
      <c r="AAN27" s="5"/>
      <c r="AAO27" s="5"/>
      <c r="AAP27" s="5"/>
      <c r="AAQ27" s="5"/>
      <c r="AAR27" s="5"/>
      <c r="AAS27" s="5"/>
      <c r="AAT27" s="5"/>
      <c r="AAU27" s="5"/>
      <c r="AAV27" s="5"/>
      <c r="AAW27" s="5"/>
      <c r="AAX27" s="5"/>
      <c r="AAY27" s="5"/>
      <c r="AAZ27" s="5"/>
      <c r="ABA27" s="5"/>
      <c r="ABB27" s="5"/>
      <c r="ABC27" s="5"/>
      <c r="ABD27" s="5"/>
      <c r="ABE27" s="5"/>
      <c r="ABF27" s="5"/>
      <c r="ABG27" s="5"/>
      <c r="ABH27" s="5"/>
      <c r="ABI27" s="5"/>
      <c r="ABJ27" s="5"/>
      <c r="ABK27" s="5"/>
      <c r="ABL27" s="5"/>
      <c r="ABM27" s="5"/>
      <c r="ABN27" s="5"/>
      <c r="ABO27" s="5"/>
      <c r="ABP27" s="5"/>
      <c r="ABQ27" s="5"/>
      <c r="ABR27" s="5"/>
      <c r="ABS27" s="5"/>
      <c r="ABT27" s="5"/>
      <c r="ABU27" s="5"/>
      <c r="ABV27" s="5"/>
      <c r="ABW27" s="5"/>
      <c r="ABX27" s="5"/>
      <c r="ABY27" s="5"/>
      <c r="ABZ27" s="5"/>
      <c r="ACA27" s="5"/>
      <c r="ACB27" s="5"/>
      <c r="ACC27" s="5"/>
      <c r="ACD27" s="5"/>
      <c r="ACE27" s="5"/>
      <c r="ACF27" s="5"/>
      <c r="ACG27" s="5"/>
      <c r="ACH27" s="5"/>
      <c r="ACI27" s="5"/>
      <c r="ACJ27" s="5"/>
      <c r="ACK27" s="5"/>
      <c r="ACL27" s="5"/>
      <c r="ACM27" s="5"/>
      <c r="ACN27" s="5"/>
      <c r="ACO27" s="5"/>
      <c r="ACP27" s="5"/>
      <c r="ACQ27" s="5"/>
      <c r="ACR27" s="5"/>
      <c r="ACS27" s="5"/>
      <c r="ACT27" s="5"/>
      <c r="ACU27" s="5"/>
      <c r="ACV27" s="5"/>
      <c r="ACW27" s="5"/>
      <c r="ACX27" s="5"/>
      <c r="ACY27" s="5"/>
      <c r="ACZ27" s="5"/>
      <c r="ADA27" s="5"/>
      <c r="ADB27" s="5"/>
      <c r="ADC27" s="5"/>
      <c r="ADD27" s="5"/>
      <c r="ADE27" s="5"/>
      <c r="ADF27" s="5"/>
      <c r="ADG27" s="5"/>
      <c r="ADH27" s="5"/>
      <c r="ADI27" s="5"/>
      <c r="ADJ27" s="5"/>
      <c r="ADK27" s="5"/>
      <c r="ADL27" s="5"/>
      <c r="ADM27" s="5"/>
      <c r="ADN27" s="5"/>
      <c r="ADO27" s="5"/>
      <c r="ADP27" s="5"/>
      <c r="ADQ27" s="5"/>
      <c r="ADR27" s="5"/>
      <c r="ADS27" s="5"/>
      <c r="ADT27" s="5"/>
      <c r="ADU27" s="5"/>
      <c r="ADV27" s="5"/>
      <c r="ADW27" s="5"/>
      <c r="ADX27" s="5"/>
      <c r="ADY27" s="5"/>
      <c r="ADZ27" s="5"/>
      <c r="AEA27" s="5"/>
      <c r="AEB27" s="5"/>
      <c r="AEC27" s="5"/>
      <c r="AED27" s="5"/>
      <c r="AEE27" s="5"/>
      <c r="AEF27" s="5"/>
      <c r="AEG27" s="5"/>
      <c r="AEH27" s="5"/>
      <c r="AEI27" s="5"/>
      <c r="AEJ27" s="5"/>
      <c r="AEK27" s="5"/>
      <c r="AEL27" s="5"/>
      <c r="AEM27" s="5"/>
      <c r="AEN27" s="5"/>
      <c r="AEO27" s="5"/>
      <c r="AEP27" s="5"/>
      <c r="AEQ27" s="5"/>
      <c r="AER27" s="5"/>
      <c r="AES27" s="5"/>
      <c r="AET27" s="5"/>
      <c r="AEU27" s="5"/>
      <c r="AEV27" s="5"/>
      <c r="AEW27" s="5"/>
      <c r="AEX27" s="5"/>
      <c r="AEY27" s="5"/>
      <c r="AEZ27" s="5"/>
      <c r="AFA27" s="5"/>
      <c r="AFB27" s="5"/>
      <c r="AFC27" s="5"/>
      <c r="AFD27" s="5"/>
      <c r="AFE27" s="5"/>
      <c r="AFF27" s="5"/>
      <c r="AFG27" s="5"/>
      <c r="AFH27" s="5"/>
      <c r="AFI27" s="5"/>
      <c r="AFJ27" s="5"/>
      <c r="AFK27" s="5"/>
      <c r="AFL27" s="5"/>
      <c r="AFM27" s="5"/>
      <c r="AFN27" s="5"/>
      <c r="AFO27" s="5"/>
      <c r="AFP27" s="5"/>
      <c r="AFQ27" s="5"/>
      <c r="AFR27" s="5"/>
      <c r="AFS27" s="5"/>
      <c r="AFT27" s="5"/>
      <c r="AFU27" s="5"/>
      <c r="AFV27" s="5"/>
      <c r="AFW27" s="5"/>
      <c r="AFX27" s="5"/>
      <c r="AFY27" s="5"/>
      <c r="AFZ27" s="5"/>
      <c r="AGA27" s="5"/>
      <c r="AGB27" s="5"/>
      <c r="AGC27" s="5"/>
      <c r="AGD27" s="5"/>
      <c r="AGE27" s="5"/>
      <c r="AGF27" s="5"/>
      <c r="AGG27" s="5"/>
      <c r="AGH27" s="5"/>
      <c r="AGI27" s="5"/>
      <c r="AGJ27" s="5"/>
      <c r="AGK27" s="5"/>
      <c r="AGL27" s="5"/>
      <c r="AGM27" s="5"/>
      <c r="AGN27" s="5"/>
      <c r="AGO27" s="5"/>
      <c r="AGP27" s="5"/>
      <c r="AGQ27" s="5"/>
      <c r="AGR27" s="5"/>
      <c r="AGS27" s="5"/>
      <c r="AGT27" s="5"/>
      <c r="AGU27" s="5"/>
      <c r="AGV27" s="5"/>
      <c r="AGW27" s="5"/>
      <c r="AGX27" s="5"/>
      <c r="AGY27" s="5"/>
      <c r="AGZ27" s="5"/>
      <c r="AHA27" s="5"/>
      <c r="AHB27" s="5"/>
      <c r="AHC27" s="5"/>
      <c r="AHD27" s="5"/>
      <c r="AHE27" s="5"/>
      <c r="AHF27" s="5"/>
      <c r="AHG27" s="5"/>
      <c r="AHH27" s="5"/>
      <c r="AHI27" s="5"/>
      <c r="AHJ27" s="5"/>
      <c r="AHK27" s="5"/>
      <c r="AHL27" s="5"/>
      <c r="AHM27" s="5"/>
      <c r="AHN27" s="5"/>
      <c r="AHO27" s="5"/>
      <c r="AHP27" s="5"/>
      <c r="AHQ27" s="5"/>
      <c r="AHR27" s="5"/>
      <c r="AHS27" s="5"/>
      <c r="AHT27" s="5"/>
      <c r="AHU27" s="5"/>
      <c r="AHV27" s="5"/>
      <c r="AHW27" s="5"/>
      <c r="AHX27" s="5"/>
      <c r="AHY27" s="5"/>
      <c r="AHZ27" s="5"/>
      <c r="AIA27" s="5"/>
      <c r="AIB27" s="5"/>
      <c r="AIC27" s="5"/>
      <c r="AID27" s="5"/>
      <c r="AIE27" s="5"/>
      <c r="AIF27" s="5"/>
      <c r="AIG27" s="5"/>
      <c r="AIH27" s="5"/>
      <c r="AII27" s="5"/>
      <c r="AIJ27" s="5"/>
      <c r="AIK27" s="5"/>
      <c r="AIL27" s="5"/>
      <c r="AIM27" s="5"/>
      <c r="AIN27" s="5"/>
      <c r="AIO27" s="5"/>
      <c r="AIP27" s="5"/>
      <c r="AIQ27" s="5"/>
      <c r="AIR27" s="5"/>
      <c r="AIS27" s="5"/>
      <c r="AIT27" s="5"/>
      <c r="AIU27" s="5"/>
      <c r="AIV27" s="5"/>
      <c r="AIW27" s="5"/>
      <c r="AIX27" s="5"/>
      <c r="AIY27" s="5"/>
      <c r="AIZ27" s="5"/>
      <c r="AJA27" s="5"/>
      <c r="AJB27" s="5"/>
      <c r="AJC27" s="5"/>
      <c r="AJD27" s="5"/>
      <c r="AJE27" s="5"/>
      <c r="AJF27" s="5"/>
      <c r="AJG27" s="5"/>
      <c r="AJH27" s="5"/>
      <c r="AJI27" s="5"/>
      <c r="AJJ27" s="5"/>
      <c r="AJK27" s="5"/>
      <c r="AJL27" s="5"/>
      <c r="AJM27" s="5"/>
      <c r="AJN27" s="5"/>
      <c r="AJO27" s="5"/>
      <c r="AJP27" s="5"/>
      <c r="AJQ27" s="5"/>
      <c r="AJR27" s="5"/>
      <c r="AJS27" s="5"/>
      <c r="AJT27" s="5"/>
      <c r="AJU27" s="5"/>
      <c r="AJV27" s="5"/>
      <c r="AJW27" s="5"/>
      <c r="AJX27" s="5"/>
      <c r="AJY27" s="5"/>
      <c r="AJZ27" s="5"/>
      <c r="AKA27" s="5"/>
      <c r="AKB27" s="5"/>
      <c r="AKC27" s="5"/>
      <c r="AKD27" s="5"/>
      <c r="AKE27" s="5"/>
      <c r="AKF27" s="5"/>
      <c r="AKG27" s="5"/>
      <c r="AKH27" s="5"/>
      <c r="AKI27" s="5"/>
      <c r="AKJ27" s="5"/>
      <c r="AKK27" s="5"/>
      <c r="AKL27" s="5"/>
      <c r="AKM27" s="5"/>
      <c r="AKN27" s="5"/>
      <c r="AKO27" s="5"/>
      <c r="AKP27" s="5"/>
      <c r="AKQ27" s="5"/>
      <c r="AKR27" s="5"/>
      <c r="AKS27" s="5"/>
      <c r="AKT27" s="5"/>
      <c r="AKU27" s="5"/>
      <c r="AKV27" s="5"/>
      <c r="AKW27" s="5"/>
      <c r="AKX27" s="5"/>
      <c r="AKY27" s="5"/>
      <c r="AKZ27" s="5"/>
      <c r="ALA27" s="5"/>
      <c r="ALB27" s="5"/>
      <c r="ALC27" s="5"/>
      <c r="ALD27" s="5"/>
      <c r="ALE27" s="5"/>
      <c r="ALF27" s="5"/>
      <c r="ALG27" s="5"/>
      <c r="ALH27" s="5"/>
    </row>
    <row r="28" spans="1:996" s="4" customFormat="1" ht="24.75" customHeight="1">
      <c r="A28" s="36"/>
      <c r="B28" s="36"/>
      <c r="C28" s="37"/>
      <c r="D28" s="36"/>
      <c r="E28" s="36"/>
      <c r="F28" s="105"/>
      <c r="G28" s="36">
        <v>70</v>
      </c>
      <c r="H28" s="36">
        <v>92</v>
      </c>
      <c r="I28" s="36">
        <v>64</v>
      </c>
      <c r="J28" s="36">
        <v>30</v>
      </c>
      <c r="K28" s="36">
        <v>24</v>
      </c>
      <c r="L28" s="36">
        <v>18</v>
      </c>
      <c r="M28" s="36">
        <v>95</v>
      </c>
      <c r="N28" s="36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  <c r="AAA28" s="5"/>
      <c r="AAB28" s="5"/>
      <c r="AAC28" s="5"/>
      <c r="AAD28" s="5"/>
      <c r="AAE28" s="5"/>
      <c r="AAF28" s="5"/>
      <c r="AAG28" s="5"/>
      <c r="AAH28" s="5"/>
      <c r="AAI28" s="5"/>
      <c r="AAJ28" s="5"/>
      <c r="AAK28" s="5"/>
      <c r="AAL28" s="5"/>
      <c r="AAM28" s="5"/>
      <c r="AAN28" s="5"/>
      <c r="AAO28" s="5"/>
      <c r="AAP28" s="5"/>
      <c r="AAQ28" s="5"/>
      <c r="AAR28" s="5"/>
      <c r="AAS28" s="5"/>
      <c r="AAT28" s="5"/>
      <c r="AAU28" s="5"/>
      <c r="AAV28" s="5"/>
      <c r="AAW28" s="5"/>
      <c r="AAX28" s="5"/>
      <c r="AAY28" s="5"/>
      <c r="AAZ28" s="5"/>
      <c r="ABA28" s="5"/>
      <c r="ABB28" s="5"/>
      <c r="ABC28" s="5"/>
      <c r="ABD28" s="5"/>
      <c r="ABE28" s="5"/>
      <c r="ABF28" s="5"/>
      <c r="ABG28" s="5"/>
      <c r="ABH28" s="5"/>
      <c r="ABI28" s="5"/>
      <c r="ABJ28" s="5"/>
      <c r="ABK28" s="5"/>
      <c r="ABL28" s="5"/>
      <c r="ABM28" s="5"/>
      <c r="ABN28" s="5"/>
      <c r="ABO28" s="5"/>
      <c r="ABP28" s="5"/>
      <c r="ABQ28" s="5"/>
      <c r="ABR28" s="5"/>
      <c r="ABS28" s="5"/>
      <c r="ABT28" s="5"/>
      <c r="ABU28" s="5"/>
      <c r="ABV28" s="5"/>
      <c r="ABW28" s="5"/>
      <c r="ABX28" s="5"/>
      <c r="ABY28" s="5"/>
      <c r="ABZ28" s="5"/>
      <c r="ACA28" s="5"/>
      <c r="ACB28" s="5"/>
      <c r="ACC28" s="5"/>
      <c r="ACD28" s="5"/>
      <c r="ACE28" s="5"/>
      <c r="ACF28" s="5"/>
      <c r="ACG28" s="5"/>
      <c r="ACH28" s="5"/>
      <c r="ACI28" s="5"/>
      <c r="ACJ28" s="5"/>
      <c r="ACK28" s="5"/>
      <c r="ACL28" s="5"/>
      <c r="ACM28" s="5"/>
      <c r="ACN28" s="5"/>
      <c r="ACO28" s="5"/>
      <c r="ACP28" s="5"/>
      <c r="ACQ28" s="5"/>
      <c r="ACR28" s="5"/>
      <c r="ACS28" s="5"/>
      <c r="ACT28" s="5"/>
      <c r="ACU28" s="5"/>
      <c r="ACV28" s="5"/>
      <c r="ACW28" s="5"/>
      <c r="ACX28" s="5"/>
      <c r="ACY28" s="5"/>
      <c r="ACZ28" s="5"/>
      <c r="ADA28" s="5"/>
      <c r="ADB28" s="5"/>
      <c r="ADC28" s="5"/>
      <c r="ADD28" s="5"/>
      <c r="ADE28" s="5"/>
      <c r="ADF28" s="5"/>
      <c r="ADG28" s="5"/>
      <c r="ADH28" s="5"/>
      <c r="ADI28" s="5"/>
      <c r="ADJ28" s="5"/>
      <c r="ADK28" s="5"/>
      <c r="ADL28" s="5"/>
      <c r="ADM28" s="5"/>
      <c r="ADN28" s="5"/>
      <c r="ADO28" s="5"/>
      <c r="ADP28" s="5"/>
      <c r="ADQ28" s="5"/>
      <c r="ADR28" s="5"/>
      <c r="ADS28" s="5"/>
      <c r="ADT28" s="5"/>
      <c r="ADU28" s="5"/>
      <c r="ADV28" s="5"/>
      <c r="ADW28" s="5"/>
      <c r="ADX28" s="5"/>
      <c r="ADY28" s="5"/>
      <c r="ADZ28" s="5"/>
      <c r="AEA28" s="5"/>
      <c r="AEB28" s="5"/>
      <c r="AEC28" s="5"/>
      <c r="AED28" s="5"/>
      <c r="AEE28" s="5"/>
      <c r="AEF28" s="5"/>
      <c r="AEG28" s="5"/>
      <c r="AEH28" s="5"/>
      <c r="AEI28" s="5"/>
      <c r="AEJ28" s="5"/>
      <c r="AEK28" s="5"/>
      <c r="AEL28" s="5"/>
      <c r="AEM28" s="5"/>
      <c r="AEN28" s="5"/>
      <c r="AEO28" s="5"/>
      <c r="AEP28" s="5"/>
      <c r="AEQ28" s="5"/>
      <c r="AER28" s="5"/>
      <c r="AES28" s="5"/>
      <c r="AET28" s="5"/>
      <c r="AEU28" s="5"/>
      <c r="AEV28" s="5"/>
      <c r="AEW28" s="5"/>
      <c r="AEX28" s="5"/>
      <c r="AEY28" s="5"/>
      <c r="AEZ28" s="5"/>
      <c r="AFA28" s="5"/>
      <c r="AFB28" s="5"/>
      <c r="AFC28" s="5"/>
      <c r="AFD28" s="5"/>
      <c r="AFE28" s="5"/>
      <c r="AFF28" s="5"/>
      <c r="AFG28" s="5"/>
      <c r="AFH28" s="5"/>
      <c r="AFI28" s="5"/>
      <c r="AFJ28" s="5"/>
      <c r="AFK28" s="5"/>
      <c r="AFL28" s="5"/>
      <c r="AFM28" s="5"/>
      <c r="AFN28" s="5"/>
      <c r="AFO28" s="5"/>
      <c r="AFP28" s="5"/>
      <c r="AFQ28" s="5"/>
      <c r="AFR28" s="5"/>
      <c r="AFS28" s="5"/>
      <c r="AFT28" s="5"/>
      <c r="AFU28" s="5"/>
      <c r="AFV28" s="5"/>
      <c r="AFW28" s="5"/>
      <c r="AFX28" s="5"/>
      <c r="AFY28" s="5"/>
      <c r="AFZ28" s="5"/>
      <c r="AGA28" s="5"/>
      <c r="AGB28" s="5"/>
      <c r="AGC28" s="5"/>
      <c r="AGD28" s="5"/>
      <c r="AGE28" s="5"/>
      <c r="AGF28" s="5"/>
      <c r="AGG28" s="5"/>
      <c r="AGH28" s="5"/>
      <c r="AGI28" s="5"/>
      <c r="AGJ28" s="5"/>
      <c r="AGK28" s="5"/>
      <c r="AGL28" s="5"/>
      <c r="AGM28" s="5"/>
      <c r="AGN28" s="5"/>
      <c r="AGO28" s="5"/>
      <c r="AGP28" s="5"/>
      <c r="AGQ28" s="5"/>
      <c r="AGR28" s="5"/>
      <c r="AGS28" s="5"/>
      <c r="AGT28" s="5"/>
      <c r="AGU28" s="5"/>
      <c r="AGV28" s="5"/>
      <c r="AGW28" s="5"/>
      <c r="AGX28" s="5"/>
      <c r="AGY28" s="5"/>
      <c r="AGZ28" s="5"/>
      <c r="AHA28" s="5"/>
      <c r="AHB28" s="5"/>
      <c r="AHC28" s="5"/>
      <c r="AHD28" s="5"/>
      <c r="AHE28" s="5"/>
      <c r="AHF28" s="5"/>
      <c r="AHG28" s="5"/>
      <c r="AHH28" s="5"/>
      <c r="AHI28" s="5"/>
      <c r="AHJ28" s="5"/>
      <c r="AHK28" s="5"/>
      <c r="AHL28" s="5"/>
      <c r="AHM28" s="5"/>
      <c r="AHN28" s="5"/>
      <c r="AHO28" s="5"/>
      <c r="AHP28" s="5"/>
      <c r="AHQ28" s="5"/>
      <c r="AHR28" s="5"/>
      <c r="AHS28" s="5"/>
      <c r="AHT28" s="5"/>
      <c r="AHU28" s="5"/>
      <c r="AHV28" s="5"/>
      <c r="AHW28" s="5"/>
      <c r="AHX28" s="5"/>
      <c r="AHY28" s="5"/>
      <c r="AHZ28" s="5"/>
      <c r="AIA28" s="5"/>
      <c r="AIB28" s="5"/>
      <c r="AIC28" s="5"/>
      <c r="AID28" s="5"/>
      <c r="AIE28" s="5"/>
      <c r="AIF28" s="5"/>
      <c r="AIG28" s="5"/>
      <c r="AIH28" s="5"/>
      <c r="AII28" s="5"/>
      <c r="AIJ28" s="5"/>
      <c r="AIK28" s="5"/>
      <c r="AIL28" s="5"/>
      <c r="AIM28" s="5"/>
      <c r="AIN28" s="5"/>
      <c r="AIO28" s="5"/>
      <c r="AIP28" s="5"/>
      <c r="AIQ28" s="5"/>
      <c r="AIR28" s="5"/>
      <c r="AIS28" s="5"/>
      <c r="AIT28" s="5"/>
      <c r="AIU28" s="5"/>
      <c r="AIV28" s="5"/>
      <c r="AIW28" s="5"/>
      <c r="AIX28" s="5"/>
      <c r="AIY28" s="5"/>
      <c r="AIZ28" s="5"/>
      <c r="AJA28" s="5"/>
      <c r="AJB28" s="5"/>
      <c r="AJC28" s="5"/>
      <c r="AJD28" s="5"/>
      <c r="AJE28" s="5"/>
      <c r="AJF28" s="5"/>
      <c r="AJG28" s="5"/>
      <c r="AJH28" s="5"/>
      <c r="AJI28" s="5"/>
      <c r="AJJ28" s="5"/>
      <c r="AJK28" s="5"/>
      <c r="AJL28" s="5"/>
      <c r="AJM28" s="5"/>
      <c r="AJN28" s="5"/>
      <c r="AJO28" s="5"/>
      <c r="AJP28" s="5"/>
      <c r="AJQ28" s="5"/>
      <c r="AJR28" s="5"/>
      <c r="AJS28" s="5"/>
      <c r="AJT28" s="5"/>
      <c r="AJU28" s="5"/>
      <c r="AJV28" s="5"/>
      <c r="AJW28" s="5"/>
      <c r="AJX28" s="5"/>
      <c r="AJY28" s="5"/>
      <c r="AJZ28" s="5"/>
      <c r="AKA28" s="5"/>
      <c r="AKB28" s="5"/>
      <c r="AKC28" s="5"/>
      <c r="AKD28" s="5"/>
      <c r="AKE28" s="5"/>
      <c r="AKF28" s="5"/>
      <c r="AKG28" s="5"/>
      <c r="AKH28" s="5"/>
      <c r="AKI28" s="5"/>
      <c r="AKJ28" s="5"/>
      <c r="AKK28" s="5"/>
      <c r="AKL28" s="5"/>
      <c r="AKM28" s="5"/>
      <c r="AKN28" s="5"/>
      <c r="AKO28" s="5"/>
      <c r="AKP28" s="5"/>
      <c r="AKQ28" s="5"/>
      <c r="AKR28" s="5"/>
      <c r="AKS28" s="5"/>
      <c r="AKT28" s="5"/>
      <c r="AKU28" s="5"/>
      <c r="AKV28" s="5"/>
      <c r="AKW28" s="5"/>
      <c r="AKX28" s="5"/>
      <c r="AKY28" s="5"/>
      <c r="AKZ28" s="5"/>
      <c r="ALA28" s="5"/>
      <c r="ALB28" s="5"/>
      <c r="ALC28" s="5"/>
      <c r="ALD28" s="5"/>
      <c r="ALE28" s="5"/>
      <c r="ALF28" s="5"/>
      <c r="ALG28" s="5"/>
      <c r="ALH28" s="5"/>
    </row>
    <row r="29" spans="1:996" s="5" customFormat="1" ht="24.75" customHeight="1">
      <c r="A29" s="44">
        <v>13</v>
      </c>
      <c r="B29" s="30" t="s">
        <v>264</v>
      </c>
      <c r="C29" s="31" t="s">
        <v>265</v>
      </c>
      <c r="D29" s="32" t="s">
        <v>229</v>
      </c>
      <c r="E29" s="104" t="s">
        <v>394</v>
      </c>
      <c r="F29" s="31" t="s">
        <v>266</v>
      </c>
      <c r="G29" s="44">
        <v>44</v>
      </c>
      <c r="H29" s="44">
        <v>26</v>
      </c>
      <c r="I29" s="44">
        <v>16</v>
      </c>
      <c r="J29" s="44">
        <v>26</v>
      </c>
      <c r="K29" s="44">
        <v>24</v>
      </c>
      <c r="L29" s="44">
        <v>27</v>
      </c>
      <c r="M29" s="44">
        <v>73</v>
      </c>
      <c r="N29" s="44">
        <v>39</v>
      </c>
    </row>
    <row r="30" spans="1:996" s="5" customFormat="1" ht="24.75" customHeight="1">
      <c r="A30" s="36"/>
      <c r="B30" s="36"/>
      <c r="C30" s="37"/>
      <c r="D30" s="36"/>
      <c r="E30" s="36"/>
      <c r="F30" s="105"/>
      <c r="G30" s="36">
        <v>78</v>
      </c>
      <c r="H30" s="36">
        <v>100</v>
      </c>
      <c r="I30" s="36">
        <v>66</v>
      </c>
      <c r="J30" s="36">
        <v>32</v>
      </c>
      <c r="K30" s="36">
        <v>23</v>
      </c>
      <c r="L30" s="36">
        <v>19</v>
      </c>
      <c r="M30" s="36">
        <v>105</v>
      </c>
      <c r="N30" s="36"/>
    </row>
    <row r="31" spans="1:996" s="5" customFormat="1" ht="24.75" customHeight="1">
      <c r="A31" s="44">
        <v>14</v>
      </c>
      <c r="B31" s="30" t="s">
        <v>267</v>
      </c>
      <c r="C31" s="31" t="s">
        <v>268</v>
      </c>
      <c r="D31" s="32" t="s">
        <v>229</v>
      </c>
      <c r="E31" s="104" t="s">
        <v>394</v>
      </c>
      <c r="F31" s="31" t="s">
        <v>269</v>
      </c>
      <c r="G31" s="44">
        <v>45</v>
      </c>
      <c r="H31" s="44">
        <v>24</v>
      </c>
      <c r="I31" s="44">
        <v>17</v>
      </c>
      <c r="J31" s="44">
        <v>28</v>
      </c>
      <c r="K31" s="44">
        <v>27</v>
      </c>
      <c r="L31" s="44">
        <v>28</v>
      </c>
      <c r="M31" s="44">
        <v>72</v>
      </c>
      <c r="N31" s="44">
        <v>42</v>
      </c>
    </row>
    <row r="32" spans="1:996" s="5" customFormat="1" ht="24.75" customHeight="1">
      <c r="A32" s="36"/>
      <c r="B32" s="36"/>
      <c r="C32" s="37"/>
      <c r="D32" s="36"/>
      <c r="E32" s="36"/>
      <c r="F32" s="105"/>
      <c r="G32" s="36">
        <v>93</v>
      </c>
      <c r="H32" s="36">
        <v>112</v>
      </c>
      <c r="I32" s="36">
        <v>65</v>
      </c>
      <c r="J32" s="36">
        <v>34</v>
      </c>
      <c r="K32" s="36">
        <v>24</v>
      </c>
      <c r="L32" s="36">
        <v>20</v>
      </c>
      <c r="M32" s="36">
        <v>98</v>
      </c>
      <c r="N32" s="36"/>
    </row>
    <row r="33" spans="1:996" s="5" customFormat="1" ht="24.75" customHeight="1">
      <c r="A33" s="44">
        <v>15</v>
      </c>
      <c r="B33" s="30" t="s">
        <v>270</v>
      </c>
      <c r="C33" s="31" t="s">
        <v>271</v>
      </c>
      <c r="D33" s="32" t="s">
        <v>229</v>
      </c>
      <c r="E33" s="104" t="s">
        <v>394</v>
      </c>
      <c r="F33" s="31" t="s">
        <v>272</v>
      </c>
      <c r="G33" s="44">
        <v>46</v>
      </c>
      <c r="H33" s="44">
        <v>27</v>
      </c>
      <c r="I33" s="44">
        <v>17</v>
      </c>
      <c r="J33" s="44">
        <v>26</v>
      </c>
      <c r="K33" s="44">
        <v>25</v>
      </c>
      <c r="L33" s="44">
        <v>26</v>
      </c>
      <c r="M33" s="44">
        <v>75</v>
      </c>
      <c r="N33" s="44">
        <v>38</v>
      </c>
    </row>
    <row r="34" spans="1:996" s="5" customFormat="1" ht="24.75" customHeight="1">
      <c r="A34" s="36"/>
      <c r="B34" s="36"/>
      <c r="C34" s="37"/>
      <c r="D34" s="36"/>
      <c r="E34" s="36"/>
      <c r="F34" s="105"/>
      <c r="G34" s="36">
        <v>80</v>
      </c>
      <c r="H34" s="36">
        <v>99</v>
      </c>
      <c r="I34" s="36">
        <v>68</v>
      </c>
      <c r="J34" s="36">
        <v>32</v>
      </c>
      <c r="K34" s="36">
        <v>24</v>
      </c>
      <c r="L34" s="36">
        <v>19</v>
      </c>
      <c r="M34" s="36">
        <v>105</v>
      </c>
      <c r="N34" s="36"/>
    </row>
    <row r="35" spans="1:996" s="5" customFormat="1" ht="24.75" customHeight="1">
      <c r="A35" s="44">
        <v>16</v>
      </c>
      <c r="B35" s="30" t="s">
        <v>282</v>
      </c>
      <c r="C35" s="31" t="s">
        <v>283</v>
      </c>
      <c r="D35" s="32" t="s">
        <v>229</v>
      </c>
      <c r="E35" s="104" t="s">
        <v>386</v>
      </c>
      <c r="F35" s="31" t="s">
        <v>284</v>
      </c>
      <c r="G35" s="44">
        <v>43</v>
      </c>
      <c r="H35" s="44">
        <v>54</v>
      </c>
      <c r="I35" s="44">
        <v>19</v>
      </c>
      <c r="J35" s="44">
        <v>11</v>
      </c>
      <c r="K35" s="44">
        <v>121</v>
      </c>
      <c r="L35" s="44">
        <v>111</v>
      </c>
      <c r="M35" s="44">
        <v>130</v>
      </c>
      <c r="N35" s="44" t="s">
        <v>496</v>
      </c>
    </row>
    <row r="36" spans="1:996" s="5" customFormat="1" ht="24.75" customHeight="1">
      <c r="A36" s="36"/>
      <c r="B36" s="36"/>
      <c r="C36" s="37"/>
      <c r="D36" s="36"/>
      <c r="E36" s="36"/>
      <c r="F36" s="105"/>
      <c r="G36" s="36">
        <v>103</v>
      </c>
      <c r="H36" s="36">
        <v>128</v>
      </c>
      <c r="I36" s="36">
        <v>81</v>
      </c>
      <c r="J36" s="36">
        <v>39</v>
      </c>
      <c r="K36" s="36">
        <v>27</v>
      </c>
      <c r="L36" s="36">
        <v>19</v>
      </c>
      <c r="M36" s="36">
        <v>90</v>
      </c>
      <c r="N36" s="36"/>
    </row>
    <row r="37" spans="1:996" s="4" customFormat="1" ht="24.75" customHeight="1">
      <c r="A37" s="44">
        <v>17</v>
      </c>
      <c r="B37" s="30" t="s">
        <v>294</v>
      </c>
      <c r="C37" s="31" t="s">
        <v>295</v>
      </c>
      <c r="D37" s="32" t="s">
        <v>229</v>
      </c>
      <c r="E37" s="104" t="s">
        <v>386</v>
      </c>
      <c r="F37" s="31" t="s">
        <v>296</v>
      </c>
      <c r="G37" s="44">
        <v>40</v>
      </c>
      <c r="H37" s="44">
        <v>53</v>
      </c>
      <c r="I37" s="44">
        <v>15</v>
      </c>
      <c r="J37" s="44">
        <v>11</v>
      </c>
      <c r="K37" s="44">
        <v>94</v>
      </c>
      <c r="L37" s="44">
        <v>84</v>
      </c>
      <c r="M37" s="44">
        <v>105</v>
      </c>
      <c r="N37" s="44" t="s">
        <v>497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  <c r="ALH37" s="5"/>
    </row>
    <row r="38" spans="1:996" s="4" customFormat="1" ht="24.75" customHeight="1">
      <c r="A38" s="36"/>
      <c r="B38" s="36"/>
      <c r="C38" s="37"/>
      <c r="D38" s="36"/>
      <c r="E38" s="36"/>
      <c r="F38" s="105"/>
      <c r="G38" s="36">
        <v>82</v>
      </c>
      <c r="H38" s="36">
        <v>103</v>
      </c>
      <c r="I38" s="36">
        <v>63</v>
      </c>
      <c r="J38" s="36">
        <v>32</v>
      </c>
      <c r="K38" s="36">
        <v>23</v>
      </c>
      <c r="L38" s="36">
        <v>18</v>
      </c>
      <c r="M38" s="36">
        <v>91</v>
      </c>
      <c r="N38" s="36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  <c r="ALH38" s="5"/>
    </row>
    <row r="39" spans="1:996" ht="24.75" customHeight="1">
      <c r="A39" s="44">
        <v>18</v>
      </c>
      <c r="B39" s="30" t="s">
        <v>91</v>
      </c>
      <c r="C39" s="31" t="s">
        <v>92</v>
      </c>
      <c r="D39" s="32" t="s">
        <v>26</v>
      </c>
      <c r="E39" s="104" t="s">
        <v>394</v>
      </c>
      <c r="F39" s="31" t="s">
        <v>93</v>
      </c>
      <c r="G39" s="44">
        <v>44</v>
      </c>
      <c r="H39" s="44">
        <v>24</v>
      </c>
      <c r="I39" s="44">
        <v>15</v>
      </c>
      <c r="J39" s="44">
        <v>26</v>
      </c>
      <c r="K39" s="44">
        <v>24</v>
      </c>
      <c r="L39" s="44">
        <v>26</v>
      </c>
      <c r="M39" s="44">
        <v>73</v>
      </c>
      <c r="N39" s="44">
        <v>37</v>
      </c>
    </row>
    <row r="40" spans="1:996" ht="24.75" customHeight="1">
      <c r="A40" s="36"/>
      <c r="B40" s="36"/>
      <c r="C40" s="37"/>
      <c r="D40" s="36"/>
      <c r="E40" s="36"/>
      <c r="F40" s="105"/>
      <c r="G40" s="36">
        <v>82</v>
      </c>
      <c r="H40" s="36">
        <v>62</v>
      </c>
      <c r="I40" s="36">
        <v>30</v>
      </c>
      <c r="J40" s="36">
        <v>23</v>
      </c>
      <c r="K40" s="36">
        <v>18</v>
      </c>
      <c r="L40" s="36">
        <v>97</v>
      </c>
      <c r="M40" s="36"/>
      <c r="N40" s="36"/>
    </row>
    <row r="41" spans="1:996" ht="24.75" customHeight="1">
      <c r="A41" s="44">
        <v>19</v>
      </c>
      <c r="B41" s="30" t="s">
        <v>100</v>
      </c>
      <c r="C41" s="31" t="s">
        <v>101</v>
      </c>
      <c r="D41" s="32" t="s">
        <v>26</v>
      </c>
      <c r="E41" s="104" t="s">
        <v>394</v>
      </c>
      <c r="F41" s="31" t="s">
        <v>102</v>
      </c>
      <c r="G41" s="44">
        <v>40</v>
      </c>
      <c r="H41" s="44">
        <v>23</v>
      </c>
      <c r="I41" s="44">
        <v>15</v>
      </c>
      <c r="J41" s="44">
        <v>25</v>
      </c>
      <c r="K41" s="44">
        <v>23</v>
      </c>
      <c r="L41" s="44">
        <v>25</v>
      </c>
      <c r="M41" s="44">
        <v>68</v>
      </c>
      <c r="N41" s="44">
        <v>37</v>
      </c>
    </row>
    <row r="42" spans="1:996" ht="24.75" customHeight="1">
      <c r="A42" s="36"/>
      <c r="B42" s="36"/>
      <c r="C42" s="37"/>
      <c r="D42" s="36"/>
      <c r="E42" s="36"/>
      <c r="F42" s="105"/>
      <c r="G42" s="36">
        <v>71</v>
      </c>
      <c r="H42" s="36">
        <v>97</v>
      </c>
      <c r="I42" s="36">
        <v>64</v>
      </c>
      <c r="J42" s="36">
        <v>32</v>
      </c>
      <c r="K42" s="36">
        <v>24</v>
      </c>
      <c r="L42" s="36">
        <v>18</v>
      </c>
      <c r="M42" s="36">
        <v>94</v>
      </c>
      <c r="N42" s="36"/>
    </row>
    <row r="43" spans="1:996" ht="24.75" customHeight="1">
      <c r="A43" s="44">
        <v>20</v>
      </c>
      <c r="B43" s="30" t="s">
        <v>103</v>
      </c>
      <c r="C43" s="31" t="s">
        <v>104</v>
      </c>
      <c r="D43" s="32" t="s">
        <v>26</v>
      </c>
      <c r="E43" s="104" t="s">
        <v>394</v>
      </c>
      <c r="F43" s="31" t="s">
        <v>105</v>
      </c>
      <c r="G43" s="44">
        <v>45</v>
      </c>
      <c r="H43" s="44">
        <v>25</v>
      </c>
      <c r="I43" s="44">
        <v>18</v>
      </c>
      <c r="J43" s="44">
        <v>29</v>
      </c>
      <c r="K43" s="44">
        <v>28</v>
      </c>
      <c r="L43" s="44">
        <v>29</v>
      </c>
      <c r="M43" s="44">
        <v>74</v>
      </c>
      <c r="N43" s="44">
        <v>42</v>
      </c>
    </row>
    <row r="44" spans="1:996" ht="24.75" customHeight="1">
      <c r="A44" s="36"/>
      <c r="B44" s="36"/>
      <c r="C44" s="37"/>
      <c r="D44" s="36"/>
      <c r="E44" s="36"/>
      <c r="F44" s="105"/>
      <c r="G44" s="36">
        <v>98</v>
      </c>
      <c r="H44" s="36">
        <v>119</v>
      </c>
      <c r="I44" s="36">
        <v>67</v>
      </c>
      <c r="J44" s="36">
        <v>36</v>
      </c>
      <c r="K44" s="36">
        <v>26</v>
      </c>
      <c r="L44" s="36">
        <v>20</v>
      </c>
      <c r="M44" s="36">
        <v>98</v>
      </c>
      <c r="N44" s="36"/>
    </row>
    <row r="45" spans="1:996" ht="24.75" customHeight="1">
      <c r="A45" s="44">
        <v>21</v>
      </c>
      <c r="B45" s="30" t="s">
        <v>109</v>
      </c>
      <c r="C45" s="31" t="s">
        <v>110</v>
      </c>
      <c r="D45" s="32" t="s">
        <v>26</v>
      </c>
      <c r="E45" s="104" t="s">
        <v>394</v>
      </c>
      <c r="F45" s="31" t="s">
        <v>111</v>
      </c>
      <c r="G45" s="44">
        <v>42</v>
      </c>
      <c r="H45" s="44">
        <v>22</v>
      </c>
      <c r="I45" s="44">
        <v>16</v>
      </c>
      <c r="J45" s="44">
        <v>27</v>
      </c>
      <c r="K45" s="44">
        <v>25</v>
      </c>
      <c r="L45" s="44">
        <v>27</v>
      </c>
      <c r="M45" s="44">
        <v>67</v>
      </c>
      <c r="N45" s="44">
        <v>37</v>
      </c>
    </row>
    <row r="46" spans="1:996" ht="24.75" customHeight="1">
      <c r="A46" s="36"/>
      <c r="B46" s="36"/>
      <c r="C46" s="37"/>
      <c r="D46" s="36"/>
      <c r="E46" s="36"/>
      <c r="F46" s="105"/>
      <c r="G46" s="36">
        <v>82</v>
      </c>
      <c r="H46" s="36">
        <v>101</v>
      </c>
      <c r="I46" s="36">
        <v>62</v>
      </c>
      <c r="J46" s="36">
        <v>31</v>
      </c>
      <c r="K46" s="36">
        <v>24</v>
      </c>
      <c r="L46" s="36">
        <v>19</v>
      </c>
      <c r="M46" s="36">
        <v>91</v>
      </c>
      <c r="N46" s="36"/>
    </row>
    <row r="47" spans="1:996" ht="24.75" customHeight="1">
      <c r="A47" s="44">
        <v>22</v>
      </c>
      <c r="B47" s="30" t="s">
        <v>112</v>
      </c>
      <c r="C47" s="31" t="s">
        <v>113</v>
      </c>
      <c r="D47" s="32" t="s">
        <v>26</v>
      </c>
      <c r="E47" s="104" t="s">
        <v>394</v>
      </c>
      <c r="F47" s="31" t="s">
        <v>114</v>
      </c>
      <c r="G47" s="44">
        <v>42</v>
      </c>
      <c r="H47" s="44">
        <v>22</v>
      </c>
      <c r="I47" s="44">
        <v>16</v>
      </c>
      <c r="J47" s="44">
        <v>25</v>
      </c>
      <c r="K47" s="44">
        <v>23</v>
      </c>
      <c r="L47" s="44">
        <v>25</v>
      </c>
      <c r="M47" s="44">
        <v>67</v>
      </c>
      <c r="N47" s="44">
        <v>38</v>
      </c>
    </row>
    <row r="48" spans="1:996" ht="24.75" customHeight="1">
      <c r="A48" s="36"/>
      <c r="B48" s="36"/>
      <c r="C48" s="37"/>
      <c r="D48" s="36"/>
      <c r="E48" s="36"/>
      <c r="F48" s="105"/>
      <c r="G48" s="36">
        <v>73</v>
      </c>
      <c r="H48" s="36">
        <v>93</v>
      </c>
      <c r="I48" s="36">
        <v>64</v>
      </c>
      <c r="J48" s="36">
        <v>32</v>
      </c>
      <c r="K48" s="36">
        <v>24</v>
      </c>
      <c r="L48" s="36">
        <v>18</v>
      </c>
      <c r="M48" s="36">
        <v>94</v>
      </c>
      <c r="N48" s="36"/>
    </row>
    <row r="49" spans="1:14" ht="24.75" customHeight="1">
      <c r="A49" s="44">
        <v>23</v>
      </c>
      <c r="B49" s="30" t="s">
        <v>125</v>
      </c>
      <c r="C49" s="31" t="s">
        <v>126</v>
      </c>
      <c r="D49" s="32" t="s">
        <v>120</v>
      </c>
      <c r="E49" s="104" t="s">
        <v>394</v>
      </c>
      <c r="F49" s="31" t="s">
        <v>127</v>
      </c>
      <c r="G49" s="44">
        <v>44</v>
      </c>
      <c r="H49" s="44">
        <v>25</v>
      </c>
      <c r="I49" s="44">
        <v>32</v>
      </c>
      <c r="J49" s="44">
        <v>96</v>
      </c>
      <c r="K49" s="44">
        <v>86</v>
      </c>
      <c r="L49" s="44">
        <v>100</v>
      </c>
      <c r="M49" s="44">
        <v>68</v>
      </c>
      <c r="N49" s="44">
        <v>40</v>
      </c>
    </row>
    <row r="50" spans="1:14" ht="24.75" customHeight="1">
      <c r="A50" s="36"/>
      <c r="B50" s="36"/>
      <c r="C50" s="37"/>
      <c r="D50" s="36"/>
      <c r="E50" s="36"/>
      <c r="F50" s="105"/>
      <c r="G50" s="36">
        <v>82</v>
      </c>
      <c r="H50" s="36">
        <v>100</v>
      </c>
      <c r="I50" s="36">
        <v>68</v>
      </c>
      <c r="J50" s="36">
        <v>33</v>
      </c>
      <c r="K50" s="36">
        <v>23</v>
      </c>
      <c r="L50" s="36">
        <v>21</v>
      </c>
      <c r="M50" s="36">
        <v>93</v>
      </c>
      <c r="N50" s="36"/>
    </row>
    <row r="51" spans="1:14" ht="24.75" customHeight="1">
      <c r="A51" s="44">
        <v>24</v>
      </c>
      <c r="B51" s="30" t="s">
        <v>143</v>
      </c>
      <c r="C51" s="31" t="s">
        <v>144</v>
      </c>
      <c r="D51" s="32" t="s">
        <v>120</v>
      </c>
      <c r="E51" s="104" t="s">
        <v>394</v>
      </c>
      <c r="F51" s="31" t="s">
        <v>145</v>
      </c>
      <c r="G51" s="44">
        <v>43</v>
      </c>
      <c r="H51" s="44">
        <v>23</v>
      </c>
      <c r="I51" s="44">
        <v>15</v>
      </c>
      <c r="J51" s="44">
        <v>25</v>
      </c>
      <c r="K51" s="44">
        <v>23</v>
      </c>
      <c r="L51" s="44">
        <v>25</v>
      </c>
      <c r="M51" s="44">
        <v>68</v>
      </c>
      <c r="N51" s="44">
        <v>36</v>
      </c>
    </row>
    <row r="52" spans="1:14" ht="24.75" customHeight="1">
      <c r="A52" s="36"/>
      <c r="B52" s="36"/>
      <c r="C52" s="37"/>
      <c r="D52" s="36"/>
      <c r="E52" s="36"/>
      <c r="F52" s="105"/>
      <c r="G52" s="36">
        <v>70</v>
      </c>
      <c r="H52" s="36">
        <v>94</v>
      </c>
      <c r="I52" s="36">
        <v>66</v>
      </c>
      <c r="J52" s="36">
        <v>30</v>
      </c>
      <c r="K52" s="36">
        <v>23</v>
      </c>
      <c r="L52" s="36">
        <v>18</v>
      </c>
      <c r="M52" s="36">
        <v>99</v>
      </c>
      <c r="N52" s="36"/>
    </row>
    <row r="53" spans="1:14" ht="24.75" customHeight="1">
      <c r="A53" s="44">
        <v>25</v>
      </c>
      <c r="B53" s="30" t="s">
        <v>146</v>
      </c>
      <c r="C53" s="31" t="s">
        <v>147</v>
      </c>
      <c r="D53" s="32" t="s">
        <v>120</v>
      </c>
      <c r="E53" s="104" t="s">
        <v>394</v>
      </c>
      <c r="F53" s="31" t="s">
        <v>148</v>
      </c>
      <c r="G53" s="44">
        <v>47</v>
      </c>
      <c r="H53" s="44">
        <v>26</v>
      </c>
      <c r="I53" s="44">
        <v>38</v>
      </c>
      <c r="J53" s="44">
        <v>112</v>
      </c>
      <c r="K53" s="44">
        <v>106</v>
      </c>
      <c r="L53" s="44">
        <v>118</v>
      </c>
      <c r="M53" s="44">
        <v>42</v>
      </c>
      <c r="N53" s="44">
        <v>72</v>
      </c>
    </row>
    <row r="54" spans="1:14" ht="24.75" customHeight="1">
      <c r="A54" s="36"/>
      <c r="B54" s="36"/>
      <c r="C54" s="37"/>
      <c r="D54" s="36"/>
      <c r="E54" s="36"/>
      <c r="F54" s="105"/>
      <c r="G54" s="36">
        <v>105</v>
      </c>
      <c r="H54" s="36">
        <v>118</v>
      </c>
      <c r="I54" s="36">
        <v>70</v>
      </c>
      <c r="J54" s="36">
        <v>72</v>
      </c>
      <c r="K54" s="36">
        <v>54</v>
      </c>
      <c r="L54" s="36">
        <v>42</v>
      </c>
      <c r="M54" s="36">
        <v>98</v>
      </c>
      <c r="N54" s="36"/>
    </row>
    <row r="55" spans="1:14" ht="24.75" customHeight="1">
      <c r="A55" s="44">
        <v>26</v>
      </c>
      <c r="B55" s="30" t="s">
        <v>155</v>
      </c>
      <c r="C55" s="31" t="s">
        <v>156</v>
      </c>
      <c r="D55" s="32" t="s">
        <v>120</v>
      </c>
      <c r="E55" s="104" t="s">
        <v>394</v>
      </c>
      <c r="F55" s="31" t="s">
        <v>157</v>
      </c>
      <c r="G55" s="44">
        <v>43</v>
      </c>
      <c r="H55" s="44">
        <v>24</v>
      </c>
      <c r="I55" s="44">
        <v>34</v>
      </c>
      <c r="J55" s="44">
        <v>102</v>
      </c>
      <c r="K55" s="44">
        <v>90</v>
      </c>
      <c r="L55" s="44">
        <v>106</v>
      </c>
      <c r="M55" s="44">
        <v>40</v>
      </c>
      <c r="N55" s="44">
        <v>70</v>
      </c>
    </row>
    <row r="56" spans="1:14" ht="24.75" customHeight="1">
      <c r="A56" s="36"/>
      <c r="B56" s="36"/>
      <c r="C56" s="37"/>
      <c r="D56" s="36"/>
      <c r="E56" s="36"/>
      <c r="F56" s="105"/>
      <c r="G56" s="36">
        <v>88</v>
      </c>
      <c r="H56" s="36">
        <v>106</v>
      </c>
      <c r="I56" s="36">
        <v>68</v>
      </c>
      <c r="J56" s="36">
        <v>70</v>
      </c>
      <c r="K56" s="36">
        <v>50</v>
      </c>
      <c r="L56" s="36">
        <v>42</v>
      </c>
      <c r="M56" s="36">
        <v>96</v>
      </c>
      <c r="N56" s="36"/>
    </row>
    <row r="57" spans="1:14" ht="24.75" customHeight="1">
      <c r="A57" s="44">
        <v>27</v>
      </c>
      <c r="B57" s="30" t="s">
        <v>167</v>
      </c>
      <c r="C57" s="31" t="s">
        <v>168</v>
      </c>
      <c r="D57" s="32" t="s">
        <v>120</v>
      </c>
      <c r="E57" s="104" t="s">
        <v>394</v>
      </c>
      <c r="F57" s="31" t="s">
        <v>169</v>
      </c>
      <c r="G57" s="44">
        <v>47</v>
      </c>
      <c r="H57" s="44">
        <v>27</v>
      </c>
      <c r="I57" s="44">
        <v>36</v>
      </c>
      <c r="J57" s="44">
        <v>108</v>
      </c>
      <c r="K57" s="44">
        <v>102</v>
      </c>
      <c r="L57" s="44">
        <v>110</v>
      </c>
      <c r="M57" s="44">
        <v>70</v>
      </c>
      <c r="N57" s="44">
        <v>40</v>
      </c>
    </row>
    <row r="58" spans="1:14" ht="24.75" customHeight="1">
      <c r="A58" s="36"/>
      <c r="B58" s="36"/>
      <c r="C58" s="37"/>
      <c r="D58" s="36"/>
      <c r="E58" s="36"/>
      <c r="F58" s="105"/>
      <c r="G58" s="36">
        <v>94</v>
      </c>
      <c r="H58" s="36">
        <v>104</v>
      </c>
      <c r="I58" s="36">
        <v>110</v>
      </c>
      <c r="J58" s="36">
        <v>74</v>
      </c>
      <c r="K58" s="36">
        <v>68</v>
      </c>
      <c r="L58" s="36">
        <v>50</v>
      </c>
      <c r="M58" s="36">
        <v>42</v>
      </c>
      <c r="N58" s="36"/>
    </row>
    <row r="59" spans="1:14" ht="24.75" customHeight="1">
      <c r="A59" s="44">
        <v>28</v>
      </c>
      <c r="B59" s="30" t="s">
        <v>224</v>
      </c>
      <c r="C59" s="31" t="s">
        <v>225</v>
      </c>
      <c r="D59" s="32" t="s">
        <v>120</v>
      </c>
      <c r="E59" s="104" t="s">
        <v>394</v>
      </c>
      <c r="F59" s="31" t="s">
        <v>226</v>
      </c>
      <c r="G59" s="44">
        <v>43</v>
      </c>
      <c r="H59" s="44">
        <v>26</v>
      </c>
      <c r="I59" s="44">
        <v>17</v>
      </c>
      <c r="J59" s="44">
        <v>26</v>
      </c>
      <c r="K59" s="44">
        <v>24</v>
      </c>
      <c r="L59" s="44">
        <v>26</v>
      </c>
      <c r="M59" s="44">
        <v>70</v>
      </c>
      <c r="N59" s="44">
        <v>40</v>
      </c>
    </row>
    <row r="60" spans="1:14" ht="24.75" customHeight="1">
      <c r="A60" s="36"/>
      <c r="B60" s="36"/>
      <c r="C60" s="37"/>
      <c r="D60" s="36"/>
      <c r="E60" s="36"/>
      <c r="F60" s="105"/>
      <c r="G60" s="36">
        <v>84</v>
      </c>
      <c r="H60" s="36">
        <v>107</v>
      </c>
      <c r="I60" s="36">
        <v>67</v>
      </c>
      <c r="J60" s="36">
        <v>33</v>
      </c>
      <c r="K60" s="36">
        <v>23</v>
      </c>
      <c r="L60" s="36">
        <v>19</v>
      </c>
      <c r="M60" s="36">
        <v>94</v>
      </c>
      <c r="N60" s="36"/>
    </row>
    <row r="61" spans="1:14" ht="24.75" customHeight="1">
      <c r="A61" s="44">
        <v>29</v>
      </c>
      <c r="B61" s="30" t="s">
        <v>300</v>
      </c>
      <c r="C61" s="31" t="s">
        <v>301</v>
      </c>
      <c r="D61" s="32" t="s">
        <v>229</v>
      </c>
      <c r="E61" s="104" t="s">
        <v>394</v>
      </c>
      <c r="F61" s="31" t="s">
        <v>302</v>
      </c>
      <c r="G61" s="44">
        <v>44</v>
      </c>
      <c r="H61" s="44">
        <v>26</v>
      </c>
      <c r="I61" s="44">
        <v>16</v>
      </c>
      <c r="J61" s="44">
        <v>26</v>
      </c>
      <c r="K61" s="44">
        <v>24</v>
      </c>
      <c r="L61" s="44">
        <v>26</v>
      </c>
      <c r="M61" s="44">
        <v>71</v>
      </c>
      <c r="N61" s="44">
        <v>37</v>
      </c>
    </row>
    <row r="62" spans="1:14" ht="24.75" customHeight="1">
      <c r="A62" s="36"/>
      <c r="B62" s="36"/>
      <c r="C62" s="37"/>
      <c r="D62" s="36"/>
      <c r="E62" s="36"/>
      <c r="F62" s="105"/>
      <c r="G62" s="36">
        <v>78</v>
      </c>
      <c r="H62" s="36">
        <v>101</v>
      </c>
      <c r="I62" s="36">
        <v>65</v>
      </c>
      <c r="J62" s="36">
        <v>31</v>
      </c>
      <c r="K62" s="36">
        <v>24</v>
      </c>
      <c r="L62" s="36">
        <v>18</v>
      </c>
      <c r="M62" s="36">
        <v>100</v>
      </c>
      <c r="N62" s="36"/>
    </row>
    <row r="63" spans="1:14" ht="24.75" customHeight="1">
      <c r="A63" s="44">
        <v>30</v>
      </c>
      <c r="B63" s="30" t="s">
        <v>306</v>
      </c>
      <c r="C63" s="31" t="s">
        <v>307</v>
      </c>
      <c r="D63" s="32" t="s">
        <v>229</v>
      </c>
      <c r="E63" s="104" t="s">
        <v>394</v>
      </c>
      <c r="F63" s="31" t="s">
        <v>308</v>
      </c>
      <c r="G63" s="44">
        <v>45</v>
      </c>
      <c r="H63" s="44">
        <v>26</v>
      </c>
      <c r="I63" s="44">
        <v>17</v>
      </c>
      <c r="J63" s="44">
        <v>28</v>
      </c>
      <c r="K63" s="44">
        <v>26</v>
      </c>
      <c r="L63" s="44">
        <v>28</v>
      </c>
      <c r="M63" s="44">
        <v>71</v>
      </c>
      <c r="N63" s="44">
        <v>40</v>
      </c>
    </row>
    <row r="64" spans="1:14" ht="24.75" customHeight="1">
      <c r="A64" s="36"/>
      <c r="B64" s="36"/>
      <c r="C64" s="37"/>
      <c r="D64" s="36"/>
      <c r="E64" s="36"/>
      <c r="F64" s="105"/>
      <c r="G64" s="36">
        <v>89</v>
      </c>
      <c r="H64" s="36">
        <v>113</v>
      </c>
      <c r="I64" s="36">
        <v>67</v>
      </c>
      <c r="J64" s="36">
        <v>35</v>
      </c>
      <c r="K64" s="36">
        <v>25</v>
      </c>
      <c r="L64" s="36">
        <v>19</v>
      </c>
      <c r="M64" s="36">
        <v>99</v>
      </c>
      <c r="N64" s="36"/>
    </row>
    <row r="65" spans="1:14" ht="24.75" customHeight="1">
      <c r="A65" s="44">
        <v>31</v>
      </c>
      <c r="B65" s="30" t="s">
        <v>309</v>
      </c>
      <c r="C65" s="31" t="s">
        <v>310</v>
      </c>
      <c r="D65" s="32" t="s">
        <v>229</v>
      </c>
      <c r="E65" s="104" t="s">
        <v>394</v>
      </c>
      <c r="F65" s="31" t="s">
        <v>311</v>
      </c>
      <c r="G65" s="44">
        <v>42</v>
      </c>
      <c r="H65" s="44">
        <v>24</v>
      </c>
      <c r="I65" s="44">
        <v>17</v>
      </c>
      <c r="J65" s="44">
        <v>27.5</v>
      </c>
      <c r="K65" s="44">
        <v>26</v>
      </c>
      <c r="L65" s="44">
        <v>27.5</v>
      </c>
      <c r="M65" s="44">
        <v>71</v>
      </c>
      <c r="N65" s="44">
        <v>39</v>
      </c>
    </row>
    <row r="66" spans="1:14" ht="24.75" customHeight="1">
      <c r="A66" s="36"/>
      <c r="B66" s="36"/>
      <c r="C66" s="37"/>
      <c r="D66" s="36"/>
      <c r="E66" s="36"/>
      <c r="F66" s="105"/>
      <c r="G66" s="36">
        <v>87</v>
      </c>
      <c r="H66" s="36">
        <v>106</v>
      </c>
      <c r="I66" s="36">
        <v>67</v>
      </c>
      <c r="J66" s="36">
        <v>34</v>
      </c>
      <c r="K66" s="36">
        <v>24</v>
      </c>
      <c r="L66" s="36">
        <v>18</v>
      </c>
      <c r="M66" s="36">
        <v>95</v>
      </c>
      <c r="N66" s="36"/>
    </row>
    <row r="67" spans="1:14" ht="24.75" customHeight="1">
      <c r="A67" s="44">
        <v>32</v>
      </c>
      <c r="B67" s="30" t="s">
        <v>333</v>
      </c>
      <c r="C67" s="31" t="s">
        <v>334</v>
      </c>
      <c r="D67" s="32" t="s">
        <v>229</v>
      </c>
      <c r="E67" s="104" t="s">
        <v>394</v>
      </c>
      <c r="F67" s="31" t="s">
        <v>335</v>
      </c>
      <c r="G67" s="44">
        <v>43</v>
      </c>
      <c r="H67" s="44">
        <v>25</v>
      </c>
      <c r="I67" s="44">
        <v>17</v>
      </c>
      <c r="J67" s="44">
        <v>26</v>
      </c>
      <c r="K67" s="44">
        <v>24</v>
      </c>
      <c r="L67" s="44">
        <v>26</v>
      </c>
      <c r="M67" s="44">
        <v>69</v>
      </c>
      <c r="N67" s="44">
        <v>39</v>
      </c>
    </row>
    <row r="68" spans="1:14" ht="24.75" customHeight="1">
      <c r="A68" s="36"/>
      <c r="B68" s="36"/>
      <c r="C68" s="37"/>
      <c r="D68" s="36"/>
      <c r="E68" s="36"/>
      <c r="F68" s="105"/>
      <c r="G68" s="36">
        <v>80</v>
      </c>
      <c r="H68" s="36">
        <v>106</v>
      </c>
      <c r="I68" s="36">
        <v>68</v>
      </c>
      <c r="J68" s="36">
        <v>33</v>
      </c>
      <c r="K68" s="36">
        <v>24</v>
      </c>
      <c r="L68" s="36">
        <v>19</v>
      </c>
      <c r="M68" s="36">
        <v>100</v>
      </c>
      <c r="N68" s="36"/>
    </row>
  </sheetData>
  <sortState xmlns:xlrd2="http://schemas.microsoft.com/office/spreadsheetml/2017/richdata2" ref="A5:N68">
    <sortCondition ref="A5:A68"/>
  </sortState>
  <mergeCells count="3">
    <mergeCell ref="A4:B4"/>
    <mergeCell ref="A1:N1"/>
    <mergeCell ref="A2:N2"/>
  </mergeCells>
  <pageMargins left="0.43307086614173229" right="0.12" top="0.43307086614173229" bottom="0.43307086614173229" header="0.31496062992125984" footer="0.31496062992125984"/>
  <pageSetup paperSize="9" scale="85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8C2D0-052D-4702-9850-C5B2A56963E3}">
  <sheetPr filterMode="1"/>
  <dimension ref="A1:AMH120"/>
  <sheetViews>
    <sheetView workbookViewId="0">
      <selection activeCell="B114" sqref="B114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hidden="1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hidden="1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hidden="1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hidden="1" customHeight="1">
      <c r="A6" s="7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hidden="1" customHeight="1">
      <c r="A7" s="7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hidden="1" customHeight="1">
      <c r="A8" s="7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hidden="1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hidden="1" customHeight="1">
      <c r="A10" s="7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hidden="1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hidden="1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hidden="1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hidden="1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hidden="1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hidden="1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hidden="1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hidden="1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hidden="1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hidden="1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hidden="1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hidden="1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hidden="1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hidden="1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hidden="1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3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hidden="1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hidden="1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hidden="1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hidden="1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 hidden="1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 hidden="1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 hidden="1">
      <c r="A33" s="71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 hidden="1">
      <c r="A34" s="71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 hidden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 hidden="1">
      <c r="A36" s="71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 hidden="1">
      <c r="A37" s="71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 hidden="1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 hidden="1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 hidden="1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 hidden="1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 hidden="1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 hidden="1">
      <c r="A43" s="71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 hidden="1">
      <c r="A44" s="71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 hidden="1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 hidden="1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 hidden="1">
      <c r="A47" s="71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 hidden="1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 hidden="1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 hidden="1">
      <c r="A50" s="71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 hidden="1">
      <c r="A51" s="71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 hidden="1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 hidden="1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 hidden="1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 hidden="1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 hidden="1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 hidden="1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 hidden="1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 hidden="1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 hidden="1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 hidden="1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 hidden="1">
      <c r="A62" s="71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 hidden="1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 hidden="1">
      <c r="A64" s="71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 hidden="1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 hidden="1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 hidden="1">
      <c r="A67" s="71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 hidden="1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 hidden="1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 hidden="1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 hidden="1">
      <c r="A71" s="71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 hidden="1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 hidden="1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 hidden="1">
      <c r="A74" s="71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72" t="s">
        <v>246</v>
      </c>
      <c r="B75" s="11" t="s">
        <v>247</v>
      </c>
      <c r="C75" s="11">
        <v>84</v>
      </c>
      <c r="D75" s="11">
        <v>102</v>
      </c>
      <c r="E75" s="3" t="s">
        <v>229</v>
      </c>
      <c r="F75" s="3"/>
      <c r="G75" s="11" t="s">
        <v>248</v>
      </c>
      <c r="O75" s="14"/>
      <c r="P75" s="14"/>
    </row>
    <row r="76" spans="1:22" hidden="1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72" t="s">
        <v>252</v>
      </c>
      <c r="B77" s="11" t="s">
        <v>253</v>
      </c>
      <c r="C77" s="11">
        <v>75</v>
      </c>
      <c r="D77" s="11">
        <v>103</v>
      </c>
      <c r="E77" s="3" t="s">
        <v>229</v>
      </c>
      <c r="F77" s="3"/>
      <c r="G77" s="11" t="s">
        <v>254</v>
      </c>
      <c r="O77" s="14"/>
      <c r="P77" s="14"/>
    </row>
    <row r="78" spans="1:22" hidden="1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 hidden="1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 hidden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 hidden="1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 hidden="1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 hidden="1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 hidden="1">
      <c r="A84" s="71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 hidden="1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 hidden="1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 hidden="1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 hidden="1">
      <c r="A88" s="71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 hidden="1">
      <c r="A89" s="71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 hidden="1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idden="1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72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 hidden="1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 hidden="1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 hidden="1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 hidden="1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 hidden="1">
      <c r="A97" s="71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 hidden="1">
      <c r="A98" s="71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 hidden="1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 hidden="1">
      <c r="A100" s="71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 hidden="1">
      <c r="A102" s="71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 hidden="1">
      <c r="A103" s="71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 hidden="1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 hidden="1">
      <c r="A105" s="71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 hidden="1">
      <c r="A106" s="71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72" t="s">
        <v>342</v>
      </c>
      <c r="B107" s="11" t="s">
        <v>343</v>
      </c>
      <c r="C107" s="11">
        <v>79</v>
      </c>
      <c r="D107" s="11">
        <v>103</v>
      </c>
      <c r="E107" s="3" t="s">
        <v>229</v>
      </c>
      <c r="F107" s="3"/>
      <c r="G107" s="11" t="s">
        <v>344</v>
      </c>
    </row>
    <row r="108" spans="1:22">
      <c r="A108" s="72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hidden="1" customHeight="1">
      <c r="A109" s="71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 hidden="1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72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 hidden="1">
      <c r="A112" s="71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 hidden="1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  <row r="119" spans="1:22">
      <c r="B119" s="74"/>
      <c r="C119" s="2" t="s">
        <v>482</v>
      </c>
    </row>
    <row r="120" spans="1:22">
      <c r="B120" s="75"/>
      <c r="C120" s="2" t="s">
        <v>483</v>
      </c>
    </row>
  </sheetData>
  <autoFilter ref="A1:X113" xr:uid="{97CB40F8-5758-41D0-84ED-FACA752C2C1F}">
    <filterColumn colId="0">
      <colorFilter dxfId="0"/>
    </filterColumn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D86EA-0AAB-4447-81A2-C250299A1F70}">
  <dimension ref="A1:D12"/>
  <sheetViews>
    <sheetView workbookViewId="0">
      <selection sqref="A1:D12"/>
    </sheetView>
  </sheetViews>
  <sheetFormatPr defaultRowHeight="21.75" customHeight="1"/>
  <cols>
    <col min="1" max="1" width="4.140625" style="86" bestFit="1" customWidth="1"/>
    <col min="2" max="2" width="26.5703125" style="85" bestFit="1" customWidth="1"/>
    <col min="3" max="3" width="9.85546875" style="85" bestFit="1" customWidth="1"/>
    <col min="4" max="4" width="27.140625" style="85" bestFit="1" customWidth="1"/>
    <col min="5" max="16384" width="9.140625" style="85"/>
  </cols>
  <sheetData>
    <row r="1" spans="1:4" ht="21.75" customHeight="1">
      <c r="A1" s="115" t="s">
        <v>484</v>
      </c>
      <c r="B1" s="115"/>
      <c r="C1" s="115"/>
      <c r="D1" s="115"/>
    </row>
    <row r="3" spans="1:4" ht="21.75" customHeight="1">
      <c r="A3" s="83" t="s">
        <v>0</v>
      </c>
      <c r="B3" s="83" t="s">
        <v>485</v>
      </c>
      <c r="C3" s="83" t="s">
        <v>385</v>
      </c>
      <c r="D3" s="83" t="s">
        <v>488</v>
      </c>
    </row>
    <row r="4" spans="1:4" ht="21.75" customHeight="1">
      <c r="A4" s="91">
        <v>1</v>
      </c>
      <c r="B4" s="92" t="s">
        <v>490</v>
      </c>
      <c r="C4" s="93">
        <v>112</v>
      </c>
      <c r="D4" s="92"/>
    </row>
    <row r="5" spans="1:4" ht="21.75" customHeight="1">
      <c r="A5" s="94"/>
      <c r="B5" s="95"/>
      <c r="C5" s="96"/>
      <c r="D5" s="95"/>
    </row>
    <row r="6" spans="1:4" ht="21.75" customHeight="1">
      <c r="A6" s="94"/>
      <c r="B6" s="95"/>
      <c r="C6" s="96"/>
      <c r="D6" s="95"/>
    </row>
    <row r="7" spans="1:4" ht="21.75" customHeight="1">
      <c r="A7" s="94">
        <v>2</v>
      </c>
      <c r="B7" s="95" t="s">
        <v>486</v>
      </c>
      <c r="C7" s="96">
        <v>46</v>
      </c>
      <c r="D7" s="101" t="s">
        <v>492</v>
      </c>
    </row>
    <row r="8" spans="1:4" ht="21.75" customHeight="1">
      <c r="A8" s="94">
        <v>3</v>
      </c>
      <c r="B8" s="95" t="s">
        <v>487</v>
      </c>
      <c r="C8" s="96">
        <v>7</v>
      </c>
      <c r="D8" s="101" t="s">
        <v>493</v>
      </c>
    </row>
    <row r="9" spans="1:4" ht="21.75" customHeight="1">
      <c r="A9" s="94">
        <v>4</v>
      </c>
      <c r="B9" s="95" t="s">
        <v>489</v>
      </c>
      <c r="C9" s="96">
        <v>2</v>
      </c>
      <c r="D9" s="95"/>
    </row>
    <row r="10" spans="1:4" ht="21.75" customHeight="1">
      <c r="A10" s="94"/>
      <c r="B10" s="97" t="s">
        <v>371</v>
      </c>
      <c r="C10" s="96">
        <f>SUM(C7:C9)</f>
        <v>55</v>
      </c>
      <c r="D10" s="95"/>
    </row>
    <row r="11" spans="1:4" ht="21.75" customHeight="1">
      <c r="A11" s="98"/>
      <c r="B11" s="99"/>
      <c r="C11" s="100"/>
      <c r="D11" s="99"/>
    </row>
    <row r="12" spans="1:4" ht="21.75" customHeight="1">
      <c r="A12" s="87"/>
      <c r="B12" s="89" t="s">
        <v>491</v>
      </c>
      <c r="C12" s="90">
        <f>C4-C10</f>
        <v>57</v>
      </c>
      <c r="D12" s="88"/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LW271"/>
  <sheetViews>
    <sheetView topLeftCell="A20" zoomScale="105" zoomScaleNormal="55" workbookViewId="0">
      <selection activeCell="A39" sqref="A39"/>
    </sheetView>
  </sheetViews>
  <sheetFormatPr defaultColWidth="9.140625" defaultRowHeight="15"/>
  <cols>
    <col min="1" max="1" width="4.85546875" style="1" customWidth="1"/>
    <col min="2" max="2" width="25.85546875" style="2" customWidth="1"/>
    <col min="3" max="3" width="14.7109375" style="2" customWidth="1"/>
    <col min="4" max="4" width="5" style="1" customWidth="1"/>
    <col min="5" max="5" width="17.28515625" style="3" customWidth="1"/>
    <col min="6" max="13" width="5.7109375" style="3" customWidth="1"/>
    <col min="14" max="14" width="6" style="24" customWidth="1"/>
    <col min="15" max="39" width="9.140625" style="5"/>
    <col min="40" max="40" width="13.140625" style="5" customWidth="1"/>
    <col min="41" max="1011" width="9.140625" style="5"/>
  </cols>
  <sheetData>
    <row r="1" spans="1:14" s="1" customFormat="1" ht="24" customHeight="1">
      <c r="A1" s="25" t="s">
        <v>0</v>
      </c>
      <c r="B1" s="26" t="s">
        <v>1</v>
      </c>
      <c r="C1" s="26" t="s">
        <v>4</v>
      </c>
      <c r="D1" s="25" t="s">
        <v>363</v>
      </c>
      <c r="E1" s="27" t="s">
        <v>6</v>
      </c>
      <c r="F1" s="28" t="s">
        <v>7</v>
      </c>
      <c r="G1" s="28" t="s">
        <v>8</v>
      </c>
      <c r="H1" s="28" t="s">
        <v>9</v>
      </c>
      <c r="I1" s="28" t="s">
        <v>10</v>
      </c>
      <c r="J1" s="28" t="s">
        <v>11</v>
      </c>
      <c r="K1" s="28" t="s">
        <v>12</v>
      </c>
      <c r="L1" s="28" t="s">
        <v>13</v>
      </c>
      <c r="M1" s="28" t="s">
        <v>14</v>
      </c>
      <c r="N1" s="29" t="s">
        <v>22</v>
      </c>
    </row>
    <row r="2" spans="1:14" ht="24" customHeight="1">
      <c r="A2" s="30" t="s">
        <v>24</v>
      </c>
      <c r="B2" s="31" t="s">
        <v>25</v>
      </c>
      <c r="C2" s="32" t="s">
        <v>120</v>
      </c>
      <c r="D2" s="30"/>
      <c r="E2" s="33" t="s">
        <v>27</v>
      </c>
      <c r="F2" s="34"/>
      <c r="G2" s="34"/>
      <c r="H2" s="34"/>
      <c r="I2" s="34"/>
      <c r="J2" s="34"/>
      <c r="K2" s="34"/>
      <c r="L2" s="34"/>
      <c r="M2" s="34"/>
      <c r="N2" s="35" t="s">
        <v>364</v>
      </c>
    </row>
    <row r="3" spans="1:14" ht="24" customHeight="1">
      <c r="A3" s="36"/>
      <c r="B3" s="37"/>
      <c r="C3" s="36"/>
      <c r="D3" s="36"/>
      <c r="E3" s="38"/>
      <c r="F3" s="38"/>
      <c r="G3" s="38"/>
      <c r="H3" s="38"/>
      <c r="I3" s="38"/>
      <c r="J3" s="38"/>
      <c r="K3" s="38"/>
      <c r="L3" s="38"/>
      <c r="M3" s="38"/>
      <c r="N3" s="39" t="s">
        <v>365</v>
      </c>
    </row>
    <row r="4" spans="1:14" ht="24" customHeight="1">
      <c r="A4" s="30" t="s">
        <v>28</v>
      </c>
      <c r="B4" s="31" t="s">
        <v>29</v>
      </c>
      <c r="C4" s="32" t="s">
        <v>120</v>
      </c>
      <c r="D4" s="30"/>
      <c r="E4" s="33" t="s">
        <v>30</v>
      </c>
      <c r="F4" s="34"/>
      <c r="G4" s="34"/>
      <c r="H4" s="34"/>
      <c r="I4" s="34"/>
      <c r="J4" s="34"/>
      <c r="K4" s="34"/>
      <c r="L4" s="34"/>
      <c r="M4" s="34"/>
      <c r="N4" s="35" t="s">
        <v>364</v>
      </c>
    </row>
    <row r="5" spans="1:14" ht="24" customHeight="1">
      <c r="A5" s="36"/>
      <c r="B5" s="37"/>
      <c r="C5" s="36"/>
      <c r="D5" s="36"/>
      <c r="E5" s="38"/>
      <c r="F5" s="38"/>
      <c r="G5" s="38"/>
      <c r="H5" s="38"/>
      <c r="I5" s="38"/>
      <c r="J5" s="38"/>
      <c r="K5" s="38"/>
      <c r="L5" s="38"/>
      <c r="M5" s="38"/>
      <c r="N5" s="39" t="s">
        <v>365</v>
      </c>
    </row>
    <row r="6" spans="1:14" ht="24" customHeight="1">
      <c r="A6" s="30" t="s">
        <v>31</v>
      </c>
      <c r="B6" s="31" t="s">
        <v>32</v>
      </c>
      <c r="C6" s="32" t="s">
        <v>120</v>
      </c>
      <c r="D6" s="30"/>
      <c r="E6" s="33" t="s">
        <v>33</v>
      </c>
      <c r="F6" s="34"/>
      <c r="G6" s="34"/>
      <c r="H6" s="34"/>
      <c r="I6" s="34"/>
      <c r="J6" s="34"/>
      <c r="K6" s="34"/>
      <c r="L6" s="34"/>
      <c r="M6" s="34"/>
      <c r="N6" s="35" t="s">
        <v>364</v>
      </c>
    </row>
    <row r="7" spans="1:14" ht="24" customHeight="1">
      <c r="A7" s="36"/>
      <c r="B7" s="37"/>
      <c r="C7" s="36"/>
      <c r="D7" s="36"/>
      <c r="E7" s="38"/>
      <c r="F7" s="38"/>
      <c r="G7" s="38"/>
      <c r="H7" s="38"/>
      <c r="I7" s="38"/>
      <c r="J7" s="38"/>
      <c r="K7" s="38"/>
      <c r="L7" s="38"/>
      <c r="M7" s="38"/>
      <c r="N7" s="39" t="s">
        <v>365</v>
      </c>
    </row>
    <row r="8" spans="1:14" ht="24" customHeight="1">
      <c r="A8" s="30" t="s">
        <v>34</v>
      </c>
      <c r="B8" s="31" t="s">
        <v>35</v>
      </c>
      <c r="C8" s="32" t="s">
        <v>120</v>
      </c>
      <c r="D8" s="30"/>
      <c r="E8" s="33" t="s">
        <v>36</v>
      </c>
      <c r="F8" s="34"/>
      <c r="G8" s="34"/>
      <c r="H8" s="34"/>
      <c r="I8" s="34"/>
      <c r="J8" s="34"/>
      <c r="K8" s="34"/>
      <c r="L8" s="34"/>
      <c r="M8" s="34"/>
      <c r="N8" s="35" t="s">
        <v>364</v>
      </c>
    </row>
    <row r="9" spans="1:14" ht="24" customHeight="1">
      <c r="A9" s="36"/>
      <c r="B9" s="37"/>
      <c r="C9" s="36"/>
      <c r="D9" s="36"/>
      <c r="E9" s="38"/>
      <c r="F9" s="38"/>
      <c r="G9" s="38"/>
      <c r="H9" s="38"/>
      <c r="I9" s="38"/>
      <c r="J9" s="38"/>
      <c r="K9" s="38"/>
      <c r="L9" s="38"/>
      <c r="M9" s="38"/>
      <c r="N9" s="39" t="s">
        <v>365</v>
      </c>
    </row>
    <row r="10" spans="1:14" ht="24" customHeight="1">
      <c r="A10" s="30" t="s">
        <v>37</v>
      </c>
      <c r="B10" s="31" t="s">
        <v>38</v>
      </c>
      <c r="C10" s="32" t="s">
        <v>120</v>
      </c>
      <c r="D10" s="30"/>
      <c r="E10" s="33" t="s">
        <v>39</v>
      </c>
      <c r="F10" s="34"/>
      <c r="G10" s="34"/>
      <c r="H10" s="34"/>
      <c r="I10" s="34"/>
      <c r="J10" s="34"/>
      <c r="K10" s="34"/>
      <c r="L10" s="34"/>
      <c r="M10" s="34"/>
      <c r="N10" s="35" t="s">
        <v>364</v>
      </c>
    </row>
    <row r="11" spans="1:14" ht="24" customHeight="1">
      <c r="A11" s="36"/>
      <c r="B11" s="37"/>
      <c r="C11" s="36"/>
      <c r="D11" s="36"/>
      <c r="E11" s="38"/>
      <c r="F11" s="38"/>
      <c r="G11" s="38"/>
      <c r="H11" s="38"/>
      <c r="I11" s="38"/>
      <c r="J11" s="38"/>
      <c r="K11" s="38"/>
      <c r="L11" s="38"/>
      <c r="M11" s="38"/>
      <c r="N11" s="39" t="s">
        <v>365</v>
      </c>
    </row>
    <row r="12" spans="1:14" ht="24" customHeight="1">
      <c r="A12" s="30" t="s">
        <v>40</v>
      </c>
      <c r="B12" s="31" t="s">
        <v>41</v>
      </c>
      <c r="C12" s="32" t="s">
        <v>120</v>
      </c>
      <c r="D12" s="30"/>
      <c r="E12" s="33" t="s">
        <v>42</v>
      </c>
      <c r="F12" s="34"/>
      <c r="G12" s="34"/>
      <c r="H12" s="34"/>
      <c r="I12" s="34"/>
      <c r="J12" s="34"/>
      <c r="K12" s="34"/>
      <c r="L12" s="34"/>
      <c r="M12" s="34"/>
      <c r="N12" s="35" t="s">
        <v>364</v>
      </c>
    </row>
    <row r="13" spans="1:14" ht="24" customHeight="1">
      <c r="A13" s="36"/>
      <c r="B13" s="37"/>
      <c r="C13" s="36"/>
      <c r="D13" s="36"/>
      <c r="E13" s="38"/>
      <c r="F13" s="38"/>
      <c r="G13" s="38"/>
      <c r="H13" s="38"/>
      <c r="I13" s="38"/>
      <c r="J13" s="38"/>
      <c r="K13" s="38"/>
      <c r="L13" s="38"/>
      <c r="M13" s="38"/>
      <c r="N13" s="39" t="s">
        <v>365</v>
      </c>
    </row>
    <row r="14" spans="1:14" ht="24" customHeight="1">
      <c r="A14" s="30" t="s">
        <v>43</v>
      </c>
      <c r="B14" s="31" t="s">
        <v>44</v>
      </c>
      <c r="C14" s="32" t="s">
        <v>120</v>
      </c>
      <c r="D14" s="30"/>
      <c r="E14" s="33" t="s">
        <v>45</v>
      </c>
      <c r="F14" s="34"/>
      <c r="G14" s="34"/>
      <c r="H14" s="34"/>
      <c r="I14" s="34"/>
      <c r="J14" s="34"/>
      <c r="K14" s="34"/>
      <c r="L14" s="34"/>
      <c r="M14" s="34"/>
      <c r="N14" s="35" t="s">
        <v>364</v>
      </c>
    </row>
    <row r="15" spans="1:14" ht="24" customHeight="1">
      <c r="A15" s="36"/>
      <c r="B15" s="37"/>
      <c r="C15" s="36"/>
      <c r="D15" s="36"/>
      <c r="E15" s="38"/>
      <c r="F15" s="38"/>
      <c r="G15" s="38"/>
      <c r="H15" s="38"/>
      <c r="I15" s="38"/>
      <c r="J15" s="38"/>
      <c r="K15" s="38"/>
      <c r="L15" s="38"/>
      <c r="M15" s="38"/>
      <c r="N15" s="39" t="s">
        <v>365</v>
      </c>
    </row>
    <row r="16" spans="1:14" ht="24" customHeight="1">
      <c r="A16" s="30" t="s">
        <v>46</v>
      </c>
      <c r="B16" s="31" t="s">
        <v>47</v>
      </c>
      <c r="C16" s="32" t="s">
        <v>120</v>
      </c>
      <c r="D16" s="30"/>
      <c r="E16" s="33" t="s">
        <v>48</v>
      </c>
      <c r="F16" s="34"/>
      <c r="G16" s="34"/>
      <c r="H16" s="34"/>
      <c r="I16" s="34"/>
      <c r="J16" s="34"/>
      <c r="K16" s="34"/>
      <c r="L16" s="34"/>
      <c r="M16" s="34"/>
      <c r="N16" s="35" t="s">
        <v>364</v>
      </c>
    </row>
    <row r="17" spans="1:14" ht="24" customHeight="1">
      <c r="A17" s="36"/>
      <c r="B17" s="37"/>
      <c r="C17" s="36"/>
      <c r="D17" s="36"/>
      <c r="E17" s="38"/>
      <c r="F17" s="38"/>
      <c r="G17" s="38"/>
      <c r="H17" s="38"/>
      <c r="I17" s="38"/>
      <c r="J17" s="38"/>
      <c r="K17" s="38"/>
      <c r="L17" s="38"/>
      <c r="M17" s="38"/>
      <c r="N17" s="39" t="s">
        <v>365</v>
      </c>
    </row>
    <row r="18" spans="1:14" ht="24" customHeight="1">
      <c r="A18" s="30" t="s">
        <v>49</v>
      </c>
      <c r="B18" s="31" t="s">
        <v>50</v>
      </c>
      <c r="C18" s="32" t="s">
        <v>120</v>
      </c>
      <c r="D18" s="30"/>
      <c r="E18" s="33" t="s">
        <v>51</v>
      </c>
      <c r="F18" s="34"/>
      <c r="G18" s="34"/>
      <c r="H18" s="34"/>
      <c r="I18" s="34"/>
      <c r="J18" s="34"/>
      <c r="K18" s="34"/>
      <c r="L18" s="34"/>
      <c r="M18" s="34"/>
      <c r="N18" s="35" t="s">
        <v>364</v>
      </c>
    </row>
    <row r="19" spans="1:14" ht="24" customHeight="1">
      <c r="A19" s="36"/>
      <c r="B19" s="37"/>
      <c r="C19" s="36"/>
      <c r="D19" s="36"/>
      <c r="E19" s="38"/>
      <c r="F19" s="38"/>
      <c r="G19" s="38"/>
      <c r="H19" s="38"/>
      <c r="I19" s="38"/>
      <c r="J19" s="38"/>
      <c r="K19" s="38"/>
      <c r="L19" s="38"/>
      <c r="M19" s="38"/>
      <c r="N19" s="39" t="s">
        <v>365</v>
      </c>
    </row>
    <row r="20" spans="1:14" ht="24" customHeight="1">
      <c r="A20" s="30" t="s">
        <v>52</v>
      </c>
      <c r="B20" s="31" t="s">
        <v>53</v>
      </c>
      <c r="C20" s="32" t="s">
        <v>120</v>
      </c>
      <c r="D20" s="30"/>
      <c r="E20" s="33" t="s">
        <v>54</v>
      </c>
      <c r="F20" s="34"/>
      <c r="G20" s="34"/>
      <c r="H20" s="34"/>
      <c r="I20" s="34"/>
      <c r="J20" s="34"/>
      <c r="K20" s="34"/>
      <c r="L20" s="34"/>
      <c r="M20" s="34"/>
      <c r="N20" s="35" t="s">
        <v>364</v>
      </c>
    </row>
    <row r="21" spans="1:14" ht="24" customHeight="1">
      <c r="A21" s="36"/>
      <c r="B21" s="37"/>
      <c r="C21" s="36"/>
      <c r="D21" s="36"/>
      <c r="E21" s="38"/>
      <c r="F21" s="38"/>
      <c r="G21" s="38"/>
      <c r="H21" s="38"/>
      <c r="I21" s="38"/>
      <c r="J21" s="38"/>
      <c r="K21" s="38"/>
      <c r="L21" s="38"/>
      <c r="M21" s="38"/>
      <c r="N21" s="39" t="s">
        <v>365</v>
      </c>
    </row>
    <row r="22" spans="1:14" ht="24" customHeight="1">
      <c r="A22" s="30" t="s">
        <v>55</v>
      </c>
      <c r="B22" s="31" t="s">
        <v>56</v>
      </c>
      <c r="C22" s="32" t="s">
        <v>120</v>
      </c>
      <c r="D22" s="30"/>
      <c r="E22" s="33" t="s">
        <v>57</v>
      </c>
      <c r="F22" s="34"/>
      <c r="G22" s="34"/>
      <c r="H22" s="34"/>
      <c r="I22" s="34"/>
      <c r="J22" s="34"/>
      <c r="K22" s="34"/>
      <c r="L22" s="34"/>
      <c r="M22" s="34"/>
      <c r="N22" s="35" t="s">
        <v>364</v>
      </c>
    </row>
    <row r="23" spans="1:14" ht="24" customHeight="1">
      <c r="A23" s="36"/>
      <c r="B23" s="37"/>
      <c r="C23" s="36"/>
      <c r="D23" s="36"/>
      <c r="E23" s="38"/>
      <c r="F23" s="38"/>
      <c r="G23" s="38"/>
      <c r="H23" s="38"/>
      <c r="I23" s="38"/>
      <c r="J23" s="38"/>
      <c r="K23" s="38"/>
      <c r="L23" s="38"/>
      <c r="M23" s="38"/>
      <c r="N23" s="39" t="s">
        <v>365</v>
      </c>
    </row>
    <row r="24" spans="1:14" ht="24" customHeight="1">
      <c r="A24" s="30" t="s">
        <v>58</v>
      </c>
      <c r="B24" s="31" t="s">
        <v>59</v>
      </c>
      <c r="C24" s="32" t="s">
        <v>120</v>
      </c>
      <c r="D24" s="30"/>
      <c r="E24" s="33" t="s">
        <v>60</v>
      </c>
      <c r="F24" s="34"/>
      <c r="G24" s="34"/>
      <c r="H24" s="34"/>
      <c r="I24" s="34"/>
      <c r="J24" s="34"/>
      <c r="K24" s="34"/>
      <c r="L24" s="34"/>
      <c r="M24" s="34"/>
      <c r="N24" s="35" t="s">
        <v>364</v>
      </c>
    </row>
    <row r="25" spans="1:14" ht="24" customHeight="1">
      <c r="A25" s="36"/>
      <c r="B25" s="37"/>
      <c r="C25" s="36"/>
      <c r="D25" s="36"/>
      <c r="E25" s="38"/>
      <c r="F25" s="38"/>
      <c r="G25" s="38"/>
      <c r="H25" s="38"/>
      <c r="I25" s="38"/>
      <c r="J25" s="38"/>
      <c r="K25" s="38"/>
      <c r="L25" s="38"/>
      <c r="M25" s="38"/>
      <c r="N25" s="39" t="s">
        <v>365</v>
      </c>
    </row>
    <row r="26" spans="1:14" ht="24" customHeight="1">
      <c r="A26" s="30" t="s">
        <v>61</v>
      </c>
      <c r="B26" s="31" t="s">
        <v>62</v>
      </c>
      <c r="C26" s="32" t="s">
        <v>120</v>
      </c>
      <c r="D26" s="30"/>
      <c r="E26" s="33" t="s">
        <v>63</v>
      </c>
      <c r="F26" s="34"/>
      <c r="G26" s="34"/>
      <c r="H26" s="34"/>
      <c r="I26" s="34"/>
      <c r="J26" s="34"/>
      <c r="K26" s="34"/>
      <c r="L26" s="34"/>
      <c r="M26" s="34"/>
      <c r="N26" s="35" t="s">
        <v>364</v>
      </c>
    </row>
    <row r="27" spans="1:14" ht="24" customHeight="1">
      <c r="A27" s="36"/>
      <c r="B27" s="37"/>
      <c r="C27" s="36"/>
      <c r="D27" s="36"/>
      <c r="E27" s="38"/>
      <c r="F27" s="38"/>
      <c r="G27" s="38"/>
      <c r="H27" s="38"/>
      <c r="I27" s="38"/>
      <c r="J27" s="38"/>
      <c r="K27" s="38"/>
      <c r="L27" s="38"/>
      <c r="M27" s="38"/>
      <c r="N27" s="39" t="s">
        <v>365</v>
      </c>
    </row>
    <row r="28" spans="1:14" ht="24" customHeight="1">
      <c r="A28" s="30" t="s">
        <v>64</v>
      </c>
      <c r="B28" s="31" t="s">
        <v>65</v>
      </c>
      <c r="C28" s="32" t="s">
        <v>120</v>
      </c>
      <c r="D28" s="30"/>
      <c r="E28" s="33" t="s">
        <v>66</v>
      </c>
      <c r="F28" s="34"/>
      <c r="G28" s="34"/>
      <c r="H28" s="34"/>
      <c r="I28" s="34"/>
      <c r="J28" s="34"/>
      <c r="K28" s="34"/>
      <c r="L28" s="34"/>
      <c r="M28" s="34"/>
      <c r="N28" s="35" t="s">
        <v>364</v>
      </c>
    </row>
    <row r="29" spans="1:14" ht="24" customHeight="1">
      <c r="A29" s="36"/>
      <c r="B29" s="37"/>
      <c r="C29" s="36"/>
      <c r="D29" s="36"/>
      <c r="E29" s="38"/>
      <c r="F29" s="38"/>
      <c r="G29" s="38"/>
      <c r="H29" s="38"/>
      <c r="I29" s="38"/>
      <c r="J29" s="38"/>
      <c r="K29" s="38"/>
      <c r="L29" s="38"/>
      <c r="M29" s="38"/>
      <c r="N29" s="39" t="s">
        <v>365</v>
      </c>
    </row>
    <row r="30" spans="1:14" ht="24" customHeight="1">
      <c r="A30" s="30" t="s">
        <v>67</v>
      </c>
      <c r="B30" s="31" t="s">
        <v>68</v>
      </c>
      <c r="C30" s="32" t="s">
        <v>120</v>
      </c>
      <c r="D30" s="30"/>
      <c r="E30" s="33" t="s">
        <v>69</v>
      </c>
      <c r="F30" s="34"/>
      <c r="G30" s="34"/>
      <c r="H30" s="34"/>
      <c r="I30" s="34"/>
      <c r="J30" s="34"/>
      <c r="K30" s="34"/>
      <c r="L30" s="34"/>
      <c r="M30" s="34"/>
      <c r="N30" s="35" t="s">
        <v>364</v>
      </c>
    </row>
    <row r="31" spans="1:14" ht="24" customHeight="1">
      <c r="A31" s="36"/>
      <c r="B31" s="37"/>
      <c r="C31" s="36"/>
      <c r="D31" s="36"/>
      <c r="E31" s="38"/>
      <c r="F31" s="38"/>
      <c r="G31" s="38"/>
      <c r="H31" s="38"/>
      <c r="I31" s="38"/>
      <c r="J31" s="38"/>
      <c r="K31" s="38"/>
      <c r="L31" s="38"/>
      <c r="M31" s="38"/>
      <c r="N31" s="39" t="s">
        <v>365</v>
      </c>
    </row>
    <row r="32" spans="1:14" ht="24" customHeight="1">
      <c r="A32" s="30" t="s">
        <v>70</v>
      </c>
      <c r="B32" s="31" t="s">
        <v>71</v>
      </c>
      <c r="C32" s="32" t="s">
        <v>120</v>
      </c>
      <c r="D32" s="30"/>
      <c r="E32" s="33" t="s">
        <v>72</v>
      </c>
      <c r="F32" s="34"/>
      <c r="G32" s="34"/>
      <c r="H32" s="34"/>
      <c r="I32" s="34"/>
      <c r="J32" s="34"/>
      <c r="K32" s="34"/>
      <c r="L32" s="34"/>
      <c r="M32" s="34"/>
      <c r="N32" s="35" t="s">
        <v>364</v>
      </c>
    </row>
    <row r="33" spans="1:1011" s="5" customFormat="1" ht="24" customHeight="1">
      <c r="A33" s="36"/>
      <c r="B33" s="37"/>
      <c r="C33" s="36"/>
      <c r="D33" s="36"/>
      <c r="E33" s="38"/>
      <c r="F33" s="38"/>
      <c r="G33" s="38"/>
      <c r="H33" s="38"/>
      <c r="I33" s="38"/>
      <c r="J33" s="38"/>
      <c r="K33" s="38"/>
      <c r="L33" s="38"/>
      <c r="M33" s="38"/>
      <c r="N33" s="39" t="s">
        <v>365</v>
      </c>
    </row>
    <row r="34" spans="1:1011" s="5" customFormat="1" ht="24" customHeight="1">
      <c r="A34" s="30" t="s">
        <v>73</v>
      </c>
      <c r="B34" s="31" t="s">
        <v>74</v>
      </c>
      <c r="C34" s="32" t="s">
        <v>120</v>
      </c>
      <c r="D34" s="30"/>
      <c r="E34" s="33" t="s">
        <v>75</v>
      </c>
      <c r="F34" s="34"/>
      <c r="G34" s="34"/>
      <c r="H34" s="34"/>
      <c r="I34" s="34"/>
      <c r="J34" s="34"/>
      <c r="K34" s="34"/>
      <c r="L34" s="34"/>
      <c r="M34" s="34"/>
      <c r="N34" s="35" t="s">
        <v>364</v>
      </c>
    </row>
    <row r="35" spans="1:1011" s="5" customFormat="1" ht="24" customHeight="1">
      <c r="A35" s="36"/>
      <c r="B35" s="37"/>
      <c r="C35" s="36"/>
      <c r="D35" s="36"/>
      <c r="E35" s="38"/>
      <c r="F35" s="38"/>
      <c r="G35" s="38"/>
      <c r="H35" s="38"/>
      <c r="I35" s="38"/>
      <c r="J35" s="38"/>
      <c r="K35" s="38"/>
      <c r="L35" s="38"/>
      <c r="M35" s="38"/>
      <c r="N35" s="39" t="s">
        <v>365</v>
      </c>
    </row>
    <row r="36" spans="1:1011" s="5" customFormat="1" ht="24" customHeight="1">
      <c r="A36" s="30" t="s">
        <v>76</v>
      </c>
      <c r="B36" s="31" t="s">
        <v>77</v>
      </c>
      <c r="C36" s="32" t="s">
        <v>120</v>
      </c>
      <c r="D36" s="30"/>
      <c r="E36" s="33" t="s">
        <v>78</v>
      </c>
      <c r="F36" s="34"/>
      <c r="G36" s="34"/>
      <c r="H36" s="34"/>
      <c r="I36" s="34"/>
      <c r="J36" s="34"/>
      <c r="K36" s="34"/>
      <c r="L36" s="34"/>
      <c r="M36" s="34"/>
      <c r="N36" s="35" t="s">
        <v>364</v>
      </c>
    </row>
    <row r="37" spans="1:1011" ht="24" customHeight="1">
      <c r="A37" s="36"/>
      <c r="B37" s="37"/>
      <c r="C37" s="36"/>
      <c r="D37" s="36"/>
      <c r="E37" s="38"/>
      <c r="F37" s="38"/>
      <c r="G37" s="38"/>
      <c r="H37" s="38"/>
      <c r="I37" s="38"/>
      <c r="J37" s="38"/>
      <c r="K37" s="38"/>
      <c r="L37" s="38"/>
      <c r="M37" s="38"/>
      <c r="N37" s="39" t="s">
        <v>365</v>
      </c>
    </row>
    <row r="38" spans="1:1011" ht="24" customHeight="1">
      <c r="A38" s="30" t="s">
        <v>79</v>
      </c>
      <c r="B38" s="31" t="s">
        <v>80</v>
      </c>
      <c r="C38" s="32" t="s">
        <v>120</v>
      </c>
      <c r="D38" s="30"/>
      <c r="E38" s="33" t="s">
        <v>81</v>
      </c>
      <c r="F38" s="34"/>
      <c r="G38" s="34"/>
      <c r="H38" s="34"/>
      <c r="I38" s="34"/>
      <c r="J38" s="34"/>
      <c r="K38" s="34"/>
      <c r="L38" s="34"/>
      <c r="M38" s="34"/>
      <c r="N38" s="35" t="s">
        <v>364</v>
      </c>
    </row>
    <row r="39" spans="1:1011" ht="24" customHeight="1">
      <c r="A39" s="36"/>
      <c r="B39" s="37"/>
      <c r="C39" s="36"/>
      <c r="D39" s="36"/>
      <c r="E39" s="38"/>
      <c r="F39" s="38"/>
      <c r="G39" s="38"/>
      <c r="H39" s="38"/>
      <c r="I39" s="38"/>
      <c r="J39" s="38"/>
      <c r="K39" s="38"/>
      <c r="L39" s="38"/>
      <c r="M39" s="38"/>
      <c r="N39" s="39" t="s">
        <v>365</v>
      </c>
    </row>
    <row r="40" spans="1:1011" ht="24" customHeight="1">
      <c r="A40" s="30" t="s">
        <v>82</v>
      </c>
      <c r="B40" s="31" t="s">
        <v>83</v>
      </c>
      <c r="C40" s="32" t="s">
        <v>120</v>
      </c>
      <c r="D40" s="30"/>
      <c r="E40" s="33" t="s">
        <v>84</v>
      </c>
      <c r="F40" s="34"/>
      <c r="G40" s="34"/>
      <c r="H40" s="34"/>
      <c r="I40" s="34"/>
      <c r="J40" s="34"/>
      <c r="K40" s="34"/>
      <c r="L40" s="34"/>
      <c r="M40" s="34"/>
      <c r="N40" s="35" t="s">
        <v>364</v>
      </c>
    </row>
    <row r="41" spans="1:1011" ht="24" customHeight="1">
      <c r="A41" s="36"/>
      <c r="B41" s="37"/>
      <c r="C41" s="36"/>
      <c r="D41" s="36"/>
      <c r="E41" s="38"/>
      <c r="F41" s="38"/>
      <c r="G41" s="38"/>
      <c r="H41" s="38"/>
      <c r="I41" s="38"/>
      <c r="J41" s="38"/>
      <c r="K41" s="38"/>
      <c r="L41" s="38"/>
      <c r="M41" s="38"/>
      <c r="N41" s="39" t="s">
        <v>365</v>
      </c>
      <c r="O41" s="19"/>
      <c r="P41" s="19"/>
      <c r="Q41" s="19"/>
      <c r="R41" s="19"/>
      <c r="S41" s="19"/>
      <c r="T41" s="19"/>
      <c r="U41" s="19"/>
      <c r="V41" s="19"/>
    </row>
    <row r="42" spans="1:1011" ht="24" customHeight="1">
      <c r="A42" s="30" t="s">
        <v>85</v>
      </c>
      <c r="B42" s="31" t="s">
        <v>86</v>
      </c>
      <c r="C42" s="32" t="s">
        <v>120</v>
      </c>
      <c r="D42" s="30"/>
      <c r="E42" s="33" t="s">
        <v>87</v>
      </c>
      <c r="F42" s="34"/>
      <c r="G42" s="34"/>
      <c r="H42" s="34"/>
      <c r="I42" s="34"/>
      <c r="J42" s="34"/>
      <c r="K42" s="34"/>
      <c r="L42" s="34"/>
      <c r="M42" s="34"/>
      <c r="N42" s="35" t="s">
        <v>364</v>
      </c>
      <c r="O42" s="19"/>
      <c r="P42" s="19"/>
      <c r="Q42" s="19"/>
      <c r="R42" s="19"/>
      <c r="S42" s="19"/>
      <c r="T42" s="19"/>
      <c r="U42" s="19"/>
      <c r="V42" s="19"/>
    </row>
    <row r="43" spans="1:1011" ht="24" customHeight="1">
      <c r="A43" s="36"/>
      <c r="B43" s="37"/>
      <c r="C43" s="36"/>
      <c r="D43" s="36"/>
      <c r="E43" s="38"/>
      <c r="F43" s="38"/>
      <c r="G43" s="38"/>
      <c r="H43" s="38"/>
      <c r="I43" s="38"/>
      <c r="J43" s="38"/>
      <c r="K43" s="38"/>
      <c r="L43" s="38"/>
      <c r="M43" s="38"/>
      <c r="N43" s="39" t="s">
        <v>365</v>
      </c>
      <c r="O43" s="19"/>
      <c r="P43" s="19"/>
      <c r="Q43" s="19"/>
      <c r="R43" s="19"/>
      <c r="S43" s="19"/>
      <c r="T43" s="19"/>
      <c r="U43" s="19"/>
      <c r="ALW43"/>
    </row>
    <row r="44" spans="1:1011" ht="24" customHeight="1">
      <c r="A44" s="30" t="s">
        <v>88</v>
      </c>
      <c r="B44" s="31" t="s">
        <v>89</v>
      </c>
      <c r="C44" s="32" t="s">
        <v>120</v>
      </c>
      <c r="D44" s="30"/>
      <c r="E44" s="33" t="s">
        <v>90</v>
      </c>
      <c r="F44" s="34"/>
      <c r="G44" s="34"/>
      <c r="H44" s="34"/>
      <c r="I44" s="34"/>
      <c r="J44" s="34"/>
      <c r="K44" s="34"/>
      <c r="L44" s="34"/>
      <c r="M44" s="34"/>
      <c r="N44" s="35" t="s">
        <v>364</v>
      </c>
      <c r="O44" s="19"/>
      <c r="P44" s="19"/>
      <c r="Q44" s="19"/>
      <c r="R44" s="19"/>
      <c r="S44" s="19"/>
      <c r="T44" s="19"/>
      <c r="U44" s="19"/>
      <c r="V44" s="19"/>
    </row>
    <row r="45" spans="1:1011" ht="24" customHeight="1">
      <c r="A45" s="36"/>
      <c r="B45" s="37"/>
      <c r="C45" s="36"/>
      <c r="D45" s="36"/>
      <c r="E45" s="38"/>
      <c r="F45" s="38"/>
      <c r="G45" s="38"/>
      <c r="H45" s="38"/>
      <c r="I45" s="38"/>
      <c r="J45" s="38"/>
      <c r="K45" s="38"/>
      <c r="L45" s="38"/>
      <c r="M45" s="38"/>
      <c r="N45" s="39" t="s">
        <v>365</v>
      </c>
      <c r="O45" s="19"/>
      <c r="P45" s="19"/>
      <c r="Q45" s="19"/>
      <c r="R45" s="19"/>
      <c r="S45" s="19"/>
      <c r="T45" s="19"/>
      <c r="U45" s="19"/>
      <c r="V45" s="19"/>
    </row>
    <row r="46" spans="1:1011" ht="24" customHeight="1">
      <c r="A46" s="30" t="s">
        <v>91</v>
      </c>
      <c r="B46" s="31" t="s">
        <v>92</v>
      </c>
      <c r="C46" s="32" t="s">
        <v>120</v>
      </c>
      <c r="D46" s="30"/>
      <c r="E46" s="33" t="s">
        <v>93</v>
      </c>
      <c r="F46" s="34"/>
      <c r="G46" s="34"/>
      <c r="H46" s="34"/>
      <c r="I46" s="34"/>
      <c r="J46" s="34"/>
      <c r="K46" s="34"/>
      <c r="L46" s="34"/>
      <c r="M46" s="34"/>
      <c r="N46" s="35" t="s">
        <v>364</v>
      </c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</row>
    <row r="47" spans="1:1011" ht="24" customHeight="1">
      <c r="A47" s="36"/>
      <c r="B47" s="37"/>
      <c r="C47" s="36"/>
      <c r="D47" s="36"/>
      <c r="E47" s="38"/>
      <c r="F47" s="38"/>
      <c r="G47" s="38"/>
      <c r="H47" s="38"/>
      <c r="I47" s="38"/>
      <c r="J47" s="38"/>
      <c r="K47" s="38"/>
      <c r="L47" s="38"/>
      <c r="M47" s="38"/>
      <c r="N47" s="39" t="s">
        <v>365</v>
      </c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</row>
    <row r="48" spans="1:1011" ht="24" customHeight="1">
      <c r="A48" s="30" t="s">
        <v>94</v>
      </c>
      <c r="B48" s="31" t="s">
        <v>95</v>
      </c>
      <c r="C48" s="32" t="s">
        <v>120</v>
      </c>
      <c r="D48" s="30"/>
      <c r="E48" s="33" t="s">
        <v>96</v>
      </c>
      <c r="F48" s="34"/>
      <c r="G48" s="34"/>
      <c r="H48" s="34"/>
      <c r="I48" s="34"/>
      <c r="J48" s="34"/>
      <c r="K48" s="34"/>
      <c r="L48" s="34"/>
      <c r="M48" s="34"/>
      <c r="N48" s="35" t="s">
        <v>364</v>
      </c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</row>
    <row r="49" spans="1:25" ht="24" customHeight="1">
      <c r="A49" s="36"/>
      <c r="B49" s="37"/>
      <c r="C49" s="36"/>
      <c r="D49" s="36"/>
      <c r="E49" s="38"/>
      <c r="F49" s="38"/>
      <c r="G49" s="38"/>
      <c r="H49" s="38"/>
      <c r="I49" s="38"/>
      <c r="J49" s="38"/>
      <c r="K49" s="38"/>
      <c r="L49" s="38"/>
      <c r="M49" s="38"/>
      <c r="N49" s="39" t="s">
        <v>365</v>
      </c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</row>
    <row r="50" spans="1:25" ht="24" customHeight="1">
      <c r="A50" s="30" t="s">
        <v>97</v>
      </c>
      <c r="B50" s="31" t="s">
        <v>98</v>
      </c>
      <c r="C50" s="32" t="s">
        <v>120</v>
      </c>
      <c r="D50" s="30"/>
      <c r="E50" s="33" t="s">
        <v>99</v>
      </c>
      <c r="F50" s="34"/>
      <c r="G50" s="34"/>
      <c r="H50" s="34"/>
      <c r="I50" s="34"/>
      <c r="J50" s="34"/>
      <c r="K50" s="34"/>
      <c r="L50" s="34"/>
      <c r="M50" s="34"/>
      <c r="N50" s="35" t="s">
        <v>364</v>
      </c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</row>
    <row r="51" spans="1:25" ht="24" customHeight="1">
      <c r="A51" s="36"/>
      <c r="B51" s="37"/>
      <c r="C51" s="36"/>
      <c r="D51" s="36"/>
      <c r="E51" s="38"/>
      <c r="F51" s="38"/>
      <c r="G51" s="38"/>
      <c r="H51" s="38"/>
      <c r="I51" s="38"/>
      <c r="J51" s="38"/>
      <c r="K51" s="38"/>
      <c r="L51" s="38"/>
      <c r="M51" s="38"/>
      <c r="N51" s="39" t="s">
        <v>365</v>
      </c>
    </row>
    <row r="52" spans="1:25" ht="24" customHeight="1">
      <c r="A52" s="30" t="s">
        <v>100</v>
      </c>
      <c r="B52" s="31" t="s">
        <v>101</v>
      </c>
      <c r="C52" s="32" t="s">
        <v>120</v>
      </c>
      <c r="D52" s="30"/>
      <c r="E52" s="33" t="s">
        <v>102</v>
      </c>
      <c r="F52" s="34"/>
      <c r="G52" s="34"/>
      <c r="H52" s="34"/>
      <c r="I52" s="34"/>
      <c r="J52" s="34"/>
      <c r="K52" s="34"/>
      <c r="L52" s="34"/>
      <c r="M52" s="34"/>
      <c r="N52" s="35" t="s">
        <v>364</v>
      </c>
    </row>
    <row r="53" spans="1:25" ht="24" customHeight="1">
      <c r="A53" s="36"/>
      <c r="B53" s="37"/>
      <c r="C53" s="36"/>
      <c r="D53" s="36"/>
      <c r="E53" s="38"/>
      <c r="F53" s="38"/>
      <c r="G53" s="38"/>
      <c r="H53" s="38"/>
      <c r="I53" s="38"/>
      <c r="J53" s="38"/>
      <c r="K53" s="38"/>
      <c r="L53" s="38"/>
      <c r="M53" s="38"/>
      <c r="N53" s="39" t="s">
        <v>365</v>
      </c>
    </row>
    <row r="54" spans="1:25" ht="24" customHeight="1">
      <c r="A54" s="30" t="s">
        <v>103</v>
      </c>
      <c r="B54" s="31" t="s">
        <v>104</v>
      </c>
      <c r="C54" s="32" t="s">
        <v>120</v>
      </c>
      <c r="D54" s="30"/>
      <c r="E54" s="33" t="s">
        <v>105</v>
      </c>
      <c r="F54" s="34"/>
      <c r="G54" s="34"/>
      <c r="H54" s="34"/>
      <c r="I54" s="34"/>
      <c r="J54" s="34"/>
      <c r="K54" s="34"/>
      <c r="L54" s="34"/>
      <c r="M54" s="34"/>
      <c r="N54" s="35" t="s">
        <v>364</v>
      </c>
    </row>
    <row r="55" spans="1:25" ht="24" customHeight="1">
      <c r="A55" s="36"/>
      <c r="B55" s="37"/>
      <c r="C55" s="36"/>
      <c r="D55" s="36"/>
      <c r="E55" s="38"/>
      <c r="F55" s="38"/>
      <c r="G55" s="38"/>
      <c r="H55" s="38"/>
      <c r="I55" s="38"/>
      <c r="J55" s="38"/>
      <c r="K55" s="38"/>
      <c r="L55" s="38"/>
      <c r="M55" s="38"/>
      <c r="N55" s="39" t="s">
        <v>365</v>
      </c>
    </row>
    <row r="56" spans="1:25" ht="24" customHeight="1">
      <c r="A56" s="30" t="s">
        <v>106</v>
      </c>
      <c r="B56" s="31" t="s">
        <v>107</v>
      </c>
      <c r="C56" s="32" t="s">
        <v>120</v>
      </c>
      <c r="D56" s="30"/>
      <c r="E56" s="33" t="s">
        <v>108</v>
      </c>
      <c r="F56" s="34"/>
      <c r="G56" s="34"/>
      <c r="H56" s="34"/>
      <c r="I56" s="34"/>
      <c r="J56" s="34"/>
      <c r="K56" s="34"/>
      <c r="L56" s="34"/>
      <c r="M56" s="34"/>
      <c r="N56" s="35" t="s">
        <v>364</v>
      </c>
    </row>
    <row r="57" spans="1:25" ht="24" customHeight="1">
      <c r="A57" s="36"/>
      <c r="B57" s="37"/>
      <c r="C57" s="36"/>
      <c r="D57" s="36"/>
      <c r="E57" s="38"/>
      <c r="F57" s="38"/>
      <c r="G57" s="38"/>
      <c r="H57" s="38"/>
      <c r="I57" s="38"/>
      <c r="J57" s="38"/>
      <c r="K57" s="38"/>
      <c r="L57" s="38"/>
      <c r="M57" s="38"/>
      <c r="N57" s="39" t="s">
        <v>365</v>
      </c>
    </row>
    <row r="58" spans="1:25" ht="24" customHeight="1">
      <c r="A58" s="30" t="s">
        <v>109</v>
      </c>
      <c r="B58" s="31" t="s">
        <v>110</v>
      </c>
      <c r="C58" s="32" t="s">
        <v>494</v>
      </c>
      <c r="D58" s="30"/>
      <c r="E58" s="33" t="s">
        <v>111</v>
      </c>
      <c r="F58" s="34"/>
      <c r="G58" s="34"/>
      <c r="H58" s="34"/>
      <c r="I58" s="34"/>
      <c r="J58" s="34"/>
      <c r="K58" s="34"/>
      <c r="L58" s="34"/>
      <c r="M58" s="34"/>
      <c r="N58" s="35" t="s">
        <v>364</v>
      </c>
    </row>
    <row r="59" spans="1:25" ht="24" customHeight="1">
      <c r="A59" s="36"/>
      <c r="B59" s="37"/>
      <c r="C59" s="36"/>
      <c r="D59" s="36"/>
      <c r="E59" s="38"/>
      <c r="F59" s="38"/>
      <c r="G59" s="38"/>
      <c r="H59" s="38"/>
      <c r="I59" s="38"/>
      <c r="J59" s="38"/>
      <c r="K59" s="38"/>
      <c r="L59" s="38"/>
      <c r="M59" s="38"/>
      <c r="N59" s="39" t="s">
        <v>365</v>
      </c>
    </row>
    <row r="60" spans="1:25" ht="24" customHeight="1">
      <c r="A60" s="30" t="s">
        <v>112</v>
      </c>
      <c r="B60" s="31" t="s">
        <v>113</v>
      </c>
      <c r="C60" s="32" t="s">
        <v>120</v>
      </c>
      <c r="D60" s="30"/>
      <c r="E60" s="33" t="s">
        <v>114</v>
      </c>
      <c r="F60" s="34"/>
      <c r="G60" s="34"/>
      <c r="H60" s="34"/>
      <c r="I60" s="34"/>
      <c r="J60" s="34"/>
      <c r="K60" s="34"/>
      <c r="L60" s="34"/>
      <c r="M60" s="34"/>
      <c r="N60" s="35" t="s">
        <v>364</v>
      </c>
    </row>
    <row r="61" spans="1:25" ht="24" customHeight="1">
      <c r="A61" s="36"/>
      <c r="B61" s="37"/>
      <c r="C61" s="36"/>
      <c r="D61" s="36"/>
      <c r="E61" s="38"/>
      <c r="F61" s="38"/>
      <c r="G61" s="38"/>
      <c r="H61" s="38"/>
      <c r="I61" s="38"/>
      <c r="J61" s="38"/>
      <c r="K61" s="38"/>
      <c r="L61" s="38"/>
      <c r="M61" s="38"/>
      <c r="N61" s="39" t="s">
        <v>365</v>
      </c>
    </row>
    <row r="62" spans="1:25" ht="24" customHeight="1">
      <c r="A62" s="30" t="s">
        <v>115</v>
      </c>
      <c r="B62" s="31" t="s">
        <v>116</v>
      </c>
      <c r="C62" s="32" t="s">
        <v>120</v>
      </c>
      <c r="D62" s="30"/>
      <c r="E62" s="33" t="s">
        <v>117</v>
      </c>
      <c r="F62" s="34"/>
      <c r="G62" s="34"/>
      <c r="H62" s="34"/>
      <c r="I62" s="34"/>
      <c r="J62" s="34"/>
      <c r="K62" s="34"/>
      <c r="L62" s="34"/>
      <c r="M62" s="34"/>
      <c r="N62" s="35" t="s">
        <v>364</v>
      </c>
    </row>
    <row r="63" spans="1:25" ht="24" customHeight="1">
      <c r="A63" s="36"/>
      <c r="B63" s="37"/>
      <c r="C63" s="36"/>
      <c r="D63" s="36"/>
      <c r="E63" s="38"/>
      <c r="F63" s="38"/>
      <c r="G63" s="38"/>
      <c r="H63" s="38"/>
      <c r="I63" s="38"/>
      <c r="J63" s="38"/>
      <c r="K63" s="38"/>
      <c r="L63" s="38"/>
      <c r="M63" s="38"/>
      <c r="N63" s="39" t="s">
        <v>365</v>
      </c>
    </row>
    <row r="64" spans="1:25" ht="24" customHeight="1">
      <c r="A64" s="30" t="s">
        <v>118</v>
      </c>
      <c r="B64" s="31" t="s">
        <v>119</v>
      </c>
      <c r="C64" s="32" t="s">
        <v>26</v>
      </c>
      <c r="D64" s="30"/>
      <c r="E64" s="33" t="s">
        <v>121</v>
      </c>
      <c r="F64" s="34"/>
      <c r="G64" s="34"/>
      <c r="H64" s="34"/>
      <c r="I64" s="34"/>
      <c r="J64" s="34"/>
      <c r="K64" s="34"/>
      <c r="L64" s="34"/>
      <c r="M64" s="34"/>
      <c r="N64" s="35" t="s">
        <v>364</v>
      </c>
    </row>
    <row r="65" spans="1:14" ht="24" customHeight="1">
      <c r="A65" s="36"/>
      <c r="B65" s="37"/>
      <c r="C65" s="36"/>
      <c r="D65" s="36"/>
      <c r="E65" s="38"/>
      <c r="F65" s="38"/>
      <c r="G65" s="38"/>
      <c r="H65" s="38"/>
      <c r="I65" s="38"/>
      <c r="J65" s="38"/>
      <c r="K65" s="38"/>
      <c r="L65" s="38"/>
      <c r="M65" s="38"/>
      <c r="N65" s="39" t="s">
        <v>365</v>
      </c>
    </row>
    <row r="66" spans="1:14" ht="24" customHeight="1">
      <c r="A66" s="30" t="s">
        <v>122</v>
      </c>
      <c r="B66" s="31" t="s">
        <v>123</v>
      </c>
      <c r="C66" s="32" t="s">
        <v>26</v>
      </c>
      <c r="D66" s="30"/>
      <c r="E66" s="33" t="s">
        <v>124</v>
      </c>
      <c r="F66" s="34"/>
      <c r="G66" s="34"/>
      <c r="H66" s="34"/>
      <c r="I66" s="34"/>
      <c r="J66" s="34"/>
      <c r="K66" s="34"/>
      <c r="L66" s="34"/>
      <c r="M66" s="34"/>
      <c r="N66" s="35" t="s">
        <v>364</v>
      </c>
    </row>
    <row r="67" spans="1:14" ht="24" customHeight="1">
      <c r="A67" s="36"/>
      <c r="B67" s="37"/>
      <c r="C67" s="36"/>
      <c r="D67" s="36"/>
      <c r="E67" s="38"/>
      <c r="F67" s="38"/>
      <c r="G67" s="38"/>
      <c r="H67" s="38"/>
      <c r="I67" s="38"/>
      <c r="J67" s="38"/>
      <c r="K67" s="38"/>
      <c r="L67" s="38"/>
      <c r="M67" s="38"/>
      <c r="N67" s="39" t="s">
        <v>365</v>
      </c>
    </row>
    <row r="68" spans="1:14" ht="24" customHeight="1">
      <c r="A68" s="30" t="s">
        <v>125</v>
      </c>
      <c r="B68" s="31" t="s">
        <v>126</v>
      </c>
      <c r="C68" s="32" t="s">
        <v>26</v>
      </c>
      <c r="D68" s="30"/>
      <c r="E68" s="33" t="s">
        <v>127</v>
      </c>
      <c r="F68" s="34"/>
      <c r="G68" s="34"/>
      <c r="H68" s="34"/>
      <c r="I68" s="34"/>
      <c r="J68" s="34"/>
      <c r="K68" s="34"/>
      <c r="L68" s="34"/>
      <c r="M68" s="34"/>
      <c r="N68" s="35" t="s">
        <v>364</v>
      </c>
    </row>
    <row r="69" spans="1:14" ht="24" customHeight="1">
      <c r="A69" s="36"/>
      <c r="B69" s="37"/>
      <c r="C69" s="36"/>
      <c r="D69" s="36"/>
      <c r="E69" s="38"/>
      <c r="F69" s="38"/>
      <c r="G69" s="38"/>
      <c r="H69" s="38"/>
      <c r="I69" s="38"/>
      <c r="J69" s="38"/>
      <c r="K69" s="38"/>
      <c r="L69" s="38"/>
      <c r="M69" s="38"/>
      <c r="N69" s="39" t="s">
        <v>365</v>
      </c>
    </row>
    <row r="70" spans="1:14" ht="24" customHeight="1">
      <c r="A70" s="30" t="s">
        <v>128</v>
      </c>
      <c r="B70" s="31" t="s">
        <v>129</v>
      </c>
      <c r="C70" s="32" t="s">
        <v>26</v>
      </c>
      <c r="D70" s="30"/>
      <c r="E70" s="33" t="s">
        <v>130</v>
      </c>
      <c r="F70" s="34"/>
      <c r="G70" s="34"/>
      <c r="H70" s="34"/>
      <c r="I70" s="34"/>
      <c r="J70" s="34"/>
      <c r="K70" s="34"/>
      <c r="L70" s="34"/>
      <c r="M70" s="34"/>
      <c r="N70" s="35" t="s">
        <v>364</v>
      </c>
    </row>
    <row r="71" spans="1:14" ht="24" customHeight="1">
      <c r="A71" s="36"/>
      <c r="B71" s="37"/>
      <c r="C71" s="36"/>
      <c r="D71" s="36"/>
      <c r="E71" s="38"/>
      <c r="F71" s="38"/>
      <c r="G71" s="38"/>
      <c r="H71" s="38"/>
      <c r="I71" s="38"/>
      <c r="J71" s="38"/>
      <c r="K71" s="38"/>
      <c r="L71" s="38"/>
      <c r="M71" s="38"/>
      <c r="N71" s="39" t="s">
        <v>365</v>
      </c>
    </row>
    <row r="72" spans="1:14" ht="24" customHeight="1">
      <c r="A72" s="30" t="s">
        <v>131</v>
      </c>
      <c r="B72" s="31" t="s">
        <v>132</v>
      </c>
      <c r="C72" s="32" t="s">
        <v>26</v>
      </c>
      <c r="D72" s="30"/>
      <c r="E72" s="33" t="s">
        <v>133</v>
      </c>
      <c r="F72" s="34"/>
      <c r="G72" s="34"/>
      <c r="H72" s="34"/>
      <c r="I72" s="34"/>
      <c r="J72" s="34"/>
      <c r="K72" s="34"/>
      <c r="L72" s="34"/>
      <c r="M72" s="34"/>
      <c r="N72" s="35" t="s">
        <v>364</v>
      </c>
    </row>
    <row r="73" spans="1:14" ht="24" customHeight="1">
      <c r="A73" s="36"/>
      <c r="B73" s="37"/>
      <c r="C73" s="36"/>
      <c r="D73" s="36"/>
      <c r="E73" s="38"/>
      <c r="F73" s="38"/>
      <c r="G73" s="38"/>
      <c r="H73" s="38"/>
      <c r="I73" s="38"/>
      <c r="J73" s="38"/>
      <c r="K73" s="38"/>
      <c r="L73" s="38"/>
      <c r="M73" s="38"/>
      <c r="N73" s="39" t="s">
        <v>365</v>
      </c>
    </row>
    <row r="74" spans="1:14" ht="24" customHeight="1">
      <c r="A74" s="30" t="s">
        <v>134</v>
      </c>
      <c r="B74" s="31" t="s">
        <v>135</v>
      </c>
      <c r="C74" s="32" t="s">
        <v>26</v>
      </c>
      <c r="D74" s="30"/>
      <c r="E74" s="33" t="s">
        <v>136</v>
      </c>
      <c r="F74" s="34"/>
      <c r="G74" s="34"/>
      <c r="H74" s="34"/>
      <c r="I74" s="34"/>
      <c r="J74" s="34"/>
      <c r="K74" s="34"/>
      <c r="L74" s="34"/>
      <c r="M74" s="34"/>
      <c r="N74" s="35" t="s">
        <v>364</v>
      </c>
    </row>
    <row r="75" spans="1:14" ht="24" customHeight="1">
      <c r="A75" s="36"/>
      <c r="B75" s="37"/>
      <c r="C75" s="36"/>
      <c r="D75" s="36"/>
      <c r="E75" s="38"/>
      <c r="F75" s="38"/>
      <c r="G75" s="38"/>
      <c r="H75" s="38"/>
      <c r="I75" s="38"/>
      <c r="J75" s="38"/>
      <c r="K75" s="38"/>
      <c r="L75" s="38"/>
      <c r="M75" s="38"/>
      <c r="N75" s="39" t="s">
        <v>365</v>
      </c>
    </row>
    <row r="76" spans="1:14" ht="24" customHeight="1">
      <c r="A76" s="30" t="s">
        <v>137</v>
      </c>
      <c r="B76" s="31" t="s">
        <v>138</v>
      </c>
      <c r="C76" s="32" t="s">
        <v>26</v>
      </c>
      <c r="D76" s="30"/>
      <c r="E76" s="33" t="s">
        <v>139</v>
      </c>
      <c r="F76" s="34"/>
      <c r="G76" s="34"/>
      <c r="H76" s="34"/>
      <c r="I76" s="34"/>
      <c r="J76" s="34"/>
      <c r="K76" s="34"/>
      <c r="L76" s="34"/>
      <c r="M76" s="34"/>
      <c r="N76" s="35" t="s">
        <v>364</v>
      </c>
    </row>
    <row r="77" spans="1:14" ht="24" customHeight="1">
      <c r="A77" s="36"/>
      <c r="B77" s="37"/>
      <c r="C77" s="36"/>
      <c r="D77" s="36"/>
      <c r="E77" s="38"/>
      <c r="F77" s="38"/>
      <c r="G77" s="38"/>
      <c r="H77" s="38"/>
      <c r="I77" s="38"/>
      <c r="J77" s="38"/>
      <c r="K77" s="38"/>
      <c r="L77" s="38"/>
      <c r="M77" s="38"/>
      <c r="N77" s="39" t="s">
        <v>365</v>
      </c>
    </row>
    <row r="78" spans="1:14" ht="24" customHeight="1">
      <c r="A78" s="30" t="s">
        <v>140</v>
      </c>
      <c r="B78" s="31" t="s">
        <v>141</v>
      </c>
      <c r="C78" s="32" t="s">
        <v>26</v>
      </c>
      <c r="D78" s="30"/>
      <c r="E78" s="33" t="s">
        <v>142</v>
      </c>
      <c r="F78" s="34"/>
      <c r="G78" s="34"/>
      <c r="H78" s="34"/>
      <c r="I78" s="34"/>
      <c r="J78" s="34"/>
      <c r="K78" s="34"/>
      <c r="L78" s="34"/>
      <c r="M78" s="34"/>
      <c r="N78" s="35" t="s">
        <v>364</v>
      </c>
    </row>
    <row r="79" spans="1:14" ht="24" customHeight="1">
      <c r="A79" s="36"/>
      <c r="B79" s="37"/>
      <c r="C79" s="36"/>
      <c r="D79" s="36"/>
      <c r="E79" s="38"/>
      <c r="F79" s="38"/>
      <c r="G79" s="38"/>
      <c r="H79" s="38"/>
      <c r="I79" s="38"/>
      <c r="J79" s="38"/>
      <c r="K79" s="38"/>
      <c r="L79" s="38"/>
      <c r="M79" s="38"/>
      <c r="N79" s="39" t="s">
        <v>365</v>
      </c>
    </row>
    <row r="80" spans="1:14" s="5" customFormat="1" ht="24" customHeight="1">
      <c r="A80" s="30" t="s">
        <v>143</v>
      </c>
      <c r="B80" s="31" t="s">
        <v>144</v>
      </c>
      <c r="C80" s="32" t="s">
        <v>26</v>
      </c>
      <c r="D80" s="30"/>
      <c r="E80" s="33" t="s">
        <v>145</v>
      </c>
      <c r="F80" s="34"/>
      <c r="G80" s="34"/>
      <c r="H80" s="34"/>
      <c r="I80" s="34"/>
      <c r="J80" s="34"/>
      <c r="K80" s="34"/>
      <c r="L80" s="34"/>
      <c r="M80" s="34"/>
      <c r="N80" s="35" t="s">
        <v>364</v>
      </c>
    </row>
    <row r="81" spans="1:25" ht="24" customHeight="1">
      <c r="A81" s="36"/>
      <c r="B81" s="37"/>
      <c r="C81" s="36"/>
      <c r="D81" s="36"/>
      <c r="E81" s="38"/>
      <c r="F81" s="38"/>
      <c r="G81" s="38"/>
      <c r="H81" s="38"/>
      <c r="I81" s="38"/>
      <c r="J81" s="38"/>
      <c r="K81" s="38"/>
      <c r="L81" s="38"/>
      <c r="M81" s="38"/>
      <c r="N81" s="39" t="s">
        <v>365</v>
      </c>
    </row>
    <row r="82" spans="1:25" ht="24" customHeight="1">
      <c r="A82" s="30" t="s">
        <v>146</v>
      </c>
      <c r="B82" s="31" t="s">
        <v>147</v>
      </c>
      <c r="C82" s="32" t="s">
        <v>26</v>
      </c>
      <c r="D82" s="30"/>
      <c r="E82" s="33" t="s">
        <v>148</v>
      </c>
      <c r="F82" s="34"/>
      <c r="G82" s="34"/>
      <c r="H82" s="34"/>
      <c r="I82" s="34"/>
      <c r="J82" s="34"/>
      <c r="K82" s="34"/>
      <c r="L82" s="34"/>
      <c r="M82" s="34"/>
      <c r="N82" s="35" t="s">
        <v>364</v>
      </c>
    </row>
    <row r="83" spans="1:25" ht="24" customHeight="1">
      <c r="A83" s="36"/>
      <c r="B83" s="37"/>
      <c r="C83" s="36"/>
      <c r="D83" s="36"/>
      <c r="E83" s="38"/>
      <c r="F83" s="38"/>
      <c r="G83" s="38"/>
      <c r="H83" s="38"/>
      <c r="I83" s="38"/>
      <c r="J83" s="38"/>
      <c r="K83" s="38"/>
      <c r="L83" s="38"/>
      <c r="M83" s="38"/>
      <c r="N83" s="39" t="s">
        <v>365</v>
      </c>
    </row>
    <row r="84" spans="1:25" ht="24" customHeight="1">
      <c r="A84" s="30" t="s">
        <v>149</v>
      </c>
      <c r="B84" s="31" t="s">
        <v>150</v>
      </c>
      <c r="C84" s="32" t="s">
        <v>26</v>
      </c>
      <c r="D84" s="30"/>
      <c r="E84" s="33" t="s">
        <v>151</v>
      </c>
      <c r="F84" s="34"/>
      <c r="G84" s="34"/>
      <c r="H84" s="34"/>
      <c r="I84" s="34"/>
      <c r="J84" s="34"/>
      <c r="K84" s="34"/>
      <c r="L84" s="34"/>
      <c r="M84" s="34"/>
      <c r="N84" s="35" t="s">
        <v>364</v>
      </c>
    </row>
    <row r="85" spans="1:25" ht="24" customHeight="1">
      <c r="A85" s="36"/>
      <c r="B85" s="37"/>
      <c r="C85" s="36"/>
      <c r="D85" s="36"/>
      <c r="E85" s="38"/>
      <c r="F85" s="38"/>
      <c r="G85" s="38"/>
      <c r="H85" s="38"/>
      <c r="I85" s="38"/>
      <c r="J85" s="38"/>
      <c r="K85" s="38"/>
      <c r="L85" s="38"/>
      <c r="M85" s="38"/>
      <c r="N85" s="39" t="s">
        <v>365</v>
      </c>
    </row>
    <row r="86" spans="1:25" ht="24" customHeight="1">
      <c r="A86" s="30" t="s">
        <v>152</v>
      </c>
      <c r="B86" s="31" t="s">
        <v>153</v>
      </c>
      <c r="C86" s="32" t="s">
        <v>26</v>
      </c>
      <c r="D86" s="30"/>
      <c r="E86" s="33" t="s">
        <v>154</v>
      </c>
      <c r="F86" s="34"/>
      <c r="G86" s="34"/>
      <c r="H86" s="34"/>
      <c r="I86" s="34"/>
      <c r="J86" s="34"/>
      <c r="K86" s="34"/>
      <c r="L86" s="34"/>
      <c r="M86" s="34"/>
      <c r="N86" s="35" t="s">
        <v>364</v>
      </c>
    </row>
    <row r="87" spans="1:25" ht="24" customHeight="1">
      <c r="A87" s="36"/>
      <c r="B87" s="37"/>
      <c r="C87" s="36"/>
      <c r="D87" s="36"/>
      <c r="E87" s="38"/>
      <c r="F87" s="38"/>
      <c r="G87" s="38"/>
      <c r="H87" s="38"/>
      <c r="I87" s="38"/>
      <c r="J87" s="38"/>
      <c r="K87" s="38"/>
      <c r="L87" s="38"/>
      <c r="M87" s="38"/>
      <c r="N87" s="39" t="s">
        <v>365</v>
      </c>
      <c r="O87" s="19"/>
      <c r="P87" s="19"/>
      <c r="Q87" s="19"/>
      <c r="R87" s="19"/>
      <c r="S87" s="19"/>
      <c r="T87" s="19"/>
      <c r="U87" s="19"/>
      <c r="V87" s="19"/>
    </row>
    <row r="88" spans="1:25" ht="24" customHeight="1">
      <c r="A88" s="30" t="s">
        <v>155</v>
      </c>
      <c r="B88" s="31" t="s">
        <v>156</v>
      </c>
      <c r="C88" s="32" t="s">
        <v>26</v>
      </c>
      <c r="D88" s="30"/>
      <c r="E88" s="33" t="s">
        <v>157</v>
      </c>
      <c r="F88" s="34"/>
      <c r="G88" s="34"/>
      <c r="H88" s="34"/>
      <c r="I88" s="34"/>
      <c r="J88" s="34"/>
      <c r="K88" s="34"/>
      <c r="L88" s="34"/>
      <c r="M88" s="34"/>
      <c r="N88" s="35" t="s">
        <v>364</v>
      </c>
      <c r="O88" s="19"/>
      <c r="P88" s="19"/>
      <c r="Q88" s="19"/>
      <c r="R88" s="19"/>
      <c r="S88" s="19"/>
      <c r="T88" s="19"/>
      <c r="U88" s="19"/>
      <c r="V88" s="19"/>
    </row>
    <row r="89" spans="1:25" ht="24" customHeight="1">
      <c r="A89" s="36"/>
      <c r="B89" s="37"/>
      <c r="C89" s="36"/>
      <c r="D89" s="36"/>
      <c r="E89" s="38"/>
      <c r="F89" s="38"/>
      <c r="G89" s="38"/>
      <c r="H89" s="38"/>
      <c r="I89" s="38"/>
      <c r="J89" s="38"/>
      <c r="K89" s="38"/>
      <c r="L89" s="38"/>
      <c r="M89" s="38"/>
      <c r="N89" s="39" t="s">
        <v>365</v>
      </c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</row>
    <row r="90" spans="1:25" ht="24" customHeight="1">
      <c r="A90" s="30" t="s">
        <v>158</v>
      </c>
      <c r="B90" s="31" t="s">
        <v>159</v>
      </c>
      <c r="C90" s="32" t="s">
        <v>26</v>
      </c>
      <c r="D90" s="30"/>
      <c r="E90" s="33" t="s">
        <v>160</v>
      </c>
      <c r="F90" s="34"/>
      <c r="G90" s="34"/>
      <c r="H90" s="34"/>
      <c r="I90" s="34"/>
      <c r="J90" s="34"/>
      <c r="K90" s="34"/>
      <c r="L90" s="34"/>
      <c r="M90" s="34"/>
      <c r="N90" s="35" t="s">
        <v>364</v>
      </c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</row>
    <row r="91" spans="1:25" ht="24" customHeight="1">
      <c r="A91" s="36"/>
      <c r="B91" s="37"/>
      <c r="C91" s="36"/>
      <c r="D91" s="36"/>
      <c r="E91" s="38"/>
      <c r="F91" s="38"/>
      <c r="G91" s="38"/>
      <c r="H91" s="38"/>
      <c r="I91" s="38"/>
      <c r="J91" s="38"/>
      <c r="K91" s="38"/>
      <c r="L91" s="38"/>
      <c r="M91" s="38"/>
      <c r="N91" s="39" t="s">
        <v>365</v>
      </c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</row>
    <row r="92" spans="1:25" ht="24" customHeight="1">
      <c r="A92" s="30" t="s">
        <v>161</v>
      </c>
      <c r="B92" s="31" t="s">
        <v>162</v>
      </c>
      <c r="C92" s="32" t="s">
        <v>26</v>
      </c>
      <c r="D92" s="30"/>
      <c r="E92" s="33" t="s">
        <v>163</v>
      </c>
      <c r="F92" s="34"/>
      <c r="G92" s="34"/>
      <c r="H92" s="34"/>
      <c r="I92" s="34"/>
      <c r="J92" s="34"/>
      <c r="K92" s="34"/>
      <c r="L92" s="34"/>
      <c r="M92" s="34"/>
      <c r="N92" s="35" t="s">
        <v>364</v>
      </c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</row>
    <row r="93" spans="1:25" ht="24" customHeight="1">
      <c r="A93" s="36"/>
      <c r="B93" s="37"/>
      <c r="C93" s="36"/>
      <c r="D93" s="36"/>
      <c r="E93" s="38"/>
      <c r="F93" s="38"/>
      <c r="G93" s="38"/>
      <c r="H93" s="38"/>
      <c r="I93" s="38"/>
      <c r="J93" s="38"/>
      <c r="K93" s="38"/>
      <c r="L93" s="38"/>
      <c r="M93" s="38"/>
      <c r="N93" s="39" t="s">
        <v>365</v>
      </c>
    </row>
    <row r="94" spans="1:25" ht="24" customHeight="1">
      <c r="A94" s="30" t="s">
        <v>164</v>
      </c>
      <c r="B94" s="31" t="s">
        <v>165</v>
      </c>
      <c r="C94" s="32" t="s">
        <v>26</v>
      </c>
      <c r="D94" s="30"/>
      <c r="E94" s="33" t="s">
        <v>166</v>
      </c>
      <c r="F94" s="34"/>
      <c r="G94" s="34"/>
      <c r="H94" s="34"/>
      <c r="I94" s="34"/>
      <c r="J94" s="34"/>
      <c r="K94" s="34"/>
      <c r="L94" s="34"/>
      <c r="M94" s="34"/>
      <c r="N94" s="35" t="s">
        <v>364</v>
      </c>
    </row>
    <row r="95" spans="1:25" ht="24" customHeight="1">
      <c r="A95" s="36"/>
      <c r="B95" s="37"/>
      <c r="C95" s="36"/>
      <c r="D95" s="36"/>
      <c r="E95" s="38"/>
      <c r="F95" s="38"/>
      <c r="G95" s="38"/>
      <c r="H95" s="38"/>
      <c r="I95" s="38"/>
      <c r="J95" s="38"/>
      <c r="K95" s="38"/>
      <c r="L95" s="38"/>
      <c r="M95" s="38"/>
      <c r="N95" s="39" t="s">
        <v>365</v>
      </c>
    </row>
    <row r="96" spans="1:25" ht="24" customHeight="1">
      <c r="A96" s="30" t="s">
        <v>167</v>
      </c>
      <c r="B96" s="31" t="s">
        <v>168</v>
      </c>
      <c r="C96" s="32" t="s">
        <v>26</v>
      </c>
      <c r="D96" s="30"/>
      <c r="E96" s="33" t="s">
        <v>169</v>
      </c>
      <c r="F96" s="34"/>
      <c r="G96" s="34"/>
      <c r="H96" s="34"/>
      <c r="I96" s="34"/>
      <c r="J96" s="34"/>
      <c r="K96" s="34"/>
      <c r="L96" s="34"/>
      <c r="M96" s="34"/>
      <c r="N96" s="35" t="s">
        <v>364</v>
      </c>
    </row>
    <row r="97" spans="1:14" ht="24" customHeight="1">
      <c r="A97" s="36"/>
      <c r="B97" s="37"/>
      <c r="C97" s="36"/>
      <c r="D97" s="36"/>
      <c r="E97" s="38"/>
      <c r="F97" s="38"/>
      <c r="G97" s="38"/>
      <c r="H97" s="38"/>
      <c r="I97" s="38"/>
      <c r="J97" s="38"/>
      <c r="K97" s="38"/>
      <c r="L97" s="38"/>
      <c r="M97" s="38"/>
      <c r="N97" s="39" t="s">
        <v>365</v>
      </c>
    </row>
    <row r="98" spans="1:14" ht="24" customHeight="1">
      <c r="A98" s="30" t="s">
        <v>170</v>
      </c>
      <c r="B98" s="31" t="s">
        <v>171</v>
      </c>
      <c r="C98" s="32" t="s">
        <v>26</v>
      </c>
      <c r="D98" s="30"/>
      <c r="E98" s="33" t="s">
        <v>172</v>
      </c>
      <c r="F98" s="34"/>
      <c r="G98" s="34"/>
      <c r="H98" s="34"/>
      <c r="I98" s="34"/>
      <c r="J98" s="34"/>
      <c r="K98" s="34"/>
      <c r="L98" s="34"/>
      <c r="M98" s="34"/>
      <c r="N98" s="35" t="s">
        <v>364</v>
      </c>
    </row>
    <row r="99" spans="1:14" ht="24" customHeight="1">
      <c r="A99" s="36"/>
      <c r="B99" s="37"/>
      <c r="C99" s="36"/>
      <c r="D99" s="36"/>
      <c r="E99" s="38"/>
      <c r="F99" s="38"/>
      <c r="G99" s="38"/>
      <c r="H99" s="38"/>
      <c r="I99" s="38"/>
      <c r="J99" s="38"/>
      <c r="K99" s="38"/>
      <c r="L99" s="38"/>
      <c r="M99" s="38"/>
      <c r="N99" s="39" t="s">
        <v>365</v>
      </c>
    </row>
    <row r="100" spans="1:14" ht="24" customHeight="1">
      <c r="A100" s="30" t="s">
        <v>173</v>
      </c>
      <c r="B100" s="31" t="s">
        <v>174</v>
      </c>
      <c r="C100" s="32" t="s">
        <v>26</v>
      </c>
      <c r="D100" s="30"/>
      <c r="E100" s="33" t="s">
        <v>175</v>
      </c>
      <c r="F100" s="34"/>
      <c r="G100" s="34"/>
      <c r="H100" s="34"/>
      <c r="I100" s="34"/>
      <c r="J100" s="34"/>
      <c r="K100" s="34"/>
      <c r="L100" s="34"/>
      <c r="M100" s="34"/>
      <c r="N100" s="35" t="s">
        <v>364</v>
      </c>
    </row>
    <row r="101" spans="1:14" ht="24" customHeight="1">
      <c r="A101" s="36"/>
      <c r="B101" s="37"/>
      <c r="C101" s="36"/>
      <c r="D101" s="36"/>
      <c r="E101" s="38"/>
      <c r="F101" s="38"/>
      <c r="G101" s="38"/>
      <c r="H101" s="38"/>
      <c r="I101" s="38"/>
      <c r="J101" s="38"/>
      <c r="K101" s="38"/>
      <c r="L101" s="38"/>
      <c r="M101" s="38"/>
      <c r="N101" s="39" t="s">
        <v>365</v>
      </c>
    </row>
    <row r="102" spans="1:14" ht="24" customHeight="1">
      <c r="A102" s="30" t="s">
        <v>176</v>
      </c>
      <c r="B102" s="31" t="s">
        <v>177</v>
      </c>
      <c r="C102" s="32" t="s">
        <v>26</v>
      </c>
      <c r="D102" s="30"/>
      <c r="E102" s="33" t="s">
        <v>178</v>
      </c>
      <c r="F102" s="34"/>
      <c r="G102" s="34"/>
      <c r="H102" s="34"/>
      <c r="I102" s="34"/>
      <c r="J102" s="34"/>
      <c r="K102" s="34"/>
      <c r="L102" s="34"/>
      <c r="M102" s="34"/>
      <c r="N102" s="35" t="s">
        <v>364</v>
      </c>
    </row>
    <row r="103" spans="1:14" ht="24" customHeight="1">
      <c r="A103" s="36"/>
      <c r="B103" s="37"/>
      <c r="C103" s="36"/>
      <c r="D103" s="36"/>
      <c r="E103" s="38"/>
      <c r="F103" s="38"/>
      <c r="G103" s="38"/>
      <c r="H103" s="38"/>
      <c r="I103" s="38"/>
      <c r="J103" s="38"/>
      <c r="K103" s="38"/>
      <c r="L103" s="38"/>
      <c r="M103" s="38"/>
      <c r="N103" s="39" t="s">
        <v>365</v>
      </c>
    </row>
    <row r="104" spans="1:14" ht="24" customHeight="1">
      <c r="A104" s="30" t="s">
        <v>179</v>
      </c>
      <c r="B104" s="31" t="s">
        <v>180</v>
      </c>
      <c r="C104" s="32" t="s">
        <v>26</v>
      </c>
      <c r="D104" s="30"/>
      <c r="E104" s="33" t="s">
        <v>181</v>
      </c>
      <c r="F104" s="34"/>
      <c r="G104" s="34"/>
      <c r="H104" s="34"/>
      <c r="I104" s="34"/>
      <c r="J104" s="34"/>
      <c r="K104" s="34"/>
      <c r="L104" s="34"/>
      <c r="M104" s="34"/>
      <c r="N104" s="35" t="s">
        <v>364</v>
      </c>
    </row>
    <row r="105" spans="1:14" ht="24" customHeight="1">
      <c r="A105" s="36"/>
      <c r="B105" s="37"/>
      <c r="C105" s="36"/>
      <c r="D105" s="36"/>
      <c r="E105" s="38"/>
      <c r="F105" s="38"/>
      <c r="G105" s="38"/>
      <c r="H105" s="38"/>
      <c r="I105" s="38"/>
      <c r="J105" s="38"/>
      <c r="K105" s="38"/>
      <c r="L105" s="38"/>
      <c r="M105" s="38"/>
      <c r="N105" s="39" t="s">
        <v>365</v>
      </c>
    </row>
    <row r="106" spans="1:14" ht="24" customHeight="1">
      <c r="A106" s="30" t="s">
        <v>182</v>
      </c>
      <c r="B106" s="31" t="s">
        <v>183</v>
      </c>
      <c r="C106" s="32" t="s">
        <v>26</v>
      </c>
      <c r="D106" s="30"/>
      <c r="E106" s="33" t="s">
        <v>184</v>
      </c>
      <c r="F106" s="34"/>
      <c r="G106" s="34"/>
      <c r="H106" s="34"/>
      <c r="I106" s="34"/>
      <c r="J106" s="34"/>
      <c r="K106" s="34"/>
      <c r="L106" s="34"/>
      <c r="M106" s="34"/>
      <c r="N106" s="35" t="s">
        <v>364</v>
      </c>
    </row>
    <row r="107" spans="1:14" ht="24" customHeight="1">
      <c r="A107" s="36"/>
      <c r="B107" s="37"/>
      <c r="C107" s="36"/>
      <c r="D107" s="36"/>
      <c r="E107" s="38"/>
      <c r="F107" s="38"/>
      <c r="G107" s="38"/>
      <c r="H107" s="38"/>
      <c r="I107" s="38"/>
      <c r="J107" s="38"/>
      <c r="K107" s="38"/>
      <c r="L107" s="38"/>
      <c r="M107" s="38"/>
      <c r="N107" s="39" t="s">
        <v>365</v>
      </c>
    </row>
    <row r="108" spans="1:14" ht="24" customHeight="1">
      <c r="A108" s="30" t="s">
        <v>185</v>
      </c>
      <c r="B108" s="31" t="s">
        <v>186</v>
      </c>
      <c r="C108" s="32" t="s">
        <v>26</v>
      </c>
      <c r="D108" s="30"/>
      <c r="E108" s="33" t="s">
        <v>187</v>
      </c>
      <c r="F108" s="34"/>
      <c r="G108" s="34"/>
      <c r="H108" s="34"/>
      <c r="I108" s="34"/>
      <c r="J108" s="34"/>
      <c r="K108" s="34"/>
      <c r="L108" s="34"/>
      <c r="M108" s="34"/>
      <c r="N108" s="35" t="s">
        <v>364</v>
      </c>
    </row>
    <row r="109" spans="1:14" ht="24" customHeight="1">
      <c r="A109" s="36"/>
      <c r="B109" s="37"/>
      <c r="C109" s="36"/>
      <c r="D109" s="36"/>
      <c r="E109" s="38"/>
      <c r="F109" s="38"/>
      <c r="G109" s="38"/>
      <c r="H109" s="38"/>
      <c r="I109" s="38"/>
      <c r="J109" s="38"/>
      <c r="K109" s="38"/>
      <c r="L109" s="38"/>
      <c r="M109" s="38"/>
      <c r="N109" s="39" t="s">
        <v>365</v>
      </c>
    </row>
    <row r="110" spans="1:14" ht="24" customHeight="1">
      <c r="A110" s="30" t="s">
        <v>188</v>
      </c>
      <c r="B110" s="31" t="s">
        <v>189</v>
      </c>
      <c r="C110" s="32" t="s">
        <v>26</v>
      </c>
      <c r="D110" s="30"/>
      <c r="E110" s="33" t="s">
        <v>190</v>
      </c>
      <c r="F110" s="34"/>
      <c r="G110" s="34"/>
      <c r="H110" s="34"/>
      <c r="I110" s="34"/>
      <c r="J110" s="34"/>
      <c r="K110" s="34"/>
      <c r="L110" s="34"/>
      <c r="M110" s="34"/>
      <c r="N110" s="35" t="s">
        <v>364</v>
      </c>
    </row>
    <row r="111" spans="1:14" s="5" customFormat="1" ht="24" customHeight="1">
      <c r="A111" s="36"/>
      <c r="B111" s="37"/>
      <c r="C111" s="36"/>
      <c r="D111" s="36"/>
      <c r="E111" s="38"/>
      <c r="F111" s="38"/>
      <c r="G111" s="38"/>
      <c r="H111" s="38"/>
      <c r="I111" s="38"/>
      <c r="J111" s="38"/>
      <c r="K111" s="38"/>
      <c r="L111" s="38"/>
      <c r="M111" s="38"/>
      <c r="N111" s="39" t="s">
        <v>365</v>
      </c>
    </row>
    <row r="112" spans="1:14" s="5" customFormat="1" ht="24" customHeight="1">
      <c r="A112" s="30" t="s">
        <v>191</v>
      </c>
      <c r="B112" s="31" t="s">
        <v>192</v>
      </c>
      <c r="C112" s="32" t="s">
        <v>26</v>
      </c>
      <c r="D112" s="30"/>
      <c r="E112" s="33" t="s">
        <v>193</v>
      </c>
      <c r="F112" s="34"/>
      <c r="G112" s="34"/>
      <c r="H112" s="34"/>
      <c r="I112" s="34"/>
      <c r="J112" s="34"/>
      <c r="K112" s="34"/>
      <c r="L112" s="34"/>
      <c r="M112" s="34"/>
      <c r="N112" s="35" t="s">
        <v>364</v>
      </c>
    </row>
    <row r="113" spans="1:14" ht="24" customHeight="1">
      <c r="A113" s="36"/>
      <c r="B113" s="37"/>
      <c r="C113" s="36"/>
      <c r="D113" s="36"/>
      <c r="E113" s="38"/>
      <c r="F113" s="38"/>
      <c r="G113" s="38"/>
      <c r="H113" s="38"/>
      <c r="I113" s="38"/>
      <c r="J113" s="38"/>
      <c r="K113" s="38"/>
      <c r="L113" s="38"/>
      <c r="M113" s="38"/>
      <c r="N113" s="39" t="s">
        <v>365</v>
      </c>
    </row>
    <row r="114" spans="1:14" ht="24" customHeight="1">
      <c r="A114" s="30" t="s">
        <v>194</v>
      </c>
      <c r="B114" s="31" t="s">
        <v>195</v>
      </c>
      <c r="C114" s="32" t="s">
        <v>26</v>
      </c>
      <c r="D114" s="30"/>
      <c r="E114" s="33" t="s">
        <v>196</v>
      </c>
      <c r="F114" s="34"/>
      <c r="G114" s="34"/>
      <c r="H114" s="34"/>
      <c r="I114" s="34"/>
      <c r="J114" s="34"/>
      <c r="K114" s="34"/>
      <c r="L114" s="34"/>
      <c r="M114" s="34"/>
      <c r="N114" s="35" t="s">
        <v>364</v>
      </c>
    </row>
    <row r="115" spans="1:14" ht="24" customHeight="1">
      <c r="A115" s="36"/>
      <c r="B115" s="37"/>
      <c r="C115" s="36"/>
      <c r="D115" s="36"/>
      <c r="E115" s="38"/>
      <c r="F115" s="38"/>
      <c r="G115" s="38"/>
      <c r="H115" s="38"/>
      <c r="I115" s="38"/>
      <c r="J115" s="38"/>
      <c r="K115" s="38"/>
      <c r="L115" s="38"/>
      <c r="M115" s="38"/>
      <c r="N115" s="39" t="s">
        <v>365</v>
      </c>
    </row>
    <row r="116" spans="1:14" ht="24" customHeight="1">
      <c r="A116" s="30" t="s">
        <v>197</v>
      </c>
      <c r="B116" s="31" t="s">
        <v>198</v>
      </c>
      <c r="C116" s="32" t="s">
        <v>26</v>
      </c>
      <c r="D116" s="30"/>
      <c r="E116" s="33" t="s">
        <v>199</v>
      </c>
      <c r="F116" s="34"/>
      <c r="G116" s="34"/>
      <c r="H116" s="34"/>
      <c r="I116" s="34"/>
      <c r="J116" s="34"/>
      <c r="K116" s="34"/>
      <c r="L116" s="34"/>
      <c r="M116" s="34"/>
      <c r="N116" s="35" t="s">
        <v>364</v>
      </c>
    </row>
    <row r="117" spans="1:14" ht="24" customHeight="1">
      <c r="A117" s="36"/>
      <c r="B117" s="37"/>
      <c r="C117" s="36"/>
      <c r="D117" s="36"/>
      <c r="E117" s="38"/>
      <c r="F117" s="38"/>
      <c r="G117" s="38"/>
      <c r="H117" s="38"/>
      <c r="I117" s="38"/>
      <c r="J117" s="38"/>
      <c r="K117" s="38"/>
      <c r="L117" s="38"/>
      <c r="M117" s="38"/>
      <c r="N117" s="39" t="s">
        <v>365</v>
      </c>
    </row>
    <row r="118" spans="1:14" ht="24" customHeight="1">
      <c r="A118" s="30" t="s">
        <v>200</v>
      </c>
      <c r="B118" s="31" t="s">
        <v>201</v>
      </c>
      <c r="C118" s="32" t="s">
        <v>26</v>
      </c>
      <c r="D118" s="30"/>
      <c r="E118" s="33" t="s">
        <v>202</v>
      </c>
      <c r="F118" s="34"/>
      <c r="G118" s="34"/>
      <c r="H118" s="34"/>
      <c r="I118" s="34"/>
      <c r="J118" s="34"/>
      <c r="K118" s="34"/>
      <c r="L118" s="34"/>
      <c r="M118" s="34"/>
      <c r="N118" s="35" t="s">
        <v>364</v>
      </c>
    </row>
    <row r="119" spans="1:14" ht="24" customHeight="1">
      <c r="A119" s="36"/>
      <c r="B119" s="37"/>
      <c r="C119" s="36"/>
      <c r="D119" s="36"/>
      <c r="E119" s="38"/>
      <c r="F119" s="38"/>
      <c r="G119" s="38"/>
      <c r="H119" s="38"/>
      <c r="I119" s="38"/>
      <c r="J119" s="38"/>
      <c r="K119" s="38"/>
      <c r="L119" s="38"/>
      <c r="M119" s="38"/>
      <c r="N119" s="39" t="s">
        <v>365</v>
      </c>
    </row>
    <row r="120" spans="1:14" ht="24" customHeight="1">
      <c r="A120" s="30" t="s">
        <v>203</v>
      </c>
      <c r="B120" s="31" t="s">
        <v>204</v>
      </c>
      <c r="C120" s="32" t="s">
        <v>26</v>
      </c>
      <c r="D120" s="30"/>
      <c r="E120" s="33" t="s">
        <v>205</v>
      </c>
      <c r="F120" s="34"/>
      <c r="G120" s="34"/>
      <c r="H120" s="34"/>
      <c r="I120" s="34"/>
      <c r="J120" s="34"/>
      <c r="K120" s="34"/>
      <c r="L120" s="34"/>
      <c r="M120" s="34"/>
      <c r="N120" s="35" t="s">
        <v>364</v>
      </c>
    </row>
    <row r="121" spans="1:14" ht="24" customHeight="1">
      <c r="A121" s="36"/>
      <c r="B121" s="37"/>
      <c r="C121" s="36"/>
      <c r="D121" s="36"/>
      <c r="E121" s="38"/>
      <c r="F121" s="38"/>
      <c r="G121" s="38"/>
      <c r="H121" s="38"/>
      <c r="I121" s="38"/>
      <c r="J121" s="38"/>
      <c r="K121" s="38"/>
      <c r="L121" s="38"/>
      <c r="M121" s="38"/>
      <c r="N121" s="39" t="s">
        <v>365</v>
      </c>
    </row>
    <row r="122" spans="1:14" ht="24" customHeight="1">
      <c r="A122" s="30" t="s">
        <v>206</v>
      </c>
      <c r="B122" s="31" t="s">
        <v>207</v>
      </c>
      <c r="C122" s="32" t="s">
        <v>26</v>
      </c>
      <c r="D122" s="30"/>
      <c r="E122" s="33" t="s">
        <v>208</v>
      </c>
      <c r="F122" s="34"/>
      <c r="G122" s="34"/>
      <c r="H122" s="34"/>
      <c r="I122" s="34"/>
      <c r="J122" s="34"/>
      <c r="K122" s="34"/>
      <c r="L122" s="34"/>
      <c r="M122" s="34"/>
      <c r="N122" s="35" t="s">
        <v>364</v>
      </c>
    </row>
    <row r="123" spans="1:14" ht="24" customHeight="1">
      <c r="A123" s="36"/>
      <c r="B123" s="37"/>
      <c r="C123" s="36"/>
      <c r="D123" s="36"/>
      <c r="E123" s="38"/>
      <c r="F123" s="38"/>
      <c r="G123" s="38"/>
      <c r="H123" s="38"/>
      <c r="I123" s="38"/>
      <c r="J123" s="38"/>
      <c r="K123" s="38"/>
      <c r="L123" s="38"/>
      <c r="M123" s="38"/>
      <c r="N123" s="39" t="s">
        <v>365</v>
      </c>
    </row>
    <row r="124" spans="1:14" ht="24" customHeight="1">
      <c r="A124" s="30" t="s">
        <v>209</v>
      </c>
      <c r="B124" s="31" t="s">
        <v>210</v>
      </c>
      <c r="C124" s="32" t="s">
        <v>26</v>
      </c>
      <c r="D124" s="30"/>
      <c r="E124" s="33" t="s">
        <v>211</v>
      </c>
      <c r="F124" s="34"/>
      <c r="G124" s="34"/>
      <c r="H124" s="34"/>
      <c r="I124" s="34"/>
      <c r="J124" s="34"/>
      <c r="K124" s="34"/>
      <c r="L124" s="34"/>
      <c r="M124" s="34"/>
      <c r="N124" s="35" t="s">
        <v>364</v>
      </c>
    </row>
    <row r="125" spans="1:14" ht="24" customHeight="1">
      <c r="A125" s="36"/>
      <c r="B125" s="37"/>
      <c r="C125" s="36"/>
      <c r="D125" s="36"/>
      <c r="E125" s="38"/>
      <c r="F125" s="38"/>
      <c r="G125" s="38"/>
      <c r="H125" s="38"/>
      <c r="I125" s="38"/>
      <c r="J125" s="38"/>
      <c r="K125" s="38"/>
      <c r="L125" s="38"/>
      <c r="M125" s="38"/>
      <c r="N125" s="39" t="s">
        <v>365</v>
      </c>
    </row>
    <row r="126" spans="1:14" ht="24" customHeight="1">
      <c r="A126" s="30" t="s">
        <v>212</v>
      </c>
      <c r="B126" s="31" t="s">
        <v>213</v>
      </c>
      <c r="C126" s="32" t="s">
        <v>26</v>
      </c>
      <c r="D126" s="30"/>
      <c r="E126" s="33" t="s">
        <v>214</v>
      </c>
      <c r="F126" s="34"/>
      <c r="G126" s="34"/>
      <c r="H126" s="34"/>
      <c r="I126" s="34"/>
      <c r="J126" s="34"/>
      <c r="K126" s="34"/>
      <c r="L126" s="34"/>
      <c r="M126" s="34"/>
      <c r="N126" s="35" t="s">
        <v>364</v>
      </c>
    </row>
    <row r="127" spans="1:14" ht="24" customHeight="1">
      <c r="A127" s="36"/>
      <c r="B127" s="37"/>
      <c r="C127" s="36"/>
      <c r="D127" s="36"/>
      <c r="E127" s="38"/>
      <c r="F127" s="38"/>
      <c r="G127" s="38"/>
      <c r="H127" s="38"/>
      <c r="I127" s="38"/>
      <c r="J127" s="38"/>
      <c r="K127" s="38"/>
      <c r="L127" s="38"/>
      <c r="M127" s="38"/>
      <c r="N127" s="39" t="s">
        <v>365</v>
      </c>
    </row>
    <row r="128" spans="1:14" ht="24" customHeight="1">
      <c r="A128" s="30" t="s">
        <v>215</v>
      </c>
      <c r="B128" s="31" t="s">
        <v>216</v>
      </c>
      <c r="C128" s="32" t="s">
        <v>26</v>
      </c>
      <c r="D128" s="30"/>
      <c r="E128" s="33" t="s">
        <v>217</v>
      </c>
      <c r="F128" s="34"/>
      <c r="G128" s="34"/>
      <c r="H128" s="34"/>
      <c r="I128" s="34"/>
      <c r="J128" s="34"/>
      <c r="K128" s="34"/>
      <c r="L128" s="34"/>
      <c r="M128" s="34"/>
      <c r="N128" s="35" t="s">
        <v>364</v>
      </c>
    </row>
    <row r="129" spans="1:14" ht="24" customHeight="1">
      <c r="A129" s="36"/>
      <c r="B129" s="37"/>
      <c r="C129" s="36"/>
      <c r="D129" s="36"/>
      <c r="E129" s="38"/>
      <c r="F129" s="38"/>
      <c r="G129" s="38"/>
      <c r="H129" s="38"/>
      <c r="I129" s="38"/>
      <c r="J129" s="38"/>
      <c r="K129" s="38"/>
      <c r="L129" s="38"/>
      <c r="M129" s="38"/>
      <c r="N129" s="39" t="s">
        <v>365</v>
      </c>
    </row>
    <row r="130" spans="1:14" ht="24" customHeight="1">
      <c r="A130" s="30" t="s">
        <v>218</v>
      </c>
      <c r="B130" s="31" t="s">
        <v>219</v>
      </c>
      <c r="C130" s="32" t="s">
        <v>26</v>
      </c>
      <c r="D130" s="30"/>
      <c r="E130" s="33" t="s">
        <v>220</v>
      </c>
      <c r="F130" s="34"/>
      <c r="G130" s="34"/>
      <c r="H130" s="34"/>
      <c r="I130" s="34"/>
      <c r="J130" s="34"/>
      <c r="K130" s="34"/>
      <c r="L130" s="34"/>
      <c r="M130" s="34"/>
      <c r="N130" s="35" t="s">
        <v>364</v>
      </c>
    </row>
    <row r="131" spans="1:14" ht="24" customHeight="1">
      <c r="A131" s="36"/>
      <c r="B131" s="37"/>
      <c r="C131" s="36"/>
      <c r="D131" s="36"/>
      <c r="E131" s="38"/>
      <c r="F131" s="38"/>
      <c r="G131" s="38"/>
      <c r="H131" s="38"/>
      <c r="I131" s="38"/>
      <c r="J131" s="38"/>
      <c r="K131" s="38"/>
      <c r="L131" s="38"/>
      <c r="M131" s="38"/>
      <c r="N131" s="39" t="s">
        <v>365</v>
      </c>
    </row>
    <row r="132" spans="1:14" ht="24" customHeight="1">
      <c r="A132" s="30" t="s">
        <v>221</v>
      </c>
      <c r="B132" s="31" t="s">
        <v>222</v>
      </c>
      <c r="C132" s="32" t="s">
        <v>26</v>
      </c>
      <c r="D132" s="30"/>
      <c r="E132" s="33" t="s">
        <v>223</v>
      </c>
      <c r="F132" s="34"/>
      <c r="G132" s="34"/>
      <c r="H132" s="34"/>
      <c r="I132" s="34"/>
      <c r="J132" s="34"/>
      <c r="K132" s="34"/>
      <c r="L132" s="34"/>
      <c r="M132" s="34"/>
      <c r="N132" s="35" t="s">
        <v>364</v>
      </c>
    </row>
    <row r="133" spans="1:14" ht="24" customHeight="1">
      <c r="A133" s="36"/>
      <c r="B133" s="37"/>
      <c r="C133" s="36"/>
      <c r="D133" s="36"/>
      <c r="E133" s="38"/>
      <c r="F133" s="38"/>
      <c r="G133" s="38"/>
      <c r="H133" s="38"/>
      <c r="I133" s="38"/>
      <c r="J133" s="38"/>
      <c r="K133" s="38"/>
      <c r="L133" s="38"/>
      <c r="M133" s="38"/>
      <c r="N133" s="39" t="s">
        <v>365</v>
      </c>
    </row>
    <row r="134" spans="1:14" ht="24" customHeight="1">
      <c r="A134" s="30" t="s">
        <v>224</v>
      </c>
      <c r="B134" s="31" t="s">
        <v>225</v>
      </c>
      <c r="C134" s="32" t="s">
        <v>26</v>
      </c>
      <c r="D134" s="30"/>
      <c r="E134" s="33" t="s">
        <v>226</v>
      </c>
      <c r="F134" s="34"/>
      <c r="G134" s="34"/>
      <c r="H134" s="34"/>
      <c r="I134" s="34"/>
      <c r="J134" s="34"/>
      <c r="K134" s="34"/>
      <c r="L134" s="34"/>
      <c r="M134" s="34"/>
      <c r="N134" s="35" t="s">
        <v>364</v>
      </c>
    </row>
    <row r="135" spans="1:14" ht="24" customHeight="1">
      <c r="A135" s="36"/>
      <c r="B135" s="37"/>
      <c r="C135" s="36"/>
      <c r="D135" s="36"/>
      <c r="E135" s="38"/>
      <c r="F135" s="38"/>
      <c r="G135" s="38"/>
      <c r="H135" s="38"/>
      <c r="I135" s="38"/>
      <c r="J135" s="38"/>
      <c r="K135" s="38"/>
      <c r="L135" s="38"/>
      <c r="M135" s="38"/>
      <c r="N135" s="39" t="s">
        <v>365</v>
      </c>
    </row>
    <row r="136" spans="1:14" ht="24" customHeight="1">
      <c r="A136" s="30" t="s">
        <v>227</v>
      </c>
      <c r="B136" s="31" t="s">
        <v>228</v>
      </c>
      <c r="C136" s="32" t="s">
        <v>229</v>
      </c>
      <c r="D136" s="30"/>
      <c r="E136" s="33" t="s">
        <v>230</v>
      </c>
      <c r="F136" s="34"/>
      <c r="G136" s="34"/>
      <c r="H136" s="34"/>
      <c r="I136" s="34"/>
      <c r="J136" s="34"/>
      <c r="K136" s="34"/>
      <c r="L136" s="34"/>
      <c r="M136" s="34"/>
      <c r="N136" s="35" t="s">
        <v>364</v>
      </c>
    </row>
    <row r="137" spans="1:14" ht="24" customHeight="1">
      <c r="A137" s="36"/>
      <c r="B137" s="37"/>
      <c r="C137" s="36"/>
      <c r="D137" s="36"/>
      <c r="E137" s="38"/>
      <c r="F137" s="38"/>
      <c r="G137" s="38"/>
      <c r="H137" s="38"/>
      <c r="I137" s="38"/>
      <c r="J137" s="38"/>
      <c r="K137" s="38"/>
      <c r="L137" s="38"/>
      <c r="M137" s="38"/>
      <c r="N137" s="39" t="s">
        <v>365</v>
      </c>
    </row>
    <row r="138" spans="1:14" ht="24" customHeight="1">
      <c r="A138" s="30" t="s">
        <v>231</v>
      </c>
      <c r="B138" s="31" t="s">
        <v>232</v>
      </c>
      <c r="C138" s="32" t="s">
        <v>229</v>
      </c>
      <c r="D138" s="30"/>
      <c r="E138" s="33" t="s">
        <v>233</v>
      </c>
      <c r="F138" s="34"/>
      <c r="G138" s="34"/>
      <c r="H138" s="34"/>
      <c r="I138" s="34"/>
      <c r="J138" s="34"/>
      <c r="K138" s="34"/>
      <c r="L138" s="34"/>
      <c r="M138" s="34"/>
      <c r="N138" s="35" t="s">
        <v>364</v>
      </c>
    </row>
    <row r="139" spans="1:14" ht="24" customHeight="1">
      <c r="A139" s="36"/>
      <c r="B139" s="37"/>
      <c r="C139" s="36"/>
      <c r="D139" s="36"/>
      <c r="E139" s="38"/>
      <c r="F139" s="38"/>
      <c r="G139" s="38"/>
      <c r="H139" s="38"/>
      <c r="I139" s="38"/>
      <c r="J139" s="38"/>
      <c r="K139" s="38"/>
      <c r="L139" s="38"/>
      <c r="M139" s="38"/>
      <c r="N139" s="39" t="s">
        <v>365</v>
      </c>
    </row>
    <row r="140" spans="1:14" ht="24" customHeight="1">
      <c r="A140" s="30" t="s">
        <v>234</v>
      </c>
      <c r="B140" s="31" t="s">
        <v>235</v>
      </c>
      <c r="C140" s="32" t="s">
        <v>229</v>
      </c>
      <c r="D140" s="30"/>
      <c r="E140" s="33" t="s">
        <v>236</v>
      </c>
      <c r="F140" s="34"/>
      <c r="G140" s="34"/>
      <c r="H140" s="34"/>
      <c r="I140" s="34"/>
      <c r="J140" s="34"/>
      <c r="K140" s="34"/>
      <c r="L140" s="34"/>
      <c r="M140" s="34"/>
      <c r="N140" s="35" t="s">
        <v>364</v>
      </c>
    </row>
    <row r="141" spans="1:14" ht="24" customHeight="1">
      <c r="A141" s="36"/>
      <c r="B141" s="37"/>
      <c r="C141" s="36"/>
      <c r="D141" s="36"/>
      <c r="E141" s="38"/>
      <c r="F141" s="38"/>
      <c r="G141" s="38"/>
      <c r="H141" s="38"/>
      <c r="I141" s="38"/>
      <c r="J141" s="38"/>
      <c r="K141" s="38"/>
      <c r="L141" s="38"/>
      <c r="M141" s="38"/>
      <c r="N141" s="39" t="s">
        <v>365</v>
      </c>
    </row>
    <row r="142" spans="1:14" ht="24" customHeight="1">
      <c r="A142" s="30" t="s">
        <v>237</v>
      </c>
      <c r="B142" s="31" t="s">
        <v>238</v>
      </c>
      <c r="C142" s="32" t="s">
        <v>229</v>
      </c>
      <c r="D142" s="30"/>
      <c r="E142" s="33" t="s">
        <v>239</v>
      </c>
      <c r="F142" s="34"/>
      <c r="G142" s="34"/>
      <c r="H142" s="34"/>
      <c r="I142" s="34"/>
      <c r="J142" s="34"/>
      <c r="K142" s="34"/>
      <c r="L142" s="34"/>
      <c r="M142" s="34"/>
      <c r="N142" s="35" t="s">
        <v>364</v>
      </c>
    </row>
    <row r="143" spans="1:14" ht="24" customHeight="1">
      <c r="A143" s="36"/>
      <c r="B143" s="37"/>
      <c r="C143" s="36"/>
      <c r="D143" s="36"/>
      <c r="E143" s="38"/>
      <c r="F143" s="38"/>
      <c r="G143" s="38"/>
      <c r="H143" s="38"/>
      <c r="I143" s="38"/>
      <c r="J143" s="38"/>
      <c r="K143" s="38"/>
      <c r="L143" s="38"/>
      <c r="M143" s="38"/>
      <c r="N143" s="39" t="s">
        <v>365</v>
      </c>
    </row>
    <row r="144" spans="1:14" ht="24" customHeight="1">
      <c r="A144" s="30" t="s">
        <v>240</v>
      </c>
      <c r="B144" s="31" t="s">
        <v>241</v>
      </c>
      <c r="C144" s="32" t="s">
        <v>229</v>
      </c>
      <c r="D144" s="30"/>
      <c r="E144" s="33" t="s">
        <v>242</v>
      </c>
      <c r="F144" s="34"/>
      <c r="G144" s="34"/>
      <c r="H144" s="34"/>
      <c r="I144" s="34"/>
      <c r="J144" s="34"/>
      <c r="K144" s="34"/>
      <c r="L144" s="34"/>
      <c r="M144" s="34"/>
      <c r="N144" s="35" t="s">
        <v>364</v>
      </c>
    </row>
    <row r="145" spans="1:14" ht="24" customHeight="1">
      <c r="A145" s="36"/>
      <c r="B145" s="37"/>
      <c r="C145" s="36"/>
      <c r="D145" s="36"/>
      <c r="E145" s="38"/>
      <c r="F145" s="38"/>
      <c r="G145" s="38"/>
      <c r="H145" s="38"/>
      <c r="I145" s="38"/>
      <c r="J145" s="38"/>
      <c r="K145" s="38"/>
      <c r="L145" s="38"/>
      <c r="M145" s="38"/>
      <c r="N145" s="39" t="s">
        <v>365</v>
      </c>
    </row>
    <row r="146" spans="1:14" ht="24" customHeight="1">
      <c r="A146" s="30" t="s">
        <v>243</v>
      </c>
      <c r="B146" s="31" t="s">
        <v>244</v>
      </c>
      <c r="C146" s="32" t="s">
        <v>229</v>
      </c>
      <c r="D146" s="30"/>
      <c r="E146" s="33" t="s">
        <v>245</v>
      </c>
      <c r="F146" s="34"/>
      <c r="G146" s="34"/>
      <c r="H146" s="34"/>
      <c r="I146" s="34"/>
      <c r="J146" s="34"/>
      <c r="K146" s="34"/>
      <c r="L146" s="34"/>
      <c r="M146" s="34"/>
      <c r="N146" s="35" t="s">
        <v>364</v>
      </c>
    </row>
    <row r="147" spans="1:14" ht="24" customHeight="1">
      <c r="A147" s="36"/>
      <c r="B147" s="37"/>
      <c r="C147" s="36"/>
      <c r="D147" s="36"/>
      <c r="E147" s="38"/>
      <c r="F147" s="38"/>
      <c r="G147" s="38"/>
      <c r="H147" s="38"/>
      <c r="I147" s="38"/>
      <c r="J147" s="38"/>
      <c r="K147" s="38"/>
      <c r="L147" s="38"/>
      <c r="M147" s="38"/>
      <c r="N147" s="39" t="s">
        <v>365</v>
      </c>
    </row>
    <row r="148" spans="1:14" ht="24" customHeight="1">
      <c r="A148" s="30" t="s">
        <v>246</v>
      </c>
      <c r="B148" s="31" t="s">
        <v>247</v>
      </c>
      <c r="C148" s="32" t="s">
        <v>229</v>
      </c>
      <c r="D148" s="30"/>
      <c r="E148" s="33" t="s">
        <v>248</v>
      </c>
      <c r="F148" s="34"/>
      <c r="G148" s="34"/>
      <c r="H148" s="34"/>
      <c r="I148" s="34"/>
      <c r="J148" s="34"/>
      <c r="K148" s="34"/>
      <c r="L148" s="34"/>
      <c r="M148" s="34"/>
      <c r="N148" s="35" t="s">
        <v>364</v>
      </c>
    </row>
    <row r="149" spans="1:14" ht="24" customHeight="1">
      <c r="A149" s="36"/>
      <c r="B149" s="37"/>
      <c r="C149" s="36"/>
      <c r="D149" s="36"/>
      <c r="E149" s="38"/>
      <c r="F149" s="38"/>
      <c r="G149" s="38"/>
      <c r="H149" s="38"/>
      <c r="I149" s="38"/>
      <c r="J149" s="38"/>
      <c r="K149" s="38"/>
      <c r="L149" s="38"/>
      <c r="M149" s="38"/>
      <c r="N149" s="39" t="s">
        <v>365</v>
      </c>
    </row>
    <row r="150" spans="1:14" ht="24" customHeight="1">
      <c r="A150" s="30" t="s">
        <v>249</v>
      </c>
      <c r="B150" s="31" t="s">
        <v>250</v>
      </c>
      <c r="C150" s="32" t="s">
        <v>229</v>
      </c>
      <c r="D150" s="30"/>
      <c r="E150" s="33" t="s">
        <v>251</v>
      </c>
      <c r="F150" s="34"/>
      <c r="G150" s="34"/>
      <c r="H150" s="34"/>
      <c r="I150" s="34"/>
      <c r="J150" s="34"/>
      <c r="K150" s="34"/>
      <c r="L150" s="34"/>
      <c r="M150" s="34"/>
      <c r="N150" s="35" t="s">
        <v>364</v>
      </c>
    </row>
    <row r="151" spans="1:14" ht="24" customHeight="1">
      <c r="A151" s="36"/>
      <c r="B151" s="37"/>
      <c r="C151" s="36"/>
      <c r="D151" s="36"/>
      <c r="E151" s="38"/>
      <c r="F151" s="38"/>
      <c r="G151" s="38"/>
      <c r="H151" s="38"/>
      <c r="I151" s="38"/>
      <c r="J151" s="38"/>
      <c r="K151" s="38"/>
      <c r="L151" s="38"/>
      <c r="M151" s="38"/>
      <c r="N151" s="39" t="s">
        <v>365</v>
      </c>
    </row>
    <row r="152" spans="1:14" ht="24" customHeight="1">
      <c r="A152" s="30" t="s">
        <v>252</v>
      </c>
      <c r="B152" s="31" t="s">
        <v>253</v>
      </c>
      <c r="C152" s="32" t="s">
        <v>229</v>
      </c>
      <c r="D152" s="30"/>
      <c r="E152" s="33" t="s">
        <v>254</v>
      </c>
      <c r="F152" s="34"/>
      <c r="G152" s="34"/>
      <c r="H152" s="34"/>
      <c r="I152" s="34"/>
      <c r="J152" s="34"/>
      <c r="K152" s="34"/>
      <c r="L152" s="34"/>
      <c r="M152" s="34"/>
      <c r="N152" s="35" t="s">
        <v>364</v>
      </c>
    </row>
    <row r="153" spans="1:14" ht="24" customHeight="1">
      <c r="A153" s="36"/>
      <c r="B153" s="37"/>
      <c r="C153" s="36"/>
      <c r="D153" s="36"/>
      <c r="E153" s="38"/>
      <c r="F153" s="38"/>
      <c r="G153" s="38"/>
      <c r="H153" s="38"/>
      <c r="I153" s="38"/>
      <c r="J153" s="38"/>
      <c r="K153" s="38"/>
      <c r="L153" s="38"/>
      <c r="M153" s="38"/>
      <c r="N153" s="39" t="s">
        <v>365</v>
      </c>
    </row>
    <row r="154" spans="1:14" ht="24" customHeight="1">
      <c r="A154" s="30" t="s">
        <v>255</v>
      </c>
      <c r="B154" s="31" t="s">
        <v>256</v>
      </c>
      <c r="C154" s="32" t="s">
        <v>229</v>
      </c>
      <c r="D154" s="30"/>
      <c r="E154" s="33" t="s">
        <v>257</v>
      </c>
      <c r="F154" s="34"/>
      <c r="G154" s="34"/>
      <c r="H154" s="34"/>
      <c r="I154" s="34"/>
      <c r="J154" s="34"/>
      <c r="K154" s="34"/>
      <c r="L154" s="34"/>
      <c r="M154" s="34"/>
      <c r="N154" s="35" t="s">
        <v>364</v>
      </c>
    </row>
    <row r="155" spans="1:14" ht="24" customHeight="1">
      <c r="A155" s="36"/>
      <c r="B155" s="37"/>
      <c r="C155" s="36"/>
      <c r="D155" s="36"/>
      <c r="E155" s="38"/>
      <c r="F155" s="38"/>
      <c r="G155" s="38"/>
      <c r="H155" s="38"/>
      <c r="I155" s="38"/>
      <c r="J155" s="38"/>
      <c r="K155" s="38"/>
      <c r="L155" s="38"/>
      <c r="M155" s="38"/>
      <c r="N155" s="39" t="s">
        <v>365</v>
      </c>
    </row>
    <row r="156" spans="1:14" ht="24" customHeight="1">
      <c r="A156" s="30" t="s">
        <v>258</v>
      </c>
      <c r="B156" s="31" t="s">
        <v>259</v>
      </c>
      <c r="C156" s="32" t="s">
        <v>229</v>
      </c>
      <c r="D156" s="30"/>
      <c r="E156" s="33" t="s">
        <v>260</v>
      </c>
      <c r="F156" s="34"/>
      <c r="G156" s="34"/>
      <c r="H156" s="34"/>
      <c r="I156" s="34"/>
      <c r="J156" s="34"/>
      <c r="K156" s="34"/>
      <c r="L156" s="34"/>
      <c r="M156" s="34"/>
      <c r="N156" s="35" t="s">
        <v>364</v>
      </c>
    </row>
    <row r="157" spans="1:14" ht="24" customHeight="1">
      <c r="A157" s="36"/>
      <c r="B157" s="37"/>
      <c r="C157" s="36"/>
      <c r="D157" s="36"/>
      <c r="E157" s="38"/>
      <c r="F157" s="38"/>
      <c r="G157" s="38"/>
      <c r="H157" s="38"/>
      <c r="I157" s="38"/>
      <c r="J157" s="38"/>
      <c r="K157" s="38"/>
      <c r="L157" s="38"/>
      <c r="M157" s="38"/>
      <c r="N157" s="39" t="s">
        <v>365</v>
      </c>
    </row>
    <row r="158" spans="1:14" ht="24" customHeight="1">
      <c r="A158" s="30" t="s">
        <v>261</v>
      </c>
      <c r="B158" s="31" t="s">
        <v>262</v>
      </c>
      <c r="C158" s="32" t="s">
        <v>229</v>
      </c>
      <c r="D158" s="30"/>
      <c r="E158" s="33" t="s">
        <v>263</v>
      </c>
      <c r="F158" s="34"/>
      <c r="G158" s="34"/>
      <c r="H158" s="34"/>
      <c r="I158" s="34"/>
      <c r="J158" s="34"/>
      <c r="K158" s="34"/>
      <c r="L158" s="34"/>
      <c r="M158" s="34"/>
      <c r="N158" s="35" t="s">
        <v>364</v>
      </c>
    </row>
    <row r="159" spans="1:14" ht="24" customHeight="1">
      <c r="A159" s="36"/>
      <c r="B159" s="37"/>
      <c r="C159" s="36"/>
      <c r="D159" s="36"/>
      <c r="E159" s="38"/>
      <c r="F159" s="38"/>
      <c r="G159" s="38"/>
      <c r="H159" s="38"/>
      <c r="I159" s="38"/>
      <c r="J159" s="38"/>
      <c r="K159" s="38"/>
      <c r="L159" s="38"/>
      <c r="M159" s="38"/>
      <c r="N159" s="39" t="s">
        <v>365</v>
      </c>
    </row>
    <row r="160" spans="1:14" ht="24" customHeight="1">
      <c r="A160" s="30" t="s">
        <v>264</v>
      </c>
      <c r="B160" s="31" t="s">
        <v>265</v>
      </c>
      <c r="C160" s="32" t="s">
        <v>229</v>
      </c>
      <c r="D160" s="30"/>
      <c r="E160" s="33" t="s">
        <v>266</v>
      </c>
      <c r="F160" s="34"/>
      <c r="G160" s="34"/>
      <c r="H160" s="34"/>
      <c r="I160" s="34"/>
      <c r="J160" s="34"/>
      <c r="K160" s="34"/>
      <c r="L160" s="34"/>
      <c r="M160" s="34"/>
      <c r="N160" s="35" t="s">
        <v>364</v>
      </c>
    </row>
    <row r="161" spans="1:14" ht="24" customHeight="1">
      <c r="A161" s="36"/>
      <c r="B161" s="37"/>
      <c r="C161" s="36"/>
      <c r="D161" s="36"/>
      <c r="E161" s="38"/>
      <c r="F161" s="38"/>
      <c r="G161" s="38"/>
      <c r="H161" s="38"/>
      <c r="I161" s="38"/>
      <c r="J161" s="38"/>
      <c r="K161" s="38"/>
      <c r="L161" s="38"/>
      <c r="M161" s="38"/>
      <c r="N161" s="39" t="s">
        <v>365</v>
      </c>
    </row>
    <row r="162" spans="1:14" ht="24" customHeight="1">
      <c r="A162" s="30" t="s">
        <v>267</v>
      </c>
      <c r="B162" s="31" t="s">
        <v>268</v>
      </c>
      <c r="C162" s="32" t="s">
        <v>229</v>
      </c>
      <c r="D162" s="30"/>
      <c r="E162" s="33" t="s">
        <v>269</v>
      </c>
      <c r="F162" s="34"/>
      <c r="G162" s="34"/>
      <c r="H162" s="34"/>
      <c r="I162" s="34"/>
      <c r="J162" s="34"/>
      <c r="K162" s="34"/>
      <c r="L162" s="34"/>
      <c r="M162" s="34"/>
      <c r="N162" s="35" t="s">
        <v>364</v>
      </c>
    </row>
    <row r="163" spans="1:14" ht="24" customHeight="1">
      <c r="A163" s="36"/>
      <c r="B163" s="37"/>
      <c r="C163" s="36"/>
      <c r="D163" s="36"/>
      <c r="E163" s="38"/>
      <c r="F163" s="38"/>
      <c r="G163" s="38"/>
      <c r="H163" s="38"/>
      <c r="I163" s="38"/>
      <c r="J163" s="38"/>
      <c r="K163" s="38"/>
      <c r="L163" s="38"/>
      <c r="M163" s="38"/>
      <c r="N163" s="39" t="s">
        <v>365</v>
      </c>
    </row>
    <row r="164" spans="1:14" ht="24" customHeight="1">
      <c r="A164" s="30" t="s">
        <v>270</v>
      </c>
      <c r="B164" s="31" t="s">
        <v>271</v>
      </c>
      <c r="C164" s="32" t="s">
        <v>229</v>
      </c>
      <c r="D164" s="30"/>
      <c r="E164" s="33" t="s">
        <v>272</v>
      </c>
      <c r="F164" s="34"/>
      <c r="G164" s="34"/>
      <c r="H164" s="34"/>
      <c r="I164" s="34"/>
      <c r="J164" s="34"/>
      <c r="K164" s="34"/>
      <c r="L164" s="34"/>
      <c r="M164" s="34"/>
      <c r="N164" s="35" t="s">
        <v>364</v>
      </c>
    </row>
    <row r="165" spans="1:14" ht="24" customHeight="1">
      <c r="A165" s="36"/>
      <c r="B165" s="37"/>
      <c r="C165" s="36"/>
      <c r="D165" s="36"/>
      <c r="E165" s="38"/>
      <c r="F165" s="38"/>
      <c r="G165" s="38"/>
      <c r="H165" s="38"/>
      <c r="I165" s="38"/>
      <c r="J165" s="38"/>
      <c r="K165" s="38"/>
      <c r="L165" s="38"/>
      <c r="M165" s="38"/>
      <c r="N165" s="39" t="s">
        <v>365</v>
      </c>
    </row>
    <row r="166" spans="1:14" ht="24" customHeight="1">
      <c r="A166" s="30" t="s">
        <v>273</v>
      </c>
      <c r="B166" s="31" t="s">
        <v>274</v>
      </c>
      <c r="C166" s="32" t="s">
        <v>229</v>
      </c>
      <c r="D166" s="30"/>
      <c r="E166" s="33" t="s">
        <v>275</v>
      </c>
      <c r="F166" s="34"/>
      <c r="G166" s="34"/>
      <c r="H166" s="34"/>
      <c r="I166" s="34"/>
      <c r="J166" s="34"/>
      <c r="K166" s="34"/>
      <c r="L166" s="34"/>
      <c r="M166" s="34"/>
      <c r="N166" s="35" t="s">
        <v>364</v>
      </c>
    </row>
    <row r="167" spans="1:14" ht="24" customHeight="1">
      <c r="A167" s="36"/>
      <c r="B167" s="37"/>
      <c r="C167" s="36"/>
      <c r="D167" s="36"/>
      <c r="E167" s="38"/>
      <c r="F167" s="38"/>
      <c r="G167" s="38"/>
      <c r="H167" s="38"/>
      <c r="I167" s="38"/>
      <c r="J167" s="38"/>
      <c r="K167" s="38"/>
      <c r="L167" s="38"/>
      <c r="M167" s="38"/>
      <c r="N167" s="39" t="s">
        <v>365</v>
      </c>
    </row>
    <row r="168" spans="1:14" ht="24" customHeight="1">
      <c r="A168" s="30" t="s">
        <v>276</v>
      </c>
      <c r="B168" s="31" t="s">
        <v>277</v>
      </c>
      <c r="C168" s="32" t="s">
        <v>229</v>
      </c>
      <c r="D168" s="30"/>
      <c r="E168" s="33" t="s">
        <v>278</v>
      </c>
      <c r="F168" s="34"/>
      <c r="G168" s="34"/>
      <c r="H168" s="34"/>
      <c r="I168" s="34"/>
      <c r="J168" s="34"/>
      <c r="K168" s="34"/>
      <c r="L168" s="34"/>
      <c r="M168" s="34"/>
      <c r="N168" s="35" t="s">
        <v>364</v>
      </c>
    </row>
    <row r="169" spans="1:14" ht="24" customHeight="1">
      <c r="A169" s="36"/>
      <c r="B169" s="37"/>
      <c r="C169" s="36"/>
      <c r="D169" s="36"/>
      <c r="E169" s="38"/>
      <c r="F169" s="38"/>
      <c r="G169" s="38"/>
      <c r="H169" s="38"/>
      <c r="I169" s="38"/>
      <c r="J169" s="38"/>
      <c r="K169" s="38"/>
      <c r="L169" s="38"/>
      <c r="M169" s="38"/>
      <c r="N169" s="39" t="s">
        <v>365</v>
      </c>
    </row>
    <row r="170" spans="1:14" ht="24" customHeight="1">
      <c r="A170" s="30" t="s">
        <v>279</v>
      </c>
      <c r="B170" s="31" t="s">
        <v>280</v>
      </c>
      <c r="C170" s="32" t="s">
        <v>229</v>
      </c>
      <c r="D170" s="30"/>
      <c r="E170" s="33" t="s">
        <v>281</v>
      </c>
      <c r="F170" s="34"/>
      <c r="G170" s="34"/>
      <c r="H170" s="34"/>
      <c r="I170" s="34"/>
      <c r="J170" s="34"/>
      <c r="K170" s="34"/>
      <c r="L170" s="34"/>
      <c r="M170" s="34"/>
      <c r="N170" s="35" t="s">
        <v>364</v>
      </c>
    </row>
    <row r="171" spans="1:14" ht="24" customHeight="1">
      <c r="A171" s="36"/>
      <c r="B171" s="37"/>
      <c r="C171" s="36"/>
      <c r="D171" s="36"/>
      <c r="E171" s="38"/>
      <c r="F171" s="38"/>
      <c r="G171" s="38"/>
      <c r="H171" s="38"/>
      <c r="I171" s="38"/>
      <c r="J171" s="38"/>
      <c r="K171" s="38"/>
      <c r="L171" s="38"/>
      <c r="M171" s="38"/>
      <c r="N171" s="39" t="s">
        <v>365</v>
      </c>
    </row>
    <row r="172" spans="1:14" ht="24" customHeight="1">
      <c r="A172" s="30" t="s">
        <v>282</v>
      </c>
      <c r="B172" s="31" t="s">
        <v>283</v>
      </c>
      <c r="C172" s="32" t="s">
        <v>229</v>
      </c>
      <c r="D172" s="30"/>
      <c r="E172" s="33" t="s">
        <v>284</v>
      </c>
      <c r="F172" s="34"/>
      <c r="G172" s="34"/>
      <c r="H172" s="34"/>
      <c r="I172" s="34"/>
      <c r="J172" s="34"/>
      <c r="K172" s="34"/>
      <c r="L172" s="34"/>
      <c r="M172" s="34"/>
      <c r="N172" s="35" t="s">
        <v>364</v>
      </c>
    </row>
    <row r="173" spans="1:14" ht="24" customHeight="1">
      <c r="A173" s="36"/>
      <c r="B173" s="37"/>
      <c r="C173" s="36"/>
      <c r="D173" s="36"/>
      <c r="E173" s="38"/>
      <c r="F173" s="38"/>
      <c r="G173" s="38"/>
      <c r="H173" s="38"/>
      <c r="I173" s="38"/>
      <c r="J173" s="38"/>
      <c r="K173" s="38"/>
      <c r="L173" s="38"/>
      <c r="M173" s="38"/>
      <c r="N173" s="39" t="s">
        <v>365</v>
      </c>
    </row>
    <row r="174" spans="1:14" ht="24" customHeight="1">
      <c r="A174" s="30" t="s">
        <v>285</v>
      </c>
      <c r="B174" s="31" t="s">
        <v>286</v>
      </c>
      <c r="C174" s="32" t="s">
        <v>229</v>
      </c>
      <c r="D174" s="30"/>
      <c r="E174" s="33" t="s">
        <v>287</v>
      </c>
      <c r="F174" s="34"/>
      <c r="G174" s="34"/>
      <c r="H174" s="34"/>
      <c r="I174" s="34"/>
      <c r="J174" s="34"/>
      <c r="K174" s="34"/>
      <c r="L174" s="34"/>
      <c r="M174" s="34"/>
      <c r="N174" s="35" t="s">
        <v>364</v>
      </c>
    </row>
    <row r="175" spans="1:14" ht="24" customHeight="1">
      <c r="A175" s="36"/>
      <c r="B175" s="37"/>
      <c r="C175" s="36"/>
      <c r="D175" s="36"/>
      <c r="E175" s="38"/>
      <c r="F175" s="38"/>
      <c r="G175" s="38"/>
      <c r="H175" s="38"/>
      <c r="I175" s="38"/>
      <c r="J175" s="38"/>
      <c r="K175" s="38"/>
      <c r="L175" s="38"/>
      <c r="M175" s="38"/>
      <c r="N175" s="39" t="s">
        <v>365</v>
      </c>
    </row>
    <row r="176" spans="1:14" ht="24" customHeight="1">
      <c r="A176" s="30" t="s">
        <v>288</v>
      </c>
      <c r="B176" s="31" t="s">
        <v>289</v>
      </c>
      <c r="C176" s="32" t="s">
        <v>229</v>
      </c>
      <c r="D176" s="30"/>
      <c r="E176" s="33" t="s">
        <v>290</v>
      </c>
      <c r="F176" s="34"/>
      <c r="G176" s="34"/>
      <c r="H176" s="34"/>
      <c r="I176" s="34"/>
      <c r="J176" s="34"/>
      <c r="K176" s="34"/>
      <c r="L176" s="34"/>
      <c r="M176" s="34"/>
      <c r="N176" s="35" t="s">
        <v>364</v>
      </c>
    </row>
    <row r="177" spans="1:14" ht="24" customHeight="1">
      <c r="A177" s="36"/>
      <c r="B177" s="37"/>
      <c r="C177" s="36"/>
      <c r="D177" s="36"/>
      <c r="E177" s="38"/>
      <c r="F177" s="38"/>
      <c r="G177" s="38"/>
      <c r="H177" s="38"/>
      <c r="I177" s="38"/>
      <c r="J177" s="38"/>
      <c r="K177" s="38"/>
      <c r="L177" s="38"/>
      <c r="M177" s="38"/>
      <c r="N177" s="39" t="s">
        <v>365</v>
      </c>
    </row>
    <row r="178" spans="1:14" ht="24" customHeight="1">
      <c r="A178" s="30" t="s">
        <v>291</v>
      </c>
      <c r="B178" s="31" t="s">
        <v>292</v>
      </c>
      <c r="C178" s="32" t="s">
        <v>229</v>
      </c>
      <c r="D178" s="30"/>
      <c r="E178" s="33" t="s">
        <v>293</v>
      </c>
      <c r="F178" s="34"/>
      <c r="G178" s="34"/>
      <c r="H178" s="34"/>
      <c r="I178" s="34"/>
      <c r="J178" s="34"/>
      <c r="K178" s="34"/>
      <c r="L178" s="34"/>
      <c r="M178" s="34"/>
      <c r="N178" s="35" t="s">
        <v>364</v>
      </c>
    </row>
    <row r="179" spans="1:14" ht="24" customHeight="1">
      <c r="A179" s="36"/>
      <c r="B179" s="37"/>
      <c r="C179" s="36"/>
      <c r="D179" s="36"/>
      <c r="E179" s="38"/>
      <c r="F179" s="38"/>
      <c r="G179" s="38"/>
      <c r="H179" s="38"/>
      <c r="I179" s="38"/>
      <c r="J179" s="38"/>
      <c r="K179" s="38"/>
      <c r="L179" s="38"/>
      <c r="M179" s="38"/>
      <c r="N179" s="39" t="s">
        <v>365</v>
      </c>
    </row>
    <row r="180" spans="1:14" ht="24" customHeight="1">
      <c r="A180" s="30" t="s">
        <v>294</v>
      </c>
      <c r="B180" s="31" t="s">
        <v>295</v>
      </c>
      <c r="C180" s="32" t="s">
        <v>229</v>
      </c>
      <c r="D180" s="30"/>
      <c r="E180" s="33" t="s">
        <v>296</v>
      </c>
      <c r="F180" s="34"/>
      <c r="G180" s="34"/>
      <c r="H180" s="34"/>
      <c r="I180" s="34"/>
      <c r="J180" s="34"/>
      <c r="K180" s="34"/>
      <c r="L180" s="34"/>
      <c r="M180" s="34"/>
      <c r="N180" s="35" t="s">
        <v>364</v>
      </c>
    </row>
    <row r="181" spans="1:14" ht="24" customHeight="1">
      <c r="A181" s="36"/>
      <c r="B181" s="37"/>
      <c r="C181" s="36"/>
      <c r="D181" s="36"/>
      <c r="E181" s="38"/>
      <c r="F181" s="38"/>
      <c r="G181" s="38"/>
      <c r="H181" s="38"/>
      <c r="I181" s="38"/>
      <c r="J181" s="38"/>
      <c r="K181" s="38"/>
      <c r="L181" s="38"/>
      <c r="M181" s="38"/>
      <c r="N181" s="39" t="s">
        <v>365</v>
      </c>
    </row>
    <row r="182" spans="1:14" ht="24" customHeight="1">
      <c r="A182" s="30" t="s">
        <v>297</v>
      </c>
      <c r="B182" s="31" t="s">
        <v>298</v>
      </c>
      <c r="C182" s="32" t="s">
        <v>229</v>
      </c>
      <c r="D182" s="30"/>
      <c r="E182" s="33" t="s">
        <v>299</v>
      </c>
      <c r="F182" s="34"/>
      <c r="G182" s="34"/>
      <c r="H182" s="34"/>
      <c r="I182" s="34"/>
      <c r="J182" s="34"/>
      <c r="K182" s="34"/>
      <c r="L182" s="34"/>
      <c r="M182" s="34"/>
      <c r="N182" s="35" t="s">
        <v>364</v>
      </c>
    </row>
    <row r="183" spans="1:14" ht="24" customHeight="1">
      <c r="A183" s="36"/>
      <c r="B183" s="37"/>
      <c r="C183" s="36"/>
      <c r="D183" s="36"/>
      <c r="E183" s="38"/>
      <c r="F183" s="38"/>
      <c r="G183" s="38"/>
      <c r="H183" s="38"/>
      <c r="I183" s="38"/>
      <c r="J183" s="38"/>
      <c r="K183" s="38"/>
      <c r="L183" s="38"/>
      <c r="M183" s="38"/>
      <c r="N183" s="39" t="s">
        <v>365</v>
      </c>
    </row>
    <row r="184" spans="1:14" ht="24" customHeight="1">
      <c r="A184" s="30" t="s">
        <v>300</v>
      </c>
      <c r="B184" s="31" t="s">
        <v>301</v>
      </c>
      <c r="C184" s="32" t="s">
        <v>229</v>
      </c>
      <c r="D184" s="30"/>
      <c r="E184" s="33" t="s">
        <v>302</v>
      </c>
      <c r="F184" s="34"/>
      <c r="G184" s="34"/>
      <c r="H184" s="34"/>
      <c r="I184" s="34"/>
      <c r="J184" s="34"/>
      <c r="K184" s="34"/>
      <c r="L184" s="34"/>
      <c r="M184" s="34"/>
      <c r="N184" s="35" t="s">
        <v>364</v>
      </c>
    </row>
    <row r="185" spans="1:14" ht="24" customHeight="1">
      <c r="A185" s="36"/>
      <c r="B185" s="37"/>
      <c r="C185" s="36"/>
      <c r="D185" s="36"/>
      <c r="E185" s="38"/>
      <c r="F185" s="38"/>
      <c r="G185" s="38"/>
      <c r="H185" s="38"/>
      <c r="I185" s="38"/>
      <c r="J185" s="38"/>
      <c r="K185" s="38"/>
      <c r="L185" s="38"/>
      <c r="M185" s="38"/>
      <c r="N185" s="39" t="s">
        <v>365</v>
      </c>
    </row>
    <row r="186" spans="1:14" ht="24" customHeight="1">
      <c r="A186" s="30" t="s">
        <v>303</v>
      </c>
      <c r="B186" s="31" t="s">
        <v>304</v>
      </c>
      <c r="C186" s="32" t="s">
        <v>229</v>
      </c>
      <c r="D186" s="30"/>
      <c r="E186" s="33" t="s">
        <v>305</v>
      </c>
      <c r="F186" s="34"/>
      <c r="G186" s="34"/>
      <c r="H186" s="34"/>
      <c r="I186" s="34"/>
      <c r="J186" s="34"/>
      <c r="K186" s="34"/>
      <c r="L186" s="34"/>
      <c r="M186" s="34"/>
      <c r="N186" s="35" t="s">
        <v>364</v>
      </c>
    </row>
    <row r="187" spans="1:14" ht="24" customHeight="1">
      <c r="A187" s="36"/>
      <c r="B187" s="37"/>
      <c r="C187" s="36"/>
      <c r="D187" s="36"/>
      <c r="E187" s="38"/>
      <c r="F187" s="38"/>
      <c r="G187" s="38"/>
      <c r="H187" s="38"/>
      <c r="I187" s="38"/>
      <c r="J187" s="38"/>
      <c r="K187" s="38"/>
      <c r="L187" s="38"/>
      <c r="M187" s="38"/>
      <c r="N187" s="39" t="s">
        <v>365</v>
      </c>
    </row>
    <row r="188" spans="1:14" ht="24" customHeight="1">
      <c r="A188" s="30" t="s">
        <v>306</v>
      </c>
      <c r="B188" s="31" t="s">
        <v>307</v>
      </c>
      <c r="C188" s="32" t="s">
        <v>229</v>
      </c>
      <c r="D188" s="30"/>
      <c r="E188" s="33" t="s">
        <v>308</v>
      </c>
      <c r="F188" s="34"/>
      <c r="G188" s="34"/>
      <c r="H188" s="34"/>
      <c r="I188" s="34"/>
      <c r="J188" s="34"/>
      <c r="K188" s="34"/>
      <c r="L188" s="34"/>
      <c r="M188" s="34"/>
      <c r="N188" s="35" t="s">
        <v>364</v>
      </c>
    </row>
    <row r="189" spans="1:14" ht="24" customHeight="1">
      <c r="A189" s="36"/>
      <c r="B189" s="37"/>
      <c r="C189" s="36"/>
      <c r="D189" s="36"/>
      <c r="E189" s="38"/>
      <c r="F189" s="38"/>
      <c r="G189" s="38"/>
      <c r="H189" s="38"/>
      <c r="I189" s="38"/>
      <c r="J189" s="38"/>
      <c r="K189" s="38"/>
      <c r="L189" s="38"/>
      <c r="M189" s="38"/>
      <c r="N189" s="39" t="s">
        <v>365</v>
      </c>
    </row>
    <row r="190" spans="1:14" ht="24" customHeight="1">
      <c r="A190" s="30" t="s">
        <v>309</v>
      </c>
      <c r="B190" s="31" t="s">
        <v>310</v>
      </c>
      <c r="C190" s="32" t="s">
        <v>229</v>
      </c>
      <c r="D190" s="30"/>
      <c r="E190" s="33" t="s">
        <v>311</v>
      </c>
      <c r="F190" s="34"/>
      <c r="G190" s="34"/>
      <c r="H190" s="34"/>
      <c r="I190" s="34"/>
      <c r="J190" s="34"/>
      <c r="K190" s="34"/>
      <c r="L190" s="34"/>
      <c r="M190" s="34"/>
      <c r="N190" s="35" t="s">
        <v>364</v>
      </c>
    </row>
    <row r="191" spans="1:14" ht="24" customHeight="1">
      <c r="A191" s="36"/>
      <c r="B191" s="37"/>
      <c r="C191" s="36"/>
      <c r="D191" s="36"/>
      <c r="E191" s="38"/>
      <c r="F191" s="38"/>
      <c r="G191" s="38"/>
      <c r="H191" s="38"/>
      <c r="I191" s="38"/>
      <c r="J191" s="38"/>
      <c r="K191" s="38"/>
      <c r="L191" s="38"/>
      <c r="M191" s="38"/>
      <c r="N191" s="39" t="s">
        <v>365</v>
      </c>
    </row>
    <row r="192" spans="1:14" ht="24" customHeight="1">
      <c r="A192" s="30" t="s">
        <v>312</v>
      </c>
      <c r="B192" s="31" t="s">
        <v>313</v>
      </c>
      <c r="C192" s="32" t="s">
        <v>229</v>
      </c>
      <c r="D192" s="30"/>
      <c r="E192" s="33" t="s">
        <v>314</v>
      </c>
      <c r="F192" s="34"/>
      <c r="G192" s="34"/>
      <c r="H192" s="34"/>
      <c r="I192" s="34"/>
      <c r="J192" s="34"/>
      <c r="K192" s="34"/>
      <c r="L192" s="34"/>
      <c r="M192" s="34"/>
      <c r="N192" s="35" t="s">
        <v>364</v>
      </c>
    </row>
    <row r="193" spans="1:14" ht="24" customHeight="1">
      <c r="A193" s="36"/>
      <c r="B193" s="37"/>
      <c r="C193" s="36"/>
      <c r="D193" s="36"/>
      <c r="E193" s="38"/>
      <c r="F193" s="38"/>
      <c r="G193" s="38"/>
      <c r="H193" s="38"/>
      <c r="I193" s="38"/>
      <c r="J193" s="38"/>
      <c r="K193" s="38"/>
      <c r="L193" s="38"/>
      <c r="M193" s="38"/>
      <c r="N193" s="39" t="s">
        <v>365</v>
      </c>
    </row>
    <row r="194" spans="1:14" ht="24" customHeight="1">
      <c r="A194" s="30" t="s">
        <v>315</v>
      </c>
      <c r="B194" s="31" t="s">
        <v>316</v>
      </c>
      <c r="C194" s="32" t="s">
        <v>229</v>
      </c>
      <c r="D194" s="30"/>
      <c r="E194" s="33" t="s">
        <v>317</v>
      </c>
      <c r="F194" s="34"/>
      <c r="G194" s="34"/>
      <c r="H194" s="34"/>
      <c r="I194" s="34"/>
      <c r="J194" s="34"/>
      <c r="K194" s="34"/>
      <c r="L194" s="34"/>
      <c r="M194" s="34"/>
      <c r="N194" s="35" t="s">
        <v>364</v>
      </c>
    </row>
    <row r="195" spans="1:14" ht="24" customHeight="1">
      <c r="A195" s="36"/>
      <c r="B195" s="37"/>
      <c r="C195" s="36"/>
      <c r="D195" s="36"/>
      <c r="E195" s="38"/>
      <c r="F195" s="38"/>
      <c r="G195" s="38"/>
      <c r="H195" s="38"/>
      <c r="I195" s="38"/>
      <c r="J195" s="38"/>
      <c r="K195" s="38"/>
      <c r="L195" s="38"/>
      <c r="M195" s="38"/>
      <c r="N195" s="39" t="s">
        <v>365</v>
      </c>
    </row>
    <row r="196" spans="1:14" ht="24" customHeight="1">
      <c r="A196" s="30" t="s">
        <v>318</v>
      </c>
      <c r="B196" s="31" t="s">
        <v>319</v>
      </c>
      <c r="C196" s="32" t="s">
        <v>229</v>
      </c>
      <c r="D196" s="30"/>
      <c r="E196" s="33" t="s">
        <v>320</v>
      </c>
      <c r="F196" s="34"/>
      <c r="G196" s="34"/>
      <c r="H196" s="34"/>
      <c r="I196" s="34"/>
      <c r="J196" s="34"/>
      <c r="K196" s="34"/>
      <c r="L196" s="34"/>
      <c r="M196" s="34"/>
      <c r="N196" s="35" t="s">
        <v>364</v>
      </c>
    </row>
    <row r="197" spans="1:14" ht="24" customHeight="1">
      <c r="A197" s="36"/>
      <c r="B197" s="37"/>
      <c r="C197" s="36"/>
      <c r="D197" s="36"/>
      <c r="E197" s="38"/>
      <c r="F197" s="38"/>
      <c r="G197" s="38"/>
      <c r="H197" s="38"/>
      <c r="I197" s="38"/>
      <c r="J197" s="38"/>
      <c r="K197" s="38"/>
      <c r="L197" s="38"/>
      <c r="M197" s="38"/>
      <c r="N197" s="39" t="s">
        <v>365</v>
      </c>
    </row>
    <row r="198" spans="1:14" ht="24" customHeight="1">
      <c r="A198" s="30" t="s">
        <v>321</v>
      </c>
      <c r="B198" s="31" t="s">
        <v>322</v>
      </c>
      <c r="C198" s="32" t="s">
        <v>229</v>
      </c>
      <c r="D198" s="30"/>
      <c r="E198" s="33" t="s">
        <v>323</v>
      </c>
      <c r="F198" s="34"/>
      <c r="G198" s="34"/>
      <c r="H198" s="34"/>
      <c r="I198" s="34"/>
      <c r="J198" s="34"/>
      <c r="K198" s="34"/>
      <c r="L198" s="34"/>
      <c r="M198" s="34"/>
      <c r="N198" s="35" t="s">
        <v>364</v>
      </c>
    </row>
    <row r="199" spans="1:14" ht="24" customHeight="1">
      <c r="A199" s="36"/>
      <c r="B199" s="37"/>
      <c r="C199" s="36"/>
      <c r="D199" s="36"/>
      <c r="E199" s="38"/>
      <c r="F199" s="38"/>
      <c r="G199" s="38"/>
      <c r="H199" s="38"/>
      <c r="I199" s="38"/>
      <c r="J199" s="38"/>
      <c r="K199" s="38"/>
      <c r="L199" s="38"/>
      <c r="M199" s="38"/>
      <c r="N199" s="39" t="s">
        <v>365</v>
      </c>
    </row>
    <row r="200" spans="1:14" ht="24" customHeight="1">
      <c r="A200" s="30" t="s">
        <v>324</v>
      </c>
      <c r="B200" s="31" t="s">
        <v>325</v>
      </c>
      <c r="C200" s="32" t="s">
        <v>229</v>
      </c>
      <c r="D200" s="30"/>
      <c r="E200" s="33" t="s">
        <v>326</v>
      </c>
      <c r="F200" s="34"/>
      <c r="G200" s="34"/>
      <c r="H200" s="34"/>
      <c r="I200" s="34"/>
      <c r="J200" s="34"/>
      <c r="K200" s="34"/>
      <c r="L200" s="34"/>
      <c r="M200" s="34"/>
      <c r="N200" s="35" t="s">
        <v>364</v>
      </c>
    </row>
    <row r="201" spans="1:14" ht="24" customHeight="1">
      <c r="A201" s="36"/>
      <c r="B201" s="37"/>
      <c r="C201" s="36"/>
      <c r="D201" s="36"/>
      <c r="E201" s="38"/>
      <c r="F201" s="38"/>
      <c r="G201" s="38"/>
      <c r="H201" s="38"/>
      <c r="I201" s="38"/>
      <c r="J201" s="38"/>
      <c r="K201" s="38"/>
      <c r="L201" s="38"/>
      <c r="M201" s="38"/>
      <c r="N201" s="39" t="s">
        <v>365</v>
      </c>
    </row>
    <row r="202" spans="1:14" ht="24" customHeight="1">
      <c r="A202" s="30" t="s">
        <v>327</v>
      </c>
      <c r="B202" s="31" t="s">
        <v>328</v>
      </c>
      <c r="C202" s="32" t="s">
        <v>229</v>
      </c>
      <c r="D202" s="30"/>
      <c r="E202" s="33" t="s">
        <v>329</v>
      </c>
      <c r="F202" s="34"/>
      <c r="G202" s="34"/>
      <c r="H202" s="34"/>
      <c r="I202" s="34"/>
      <c r="J202" s="34"/>
      <c r="K202" s="34"/>
      <c r="L202" s="34"/>
      <c r="M202" s="34"/>
      <c r="N202" s="35" t="s">
        <v>364</v>
      </c>
    </row>
    <row r="203" spans="1:14" ht="24" customHeight="1">
      <c r="A203" s="36"/>
      <c r="B203" s="37"/>
      <c r="C203" s="36"/>
      <c r="D203" s="36"/>
      <c r="E203" s="38"/>
      <c r="F203" s="38"/>
      <c r="G203" s="38"/>
      <c r="H203" s="38"/>
      <c r="I203" s="38"/>
      <c r="J203" s="38"/>
      <c r="K203" s="38"/>
      <c r="L203" s="38"/>
      <c r="M203" s="38"/>
      <c r="N203" s="39" t="s">
        <v>365</v>
      </c>
    </row>
    <row r="204" spans="1:14" ht="24" customHeight="1">
      <c r="A204" s="30" t="s">
        <v>330</v>
      </c>
      <c r="B204" s="31" t="s">
        <v>331</v>
      </c>
      <c r="C204" s="32" t="s">
        <v>229</v>
      </c>
      <c r="D204" s="30"/>
      <c r="E204" s="33" t="s">
        <v>332</v>
      </c>
      <c r="F204" s="34"/>
      <c r="G204" s="34"/>
      <c r="H204" s="34"/>
      <c r="I204" s="34"/>
      <c r="J204" s="34"/>
      <c r="K204" s="34"/>
      <c r="L204" s="34"/>
      <c r="M204" s="34"/>
      <c r="N204" s="35" t="s">
        <v>364</v>
      </c>
    </row>
    <row r="205" spans="1:14" ht="24" customHeight="1">
      <c r="A205" s="36"/>
      <c r="B205" s="37"/>
      <c r="C205" s="36"/>
      <c r="D205" s="36"/>
      <c r="E205" s="38"/>
      <c r="F205" s="38"/>
      <c r="G205" s="38"/>
      <c r="H205" s="38"/>
      <c r="I205" s="38"/>
      <c r="J205" s="38"/>
      <c r="K205" s="38"/>
      <c r="L205" s="38"/>
      <c r="M205" s="38"/>
      <c r="N205" s="39" t="s">
        <v>365</v>
      </c>
    </row>
    <row r="206" spans="1:14" ht="24" customHeight="1">
      <c r="A206" s="30" t="s">
        <v>333</v>
      </c>
      <c r="B206" s="31" t="s">
        <v>334</v>
      </c>
      <c r="C206" s="32" t="s">
        <v>229</v>
      </c>
      <c r="D206" s="30"/>
      <c r="E206" s="33" t="s">
        <v>335</v>
      </c>
      <c r="F206" s="34"/>
      <c r="G206" s="34"/>
      <c r="H206" s="34"/>
      <c r="I206" s="34"/>
      <c r="J206" s="34"/>
      <c r="K206" s="34"/>
      <c r="L206" s="34"/>
      <c r="M206" s="34"/>
      <c r="N206" s="35" t="s">
        <v>364</v>
      </c>
    </row>
    <row r="207" spans="1:14" ht="24" customHeight="1">
      <c r="A207" s="36"/>
      <c r="B207" s="37"/>
      <c r="C207" s="36"/>
      <c r="D207" s="36"/>
      <c r="E207" s="38"/>
      <c r="F207" s="38"/>
      <c r="G207" s="38"/>
      <c r="H207" s="38"/>
      <c r="I207" s="38"/>
      <c r="J207" s="38"/>
      <c r="K207" s="38"/>
      <c r="L207" s="38"/>
      <c r="M207" s="38"/>
      <c r="N207" s="39" t="s">
        <v>365</v>
      </c>
    </row>
    <row r="208" spans="1:14" ht="24" customHeight="1">
      <c r="A208" s="30" t="s">
        <v>336</v>
      </c>
      <c r="B208" s="31" t="s">
        <v>337</v>
      </c>
      <c r="C208" s="32" t="s">
        <v>229</v>
      </c>
      <c r="D208" s="30"/>
      <c r="E208" s="33" t="s">
        <v>338</v>
      </c>
      <c r="F208" s="34"/>
      <c r="G208" s="34"/>
      <c r="H208" s="34"/>
      <c r="I208" s="34"/>
      <c r="J208" s="34"/>
      <c r="K208" s="34"/>
      <c r="L208" s="34"/>
      <c r="M208" s="34"/>
      <c r="N208" s="35" t="s">
        <v>364</v>
      </c>
    </row>
    <row r="209" spans="1:14" ht="24" customHeight="1">
      <c r="A209" s="36"/>
      <c r="B209" s="37"/>
      <c r="C209" s="36"/>
      <c r="D209" s="36"/>
      <c r="E209" s="38"/>
      <c r="F209" s="38"/>
      <c r="G209" s="38"/>
      <c r="H209" s="38"/>
      <c r="I209" s="38"/>
      <c r="J209" s="38"/>
      <c r="K209" s="38"/>
      <c r="L209" s="38"/>
      <c r="M209" s="38"/>
      <c r="N209" s="39" t="s">
        <v>365</v>
      </c>
    </row>
    <row r="210" spans="1:14" ht="24" customHeight="1">
      <c r="A210" s="30" t="s">
        <v>339</v>
      </c>
      <c r="B210" s="31" t="s">
        <v>340</v>
      </c>
      <c r="C210" s="32" t="s">
        <v>229</v>
      </c>
      <c r="D210" s="30"/>
      <c r="E210" s="33" t="s">
        <v>341</v>
      </c>
      <c r="F210" s="34"/>
      <c r="G210" s="34"/>
      <c r="H210" s="34"/>
      <c r="I210" s="34"/>
      <c r="J210" s="34"/>
      <c r="K210" s="34"/>
      <c r="L210" s="34"/>
      <c r="M210" s="34"/>
      <c r="N210" s="35" t="s">
        <v>364</v>
      </c>
    </row>
    <row r="211" spans="1:14" ht="24" customHeight="1">
      <c r="A211" s="36"/>
      <c r="B211" s="37"/>
      <c r="C211" s="36"/>
      <c r="D211" s="36"/>
      <c r="E211" s="38"/>
      <c r="F211" s="38"/>
      <c r="G211" s="38"/>
      <c r="H211" s="38"/>
      <c r="I211" s="38"/>
      <c r="J211" s="38"/>
      <c r="K211" s="38"/>
      <c r="L211" s="38"/>
      <c r="M211" s="38"/>
      <c r="N211" s="39" t="s">
        <v>365</v>
      </c>
    </row>
    <row r="212" spans="1:14" ht="24" customHeight="1">
      <c r="A212" s="30" t="s">
        <v>342</v>
      </c>
      <c r="B212" s="31" t="s">
        <v>343</v>
      </c>
      <c r="C212" s="32" t="s">
        <v>229</v>
      </c>
      <c r="D212" s="30"/>
      <c r="E212" s="33" t="s">
        <v>344</v>
      </c>
      <c r="F212" s="34"/>
      <c r="G212" s="34"/>
      <c r="H212" s="34"/>
      <c r="I212" s="34"/>
      <c r="J212" s="34"/>
      <c r="K212" s="34"/>
      <c r="L212" s="34"/>
      <c r="M212" s="34"/>
      <c r="N212" s="35" t="s">
        <v>364</v>
      </c>
    </row>
    <row r="213" spans="1:14" ht="24" customHeight="1">
      <c r="A213" s="36"/>
      <c r="B213" s="37"/>
      <c r="C213" s="36"/>
      <c r="D213" s="36"/>
      <c r="E213" s="38"/>
      <c r="F213" s="38"/>
      <c r="G213" s="38"/>
      <c r="H213" s="38"/>
      <c r="I213" s="38"/>
      <c r="J213" s="38"/>
      <c r="K213" s="38"/>
      <c r="L213" s="38"/>
      <c r="M213" s="38"/>
      <c r="N213" s="39" t="s">
        <v>365</v>
      </c>
    </row>
    <row r="214" spans="1:14" ht="24" customHeight="1">
      <c r="A214" s="30" t="s">
        <v>345</v>
      </c>
      <c r="B214" s="31" t="s">
        <v>346</v>
      </c>
      <c r="C214" s="32" t="s">
        <v>229</v>
      </c>
      <c r="D214" s="30"/>
      <c r="E214" s="33" t="s">
        <v>347</v>
      </c>
      <c r="F214" s="34"/>
      <c r="G214" s="34"/>
      <c r="H214" s="34"/>
      <c r="I214" s="34"/>
      <c r="J214" s="34"/>
      <c r="K214" s="34"/>
      <c r="L214" s="34"/>
      <c r="M214" s="34"/>
      <c r="N214" s="35" t="s">
        <v>364</v>
      </c>
    </row>
    <row r="215" spans="1:14" ht="24" customHeight="1">
      <c r="A215" s="36"/>
      <c r="B215" s="37"/>
      <c r="C215" s="36"/>
      <c r="D215" s="36"/>
      <c r="E215" s="38"/>
      <c r="F215" s="38"/>
      <c r="G215" s="38"/>
      <c r="H215" s="38"/>
      <c r="I215" s="38"/>
      <c r="J215" s="38"/>
      <c r="K215" s="38"/>
      <c r="L215" s="38"/>
      <c r="M215" s="38"/>
      <c r="N215" s="39" t="s">
        <v>365</v>
      </c>
    </row>
    <row r="216" spans="1:14" ht="24" customHeight="1">
      <c r="A216" s="30" t="s">
        <v>348</v>
      </c>
      <c r="B216" s="31" t="s">
        <v>349</v>
      </c>
      <c r="C216" s="32" t="s">
        <v>229</v>
      </c>
      <c r="D216" s="30"/>
      <c r="E216" s="33" t="s">
        <v>350</v>
      </c>
      <c r="F216" s="34"/>
      <c r="G216" s="34"/>
      <c r="H216" s="34"/>
      <c r="I216" s="34"/>
      <c r="J216" s="34"/>
      <c r="K216" s="34"/>
      <c r="L216" s="34"/>
      <c r="M216" s="34"/>
      <c r="N216" s="35" t="s">
        <v>364</v>
      </c>
    </row>
    <row r="217" spans="1:14" ht="24" customHeight="1">
      <c r="A217" s="36"/>
      <c r="B217" s="37"/>
      <c r="C217" s="36"/>
      <c r="D217" s="36"/>
      <c r="E217" s="38"/>
      <c r="F217" s="38"/>
      <c r="G217" s="38"/>
      <c r="H217" s="38"/>
      <c r="I217" s="38"/>
      <c r="J217" s="38"/>
      <c r="K217" s="38"/>
      <c r="L217" s="38"/>
      <c r="M217" s="38"/>
      <c r="N217" s="39" t="s">
        <v>365</v>
      </c>
    </row>
    <row r="218" spans="1:14" ht="24" customHeight="1">
      <c r="A218" s="30" t="s">
        <v>351</v>
      </c>
      <c r="B218" s="31" t="s">
        <v>352</v>
      </c>
      <c r="C218" s="32" t="s">
        <v>229</v>
      </c>
      <c r="D218" s="30"/>
      <c r="E218" s="33" t="s">
        <v>353</v>
      </c>
      <c r="F218" s="34"/>
      <c r="G218" s="34"/>
      <c r="H218" s="34"/>
      <c r="I218" s="34"/>
      <c r="J218" s="34"/>
      <c r="K218" s="34"/>
      <c r="L218" s="34"/>
      <c r="M218" s="34"/>
      <c r="N218" s="35" t="s">
        <v>364</v>
      </c>
    </row>
    <row r="219" spans="1:14" ht="24" customHeight="1">
      <c r="A219" s="36"/>
      <c r="B219" s="37"/>
      <c r="C219" s="36"/>
      <c r="D219" s="36"/>
      <c r="E219" s="38"/>
      <c r="F219" s="38"/>
      <c r="G219" s="38"/>
      <c r="H219" s="38"/>
      <c r="I219" s="38"/>
      <c r="J219" s="38"/>
      <c r="K219" s="38"/>
      <c r="L219" s="38"/>
      <c r="M219" s="38"/>
      <c r="N219" s="39" t="s">
        <v>365</v>
      </c>
    </row>
    <row r="220" spans="1:14" ht="24" customHeight="1">
      <c r="A220" s="30" t="s">
        <v>354</v>
      </c>
      <c r="B220" s="31" t="s">
        <v>355</v>
      </c>
      <c r="C220" s="32" t="s">
        <v>229</v>
      </c>
      <c r="D220" s="30"/>
      <c r="E220" s="33" t="s">
        <v>356</v>
      </c>
      <c r="F220" s="34"/>
      <c r="G220" s="34"/>
      <c r="H220" s="34"/>
      <c r="I220" s="34"/>
      <c r="J220" s="34"/>
      <c r="K220" s="34"/>
      <c r="L220" s="34"/>
      <c r="M220" s="34"/>
      <c r="N220" s="35" t="s">
        <v>364</v>
      </c>
    </row>
    <row r="221" spans="1:14" ht="24" customHeight="1">
      <c r="A221" s="36"/>
      <c r="B221" s="37"/>
      <c r="C221" s="36"/>
      <c r="D221" s="36"/>
      <c r="E221" s="38"/>
      <c r="F221" s="38"/>
      <c r="G221" s="38"/>
      <c r="H221" s="38"/>
      <c r="I221" s="38"/>
      <c r="J221" s="38"/>
      <c r="K221" s="38"/>
      <c r="L221" s="38"/>
      <c r="M221" s="38"/>
      <c r="N221" s="39" t="s">
        <v>365</v>
      </c>
    </row>
    <row r="222" spans="1:14" ht="24" customHeight="1">
      <c r="A222" s="30" t="s">
        <v>357</v>
      </c>
      <c r="B222" s="31" t="s">
        <v>358</v>
      </c>
      <c r="C222" s="32" t="s">
        <v>229</v>
      </c>
      <c r="D222" s="30"/>
      <c r="E222" s="33" t="s">
        <v>359</v>
      </c>
      <c r="F222" s="34"/>
      <c r="G222" s="34"/>
      <c r="H222" s="34"/>
      <c r="I222" s="34"/>
      <c r="J222" s="34"/>
      <c r="K222" s="34"/>
      <c r="L222" s="34"/>
      <c r="M222" s="34"/>
      <c r="N222" s="35" t="s">
        <v>364</v>
      </c>
    </row>
    <row r="223" spans="1:14" ht="24" customHeight="1">
      <c r="A223" s="36"/>
      <c r="B223" s="37"/>
      <c r="C223" s="36"/>
      <c r="D223" s="36"/>
      <c r="E223" s="38"/>
      <c r="F223" s="38"/>
      <c r="G223" s="38"/>
      <c r="H223" s="38"/>
      <c r="I223" s="38"/>
      <c r="J223" s="38"/>
      <c r="K223" s="38"/>
      <c r="L223" s="38"/>
      <c r="M223" s="38"/>
      <c r="N223" s="39" t="s">
        <v>365</v>
      </c>
    </row>
    <row r="224" spans="1:14" ht="24" customHeight="1">
      <c r="A224" s="30" t="s">
        <v>360</v>
      </c>
      <c r="B224" s="31" t="s">
        <v>361</v>
      </c>
      <c r="C224" s="32" t="s">
        <v>229</v>
      </c>
      <c r="D224" s="30"/>
      <c r="E224" s="33" t="s">
        <v>362</v>
      </c>
      <c r="F224" s="34"/>
      <c r="G224" s="34"/>
      <c r="H224" s="34"/>
      <c r="I224" s="34"/>
      <c r="J224" s="34"/>
      <c r="K224" s="34"/>
      <c r="L224" s="34"/>
      <c r="M224" s="34"/>
      <c r="N224" s="35" t="s">
        <v>364</v>
      </c>
    </row>
    <row r="225" spans="1:14" ht="24" customHeight="1">
      <c r="A225" s="36"/>
      <c r="B225" s="37"/>
      <c r="C225" s="36"/>
      <c r="D225" s="36"/>
      <c r="E225" s="38"/>
      <c r="F225" s="38"/>
      <c r="G225" s="38"/>
      <c r="H225" s="38"/>
      <c r="I225" s="38"/>
      <c r="J225" s="38"/>
      <c r="K225" s="38"/>
      <c r="L225" s="38"/>
      <c r="M225" s="38"/>
      <c r="N225" s="39" t="s">
        <v>365</v>
      </c>
    </row>
    <row r="226" spans="1:14" ht="24" customHeight="1">
      <c r="A226" s="30"/>
      <c r="B226" s="31"/>
      <c r="C226" s="32"/>
      <c r="D226" s="30"/>
      <c r="E226" s="33"/>
      <c r="F226" s="34"/>
      <c r="G226" s="34"/>
      <c r="H226" s="34"/>
      <c r="I226" s="34"/>
      <c r="J226" s="34"/>
      <c r="K226" s="34"/>
      <c r="L226" s="34"/>
      <c r="M226" s="34"/>
      <c r="N226" s="35"/>
    </row>
    <row r="227" spans="1:14" ht="24" customHeight="1">
      <c r="A227" s="36"/>
      <c r="B227" s="37"/>
      <c r="C227" s="36"/>
      <c r="D227" s="36"/>
      <c r="E227" s="38"/>
      <c r="F227" s="38"/>
      <c r="G227" s="38"/>
      <c r="H227" s="38"/>
      <c r="I227" s="38"/>
      <c r="J227" s="38"/>
      <c r="K227" s="38"/>
      <c r="L227" s="38"/>
      <c r="M227" s="38"/>
      <c r="N227" s="39"/>
    </row>
    <row r="228" spans="1:14" ht="24" customHeight="1">
      <c r="A228" s="30"/>
      <c r="B228" s="31"/>
      <c r="C228" s="32"/>
      <c r="D228" s="30"/>
      <c r="E228" s="33"/>
      <c r="F228" s="34"/>
      <c r="G228" s="34"/>
      <c r="H228" s="34"/>
      <c r="I228" s="34"/>
      <c r="J228" s="34"/>
      <c r="K228" s="34"/>
      <c r="L228" s="34"/>
      <c r="M228" s="34"/>
      <c r="N228" s="35"/>
    </row>
    <row r="229" spans="1:14" ht="24" customHeight="1">
      <c r="A229" s="36"/>
      <c r="B229" s="37"/>
      <c r="C229" s="36"/>
      <c r="D229" s="36"/>
      <c r="E229" s="38"/>
      <c r="F229" s="38"/>
      <c r="G229" s="38"/>
      <c r="H229" s="38"/>
      <c r="I229" s="38"/>
      <c r="J229" s="38"/>
      <c r="K229" s="38"/>
      <c r="L229" s="38"/>
      <c r="M229" s="38"/>
      <c r="N229" s="39"/>
    </row>
    <row r="230" spans="1:14" ht="24" customHeight="1">
      <c r="A230" s="30"/>
      <c r="B230" s="31"/>
      <c r="C230" s="32"/>
      <c r="D230" s="30"/>
      <c r="E230" s="33"/>
      <c r="F230" s="34"/>
      <c r="G230" s="34"/>
      <c r="H230" s="34"/>
      <c r="I230" s="34"/>
      <c r="J230" s="34"/>
      <c r="K230" s="34"/>
      <c r="L230" s="34"/>
      <c r="M230" s="34"/>
      <c r="N230" s="35"/>
    </row>
    <row r="231" spans="1:14" ht="24" customHeight="1">
      <c r="A231" s="36"/>
      <c r="B231" s="37"/>
      <c r="C231" s="36"/>
      <c r="D231" s="36"/>
      <c r="E231" s="38"/>
      <c r="F231" s="38"/>
      <c r="G231" s="38"/>
      <c r="H231" s="38"/>
      <c r="I231" s="38"/>
      <c r="J231" s="38"/>
      <c r="K231" s="38"/>
      <c r="L231" s="38"/>
      <c r="M231" s="38"/>
      <c r="N231" s="39"/>
    </row>
    <row r="232" spans="1:14" ht="24" customHeight="1">
      <c r="A232" s="30"/>
      <c r="B232" s="31"/>
      <c r="C232" s="32"/>
      <c r="D232" s="30"/>
      <c r="E232" s="33"/>
      <c r="F232" s="34"/>
      <c r="G232" s="34"/>
      <c r="H232" s="34"/>
      <c r="I232" s="34"/>
      <c r="J232" s="34"/>
      <c r="K232" s="34"/>
      <c r="L232" s="34"/>
      <c r="M232" s="34"/>
      <c r="N232" s="35"/>
    </row>
    <row r="233" spans="1:14" ht="24" customHeight="1">
      <c r="A233" s="36"/>
      <c r="B233" s="37"/>
      <c r="C233" s="36"/>
      <c r="D233" s="36"/>
      <c r="E233" s="38"/>
      <c r="F233" s="38"/>
      <c r="G233" s="38"/>
      <c r="H233" s="38"/>
      <c r="I233" s="38"/>
      <c r="J233" s="38"/>
      <c r="K233" s="38"/>
      <c r="L233" s="38"/>
      <c r="M233" s="38"/>
      <c r="N233" s="39"/>
    </row>
    <row r="234" spans="1:14" ht="24" customHeight="1">
      <c r="A234" s="30"/>
      <c r="B234" s="31"/>
      <c r="C234" s="32"/>
      <c r="D234" s="30"/>
      <c r="E234" s="33"/>
      <c r="F234" s="34"/>
      <c r="G234" s="34"/>
      <c r="H234" s="34"/>
      <c r="I234" s="34"/>
      <c r="J234" s="34"/>
      <c r="K234" s="34"/>
      <c r="L234" s="34"/>
      <c r="M234" s="34"/>
      <c r="N234" s="35"/>
    </row>
    <row r="235" spans="1:14" ht="24" customHeight="1">
      <c r="A235" s="36"/>
      <c r="B235" s="37"/>
      <c r="C235" s="36"/>
      <c r="D235" s="36"/>
      <c r="E235" s="38"/>
      <c r="F235" s="38"/>
      <c r="G235" s="38"/>
      <c r="H235" s="38"/>
      <c r="I235" s="38"/>
      <c r="J235" s="38"/>
      <c r="K235" s="38"/>
      <c r="L235" s="38"/>
      <c r="M235" s="38"/>
      <c r="N235" s="39"/>
    </row>
    <row r="236" spans="1:14" ht="24" customHeight="1">
      <c r="A236" s="30"/>
      <c r="B236" s="31"/>
      <c r="C236" s="32"/>
      <c r="D236" s="30"/>
      <c r="E236" s="33"/>
      <c r="F236" s="34"/>
      <c r="G236" s="34"/>
      <c r="H236" s="34"/>
      <c r="I236" s="34"/>
      <c r="J236" s="34"/>
      <c r="K236" s="34"/>
      <c r="L236" s="34"/>
      <c r="M236" s="34"/>
      <c r="N236" s="35"/>
    </row>
    <row r="237" spans="1:14" ht="24" customHeight="1">
      <c r="A237" s="36"/>
      <c r="B237" s="37"/>
      <c r="C237" s="36"/>
      <c r="D237" s="36"/>
      <c r="E237" s="38"/>
      <c r="F237" s="38"/>
      <c r="G237" s="38"/>
      <c r="H237" s="38"/>
      <c r="I237" s="38"/>
      <c r="J237" s="38"/>
      <c r="K237" s="38"/>
      <c r="L237" s="38"/>
      <c r="M237" s="38"/>
      <c r="N237" s="39"/>
    </row>
    <row r="238" spans="1:14" ht="24" customHeight="1">
      <c r="A238" s="30"/>
      <c r="B238" s="31"/>
      <c r="C238" s="32"/>
      <c r="D238" s="30"/>
      <c r="E238" s="33"/>
      <c r="F238" s="34"/>
      <c r="G238" s="34"/>
      <c r="H238" s="34"/>
      <c r="I238" s="34"/>
      <c r="J238" s="34"/>
      <c r="K238" s="34"/>
      <c r="L238" s="34"/>
      <c r="M238" s="34"/>
      <c r="N238" s="35"/>
    </row>
    <row r="239" spans="1:14" ht="24" customHeight="1">
      <c r="A239" s="36"/>
      <c r="B239" s="37"/>
      <c r="C239" s="36"/>
      <c r="D239" s="36"/>
      <c r="E239" s="38"/>
      <c r="F239" s="38"/>
      <c r="G239" s="38"/>
      <c r="H239" s="38"/>
      <c r="I239" s="38"/>
      <c r="J239" s="38"/>
      <c r="K239" s="38"/>
      <c r="L239" s="38"/>
      <c r="M239" s="38"/>
      <c r="N239" s="39"/>
    </row>
    <row r="240" spans="1:14" ht="24" customHeight="1">
      <c r="A240" s="30"/>
      <c r="B240" s="31"/>
      <c r="C240" s="32"/>
      <c r="D240" s="30"/>
      <c r="E240" s="33"/>
      <c r="F240" s="34"/>
      <c r="G240" s="34"/>
      <c r="H240" s="34"/>
      <c r="I240" s="34"/>
      <c r="J240" s="34"/>
      <c r="K240" s="34"/>
      <c r="L240" s="34"/>
      <c r="M240" s="34"/>
      <c r="N240" s="35"/>
    </row>
    <row r="241" spans="1:14" ht="24" customHeight="1">
      <c r="A241" s="36"/>
      <c r="B241" s="37"/>
      <c r="C241" s="36"/>
      <c r="D241" s="36"/>
      <c r="E241" s="38"/>
      <c r="F241" s="38"/>
      <c r="G241" s="38"/>
      <c r="H241" s="38"/>
      <c r="I241" s="38"/>
      <c r="J241" s="38"/>
      <c r="K241" s="38"/>
      <c r="L241" s="38"/>
      <c r="M241" s="38"/>
      <c r="N241" s="39"/>
    </row>
    <row r="242" spans="1:14" ht="24" customHeight="1">
      <c r="A242" s="30"/>
      <c r="B242" s="31"/>
      <c r="C242" s="32"/>
      <c r="D242" s="30"/>
      <c r="E242" s="33"/>
      <c r="F242" s="34"/>
      <c r="G242" s="34"/>
      <c r="H242" s="34"/>
      <c r="I242" s="34"/>
      <c r="J242" s="34"/>
      <c r="K242" s="34"/>
      <c r="L242" s="34"/>
      <c r="M242" s="34"/>
      <c r="N242" s="35"/>
    </row>
    <row r="243" spans="1:14" ht="24" customHeight="1">
      <c r="A243" s="36"/>
      <c r="B243" s="37"/>
      <c r="C243" s="36"/>
      <c r="D243" s="36"/>
      <c r="E243" s="38"/>
      <c r="F243" s="38"/>
      <c r="G243" s="38"/>
      <c r="H243" s="38"/>
      <c r="I243" s="38"/>
      <c r="J243" s="38"/>
      <c r="K243" s="38"/>
      <c r="L243" s="38"/>
      <c r="M243" s="38"/>
      <c r="N243" s="39"/>
    </row>
    <row r="244" spans="1:14" ht="24" customHeight="1">
      <c r="A244" s="30"/>
      <c r="B244" s="31"/>
      <c r="C244" s="32"/>
      <c r="D244" s="30"/>
      <c r="E244" s="33"/>
      <c r="F244" s="34"/>
      <c r="G244" s="34"/>
      <c r="H244" s="34"/>
      <c r="I244" s="34"/>
      <c r="J244" s="34"/>
      <c r="K244" s="34"/>
      <c r="L244" s="34"/>
      <c r="M244" s="34"/>
      <c r="N244" s="35"/>
    </row>
    <row r="245" spans="1:14" ht="24" customHeight="1">
      <c r="A245" s="36"/>
      <c r="B245" s="37"/>
      <c r="C245" s="36"/>
      <c r="D245" s="36"/>
      <c r="E245" s="38"/>
      <c r="F245" s="38"/>
      <c r="G245" s="38"/>
      <c r="H245" s="38"/>
      <c r="I245" s="38"/>
      <c r="J245" s="38"/>
      <c r="K245" s="38"/>
      <c r="L245" s="38"/>
      <c r="M245" s="38"/>
      <c r="N245" s="39"/>
    </row>
    <row r="246" spans="1:14" ht="24" customHeight="1">
      <c r="A246" s="30"/>
      <c r="B246" s="31"/>
      <c r="C246" s="32"/>
      <c r="D246" s="30"/>
      <c r="E246" s="33"/>
      <c r="F246" s="34"/>
      <c r="G246" s="34"/>
      <c r="H246" s="34"/>
      <c r="I246" s="34"/>
      <c r="J246" s="34"/>
      <c r="K246" s="34"/>
      <c r="L246" s="34"/>
      <c r="M246" s="34"/>
      <c r="N246" s="35"/>
    </row>
    <row r="247" spans="1:14" ht="24" customHeight="1">
      <c r="A247" s="36"/>
      <c r="B247" s="37"/>
      <c r="C247" s="36"/>
      <c r="D247" s="36"/>
      <c r="E247" s="38"/>
      <c r="F247" s="38"/>
      <c r="G247" s="38"/>
      <c r="H247" s="38"/>
      <c r="I247" s="38"/>
      <c r="J247" s="38"/>
      <c r="K247" s="38"/>
      <c r="L247" s="38"/>
      <c r="M247" s="38"/>
      <c r="N247" s="39"/>
    </row>
    <row r="248" spans="1:14" ht="24" customHeight="1">
      <c r="A248" s="30"/>
      <c r="B248" s="31"/>
      <c r="C248" s="32"/>
      <c r="D248" s="30"/>
      <c r="E248" s="33"/>
      <c r="F248" s="34"/>
      <c r="G248" s="34"/>
      <c r="H248" s="34"/>
      <c r="I248" s="34"/>
      <c r="J248" s="34"/>
      <c r="K248" s="34"/>
      <c r="L248" s="34"/>
      <c r="M248" s="34"/>
      <c r="N248" s="35"/>
    </row>
    <row r="249" spans="1:14" ht="24" customHeight="1">
      <c r="A249" s="36"/>
      <c r="B249" s="37"/>
      <c r="C249" s="36"/>
      <c r="D249" s="36"/>
      <c r="E249" s="38"/>
      <c r="F249" s="38"/>
      <c r="G249" s="38"/>
      <c r="H249" s="38"/>
      <c r="I249" s="38"/>
      <c r="J249" s="38"/>
      <c r="K249" s="38"/>
      <c r="L249" s="38"/>
      <c r="M249" s="38"/>
      <c r="N249" s="39"/>
    </row>
    <row r="250" spans="1:14" ht="24" customHeight="1">
      <c r="A250" s="30"/>
      <c r="B250" s="31"/>
      <c r="C250" s="32"/>
      <c r="D250" s="30"/>
      <c r="E250" s="33"/>
      <c r="F250" s="34"/>
      <c r="G250" s="34"/>
      <c r="H250" s="34"/>
      <c r="I250" s="34"/>
      <c r="J250" s="34"/>
      <c r="K250" s="34"/>
      <c r="L250" s="34"/>
      <c r="M250" s="34"/>
      <c r="N250" s="35"/>
    </row>
    <row r="251" spans="1:14" ht="24" customHeight="1">
      <c r="A251" s="36"/>
      <c r="B251" s="37"/>
      <c r="C251" s="36"/>
      <c r="D251" s="36"/>
      <c r="E251" s="38"/>
      <c r="F251" s="38"/>
      <c r="G251" s="38"/>
      <c r="H251" s="38"/>
      <c r="I251" s="38"/>
      <c r="J251" s="38"/>
      <c r="K251" s="38"/>
      <c r="L251" s="38"/>
      <c r="M251" s="38"/>
      <c r="N251" s="39"/>
    </row>
    <row r="252" spans="1:14" ht="24" customHeight="1">
      <c r="A252" s="30"/>
      <c r="B252" s="31"/>
      <c r="C252" s="32"/>
      <c r="D252" s="30"/>
      <c r="E252" s="33"/>
      <c r="F252" s="34"/>
      <c r="G252" s="34"/>
      <c r="H252" s="34"/>
      <c r="I252" s="34"/>
      <c r="J252" s="34"/>
      <c r="K252" s="34"/>
      <c r="L252" s="34"/>
      <c r="M252" s="34"/>
      <c r="N252" s="35"/>
    </row>
    <row r="253" spans="1:14" ht="24" customHeight="1">
      <c r="A253" s="36"/>
      <c r="B253" s="37"/>
      <c r="C253" s="36"/>
      <c r="D253" s="36"/>
      <c r="E253" s="38"/>
      <c r="F253" s="38"/>
      <c r="G253" s="38"/>
      <c r="H253" s="38"/>
      <c r="I253" s="38"/>
      <c r="J253" s="38"/>
      <c r="K253" s="38"/>
      <c r="L253" s="38"/>
      <c r="M253" s="38"/>
      <c r="N253" s="39"/>
    </row>
    <row r="254" spans="1:14" ht="24" customHeight="1">
      <c r="A254" s="30"/>
      <c r="B254" s="31"/>
      <c r="C254" s="32"/>
      <c r="D254" s="30"/>
      <c r="E254" s="33"/>
      <c r="F254" s="34"/>
      <c r="G254" s="34"/>
      <c r="H254" s="34"/>
      <c r="I254" s="34"/>
      <c r="J254" s="34"/>
      <c r="K254" s="34"/>
      <c r="L254" s="34"/>
      <c r="M254" s="34"/>
      <c r="N254" s="35"/>
    </row>
    <row r="255" spans="1:14" ht="24" customHeight="1">
      <c r="A255" s="36"/>
      <c r="B255" s="37"/>
      <c r="C255" s="36"/>
      <c r="D255" s="36"/>
      <c r="E255" s="38"/>
      <c r="F255" s="38"/>
      <c r="G255" s="38"/>
      <c r="H255" s="38"/>
      <c r="I255" s="38"/>
      <c r="J255" s="38"/>
      <c r="K255" s="38"/>
      <c r="L255" s="38"/>
      <c r="M255" s="38"/>
      <c r="N255" s="39"/>
    </row>
    <row r="256" spans="1:14" ht="24" customHeight="1">
      <c r="A256" s="30"/>
      <c r="B256" s="31"/>
      <c r="C256" s="32"/>
      <c r="D256" s="30"/>
      <c r="E256" s="33"/>
      <c r="F256" s="34"/>
      <c r="G256" s="34"/>
      <c r="H256" s="34"/>
      <c r="I256" s="34"/>
      <c r="J256" s="34"/>
      <c r="K256" s="34"/>
      <c r="L256" s="34"/>
      <c r="M256" s="34"/>
      <c r="N256" s="35"/>
    </row>
    <row r="257" spans="1:14" ht="24" customHeight="1">
      <c r="A257" s="36"/>
      <c r="B257" s="37"/>
      <c r="C257" s="36"/>
      <c r="D257" s="36"/>
      <c r="E257" s="38"/>
      <c r="F257" s="38"/>
      <c r="G257" s="38"/>
      <c r="H257" s="38"/>
      <c r="I257" s="38"/>
      <c r="J257" s="38"/>
      <c r="K257" s="38"/>
      <c r="L257" s="38"/>
      <c r="M257" s="38"/>
      <c r="N257" s="39"/>
    </row>
    <row r="258" spans="1:14" ht="24" customHeight="1">
      <c r="A258" s="30"/>
      <c r="B258" s="31"/>
      <c r="C258" s="32"/>
      <c r="D258" s="30"/>
      <c r="E258" s="33"/>
      <c r="F258" s="34"/>
      <c r="G258" s="34"/>
      <c r="H258" s="34"/>
      <c r="I258" s="34"/>
      <c r="J258" s="34"/>
      <c r="K258" s="34"/>
      <c r="L258" s="34"/>
      <c r="M258" s="34"/>
      <c r="N258" s="35"/>
    </row>
    <row r="259" spans="1:14" ht="24" customHeight="1">
      <c r="A259" s="36"/>
      <c r="B259" s="37"/>
      <c r="C259" s="36"/>
      <c r="D259" s="36"/>
      <c r="E259" s="38"/>
      <c r="F259" s="38"/>
      <c r="G259" s="38"/>
      <c r="H259" s="38"/>
      <c r="I259" s="38"/>
      <c r="J259" s="38"/>
      <c r="K259" s="38"/>
      <c r="L259" s="38"/>
      <c r="M259" s="38"/>
      <c r="N259" s="39"/>
    </row>
    <row r="260" spans="1:14" ht="24" customHeight="1">
      <c r="A260" s="30"/>
      <c r="B260" s="31"/>
      <c r="C260" s="32"/>
      <c r="D260" s="30"/>
      <c r="E260" s="33"/>
      <c r="F260" s="34"/>
      <c r="G260" s="34"/>
      <c r="H260" s="34"/>
      <c r="I260" s="34"/>
      <c r="J260" s="34"/>
      <c r="K260" s="34"/>
      <c r="L260" s="34"/>
      <c r="M260" s="34"/>
      <c r="N260" s="35"/>
    </row>
    <row r="261" spans="1:14" ht="24" customHeight="1">
      <c r="A261" s="36"/>
      <c r="B261" s="37"/>
      <c r="C261" s="36"/>
      <c r="D261" s="36"/>
      <c r="E261" s="38"/>
      <c r="F261" s="38"/>
      <c r="G261" s="38"/>
      <c r="H261" s="38"/>
      <c r="I261" s="38"/>
      <c r="J261" s="38"/>
      <c r="K261" s="38"/>
      <c r="L261" s="38"/>
      <c r="M261" s="38"/>
      <c r="N261" s="39"/>
    </row>
    <row r="262" spans="1:14" ht="24" customHeight="1">
      <c r="A262" s="30"/>
      <c r="B262" s="31"/>
      <c r="C262" s="32"/>
      <c r="D262" s="30"/>
      <c r="E262" s="33"/>
      <c r="F262" s="34"/>
      <c r="G262" s="34"/>
      <c r="H262" s="34"/>
      <c r="I262" s="34"/>
      <c r="J262" s="34"/>
      <c r="K262" s="34"/>
      <c r="L262" s="34"/>
      <c r="M262" s="34"/>
      <c r="N262" s="35"/>
    </row>
    <row r="263" spans="1:14" ht="24" customHeight="1">
      <c r="A263" s="36"/>
      <c r="B263" s="37"/>
      <c r="C263" s="36"/>
      <c r="D263" s="36"/>
      <c r="E263" s="38"/>
      <c r="F263" s="38"/>
      <c r="G263" s="38"/>
      <c r="H263" s="38"/>
      <c r="I263" s="38"/>
      <c r="J263" s="38"/>
      <c r="K263" s="38"/>
      <c r="L263" s="38"/>
      <c r="M263" s="38"/>
      <c r="N263" s="39"/>
    </row>
    <row r="264" spans="1:14" ht="24" customHeight="1">
      <c r="A264" s="30"/>
      <c r="B264" s="31"/>
      <c r="C264" s="32"/>
      <c r="D264" s="30"/>
      <c r="E264" s="33"/>
      <c r="F264" s="34"/>
      <c r="G264" s="34"/>
      <c r="H264" s="34"/>
      <c r="I264" s="34"/>
      <c r="J264" s="34"/>
      <c r="K264" s="34"/>
      <c r="L264" s="34"/>
      <c r="M264" s="34"/>
      <c r="N264" s="35"/>
    </row>
    <row r="265" spans="1:14" ht="24" customHeight="1">
      <c r="A265" s="36"/>
      <c r="B265" s="37"/>
      <c r="C265" s="36"/>
      <c r="D265" s="36"/>
      <c r="E265" s="38"/>
      <c r="F265" s="38"/>
      <c r="G265" s="38"/>
      <c r="H265" s="38"/>
      <c r="I265" s="38"/>
      <c r="J265" s="38"/>
      <c r="K265" s="38"/>
      <c r="L265" s="38"/>
      <c r="M265" s="38"/>
      <c r="N265" s="39"/>
    </row>
    <row r="266" spans="1:14" ht="24" customHeight="1">
      <c r="A266" s="30"/>
      <c r="B266" s="31"/>
      <c r="C266" s="32"/>
      <c r="D266" s="30"/>
      <c r="E266" s="33"/>
      <c r="F266" s="34"/>
      <c r="G266" s="34"/>
      <c r="H266" s="34"/>
      <c r="I266" s="34"/>
      <c r="J266" s="34"/>
      <c r="K266" s="34"/>
      <c r="L266" s="34"/>
      <c r="M266" s="34"/>
      <c r="N266" s="35"/>
    </row>
    <row r="267" spans="1:14" ht="24" customHeight="1">
      <c r="A267" s="36"/>
      <c r="B267" s="37"/>
      <c r="C267" s="36"/>
      <c r="D267" s="36"/>
      <c r="E267" s="38"/>
      <c r="F267" s="38"/>
      <c r="G267" s="38"/>
      <c r="H267" s="38"/>
      <c r="I267" s="38"/>
      <c r="J267" s="38"/>
      <c r="K267" s="38"/>
      <c r="L267" s="38"/>
      <c r="M267" s="38"/>
      <c r="N267" s="39"/>
    </row>
    <row r="268" spans="1:14" ht="24" customHeight="1">
      <c r="A268" s="30"/>
      <c r="B268" s="31"/>
      <c r="C268" s="32"/>
      <c r="D268" s="30"/>
      <c r="E268" s="33"/>
      <c r="F268" s="34"/>
      <c r="G268" s="34"/>
      <c r="H268" s="34"/>
      <c r="I268" s="34"/>
      <c r="J268" s="34"/>
      <c r="K268" s="34"/>
      <c r="L268" s="34"/>
      <c r="M268" s="34"/>
      <c r="N268" s="35"/>
    </row>
    <row r="269" spans="1:14" ht="24" customHeight="1">
      <c r="A269" s="36"/>
      <c r="B269" s="37"/>
      <c r="C269" s="36"/>
      <c r="D269" s="36"/>
      <c r="E269" s="38"/>
      <c r="F269" s="38"/>
      <c r="G269" s="38"/>
      <c r="H269" s="38"/>
      <c r="I269" s="38"/>
      <c r="J269" s="38"/>
      <c r="K269" s="38"/>
      <c r="L269" s="38"/>
      <c r="M269" s="38"/>
      <c r="N269" s="39"/>
    </row>
    <row r="270" spans="1:14" ht="24" customHeight="1">
      <c r="A270" s="30"/>
      <c r="B270" s="31"/>
      <c r="C270" s="32"/>
      <c r="D270" s="30"/>
      <c r="E270" s="33"/>
      <c r="F270" s="34"/>
      <c r="G270" s="34"/>
      <c r="H270" s="34"/>
      <c r="I270" s="34"/>
      <c r="J270" s="34"/>
      <c r="K270" s="34"/>
      <c r="L270" s="34"/>
      <c r="M270" s="34"/>
      <c r="N270" s="35"/>
    </row>
    <row r="271" spans="1:14" ht="24" customHeight="1">
      <c r="A271" s="36"/>
      <c r="B271" s="37"/>
      <c r="C271" s="36"/>
      <c r="D271" s="36"/>
      <c r="E271" s="38"/>
      <c r="F271" s="38"/>
      <c r="G271" s="38"/>
      <c r="H271" s="38"/>
      <c r="I271" s="38"/>
      <c r="J271" s="38"/>
      <c r="K271" s="38"/>
      <c r="L271" s="38"/>
      <c r="M271" s="38"/>
      <c r="N271" s="39"/>
    </row>
  </sheetData>
  <pageMargins left="0.15972222222222199" right="0.196527777777778" top="0.55069444444444404" bottom="0.39374999999999999" header="0.196527777777778" footer="0.51180555555555496"/>
  <pageSetup paperSize="9" scale="85" firstPageNumber="0" orientation="portrait" horizontalDpi="300" verticalDpi="300"/>
  <headerFooter>
    <oddHeader>&amp;C&amp;"Arial,Regular"&amp;P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G48"/>
  <sheetViews>
    <sheetView topLeftCell="A22" zoomScale="120" zoomScaleNormal="120" workbookViewId="0">
      <selection activeCell="A42" sqref="A42"/>
    </sheetView>
  </sheetViews>
  <sheetFormatPr defaultColWidth="7.140625" defaultRowHeight="15"/>
  <cols>
    <col min="1" max="1" width="13.7109375" style="3" customWidth="1"/>
    <col min="2" max="2" width="11.5703125" style="1" hidden="1" customWidth="1"/>
    <col min="3" max="3" width="7.140625" style="3"/>
    <col min="4" max="4" width="5.85546875" style="3" customWidth="1"/>
    <col min="5" max="5" width="9.5703125" style="3" customWidth="1"/>
    <col min="6" max="6" width="8.85546875" style="3" customWidth="1"/>
    <col min="7" max="7" width="4.42578125" style="1" customWidth="1"/>
    <col min="8" max="8" width="9.85546875" style="1" customWidth="1"/>
    <col min="9" max="9" width="8.140625" style="1" customWidth="1"/>
    <col min="10" max="10" width="14" style="1" customWidth="1"/>
    <col min="11" max="11" width="10.140625" style="4" customWidth="1"/>
    <col min="12" max="12" width="17" style="5" customWidth="1"/>
    <col min="13" max="13" width="8.5703125" style="5" customWidth="1"/>
    <col min="14" max="14" width="7.140625" style="5"/>
    <col min="15" max="15" width="15.140625" style="5" customWidth="1"/>
    <col min="16" max="16" width="5.7109375" style="5" customWidth="1"/>
    <col min="17" max="17" width="3.28515625" style="5" customWidth="1"/>
    <col min="18" max="18" width="3.42578125" style="5" customWidth="1"/>
    <col min="19" max="19" width="3.28515625" style="5" customWidth="1"/>
    <col min="20" max="20" width="15.5703125" style="5" customWidth="1"/>
    <col min="21" max="1021" width="7.140625" style="5"/>
    <col min="1022" max="1024" width="9.140625" customWidth="1"/>
  </cols>
  <sheetData>
    <row r="1" spans="1:34" s="1" customFormat="1">
      <c r="A1" s="116" t="s">
        <v>366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</row>
    <row r="2" spans="1:34" s="5" customFormat="1" ht="16.5" customHeight="1">
      <c r="K2" s="4"/>
    </row>
    <row r="3" spans="1:34" s="5" customFormat="1" ht="21.75" customHeight="1">
      <c r="A3" s="117" t="s">
        <v>367</v>
      </c>
      <c r="B3" s="117"/>
      <c r="C3" s="117"/>
      <c r="E3" s="116" t="s">
        <v>368</v>
      </c>
      <c r="F3" s="116"/>
      <c r="G3" s="40"/>
      <c r="H3" s="40"/>
      <c r="I3" s="116" t="s">
        <v>369</v>
      </c>
      <c r="J3" s="116"/>
      <c r="K3" s="41"/>
      <c r="L3" s="42" t="s">
        <v>370</v>
      </c>
      <c r="M3" s="42" t="s">
        <v>371</v>
      </c>
    </row>
    <row r="4" spans="1:34" ht="21.75" customHeight="1">
      <c r="A4" s="6" t="s">
        <v>372</v>
      </c>
      <c r="B4" s="6" t="s">
        <v>373</v>
      </c>
      <c r="C4" s="6" t="s">
        <v>371</v>
      </c>
      <c r="E4" s="6" t="s">
        <v>368</v>
      </c>
      <c r="F4" s="6" t="s">
        <v>371</v>
      </c>
      <c r="G4" s="5"/>
      <c r="H4" s="5"/>
      <c r="I4" s="6">
        <v>52</v>
      </c>
      <c r="J4" s="6" t="e">
        <f>COUNTIF(SEMUA!#REF!,I4)</f>
        <v>#REF!</v>
      </c>
      <c r="K4" s="41"/>
      <c r="L4" s="2" t="s">
        <v>374</v>
      </c>
      <c r="M4" s="6">
        <f>COUNTIF(SEMUA!$E$2:$E$116,REKAP!L4)</f>
        <v>0</v>
      </c>
    </row>
    <row r="5" spans="1:34" ht="21.75" customHeight="1">
      <c r="A5" s="6">
        <v>37</v>
      </c>
      <c r="B5" s="6"/>
      <c r="C5" s="6">
        <f>COUNTIF(SEMUA!$G$2:$G$116,REKAP!A5)</f>
        <v>0</v>
      </c>
      <c r="E5" s="1" t="s">
        <v>375</v>
      </c>
      <c r="F5" s="6" t="e">
        <f>COUNTIF(SEMUA!#REF!,E5)</f>
        <v>#REF!</v>
      </c>
      <c r="G5" s="5">
        <v>1</v>
      </c>
      <c r="H5" s="5"/>
      <c r="I5" s="6">
        <v>53</v>
      </c>
      <c r="J5" s="6" t="e">
        <f>COUNTIF(SEMUA!#REF!,I5)</f>
        <v>#REF!</v>
      </c>
      <c r="K5" s="41"/>
      <c r="L5" s="5" t="s">
        <v>376</v>
      </c>
      <c r="M5" s="6">
        <f>COUNTIF(SEMUA!$E$2:$E$116,REKAP!L5)</f>
        <v>0</v>
      </c>
    </row>
    <row r="6" spans="1:34" ht="21.75" customHeight="1">
      <c r="A6" s="6">
        <v>38</v>
      </c>
      <c r="B6" s="6"/>
      <c r="C6" s="6">
        <f>COUNTIF(SEMUA!$G$2:$G$116,REKAP!A6)</f>
        <v>0</v>
      </c>
      <c r="D6" s="1"/>
      <c r="E6" s="6" t="s">
        <v>377</v>
      </c>
      <c r="F6" s="6" t="e">
        <f>COUNTIF(SEMUA!#REF!,E6)</f>
        <v>#REF!</v>
      </c>
      <c r="G6" s="5">
        <v>7</v>
      </c>
      <c r="H6" s="5">
        <v>5</v>
      </c>
      <c r="I6" s="6">
        <v>54</v>
      </c>
      <c r="J6" s="6" t="e">
        <f>COUNTIF(SEMUA!#REF!,I6)</f>
        <v>#REF!</v>
      </c>
      <c r="K6" s="41">
        <v>4</v>
      </c>
      <c r="L6" s="2" t="s">
        <v>378</v>
      </c>
      <c r="M6" s="6">
        <f>COUNTIF(SEMUA!$E$2:$E$116,REKAP!L6)</f>
        <v>0</v>
      </c>
    </row>
    <row r="7" spans="1:34" ht="21.75" customHeight="1">
      <c r="A7" s="6">
        <v>39</v>
      </c>
      <c r="B7" s="6" t="e">
        <f>COUNTIF(SEMUA!#REF!,A7)</f>
        <v>#REF!</v>
      </c>
      <c r="C7" s="6">
        <f>COUNTIF(SEMUA!$G$2:$G$116,REKAP!A7)</f>
        <v>0</v>
      </c>
      <c r="D7" s="1">
        <v>2</v>
      </c>
      <c r="E7" s="6" t="s">
        <v>379</v>
      </c>
      <c r="F7" s="6" t="e">
        <f>COUNTIF(SEMUA!#REF!,E7)</f>
        <v>#REF!</v>
      </c>
      <c r="G7" s="5">
        <v>21</v>
      </c>
      <c r="H7" s="5">
        <v>6</v>
      </c>
      <c r="I7" s="6">
        <v>55</v>
      </c>
      <c r="J7" s="6" t="e">
        <f>COUNTIF(SEMUA!#REF!,I7)</f>
        <v>#REF!</v>
      </c>
      <c r="K7" s="41">
        <v>18</v>
      </c>
      <c r="M7" s="6"/>
    </row>
    <row r="8" spans="1:34" ht="21.75" customHeight="1">
      <c r="A8" s="6">
        <v>40</v>
      </c>
      <c r="B8" s="6" t="e">
        <f>COUNTIF(SEMUA!#REF!,A8)</f>
        <v>#REF!</v>
      </c>
      <c r="C8" s="6">
        <f>COUNTIF(SEMUA!$G$2:$G$116,REKAP!A8)</f>
        <v>0</v>
      </c>
      <c r="D8" s="1">
        <v>11</v>
      </c>
      <c r="E8" s="6" t="s">
        <v>380</v>
      </c>
      <c r="F8" s="6" t="e">
        <f>COUNTIF(SEMUA!#REF!,E8)</f>
        <v>#REF!</v>
      </c>
      <c r="G8" s="5">
        <v>13</v>
      </c>
      <c r="H8" s="5">
        <v>6</v>
      </c>
      <c r="I8" s="6">
        <v>56</v>
      </c>
      <c r="J8" s="6" t="e">
        <f>COUNTIF(SEMUA!#REF!,I8)</f>
        <v>#REF!</v>
      </c>
      <c r="K8" s="41">
        <v>25</v>
      </c>
      <c r="AH8" s="5" t="s">
        <v>381</v>
      </c>
    </row>
    <row r="9" spans="1:34" ht="21.75" customHeight="1">
      <c r="A9" s="6">
        <v>41</v>
      </c>
      <c r="B9" s="6" t="e">
        <f>COUNTIF(SEMUA!#REF!,A9)</f>
        <v>#REF!</v>
      </c>
      <c r="C9" s="6">
        <f>COUNTIF(SEMUA!$G$2:$G$116,REKAP!A9)</f>
        <v>0</v>
      </c>
      <c r="D9" s="1">
        <v>17</v>
      </c>
      <c r="E9" s="6" t="s">
        <v>382</v>
      </c>
      <c r="F9" s="6" t="e">
        <f>COUNTIF(SEMUA!#REF!,E9)</f>
        <v>#REF!</v>
      </c>
      <c r="G9" s="5">
        <v>6</v>
      </c>
      <c r="H9" s="5">
        <v>1</v>
      </c>
      <c r="I9" s="6">
        <v>57</v>
      </c>
      <c r="J9" s="6" t="e">
        <f>COUNTIF(SEMUA!#REF!,I9)</f>
        <v>#REF!</v>
      </c>
      <c r="K9" s="41">
        <v>20</v>
      </c>
      <c r="L9" s="42" t="s">
        <v>371</v>
      </c>
      <c r="M9" s="42">
        <f>SUM(M4:M7)</f>
        <v>0</v>
      </c>
      <c r="R9" s="116"/>
      <c r="S9" s="116"/>
      <c r="T9" s="116"/>
    </row>
    <row r="10" spans="1:34" ht="21.75" customHeight="1">
      <c r="A10" s="6">
        <v>42</v>
      </c>
      <c r="B10" s="6" t="e">
        <f>COUNTIF(SEMUA!#REF!,A10)</f>
        <v>#REF!</v>
      </c>
      <c r="C10" s="6">
        <f>COUNTIF(SEMUA!$G$2:$G$116,REKAP!A10)</f>
        <v>0</v>
      </c>
      <c r="D10" s="1">
        <v>24</v>
      </c>
      <c r="E10" s="5" t="s">
        <v>383</v>
      </c>
      <c r="F10" s="6" t="e">
        <f>COUNTIF(SEMUA!#REF!,E10)</f>
        <v>#REF!</v>
      </c>
      <c r="G10" s="5">
        <v>2</v>
      </c>
      <c r="H10" s="5">
        <v>1</v>
      </c>
      <c r="I10" s="6">
        <v>58</v>
      </c>
      <c r="J10" s="6" t="e">
        <f>COUNTIF(SEMUA!#REF!,I10)</f>
        <v>#REF!</v>
      </c>
      <c r="K10" s="41">
        <v>14</v>
      </c>
      <c r="S10" s="43"/>
      <c r="T10" s="43"/>
    </row>
    <row r="11" spans="1:34" ht="21.75" customHeight="1">
      <c r="A11" s="6">
        <v>43</v>
      </c>
      <c r="B11" s="6" t="e">
        <f>COUNTIF(SEMUA!#REF!,A11)</f>
        <v>#REF!</v>
      </c>
      <c r="C11" s="6">
        <f>COUNTIF(SEMUA!$G$2:$G$116,REKAP!A11)</f>
        <v>0</v>
      </c>
      <c r="D11" s="1">
        <v>4</v>
      </c>
      <c r="E11" s="3" t="s">
        <v>384</v>
      </c>
      <c r="F11" s="6" t="e">
        <f>COUNTIF(SEMUA!#REF!,E11)</f>
        <v>#REF!</v>
      </c>
      <c r="G11" s="42"/>
      <c r="H11" s="42">
        <v>1</v>
      </c>
      <c r="I11" s="6">
        <v>59</v>
      </c>
      <c r="J11" s="6" t="e">
        <f>COUNTIF(SEMUA!#REF!,I11)</f>
        <v>#REF!</v>
      </c>
      <c r="K11" s="41">
        <v>14</v>
      </c>
      <c r="S11" s="43"/>
      <c r="T11" s="43"/>
    </row>
    <row r="12" spans="1:34" s="5" customFormat="1" ht="21.75" customHeight="1">
      <c r="A12" s="6">
        <v>44</v>
      </c>
      <c r="B12" s="6"/>
      <c r="C12" s="6">
        <f>COUNTIF(SEMUA!$G$2:$G$116,REKAP!A12)</f>
        <v>0</v>
      </c>
      <c r="D12" s="1">
        <v>5</v>
      </c>
      <c r="E12" s="42" t="s">
        <v>385</v>
      </c>
      <c r="F12" s="42" t="e">
        <f>SUM(F5:F11)</f>
        <v>#REF!</v>
      </c>
      <c r="H12" s="5">
        <f>SUM(H6:H11)</f>
        <v>20</v>
      </c>
      <c r="I12" s="6">
        <v>60</v>
      </c>
      <c r="J12" s="6" t="e">
        <f>COUNTIF(SEMUA!#REF!,I12)</f>
        <v>#REF!</v>
      </c>
      <c r="K12" s="41">
        <v>5</v>
      </c>
      <c r="S12" s="43"/>
      <c r="T12" s="43"/>
    </row>
    <row r="13" spans="1:34" ht="21.75" customHeight="1">
      <c r="A13" s="6">
        <v>45</v>
      </c>
      <c r="B13" s="6"/>
      <c r="C13" s="6">
        <f>COUNTIF(SEMUA!$G$2:$G$116,REKAP!A13)</f>
        <v>0</v>
      </c>
      <c r="D13" s="1">
        <v>1</v>
      </c>
      <c r="I13" s="42" t="s">
        <v>371</v>
      </c>
      <c r="J13" s="42" t="e">
        <f>SUM(J4:J12)</f>
        <v>#REF!</v>
      </c>
      <c r="K13" s="42">
        <f>SUM(K4:K12)</f>
        <v>100</v>
      </c>
      <c r="S13" s="43"/>
      <c r="T13" s="43"/>
    </row>
    <row r="14" spans="1:34" ht="21.75" customHeight="1">
      <c r="A14" s="6">
        <v>46</v>
      </c>
      <c r="B14" s="6"/>
      <c r="C14" s="6">
        <f>COUNTIF(SEMUA!$G$2:$G$116,REKAP!A14)</f>
        <v>0</v>
      </c>
      <c r="D14" s="1"/>
      <c r="E14" s="44"/>
      <c r="F14" s="44"/>
      <c r="G14" s="34"/>
      <c r="H14" s="34"/>
      <c r="S14" s="43"/>
      <c r="T14" s="43"/>
    </row>
    <row r="15" spans="1:34" ht="21.75" customHeight="1">
      <c r="A15" s="6">
        <v>47</v>
      </c>
      <c r="B15" s="6"/>
      <c r="C15" s="6">
        <f>COUNTIF(SEMUA!$G$2:$G$116,REKAP!A15)</f>
        <v>0</v>
      </c>
      <c r="D15" s="1"/>
      <c r="E15" s="44"/>
      <c r="F15" s="44"/>
      <c r="G15" s="34"/>
      <c r="H15" s="34"/>
      <c r="K15" s="45"/>
      <c r="S15" s="43"/>
      <c r="T15" s="43"/>
    </row>
    <row r="16" spans="1:34" ht="21.75" customHeight="1">
      <c r="A16" s="42" t="s">
        <v>371</v>
      </c>
      <c r="B16" s="42"/>
      <c r="C16" s="42">
        <f>SUM(C5:C15)</f>
        <v>0</v>
      </c>
      <c r="D16" s="42">
        <f>SUM(D5:D15)</f>
        <v>64</v>
      </c>
      <c r="E16" s="44"/>
      <c r="F16" s="44"/>
      <c r="G16" s="34"/>
      <c r="H16" s="34"/>
      <c r="K16" s="1"/>
      <c r="S16" s="43"/>
      <c r="T16" s="43"/>
    </row>
    <row r="18" spans="1:13">
      <c r="A18" s="3" t="s">
        <v>386</v>
      </c>
    </row>
    <row r="19" spans="1:13">
      <c r="A19" s="3" t="s">
        <v>387</v>
      </c>
      <c r="B19" s="3" t="s">
        <v>388</v>
      </c>
      <c r="C19" s="3" t="s">
        <v>388</v>
      </c>
    </row>
    <row r="20" spans="1:13">
      <c r="H20" s="1">
        <v>12</v>
      </c>
    </row>
    <row r="23" spans="1:13">
      <c r="A23" s="3" t="s">
        <v>367</v>
      </c>
      <c r="E23" s="3" t="s">
        <v>368</v>
      </c>
      <c r="I23" s="1" t="s">
        <v>369</v>
      </c>
      <c r="L23" s="5" t="s">
        <v>370</v>
      </c>
      <c r="M23" s="5" t="s">
        <v>371</v>
      </c>
    </row>
    <row r="24" spans="1:13">
      <c r="A24" s="3" t="s">
        <v>372</v>
      </c>
      <c r="B24" s="1" t="s">
        <v>373</v>
      </c>
      <c r="C24" s="3" t="s">
        <v>371</v>
      </c>
      <c r="E24" s="3" t="s">
        <v>368</v>
      </c>
      <c r="F24" s="3" t="s">
        <v>371</v>
      </c>
      <c r="I24" s="1">
        <v>52</v>
      </c>
      <c r="J24" s="5">
        <f t="shared" ref="J24:J32" si="0">COUNTIF($S$25:$S$48,I24)</f>
        <v>0</v>
      </c>
      <c r="L24" s="5" t="s">
        <v>374</v>
      </c>
      <c r="M24" s="5">
        <f>COUNTIF($O$25:$O$48,L24)</f>
        <v>0</v>
      </c>
    </row>
    <row r="25" spans="1:13">
      <c r="A25" s="3">
        <v>37</v>
      </c>
      <c r="C25" s="5">
        <f t="shared" ref="C25:C35" si="1">COUNTIF($Q$25:$Q$48,A25)</f>
        <v>0</v>
      </c>
      <c r="E25" s="3" t="s">
        <v>375</v>
      </c>
      <c r="F25" s="5">
        <f t="shared" ref="F25:F31" si="2">COUNTIF($R$25:$R$48,E25)</f>
        <v>0</v>
      </c>
      <c r="I25" s="1">
        <v>53</v>
      </c>
      <c r="J25" s="5">
        <f t="shared" si="0"/>
        <v>0</v>
      </c>
      <c r="K25" s="5"/>
      <c r="L25" s="5" t="s">
        <v>376</v>
      </c>
      <c r="M25" s="5">
        <f>COUNTIF($O$25:$O$48,L25)</f>
        <v>0</v>
      </c>
    </row>
    <row r="26" spans="1:13">
      <c r="A26" s="3">
        <v>38</v>
      </c>
      <c r="C26" s="5">
        <f t="shared" si="1"/>
        <v>0</v>
      </c>
      <c r="D26" s="1">
        <v>1</v>
      </c>
      <c r="E26" s="3" t="s">
        <v>377</v>
      </c>
      <c r="F26" s="5">
        <f t="shared" si="2"/>
        <v>0</v>
      </c>
      <c r="G26" s="1">
        <v>6</v>
      </c>
      <c r="I26" s="1">
        <v>54</v>
      </c>
      <c r="J26" s="5">
        <f t="shared" si="0"/>
        <v>0</v>
      </c>
      <c r="K26" s="5">
        <v>2</v>
      </c>
      <c r="L26" s="5" t="s">
        <v>378</v>
      </c>
      <c r="M26" s="5">
        <f>COUNTIF($O$25:$O$48,L26)</f>
        <v>0</v>
      </c>
    </row>
    <row r="27" spans="1:13">
      <c r="A27" s="3">
        <v>39</v>
      </c>
      <c r="B27" s="1" t="e">
        <f>#REF!</f>
        <v>#REF!</v>
      </c>
      <c r="C27" s="5">
        <f t="shared" si="1"/>
        <v>0</v>
      </c>
      <c r="D27" s="1">
        <v>1</v>
      </c>
      <c r="E27" s="3" t="s">
        <v>379</v>
      </c>
      <c r="F27" s="5">
        <f t="shared" si="2"/>
        <v>0</v>
      </c>
      <c r="G27" s="1">
        <v>16</v>
      </c>
      <c r="I27" s="1">
        <v>55</v>
      </c>
      <c r="J27" s="5">
        <f t="shared" si="0"/>
        <v>0</v>
      </c>
      <c r="K27" s="5">
        <v>6</v>
      </c>
      <c r="L27" s="5" t="s">
        <v>389</v>
      </c>
      <c r="M27" s="5">
        <f>COUNTIF($O$25:$O$48,L27)</f>
        <v>0</v>
      </c>
    </row>
    <row r="28" spans="1:13">
      <c r="A28" s="3">
        <v>40</v>
      </c>
      <c r="B28" s="1" t="e">
        <f>#REF!</f>
        <v>#REF!</v>
      </c>
      <c r="C28" s="5">
        <f t="shared" si="1"/>
        <v>0</v>
      </c>
      <c r="D28" s="1">
        <v>6</v>
      </c>
      <c r="E28" s="3" t="s">
        <v>380</v>
      </c>
      <c r="F28" s="5">
        <f t="shared" si="2"/>
        <v>0</v>
      </c>
      <c r="G28" s="1">
        <v>21</v>
      </c>
      <c r="I28" s="1">
        <v>56</v>
      </c>
      <c r="J28" s="5">
        <f t="shared" si="0"/>
        <v>0</v>
      </c>
      <c r="K28" s="5">
        <v>11</v>
      </c>
      <c r="L28" s="5" t="s">
        <v>390</v>
      </c>
      <c r="M28" s="5">
        <f>COUNTIF($O$25:$O$48,L28)</f>
        <v>0</v>
      </c>
    </row>
    <row r="29" spans="1:13">
      <c r="A29" s="3">
        <v>41</v>
      </c>
      <c r="B29" s="1" t="e">
        <f>#REF!</f>
        <v>#REF!</v>
      </c>
      <c r="C29" s="5">
        <f t="shared" si="1"/>
        <v>0</v>
      </c>
      <c r="D29" s="1">
        <v>16</v>
      </c>
      <c r="E29" s="3" t="s">
        <v>382</v>
      </c>
      <c r="F29" s="5">
        <f t="shared" si="2"/>
        <v>0</v>
      </c>
      <c r="G29" s="1">
        <v>4</v>
      </c>
      <c r="I29" s="1">
        <v>57</v>
      </c>
      <c r="J29" s="5">
        <f t="shared" si="0"/>
        <v>0</v>
      </c>
      <c r="K29" s="5">
        <v>14</v>
      </c>
      <c r="L29" s="5" t="s">
        <v>371</v>
      </c>
      <c r="M29" s="5">
        <f>SUM(M24:M28)</f>
        <v>0</v>
      </c>
    </row>
    <row r="30" spans="1:13">
      <c r="A30" s="3">
        <v>42</v>
      </c>
      <c r="B30" s="1" t="e">
        <f>#REF!</f>
        <v>#REF!</v>
      </c>
      <c r="C30" s="5">
        <f t="shared" si="1"/>
        <v>0</v>
      </c>
      <c r="D30" s="1">
        <v>15</v>
      </c>
      <c r="E30" s="3" t="s">
        <v>383</v>
      </c>
      <c r="F30" s="5">
        <f t="shared" si="2"/>
        <v>0</v>
      </c>
      <c r="G30" s="1">
        <v>3</v>
      </c>
      <c r="I30" s="1">
        <v>58</v>
      </c>
      <c r="J30" s="5">
        <f t="shared" si="0"/>
        <v>0</v>
      </c>
      <c r="K30" s="5">
        <v>10</v>
      </c>
    </row>
    <row r="31" spans="1:13">
      <c r="A31" s="3">
        <v>43</v>
      </c>
      <c r="B31" s="1" t="e">
        <f>#REF!</f>
        <v>#REF!</v>
      </c>
      <c r="C31" s="5">
        <f t="shared" si="1"/>
        <v>0</v>
      </c>
      <c r="D31" s="1">
        <v>8</v>
      </c>
      <c r="E31" s="3" t="s">
        <v>384</v>
      </c>
      <c r="F31" s="5">
        <f t="shared" si="2"/>
        <v>0</v>
      </c>
      <c r="I31" s="1">
        <v>59</v>
      </c>
      <c r="J31" s="5">
        <f t="shared" si="0"/>
        <v>0</v>
      </c>
      <c r="K31" s="5">
        <v>5</v>
      </c>
    </row>
    <row r="32" spans="1:13">
      <c r="A32" s="3">
        <v>44</v>
      </c>
      <c r="C32" s="5">
        <f t="shared" si="1"/>
        <v>0</v>
      </c>
      <c r="D32" s="1">
        <v>1</v>
      </c>
      <c r="E32" s="3" t="s">
        <v>385</v>
      </c>
      <c r="F32" s="1">
        <f>SUM(F25:F31)</f>
        <v>0</v>
      </c>
      <c r="G32" s="1">
        <f>SUM(G25:G31)</f>
        <v>50</v>
      </c>
      <c r="I32" s="1">
        <v>60</v>
      </c>
      <c r="J32" s="5">
        <f t="shared" si="0"/>
        <v>0</v>
      </c>
      <c r="K32" s="5">
        <v>2</v>
      </c>
    </row>
    <row r="33" spans="1:19">
      <c r="A33" s="3">
        <v>45</v>
      </c>
      <c r="C33" s="5">
        <f t="shared" si="1"/>
        <v>0</v>
      </c>
      <c r="D33" s="1">
        <v>1</v>
      </c>
      <c r="I33" s="1" t="s">
        <v>371</v>
      </c>
      <c r="J33" s="5">
        <f>SUM(J24:J32)</f>
        <v>0</v>
      </c>
      <c r="K33" s="5">
        <f>SUM(K24:K32)</f>
        <v>50</v>
      </c>
    </row>
    <row r="34" spans="1:19">
      <c r="A34" s="3">
        <v>46</v>
      </c>
      <c r="C34" s="5">
        <f t="shared" si="1"/>
        <v>0</v>
      </c>
      <c r="D34" s="1">
        <v>1</v>
      </c>
    </row>
    <row r="35" spans="1:19">
      <c r="A35" s="3">
        <v>47</v>
      </c>
      <c r="C35" s="5">
        <f t="shared" si="1"/>
        <v>0</v>
      </c>
    </row>
    <row r="36" spans="1:19">
      <c r="A36" s="3" t="s">
        <v>371</v>
      </c>
      <c r="C36" s="1">
        <f>SUM(C25:C35)</f>
        <v>0</v>
      </c>
      <c r="D36" s="3">
        <f>SUM(D26:D35)</f>
        <v>50</v>
      </c>
    </row>
    <row r="38" spans="1:19">
      <c r="O38" s="2"/>
      <c r="P38" s="1"/>
      <c r="Q38" s="1"/>
      <c r="R38" s="1"/>
      <c r="S38" s="46"/>
    </row>
    <row r="39" spans="1:19">
      <c r="O39" s="2"/>
      <c r="P39" s="1"/>
      <c r="Q39" s="1"/>
      <c r="R39" s="1"/>
      <c r="S39" s="46"/>
    </row>
    <row r="40" spans="1:19">
      <c r="O40" s="2"/>
      <c r="P40" s="1"/>
      <c r="Q40" s="1"/>
      <c r="R40" s="1"/>
      <c r="S40" s="46"/>
    </row>
    <row r="41" spans="1:19">
      <c r="O41" s="2"/>
      <c r="P41" s="1"/>
      <c r="Q41" s="1"/>
      <c r="R41" s="1"/>
      <c r="S41" s="46"/>
    </row>
    <row r="42" spans="1:19">
      <c r="O42" s="2"/>
      <c r="P42" s="1"/>
      <c r="Q42" s="1"/>
      <c r="R42" s="1"/>
      <c r="S42" s="46"/>
    </row>
    <row r="43" spans="1:19">
      <c r="O43" s="2"/>
      <c r="P43" s="1"/>
      <c r="Q43" s="1"/>
      <c r="R43" s="1"/>
      <c r="S43" s="46"/>
    </row>
    <row r="47" spans="1:19">
      <c r="O47" s="2"/>
      <c r="P47" s="1"/>
      <c r="Q47" s="1"/>
      <c r="R47" s="1"/>
      <c r="S47" s="46"/>
    </row>
    <row r="48" spans="1:19">
      <c r="O48" s="2"/>
      <c r="P48" s="1"/>
      <c r="Q48" s="1"/>
      <c r="R48" s="1"/>
      <c r="S48" s="46"/>
    </row>
  </sheetData>
  <mergeCells count="5">
    <mergeCell ref="A1:M1"/>
    <mergeCell ref="A3:C3"/>
    <mergeCell ref="E3:F3"/>
    <mergeCell ref="I3:J3"/>
    <mergeCell ref="R9:T9"/>
  </mergeCells>
  <pageMargins left="0.43333333333333302" right="0.23611111111111099" top="0.74791666666666701" bottom="0.74791666666666701" header="0.51180555555555496" footer="0.51180555555555496"/>
  <pageSetup scale="85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J225"/>
  <sheetViews>
    <sheetView topLeftCell="A16" zoomScale="85" zoomScaleNormal="85" workbookViewId="0">
      <selection activeCell="F44" sqref="F44"/>
    </sheetView>
  </sheetViews>
  <sheetFormatPr defaultColWidth="9.140625" defaultRowHeight="15"/>
  <cols>
    <col min="1" max="1" width="4.42578125" style="1" customWidth="1"/>
    <col min="2" max="2" width="4.85546875" style="1" customWidth="1"/>
    <col min="3" max="3" width="43.28515625" style="2" customWidth="1"/>
    <col min="4" max="4" width="8.42578125" style="1" customWidth="1"/>
    <col min="5" max="5" width="6.85546875" style="1" customWidth="1"/>
    <col min="6" max="6" width="16.140625" style="1" customWidth="1"/>
    <col min="7" max="7" width="9.140625" style="1"/>
    <col min="8" max="23" width="9.140625" style="3"/>
    <col min="24" max="49" width="9.140625" style="5"/>
    <col min="50" max="50" width="13.140625" style="5" customWidth="1"/>
    <col min="51" max="1024" width="9.140625" style="5"/>
  </cols>
  <sheetData>
    <row r="1" spans="1:32" s="50" customFormat="1" ht="30">
      <c r="A1" s="118" t="s">
        <v>0</v>
      </c>
      <c r="B1" s="118"/>
      <c r="C1" s="47" t="s">
        <v>1</v>
      </c>
      <c r="D1" s="42" t="s">
        <v>2</v>
      </c>
      <c r="E1" s="48" t="s">
        <v>391</v>
      </c>
      <c r="F1" s="48" t="s">
        <v>4</v>
      </c>
      <c r="G1" s="42" t="s">
        <v>5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392</v>
      </c>
      <c r="Q1" s="49" t="s">
        <v>15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0" t="s">
        <v>393</v>
      </c>
    </row>
    <row r="2" spans="1:32" ht="19.5" customHeight="1">
      <c r="A2" s="44">
        <v>1</v>
      </c>
      <c r="B2" s="34" t="s">
        <v>24</v>
      </c>
      <c r="C2" s="31" t="s">
        <v>25</v>
      </c>
      <c r="D2" s="33">
        <v>84</v>
      </c>
      <c r="E2" s="33">
        <v>101</v>
      </c>
      <c r="F2" s="33" t="s">
        <v>26</v>
      </c>
      <c r="G2" s="34" t="s">
        <v>386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</row>
    <row r="3" spans="1:32" ht="19.5" customHeight="1">
      <c r="A3" s="36">
        <v>2</v>
      </c>
      <c r="B3" s="38" t="s">
        <v>52</v>
      </c>
      <c r="C3" s="51" t="s">
        <v>53</v>
      </c>
      <c r="D3" s="52">
        <v>79</v>
      </c>
      <c r="E3" s="52">
        <v>103</v>
      </c>
      <c r="F3" s="33" t="s">
        <v>26</v>
      </c>
      <c r="G3" s="38" t="s">
        <v>394</v>
      </c>
      <c r="H3" s="38" t="s">
        <v>395</v>
      </c>
      <c r="I3" s="38" t="s">
        <v>396</v>
      </c>
      <c r="J3" s="38" t="s">
        <v>397</v>
      </c>
      <c r="K3" s="38" t="s">
        <v>398</v>
      </c>
      <c r="L3" s="38" t="s">
        <v>396</v>
      </c>
      <c r="M3" s="38" t="s">
        <v>398</v>
      </c>
      <c r="N3" s="38" t="s">
        <v>399</v>
      </c>
      <c r="O3" s="38" t="s">
        <v>400</v>
      </c>
      <c r="P3" s="38"/>
      <c r="Q3" s="38" t="s">
        <v>401</v>
      </c>
      <c r="R3" s="38" t="s">
        <v>402</v>
      </c>
      <c r="S3" s="38" t="s">
        <v>403</v>
      </c>
      <c r="T3" s="38" t="s">
        <v>404</v>
      </c>
      <c r="U3" s="38" t="s">
        <v>405</v>
      </c>
      <c r="V3" s="38" t="s">
        <v>406</v>
      </c>
      <c r="W3" s="38" t="s">
        <v>407</v>
      </c>
    </row>
    <row r="4" spans="1:32" ht="19.5" customHeight="1">
      <c r="A4" s="44">
        <v>3</v>
      </c>
      <c r="B4" s="34" t="s">
        <v>55</v>
      </c>
      <c r="C4" s="31" t="s">
        <v>56</v>
      </c>
      <c r="D4" s="33">
        <v>75</v>
      </c>
      <c r="E4" s="33">
        <v>105</v>
      </c>
      <c r="F4" s="33" t="s">
        <v>26</v>
      </c>
      <c r="G4" s="34" t="s">
        <v>394</v>
      </c>
      <c r="H4" s="34" t="s">
        <v>387</v>
      </c>
      <c r="I4" s="34" t="s">
        <v>396</v>
      </c>
      <c r="J4" s="34" t="s">
        <v>397</v>
      </c>
      <c r="K4" s="34" t="s">
        <v>408</v>
      </c>
      <c r="L4" s="34" t="s">
        <v>405</v>
      </c>
      <c r="M4" s="34" t="s">
        <v>408</v>
      </c>
      <c r="N4" s="34" t="s">
        <v>409</v>
      </c>
      <c r="O4" s="34" t="s">
        <v>410</v>
      </c>
      <c r="P4" s="34"/>
      <c r="Q4" s="34" t="s">
        <v>411</v>
      </c>
      <c r="R4" s="34" t="s">
        <v>412</v>
      </c>
      <c r="S4" s="34" t="s">
        <v>403</v>
      </c>
      <c r="T4" s="34" t="s">
        <v>413</v>
      </c>
      <c r="U4" s="34" t="s">
        <v>405</v>
      </c>
      <c r="V4" s="34" t="s">
        <v>406</v>
      </c>
      <c r="W4" s="34" t="s">
        <v>414</v>
      </c>
    </row>
    <row r="5" spans="1:32" ht="19.5" customHeight="1">
      <c r="A5" s="36">
        <v>4</v>
      </c>
      <c r="B5" s="38" t="s">
        <v>61</v>
      </c>
      <c r="C5" s="51" t="s">
        <v>62</v>
      </c>
      <c r="D5" s="52">
        <v>75</v>
      </c>
      <c r="E5" s="52">
        <v>103</v>
      </c>
      <c r="F5" s="33" t="s">
        <v>26</v>
      </c>
      <c r="G5" s="38" t="s">
        <v>394</v>
      </c>
      <c r="H5" s="38" t="s">
        <v>387</v>
      </c>
      <c r="I5" s="38" t="s">
        <v>396</v>
      </c>
      <c r="J5" s="38" t="s">
        <v>397</v>
      </c>
      <c r="K5" s="38" t="s">
        <v>408</v>
      </c>
      <c r="L5" s="38" t="s">
        <v>405</v>
      </c>
      <c r="M5" s="38" t="s">
        <v>408</v>
      </c>
      <c r="N5" s="38" t="s">
        <v>399</v>
      </c>
      <c r="O5" s="38" t="s">
        <v>410</v>
      </c>
      <c r="P5" s="38"/>
      <c r="Q5" s="38" t="s">
        <v>411</v>
      </c>
      <c r="R5" s="38" t="s">
        <v>415</v>
      </c>
      <c r="S5" s="38" t="s">
        <v>416</v>
      </c>
      <c r="T5" s="38" t="s">
        <v>417</v>
      </c>
      <c r="U5" s="38" t="s">
        <v>405</v>
      </c>
      <c r="V5" s="38" t="s">
        <v>406</v>
      </c>
      <c r="W5" s="38" t="s">
        <v>407</v>
      </c>
    </row>
    <row r="6" spans="1:32" ht="19.5" customHeight="1">
      <c r="A6" s="44">
        <v>5</v>
      </c>
      <c r="B6" s="34" t="s">
        <v>64</v>
      </c>
      <c r="C6" s="31" t="s">
        <v>65</v>
      </c>
      <c r="D6" s="33">
        <v>73</v>
      </c>
      <c r="E6" s="33">
        <v>97</v>
      </c>
      <c r="F6" s="33" t="s">
        <v>26</v>
      </c>
      <c r="G6" s="34" t="s">
        <v>394</v>
      </c>
      <c r="H6" s="34" t="s">
        <v>400</v>
      </c>
      <c r="I6" s="34" t="s">
        <v>405</v>
      </c>
      <c r="J6" s="34" t="s">
        <v>418</v>
      </c>
      <c r="K6" s="34" t="s">
        <v>396</v>
      </c>
      <c r="L6" s="34" t="s">
        <v>419</v>
      </c>
      <c r="M6" s="34" t="s">
        <v>396</v>
      </c>
      <c r="N6" s="34" t="s">
        <v>420</v>
      </c>
      <c r="O6" s="34" t="s">
        <v>421</v>
      </c>
      <c r="P6" s="34"/>
      <c r="Q6" s="34" t="s">
        <v>409</v>
      </c>
      <c r="R6" s="34" t="s">
        <v>422</v>
      </c>
      <c r="S6" s="34" t="s">
        <v>416</v>
      </c>
      <c r="T6" s="34" t="s">
        <v>417</v>
      </c>
      <c r="U6" s="34" t="s">
        <v>405</v>
      </c>
      <c r="V6" s="34" t="s">
        <v>406</v>
      </c>
      <c r="W6" s="34" t="s">
        <v>402</v>
      </c>
      <c r="X6" s="1"/>
      <c r="Y6" s="1"/>
      <c r="Z6" s="1"/>
      <c r="AA6" s="1"/>
      <c r="AB6" s="1"/>
      <c r="AC6" s="1"/>
      <c r="AD6" s="1"/>
      <c r="AE6" s="1"/>
      <c r="AF6" s="1"/>
    </row>
    <row r="7" spans="1:32" ht="19.5" customHeight="1">
      <c r="A7" s="36">
        <v>6</v>
      </c>
      <c r="B7" s="38" t="s">
        <v>67</v>
      </c>
      <c r="C7" s="51" t="s">
        <v>68</v>
      </c>
      <c r="D7" s="52">
        <v>82</v>
      </c>
      <c r="E7" s="52">
        <v>96</v>
      </c>
      <c r="F7" s="33" t="s">
        <v>26</v>
      </c>
      <c r="G7" s="38" t="s">
        <v>394</v>
      </c>
      <c r="H7" s="38" t="s">
        <v>395</v>
      </c>
      <c r="I7" s="38" t="s">
        <v>419</v>
      </c>
      <c r="J7" s="38" t="s">
        <v>397</v>
      </c>
      <c r="K7" s="38" t="s">
        <v>398</v>
      </c>
      <c r="L7" s="38" t="s">
        <v>396</v>
      </c>
      <c r="M7" s="38" t="s">
        <v>398</v>
      </c>
      <c r="N7" s="38" t="s">
        <v>423</v>
      </c>
      <c r="O7" s="38" t="s">
        <v>400</v>
      </c>
      <c r="P7" s="38"/>
      <c r="Q7" s="38" t="s">
        <v>424</v>
      </c>
      <c r="R7" s="38" t="s">
        <v>414</v>
      </c>
      <c r="S7" s="38" t="s">
        <v>425</v>
      </c>
      <c r="T7" s="38" t="s">
        <v>404</v>
      </c>
      <c r="U7" s="38" t="s">
        <v>396</v>
      </c>
      <c r="V7" s="38" t="s">
        <v>406</v>
      </c>
      <c r="W7" s="38" t="s">
        <v>426</v>
      </c>
    </row>
    <row r="8" spans="1:32" ht="19.5" customHeight="1">
      <c r="A8" s="44">
        <v>7</v>
      </c>
      <c r="B8" s="34" t="s">
        <v>70</v>
      </c>
      <c r="C8" s="31" t="s">
        <v>71</v>
      </c>
      <c r="D8" s="33">
        <v>84</v>
      </c>
      <c r="E8" s="33">
        <v>90</v>
      </c>
      <c r="F8" s="33" t="s">
        <v>26</v>
      </c>
      <c r="G8" s="34" t="s">
        <v>394</v>
      </c>
      <c r="H8" s="34" t="s">
        <v>427</v>
      </c>
      <c r="I8" s="34" t="s">
        <v>428</v>
      </c>
      <c r="J8" s="34" t="s">
        <v>397</v>
      </c>
      <c r="K8" s="34" t="s">
        <v>398</v>
      </c>
      <c r="L8" s="34" t="s">
        <v>396</v>
      </c>
      <c r="M8" s="34" t="s">
        <v>398</v>
      </c>
      <c r="N8" s="34" t="s">
        <v>403</v>
      </c>
      <c r="O8" s="34" t="s">
        <v>387</v>
      </c>
      <c r="P8" s="34"/>
      <c r="Q8" s="34" t="s">
        <v>429</v>
      </c>
      <c r="R8" s="34" t="s">
        <v>430</v>
      </c>
      <c r="S8" s="34" t="s">
        <v>403</v>
      </c>
      <c r="T8" s="34" t="s">
        <v>404</v>
      </c>
      <c r="U8" s="34" t="s">
        <v>405</v>
      </c>
      <c r="V8" s="34" t="s">
        <v>406</v>
      </c>
      <c r="W8" s="34" t="s">
        <v>431</v>
      </c>
    </row>
    <row r="9" spans="1:32" ht="19.5" customHeight="1">
      <c r="A9" s="36">
        <v>8</v>
      </c>
      <c r="B9" s="38" t="s">
        <v>73</v>
      </c>
      <c r="C9" s="51" t="s">
        <v>74</v>
      </c>
      <c r="D9" s="52">
        <v>85</v>
      </c>
      <c r="E9" s="52">
        <v>93</v>
      </c>
      <c r="F9" s="33" t="s">
        <v>26</v>
      </c>
      <c r="G9" s="38" t="s">
        <v>394</v>
      </c>
      <c r="H9" s="38" t="s">
        <v>427</v>
      </c>
      <c r="I9" s="38" t="s">
        <v>419</v>
      </c>
      <c r="J9" s="38" t="s">
        <v>397</v>
      </c>
      <c r="K9" s="38" t="s">
        <v>432</v>
      </c>
      <c r="L9" s="38" t="s">
        <v>408</v>
      </c>
      <c r="M9" s="38" t="s">
        <v>432</v>
      </c>
      <c r="N9" s="38" t="s">
        <v>425</v>
      </c>
      <c r="O9" s="38" t="s">
        <v>387</v>
      </c>
      <c r="P9" s="38"/>
      <c r="Q9" s="38" t="s">
        <v>433</v>
      </c>
      <c r="R9" s="38" t="s">
        <v>434</v>
      </c>
      <c r="S9" s="38" t="s">
        <v>403</v>
      </c>
      <c r="T9" s="38" t="s">
        <v>435</v>
      </c>
      <c r="U9" s="38" t="s">
        <v>405</v>
      </c>
      <c r="V9" s="38" t="s">
        <v>406</v>
      </c>
      <c r="W9" s="38" t="s">
        <v>436</v>
      </c>
    </row>
    <row r="10" spans="1:32" ht="19.5" customHeight="1">
      <c r="A10" s="44">
        <v>9</v>
      </c>
      <c r="B10" s="34" t="s">
        <v>76</v>
      </c>
      <c r="C10" s="31" t="s">
        <v>77</v>
      </c>
      <c r="D10" s="33">
        <v>80</v>
      </c>
      <c r="E10" s="33">
        <v>92</v>
      </c>
      <c r="F10" s="33" t="s">
        <v>26</v>
      </c>
      <c r="G10" s="34" t="s">
        <v>394</v>
      </c>
      <c r="H10" s="34" t="s">
        <v>395</v>
      </c>
      <c r="I10" s="34" t="s">
        <v>419</v>
      </c>
      <c r="J10" s="34" t="s">
        <v>397</v>
      </c>
      <c r="K10" s="34" t="s">
        <v>398</v>
      </c>
      <c r="L10" s="34" t="s">
        <v>396</v>
      </c>
      <c r="M10" s="34" t="s">
        <v>398</v>
      </c>
      <c r="N10" s="34" t="s">
        <v>403</v>
      </c>
      <c r="O10" s="34" t="s">
        <v>400</v>
      </c>
      <c r="P10" s="34"/>
      <c r="Q10" s="34" t="s">
        <v>437</v>
      </c>
      <c r="R10" s="34" t="s">
        <v>426</v>
      </c>
      <c r="S10" s="34" t="s">
        <v>438</v>
      </c>
      <c r="T10" s="34" t="s">
        <v>413</v>
      </c>
      <c r="U10" s="34" t="s">
        <v>419</v>
      </c>
      <c r="V10" s="34" t="s">
        <v>406</v>
      </c>
      <c r="W10" s="34" t="s">
        <v>439</v>
      </c>
    </row>
    <row r="11" spans="1:32" ht="19.5" customHeight="1">
      <c r="A11" s="36">
        <v>10</v>
      </c>
      <c r="B11" s="38" t="s">
        <v>79</v>
      </c>
      <c r="C11" s="51" t="s">
        <v>80</v>
      </c>
      <c r="D11" s="52">
        <v>80</v>
      </c>
      <c r="E11" s="52">
        <v>95</v>
      </c>
      <c r="F11" s="33" t="s">
        <v>26</v>
      </c>
      <c r="G11" s="38" t="s">
        <v>394</v>
      </c>
      <c r="H11" s="38" t="s">
        <v>395</v>
      </c>
      <c r="I11" s="38" t="s">
        <v>419</v>
      </c>
      <c r="J11" s="38" t="s">
        <v>397</v>
      </c>
      <c r="K11" s="38" t="s">
        <v>398</v>
      </c>
      <c r="L11" s="38" t="s">
        <v>396</v>
      </c>
      <c r="M11" s="38" t="s">
        <v>398</v>
      </c>
      <c r="N11" s="38" t="s">
        <v>423</v>
      </c>
      <c r="O11" s="38" t="s">
        <v>400</v>
      </c>
      <c r="P11" s="38"/>
      <c r="Q11" s="38" t="s">
        <v>437</v>
      </c>
      <c r="R11" s="38" t="s">
        <v>440</v>
      </c>
      <c r="S11" s="38" t="s">
        <v>403</v>
      </c>
      <c r="T11" s="38" t="s">
        <v>413</v>
      </c>
      <c r="U11" s="38" t="s">
        <v>405</v>
      </c>
      <c r="V11" s="38" t="s">
        <v>406</v>
      </c>
      <c r="W11" s="38" t="s">
        <v>422</v>
      </c>
    </row>
    <row r="12" spans="1:32" ht="19.5" customHeight="1">
      <c r="A12" s="44">
        <v>11</v>
      </c>
      <c r="B12" s="34" t="s">
        <v>28</v>
      </c>
      <c r="C12" s="31" t="s">
        <v>29</v>
      </c>
      <c r="D12" s="33">
        <v>84</v>
      </c>
      <c r="E12" s="33">
        <v>100</v>
      </c>
      <c r="F12" s="33" t="s">
        <v>26</v>
      </c>
      <c r="G12" s="34" t="s">
        <v>394</v>
      </c>
      <c r="H12" s="34" t="s">
        <v>427</v>
      </c>
      <c r="I12" s="34" t="s">
        <v>405</v>
      </c>
      <c r="J12" s="34" t="s">
        <v>397</v>
      </c>
      <c r="K12" s="34" t="s">
        <v>398</v>
      </c>
      <c r="L12" s="34" t="s">
        <v>396</v>
      </c>
      <c r="M12" s="34" t="s">
        <v>398</v>
      </c>
      <c r="N12" s="34" t="s">
        <v>441</v>
      </c>
      <c r="O12" s="34" t="s">
        <v>387</v>
      </c>
      <c r="P12" s="34"/>
      <c r="Q12" s="34" t="s">
        <v>429</v>
      </c>
      <c r="R12" s="34" t="s">
        <v>442</v>
      </c>
      <c r="S12" s="34" t="s">
        <v>403</v>
      </c>
      <c r="T12" s="34" t="s">
        <v>435</v>
      </c>
      <c r="U12" s="34" t="s">
        <v>405</v>
      </c>
      <c r="V12" s="34" t="s">
        <v>406</v>
      </c>
      <c r="W12" s="34" t="s">
        <v>415</v>
      </c>
      <c r="X12" s="1"/>
      <c r="Y12" s="1"/>
      <c r="Z12" s="1"/>
      <c r="AA12" s="1"/>
      <c r="AB12" s="1"/>
      <c r="AC12" s="1"/>
      <c r="AD12" s="1"/>
      <c r="AE12" s="1"/>
      <c r="AF12" s="1"/>
    </row>
    <row r="13" spans="1:32" ht="19.5" customHeight="1">
      <c r="A13" s="36">
        <v>12</v>
      </c>
      <c r="B13" s="38" t="s">
        <v>82</v>
      </c>
      <c r="C13" s="51" t="s">
        <v>83</v>
      </c>
      <c r="D13" s="52">
        <v>72</v>
      </c>
      <c r="E13" s="52">
        <v>99</v>
      </c>
      <c r="F13" s="33" t="s">
        <v>26</v>
      </c>
      <c r="G13" s="38" t="s">
        <v>394</v>
      </c>
      <c r="H13" s="38" t="s">
        <v>400</v>
      </c>
      <c r="I13" s="38" t="s">
        <v>405</v>
      </c>
      <c r="J13" s="38" t="s">
        <v>418</v>
      </c>
      <c r="K13" s="38" t="s">
        <v>396</v>
      </c>
      <c r="L13" s="38" t="s">
        <v>419</v>
      </c>
      <c r="M13" s="38" t="s">
        <v>396</v>
      </c>
      <c r="N13" s="38" t="s">
        <v>443</v>
      </c>
      <c r="O13" s="38" t="s">
        <v>421</v>
      </c>
      <c r="P13" s="38"/>
      <c r="Q13" s="38" t="s">
        <v>444</v>
      </c>
      <c r="R13" s="38" t="s">
        <v>426</v>
      </c>
      <c r="S13" s="38" t="s">
        <v>403</v>
      </c>
      <c r="T13" s="38" t="s">
        <v>417</v>
      </c>
      <c r="U13" s="38" t="s">
        <v>405</v>
      </c>
      <c r="V13" s="38" t="s">
        <v>406</v>
      </c>
      <c r="W13" s="38" t="s">
        <v>445</v>
      </c>
    </row>
    <row r="14" spans="1:32" ht="19.5" customHeight="1">
      <c r="A14" s="44">
        <v>13</v>
      </c>
      <c r="B14" s="34" t="s">
        <v>85</v>
      </c>
      <c r="C14" s="31" t="s">
        <v>86</v>
      </c>
      <c r="D14" s="33">
        <v>79</v>
      </c>
      <c r="E14" s="33">
        <v>94</v>
      </c>
      <c r="F14" s="33" t="s">
        <v>26</v>
      </c>
      <c r="G14" s="34" t="s">
        <v>394</v>
      </c>
      <c r="H14" s="34" t="s">
        <v>395</v>
      </c>
      <c r="I14" s="34" t="s">
        <v>419</v>
      </c>
      <c r="J14" s="34" t="s">
        <v>397</v>
      </c>
      <c r="K14" s="34" t="s">
        <v>398</v>
      </c>
      <c r="L14" s="34" t="s">
        <v>396</v>
      </c>
      <c r="M14" s="34" t="s">
        <v>398</v>
      </c>
      <c r="N14" s="34" t="s">
        <v>425</v>
      </c>
      <c r="O14" s="34" t="s">
        <v>400</v>
      </c>
      <c r="P14" s="34"/>
      <c r="Q14" s="34" t="s">
        <v>401</v>
      </c>
      <c r="R14" s="34" t="s">
        <v>426</v>
      </c>
      <c r="S14" s="34" t="s">
        <v>403</v>
      </c>
      <c r="T14" s="34" t="s">
        <v>417</v>
      </c>
      <c r="U14" s="34" t="s">
        <v>419</v>
      </c>
      <c r="V14" s="34" t="s">
        <v>446</v>
      </c>
      <c r="W14" s="34" t="s">
        <v>447</v>
      </c>
    </row>
    <row r="15" spans="1:32" ht="19.5" customHeight="1">
      <c r="A15" s="36">
        <v>14</v>
      </c>
      <c r="B15" s="38" t="s">
        <v>88</v>
      </c>
      <c r="C15" s="51" t="s">
        <v>89</v>
      </c>
      <c r="D15" s="52">
        <v>94</v>
      </c>
      <c r="E15" s="52">
        <v>96</v>
      </c>
      <c r="F15" s="33" t="s">
        <v>26</v>
      </c>
      <c r="G15" s="38" t="s">
        <v>394</v>
      </c>
      <c r="H15" s="38" t="s">
        <v>448</v>
      </c>
      <c r="I15" s="38" t="s">
        <v>405</v>
      </c>
      <c r="J15" s="38" t="s">
        <v>406</v>
      </c>
      <c r="K15" s="38" t="s">
        <v>417</v>
      </c>
      <c r="L15" s="38" t="s">
        <v>432</v>
      </c>
      <c r="M15" s="38" t="s">
        <v>449</v>
      </c>
      <c r="N15" s="38" t="s">
        <v>420</v>
      </c>
      <c r="O15" s="38" t="s">
        <v>427</v>
      </c>
      <c r="P15" s="38"/>
      <c r="Q15" s="38" t="s">
        <v>447</v>
      </c>
      <c r="R15" s="38" t="s">
        <v>450</v>
      </c>
      <c r="S15" s="38" t="s">
        <v>443</v>
      </c>
      <c r="T15" s="38" t="s">
        <v>451</v>
      </c>
      <c r="U15" s="38" t="s">
        <v>396</v>
      </c>
      <c r="V15" s="38" t="s">
        <v>452</v>
      </c>
      <c r="W15" s="38" t="s">
        <v>426</v>
      </c>
    </row>
    <row r="16" spans="1:32" ht="19.5" customHeight="1">
      <c r="A16" s="44">
        <v>15</v>
      </c>
      <c r="B16" s="34" t="s">
        <v>97</v>
      </c>
      <c r="C16" s="31" t="s">
        <v>98</v>
      </c>
      <c r="D16" s="33">
        <v>70</v>
      </c>
      <c r="E16" s="33">
        <v>100</v>
      </c>
      <c r="F16" s="33" t="s">
        <v>26</v>
      </c>
      <c r="G16" s="34" t="s">
        <v>394</v>
      </c>
      <c r="H16" s="34" t="s">
        <v>400</v>
      </c>
      <c r="I16" s="34" t="s">
        <v>405</v>
      </c>
      <c r="J16" s="34" t="s">
        <v>418</v>
      </c>
      <c r="K16" s="34" t="s">
        <v>396</v>
      </c>
      <c r="L16" s="34" t="s">
        <v>419</v>
      </c>
      <c r="M16" s="34" t="s">
        <v>396</v>
      </c>
      <c r="N16" s="34" t="s">
        <v>443</v>
      </c>
      <c r="O16" s="34" t="s">
        <v>421</v>
      </c>
      <c r="P16" s="34"/>
      <c r="Q16" s="34" t="s">
        <v>441</v>
      </c>
      <c r="R16" s="34" t="s">
        <v>436</v>
      </c>
      <c r="S16" s="34" t="s">
        <v>416</v>
      </c>
      <c r="T16" s="34" t="s">
        <v>453</v>
      </c>
      <c r="U16" s="34" t="s">
        <v>419</v>
      </c>
      <c r="V16" s="34" t="s">
        <v>406</v>
      </c>
      <c r="W16" s="34" t="s">
        <v>415</v>
      </c>
    </row>
    <row r="17" spans="1:35" ht="19.5" customHeight="1">
      <c r="A17" s="36">
        <v>16</v>
      </c>
      <c r="B17" s="38" t="s">
        <v>106</v>
      </c>
      <c r="C17" s="51" t="s">
        <v>107</v>
      </c>
      <c r="D17" s="52">
        <v>80</v>
      </c>
      <c r="E17" s="52">
        <v>97</v>
      </c>
      <c r="F17" s="33" t="s">
        <v>26</v>
      </c>
      <c r="G17" s="38" t="s">
        <v>394</v>
      </c>
      <c r="H17" s="38" t="s">
        <v>395</v>
      </c>
      <c r="I17" s="38" t="s">
        <v>419</v>
      </c>
      <c r="J17" s="38" t="s">
        <v>397</v>
      </c>
      <c r="K17" s="38" t="s">
        <v>398</v>
      </c>
      <c r="L17" s="38" t="s">
        <v>396</v>
      </c>
      <c r="M17" s="38" t="s">
        <v>398</v>
      </c>
      <c r="N17" s="38" t="s">
        <v>420</v>
      </c>
      <c r="O17" s="38" t="s">
        <v>400</v>
      </c>
      <c r="P17" s="38"/>
      <c r="Q17" s="38" t="s">
        <v>437</v>
      </c>
      <c r="R17" s="38" t="s">
        <v>402</v>
      </c>
      <c r="S17" s="38" t="s">
        <v>403</v>
      </c>
      <c r="T17" s="38" t="s">
        <v>404</v>
      </c>
      <c r="U17" s="38" t="s">
        <v>405</v>
      </c>
      <c r="V17" s="38" t="s">
        <v>406</v>
      </c>
      <c r="W17" s="38" t="s">
        <v>402</v>
      </c>
    </row>
    <row r="18" spans="1:35" ht="19.5" customHeight="1">
      <c r="A18" s="44">
        <v>17</v>
      </c>
      <c r="B18" s="34" t="s">
        <v>31</v>
      </c>
      <c r="C18" s="31" t="s">
        <v>32</v>
      </c>
      <c r="D18" s="33">
        <v>76</v>
      </c>
      <c r="E18" s="33">
        <v>94</v>
      </c>
      <c r="F18" s="33" t="s">
        <v>26</v>
      </c>
      <c r="G18" s="34" t="s">
        <v>394</v>
      </c>
      <c r="H18" s="34" t="s">
        <v>387</v>
      </c>
      <c r="I18" s="34" t="s">
        <v>419</v>
      </c>
      <c r="J18" s="34" t="s">
        <v>397</v>
      </c>
      <c r="K18" s="34" t="s">
        <v>408</v>
      </c>
      <c r="L18" s="34" t="s">
        <v>405</v>
      </c>
      <c r="M18" s="34" t="s">
        <v>408</v>
      </c>
      <c r="N18" s="34" t="s">
        <v>425</v>
      </c>
      <c r="O18" s="34" t="s">
        <v>410</v>
      </c>
      <c r="P18" s="34"/>
      <c r="Q18" s="34" t="s">
        <v>454</v>
      </c>
      <c r="R18" s="34" t="s">
        <v>412</v>
      </c>
      <c r="S18" s="34" t="s">
        <v>403</v>
      </c>
      <c r="T18" s="34" t="s">
        <v>413</v>
      </c>
      <c r="U18" s="34" t="s">
        <v>405</v>
      </c>
      <c r="V18" s="34" t="s">
        <v>406</v>
      </c>
      <c r="W18" s="34" t="s">
        <v>447</v>
      </c>
    </row>
    <row r="19" spans="1:35" ht="19.5" customHeight="1">
      <c r="A19" s="36">
        <v>18</v>
      </c>
      <c r="B19" s="38" t="s">
        <v>115</v>
      </c>
      <c r="C19" s="51" t="s">
        <v>116</v>
      </c>
      <c r="D19" s="52">
        <v>98</v>
      </c>
      <c r="E19" s="52">
        <v>90</v>
      </c>
      <c r="F19" s="33" t="s">
        <v>26</v>
      </c>
      <c r="G19" s="38" t="s">
        <v>394</v>
      </c>
      <c r="H19" s="38" t="s">
        <v>455</v>
      </c>
      <c r="I19" s="38" t="s">
        <v>419</v>
      </c>
      <c r="J19" s="38" t="s">
        <v>452</v>
      </c>
      <c r="K19" s="38" t="s">
        <v>413</v>
      </c>
      <c r="L19" s="38" t="s">
        <v>432</v>
      </c>
      <c r="M19" s="38" t="s">
        <v>413</v>
      </c>
      <c r="N19" s="38" t="s">
        <v>403</v>
      </c>
      <c r="O19" s="38" t="s">
        <v>456</v>
      </c>
      <c r="P19" s="38"/>
      <c r="Q19" s="38" t="s">
        <v>412</v>
      </c>
      <c r="R19" s="38" t="s">
        <v>457</v>
      </c>
      <c r="S19" s="38" t="s">
        <v>441</v>
      </c>
      <c r="T19" s="38" t="s">
        <v>458</v>
      </c>
      <c r="U19" s="38" t="s">
        <v>398</v>
      </c>
      <c r="V19" s="38" t="s">
        <v>459</v>
      </c>
      <c r="W19" s="38" t="s">
        <v>460</v>
      </c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</row>
    <row r="20" spans="1:35" ht="19.5" customHeight="1">
      <c r="A20" s="44">
        <v>19</v>
      </c>
      <c r="B20" s="34" t="s">
        <v>37</v>
      </c>
      <c r="C20" s="31" t="s">
        <v>38</v>
      </c>
      <c r="D20" s="33">
        <v>102</v>
      </c>
      <c r="E20" s="33">
        <v>98</v>
      </c>
      <c r="F20" s="33" t="s">
        <v>26</v>
      </c>
      <c r="G20" s="34" t="s">
        <v>394</v>
      </c>
      <c r="H20" s="34" t="s">
        <v>461</v>
      </c>
      <c r="I20" s="34" t="s">
        <v>405</v>
      </c>
      <c r="J20" s="34" t="s">
        <v>452</v>
      </c>
      <c r="K20" s="34" t="s">
        <v>413</v>
      </c>
      <c r="L20" s="34" t="s">
        <v>453</v>
      </c>
      <c r="M20" s="34" t="s">
        <v>413</v>
      </c>
      <c r="N20" s="34" t="s">
        <v>462</v>
      </c>
      <c r="O20" s="34" t="s">
        <v>456</v>
      </c>
      <c r="P20" s="34"/>
      <c r="Q20" s="34" t="s">
        <v>431</v>
      </c>
      <c r="R20" s="34" t="s">
        <v>463</v>
      </c>
      <c r="S20" s="34" t="s">
        <v>399</v>
      </c>
      <c r="T20" s="34" t="s">
        <v>458</v>
      </c>
      <c r="U20" s="34" t="s">
        <v>398</v>
      </c>
      <c r="V20" s="34" t="s">
        <v>452</v>
      </c>
      <c r="W20" s="34" t="s">
        <v>412</v>
      </c>
    </row>
    <row r="21" spans="1:35" ht="19.5" customHeight="1">
      <c r="A21" s="36">
        <v>20</v>
      </c>
      <c r="B21" s="38" t="s">
        <v>40</v>
      </c>
      <c r="C21" s="51" t="s">
        <v>41</v>
      </c>
      <c r="D21" s="52">
        <v>82</v>
      </c>
      <c r="E21" s="52">
        <v>92</v>
      </c>
      <c r="F21" s="33" t="s">
        <v>26</v>
      </c>
      <c r="G21" s="38" t="s">
        <v>394</v>
      </c>
      <c r="H21" s="38" t="s">
        <v>395</v>
      </c>
      <c r="I21" s="38" t="s">
        <v>419</v>
      </c>
      <c r="J21" s="38" t="s">
        <v>397</v>
      </c>
      <c r="K21" s="38" t="s">
        <v>398</v>
      </c>
      <c r="L21" s="38" t="s">
        <v>396</v>
      </c>
      <c r="M21" s="38" t="s">
        <v>398</v>
      </c>
      <c r="N21" s="38" t="s">
        <v>403</v>
      </c>
      <c r="O21" s="38" t="s">
        <v>400</v>
      </c>
      <c r="P21" s="38"/>
      <c r="Q21" s="38" t="s">
        <v>424</v>
      </c>
      <c r="R21" s="38" t="s">
        <v>412</v>
      </c>
      <c r="S21" s="38" t="s">
        <v>438</v>
      </c>
      <c r="T21" s="38" t="s">
        <v>413</v>
      </c>
      <c r="U21" s="38" t="s">
        <v>419</v>
      </c>
      <c r="V21" s="38" t="s">
        <v>406</v>
      </c>
      <c r="W21" s="38" t="s">
        <v>439</v>
      </c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</row>
    <row r="22" spans="1:35" ht="19.5" customHeight="1">
      <c r="A22" s="44">
        <v>21</v>
      </c>
      <c r="B22" s="34" t="s">
        <v>43</v>
      </c>
      <c r="C22" s="31" t="s">
        <v>44</v>
      </c>
      <c r="D22" s="33">
        <v>80</v>
      </c>
      <c r="E22" s="33">
        <v>105</v>
      </c>
      <c r="F22" s="33" t="s">
        <v>26</v>
      </c>
      <c r="G22" s="34" t="s">
        <v>394</v>
      </c>
      <c r="H22" s="34" t="s">
        <v>395</v>
      </c>
      <c r="I22" s="34" t="s">
        <v>408</v>
      </c>
      <c r="J22" s="34" t="s">
        <v>397</v>
      </c>
      <c r="K22" s="34" t="s">
        <v>398</v>
      </c>
      <c r="L22" s="34" t="s">
        <v>396</v>
      </c>
      <c r="M22" s="34" t="s">
        <v>398</v>
      </c>
      <c r="N22" s="34" t="s">
        <v>409</v>
      </c>
      <c r="O22" s="34" t="s">
        <v>400</v>
      </c>
      <c r="P22" s="34"/>
      <c r="Q22" s="34" t="s">
        <v>437</v>
      </c>
      <c r="R22" s="34" t="s">
        <v>412</v>
      </c>
      <c r="S22" s="34" t="s">
        <v>443</v>
      </c>
      <c r="T22" s="34" t="s">
        <v>435</v>
      </c>
      <c r="U22" s="34" t="s">
        <v>405</v>
      </c>
      <c r="V22" s="34" t="s">
        <v>406</v>
      </c>
      <c r="W22" s="34" t="s">
        <v>414</v>
      </c>
    </row>
    <row r="23" spans="1:35" ht="19.5" customHeight="1">
      <c r="A23" s="36">
        <v>22</v>
      </c>
      <c r="B23" s="38" t="s">
        <v>49</v>
      </c>
      <c r="C23" s="51" t="s">
        <v>50</v>
      </c>
      <c r="D23" s="52">
        <v>75</v>
      </c>
      <c r="E23" s="52">
        <v>103</v>
      </c>
      <c r="F23" s="33" t="s">
        <v>26</v>
      </c>
      <c r="G23" s="38" t="s">
        <v>394</v>
      </c>
      <c r="H23" s="38" t="s">
        <v>387</v>
      </c>
      <c r="I23" s="38" t="s">
        <v>396</v>
      </c>
      <c r="J23" s="38" t="s">
        <v>397</v>
      </c>
      <c r="K23" s="38" t="s">
        <v>408</v>
      </c>
      <c r="L23" s="38" t="s">
        <v>405</v>
      </c>
      <c r="M23" s="38" t="s">
        <v>408</v>
      </c>
      <c r="N23" s="38" t="s">
        <v>399</v>
      </c>
      <c r="O23" s="38" t="s">
        <v>410</v>
      </c>
      <c r="P23" s="38"/>
      <c r="Q23" s="38" t="s">
        <v>411</v>
      </c>
      <c r="R23" s="38" t="s">
        <v>426</v>
      </c>
      <c r="S23" s="38" t="s">
        <v>438</v>
      </c>
      <c r="T23" s="38" t="s">
        <v>417</v>
      </c>
      <c r="U23" s="38" t="s">
        <v>405</v>
      </c>
      <c r="V23" s="38" t="s">
        <v>406</v>
      </c>
      <c r="W23" s="38" t="s">
        <v>407</v>
      </c>
    </row>
    <row r="24" spans="1:35" ht="19.5" customHeight="1">
      <c r="A24" s="44">
        <v>23</v>
      </c>
      <c r="B24" s="34" t="s">
        <v>118</v>
      </c>
      <c r="C24" s="31" t="s">
        <v>119</v>
      </c>
      <c r="D24" s="33">
        <v>79</v>
      </c>
      <c r="E24" s="33">
        <v>99</v>
      </c>
      <c r="F24" s="33" t="s">
        <v>120</v>
      </c>
      <c r="G24" s="34" t="s">
        <v>394</v>
      </c>
      <c r="H24" s="34" t="s">
        <v>395</v>
      </c>
      <c r="I24" s="34" t="s">
        <v>405</v>
      </c>
      <c r="J24" s="34" t="s">
        <v>397</v>
      </c>
      <c r="K24" s="34" t="s">
        <v>398</v>
      </c>
      <c r="L24" s="34" t="s">
        <v>396</v>
      </c>
      <c r="M24" s="34" t="s">
        <v>398</v>
      </c>
      <c r="N24" s="34" t="s">
        <v>443</v>
      </c>
      <c r="O24" s="34" t="s">
        <v>400</v>
      </c>
      <c r="P24" s="34"/>
      <c r="Q24" s="34" t="s">
        <v>401</v>
      </c>
      <c r="R24" s="34" t="s">
        <v>412</v>
      </c>
      <c r="S24" s="34" t="s">
        <v>425</v>
      </c>
      <c r="T24" s="34" t="s">
        <v>404</v>
      </c>
      <c r="U24" s="34" t="s">
        <v>405</v>
      </c>
      <c r="V24" s="34" t="s">
        <v>406</v>
      </c>
      <c r="W24" s="34" t="s">
        <v>445</v>
      </c>
    </row>
    <row r="25" spans="1:35" ht="19.5" customHeight="1">
      <c r="A25" s="36">
        <v>24</v>
      </c>
      <c r="B25" s="38" t="s">
        <v>149</v>
      </c>
      <c r="C25" s="51" t="s">
        <v>150</v>
      </c>
      <c r="D25" s="52">
        <v>71</v>
      </c>
      <c r="E25" s="52">
        <v>105</v>
      </c>
      <c r="F25" s="33" t="s">
        <v>120</v>
      </c>
      <c r="G25" s="38" t="s">
        <v>394</v>
      </c>
      <c r="H25" s="38" t="s">
        <v>400</v>
      </c>
      <c r="I25" s="38" t="s">
        <v>396</v>
      </c>
      <c r="J25" s="38" t="s">
        <v>418</v>
      </c>
      <c r="K25" s="38" t="s">
        <v>396</v>
      </c>
      <c r="L25" s="38" t="s">
        <v>419</v>
      </c>
      <c r="M25" s="38" t="s">
        <v>396</v>
      </c>
      <c r="N25" s="38" t="s">
        <v>409</v>
      </c>
      <c r="O25" s="38" t="s">
        <v>421</v>
      </c>
      <c r="P25" s="38"/>
      <c r="Q25" s="38" t="s">
        <v>399</v>
      </c>
      <c r="R25" s="38" t="s">
        <v>447</v>
      </c>
      <c r="S25" s="38" t="s">
        <v>416</v>
      </c>
      <c r="T25" s="38" t="s">
        <v>453</v>
      </c>
      <c r="U25" s="38" t="s">
        <v>405</v>
      </c>
      <c r="V25" s="38" t="s">
        <v>406</v>
      </c>
      <c r="W25" s="38" t="s">
        <v>414</v>
      </c>
    </row>
    <row r="26" spans="1:35" ht="19.5" customHeight="1">
      <c r="A26" s="44">
        <v>25</v>
      </c>
      <c r="B26" s="34" t="s">
        <v>152</v>
      </c>
      <c r="C26" s="31" t="s">
        <v>153</v>
      </c>
      <c r="D26" s="33">
        <v>84</v>
      </c>
      <c r="E26" s="33">
        <v>92</v>
      </c>
      <c r="F26" s="33" t="s">
        <v>120</v>
      </c>
      <c r="G26" s="34" t="s">
        <v>394</v>
      </c>
      <c r="H26" s="34" t="s">
        <v>427</v>
      </c>
      <c r="I26" s="34" t="s">
        <v>419</v>
      </c>
      <c r="J26" s="34" t="s">
        <v>397</v>
      </c>
      <c r="K26" s="34" t="s">
        <v>398</v>
      </c>
      <c r="L26" s="34" t="s">
        <v>396</v>
      </c>
      <c r="M26" s="34" t="s">
        <v>398</v>
      </c>
      <c r="N26" s="34" t="s">
        <v>403</v>
      </c>
      <c r="O26" s="34" t="s">
        <v>387</v>
      </c>
      <c r="P26" s="34"/>
      <c r="Q26" s="34" t="s">
        <v>429</v>
      </c>
      <c r="R26" s="34" t="s">
        <v>415</v>
      </c>
      <c r="S26" s="34" t="s">
        <v>403</v>
      </c>
      <c r="T26" s="34" t="s">
        <v>404</v>
      </c>
      <c r="U26" s="34" t="s">
        <v>405</v>
      </c>
      <c r="V26" s="34" t="s">
        <v>452</v>
      </c>
      <c r="W26" s="34" t="s">
        <v>439</v>
      </c>
    </row>
    <row r="27" spans="1:35" ht="19.5" customHeight="1">
      <c r="A27" s="36">
        <v>26</v>
      </c>
      <c r="B27" s="38" t="s">
        <v>161</v>
      </c>
      <c r="C27" s="51" t="s">
        <v>162</v>
      </c>
      <c r="D27" s="52">
        <v>76</v>
      </c>
      <c r="E27" s="52">
        <v>94</v>
      </c>
      <c r="F27" s="33" t="s">
        <v>120</v>
      </c>
      <c r="G27" s="38" t="s">
        <v>394</v>
      </c>
      <c r="H27" s="38" t="s">
        <v>387</v>
      </c>
      <c r="I27" s="38" t="s">
        <v>419</v>
      </c>
      <c r="J27" s="38" t="s">
        <v>397</v>
      </c>
      <c r="K27" s="38" t="s">
        <v>408</v>
      </c>
      <c r="L27" s="38" t="s">
        <v>405</v>
      </c>
      <c r="M27" s="38" t="s">
        <v>408</v>
      </c>
      <c r="N27" s="38" t="s">
        <v>425</v>
      </c>
      <c r="O27" s="38" t="s">
        <v>410</v>
      </c>
      <c r="P27" s="38"/>
      <c r="Q27" s="38" t="s">
        <v>454</v>
      </c>
      <c r="R27" s="38" t="s">
        <v>426</v>
      </c>
      <c r="S27" s="38" t="s">
        <v>438</v>
      </c>
      <c r="T27" s="38" t="s">
        <v>413</v>
      </c>
      <c r="U27" s="38" t="s">
        <v>405</v>
      </c>
      <c r="V27" s="38" t="s">
        <v>446</v>
      </c>
      <c r="W27" s="38" t="s">
        <v>447</v>
      </c>
    </row>
    <row r="28" spans="1:35" ht="19.5" customHeight="1">
      <c r="A28" s="44">
        <v>27</v>
      </c>
      <c r="B28" s="34" t="s">
        <v>170</v>
      </c>
      <c r="C28" s="31" t="s">
        <v>171</v>
      </c>
      <c r="D28" s="33">
        <v>102</v>
      </c>
      <c r="E28" s="33">
        <v>96</v>
      </c>
      <c r="F28" s="33" t="s">
        <v>120</v>
      </c>
      <c r="G28" s="34" t="s">
        <v>394</v>
      </c>
      <c r="H28" s="34" t="s">
        <v>461</v>
      </c>
      <c r="I28" s="34" t="s">
        <v>419</v>
      </c>
      <c r="J28" s="34" t="s">
        <v>452</v>
      </c>
      <c r="K28" s="34" t="s">
        <v>413</v>
      </c>
      <c r="L28" s="34" t="s">
        <v>417</v>
      </c>
      <c r="M28" s="34" t="s">
        <v>413</v>
      </c>
      <c r="N28" s="34" t="s">
        <v>420</v>
      </c>
      <c r="O28" s="34" t="s">
        <v>456</v>
      </c>
      <c r="P28" s="34"/>
      <c r="Q28" s="34" t="s">
        <v>431</v>
      </c>
      <c r="R28" s="34" t="s">
        <v>464</v>
      </c>
      <c r="S28" s="34" t="s">
        <v>399</v>
      </c>
      <c r="T28" s="34" t="s">
        <v>458</v>
      </c>
      <c r="U28" s="34" t="s">
        <v>398</v>
      </c>
      <c r="V28" s="34" t="s">
        <v>452</v>
      </c>
      <c r="W28" s="34" t="s">
        <v>426</v>
      </c>
    </row>
    <row r="29" spans="1:35" ht="19.5" customHeight="1">
      <c r="A29" s="36">
        <v>28</v>
      </c>
      <c r="B29" s="38" t="s">
        <v>173</v>
      </c>
      <c r="C29" s="51" t="s">
        <v>174</v>
      </c>
      <c r="D29" s="52">
        <v>75</v>
      </c>
      <c r="E29" s="52">
        <v>94</v>
      </c>
      <c r="F29" s="33" t="s">
        <v>120</v>
      </c>
      <c r="G29" s="38" t="s">
        <v>394</v>
      </c>
      <c r="H29" s="38" t="s">
        <v>387</v>
      </c>
      <c r="I29" s="38" t="s">
        <v>419</v>
      </c>
      <c r="J29" s="38" t="s">
        <v>397</v>
      </c>
      <c r="K29" s="38" t="s">
        <v>408</v>
      </c>
      <c r="L29" s="38" t="s">
        <v>405</v>
      </c>
      <c r="M29" s="38" t="s">
        <v>408</v>
      </c>
      <c r="N29" s="38" t="s">
        <v>425</v>
      </c>
      <c r="O29" s="38" t="s">
        <v>410</v>
      </c>
      <c r="P29" s="38"/>
      <c r="Q29" s="38" t="s">
        <v>411</v>
      </c>
      <c r="R29" s="38" t="s">
        <v>402</v>
      </c>
      <c r="S29" s="38" t="s">
        <v>438</v>
      </c>
      <c r="T29" s="38" t="s">
        <v>413</v>
      </c>
      <c r="U29" s="38" t="s">
        <v>405</v>
      </c>
      <c r="V29" s="38" t="s">
        <v>406</v>
      </c>
      <c r="W29" s="38" t="s">
        <v>447</v>
      </c>
    </row>
    <row r="30" spans="1:35" ht="19.5" customHeight="1">
      <c r="A30" s="44">
        <v>29</v>
      </c>
      <c r="B30" s="34" t="s">
        <v>122</v>
      </c>
      <c r="C30" s="31" t="s">
        <v>123</v>
      </c>
      <c r="D30" s="33">
        <v>95</v>
      </c>
      <c r="E30" s="33">
        <v>103</v>
      </c>
      <c r="F30" s="33" t="s">
        <v>120</v>
      </c>
      <c r="G30" s="34" t="s">
        <v>394</v>
      </c>
      <c r="H30" s="34" t="s">
        <v>448</v>
      </c>
      <c r="I30" s="34" t="s">
        <v>396</v>
      </c>
      <c r="J30" s="34" t="s">
        <v>406</v>
      </c>
      <c r="K30" s="34" t="s">
        <v>417</v>
      </c>
      <c r="L30" s="34" t="s">
        <v>432</v>
      </c>
      <c r="M30" s="34" t="s">
        <v>417</v>
      </c>
      <c r="N30" s="34" t="s">
        <v>399</v>
      </c>
      <c r="O30" s="34" t="s">
        <v>427</v>
      </c>
      <c r="P30" s="34"/>
      <c r="Q30" s="34" t="s">
        <v>422</v>
      </c>
      <c r="R30" s="34" t="s">
        <v>450</v>
      </c>
      <c r="S30" s="34" t="s">
        <v>443</v>
      </c>
      <c r="T30" s="34" t="s">
        <v>451</v>
      </c>
      <c r="U30" s="34" t="s">
        <v>396</v>
      </c>
      <c r="V30" s="34" t="s">
        <v>452</v>
      </c>
      <c r="W30" s="34" t="s">
        <v>407</v>
      </c>
    </row>
    <row r="31" spans="1:35" ht="19.5" customHeight="1">
      <c r="A31" s="36">
        <v>30</v>
      </c>
      <c r="B31" s="38" t="s">
        <v>206</v>
      </c>
      <c r="C31" s="51" t="s">
        <v>207</v>
      </c>
      <c r="D31" s="52">
        <v>97</v>
      </c>
      <c r="E31" s="52">
        <v>99</v>
      </c>
      <c r="F31" s="33" t="s">
        <v>120</v>
      </c>
      <c r="G31" s="38" t="s">
        <v>394</v>
      </c>
      <c r="H31" s="38" t="s">
        <v>455</v>
      </c>
      <c r="I31" s="38" t="s">
        <v>396</v>
      </c>
      <c r="J31" s="38" t="s">
        <v>406</v>
      </c>
      <c r="K31" s="38" t="s">
        <v>417</v>
      </c>
      <c r="L31" s="38" t="s">
        <v>432</v>
      </c>
      <c r="M31" s="38" t="s">
        <v>417</v>
      </c>
      <c r="N31" s="38" t="s">
        <v>441</v>
      </c>
      <c r="O31" s="38" t="s">
        <v>456</v>
      </c>
      <c r="P31" s="38"/>
      <c r="Q31" s="38" t="s">
        <v>402</v>
      </c>
      <c r="R31" s="38" t="s">
        <v>465</v>
      </c>
      <c r="S31" s="38" t="s">
        <v>462</v>
      </c>
      <c r="T31" s="38" t="s">
        <v>451</v>
      </c>
      <c r="U31" s="38" t="s">
        <v>408</v>
      </c>
      <c r="V31" s="38" t="s">
        <v>459</v>
      </c>
      <c r="W31" s="38" t="s">
        <v>445</v>
      </c>
    </row>
    <row r="32" spans="1:35" ht="19.5" customHeight="1">
      <c r="A32" s="44">
        <v>31</v>
      </c>
      <c r="B32" s="34" t="s">
        <v>212</v>
      </c>
      <c r="C32" s="31" t="s">
        <v>213</v>
      </c>
      <c r="D32" s="33">
        <v>77</v>
      </c>
      <c r="E32" s="33">
        <v>92</v>
      </c>
      <c r="F32" s="33" t="s">
        <v>120</v>
      </c>
      <c r="G32" s="34" t="s">
        <v>394</v>
      </c>
      <c r="H32" s="34" t="s">
        <v>395</v>
      </c>
      <c r="I32" s="34" t="s">
        <v>419</v>
      </c>
      <c r="J32" s="34" t="s">
        <v>397</v>
      </c>
      <c r="K32" s="34" t="s">
        <v>408</v>
      </c>
      <c r="L32" s="34" t="s">
        <v>405</v>
      </c>
      <c r="M32" s="34" t="s">
        <v>408</v>
      </c>
      <c r="N32" s="34" t="s">
        <v>403</v>
      </c>
      <c r="O32" s="34" t="s">
        <v>410</v>
      </c>
      <c r="P32" s="34"/>
      <c r="Q32" s="34" t="s">
        <v>466</v>
      </c>
      <c r="R32" s="34" t="s">
        <v>415</v>
      </c>
      <c r="S32" s="34" t="s">
        <v>403</v>
      </c>
      <c r="T32" s="34" t="s">
        <v>404</v>
      </c>
      <c r="U32" s="34" t="s">
        <v>405</v>
      </c>
      <c r="V32" s="34" t="s">
        <v>446</v>
      </c>
      <c r="W32" s="34" t="s">
        <v>439</v>
      </c>
    </row>
    <row r="33" spans="1:35" ht="19.5" customHeight="1">
      <c r="A33" s="36">
        <v>32</v>
      </c>
      <c r="B33" s="38" t="s">
        <v>221</v>
      </c>
      <c r="C33" s="51" t="s">
        <v>222</v>
      </c>
      <c r="D33" s="52">
        <v>78</v>
      </c>
      <c r="E33" s="52">
        <v>92</v>
      </c>
      <c r="F33" s="33" t="s">
        <v>120</v>
      </c>
      <c r="G33" s="38" t="s">
        <v>394</v>
      </c>
      <c r="H33" s="38" t="s">
        <v>395</v>
      </c>
      <c r="I33" s="38" t="s">
        <v>419</v>
      </c>
      <c r="J33" s="38" t="s">
        <v>397</v>
      </c>
      <c r="K33" s="38" t="s">
        <v>408</v>
      </c>
      <c r="L33" s="38" t="s">
        <v>405</v>
      </c>
      <c r="M33" s="38" t="s">
        <v>408</v>
      </c>
      <c r="N33" s="38" t="s">
        <v>403</v>
      </c>
      <c r="O33" s="38" t="s">
        <v>410</v>
      </c>
      <c r="P33" s="38"/>
      <c r="Q33" s="38" t="s">
        <v>467</v>
      </c>
      <c r="R33" s="38" t="s">
        <v>436</v>
      </c>
      <c r="S33" s="38" t="s">
        <v>403</v>
      </c>
      <c r="T33" s="38" t="s">
        <v>404</v>
      </c>
      <c r="U33" s="38" t="s">
        <v>405</v>
      </c>
      <c r="V33" s="38" t="s">
        <v>406</v>
      </c>
      <c r="W33" s="38" t="s">
        <v>439</v>
      </c>
    </row>
    <row r="34" spans="1:35" ht="19.5" customHeight="1">
      <c r="A34" s="44">
        <v>33</v>
      </c>
      <c r="B34" s="34" t="s">
        <v>128</v>
      </c>
      <c r="C34" s="31" t="s">
        <v>129</v>
      </c>
      <c r="D34" s="33">
        <v>75</v>
      </c>
      <c r="E34" s="33">
        <v>107</v>
      </c>
      <c r="F34" s="33" t="s">
        <v>120</v>
      </c>
      <c r="G34" s="34" t="s">
        <v>394</v>
      </c>
      <c r="H34" s="34" t="s">
        <v>387</v>
      </c>
      <c r="I34" s="34" t="s">
        <v>408</v>
      </c>
      <c r="J34" s="34" t="s">
        <v>397</v>
      </c>
      <c r="K34" s="34" t="s">
        <v>408</v>
      </c>
      <c r="L34" s="34" t="s">
        <v>405</v>
      </c>
      <c r="M34" s="34" t="s">
        <v>408</v>
      </c>
      <c r="N34" s="34" t="s">
        <v>409</v>
      </c>
      <c r="O34" s="34" t="s">
        <v>410</v>
      </c>
      <c r="P34" s="34"/>
      <c r="Q34" s="34" t="s">
        <v>411</v>
      </c>
      <c r="R34" s="34" t="s">
        <v>445</v>
      </c>
      <c r="S34" s="34" t="s">
        <v>423</v>
      </c>
      <c r="T34" s="34" t="s">
        <v>413</v>
      </c>
      <c r="U34" s="34" t="s">
        <v>405</v>
      </c>
      <c r="V34" s="34" t="s">
        <v>406</v>
      </c>
      <c r="W34" s="34" t="s">
        <v>430</v>
      </c>
    </row>
    <row r="35" spans="1:35" ht="19.5" customHeight="1">
      <c r="A35" s="36">
        <v>34</v>
      </c>
      <c r="B35" s="38" t="s">
        <v>131</v>
      </c>
      <c r="C35" s="51" t="s">
        <v>132</v>
      </c>
      <c r="D35" s="52">
        <v>84</v>
      </c>
      <c r="E35" s="52">
        <v>102</v>
      </c>
      <c r="F35" s="33" t="s">
        <v>120</v>
      </c>
      <c r="G35" s="38" t="s">
        <v>394</v>
      </c>
      <c r="H35" s="38" t="s">
        <v>427</v>
      </c>
      <c r="I35" s="38" t="s">
        <v>396</v>
      </c>
      <c r="J35" s="38" t="s">
        <v>397</v>
      </c>
      <c r="K35" s="38" t="s">
        <v>398</v>
      </c>
      <c r="L35" s="38" t="s">
        <v>396</v>
      </c>
      <c r="M35" s="38" t="s">
        <v>398</v>
      </c>
      <c r="N35" s="38" t="s">
        <v>399</v>
      </c>
      <c r="O35" s="38" t="s">
        <v>387</v>
      </c>
      <c r="P35" s="38"/>
      <c r="Q35" s="38" t="s">
        <v>429</v>
      </c>
      <c r="R35" s="38" t="s">
        <v>450</v>
      </c>
      <c r="S35" s="38" t="s">
        <v>420</v>
      </c>
      <c r="T35" s="38" t="s">
        <v>404</v>
      </c>
      <c r="U35" s="38" t="s">
        <v>405</v>
      </c>
      <c r="V35" s="38" t="s">
        <v>406</v>
      </c>
      <c r="W35" s="38" t="s">
        <v>431</v>
      </c>
    </row>
    <row r="36" spans="1:35" ht="19.5" customHeight="1">
      <c r="A36" s="44">
        <v>35</v>
      </c>
      <c r="B36" s="34" t="s">
        <v>273</v>
      </c>
      <c r="C36" s="31" t="s">
        <v>274</v>
      </c>
      <c r="D36" s="33">
        <v>71</v>
      </c>
      <c r="E36" s="33">
        <v>93</v>
      </c>
      <c r="F36" s="33" t="s">
        <v>229</v>
      </c>
      <c r="G36" s="34" t="s">
        <v>394</v>
      </c>
      <c r="H36" s="34" t="s">
        <v>400</v>
      </c>
      <c r="I36" s="34" t="s">
        <v>405</v>
      </c>
      <c r="J36" s="34" t="s">
        <v>418</v>
      </c>
      <c r="K36" s="34" t="s">
        <v>396</v>
      </c>
      <c r="L36" s="34" t="s">
        <v>419</v>
      </c>
      <c r="M36" s="34" t="s">
        <v>396</v>
      </c>
      <c r="N36" s="34" t="s">
        <v>423</v>
      </c>
      <c r="O36" s="34" t="s">
        <v>421</v>
      </c>
      <c r="P36" s="34"/>
      <c r="Q36" s="34" t="s">
        <v>399</v>
      </c>
      <c r="R36" s="34" t="s">
        <v>436</v>
      </c>
      <c r="S36" s="34" t="s">
        <v>416</v>
      </c>
      <c r="T36" s="34" t="s">
        <v>453</v>
      </c>
      <c r="U36" s="34" t="s">
        <v>405</v>
      </c>
      <c r="V36" s="34" t="s">
        <v>406</v>
      </c>
      <c r="W36" s="34" t="s">
        <v>436</v>
      </c>
    </row>
    <row r="37" spans="1:35" ht="19.5" customHeight="1">
      <c r="A37" s="36">
        <v>36</v>
      </c>
      <c r="B37" s="38" t="s">
        <v>285</v>
      </c>
      <c r="C37" s="51" t="s">
        <v>286</v>
      </c>
      <c r="D37" s="52">
        <v>73</v>
      </c>
      <c r="E37" s="52">
        <v>96</v>
      </c>
      <c r="F37" s="33" t="s">
        <v>229</v>
      </c>
      <c r="G37" s="38" t="s">
        <v>394</v>
      </c>
      <c r="H37" s="38" t="s">
        <v>400</v>
      </c>
      <c r="I37" s="38" t="s">
        <v>405</v>
      </c>
      <c r="J37" s="38" t="s">
        <v>418</v>
      </c>
      <c r="K37" s="38" t="s">
        <v>396</v>
      </c>
      <c r="L37" s="38" t="s">
        <v>419</v>
      </c>
      <c r="M37" s="38" t="s">
        <v>396</v>
      </c>
      <c r="N37" s="38" t="s">
        <v>420</v>
      </c>
      <c r="O37" s="38" t="s">
        <v>421</v>
      </c>
      <c r="P37" s="38"/>
      <c r="Q37" s="38" t="s">
        <v>409</v>
      </c>
      <c r="R37" s="38" t="s">
        <v>436</v>
      </c>
      <c r="S37" s="38" t="s">
        <v>438</v>
      </c>
      <c r="T37" s="38" t="s">
        <v>417</v>
      </c>
      <c r="U37" s="38" t="s">
        <v>405</v>
      </c>
      <c r="V37" s="38" t="s">
        <v>406</v>
      </c>
      <c r="W37" s="38" t="s">
        <v>426</v>
      </c>
    </row>
    <row r="38" spans="1:35" ht="19.5" customHeight="1">
      <c r="A38" s="44">
        <v>37</v>
      </c>
      <c r="B38" s="34" t="s">
        <v>288</v>
      </c>
      <c r="C38" s="31" t="s">
        <v>289</v>
      </c>
      <c r="D38" s="33">
        <v>88</v>
      </c>
      <c r="E38" s="33">
        <v>91</v>
      </c>
      <c r="F38" s="33" t="s">
        <v>229</v>
      </c>
      <c r="G38" s="34" t="s">
        <v>394</v>
      </c>
      <c r="H38" s="34" t="s">
        <v>456</v>
      </c>
      <c r="I38" s="34" t="s">
        <v>428</v>
      </c>
      <c r="J38" s="34" t="s">
        <v>397</v>
      </c>
      <c r="K38" s="34" t="s">
        <v>432</v>
      </c>
      <c r="L38" s="34" t="s">
        <v>408</v>
      </c>
      <c r="M38" s="34" t="s">
        <v>432</v>
      </c>
      <c r="N38" s="34" t="s">
        <v>403</v>
      </c>
      <c r="O38" s="34" t="s">
        <v>395</v>
      </c>
      <c r="P38" s="34"/>
      <c r="Q38" s="34" t="s">
        <v>468</v>
      </c>
      <c r="R38" s="34" t="s">
        <v>431</v>
      </c>
      <c r="S38" s="34" t="s">
        <v>425</v>
      </c>
      <c r="T38" s="34" t="s">
        <v>435</v>
      </c>
      <c r="U38" s="34" t="s">
        <v>405</v>
      </c>
      <c r="V38" s="34" t="s">
        <v>406</v>
      </c>
      <c r="W38" s="34" t="s">
        <v>469</v>
      </c>
    </row>
    <row r="39" spans="1:35" ht="19.5" customHeight="1">
      <c r="A39" s="36">
        <v>38</v>
      </c>
      <c r="B39" s="38" t="s">
        <v>297</v>
      </c>
      <c r="C39" s="51" t="s">
        <v>298</v>
      </c>
      <c r="D39" s="52">
        <v>77</v>
      </c>
      <c r="E39" s="52">
        <v>92</v>
      </c>
      <c r="F39" s="33" t="s">
        <v>229</v>
      </c>
      <c r="G39" s="38" t="s">
        <v>386</v>
      </c>
      <c r="H39" s="22">
        <v>39</v>
      </c>
      <c r="I39" s="22">
        <v>55</v>
      </c>
      <c r="J39" s="22">
        <v>16</v>
      </c>
      <c r="K39" s="22">
        <v>12</v>
      </c>
      <c r="L39" s="22">
        <v>26</v>
      </c>
      <c r="M39" s="22">
        <v>23</v>
      </c>
      <c r="N39" s="22">
        <v>26</v>
      </c>
      <c r="O39" s="22">
        <v>64</v>
      </c>
      <c r="P39" s="22">
        <v>37</v>
      </c>
      <c r="Q39" s="22">
        <v>77</v>
      </c>
      <c r="R39" s="22">
        <v>96</v>
      </c>
      <c r="S39" s="22">
        <v>64</v>
      </c>
      <c r="T39" s="22">
        <v>32</v>
      </c>
      <c r="U39" s="22">
        <v>25</v>
      </c>
      <c r="V39" s="22">
        <v>19</v>
      </c>
      <c r="W39" s="22">
        <v>92</v>
      </c>
      <c r="X39" s="1">
        <v>2</v>
      </c>
      <c r="Y39" s="1"/>
      <c r="Z39" s="1"/>
      <c r="AA39" s="1"/>
      <c r="AB39" s="1"/>
      <c r="AC39" s="1"/>
      <c r="AD39" s="1"/>
      <c r="AE39" s="1"/>
      <c r="AF39" s="1"/>
    </row>
    <row r="40" spans="1:35" ht="19.5" customHeight="1">
      <c r="A40" s="44">
        <v>39</v>
      </c>
      <c r="B40" s="34" t="s">
        <v>312</v>
      </c>
      <c r="C40" s="31" t="s">
        <v>313</v>
      </c>
      <c r="D40" s="33">
        <v>80</v>
      </c>
      <c r="E40" s="33">
        <v>92</v>
      </c>
      <c r="F40" s="33" t="s">
        <v>229</v>
      </c>
      <c r="G40" s="34" t="s">
        <v>394</v>
      </c>
      <c r="H40" s="34" t="s">
        <v>395</v>
      </c>
      <c r="I40" s="34" t="s">
        <v>419</v>
      </c>
      <c r="J40" s="34" t="s">
        <v>397</v>
      </c>
      <c r="K40" s="34" t="s">
        <v>398</v>
      </c>
      <c r="L40" s="34" t="s">
        <v>396</v>
      </c>
      <c r="M40" s="34" t="s">
        <v>398</v>
      </c>
      <c r="N40" s="34" t="s">
        <v>403</v>
      </c>
      <c r="O40" s="34" t="s">
        <v>400</v>
      </c>
      <c r="P40" s="34"/>
      <c r="Q40" s="34" t="s">
        <v>437</v>
      </c>
      <c r="R40" s="34" t="s">
        <v>431</v>
      </c>
      <c r="S40" s="34" t="s">
        <v>416</v>
      </c>
      <c r="T40" s="34" t="s">
        <v>404</v>
      </c>
      <c r="U40" s="34" t="s">
        <v>405</v>
      </c>
      <c r="V40" s="34" t="s">
        <v>406</v>
      </c>
      <c r="W40" s="34" t="s">
        <v>439</v>
      </c>
    </row>
    <row r="41" spans="1:35" ht="19.5" customHeight="1">
      <c r="A41" s="36">
        <v>40</v>
      </c>
      <c r="B41" s="38" t="s">
        <v>234</v>
      </c>
      <c r="C41" s="51" t="s">
        <v>235</v>
      </c>
      <c r="D41" s="52">
        <v>72</v>
      </c>
      <c r="E41" s="52">
        <v>97</v>
      </c>
      <c r="F41" s="33" t="s">
        <v>229</v>
      </c>
      <c r="G41" s="38" t="s">
        <v>394</v>
      </c>
      <c r="H41" s="38" t="s">
        <v>400</v>
      </c>
      <c r="I41" s="38" t="s">
        <v>405</v>
      </c>
      <c r="J41" s="38" t="s">
        <v>418</v>
      </c>
      <c r="K41" s="38" t="s">
        <v>396</v>
      </c>
      <c r="L41" s="38" t="s">
        <v>419</v>
      </c>
      <c r="M41" s="38" t="s">
        <v>396</v>
      </c>
      <c r="N41" s="38" t="s">
        <v>420</v>
      </c>
      <c r="O41" s="38" t="s">
        <v>421</v>
      </c>
      <c r="P41" s="38"/>
      <c r="Q41" s="38" t="s">
        <v>444</v>
      </c>
      <c r="R41" s="38" t="s">
        <v>436</v>
      </c>
      <c r="S41" s="38" t="s">
        <v>470</v>
      </c>
      <c r="T41" s="38" t="s">
        <v>417</v>
      </c>
      <c r="U41" s="38" t="s">
        <v>405</v>
      </c>
      <c r="V41" s="38" t="s">
        <v>406</v>
      </c>
      <c r="W41" s="38" t="s">
        <v>402</v>
      </c>
    </row>
    <row r="42" spans="1:35" ht="19.5" customHeight="1">
      <c r="A42" s="44">
        <v>41</v>
      </c>
      <c r="B42" s="34" t="s">
        <v>315</v>
      </c>
      <c r="C42" s="31" t="s">
        <v>316</v>
      </c>
      <c r="D42" s="33">
        <v>102</v>
      </c>
      <c r="E42" s="33">
        <v>90</v>
      </c>
      <c r="F42" s="33" t="s">
        <v>229</v>
      </c>
      <c r="G42" s="34" t="s">
        <v>394</v>
      </c>
      <c r="H42" s="34" t="s">
        <v>455</v>
      </c>
      <c r="I42" s="34" t="s">
        <v>419</v>
      </c>
      <c r="J42" s="34" t="s">
        <v>452</v>
      </c>
      <c r="K42" s="34" t="s">
        <v>413</v>
      </c>
      <c r="L42" s="34" t="s">
        <v>417</v>
      </c>
      <c r="M42" s="34" t="s">
        <v>413</v>
      </c>
      <c r="N42" s="34" t="s">
        <v>403</v>
      </c>
      <c r="O42" s="34" t="s">
        <v>456</v>
      </c>
      <c r="P42" s="34"/>
      <c r="Q42" s="34" t="s">
        <v>431</v>
      </c>
      <c r="R42" s="34" t="s">
        <v>471</v>
      </c>
      <c r="S42" s="34" t="s">
        <v>399</v>
      </c>
      <c r="T42" s="34" t="s">
        <v>458</v>
      </c>
      <c r="U42" s="34" t="s">
        <v>398</v>
      </c>
      <c r="V42" s="34" t="s">
        <v>452</v>
      </c>
      <c r="W42" s="34" t="s">
        <v>460</v>
      </c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</row>
    <row r="43" spans="1:35" ht="19.5" customHeight="1">
      <c r="A43" s="36">
        <v>42</v>
      </c>
      <c r="B43" s="38" t="s">
        <v>321</v>
      </c>
      <c r="C43" s="51" t="s">
        <v>322</v>
      </c>
      <c r="D43" s="52">
        <v>90</v>
      </c>
      <c r="E43" s="52">
        <v>94</v>
      </c>
      <c r="F43" s="33" t="s">
        <v>229</v>
      </c>
      <c r="G43" s="38" t="s">
        <v>394</v>
      </c>
      <c r="H43" s="38" t="s">
        <v>448</v>
      </c>
      <c r="I43" s="38" t="s">
        <v>419</v>
      </c>
      <c r="J43" s="38" t="s">
        <v>446</v>
      </c>
      <c r="K43" s="38" t="s">
        <v>453</v>
      </c>
      <c r="L43" s="38" t="s">
        <v>398</v>
      </c>
      <c r="M43" s="38" t="s">
        <v>453</v>
      </c>
      <c r="N43" s="38" t="s">
        <v>425</v>
      </c>
      <c r="O43" s="38" t="s">
        <v>427</v>
      </c>
      <c r="P43" s="38"/>
      <c r="Q43" s="38" t="s">
        <v>460</v>
      </c>
      <c r="R43" s="38" t="s">
        <v>414</v>
      </c>
      <c r="S43" s="38" t="s">
        <v>420</v>
      </c>
      <c r="T43" s="38" t="s">
        <v>472</v>
      </c>
      <c r="U43" s="38" t="s">
        <v>405</v>
      </c>
      <c r="V43" s="38" t="s">
        <v>452</v>
      </c>
      <c r="W43" s="38" t="s">
        <v>447</v>
      </c>
    </row>
    <row r="44" spans="1:35" ht="19.5" customHeight="1">
      <c r="A44" s="44">
        <v>43</v>
      </c>
      <c r="B44" s="34" t="s">
        <v>324</v>
      </c>
      <c r="C44" s="31" t="s">
        <v>325</v>
      </c>
      <c r="D44" s="33">
        <v>84</v>
      </c>
      <c r="E44" s="33">
        <v>100</v>
      </c>
      <c r="F44" s="33" t="s">
        <v>229</v>
      </c>
      <c r="G44" s="34" t="s">
        <v>386</v>
      </c>
      <c r="H44" s="22">
        <v>40</v>
      </c>
      <c r="I44" s="22">
        <v>55</v>
      </c>
      <c r="J44" s="22">
        <v>16</v>
      </c>
      <c r="K44" s="22">
        <v>12</v>
      </c>
      <c r="L44" s="22">
        <v>26</v>
      </c>
      <c r="M44" s="22">
        <v>24</v>
      </c>
      <c r="N44" s="22">
        <v>26</v>
      </c>
      <c r="O44" s="22">
        <v>68</v>
      </c>
      <c r="P44" s="22">
        <v>38</v>
      </c>
      <c r="Q44" s="22">
        <v>84</v>
      </c>
      <c r="R44" s="22">
        <v>100</v>
      </c>
      <c r="S44" s="22">
        <v>65</v>
      </c>
      <c r="T44" s="22">
        <v>32</v>
      </c>
      <c r="U44" s="22">
        <v>25</v>
      </c>
      <c r="V44" s="22">
        <v>19</v>
      </c>
      <c r="W44" s="22">
        <v>100</v>
      </c>
      <c r="X44" s="5">
        <v>2</v>
      </c>
    </row>
    <row r="45" spans="1:35" ht="19.5" customHeight="1">
      <c r="A45" s="36">
        <v>44</v>
      </c>
      <c r="B45" s="38" t="s">
        <v>327</v>
      </c>
      <c r="C45" s="51" t="s">
        <v>328</v>
      </c>
      <c r="D45" s="52">
        <v>72</v>
      </c>
      <c r="E45" s="52">
        <v>92</v>
      </c>
      <c r="F45" s="33" t="s">
        <v>229</v>
      </c>
      <c r="G45" s="38" t="s">
        <v>394</v>
      </c>
      <c r="H45" s="38" t="s">
        <v>400</v>
      </c>
      <c r="I45" s="38" t="s">
        <v>419</v>
      </c>
      <c r="J45" s="38" t="s">
        <v>418</v>
      </c>
      <c r="K45" s="38" t="s">
        <v>396</v>
      </c>
      <c r="L45" s="38" t="s">
        <v>419</v>
      </c>
      <c r="M45" s="38" t="s">
        <v>396</v>
      </c>
      <c r="N45" s="38" t="s">
        <v>425</v>
      </c>
      <c r="O45" s="38" t="s">
        <v>421</v>
      </c>
      <c r="P45" s="38"/>
      <c r="Q45" s="38" t="s">
        <v>444</v>
      </c>
      <c r="R45" s="38" t="s">
        <v>447</v>
      </c>
      <c r="S45" s="38" t="s">
        <v>438</v>
      </c>
      <c r="T45" s="38" t="s">
        <v>417</v>
      </c>
      <c r="U45" s="38" t="s">
        <v>405</v>
      </c>
      <c r="V45" s="38" t="s">
        <v>406</v>
      </c>
      <c r="W45" s="38" t="s">
        <v>439</v>
      </c>
    </row>
    <row r="46" spans="1:35" ht="19.5" customHeight="1">
      <c r="A46" s="44">
        <v>45</v>
      </c>
      <c r="B46" s="34" t="s">
        <v>330</v>
      </c>
      <c r="C46" s="31" t="s">
        <v>331</v>
      </c>
      <c r="D46" s="33">
        <v>90</v>
      </c>
      <c r="E46" s="33">
        <v>95</v>
      </c>
      <c r="F46" s="33" t="s">
        <v>229</v>
      </c>
      <c r="G46" s="34" t="s">
        <v>394</v>
      </c>
      <c r="H46" s="34" t="s">
        <v>448</v>
      </c>
      <c r="I46" s="34" t="s">
        <v>419</v>
      </c>
      <c r="J46" s="34" t="s">
        <v>446</v>
      </c>
      <c r="K46" s="34" t="s">
        <v>453</v>
      </c>
      <c r="L46" s="34" t="s">
        <v>398</v>
      </c>
      <c r="M46" s="34" t="s">
        <v>453</v>
      </c>
      <c r="N46" s="34" t="s">
        <v>425</v>
      </c>
      <c r="O46" s="34" t="s">
        <v>427</v>
      </c>
      <c r="P46" s="34"/>
      <c r="Q46" s="34" t="s">
        <v>460</v>
      </c>
      <c r="R46" s="34" t="s">
        <v>434</v>
      </c>
      <c r="S46" s="34" t="s">
        <v>441</v>
      </c>
      <c r="T46" s="34" t="s">
        <v>472</v>
      </c>
      <c r="U46" s="34" t="s">
        <v>405</v>
      </c>
      <c r="V46" s="34" t="s">
        <v>452</v>
      </c>
      <c r="W46" s="34" t="s">
        <v>422</v>
      </c>
    </row>
    <row r="47" spans="1:35" ht="19.5" customHeight="1">
      <c r="A47" s="36">
        <v>46</v>
      </c>
      <c r="B47" s="38" t="s">
        <v>336</v>
      </c>
      <c r="C47" s="51" t="s">
        <v>337</v>
      </c>
      <c r="D47" s="52">
        <v>90</v>
      </c>
      <c r="E47" s="52">
        <v>105</v>
      </c>
      <c r="F47" s="33" t="s">
        <v>229</v>
      </c>
      <c r="G47" s="38" t="s">
        <v>394</v>
      </c>
      <c r="H47" s="38" t="s">
        <v>448</v>
      </c>
      <c r="I47" s="38" t="s">
        <v>408</v>
      </c>
      <c r="J47" s="38" t="s">
        <v>446</v>
      </c>
      <c r="K47" s="38" t="s">
        <v>453</v>
      </c>
      <c r="L47" s="38" t="s">
        <v>398</v>
      </c>
      <c r="M47" s="38" t="s">
        <v>453</v>
      </c>
      <c r="N47" s="38" t="s">
        <v>441</v>
      </c>
      <c r="O47" s="38" t="s">
        <v>427</v>
      </c>
      <c r="P47" s="38"/>
      <c r="Q47" s="38" t="s">
        <v>460</v>
      </c>
      <c r="R47" s="38" t="s">
        <v>473</v>
      </c>
      <c r="S47" s="38" t="s">
        <v>444</v>
      </c>
      <c r="T47" s="38" t="s">
        <v>472</v>
      </c>
      <c r="U47" s="38" t="s">
        <v>396</v>
      </c>
      <c r="V47" s="38" t="s">
        <v>452</v>
      </c>
      <c r="W47" s="38" t="s">
        <v>414</v>
      </c>
    </row>
    <row r="48" spans="1:35" ht="19.5" customHeight="1">
      <c r="A48" s="44">
        <v>47</v>
      </c>
      <c r="B48" s="34" t="s">
        <v>339</v>
      </c>
      <c r="C48" s="31" t="s">
        <v>340</v>
      </c>
      <c r="D48" s="33">
        <v>92</v>
      </c>
      <c r="E48" s="33">
        <v>100</v>
      </c>
      <c r="F48" s="33" t="s">
        <v>229</v>
      </c>
      <c r="G48" s="34" t="s">
        <v>394</v>
      </c>
      <c r="H48" s="34" t="s">
        <v>448</v>
      </c>
      <c r="I48" s="34" t="s">
        <v>396</v>
      </c>
      <c r="J48" s="34" t="s">
        <v>446</v>
      </c>
      <c r="K48" s="34" t="s">
        <v>453</v>
      </c>
      <c r="L48" s="34" t="s">
        <v>398</v>
      </c>
      <c r="M48" s="34" t="s">
        <v>453</v>
      </c>
      <c r="N48" s="34" t="s">
        <v>441</v>
      </c>
      <c r="O48" s="34" t="s">
        <v>427</v>
      </c>
      <c r="P48" s="34"/>
      <c r="Q48" s="34" t="s">
        <v>439</v>
      </c>
      <c r="R48" s="34" t="s">
        <v>442</v>
      </c>
      <c r="S48" s="34" t="s">
        <v>441</v>
      </c>
      <c r="T48" s="34" t="s">
        <v>472</v>
      </c>
      <c r="U48" s="34" t="s">
        <v>396</v>
      </c>
      <c r="V48" s="34" t="s">
        <v>452</v>
      </c>
      <c r="W48" s="34" t="s">
        <v>415</v>
      </c>
    </row>
    <row r="49" spans="1:35" ht="19.5" customHeight="1">
      <c r="A49" s="36">
        <v>48</v>
      </c>
      <c r="B49" s="38" t="s">
        <v>345</v>
      </c>
      <c r="C49" s="51" t="s">
        <v>346</v>
      </c>
      <c r="D49" s="52">
        <v>79</v>
      </c>
      <c r="E49" s="52">
        <v>101</v>
      </c>
      <c r="F49" s="33" t="s">
        <v>229</v>
      </c>
      <c r="G49" s="38" t="s">
        <v>386</v>
      </c>
      <c r="H49" s="22">
        <v>39</v>
      </c>
      <c r="I49" s="22">
        <v>58</v>
      </c>
      <c r="J49" s="22">
        <v>16</v>
      </c>
      <c r="K49" s="22">
        <v>12</v>
      </c>
      <c r="L49" s="22">
        <v>26</v>
      </c>
      <c r="M49" s="22">
        <v>23</v>
      </c>
      <c r="N49" s="22">
        <v>26</v>
      </c>
      <c r="O49" s="22">
        <v>69</v>
      </c>
      <c r="P49" s="22">
        <v>37</v>
      </c>
      <c r="Q49" s="22">
        <v>79</v>
      </c>
      <c r="R49" s="22">
        <v>100</v>
      </c>
      <c r="S49" s="22">
        <v>67</v>
      </c>
      <c r="T49" s="22">
        <v>32</v>
      </c>
      <c r="U49" s="22">
        <v>25</v>
      </c>
      <c r="V49" s="22">
        <v>19</v>
      </c>
      <c r="W49" s="22">
        <v>101</v>
      </c>
      <c r="X49" s="5">
        <v>2</v>
      </c>
    </row>
    <row r="50" spans="1:35" ht="19.5" customHeight="1">
      <c r="A50" s="44">
        <v>49</v>
      </c>
      <c r="B50" s="34" t="s">
        <v>348</v>
      </c>
      <c r="C50" s="31" t="s">
        <v>349</v>
      </c>
      <c r="D50" s="33">
        <v>83</v>
      </c>
      <c r="E50" s="33">
        <v>99</v>
      </c>
      <c r="F50" s="33" t="s">
        <v>229</v>
      </c>
      <c r="G50" s="34" t="s">
        <v>394</v>
      </c>
      <c r="H50" s="34" t="s">
        <v>427</v>
      </c>
      <c r="I50" s="34" t="s">
        <v>405</v>
      </c>
      <c r="J50" s="34" t="s">
        <v>397</v>
      </c>
      <c r="K50" s="34" t="s">
        <v>398</v>
      </c>
      <c r="L50" s="34" t="s">
        <v>396</v>
      </c>
      <c r="M50" s="34" t="s">
        <v>398</v>
      </c>
      <c r="N50" s="34" t="s">
        <v>462</v>
      </c>
      <c r="O50" s="34" t="s">
        <v>387</v>
      </c>
      <c r="P50" s="34"/>
      <c r="Q50" s="34" t="s">
        <v>474</v>
      </c>
      <c r="R50" s="34" t="s">
        <v>414</v>
      </c>
      <c r="S50" s="34" t="s">
        <v>423</v>
      </c>
      <c r="T50" s="34" t="s">
        <v>404</v>
      </c>
      <c r="U50" s="34" t="s">
        <v>396</v>
      </c>
      <c r="V50" s="34" t="s">
        <v>406</v>
      </c>
      <c r="W50" s="34" t="s">
        <v>445</v>
      </c>
    </row>
    <row r="51" spans="1:35" ht="19.5" customHeight="1">
      <c r="A51" s="36">
        <v>50</v>
      </c>
      <c r="B51" s="38" t="s">
        <v>354</v>
      </c>
      <c r="C51" s="51" t="s">
        <v>355</v>
      </c>
      <c r="D51" s="52">
        <v>65</v>
      </c>
      <c r="E51" s="52">
        <v>93</v>
      </c>
      <c r="F51" s="33" t="s">
        <v>229</v>
      </c>
      <c r="G51" s="38" t="s">
        <v>386</v>
      </c>
      <c r="H51" s="22">
        <v>37</v>
      </c>
      <c r="I51" s="22">
        <v>53</v>
      </c>
      <c r="J51" s="22">
        <v>16</v>
      </c>
      <c r="K51" s="22">
        <v>12</v>
      </c>
      <c r="L51" s="22">
        <v>25</v>
      </c>
      <c r="M51" s="22">
        <v>22</v>
      </c>
      <c r="N51" s="22">
        <v>25</v>
      </c>
      <c r="O51" s="22">
        <v>66</v>
      </c>
      <c r="P51" s="22">
        <v>36</v>
      </c>
      <c r="Q51" s="22">
        <v>66</v>
      </c>
      <c r="R51" s="22">
        <v>85</v>
      </c>
      <c r="S51" s="22">
        <v>60</v>
      </c>
      <c r="T51" s="22">
        <v>30</v>
      </c>
      <c r="U51" s="22">
        <v>24</v>
      </c>
      <c r="V51" s="22">
        <v>19</v>
      </c>
      <c r="W51" s="22">
        <v>94</v>
      </c>
      <c r="X51" s="5">
        <v>2</v>
      </c>
    </row>
    <row r="52" spans="1:35" ht="19.5" customHeight="1">
      <c r="A52" s="44">
        <v>51</v>
      </c>
      <c r="B52" s="34" t="s">
        <v>357</v>
      </c>
      <c r="C52" s="31" t="s">
        <v>358</v>
      </c>
      <c r="D52" s="33">
        <v>70</v>
      </c>
      <c r="E52" s="33">
        <v>96</v>
      </c>
      <c r="F52" s="33" t="s">
        <v>229</v>
      </c>
      <c r="G52" s="34" t="s">
        <v>394</v>
      </c>
      <c r="H52" s="34" t="s">
        <v>400</v>
      </c>
      <c r="I52" s="34" t="s">
        <v>419</v>
      </c>
      <c r="J52" s="34" t="s">
        <v>418</v>
      </c>
      <c r="K52" s="34" t="s">
        <v>396</v>
      </c>
      <c r="L52" s="34" t="s">
        <v>419</v>
      </c>
      <c r="M52" s="34" t="s">
        <v>396</v>
      </c>
      <c r="N52" s="34" t="s">
        <v>420</v>
      </c>
      <c r="O52" s="34" t="s">
        <v>421</v>
      </c>
      <c r="P52" s="34"/>
      <c r="Q52" s="34" t="s">
        <v>441</v>
      </c>
      <c r="R52" s="34" t="s">
        <v>436</v>
      </c>
      <c r="S52" s="34" t="s">
        <v>475</v>
      </c>
      <c r="T52" s="34" t="s">
        <v>453</v>
      </c>
      <c r="U52" s="34" t="s">
        <v>405</v>
      </c>
      <c r="V52" s="34" t="s">
        <v>406</v>
      </c>
      <c r="W52" s="34" t="s">
        <v>426</v>
      </c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</row>
    <row r="53" spans="1:35" ht="19.5" customHeight="1">
      <c r="A53" s="36">
        <v>52</v>
      </c>
      <c r="B53" s="38" t="s">
        <v>243</v>
      </c>
      <c r="C53" s="51" t="s">
        <v>244</v>
      </c>
      <c r="D53" s="52">
        <v>65</v>
      </c>
      <c r="E53" s="52">
        <v>85</v>
      </c>
      <c r="F53" s="33" t="s">
        <v>229</v>
      </c>
      <c r="G53" s="38" t="s">
        <v>394</v>
      </c>
      <c r="H53" s="38" t="s">
        <v>421</v>
      </c>
      <c r="I53" s="38" t="s">
        <v>428</v>
      </c>
      <c r="J53" s="38" t="s">
        <v>418</v>
      </c>
      <c r="K53" s="38" t="s">
        <v>396</v>
      </c>
      <c r="L53" s="38" t="s">
        <v>428</v>
      </c>
      <c r="M53" s="38" t="s">
        <v>396</v>
      </c>
      <c r="N53" s="38" t="s">
        <v>438</v>
      </c>
      <c r="O53" s="38" t="s">
        <v>458</v>
      </c>
      <c r="P53" s="38"/>
      <c r="Q53" s="38" t="s">
        <v>425</v>
      </c>
      <c r="R53" s="38" t="s">
        <v>460</v>
      </c>
      <c r="S53" s="38" t="s">
        <v>475</v>
      </c>
      <c r="T53" s="38" t="s">
        <v>432</v>
      </c>
      <c r="U53" s="38" t="s">
        <v>419</v>
      </c>
      <c r="V53" s="38" t="s">
        <v>446</v>
      </c>
      <c r="W53" s="38" t="s">
        <v>476</v>
      </c>
    </row>
    <row r="54" spans="1:35" ht="19.5" customHeight="1">
      <c r="A54" s="44">
        <v>53</v>
      </c>
      <c r="B54" s="3" t="s">
        <v>246</v>
      </c>
      <c r="C54" s="11" t="s">
        <v>247</v>
      </c>
      <c r="D54" s="44"/>
      <c r="E54" s="44"/>
      <c r="F54" s="33" t="s">
        <v>229</v>
      </c>
      <c r="G54" s="53" t="s">
        <v>386</v>
      </c>
      <c r="H54" s="22">
        <v>44</v>
      </c>
      <c r="I54" s="22">
        <v>55</v>
      </c>
      <c r="J54" s="22">
        <v>19</v>
      </c>
      <c r="K54" s="22">
        <v>13</v>
      </c>
      <c r="L54" s="22">
        <v>29</v>
      </c>
      <c r="M54" s="22">
        <v>27</v>
      </c>
      <c r="N54" s="22">
        <v>29</v>
      </c>
      <c r="O54" s="22">
        <v>70</v>
      </c>
      <c r="P54" s="22">
        <v>40</v>
      </c>
      <c r="Q54" s="22">
        <v>94</v>
      </c>
      <c r="R54" s="22">
        <v>117</v>
      </c>
      <c r="S54" s="22">
        <v>68</v>
      </c>
      <c r="T54" s="22">
        <v>34</v>
      </c>
      <c r="U54" s="22">
        <v>26</v>
      </c>
      <c r="V54" s="22">
        <v>21</v>
      </c>
      <c r="W54" s="22">
        <v>101</v>
      </c>
      <c r="X54" s="5">
        <v>2</v>
      </c>
    </row>
    <row r="55" spans="1:35" ht="19.5" customHeight="1">
      <c r="A55" s="36">
        <v>54</v>
      </c>
      <c r="B55" s="3" t="s">
        <v>252</v>
      </c>
      <c r="C55" s="11" t="s">
        <v>253</v>
      </c>
      <c r="D55" s="36"/>
      <c r="E55" s="36"/>
      <c r="F55" s="33" t="s">
        <v>229</v>
      </c>
      <c r="G55" s="53" t="s">
        <v>386</v>
      </c>
      <c r="H55" s="22">
        <v>38</v>
      </c>
      <c r="I55" s="22">
        <v>55</v>
      </c>
      <c r="J55" s="22">
        <v>16</v>
      </c>
      <c r="K55" s="22">
        <v>12</v>
      </c>
      <c r="L55" s="22">
        <v>25</v>
      </c>
      <c r="M55" s="22">
        <v>23</v>
      </c>
      <c r="N55" s="22">
        <v>25</v>
      </c>
      <c r="O55" s="22">
        <v>66</v>
      </c>
      <c r="P55" s="22">
        <v>37</v>
      </c>
      <c r="Q55" s="22">
        <v>74</v>
      </c>
      <c r="R55" s="22">
        <v>91</v>
      </c>
      <c r="S55" s="22">
        <v>63</v>
      </c>
      <c r="T55" s="22">
        <v>31</v>
      </c>
      <c r="U55" s="22">
        <v>25</v>
      </c>
      <c r="V55" s="22">
        <v>19</v>
      </c>
      <c r="W55" s="22">
        <v>96</v>
      </c>
      <c r="X55" s="5">
        <v>2</v>
      </c>
    </row>
    <row r="56" spans="1:35" ht="19.5" customHeight="1">
      <c r="A56" s="44">
        <v>55</v>
      </c>
      <c r="B56" s="3" t="s">
        <v>282</v>
      </c>
      <c r="C56" s="11" t="s">
        <v>283</v>
      </c>
      <c r="D56" s="44"/>
      <c r="E56" s="44"/>
      <c r="F56" s="33" t="s">
        <v>229</v>
      </c>
      <c r="G56" s="53" t="s">
        <v>386</v>
      </c>
      <c r="H56" s="22">
        <v>39</v>
      </c>
      <c r="I56" s="22">
        <v>53</v>
      </c>
      <c r="J56" s="22">
        <v>16</v>
      </c>
      <c r="K56" s="22">
        <v>12</v>
      </c>
      <c r="L56" s="22">
        <v>26</v>
      </c>
      <c r="M56" s="22">
        <v>23</v>
      </c>
      <c r="N56" s="22">
        <v>26</v>
      </c>
      <c r="O56" s="22">
        <v>68</v>
      </c>
      <c r="P56" s="22">
        <v>37</v>
      </c>
      <c r="Q56" s="22">
        <v>77</v>
      </c>
      <c r="R56" s="22">
        <v>96</v>
      </c>
      <c r="S56" s="22">
        <v>65</v>
      </c>
      <c r="T56" s="22">
        <v>32</v>
      </c>
      <c r="U56" s="22">
        <v>25</v>
      </c>
      <c r="V56" s="22">
        <v>19</v>
      </c>
      <c r="W56" s="22">
        <v>96</v>
      </c>
      <c r="X56" s="5">
        <v>2</v>
      </c>
    </row>
    <row r="57" spans="1:35" ht="19.5" customHeight="1">
      <c r="A57" s="36">
        <v>56</v>
      </c>
      <c r="B57" s="3" t="s">
        <v>342</v>
      </c>
      <c r="C57" s="11" t="s">
        <v>343</v>
      </c>
      <c r="D57" s="36"/>
      <c r="E57" s="36"/>
      <c r="F57" s="33" t="s">
        <v>229</v>
      </c>
      <c r="G57" s="53" t="s">
        <v>386</v>
      </c>
      <c r="H57" s="22">
        <v>38</v>
      </c>
      <c r="I57" s="22">
        <v>55</v>
      </c>
      <c r="J57" s="22">
        <v>16</v>
      </c>
      <c r="K57" s="22">
        <v>12</v>
      </c>
      <c r="L57" s="22">
        <v>25</v>
      </c>
      <c r="M57" s="22">
        <v>23</v>
      </c>
      <c r="N57" s="22">
        <v>25</v>
      </c>
      <c r="O57" s="22">
        <v>67</v>
      </c>
      <c r="P57" s="22">
        <v>36</v>
      </c>
      <c r="Q57" s="22">
        <v>75</v>
      </c>
      <c r="R57" s="22">
        <v>96</v>
      </c>
      <c r="S57" s="22">
        <v>64</v>
      </c>
      <c r="T57" s="22">
        <v>32</v>
      </c>
      <c r="U57" s="22">
        <v>25</v>
      </c>
      <c r="V57" s="22">
        <v>19</v>
      </c>
      <c r="W57" s="22">
        <v>97</v>
      </c>
      <c r="X57" s="5">
        <v>2</v>
      </c>
    </row>
    <row r="58" spans="1:35" ht="19.5" customHeight="1">
      <c r="A58" s="44"/>
      <c r="B58" s="44"/>
      <c r="C58" s="53"/>
      <c r="D58" s="44"/>
      <c r="E58" s="44"/>
      <c r="F58" s="44"/>
      <c r="G58" s="53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</row>
    <row r="59" spans="1:35" ht="19.5" customHeight="1">
      <c r="A59" s="36"/>
      <c r="B59" s="36"/>
      <c r="C59" s="55"/>
      <c r="D59" s="36"/>
      <c r="E59" s="36"/>
      <c r="F59" s="36"/>
      <c r="G59" s="55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</row>
    <row r="60" spans="1:35" ht="19.5" customHeight="1">
      <c r="A60" s="44"/>
      <c r="B60" s="44"/>
      <c r="C60" s="53"/>
      <c r="D60" s="44"/>
      <c r="E60" s="44"/>
      <c r="F60" s="44"/>
      <c r="G60" s="53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</row>
    <row r="61" spans="1:35" ht="19.5" customHeight="1">
      <c r="A61" s="36"/>
      <c r="B61" s="36"/>
      <c r="C61" s="55"/>
      <c r="D61" s="36"/>
      <c r="E61" s="36"/>
      <c r="F61" s="36"/>
      <c r="G61" s="55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</row>
    <row r="62" spans="1:35" ht="19.5" customHeight="1">
      <c r="A62" s="44"/>
      <c r="B62" s="44"/>
      <c r="C62" s="53"/>
      <c r="D62" s="44"/>
      <c r="E62" s="44"/>
      <c r="F62" s="44"/>
      <c r="G62" s="53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</row>
    <row r="63" spans="1:35" ht="19.5" customHeight="1">
      <c r="A63" s="36"/>
      <c r="B63" s="36"/>
      <c r="C63" s="55"/>
      <c r="D63" s="36"/>
      <c r="E63" s="36"/>
      <c r="F63" s="36"/>
      <c r="G63" s="55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35" ht="19.5" customHeight="1">
      <c r="A64" s="44"/>
      <c r="B64" s="44"/>
      <c r="C64" s="53"/>
      <c r="D64" s="44"/>
      <c r="E64" s="44"/>
      <c r="F64" s="44"/>
      <c r="G64" s="53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</row>
    <row r="65" spans="1:35" ht="19.5" customHeight="1">
      <c r="A65" s="36"/>
      <c r="B65" s="36"/>
      <c r="C65" s="55"/>
      <c r="D65" s="36"/>
      <c r="E65" s="36"/>
      <c r="F65" s="36"/>
      <c r="G65" s="55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</row>
    <row r="66" spans="1:35" ht="19.5" customHeight="1">
      <c r="A66" s="44"/>
      <c r="B66" s="44"/>
      <c r="C66" s="53"/>
      <c r="D66" s="44"/>
      <c r="E66" s="44"/>
      <c r="F66" s="44"/>
      <c r="G66" s="53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</row>
    <row r="67" spans="1:35" ht="19.5" customHeight="1">
      <c r="A67" s="36"/>
      <c r="B67" s="36"/>
      <c r="C67" s="55"/>
      <c r="D67" s="36"/>
      <c r="E67" s="36"/>
      <c r="F67" s="36"/>
      <c r="G67" s="55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1"/>
      <c r="Y67" s="1"/>
      <c r="Z67" s="1"/>
      <c r="AA67" s="1"/>
      <c r="AB67" s="1"/>
      <c r="AC67" s="1"/>
      <c r="AD67" s="1"/>
      <c r="AE67" s="1"/>
      <c r="AF67" s="1"/>
    </row>
    <row r="68" spans="1:35" ht="19.5" customHeight="1">
      <c r="A68" s="44"/>
      <c r="B68" s="44"/>
      <c r="C68" s="53"/>
      <c r="D68" s="44"/>
      <c r="E68" s="44"/>
      <c r="F68" s="44"/>
      <c r="G68" s="53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1"/>
      <c r="Y68" s="1"/>
      <c r="Z68" s="1"/>
      <c r="AA68" s="1"/>
      <c r="AB68" s="1"/>
      <c r="AC68" s="1"/>
      <c r="AD68" s="1"/>
      <c r="AE68" s="1"/>
      <c r="AF68" s="1"/>
    </row>
    <row r="69" spans="1:35" ht="19.5" customHeight="1">
      <c r="A69" s="36"/>
      <c r="B69" s="36"/>
      <c r="C69" s="55"/>
      <c r="D69" s="36"/>
      <c r="E69" s="36"/>
      <c r="F69" s="36"/>
      <c r="G69" s="55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1"/>
      <c r="Y69" s="1"/>
      <c r="Z69" s="1"/>
      <c r="AA69" s="1"/>
      <c r="AB69" s="1"/>
      <c r="AC69" s="1"/>
      <c r="AD69" s="1"/>
      <c r="AE69" s="1"/>
      <c r="AF69" s="1"/>
    </row>
    <row r="70" spans="1:35" ht="19.5" customHeight="1">
      <c r="A70" s="44"/>
      <c r="B70" s="44"/>
      <c r="C70" s="53"/>
      <c r="D70" s="44"/>
      <c r="E70" s="44"/>
      <c r="F70" s="44"/>
      <c r="G70" s="53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</row>
    <row r="71" spans="1:35" ht="19.5" customHeight="1">
      <c r="A71" s="36"/>
      <c r="B71" s="36"/>
      <c r="C71" s="55"/>
      <c r="D71" s="36"/>
      <c r="E71" s="36"/>
      <c r="F71" s="36"/>
      <c r="G71" s="55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</row>
    <row r="72" spans="1:35" ht="19.5" customHeight="1">
      <c r="A72" s="44"/>
      <c r="B72" s="44"/>
      <c r="C72" s="53"/>
      <c r="D72" s="44"/>
      <c r="E72" s="44"/>
      <c r="F72" s="44"/>
      <c r="G72" s="53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</row>
    <row r="73" spans="1:35" ht="19.5" customHeight="1">
      <c r="A73" s="36"/>
      <c r="B73" s="36"/>
      <c r="C73" s="55"/>
      <c r="D73" s="36"/>
      <c r="E73" s="36"/>
      <c r="F73" s="36"/>
      <c r="G73" s="55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</row>
    <row r="74" spans="1:35" ht="19.5" customHeight="1">
      <c r="A74" s="44"/>
      <c r="B74" s="44"/>
      <c r="C74" s="53"/>
      <c r="D74" s="44"/>
      <c r="E74" s="44"/>
      <c r="F74" s="44"/>
      <c r="G74" s="53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</row>
    <row r="75" spans="1:35" ht="19.5" customHeight="1">
      <c r="A75" s="36"/>
      <c r="B75" s="36"/>
      <c r="C75" s="55"/>
      <c r="D75" s="36"/>
      <c r="E75" s="36"/>
      <c r="F75" s="36"/>
      <c r="G75" s="55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</row>
    <row r="76" spans="1:35" ht="19.5" customHeight="1">
      <c r="A76" s="44"/>
      <c r="B76" s="44"/>
      <c r="C76" s="53"/>
      <c r="D76" s="44"/>
      <c r="E76" s="44"/>
      <c r="F76" s="44"/>
      <c r="G76" s="53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</row>
    <row r="77" spans="1:35" ht="19.5" customHeight="1">
      <c r="A77" s="36"/>
      <c r="B77" s="36"/>
      <c r="C77" s="55"/>
      <c r="D77" s="36"/>
      <c r="E77" s="36"/>
      <c r="F77" s="36"/>
      <c r="G77" s="55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</row>
    <row r="78" spans="1:35" ht="19.5" customHeight="1">
      <c r="A78" s="44"/>
      <c r="B78" s="44"/>
      <c r="C78" s="53"/>
      <c r="D78" s="44"/>
      <c r="E78" s="44"/>
      <c r="F78" s="44"/>
      <c r="G78" s="53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</row>
    <row r="79" spans="1:35" ht="19.5" customHeight="1">
      <c r="A79" s="36"/>
      <c r="B79" s="36"/>
      <c r="C79" s="55"/>
      <c r="D79" s="36"/>
      <c r="E79" s="36"/>
      <c r="F79" s="36"/>
      <c r="G79" s="55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</row>
    <row r="80" spans="1:35" ht="19.5" customHeight="1">
      <c r="A80" s="44"/>
      <c r="B80" s="44"/>
      <c r="C80" s="53"/>
      <c r="D80" s="44"/>
      <c r="E80" s="44"/>
      <c r="F80" s="44"/>
      <c r="G80" s="53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</row>
    <row r="81" spans="1:23" ht="19.5" customHeight="1">
      <c r="A81" s="36"/>
      <c r="B81" s="36"/>
      <c r="C81" s="55"/>
      <c r="D81" s="36"/>
      <c r="E81" s="36"/>
      <c r="F81" s="36"/>
      <c r="G81" s="55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</row>
    <row r="82" spans="1:23" ht="19.5" customHeight="1">
      <c r="A82" s="44"/>
      <c r="B82" s="44"/>
      <c r="C82" s="53"/>
      <c r="D82" s="44"/>
      <c r="E82" s="44"/>
      <c r="F82" s="44"/>
      <c r="G82" s="53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</row>
    <row r="83" spans="1:23" ht="19.5" customHeight="1">
      <c r="A83" s="36"/>
      <c r="B83" s="36"/>
      <c r="C83" s="55"/>
      <c r="D83" s="36"/>
      <c r="E83" s="36"/>
      <c r="F83" s="36"/>
      <c r="G83" s="55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</row>
    <row r="84" spans="1:23" ht="19.5" customHeight="1">
      <c r="A84" s="44"/>
      <c r="B84" s="44"/>
      <c r="C84" s="53"/>
      <c r="D84" s="44"/>
      <c r="E84" s="44"/>
      <c r="F84" s="44"/>
      <c r="G84" s="53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</row>
    <row r="85" spans="1:23" ht="19.5" customHeight="1">
      <c r="A85" s="36"/>
      <c r="B85" s="36"/>
      <c r="C85" s="55"/>
      <c r="D85" s="36"/>
      <c r="E85" s="36"/>
      <c r="F85" s="36"/>
      <c r="G85" s="55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</row>
    <row r="86" spans="1:23" ht="19.5" customHeight="1">
      <c r="A86" s="44"/>
      <c r="B86" s="44"/>
      <c r="C86" s="53"/>
      <c r="D86" s="44"/>
      <c r="E86" s="44"/>
      <c r="F86" s="44"/>
      <c r="G86" s="53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</row>
    <row r="87" spans="1:23" ht="19.5" customHeight="1">
      <c r="A87" s="36"/>
      <c r="B87" s="36"/>
      <c r="C87" s="55"/>
      <c r="D87" s="36"/>
      <c r="E87" s="36"/>
      <c r="F87" s="36"/>
      <c r="G87" s="55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</row>
    <row r="88" spans="1:23" ht="19.5" customHeight="1">
      <c r="A88" s="44"/>
      <c r="B88" s="44"/>
      <c r="C88" s="53"/>
      <c r="D88" s="44"/>
      <c r="E88" s="44"/>
      <c r="F88" s="44"/>
      <c r="G88" s="53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</row>
    <row r="89" spans="1:23" ht="19.5" customHeight="1">
      <c r="A89" s="36"/>
      <c r="B89" s="36"/>
      <c r="C89" s="55"/>
      <c r="D89" s="36"/>
      <c r="E89" s="36"/>
      <c r="F89" s="36"/>
      <c r="G89" s="55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</row>
    <row r="90" spans="1:23" ht="19.5" customHeight="1">
      <c r="A90" s="44"/>
      <c r="B90" s="44"/>
      <c r="C90" s="53"/>
      <c r="D90" s="44"/>
      <c r="E90" s="44"/>
      <c r="F90" s="44"/>
      <c r="G90" s="53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</row>
    <row r="91" spans="1:23" ht="19.5" customHeight="1">
      <c r="A91" s="36"/>
      <c r="B91" s="36"/>
      <c r="C91" s="55"/>
      <c r="D91" s="36"/>
      <c r="E91" s="36"/>
      <c r="F91" s="36"/>
      <c r="G91" s="55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</row>
    <row r="92" spans="1:23" ht="19.5" customHeight="1">
      <c r="A92" s="44"/>
      <c r="B92" s="44"/>
      <c r="C92" s="53"/>
      <c r="D92" s="44"/>
      <c r="E92" s="44"/>
      <c r="F92" s="44"/>
      <c r="G92" s="53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</row>
    <row r="93" spans="1:23" ht="19.5" customHeight="1">
      <c r="A93" s="36"/>
      <c r="B93" s="36"/>
      <c r="C93" s="55"/>
      <c r="D93" s="36"/>
      <c r="E93" s="36"/>
      <c r="F93" s="36"/>
      <c r="G93" s="55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</row>
    <row r="94" spans="1:23" ht="19.5" customHeight="1">
      <c r="A94" s="44"/>
      <c r="B94" s="44"/>
      <c r="C94" s="53"/>
      <c r="D94" s="44"/>
      <c r="E94" s="44"/>
      <c r="F94" s="44"/>
      <c r="G94" s="53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</row>
    <row r="95" spans="1:23" ht="19.5" customHeight="1">
      <c r="A95" s="36"/>
      <c r="B95" s="36"/>
      <c r="C95" s="55"/>
      <c r="D95" s="36"/>
      <c r="E95" s="36"/>
      <c r="F95" s="36"/>
      <c r="G95" s="55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</row>
    <row r="96" spans="1:23" ht="19.5" customHeight="1">
      <c r="A96" s="44"/>
      <c r="B96" s="44"/>
      <c r="C96" s="53"/>
      <c r="D96" s="44"/>
      <c r="E96" s="44"/>
      <c r="F96" s="44"/>
      <c r="G96" s="53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</row>
    <row r="97" spans="1:35" ht="19.5" customHeight="1">
      <c r="A97" s="36"/>
      <c r="B97" s="36"/>
      <c r="C97" s="55"/>
      <c r="D97" s="36"/>
      <c r="E97" s="36"/>
      <c r="F97" s="36"/>
      <c r="G97" s="55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</row>
    <row r="98" spans="1:35" ht="19.5" customHeight="1">
      <c r="A98" s="44"/>
      <c r="B98" s="44"/>
      <c r="C98" s="53"/>
      <c r="D98" s="44"/>
      <c r="E98" s="44"/>
      <c r="F98" s="44"/>
      <c r="G98" s="53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</row>
    <row r="99" spans="1:35" ht="19.5" customHeight="1">
      <c r="A99" s="36"/>
      <c r="B99" s="36"/>
      <c r="C99" s="55"/>
      <c r="D99" s="36"/>
      <c r="E99" s="36"/>
      <c r="F99" s="36"/>
      <c r="G99" s="55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</row>
    <row r="100" spans="1:35" ht="19.5" customHeight="1">
      <c r="A100" s="44"/>
      <c r="B100" s="44"/>
      <c r="C100" s="53"/>
      <c r="D100" s="44"/>
      <c r="E100" s="44"/>
      <c r="F100" s="44"/>
      <c r="G100" s="53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</row>
    <row r="101" spans="1:35" ht="19.5" customHeight="1">
      <c r="A101" s="36"/>
      <c r="B101" s="36"/>
      <c r="C101" s="55"/>
      <c r="D101" s="36"/>
      <c r="E101" s="36"/>
      <c r="F101" s="36"/>
      <c r="G101" s="55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</row>
    <row r="102" spans="1:35" ht="19.5" customHeight="1">
      <c r="A102" s="44"/>
      <c r="B102" s="44"/>
      <c r="C102" s="53"/>
      <c r="D102" s="44"/>
      <c r="E102" s="44"/>
      <c r="F102" s="44"/>
      <c r="G102" s="53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1"/>
      <c r="Y102" s="1"/>
      <c r="Z102" s="1"/>
      <c r="AA102" s="1"/>
      <c r="AB102" s="1"/>
      <c r="AC102" s="1"/>
      <c r="AD102" s="1"/>
      <c r="AE102" s="1"/>
      <c r="AF102" s="1"/>
    </row>
    <row r="103" spans="1:35" ht="19.5" customHeight="1">
      <c r="A103" s="36"/>
      <c r="B103" s="36"/>
      <c r="C103" s="55"/>
      <c r="D103" s="36"/>
      <c r="E103" s="36"/>
      <c r="F103" s="36"/>
      <c r="G103" s="55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</row>
    <row r="104" spans="1:35" ht="19.5" customHeight="1">
      <c r="A104" s="44"/>
      <c r="B104" s="44"/>
      <c r="C104" s="53"/>
      <c r="D104" s="44"/>
      <c r="E104" s="44"/>
      <c r="F104" s="44"/>
      <c r="G104" s="53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</row>
    <row r="105" spans="1:35" ht="19.5" customHeight="1">
      <c r="A105" s="36"/>
      <c r="B105" s="36"/>
      <c r="C105" s="55"/>
      <c r="D105" s="36"/>
      <c r="E105" s="36"/>
      <c r="F105" s="36"/>
      <c r="G105" s="55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</row>
    <row r="106" spans="1:35">
      <c r="A106" s="1">
        <v>53</v>
      </c>
      <c r="B106" s="10" t="s">
        <v>34</v>
      </c>
      <c r="C106" s="11" t="s">
        <v>35</v>
      </c>
      <c r="D106" s="57"/>
      <c r="E106" s="57"/>
      <c r="F106" s="57"/>
      <c r="G106" s="10"/>
      <c r="M106" s="15"/>
      <c r="V106" s="15"/>
    </row>
    <row r="107" spans="1:35">
      <c r="A107" s="1">
        <v>53</v>
      </c>
    </row>
    <row r="108" spans="1:35">
      <c r="A108" s="1">
        <v>54</v>
      </c>
      <c r="B108" s="10" t="s">
        <v>46</v>
      </c>
      <c r="C108" s="11" t="s">
        <v>47</v>
      </c>
      <c r="D108" s="57"/>
      <c r="E108" s="57"/>
      <c r="F108" s="57"/>
      <c r="G108" s="10"/>
    </row>
    <row r="109" spans="1:35" ht="21.75" customHeight="1">
      <c r="A109" s="1">
        <v>54</v>
      </c>
    </row>
    <row r="110" spans="1:35">
      <c r="A110" s="1">
        <v>55</v>
      </c>
      <c r="B110" s="10" t="s">
        <v>58</v>
      </c>
      <c r="C110" s="11" t="s">
        <v>59</v>
      </c>
      <c r="D110" s="57"/>
      <c r="E110" s="57"/>
      <c r="F110" s="57"/>
      <c r="G110" s="10"/>
    </row>
    <row r="111" spans="1:35">
      <c r="A111" s="1">
        <v>55</v>
      </c>
    </row>
    <row r="112" spans="1:35">
      <c r="A112" s="1">
        <v>56</v>
      </c>
      <c r="B112" s="10" t="s">
        <v>91</v>
      </c>
      <c r="C112" s="11" t="s">
        <v>92</v>
      </c>
      <c r="E112" s="57"/>
      <c r="F112" s="57"/>
      <c r="G112" s="3"/>
    </row>
    <row r="113" spans="1:23">
      <c r="A113" s="1">
        <v>56</v>
      </c>
    </row>
    <row r="114" spans="1:23">
      <c r="A114" s="1">
        <v>57</v>
      </c>
      <c r="B114" s="10" t="s">
        <v>94</v>
      </c>
      <c r="C114" s="11" t="s">
        <v>95</v>
      </c>
      <c r="E114" s="57"/>
      <c r="F114" s="57"/>
      <c r="G114" s="3"/>
    </row>
    <row r="115" spans="1:23">
      <c r="A115" s="1">
        <v>57</v>
      </c>
    </row>
    <row r="116" spans="1:23">
      <c r="A116" s="1">
        <v>58</v>
      </c>
      <c r="B116" s="10" t="s">
        <v>100</v>
      </c>
      <c r="C116" s="11" t="s">
        <v>101</v>
      </c>
      <c r="D116" s="57"/>
      <c r="E116" s="57"/>
      <c r="F116" s="57"/>
      <c r="G116" s="3"/>
    </row>
    <row r="117" spans="1:23">
      <c r="A117" s="1">
        <v>58</v>
      </c>
    </row>
    <row r="118" spans="1:23">
      <c r="A118" s="1">
        <v>59</v>
      </c>
      <c r="B118" s="10" t="s">
        <v>103</v>
      </c>
      <c r="C118" s="11" t="s">
        <v>104</v>
      </c>
      <c r="D118" s="57"/>
      <c r="E118" s="57"/>
      <c r="F118" s="57"/>
      <c r="G118" s="3"/>
    </row>
    <row r="119" spans="1:23">
      <c r="A119" s="1">
        <v>59</v>
      </c>
    </row>
    <row r="120" spans="1:23">
      <c r="A120" s="1">
        <v>60</v>
      </c>
      <c r="B120" s="10" t="s">
        <v>109</v>
      </c>
      <c r="C120" s="11" t="s">
        <v>110</v>
      </c>
      <c r="D120" s="57"/>
      <c r="E120" s="57"/>
      <c r="F120" s="57"/>
      <c r="G120" s="3"/>
    </row>
    <row r="121" spans="1:23">
      <c r="A121" s="1">
        <v>60</v>
      </c>
    </row>
    <row r="122" spans="1:23">
      <c r="A122" s="1">
        <v>61</v>
      </c>
      <c r="B122" s="10" t="s">
        <v>112</v>
      </c>
      <c r="C122" s="11" t="s">
        <v>113</v>
      </c>
      <c r="D122" s="57"/>
      <c r="E122" s="57"/>
      <c r="F122" s="57"/>
      <c r="G122" s="3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</row>
    <row r="123" spans="1:23">
      <c r="A123" s="1">
        <v>61</v>
      </c>
    </row>
    <row r="124" spans="1:23">
      <c r="A124" s="1">
        <v>62</v>
      </c>
      <c r="B124" s="3" t="s">
        <v>125</v>
      </c>
      <c r="C124" s="11" t="s">
        <v>126</v>
      </c>
      <c r="D124" s="57"/>
      <c r="E124" s="57"/>
      <c r="F124" s="57"/>
      <c r="G124" s="3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</row>
    <row r="125" spans="1:23">
      <c r="A125" s="1">
        <v>62</v>
      </c>
    </row>
    <row r="126" spans="1:23">
      <c r="A126" s="1">
        <v>63</v>
      </c>
      <c r="B126" s="3" t="s">
        <v>134</v>
      </c>
      <c r="C126" s="11" t="s">
        <v>135</v>
      </c>
      <c r="D126" s="57"/>
      <c r="E126" s="57"/>
      <c r="F126" s="57"/>
      <c r="G126" s="3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</row>
    <row r="127" spans="1:23">
      <c r="A127" s="1">
        <v>63</v>
      </c>
    </row>
    <row r="128" spans="1:23">
      <c r="A128" s="1">
        <v>64</v>
      </c>
      <c r="B128" s="3" t="s">
        <v>137</v>
      </c>
      <c r="C128" s="11" t="s">
        <v>138</v>
      </c>
      <c r="D128" s="57"/>
      <c r="E128" s="57"/>
      <c r="F128" s="57"/>
      <c r="G128" s="3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</row>
    <row r="129" spans="1:23">
      <c r="A129" s="1">
        <v>64</v>
      </c>
    </row>
    <row r="130" spans="1:23">
      <c r="A130" s="1">
        <v>65</v>
      </c>
      <c r="B130" s="3" t="s">
        <v>140</v>
      </c>
      <c r="C130" s="11" t="s">
        <v>141</v>
      </c>
      <c r="D130" s="57"/>
      <c r="E130" s="57"/>
      <c r="F130" s="57"/>
      <c r="G130" s="3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</row>
    <row r="131" spans="1:23">
      <c r="A131" s="1">
        <v>65</v>
      </c>
    </row>
    <row r="132" spans="1:23">
      <c r="A132" s="1">
        <v>66</v>
      </c>
      <c r="B132" s="3" t="s">
        <v>143</v>
      </c>
      <c r="C132" s="11" t="s">
        <v>144</v>
      </c>
      <c r="D132" s="57"/>
      <c r="E132" s="57"/>
      <c r="F132" s="57"/>
      <c r="G132" s="3"/>
    </row>
    <row r="133" spans="1:23">
      <c r="A133" s="1">
        <v>66</v>
      </c>
    </row>
    <row r="134" spans="1:23">
      <c r="A134" s="1">
        <v>67</v>
      </c>
      <c r="B134" s="3" t="s">
        <v>146</v>
      </c>
      <c r="C134" s="11" t="s">
        <v>147</v>
      </c>
      <c r="D134" s="57"/>
      <c r="E134" s="57"/>
      <c r="F134" s="57"/>
      <c r="G134" s="3"/>
    </row>
    <row r="135" spans="1:23">
      <c r="A135" s="1">
        <v>67</v>
      </c>
    </row>
    <row r="136" spans="1:23">
      <c r="A136" s="1">
        <v>68</v>
      </c>
      <c r="B136" s="3" t="s">
        <v>155</v>
      </c>
      <c r="C136" s="11" t="s">
        <v>156</v>
      </c>
      <c r="D136" s="57"/>
      <c r="E136" s="57"/>
      <c r="F136" s="57"/>
      <c r="G136" s="3"/>
    </row>
    <row r="137" spans="1:23">
      <c r="A137" s="1">
        <v>68</v>
      </c>
    </row>
    <row r="138" spans="1:23">
      <c r="A138" s="1">
        <v>69</v>
      </c>
      <c r="B138" s="3" t="s">
        <v>158</v>
      </c>
      <c r="C138" s="11" t="s">
        <v>159</v>
      </c>
      <c r="D138" s="57"/>
      <c r="E138" s="57"/>
      <c r="F138" s="57"/>
      <c r="G138" s="3"/>
    </row>
    <row r="139" spans="1:23">
      <c r="A139" s="1">
        <v>69</v>
      </c>
    </row>
    <row r="140" spans="1:23">
      <c r="A140" s="1">
        <v>70</v>
      </c>
      <c r="B140" s="3" t="s">
        <v>164</v>
      </c>
      <c r="C140" s="11" t="s">
        <v>165</v>
      </c>
      <c r="D140" s="57"/>
      <c r="E140" s="57"/>
      <c r="F140" s="57"/>
      <c r="G140" s="3"/>
    </row>
    <row r="141" spans="1:23">
      <c r="A141" s="1">
        <v>70</v>
      </c>
    </row>
    <row r="142" spans="1:23">
      <c r="A142" s="1">
        <v>71</v>
      </c>
      <c r="B142" s="3" t="s">
        <v>167</v>
      </c>
      <c r="C142" s="11" t="s">
        <v>168</v>
      </c>
      <c r="D142" s="57"/>
      <c r="E142" s="57"/>
      <c r="F142" s="57"/>
      <c r="G142" s="3"/>
    </row>
    <row r="143" spans="1:23">
      <c r="A143" s="1">
        <v>71</v>
      </c>
    </row>
    <row r="144" spans="1:23">
      <c r="A144" s="1">
        <v>72</v>
      </c>
      <c r="B144" s="3" t="s">
        <v>176</v>
      </c>
      <c r="C144" s="11" t="s">
        <v>177</v>
      </c>
      <c r="D144" s="57"/>
      <c r="E144" s="57"/>
      <c r="F144" s="57"/>
      <c r="G144" s="3"/>
    </row>
    <row r="145" spans="1:7">
      <c r="A145" s="1">
        <v>72</v>
      </c>
    </row>
    <row r="146" spans="1:7">
      <c r="A146" s="1">
        <v>73</v>
      </c>
      <c r="B146" s="3" t="s">
        <v>179</v>
      </c>
      <c r="C146" s="11" t="s">
        <v>180</v>
      </c>
      <c r="D146" s="57"/>
      <c r="E146" s="57"/>
      <c r="F146" s="57"/>
      <c r="G146" s="3"/>
    </row>
    <row r="147" spans="1:7">
      <c r="A147" s="1">
        <v>73</v>
      </c>
    </row>
    <row r="148" spans="1:7">
      <c r="A148" s="1">
        <v>74</v>
      </c>
      <c r="B148" s="3" t="s">
        <v>182</v>
      </c>
      <c r="C148" s="11" t="s">
        <v>183</v>
      </c>
      <c r="D148" s="57"/>
      <c r="E148" s="57"/>
      <c r="F148" s="57"/>
      <c r="G148" s="3"/>
    </row>
    <row r="149" spans="1:7">
      <c r="A149" s="1">
        <v>74</v>
      </c>
    </row>
    <row r="150" spans="1:7">
      <c r="A150" s="1">
        <v>75</v>
      </c>
      <c r="B150" s="3" t="s">
        <v>185</v>
      </c>
      <c r="C150" s="11" t="s">
        <v>186</v>
      </c>
      <c r="D150" s="57"/>
      <c r="E150" s="57"/>
      <c r="F150" s="57"/>
      <c r="G150" s="3"/>
    </row>
    <row r="151" spans="1:7">
      <c r="A151" s="1">
        <v>75</v>
      </c>
    </row>
    <row r="152" spans="1:7">
      <c r="A152" s="1">
        <v>76</v>
      </c>
      <c r="B152" s="3" t="s">
        <v>188</v>
      </c>
      <c r="C152" s="11" t="s">
        <v>189</v>
      </c>
      <c r="D152" s="57"/>
      <c r="E152" s="57"/>
      <c r="F152" s="57"/>
      <c r="G152" s="3"/>
    </row>
    <row r="153" spans="1:7">
      <c r="A153" s="1">
        <v>76</v>
      </c>
    </row>
    <row r="154" spans="1:7">
      <c r="A154" s="1">
        <v>77</v>
      </c>
      <c r="B154" s="3" t="s">
        <v>191</v>
      </c>
      <c r="C154" s="11" t="s">
        <v>192</v>
      </c>
      <c r="D154" s="57"/>
      <c r="E154" s="57"/>
      <c r="F154" s="57"/>
      <c r="G154" s="3"/>
    </row>
    <row r="155" spans="1:7">
      <c r="A155" s="1">
        <v>77</v>
      </c>
    </row>
    <row r="156" spans="1:7">
      <c r="A156" s="1">
        <v>78</v>
      </c>
      <c r="B156" s="3" t="s">
        <v>194</v>
      </c>
      <c r="C156" s="11" t="s">
        <v>195</v>
      </c>
      <c r="D156" s="57"/>
      <c r="E156" s="57"/>
      <c r="F156" s="57"/>
      <c r="G156" s="3"/>
    </row>
    <row r="157" spans="1:7">
      <c r="A157" s="1">
        <v>78</v>
      </c>
    </row>
    <row r="158" spans="1:7">
      <c r="A158" s="1">
        <v>79</v>
      </c>
      <c r="B158" s="3" t="s">
        <v>197</v>
      </c>
      <c r="C158" s="11" t="s">
        <v>198</v>
      </c>
      <c r="D158" s="57"/>
      <c r="E158" s="57"/>
      <c r="F158" s="57"/>
      <c r="G158" s="3"/>
    </row>
    <row r="159" spans="1:7">
      <c r="A159" s="1">
        <v>79</v>
      </c>
    </row>
    <row r="160" spans="1:7">
      <c r="A160" s="1">
        <v>80</v>
      </c>
      <c r="B160" s="3" t="s">
        <v>200</v>
      </c>
      <c r="C160" s="11" t="s">
        <v>201</v>
      </c>
      <c r="D160" s="57"/>
      <c r="E160" s="57"/>
      <c r="F160" s="57"/>
      <c r="G160" s="3"/>
    </row>
    <row r="161" spans="1:16">
      <c r="A161" s="1">
        <v>80</v>
      </c>
    </row>
    <row r="162" spans="1:16">
      <c r="A162" s="1">
        <v>81</v>
      </c>
      <c r="B162" s="3" t="s">
        <v>203</v>
      </c>
      <c r="C162" s="11" t="s">
        <v>204</v>
      </c>
      <c r="D162" s="57"/>
      <c r="E162" s="57"/>
      <c r="F162" s="57"/>
      <c r="G162" s="3"/>
    </row>
    <row r="163" spans="1:16">
      <c r="A163" s="1">
        <v>81</v>
      </c>
    </row>
    <row r="164" spans="1:16">
      <c r="A164" s="1">
        <v>82</v>
      </c>
      <c r="B164" s="3" t="s">
        <v>209</v>
      </c>
      <c r="C164" s="11" t="s">
        <v>210</v>
      </c>
      <c r="D164" s="57"/>
      <c r="E164" s="57"/>
      <c r="F164" s="57"/>
      <c r="G164" s="3"/>
    </row>
    <row r="165" spans="1:16">
      <c r="A165" s="1">
        <v>82</v>
      </c>
    </row>
    <row r="166" spans="1:16">
      <c r="A166" s="1">
        <v>83</v>
      </c>
      <c r="B166" s="3" t="s">
        <v>215</v>
      </c>
      <c r="C166" s="11" t="s">
        <v>216</v>
      </c>
      <c r="D166" s="57"/>
      <c r="E166" s="57"/>
      <c r="F166" s="57"/>
      <c r="G166" s="3"/>
      <c r="O166" s="15"/>
      <c r="P166" s="15"/>
    </row>
    <row r="167" spans="1:16">
      <c r="A167" s="1">
        <v>83</v>
      </c>
    </row>
    <row r="168" spans="1:16">
      <c r="A168" s="1">
        <v>84</v>
      </c>
      <c r="B168" s="3" t="s">
        <v>218</v>
      </c>
      <c r="C168" s="11" t="s">
        <v>219</v>
      </c>
      <c r="D168" s="57"/>
      <c r="E168" s="57"/>
      <c r="F168" s="57"/>
      <c r="G168" s="3"/>
      <c r="O168" s="15"/>
      <c r="P168" s="15"/>
    </row>
    <row r="169" spans="1:16">
      <c r="A169" s="1">
        <v>84</v>
      </c>
    </row>
    <row r="170" spans="1:16">
      <c r="A170" s="1">
        <v>85</v>
      </c>
      <c r="B170" s="3" t="s">
        <v>224</v>
      </c>
      <c r="C170" s="11" t="s">
        <v>225</v>
      </c>
      <c r="D170" s="57"/>
      <c r="E170" s="57"/>
      <c r="F170" s="57"/>
      <c r="G170" s="3"/>
    </row>
    <row r="171" spans="1:16">
      <c r="A171" s="1">
        <v>85</v>
      </c>
    </row>
    <row r="172" spans="1:16">
      <c r="A172" s="1">
        <v>86</v>
      </c>
      <c r="B172" s="3" t="s">
        <v>227</v>
      </c>
      <c r="C172" s="11" t="s">
        <v>228</v>
      </c>
      <c r="D172" s="57"/>
      <c r="E172" s="57"/>
      <c r="F172" s="57"/>
      <c r="G172" s="3"/>
      <c r="O172" s="15"/>
      <c r="P172" s="15"/>
    </row>
    <row r="173" spans="1:16">
      <c r="A173" s="1">
        <v>86</v>
      </c>
    </row>
    <row r="174" spans="1:16">
      <c r="A174" s="1">
        <v>87</v>
      </c>
      <c r="B174" s="3" t="s">
        <v>231</v>
      </c>
      <c r="C174" s="11" t="s">
        <v>232</v>
      </c>
      <c r="D174" s="57"/>
      <c r="E174" s="57"/>
      <c r="F174" s="57"/>
      <c r="G174" s="3"/>
      <c r="O174" s="15"/>
      <c r="P174" s="15"/>
    </row>
    <row r="175" spans="1:16">
      <c r="A175" s="1">
        <v>87</v>
      </c>
    </row>
    <row r="176" spans="1:16">
      <c r="A176" s="1">
        <v>88</v>
      </c>
      <c r="B176" s="3" t="s">
        <v>237</v>
      </c>
      <c r="C176" s="11" t="s">
        <v>238</v>
      </c>
      <c r="D176" s="57"/>
      <c r="E176" s="57"/>
      <c r="F176" s="57"/>
      <c r="G176" s="3"/>
      <c r="O176" s="15"/>
      <c r="P176" s="15"/>
    </row>
    <row r="177" spans="1:23">
      <c r="A177" s="1">
        <v>88</v>
      </c>
    </row>
    <row r="178" spans="1:23">
      <c r="A178" s="1">
        <v>89</v>
      </c>
      <c r="B178" s="3" t="s">
        <v>240</v>
      </c>
      <c r="C178" s="11" t="s">
        <v>241</v>
      </c>
      <c r="D178" s="57"/>
      <c r="E178" s="57"/>
      <c r="F178" s="57"/>
      <c r="G178" s="3"/>
      <c r="O178" s="15"/>
      <c r="P178" s="15"/>
    </row>
    <row r="179" spans="1:23">
      <c r="A179" s="1">
        <v>89</v>
      </c>
    </row>
    <row r="180" spans="1:23">
      <c r="A180" s="1">
        <v>90</v>
      </c>
      <c r="D180" s="57"/>
      <c r="E180" s="57"/>
      <c r="F180" s="57"/>
      <c r="G180" s="3"/>
      <c r="O180" s="15"/>
      <c r="P180" s="15"/>
    </row>
    <row r="181" spans="1:23">
      <c r="A181" s="1">
        <v>90</v>
      </c>
    </row>
    <row r="182" spans="1:23">
      <c r="A182" s="1">
        <v>91</v>
      </c>
      <c r="B182" s="3" t="s">
        <v>249</v>
      </c>
      <c r="C182" s="11" t="s">
        <v>250</v>
      </c>
      <c r="D182" s="57"/>
      <c r="E182" s="57"/>
      <c r="F182" s="57"/>
      <c r="G182" s="3"/>
      <c r="O182" s="15"/>
      <c r="P182" s="15"/>
    </row>
    <row r="183" spans="1:23">
      <c r="A183" s="1">
        <v>91</v>
      </c>
    </row>
    <row r="184" spans="1:23">
      <c r="A184" s="1">
        <v>92</v>
      </c>
      <c r="D184" s="57"/>
      <c r="E184" s="57"/>
      <c r="F184" s="57"/>
      <c r="G184" s="3"/>
      <c r="O184" s="15"/>
      <c r="P184" s="15"/>
    </row>
    <row r="185" spans="1:23">
      <c r="A185" s="1">
        <v>92</v>
      </c>
    </row>
    <row r="186" spans="1:23">
      <c r="A186" s="1">
        <v>93</v>
      </c>
      <c r="B186" s="3" t="s">
        <v>255</v>
      </c>
      <c r="C186" s="11" t="s">
        <v>256</v>
      </c>
      <c r="D186" s="57"/>
      <c r="E186" s="57"/>
      <c r="F186" s="57"/>
      <c r="G186" s="3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</row>
    <row r="187" spans="1:23">
      <c r="A187" s="1">
        <v>93</v>
      </c>
    </row>
    <row r="188" spans="1:23">
      <c r="A188" s="1">
        <v>94</v>
      </c>
      <c r="B188" s="3" t="s">
        <v>258</v>
      </c>
      <c r="C188" s="11" t="s">
        <v>259</v>
      </c>
      <c r="D188" s="57"/>
      <c r="E188" s="57"/>
      <c r="F188" s="57"/>
      <c r="G188" s="3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</row>
    <row r="189" spans="1:23">
      <c r="A189" s="1">
        <v>94</v>
      </c>
    </row>
    <row r="190" spans="1:23">
      <c r="A190" s="1">
        <v>95</v>
      </c>
      <c r="B190" s="3" t="s">
        <v>261</v>
      </c>
      <c r="C190" s="11" t="s">
        <v>262</v>
      </c>
      <c r="D190" s="57"/>
      <c r="E190" s="57"/>
      <c r="F190" s="57"/>
      <c r="G190" s="3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</row>
    <row r="191" spans="1:23">
      <c r="A191" s="1">
        <v>95</v>
      </c>
    </row>
    <row r="192" spans="1:23">
      <c r="A192" s="1">
        <v>96</v>
      </c>
      <c r="B192" s="3" t="s">
        <v>264</v>
      </c>
      <c r="C192" s="11" t="s">
        <v>265</v>
      </c>
      <c r="D192" s="57"/>
      <c r="E192" s="57"/>
      <c r="F192" s="57"/>
      <c r="G192" s="3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</row>
    <row r="193" spans="1:23">
      <c r="A193" s="1">
        <v>96</v>
      </c>
    </row>
    <row r="194" spans="1:23">
      <c r="A194" s="1">
        <v>97</v>
      </c>
      <c r="B194" s="3" t="s">
        <v>267</v>
      </c>
      <c r="C194" s="11" t="s">
        <v>268</v>
      </c>
      <c r="D194" s="57"/>
      <c r="E194" s="57"/>
      <c r="F194" s="57"/>
      <c r="G194" s="3"/>
      <c r="O194" s="15"/>
      <c r="P194" s="15"/>
    </row>
    <row r="195" spans="1:23">
      <c r="A195" s="1">
        <v>97</v>
      </c>
    </row>
    <row r="196" spans="1:23">
      <c r="A196" s="1">
        <v>98</v>
      </c>
      <c r="B196" s="3" t="s">
        <v>270</v>
      </c>
      <c r="C196" s="11" t="s">
        <v>271</v>
      </c>
      <c r="D196" s="57"/>
      <c r="E196" s="57"/>
      <c r="F196" s="57"/>
      <c r="G196" s="3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</row>
    <row r="197" spans="1:23">
      <c r="A197" s="1">
        <v>98</v>
      </c>
    </row>
    <row r="198" spans="1:23">
      <c r="A198" s="1">
        <v>99</v>
      </c>
      <c r="B198" s="3" t="s">
        <v>276</v>
      </c>
      <c r="C198" s="11" t="s">
        <v>277</v>
      </c>
      <c r="D198" s="57"/>
      <c r="E198" s="57"/>
      <c r="F198" s="57"/>
      <c r="G198" s="3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</row>
    <row r="199" spans="1:23">
      <c r="A199" s="1">
        <v>99</v>
      </c>
    </row>
    <row r="200" spans="1:23">
      <c r="A200" s="1">
        <v>100</v>
      </c>
      <c r="B200" s="3" t="s">
        <v>279</v>
      </c>
      <c r="C200" s="11" t="s">
        <v>280</v>
      </c>
      <c r="D200" s="57"/>
      <c r="E200" s="57"/>
      <c r="F200" s="57"/>
      <c r="G200" s="3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</row>
    <row r="201" spans="1:23">
      <c r="A201" s="1">
        <v>100</v>
      </c>
    </row>
    <row r="202" spans="1:23">
      <c r="A202" s="1">
        <v>101</v>
      </c>
      <c r="D202" s="57"/>
      <c r="E202" s="57"/>
      <c r="F202" s="57"/>
      <c r="G202" s="3"/>
    </row>
    <row r="203" spans="1:23">
      <c r="A203" s="1">
        <v>101</v>
      </c>
    </row>
    <row r="204" spans="1:23">
      <c r="A204" s="1">
        <v>102</v>
      </c>
      <c r="B204" s="3" t="s">
        <v>291</v>
      </c>
      <c r="C204" s="11" t="s">
        <v>292</v>
      </c>
      <c r="D204" s="57"/>
      <c r="E204" s="57"/>
      <c r="F204" s="57"/>
      <c r="G204" s="3"/>
    </row>
    <row r="205" spans="1:23">
      <c r="A205" s="1">
        <v>102</v>
      </c>
    </row>
    <row r="206" spans="1:23">
      <c r="A206" s="1">
        <v>103</v>
      </c>
      <c r="B206" s="3" t="s">
        <v>294</v>
      </c>
      <c r="C206" s="11" t="s">
        <v>295</v>
      </c>
      <c r="D206" s="57"/>
      <c r="E206" s="57"/>
      <c r="F206" s="57"/>
      <c r="G206" s="3"/>
    </row>
    <row r="207" spans="1:23">
      <c r="A207" s="1">
        <v>103</v>
      </c>
    </row>
    <row r="208" spans="1:23">
      <c r="A208" s="1">
        <v>104</v>
      </c>
      <c r="B208" s="3" t="s">
        <v>300</v>
      </c>
      <c r="C208" s="11" t="s">
        <v>301</v>
      </c>
      <c r="D208" s="57"/>
      <c r="E208" s="57"/>
      <c r="F208" s="57"/>
      <c r="G208" s="3"/>
    </row>
    <row r="209" spans="1:23">
      <c r="A209" s="1">
        <v>104</v>
      </c>
    </row>
    <row r="210" spans="1:23">
      <c r="A210" s="1">
        <v>105</v>
      </c>
      <c r="B210" s="3" t="s">
        <v>303</v>
      </c>
      <c r="C210" s="11" t="s">
        <v>304</v>
      </c>
      <c r="D210" s="57"/>
      <c r="E210" s="57"/>
      <c r="F210" s="57"/>
      <c r="G210" s="3"/>
    </row>
    <row r="211" spans="1:23">
      <c r="A211" s="1">
        <v>105</v>
      </c>
    </row>
    <row r="212" spans="1:23">
      <c r="A212" s="1">
        <v>106</v>
      </c>
      <c r="B212" s="3" t="s">
        <v>306</v>
      </c>
      <c r="C212" s="11" t="s">
        <v>307</v>
      </c>
      <c r="D212" s="57"/>
      <c r="E212" s="57"/>
      <c r="F212" s="57"/>
      <c r="G212" s="3"/>
    </row>
    <row r="213" spans="1:23">
      <c r="A213" s="1">
        <v>106</v>
      </c>
    </row>
    <row r="214" spans="1:23">
      <c r="A214" s="1">
        <v>107</v>
      </c>
      <c r="B214" s="3" t="s">
        <v>309</v>
      </c>
      <c r="C214" s="11" t="s">
        <v>310</v>
      </c>
      <c r="D214" s="57"/>
      <c r="E214" s="57"/>
      <c r="F214" s="57"/>
      <c r="G214" s="3"/>
    </row>
    <row r="215" spans="1:23">
      <c r="A215" s="1">
        <v>107</v>
      </c>
    </row>
    <row r="216" spans="1:23">
      <c r="A216" s="1">
        <v>108</v>
      </c>
      <c r="B216" s="3" t="s">
        <v>318</v>
      </c>
      <c r="C216" s="11" t="s">
        <v>319</v>
      </c>
      <c r="D216" s="57"/>
      <c r="E216" s="57"/>
      <c r="F216" s="57"/>
      <c r="G216" s="3"/>
    </row>
    <row r="217" spans="1:23">
      <c r="A217" s="1">
        <v>108</v>
      </c>
    </row>
    <row r="218" spans="1:23">
      <c r="A218" s="1">
        <v>109</v>
      </c>
      <c r="B218" s="3" t="s">
        <v>333</v>
      </c>
      <c r="C218" s="11" t="s">
        <v>334</v>
      </c>
      <c r="D218" s="57"/>
      <c r="E218" s="57"/>
      <c r="F218" s="57"/>
      <c r="G218" s="3"/>
    </row>
    <row r="219" spans="1:23">
      <c r="A219" s="1">
        <v>109</v>
      </c>
    </row>
    <row r="220" spans="1:23">
      <c r="A220" s="1">
        <v>110</v>
      </c>
      <c r="D220" s="57"/>
      <c r="E220" s="57"/>
      <c r="F220" s="57"/>
      <c r="G220" s="3"/>
    </row>
    <row r="221" spans="1:23">
      <c r="A221" s="1">
        <v>110</v>
      </c>
    </row>
    <row r="222" spans="1:23">
      <c r="A222" s="1">
        <v>111</v>
      </c>
      <c r="B222" s="3" t="s">
        <v>351</v>
      </c>
      <c r="C222" s="11" t="s">
        <v>352</v>
      </c>
      <c r="D222" s="57"/>
      <c r="E222" s="57"/>
      <c r="F222" s="57"/>
      <c r="G222" s="3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spans="1:23">
      <c r="A223" s="1">
        <v>111</v>
      </c>
    </row>
    <row r="224" spans="1:23">
      <c r="A224" s="1">
        <v>112</v>
      </c>
      <c r="B224" s="3" t="s">
        <v>360</v>
      </c>
      <c r="C224" s="11" t="s">
        <v>361</v>
      </c>
      <c r="D224" s="57"/>
      <c r="E224" s="57"/>
      <c r="F224" s="57"/>
      <c r="G224" s="3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spans="1:1">
      <c r="A225" s="1">
        <v>112</v>
      </c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I105"/>
  <sheetViews>
    <sheetView zoomScale="120" zoomScaleNormal="120" workbookViewId="0">
      <selection activeCell="H23" sqref="H2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30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30" ht="19.5" customHeight="1">
      <c r="A2" s="59">
        <v>1</v>
      </c>
      <c r="B2" s="60" t="s">
        <v>24</v>
      </c>
      <c r="C2" s="61" t="s">
        <v>25</v>
      </c>
      <c r="D2" s="59" t="s">
        <v>26</v>
      </c>
      <c r="E2" s="60" t="s">
        <v>386</v>
      </c>
      <c r="F2" s="60"/>
      <c r="G2" s="60"/>
      <c r="H2" s="60"/>
      <c r="I2" s="60"/>
      <c r="J2" s="60"/>
      <c r="K2" s="60"/>
      <c r="L2" s="60"/>
      <c r="M2" s="60"/>
      <c r="N2" s="34"/>
      <c r="O2" s="34"/>
      <c r="P2" s="34"/>
      <c r="Q2" s="34"/>
      <c r="R2" s="34"/>
      <c r="S2" s="34"/>
      <c r="T2" s="34"/>
      <c r="U2" s="62"/>
    </row>
    <row r="3" spans="1:30" ht="19.5" customHeight="1">
      <c r="A3" s="63"/>
      <c r="B3" s="63"/>
      <c r="C3" s="64"/>
      <c r="D3" s="63"/>
      <c r="E3" s="64"/>
      <c r="F3" s="65"/>
      <c r="G3" s="65"/>
      <c r="H3" s="65"/>
      <c r="I3" s="65"/>
      <c r="J3" s="65"/>
      <c r="K3" s="65"/>
      <c r="L3" s="65"/>
      <c r="M3" s="65"/>
      <c r="N3" s="66"/>
      <c r="O3" s="66"/>
      <c r="U3" s="67"/>
    </row>
    <row r="4" spans="1:30" ht="19.5" customHeight="1">
      <c r="A4" s="59">
        <v>2</v>
      </c>
      <c r="B4" s="60" t="s">
        <v>52</v>
      </c>
      <c r="C4" s="61" t="s">
        <v>53</v>
      </c>
      <c r="D4" s="59" t="s">
        <v>26</v>
      </c>
      <c r="E4" s="60" t="s">
        <v>394</v>
      </c>
      <c r="F4" s="60" t="s">
        <v>395</v>
      </c>
      <c r="G4" s="60" t="s">
        <v>396</v>
      </c>
      <c r="H4" s="60" t="s">
        <v>397</v>
      </c>
      <c r="I4" s="60" t="s">
        <v>398</v>
      </c>
      <c r="J4" s="60" t="s">
        <v>396</v>
      </c>
      <c r="K4" s="60" t="s">
        <v>398</v>
      </c>
      <c r="L4" s="60" t="s">
        <v>399</v>
      </c>
      <c r="M4" s="60" t="s">
        <v>400</v>
      </c>
      <c r="U4" s="62"/>
    </row>
    <row r="5" spans="1:30" ht="19.5" customHeight="1">
      <c r="A5" s="63"/>
      <c r="B5" s="63"/>
      <c r="C5" s="64"/>
      <c r="D5" s="63"/>
      <c r="E5" s="64"/>
      <c r="F5" s="65" t="s">
        <v>401</v>
      </c>
      <c r="G5" s="65" t="s">
        <v>402</v>
      </c>
      <c r="H5" s="65" t="s">
        <v>403</v>
      </c>
      <c r="I5" s="65" t="s">
        <v>404</v>
      </c>
      <c r="J5" s="65" t="s">
        <v>405</v>
      </c>
      <c r="K5" s="65" t="s">
        <v>406</v>
      </c>
      <c r="L5" s="65" t="s">
        <v>407</v>
      </c>
      <c r="M5" s="65"/>
      <c r="N5" s="66"/>
      <c r="O5" s="66"/>
      <c r="U5" s="67"/>
    </row>
    <row r="6" spans="1:30" ht="19.5" customHeight="1">
      <c r="A6" s="59">
        <v>3</v>
      </c>
      <c r="B6" s="60" t="s">
        <v>55</v>
      </c>
      <c r="C6" s="61" t="s">
        <v>56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409</v>
      </c>
      <c r="M6" s="60" t="s">
        <v>410</v>
      </c>
      <c r="U6" s="62"/>
      <c r="V6" s="1"/>
      <c r="W6" s="1"/>
      <c r="X6" s="1"/>
      <c r="Y6" s="1"/>
      <c r="Z6" s="1"/>
      <c r="AA6" s="1"/>
      <c r="AB6" s="1"/>
      <c r="AC6" s="1"/>
      <c r="AD6" s="1"/>
    </row>
    <row r="7" spans="1:30" ht="19.5" customHeight="1">
      <c r="A7" s="63"/>
      <c r="B7" s="63"/>
      <c r="C7" s="64"/>
      <c r="D7" s="63"/>
      <c r="E7" s="64"/>
      <c r="F7" s="65" t="s">
        <v>411</v>
      </c>
      <c r="G7" s="65" t="s">
        <v>412</v>
      </c>
      <c r="H7" s="65" t="s">
        <v>403</v>
      </c>
      <c r="I7" s="65" t="s">
        <v>413</v>
      </c>
      <c r="J7" s="65" t="s">
        <v>405</v>
      </c>
      <c r="K7" s="65" t="s">
        <v>406</v>
      </c>
      <c r="L7" s="65" t="s">
        <v>414</v>
      </c>
      <c r="M7" s="65"/>
      <c r="N7" s="66"/>
      <c r="O7" s="66"/>
      <c r="U7" s="67"/>
    </row>
    <row r="8" spans="1:30" ht="19.5" customHeight="1">
      <c r="A8" s="59">
        <v>4</v>
      </c>
      <c r="B8" s="60" t="s">
        <v>61</v>
      </c>
      <c r="C8" s="61" t="s">
        <v>62</v>
      </c>
      <c r="D8" s="59" t="s">
        <v>26</v>
      </c>
      <c r="E8" s="60" t="s">
        <v>394</v>
      </c>
      <c r="F8" s="60" t="s">
        <v>387</v>
      </c>
      <c r="G8" s="60" t="s">
        <v>396</v>
      </c>
      <c r="H8" s="60" t="s">
        <v>397</v>
      </c>
      <c r="I8" s="60" t="s">
        <v>408</v>
      </c>
      <c r="J8" s="60" t="s">
        <v>405</v>
      </c>
      <c r="K8" s="60" t="s">
        <v>408</v>
      </c>
      <c r="L8" s="60" t="s">
        <v>399</v>
      </c>
      <c r="M8" s="60" t="s">
        <v>410</v>
      </c>
      <c r="U8" s="62"/>
    </row>
    <row r="9" spans="1:30" ht="19.5" customHeight="1">
      <c r="A9" s="63"/>
      <c r="B9" s="63"/>
      <c r="C9" s="64"/>
      <c r="D9" s="63"/>
      <c r="E9" s="64"/>
      <c r="F9" s="65" t="s">
        <v>411</v>
      </c>
      <c r="G9" s="65" t="s">
        <v>415</v>
      </c>
      <c r="H9" s="65" t="s">
        <v>416</v>
      </c>
      <c r="I9" s="65" t="s">
        <v>417</v>
      </c>
      <c r="J9" s="65" t="s">
        <v>405</v>
      </c>
      <c r="K9" s="65" t="s">
        <v>406</v>
      </c>
      <c r="L9" s="65" t="s">
        <v>407</v>
      </c>
      <c r="M9" s="65"/>
      <c r="N9" s="66"/>
      <c r="O9" s="66"/>
      <c r="U9" s="67"/>
    </row>
    <row r="10" spans="1:30" ht="19.5" customHeight="1">
      <c r="A10" s="59">
        <v>5</v>
      </c>
      <c r="B10" s="60" t="s">
        <v>64</v>
      </c>
      <c r="C10" s="61" t="s">
        <v>65</v>
      </c>
      <c r="D10" s="59" t="s">
        <v>26</v>
      </c>
      <c r="E10" s="60" t="s">
        <v>394</v>
      </c>
      <c r="F10" s="60" t="s">
        <v>400</v>
      </c>
      <c r="G10" s="60" t="s">
        <v>405</v>
      </c>
      <c r="H10" s="60" t="s">
        <v>418</v>
      </c>
      <c r="I10" s="60" t="s">
        <v>396</v>
      </c>
      <c r="J10" s="60" t="s">
        <v>419</v>
      </c>
      <c r="K10" s="60" t="s">
        <v>396</v>
      </c>
      <c r="L10" s="60" t="s">
        <v>420</v>
      </c>
      <c r="M10" s="60" t="s">
        <v>421</v>
      </c>
      <c r="U10" s="62"/>
    </row>
    <row r="11" spans="1:30" ht="19.5" customHeight="1">
      <c r="A11" s="63"/>
      <c r="B11" s="63"/>
      <c r="C11" s="64"/>
      <c r="D11" s="63"/>
      <c r="E11" s="64"/>
      <c r="F11" s="65" t="s">
        <v>409</v>
      </c>
      <c r="G11" s="65" t="s">
        <v>422</v>
      </c>
      <c r="H11" s="65" t="s">
        <v>416</v>
      </c>
      <c r="I11" s="65" t="s">
        <v>417</v>
      </c>
      <c r="J11" s="65" t="s">
        <v>405</v>
      </c>
      <c r="K11" s="65" t="s">
        <v>406</v>
      </c>
      <c r="L11" s="65" t="s">
        <v>402</v>
      </c>
      <c r="M11" s="65"/>
      <c r="N11" s="66"/>
      <c r="O11" s="66"/>
      <c r="U11" s="67"/>
    </row>
    <row r="12" spans="1:30" ht="19.5" customHeight="1">
      <c r="A12" s="59">
        <v>6</v>
      </c>
      <c r="B12" s="60" t="s">
        <v>67</v>
      </c>
      <c r="C12" s="61" t="s">
        <v>68</v>
      </c>
      <c r="D12" s="59" t="s">
        <v>26</v>
      </c>
      <c r="E12" s="60" t="s">
        <v>394</v>
      </c>
      <c r="F12" s="60" t="s">
        <v>395</v>
      </c>
      <c r="G12" s="60" t="s">
        <v>419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423</v>
      </c>
      <c r="M12" s="60" t="s">
        <v>400</v>
      </c>
      <c r="U12" s="62"/>
      <c r="V12" s="1"/>
      <c r="W12" s="1"/>
      <c r="X12" s="1"/>
      <c r="Y12" s="1"/>
      <c r="Z12" s="1"/>
      <c r="AA12" s="1"/>
      <c r="AB12" s="1"/>
      <c r="AC12" s="1"/>
      <c r="AD12" s="1"/>
    </row>
    <row r="13" spans="1:30" ht="19.5" customHeight="1">
      <c r="A13" s="63"/>
      <c r="B13" s="63"/>
      <c r="C13" s="64"/>
      <c r="D13" s="63"/>
      <c r="E13" s="64"/>
      <c r="F13" s="65" t="s">
        <v>424</v>
      </c>
      <c r="G13" s="65" t="s">
        <v>414</v>
      </c>
      <c r="H13" s="65" t="s">
        <v>425</v>
      </c>
      <c r="I13" s="65" t="s">
        <v>404</v>
      </c>
      <c r="J13" s="65" t="s">
        <v>396</v>
      </c>
      <c r="K13" s="65" t="s">
        <v>406</v>
      </c>
      <c r="L13" s="65" t="s">
        <v>426</v>
      </c>
      <c r="M13" s="65"/>
      <c r="N13" s="66"/>
      <c r="O13" s="66"/>
      <c r="U13" s="67"/>
    </row>
    <row r="14" spans="1:30" ht="19.5" customHeight="1">
      <c r="A14" s="59">
        <v>7</v>
      </c>
      <c r="B14" s="60" t="s">
        <v>70</v>
      </c>
      <c r="C14" s="61" t="s">
        <v>71</v>
      </c>
      <c r="D14" s="59" t="s">
        <v>26</v>
      </c>
      <c r="E14" s="60" t="s">
        <v>394</v>
      </c>
      <c r="F14" s="60" t="s">
        <v>427</v>
      </c>
      <c r="G14" s="60" t="s">
        <v>428</v>
      </c>
      <c r="H14" s="60" t="s">
        <v>397</v>
      </c>
      <c r="I14" s="60" t="s">
        <v>398</v>
      </c>
      <c r="J14" s="60" t="s">
        <v>396</v>
      </c>
      <c r="K14" s="60" t="s">
        <v>398</v>
      </c>
      <c r="L14" s="60" t="s">
        <v>403</v>
      </c>
      <c r="M14" s="60" t="s">
        <v>387</v>
      </c>
      <c r="U14" s="62"/>
    </row>
    <row r="15" spans="1:30" ht="19.5" customHeight="1">
      <c r="A15" s="63"/>
      <c r="B15" s="63"/>
      <c r="C15" s="64"/>
      <c r="D15" s="63"/>
      <c r="E15" s="64"/>
      <c r="F15" s="65" t="s">
        <v>429</v>
      </c>
      <c r="G15" s="65" t="s">
        <v>430</v>
      </c>
      <c r="H15" s="65" t="s">
        <v>403</v>
      </c>
      <c r="I15" s="65" t="s">
        <v>404</v>
      </c>
      <c r="J15" s="65" t="s">
        <v>405</v>
      </c>
      <c r="K15" s="65" t="s">
        <v>406</v>
      </c>
      <c r="L15" s="65" t="s">
        <v>431</v>
      </c>
      <c r="M15" s="65"/>
      <c r="N15" s="66"/>
      <c r="O15" s="66"/>
      <c r="U15" s="67"/>
    </row>
    <row r="16" spans="1:30" ht="19.5" customHeight="1">
      <c r="A16" s="59">
        <v>8</v>
      </c>
      <c r="B16" s="60" t="s">
        <v>73</v>
      </c>
      <c r="C16" s="61" t="s">
        <v>74</v>
      </c>
      <c r="D16" s="59" t="s">
        <v>26</v>
      </c>
      <c r="E16" s="60" t="s">
        <v>394</v>
      </c>
      <c r="F16" s="60" t="s">
        <v>427</v>
      </c>
      <c r="G16" s="60" t="s">
        <v>419</v>
      </c>
      <c r="H16" s="60" t="s">
        <v>397</v>
      </c>
      <c r="I16" s="60" t="s">
        <v>432</v>
      </c>
      <c r="J16" s="60" t="s">
        <v>408</v>
      </c>
      <c r="K16" s="60" t="s">
        <v>432</v>
      </c>
      <c r="L16" s="60" t="s">
        <v>425</v>
      </c>
      <c r="M16" s="60" t="s">
        <v>387</v>
      </c>
      <c r="U16" s="62"/>
    </row>
    <row r="17" spans="1:33" ht="19.5" customHeight="1">
      <c r="A17" s="63"/>
      <c r="B17" s="63"/>
      <c r="C17" s="64"/>
      <c r="D17" s="63"/>
      <c r="E17" s="64"/>
      <c r="F17" s="65" t="s">
        <v>433</v>
      </c>
      <c r="G17" s="65" t="s">
        <v>434</v>
      </c>
      <c r="H17" s="65" t="s">
        <v>403</v>
      </c>
      <c r="I17" s="65" t="s">
        <v>435</v>
      </c>
      <c r="J17" s="65" t="s">
        <v>405</v>
      </c>
      <c r="K17" s="65" t="s">
        <v>406</v>
      </c>
      <c r="L17" s="65" t="s">
        <v>436</v>
      </c>
      <c r="M17" s="65"/>
      <c r="N17" s="66"/>
      <c r="O17" s="66"/>
      <c r="U17" s="67"/>
    </row>
    <row r="18" spans="1:33" ht="19.5" customHeight="1">
      <c r="A18" s="59">
        <v>9</v>
      </c>
      <c r="B18" s="60" t="s">
        <v>76</v>
      </c>
      <c r="C18" s="61" t="s">
        <v>77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403</v>
      </c>
      <c r="M18" s="60" t="s">
        <v>400</v>
      </c>
      <c r="U18" s="62"/>
    </row>
    <row r="19" spans="1:33" ht="19.5" customHeight="1">
      <c r="A19" s="63"/>
      <c r="B19" s="63"/>
      <c r="C19" s="64"/>
      <c r="D19" s="63"/>
      <c r="E19" s="64"/>
      <c r="F19" s="65" t="s">
        <v>437</v>
      </c>
      <c r="G19" s="65" t="s">
        <v>426</v>
      </c>
      <c r="H19" s="65" t="s">
        <v>438</v>
      </c>
      <c r="I19" s="65" t="s">
        <v>413</v>
      </c>
      <c r="J19" s="65" t="s">
        <v>419</v>
      </c>
      <c r="K19" s="65" t="s">
        <v>406</v>
      </c>
      <c r="L19" s="65" t="s">
        <v>439</v>
      </c>
      <c r="M19" s="65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1:33" ht="19.5" customHeight="1">
      <c r="A20" s="59">
        <v>10</v>
      </c>
      <c r="B20" s="60" t="s">
        <v>79</v>
      </c>
      <c r="C20" s="61" t="s">
        <v>80</v>
      </c>
      <c r="D20" s="59" t="s">
        <v>26</v>
      </c>
      <c r="E20" s="60" t="s">
        <v>394</v>
      </c>
      <c r="F20" s="60" t="s">
        <v>395</v>
      </c>
      <c r="G20" s="60" t="s">
        <v>419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423</v>
      </c>
      <c r="M20" s="60" t="s">
        <v>400</v>
      </c>
      <c r="U20" s="62"/>
    </row>
    <row r="21" spans="1:33" ht="19.5" customHeight="1">
      <c r="A21" s="63"/>
      <c r="B21" s="63"/>
      <c r="C21" s="64"/>
      <c r="D21" s="63"/>
      <c r="E21" s="64"/>
      <c r="F21" s="65" t="s">
        <v>437</v>
      </c>
      <c r="G21" s="65" t="s">
        <v>440</v>
      </c>
      <c r="H21" s="65" t="s">
        <v>403</v>
      </c>
      <c r="I21" s="65" t="s">
        <v>413</v>
      </c>
      <c r="J21" s="65" t="s">
        <v>405</v>
      </c>
      <c r="K21" s="65" t="s">
        <v>406</v>
      </c>
      <c r="L21" s="65" t="s">
        <v>422</v>
      </c>
      <c r="M21" s="65"/>
      <c r="N21" s="66"/>
      <c r="O21" s="66"/>
      <c r="U21" s="67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 ht="19.5" customHeight="1">
      <c r="A22" s="59">
        <v>11</v>
      </c>
      <c r="B22" s="60" t="s">
        <v>28</v>
      </c>
      <c r="C22" s="61" t="s">
        <v>29</v>
      </c>
      <c r="D22" s="59" t="s">
        <v>26</v>
      </c>
      <c r="E22" s="60" t="s">
        <v>394</v>
      </c>
      <c r="F22" s="60" t="s">
        <v>427</v>
      </c>
      <c r="G22" s="60" t="s">
        <v>405</v>
      </c>
      <c r="H22" s="60" t="s">
        <v>397</v>
      </c>
      <c r="I22" s="60" t="s">
        <v>398</v>
      </c>
      <c r="J22" s="60" t="s">
        <v>396</v>
      </c>
      <c r="K22" s="60" t="s">
        <v>398</v>
      </c>
      <c r="L22" s="60" t="s">
        <v>441</v>
      </c>
      <c r="M22" s="60" t="s">
        <v>387</v>
      </c>
      <c r="U22" s="62"/>
    </row>
    <row r="23" spans="1:33" ht="19.5" customHeight="1">
      <c r="A23" s="63"/>
      <c r="B23" s="63"/>
      <c r="C23" s="64"/>
      <c r="D23" s="63"/>
      <c r="E23" s="64"/>
      <c r="F23" s="65" t="s">
        <v>429</v>
      </c>
      <c r="G23" s="65" t="s">
        <v>442</v>
      </c>
      <c r="H23" s="65" t="s">
        <v>403</v>
      </c>
      <c r="I23" s="65" t="s">
        <v>435</v>
      </c>
      <c r="J23" s="65" t="s">
        <v>405</v>
      </c>
      <c r="K23" s="65" t="s">
        <v>406</v>
      </c>
      <c r="L23" s="65" t="s">
        <v>415</v>
      </c>
      <c r="M23" s="65"/>
      <c r="N23" s="66"/>
      <c r="O23" s="66"/>
      <c r="U23" s="67"/>
    </row>
    <row r="24" spans="1:33" ht="19.5" customHeight="1">
      <c r="A24" s="59">
        <v>12</v>
      </c>
      <c r="B24" s="60" t="s">
        <v>82</v>
      </c>
      <c r="C24" s="61" t="s">
        <v>83</v>
      </c>
      <c r="D24" s="59" t="s">
        <v>26</v>
      </c>
      <c r="E24" s="60" t="s">
        <v>394</v>
      </c>
      <c r="F24" s="60" t="s">
        <v>400</v>
      </c>
      <c r="G24" s="60" t="s">
        <v>405</v>
      </c>
      <c r="H24" s="60" t="s">
        <v>418</v>
      </c>
      <c r="I24" s="60" t="s">
        <v>396</v>
      </c>
      <c r="J24" s="60" t="s">
        <v>419</v>
      </c>
      <c r="K24" s="60" t="s">
        <v>396</v>
      </c>
      <c r="L24" s="60" t="s">
        <v>443</v>
      </c>
      <c r="M24" s="60" t="s">
        <v>421</v>
      </c>
      <c r="U24" s="62"/>
    </row>
    <row r="25" spans="1:33" ht="19.5" customHeight="1">
      <c r="A25" s="63"/>
      <c r="B25" s="63"/>
      <c r="C25" s="64"/>
      <c r="D25" s="63"/>
      <c r="E25" s="64"/>
      <c r="F25" s="65" t="s">
        <v>444</v>
      </c>
      <c r="G25" s="65" t="s">
        <v>426</v>
      </c>
      <c r="H25" s="65" t="s">
        <v>403</v>
      </c>
      <c r="I25" s="65" t="s">
        <v>417</v>
      </c>
      <c r="J25" s="65" t="s">
        <v>405</v>
      </c>
      <c r="K25" s="65" t="s">
        <v>406</v>
      </c>
      <c r="L25" s="65" t="s">
        <v>445</v>
      </c>
      <c r="M25" s="65"/>
      <c r="N25" s="66"/>
      <c r="O25" s="66"/>
      <c r="U25" s="67"/>
    </row>
    <row r="26" spans="1:33" ht="19.5" customHeight="1">
      <c r="A26" s="59">
        <v>13</v>
      </c>
      <c r="B26" s="60" t="s">
        <v>85</v>
      </c>
      <c r="C26" s="61" t="s">
        <v>86</v>
      </c>
      <c r="D26" s="59" t="s">
        <v>26</v>
      </c>
      <c r="E26" s="60" t="s">
        <v>394</v>
      </c>
      <c r="F26" s="60" t="s">
        <v>395</v>
      </c>
      <c r="G26" s="60" t="s">
        <v>419</v>
      </c>
      <c r="H26" s="60" t="s">
        <v>397</v>
      </c>
      <c r="I26" s="60" t="s">
        <v>398</v>
      </c>
      <c r="J26" s="60" t="s">
        <v>396</v>
      </c>
      <c r="K26" s="60" t="s">
        <v>398</v>
      </c>
      <c r="L26" s="60" t="s">
        <v>425</v>
      </c>
      <c r="M26" s="60" t="s">
        <v>400</v>
      </c>
      <c r="U26" s="62"/>
    </row>
    <row r="27" spans="1:33" ht="19.5" customHeight="1">
      <c r="A27" s="63"/>
      <c r="B27" s="63"/>
      <c r="C27" s="64"/>
      <c r="D27" s="63"/>
      <c r="E27" s="64"/>
      <c r="F27" s="65" t="s">
        <v>401</v>
      </c>
      <c r="G27" s="65" t="s">
        <v>426</v>
      </c>
      <c r="H27" s="65" t="s">
        <v>403</v>
      </c>
      <c r="I27" s="65" t="s">
        <v>417</v>
      </c>
      <c r="J27" s="65" t="s">
        <v>419</v>
      </c>
      <c r="K27" s="65" t="s">
        <v>446</v>
      </c>
      <c r="L27" s="65" t="s">
        <v>447</v>
      </c>
      <c r="M27" s="65"/>
      <c r="N27" s="66"/>
      <c r="O27" s="66"/>
      <c r="U27" s="67"/>
    </row>
    <row r="28" spans="1:33" ht="19.5" customHeight="1">
      <c r="A28" s="59">
        <v>14</v>
      </c>
      <c r="B28" s="60" t="s">
        <v>88</v>
      </c>
      <c r="C28" s="61" t="s">
        <v>89</v>
      </c>
      <c r="D28" s="59" t="s">
        <v>26</v>
      </c>
      <c r="E28" s="60" t="s">
        <v>394</v>
      </c>
      <c r="F28" s="60" t="s">
        <v>448</v>
      </c>
      <c r="G28" s="60" t="s">
        <v>405</v>
      </c>
      <c r="H28" s="60" t="s">
        <v>406</v>
      </c>
      <c r="I28" s="60" t="s">
        <v>417</v>
      </c>
      <c r="J28" s="60" t="s">
        <v>432</v>
      </c>
      <c r="K28" s="60" t="s">
        <v>449</v>
      </c>
      <c r="L28" s="60" t="s">
        <v>420</v>
      </c>
      <c r="M28" s="60" t="s">
        <v>427</v>
      </c>
      <c r="U28" s="62"/>
    </row>
    <row r="29" spans="1:33" ht="19.5" customHeight="1">
      <c r="A29" s="63"/>
      <c r="B29" s="63"/>
      <c r="C29" s="64"/>
      <c r="D29" s="63"/>
      <c r="E29" s="64"/>
      <c r="F29" s="65" t="s">
        <v>447</v>
      </c>
      <c r="G29" s="65" t="s">
        <v>450</v>
      </c>
      <c r="H29" s="65" t="s">
        <v>443</v>
      </c>
      <c r="I29" s="65" t="s">
        <v>451</v>
      </c>
      <c r="J29" s="65" t="s">
        <v>396</v>
      </c>
      <c r="K29" s="65" t="s">
        <v>452</v>
      </c>
      <c r="L29" s="65" t="s">
        <v>426</v>
      </c>
      <c r="M29" s="65"/>
      <c r="N29" s="66"/>
      <c r="O29" s="66"/>
      <c r="U29" s="67"/>
    </row>
    <row r="30" spans="1:33" ht="19.5" customHeight="1">
      <c r="A30" s="59">
        <v>15</v>
      </c>
      <c r="B30" s="60" t="s">
        <v>97</v>
      </c>
      <c r="C30" s="61" t="s">
        <v>98</v>
      </c>
      <c r="D30" s="59" t="s">
        <v>26</v>
      </c>
      <c r="E30" s="60" t="s">
        <v>394</v>
      </c>
      <c r="F30" s="60" t="s">
        <v>400</v>
      </c>
      <c r="G30" s="60" t="s">
        <v>405</v>
      </c>
      <c r="H30" s="60" t="s">
        <v>418</v>
      </c>
      <c r="I30" s="60" t="s">
        <v>396</v>
      </c>
      <c r="J30" s="60" t="s">
        <v>419</v>
      </c>
      <c r="K30" s="60" t="s">
        <v>396</v>
      </c>
      <c r="L30" s="60" t="s">
        <v>443</v>
      </c>
      <c r="M30" s="60" t="s">
        <v>421</v>
      </c>
      <c r="U30" s="62"/>
    </row>
    <row r="31" spans="1:33" ht="19.5" customHeight="1">
      <c r="A31" s="63"/>
      <c r="B31" s="63"/>
      <c r="C31" s="64"/>
      <c r="D31" s="63"/>
      <c r="E31" s="64"/>
      <c r="F31" s="65" t="s">
        <v>441</v>
      </c>
      <c r="G31" s="65" t="s">
        <v>436</v>
      </c>
      <c r="H31" s="65" t="s">
        <v>416</v>
      </c>
      <c r="I31" s="65" t="s">
        <v>453</v>
      </c>
      <c r="J31" s="65" t="s">
        <v>419</v>
      </c>
      <c r="K31" s="65" t="s">
        <v>406</v>
      </c>
      <c r="L31" s="65" t="s">
        <v>415</v>
      </c>
      <c r="M31" s="65"/>
      <c r="N31" s="66"/>
      <c r="O31" s="66"/>
      <c r="U31" s="67"/>
    </row>
    <row r="32" spans="1:33" ht="19.5" customHeight="1">
      <c r="A32" s="59">
        <v>16</v>
      </c>
      <c r="B32" s="60" t="s">
        <v>106</v>
      </c>
      <c r="C32" s="61" t="s">
        <v>107</v>
      </c>
      <c r="D32" s="59" t="s">
        <v>26</v>
      </c>
      <c r="E32" s="60" t="s">
        <v>394</v>
      </c>
      <c r="F32" s="60" t="s">
        <v>395</v>
      </c>
      <c r="G32" s="60" t="s">
        <v>419</v>
      </c>
      <c r="H32" s="60" t="s">
        <v>397</v>
      </c>
      <c r="I32" s="60" t="s">
        <v>398</v>
      </c>
      <c r="J32" s="60" t="s">
        <v>396</v>
      </c>
      <c r="K32" s="60" t="s">
        <v>398</v>
      </c>
      <c r="L32" s="60" t="s">
        <v>420</v>
      </c>
      <c r="M32" s="60" t="s">
        <v>400</v>
      </c>
      <c r="U32" s="62"/>
    </row>
    <row r="33" spans="1:33" ht="19.5" customHeight="1">
      <c r="A33" s="63"/>
      <c r="B33" s="63"/>
      <c r="C33" s="64"/>
      <c r="D33" s="63"/>
      <c r="E33" s="64"/>
      <c r="F33" s="65" t="s">
        <v>437</v>
      </c>
      <c r="G33" s="65" t="s">
        <v>402</v>
      </c>
      <c r="H33" s="65" t="s">
        <v>403</v>
      </c>
      <c r="I33" s="65" t="s">
        <v>404</v>
      </c>
      <c r="J33" s="65" t="s">
        <v>405</v>
      </c>
      <c r="K33" s="65" t="s">
        <v>406</v>
      </c>
      <c r="L33" s="65" t="s">
        <v>402</v>
      </c>
      <c r="M33" s="65"/>
      <c r="N33" s="66"/>
      <c r="O33" s="66"/>
      <c r="U33" s="67"/>
    </row>
    <row r="34" spans="1:33" ht="19.5" customHeight="1">
      <c r="A34" s="59">
        <v>17</v>
      </c>
      <c r="B34" s="60" t="s">
        <v>31</v>
      </c>
      <c r="C34" s="61" t="s">
        <v>32</v>
      </c>
      <c r="D34" s="59" t="s">
        <v>26</v>
      </c>
      <c r="E34" s="60" t="s">
        <v>394</v>
      </c>
      <c r="F34" s="60" t="s">
        <v>387</v>
      </c>
      <c r="G34" s="60" t="s">
        <v>419</v>
      </c>
      <c r="H34" s="60" t="s">
        <v>397</v>
      </c>
      <c r="I34" s="60" t="s">
        <v>408</v>
      </c>
      <c r="J34" s="60" t="s">
        <v>405</v>
      </c>
      <c r="K34" s="60" t="s">
        <v>408</v>
      </c>
      <c r="L34" s="60" t="s">
        <v>425</v>
      </c>
      <c r="M34" s="60" t="s">
        <v>410</v>
      </c>
      <c r="U34" s="62"/>
    </row>
    <row r="35" spans="1:33" ht="19.5" customHeight="1">
      <c r="A35" s="63"/>
      <c r="B35" s="63"/>
      <c r="C35" s="64"/>
      <c r="D35" s="63"/>
      <c r="E35" s="64"/>
      <c r="F35" s="65" t="s">
        <v>454</v>
      </c>
      <c r="G35" s="65" t="s">
        <v>412</v>
      </c>
      <c r="H35" s="65" t="s">
        <v>403</v>
      </c>
      <c r="I35" s="65" t="s">
        <v>413</v>
      </c>
      <c r="J35" s="65" t="s">
        <v>405</v>
      </c>
      <c r="K35" s="65" t="s">
        <v>406</v>
      </c>
      <c r="L35" s="65" t="s">
        <v>447</v>
      </c>
      <c r="M35" s="65"/>
      <c r="N35" s="66"/>
      <c r="O35" s="66"/>
      <c r="U35" s="67"/>
    </row>
    <row r="36" spans="1:33" ht="19.5" customHeight="1">
      <c r="A36" s="59">
        <v>18</v>
      </c>
      <c r="B36" s="60" t="s">
        <v>115</v>
      </c>
      <c r="C36" s="61" t="s">
        <v>116</v>
      </c>
      <c r="D36" s="59" t="s">
        <v>26</v>
      </c>
      <c r="E36" s="60" t="s">
        <v>394</v>
      </c>
      <c r="F36" s="60" t="s">
        <v>455</v>
      </c>
      <c r="G36" s="60" t="s">
        <v>419</v>
      </c>
      <c r="H36" s="60" t="s">
        <v>452</v>
      </c>
      <c r="I36" s="60" t="s">
        <v>413</v>
      </c>
      <c r="J36" s="60" t="s">
        <v>432</v>
      </c>
      <c r="K36" s="60" t="s">
        <v>413</v>
      </c>
      <c r="L36" s="60" t="s">
        <v>403</v>
      </c>
      <c r="M36" s="60" t="s">
        <v>456</v>
      </c>
      <c r="U36" s="62"/>
    </row>
    <row r="37" spans="1:33" ht="19.5" customHeight="1">
      <c r="A37" s="63"/>
      <c r="B37" s="63"/>
      <c r="C37" s="64"/>
      <c r="D37" s="63"/>
      <c r="E37" s="64"/>
      <c r="F37" s="65" t="s">
        <v>412</v>
      </c>
      <c r="G37" s="65" t="s">
        <v>457</v>
      </c>
      <c r="H37" s="65" t="s">
        <v>441</v>
      </c>
      <c r="I37" s="65" t="s">
        <v>458</v>
      </c>
      <c r="J37" s="65" t="s">
        <v>398</v>
      </c>
      <c r="K37" s="65" t="s">
        <v>459</v>
      </c>
      <c r="L37" s="65" t="s">
        <v>460</v>
      </c>
      <c r="M37" s="65"/>
      <c r="N37" s="66"/>
      <c r="O37" s="66"/>
      <c r="U37" s="67"/>
    </row>
    <row r="38" spans="1:33" ht="19.5" customHeight="1">
      <c r="A38" s="59">
        <v>19</v>
      </c>
      <c r="B38" s="60" t="s">
        <v>37</v>
      </c>
      <c r="C38" s="61" t="s">
        <v>38</v>
      </c>
      <c r="D38" s="59" t="s">
        <v>26</v>
      </c>
      <c r="E38" s="60" t="s">
        <v>394</v>
      </c>
      <c r="F38" s="60" t="s">
        <v>461</v>
      </c>
      <c r="G38" s="60" t="s">
        <v>405</v>
      </c>
      <c r="H38" s="60" t="s">
        <v>452</v>
      </c>
      <c r="I38" s="60" t="s">
        <v>413</v>
      </c>
      <c r="J38" s="60" t="s">
        <v>453</v>
      </c>
      <c r="K38" s="60" t="s">
        <v>413</v>
      </c>
      <c r="L38" s="60" t="s">
        <v>462</v>
      </c>
      <c r="M38" s="60" t="s">
        <v>456</v>
      </c>
      <c r="U38" s="62"/>
    </row>
    <row r="39" spans="1:33" ht="19.5" customHeight="1">
      <c r="A39" s="63"/>
      <c r="B39" s="63"/>
      <c r="C39" s="64"/>
      <c r="D39" s="63"/>
      <c r="E39" s="64"/>
      <c r="F39" s="65" t="s">
        <v>431</v>
      </c>
      <c r="G39" s="65" t="s">
        <v>463</v>
      </c>
      <c r="H39" s="65" t="s">
        <v>399</v>
      </c>
      <c r="I39" s="65" t="s">
        <v>458</v>
      </c>
      <c r="J39" s="65" t="s">
        <v>398</v>
      </c>
      <c r="K39" s="65" t="s">
        <v>452</v>
      </c>
      <c r="L39" s="65" t="s">
        <v>412</v>
      </c>
      <c r="M39" s="65"/>
      <c r="N39" s="66"/>
      <c r="O39" s="66"/>
      <c r="U39" s="67"/>
      <c r="V39" s="1"/>
      <c r="W39" s="1"/>
      <c r="X39" s="1"/>
      <c r="Y39" s="1"/>
      <c r="Z39" s="1"/>
      <c r="AA39" s="1"/>
      <c r="AB39" s="1"/>
      <c r="AC39" s="1"/>
      <c r="AD39" s="1"/>
    </row>
    <row r="40" spans="1:33" ht="19.5" customHeight="1">
      <c r="A40" s="59">
        <v>20</v>
      </c>
      <c r="B40" s="60" t="s">
        <v>40</v>
      </c>
      <c r="C40" s="61" t="s">
        <v>41</v>
      </c>
      <c r="D40" s="59" t="s">
        <v>26</v>
      </c>
      <c r="E40" s="60" t="s">
        <v>394</v>
      </c>
      <c r="F40" s="60" t="s">
        <v>395</v>
      </c>
      <c r="G40" s="60" t="s">
        <v>419</v>
      </c>
      <c r="H40" s="60" t="s">
        <v>397</v>
      </c>
      <c r="I40" s="60" t="s">
        <v>398</v>
      </c>
      <c r="J40" s="60" t="s">
        <v>396</v>
      </c>
      <c r="K40" s="60" t="s">
        <v>398</v>
      </c>
      <c r="L40" s="60" t="s">
        <v>403</v>
      </c>
      <c r="M40" s="60" t="s">
        <v>400</v>
      </c>
      <c r="U40" s="62"/>
    </row>
    <row r="41" spans="1:33" ht="19.5" customHeight="1">
      <c r="A41" s="63"/>
      <c r="B41" s="63"/>
      <c r="C41" s="64"/>
      <c r="D41" s="63"/>
      <c r="E41" s="64"/>
      <c r="F41" s="65" t="s">
        <v>424</v>
      </c>
      <c r="G41" s="65" t="s">
        <v>412</v>
      </c>
      <c r="H41" s="65" t="s">
        <v>438</v>
      </c>
      <c r="I41" s="65" t="s">
        <v>413</v>
      </c>
      <c r="J41" s="65" t="s">
        <v>419</v>
      </c>
      <c r="K41" s="65" t="s">
        <v>406</v>
      </c>
      <c r="L41" s="65" t="s">
        <v>439</v>
      </c>
      <c r="M41" s="65"/>
      <c r="N41" s="66"/>
      <c r="O41" s="66"/>
      <c r="U41" s="67"/>
    </row>
    <row r="42" spans="1:33" ht="19.5" customHeight="1">
      <c r="A42" s="59">
        <v>21</v>
      </c>
      <c r="B42" s="60" t="s">
        <v>43</v>
      </c>
      <c r="C42" s="61" t="s">
        <v>44</v>
      </c>
      <c r="D42" s="59" t="s">
        <v>26</v>
      </c>
      <c r="E42" s="60" t="s">
        <v>394</v>
      </c>
      <c r="F42" s="60" t="s">
        <v>395</v>
      </c>
      <c r="G42" s="60" t="s">
        <v>408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409</v>
      </c>
      <c r="M42" s="60" t="s">
        <v>400</v>
      </c>
      <c r="U42" s="62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 ht="19.5" customHeight="1">
      <c r="A43" s="63"/>
      <c r="B43" s="63"/>
      <c r="C43" s="64"/>
      <c r="D43" s="63"/>
      <c r="E43" s="64"/>
      <c r="F43" s="65" t="s">
        <v>437</v>
      </c>
      <c r="G43" s="65" t="s">
        <v>412</v>
      </c>
      <c r="H43" s="65" t="s">
        <v>443</v>
      </c>
      <c r="I43" s="65" t="s">
        <v>435</v>
      </c>
      <c r="J43" s="65" t="s">
        <v>405</v>
      </c>
      <c r="K43" s="65" t="s">
        <v>406</v>
      </c>
      <c r="L43" s="65" t="s">
        <v>414</v>
      </c>
      <c r="M43" s="65"/>
      <c r="N43" s="66"/>
      <c r="O43" s="66"/>
      <c r="U43" s="67"/>
    </row>
    <row r="44" spans="1:33" ht="19.5" customHeight="1">
      <c r="A44" s="59">
        <v>22</v>
      </c>
      <c r="B44" s="60" t="s">
        <v>49</v>
      </c>
      <c r="C44" s="61" t="s">
        <v>50</v>
      </c>
      <c r="D44" s="59" t="s">
        <v>26</v>
      </c>
      <c r="E44" s="60" t="s">
        <v>394</v>
      </c>
      <c r="F44" s="60" t="s">
        <v>387</v>
      </c>
      <c r="G44" s="60" t="s">
        <v>396</v>
      </c>
      <c r="H44" s="60" t="s">
        <v>397</v>
      </c>
      <c r="I44" s="60" t="s">
        <v>408</v>
      </c>
      <c r="J44" s="60" t="s">
        <v>405</v>
      </c>
      <c r="K44" s="60" t="s">
        <v>408</v>
      </c>
      <c r="L44" s="60" t="s">
        <v>399</v>
      </c>
      <c r="M44" s="60" t="s">
        <v>410</v>
      </c>
      <c r="U44" s="62"/>
    </row>
    <row r="45" spans="1:33" ht="19.5" customHeight="1">
      <c r="A45" s="63"/>
      <c r="B45" s="63"/>
      <c r="C45" s="64"/>
      <c r="D45" s="63"/>
      <c r="E45" s="64"/>
      <c r="F45" s="65" t="s">
        <v>411</v>
      </c>
      <c r="G45" s="65" t="s">
        <v>426</v>
      </c>
      <c r="H45" s="65" t="s">
        <v>438</v>
      </c>
      <c r="I45" s="65" t="s">
        <v>417</v>
      </c>
      <c r="J45" s="65" t="s">
        <v>405</v>
      </c>
      <c r="K45" s="65" t="s">
        <v>406</v>
      </c>
      <c r="L45" s="65" t="s">
        <v>407</v>
      </c>
      <c r="M45" s="65"/>
      <c r="N45" s="66"/>
      <c r="O45" s="66"/>
      <c r="U45" s="67"/>
    </row>
    <row r="46" spans="1:33" ht="19.5" customHeight="1">
      <c r="A46" s="59">
        <v>23</v>
      </c>
      <c r="B46" s="60" t="s">
        <v>118</v>
      </c>
      <c r="C46" s="61" t="s">
        <v>119</v>
      </c>
      <c r="D46" s="59" t="s">
        <v>120</v>
      </c>
      <c r="E46" s="60" t="s">
        <v>394</v>
      </c>
      <c r="F46" s="60" t="s">
        <v>395</v>
      </c>
      <c r="G46" s="60" t="s">
        <v>405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443</v>
      </c>
      <c r="M46" s="60" t="s">
        <v>400</v>
      </c>
      <c r="U46" s="62"/>
    </row>
    <row r="47" spans="1:33" ht="19.5" customHeight="1">
      <c r="A47" s="63"/>
      <c r="B47" s="63"/>
      <c r="C47" s="64"/>
      <c r="D47" s="63"/>
      <c r="E47" s="64"/>
      <c r="F47" s="65" t="s">
        <v>401</v>
      </c>
      <c r="G47" s="65" t="s">
        <v>412</v>
      </c>
      <c r="H47" s="65" t="s">
        <v>425</v>
      </c>
      <c r="I47" s="65" t="s">
        <v>404</v>
      </c>
      <c r="J47" s="65" t="s">
        <v>405</v>
      </c>
      <c r="K47" s="65" t="s">
        <v>406</v>
      </c>
      <c r="L47" s="65" t="s">
        <v>445</v>
      </c>
      <c r="M47" s="65"/>
      <c r="N47" s="66"/>
      <c r="O47" s="66"/>
      <c r="U47" s="67"/>
    </row>
    <row r="48" spans="1:33" ht="19.5" customHeight="1">
      <c r="A48" s="59">
        <v>24</v>
      </c>
      <c r="B48" s="60" t="s">
        <v>149</v>
      </c>
      <c r="C48" s="61" t="s">
        <v>150</v>
      </c>
      <c r="D48" s="59" t="s">
        <v>120</v>
      </c>
      <c r="E48" s="60" t="s">
        <v>394</v>
      </c>
      <c r="F48" s="60" t="s">
        <v>400</v>
      </c>
      <c r="G48" s="60" t="s">
        <v>396</v>
      </c>
      <c r="H48" s="60" t="s">
        <v>418</v>
      </c>
      <c r="I48" s="60" t="s">
        <v>396</v>
      </c>
      <c r="J48" s="60" t="s">
        <v>419</v>
      </c>
      <c r="K48" s="60" t="s">
        <v>396</v>
      </c>
      <c r="L48" s="60" t="s">
        <v>409</v>
      </c>
      <c r="M48" s="60" t="s">
        <v>421</v>
      </c>
      <c r="U48" s="62"/>
    </row>
    <row r="49" spans="1:33" ht="19.5" customHeight="1">
      <c r="A49" s="63"/>
      <c r="B49" s="63"/>
      <c r="C49" s="64"/>
      <c r="D49" s="63"/>
      <c r="E49" s="64"/>
      <c r="F49" s="65" t="s">
        <v>399</v>
      </c>
      <c r="G49" s="65" t="s">
        <v>447</v>
      </c>
      <c r="H49" s="65" t="s">
        <v>416</v>
      </c>
      <c r="I49" s="65" t="s">
        <v>453</v>
      </c>
      <c r="J49" s="65" t="s">
        <v>405</v>
      </c>
      <c r="K49" s="65" t="s">
        <v>406</v>
      </c>
      <c r="L49" s="65" t="s">
        <v>414</v>
      </c>
      <c r="M49" s="65"/>
      <c r="N49" s="66"/>
      <c r="O49" s="66"/>
      <c r="U49" s="67"/>
    </row>
    <row r="50" spans="1:33" ht="19.5" customHeight="1">
      <c r="A50" s="59">
        <v>25</v>
      </c>
      <c r="B50" s="60" t="s">
        <v>152</v>
      </c>
      <c r="C50" s="61" t="s">
        <v>153</v>
      </c>
      <c r="D50" s="59" t="s">
        <v>120</v>
      </c>
      <c r="E50" s="60" t="s">
        <v>394</v>
      </c>
      <c r="F50" s="60" t="s">
        <v>427</v>
      </c>
      <c r="G50" s="60" t="s">
        <v>419</v>
      </c>
      <c r="H50" s="60" t="s">
        <v>397</v>
      </c>
      <c r="I50" s="60" t="s">
        <v>398</v>
      </c>
      <c r="J50" s="60" t="s">
        <v>396</v>
      </c>
      <c r="K50" s="60" t="s">
        <v>398</v>
      </c>
      <c r="L50" s="60" t="s">
        <v>403</v>
      </c>
      <c r="M50" s="60" t="s">
        <v>387</v>
      </c>
      <c r="U50" s="62"/>
    </row>
    <row r="51" spans="1:33" ht="19.5" customHeight="1">
      <c r="A51" s="63"/>
      <c r="B51" s="63"/>
      <c r="C51" s="64"/>
      <c r="D51" s="63"/>
      <c r="E51" s="64"/>
      <c r="F51" s="65" t="s">
        <v>429</v>
      </c>
      <c r="G51" s="65" t="s">
        <v>415</v>
      </c>
      <c r="H51" s="65" t="s">
        <v>403</v>
      </c>
      <c r="I51" s="65" t="s">
        <v>404</v>
      </c>
      <c r="J51" s="65" t="s">
        <v>405</v>
      </c>
      <c r="K51" s="65" t="s">
        <v>452</v>
      </c>
      <c r="L51" s="65" t="s">
        <v>439</v>
      </c>
      <c r="M51" s="65"/>
      <c r="N51" s="66"/>
      <c r="O51" s="66"/>
      <c r="U51" s="67"/>
    </row>
    <row r="52" spans="1:33" ht="19.5" customHeight="1">
      <c r="A52" s="59">
        <v>26</v>
      </c>
      <c r="B52" s="60" t="s">
        <v>161</v>
      </c>
      <c r="C52" s="61" t="s">
        <v>162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U52" s="62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 ht="19.5" customHeight="1">
      <c r="A53" s="63"/>
      <c r="B53" s="63"/>
      <c r="C53" s="64"/>
      <c r="D53" s="63"/>
      <c r="E53" s="64"/>
      <c r="F53" s="65" t="s">
        <v>454</v>
      </c>
      <c r="G53" s="65" t="s">
        <v>426</v>
      </c>
      <c r="H53" s="65" t="s">
        <v>438</v>
      </c>
      <c r="I53" s="65" t="s">
        <v>413</v>
      </c>
      <c r="J53" s="65" t="s">
        <v>405</v>
      </c>
      <c r="K53" s="65" t="s">
        <v>446</v>
      </c>
      <c r="L53" s="65" t="s">
        <v>447</v>
      </c>
      <c r="M53" s="65"/>
      <c r="N53" s="66"/>
      <c r="O53" s="66"/>
      <c r="U53" s="67"/>
    </row>
    <row r="54" spans="1:33" ht="19.5" customHeight="1">
      <c r="A54" s="59">
        <v>27</v>
      </c>
      <c r="B54" s="60" t="s">
        <v>170</v>
      </c>
      <c r="C54" s="61" t="s">
        <v>171</v>
      </c>
      <c r="D54" s="59" t="s">
        <v>120</v>
      </c>
      <c r="E54" s="60" t="s">
        <v>394</v>
      </c>
      <c r="F54" s="60" t="s">
        <v>461</v>
      </c>
      <c r="G54" s="60" t="s">
        <v>419</v>
      </c>
      <c r="H54" s="60" t="s">
        <v>452</v>
      </c>
      <c r="I54" s="60" t="s">
        <v>413</v>
      </c>
      <c r="J54" s="60" t="s">
        <v>417</v>
      </c>
      <c r="K54" s="60" t="s">
        <v>413</v>
      </c>
      <c r="L54" s="60" t="s">
        <v>420</v>
      </c>
      <c r="M54" s="60" t="s">
        <v>456</v>
      </c>
      <c r="N54" s="34"/>
      <c r="O54" s="34"/>
      <c r="P54" s="54"/>
      <c r="Q54" s="54"/>
      <c r="R54" s="54"/>
      <c r="S54" s="54"/>
      <c r="T54" s="54"/>
      <c r="U54" s="68"/>
    </row>
    <row r="55" spans="1:33" ht="19.5" customHeight="1">
      <c r="A55" s="63"/>
      <c r="B55" s="63"/>
      <c r="C55" s="64"/>
      <c r="D55" s="63"/>
      <c r="E55" s="64"/>
      <c r="F55" s="65" t="s">
        <v>431</v>
      </c>
      <c r="G55" s="65" t="s">
        <v>464</v>
      </c>
      <c r="H55" s="65" t="s">
        <v>399</v>
      </c>
      <c r="I55" s="65" t="s">
        <v>458</v>
      </c>
      <c r="J55" s="65" t="s">
        <v>398</v>
      </c>
      <c r="K55" s="65" t="s">
        <v>452</v>
      </c>
      <c r="L55" s="65" t="s">
        <v>426</v>
      </c>
      <c r="M55" s="65"/>
      <c r="N55" s="56"/>
      <c r="O55" s="56"/>
      <c r="P55" s="56"/>
      <c r="Q55" s="56"/>
      <c r="R55" s="56"/>
      <c r="S55" s="56"/>
      <c r="T55" s="56"/>
      <c r="U55" s="69"/>
    </row>
    <row r="56" spans="1:33" ht="19.5" customHeight="1">
      <c r="A56" s="59">
        <v>28</v>
      </c>
      <c r="B56" s="60" t="s">
        <v>173</v>
      </c>
      <c r="C56" s="61" t="s">
        <v>174</v>
      </c>
      <c r="D56" s="59" t="s">
        <v>120</v>
      </c>
      <c r="E56" s="60" t="s">
        <v>394</v>
      </c>
      <c r="F56" s="60" t="s">
        <v>387</v>
      </c>
      <c r="G56" s="60" t="s">
        <v>419</v>
      </c>
      <c r="H56" s="60" t="s">
        <v>397</v>
      </c>
      <c r="I56" s="60" t="s">
        <v>408</v>
      </c>
      <c r="J56" s="60" t="s">
        <v>405</v>
      </c>
      <c r="K56" s="60" t="s">
        <v>408</v>
      </c>
      <c r="L56" s="60" t="s">
        <v>425</v>
      </c>
      <c r="M56" s="60" t="s">
        <v>410</v>
      </c>
      <c r="N56" s="34"/>
      <c r="O56" s="34"/>
      <c r="P56" s="54"/>
      <c r="Q56" s="54"/>
      <c r="R56" s="54"/>
      <c r="S56" s="54"/>
      <c r="T56" s="54"/>
      <c r="U56" s="68"/>
    </row>
    <row r="57" spans="1:33" ht="19.5" customHeight="1">
      <c r="A57" s="63"/>
      <c r="B57" s="63"/>
      <c r="C57" s="64"/>
      <c r="D57" s="63"/>
      <c r="E57" s="64"/>
      <c r="F57" s="65" t="s">
        <v>411</v>
      </c>
      <c r="G57" s="65" t="s">
        <v>402</v>
      </c>
      <c r="H57" s="65" t="s">
        <v>438</v>
      </c>
      <c r="I57" s="65" t="s">
        <v>413</v>
      </c>
      <c r="J57" s="65" t="s">
        <v>405</v>
      </c>
      <c r="K57" s="65" t="s">
        <v>406</v>
      </c>
      <c r="L57" s="65" t="s">
        <v>447</v>
      </c>
      <c r="M57" s="65"/>
      <c r="N57" s="56"/>
      <c r="O57" s="56"/>
      <c r="P57" s="56"/>
      <c r="Q57" s="56"/>
      <c r="R57" s="56"/>
      <c r="S57" s="56"/>
      <c r="T57" s="56"/>
      <c r="U57" s="69"/>
    </row>
    <row r="58" spans="1:33" ht="19.5" customHeight="1">
      <c r="A58" s="59">
        <v>29</v>
      </c>
      <c r="B58" s="60" t="s">
        <v>122</v>
      </c>
      <c r="C58" s="61" t="s">
        <v>123</v>
      </c>
      <c r="D58" s="59" t="s">
        <v>120</v>
      </c>
      <c r="E58" s="60" t="s">
        <v>394</v>
      </c>
      <c r="F58" s="60" t="s">
        <v>448</v>
      </c>
      <c r="G58" s="60" t="s">
        <v>396</v>
      </c>
      <c r="H58" s="60" t="s">
        <v>406</v>
      </c>
      <c r="I58" s="60" t="s">
        <v>417</v>
      </c>
      <c r="J58" s="60" t="s">
        <v>432</v>
      </c>
      <c r="K58" s="60" t="s">
        <v>417</v>
      </c>
      <c r="L58" s="60" t="s">
        <v>399</v>
      </c>
      <c r="M58" s="60" t="s">
        <v>427</v>
      </c>
      <c r="N58" s="34"/>
      <c r="O58" s="34"/>
      <c r="P58" s="54"/>
      <c r="Q58" s="54"/>
      <c r="R58" s="54"/>
      <c r="S58" s="54"/>
      <c r="T58" s="54"/>
      <c r="U58" s="68"/>
    </row>
    <row r="59" spans="1:33" ht="19.5" customHeight="1">
      <c r="A59" s="63"/>
      <c r="B59" s="63"/>
      <c r="C59" s="64"/>
      <c r="D59" s="63"/>
      <c r="E59" s="64"/>
      <c r="F59" s="65" t="s">
        <v>422</v>
      </c>
      <c r="G59" s="65" t="s">
        <v>450</v>
      </c>
      <c r="H59" s="65" t="s">
        <v>443</v>
      </c>
      <c r="I59" s="65" t="s">
        <v>451</v>
      </c>
      <c r="J59" s="65" t="s">
        <v>396</v>
      </c>
      <c r="K59" s="65" t="s">
        <v>452</v>
      </c>
      <c r="L59" s="65" t="s">
        <v>407</v>
      </c>
      <c r="M59" s="65"/>
      <c r="N59" s="56"/>
      <c r="O59" s="56"/>
      <c r="P59" s="56"/>
      <c r="Q59" s="56"/>
      <c r="R59" s="56"/>
      <c r="S59" s="56"/>
      <c r="T59" s="56"/>
      <c r="U59" s="69"/>
    </row>
    <row r="60" spans="1:33" ht="19.5" customHeight="1">
      <c r="A60" s="59">
        <v>30</v>
      </c>
      <c r="B60" s="60" t="s">
        <v>206</v>
      </c>
      <c r="C60" s="61" t="s">
        <v>207</v>
      </c>
      <c r="D60" s="59" t="s">
        <v>120</v>
      </c>
      <c r="E60" s="60" t="s">
        <v>394</v>
      </c>
      <c r="F60" s="60" t="s">
        <v>455</v>
      </c>
      <c r="G60" s="60" t="s">
        <v>396</v>
      </c>
      <c r="H60" s="60" t="s">
        <v>406</v>
      </c>
      <c r="I60" s="60" t="s">
        <v>417</v>
      </c>
      <c r="J60" s="60" t="s">
        <v>432</v>
      </c>
      <c r="K60" s="60" t="s">
        <v>417</v>
      </c>
      <c r="L60" s="60" t="s">
        <v>441</v>
      </c>
      <c r="M60" s="60" t="s">
        <v>456</v>
      </c>
      <c r="N60" s="34"/>
      <c r="O60" s="34"/>
      <c r="P60" s="54"/>
      <c r="Q60" s="54"/>
      <c r="R60" s="54"/>
      <c r="S60" s="54"/>
      <c r="T60" s="54"/>
      <c r="U60" s="68"/>
    </row>
    <row r="61" spans="1:33" ht="19.5" customHeight="1">
      <c r="A61" s="63"/>
      <c r="B61" s="63"/>
      <c r="C61" s="64"/>
      <c r="D61" s="63"/>
      <c r="E61" s="64"/>
      <c r="F61" s="65" t="s">
        <v>402</v>
      </c>
      <c r="G61" s="65" t="s">
        <v>465</v>
      </c>
      <c r="H61" s="65" t="s">
        <v>462</v>
      </c>
      <c r="I61" s="65" t="s">
        <v>451</v>
      </c>
      <c r="J61" s="65" t="s">
        <v>408</v>
      </c>
      <c r="K61" s="65" t="s">
        <v>459</v>
      </c>
      <c r="L61" s="65" t="s">
        <v>445</v>
      </c>
      <c r="M61" s="65"/>
      <c r="N61" s="56"/>
      <c r="O61" s="56"/>
      <c r="P61" s="56"/>
      <c r="Q61" s="56"/>
      <c r="R61" s="56"/>
      <c r="S61" s="56"/>
      <c r="T61" s="56"/>
      <c r="U61" s="69"/>
    </row>
    <row r="62" spans="1:33" ht="19.5" customHeight="1">
      <c r="A62" s="59">
        <v>31</v>
      </c>
      <c r="B62" s="60" t="s">
        <v>212</v>
      </c>
      <c r="C62" s="61" t="s">
        <v>213</v>
      </c>
      <c r="D62" s="59" t="s">
        <v>120</v>
      </c>
      <c r="E62" s="60" t="s">
        <v>394</v>
      </c>
      <c r="F62" s="60" t="s">
        <v>395</v>
      </c>
      <c r="G62" s="60" t="s">
        <v>419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403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33" ht="19.5" customHeight="1">
      <c r="A63" s="63"/>
      <c r="B63" s="63"/>
      <c r="C63" s="64"/>
      <c r="D63" s="63"/>
      <c r="E63" s="64"/>
      <c r="F63" s="65" t="s">
        <v>466</v>
      </c>
      <c r="G63" s="65" t="s">
        <v>415</v>
      </c>
      <c r="H63" s="65" t="s">
        <v>403</v>
      </c>
      <c r="I63" s="65" t="s">
        <v>404</v>
      </c>
      <c r="J63" s="65" t="s">
        <v>405</v>
      </c>
      <c r="K63" s="65" t="s">
        <v>446</v>
      </c>
      <c r="L63" s="65" t="s">
        <v>439</v>
      </c>
      <c r="M63" s="65"/>
      <c r="N63" s="56"/>
      <c r="O63" s="56"/>
      <c r="P63" s="56"/>
      <c r="Q63" s="56"/>
      <c r="R63" s="56"/>
      <c r="S63" s="56"/>
      <c r="T63" s="56"/>
      <c r="U63" s="69"/>
    </row>
    <row r="64" spans="1:33" ht="19.5" customHeight="1">
      <c r="A64" s="59">
        <v>32</v>
      </c>
      <c r="B64" s="60" t="s">
        <v>221</v>
      </c>
      <c r="C64" s="61" t="s">
        <v>222</v>
      </c>
      <c r="D64" s="59" t="s">
        <v>120</v>
      </c>
      <c r="E64" s="60" t="s">
        <v>394</v>
      </c>
      <c r="F64" s="60" t="s">
        <v>395</v>
      </c>
      <c r="G64" s="60" t="s">
        <v>419</v>
      </c>
      <c r="H64" s="60" t="s">
        <v>397</v>
      </c>
      <c r="I64" s="60" t="s">
        <v>408</v>
      </c>
      <c r="J64" s="60" t="s">
        <v>405</v>
      </c>
      <c r="K64" s="60" t="s">
        <v>408</v>
      </c>
      <c r="L64" s="60" t="s">
        <v>403</v>
      </c>
      <c r="M64" s="60" t="s">
        <v>410</v>
      </c>
      <c r="N64" s="34"/>
      <c r="O64" s="34"/>
      <c r="P64" s="54"/>
      <c r="Q64" s="54"/>
      <c r="R64" s="54"/>
      <c r="S64" s="54"/>
      <c r="T64" s="54"/>
      <c r="U64" s="68"/>
    </row>
    <row r="65" spans="1:33" ht="19.5" customHeight="1">
      <c r="A65" s="63"/>
      <c r="B65" s="63"/>
      <c r="C65" s="64"/>
      <c r="D65" s="63"/>
      <c r="E65" s="64"/>
      <c r="F65" s="65" t="s">
        <v>467</v>
      </c>
      <c r="G65" s="65" t="s">
        <v>436</v>
      </c>
      <c r="H65" s="65" t="s">
        <v>403</v>
      </c>
      <c r="I65" s="65" t="s">
        <v>404</v>
      </c>
      <c r="J65" s="65" t="s">
        <v>405</v>
      </c>
      <c r="K65" s="65" t="s">
        <v>406</v>
      </c>
      <c r="L65" s="65" t="s">
        <v>439</v>
      </c>
      <c r="M65" s="65"/>
      <c r="N65" s="56"/>
      <c r="O65" s="56"/>
      <c r="P65" s="56"/>
      <c r="Q65" s="56"/>
      <c r="R65" s="56"/>
      <c r="S65" s="56"/>
      <c r="T65" s="56"/>
      <c r="U65" s="69"/>
    </row>
    <row r="66" spans="1:33" ht="19.5" customHeight="1">
      <c r="A66" s="59">
        <v>33</v>
      </c>
      <c r="B66" s="60" t="s">
        <v>128</v>
      </c>
      <c r="C66" s="61" t="s">
        <v>129</v>
      </c>
      <c r="D66" s="59" t="s">
        <v>120</v>
      </c>
      <c r="E66" s="60" t="s">
        <v>394</v>
      </c>
      <c r="F66" s="60" t="s">
        <v>387</v>
      </c>
      <c r="G66" s="60" t="s">
        <v>408</v>
      </c>
      <c r="H66" s="60" t="s">
        <v>397</v>
      </c>
      <c r="I66" s="60" t="s">
        <v>408</v>
      </c>
      <c r="J66" s="60" t="s">
        <v>405</v>
      </c>
      <c r="K66" s="60" t="s">
        <v>408</v>
      </c>
      <c r="L66" s="60" t="s">
        <v>409</v>
      </c>
      <c r="M66" s="60" t="s">
        <v>410</v>
      </c>
      <c r="N66" s="34"/>
      <c r="O66" s="34"/>
      <c r="P66" s="54"/>
      <c r="Q66" s="54"/>
      <c r="R66" s="54"/>
      <c r="S66" s="54"/>
      <c r="T66" s="54"/>
      <c r="U66" s="68"/>
    </row>
    <row r="67" spans="1:33" ht="19.5" customHeight="1">
      <c r="A67" s="63"/>
      <c r="B67" s="63"/>
      <c r="C67" s="64"/>
      <c r="D67" s="63"/>
      <c r="E67" s="64"/>
      <c r="F67" s="65" t="s">
        <v>411</v>
      </c>
      <c r="G67" s="65" t="s">
        <v>445</v>
      </c>
      <c r="H67" s="65" t="s">
        <v>423</v>
      </c>
      <c r="I67" s="65" t="s">
        <v>413</v>
      </c>
      <c r="J67" s="65" t="s">
        <v>405</v>
      </c>
      <c r="K67" s="65" t="s">
        <v>406</v>
      </c>
      <c r="L67" s="65" t="s">
        <v>430</v>
      </c>
      <c r="M67" s="65"/>
      <c r="N67" s="56"/>
      <c r="O67" s="56"/>
      <c r="P67" s="56"/>
      <c r="Q67" s="56"/>
      <c r="R67" s="56"/>
      <c r="S67" s="56"/>
      <c r="T67" s="56"/>
      <c r="U67" s="69"/>
      <c r="V67" s="1"/>
      <c r="W67" s="1"/>
      <c r="X67" s="1"/>
      <c r="Y67" s="1"/>
      <c r="Z67" s="1"/>
      <c r="AA67" s="1"/>
      <c r="AB67" s="1"/>
      <c r="AC67" s="1"/>
      <c r="AD67" s="1"/>
    </row>
    <row r="68" spans="1:33" ht="19.5" customHeight="1">
      <c r="A68" s="59">
        <v>34</v>
      </c>
      <c r="B68" s="60" t="s">
        <v>131</v>
      </c>
      <c r="C68" s="61" t="s">
        <v>132</v>
      </c>
      <c r="D68" s="59" t="s">
        <v>120</v>
      </c>
      <c r="E68" s="60" t="s">
        <v>394</v>
      </c>
      <c r="F68" s="60" t="s">
        <v>427</v>
      </c>
      <c r="G68" s="60" t="s">
        <v>396</v>
      </c>
      <c r="H68" s="60" t="s">
        <v>397</v>
      </c>
      <c r="I68" s="60" t="s">
        <v>398</v>
      </c>
      <c r="J68" s="60" t="s">
        <v>396</v>
      </c>
      <c r="K68" s="60" t="s">
        <v>398</v>
      </c>
      <c r="L68" s="60" t="s">
        <v>399</v>
      </c>
      <c r="M68" s="60" t="s">
        <v>387</v>
      </c>
      <c r="N68" s="34"/>
      <c r="O68" s="34"/>
      <c r="P68" s="54"/>
      <c r="Q68" s="54"/>
      <c r="R68" s="54"/>
      <c r="S68" s="54"/>
      <c r="T68" s="54"/>
      <c r="U68" s="68"/>
      <c r="V68" s="1"/>
      <c r="W68" s="1"/>
      <c r="X68" s="1"/>
      <c r="Y68" s="1"/>
      <c r="Z68" s="1"/>
      <c r="AA68" s="1"/>
      <c r="AB68" s="1"/>
      <c r="AC68" s="1"/>
      <c r="AD68" s="1"/>
    </row>
    <row r="69" spans="1:33" ht="19.5" customHeight="1">
      <c r="A69" s="63"/>
      <c r="B69" s="63"/>
      <c r="C69" s="64"/>
      <c r="D69" s="63"/>
      <c r="E69" s="64"/>
      <c r="F69" s="65" t="s">
        <v>429</v>
      </c>
      <c r="G69" s="65" t="s">
        <v>450</v>
      </c>
      <c r="H69" s="65" t="s">
        <v>420</v>
      </c>
      <c r="I69" s="65" t="s">
        <v>404</v>
      </c>
      <c r="J69" s="65" t="s">
        <v>405</v>
      </c>
      <c r="K69" s="65" t="s">
        <v>406</v>
      </c>
      <c r="L69" s="65" t="s">
        <v>431</v>
      </c>
      <c r="M69" s="65"/>
      <c r="N69" s="56"/>
      <c r="O69" s="56"/>
      <c r="P69" s="56"/>
      <c r="Q69" s="56"/>
      <c r="R69" s="56"/>
      <c r="S69" s="56"/>
      <c r="T69" s="56"/>
      <c r="U69" s="69"/>
      <c r="V69" s="1"/>
      <c r="W69" s="1"/>
      <c r="X69" s="1"/>
      <c r="Y69" s="1"/>
      <c r="Z69" s="1"/>
      <c r="AA69" s="1"/>
      <c r="AB69" s="1"/>
      <c r="AC69" s="1"/>
      <c r="AD69" s="1"/>
    </row>
    <row r="70" spans="1:33" ht="19.5" customHeight="1">
      <c r="A70" s="59">
        <v>35</v>
      </c>
      <c r="B70" s="60" t="s">
        <v>273</v>
      </c>
      <c r="C70" s="61" t="s">
        <v>274</v>
      </c>
      <c r="D70" s="59" t="s">
        <v>229</v>
      </c>
      <c r="E70" s="60" t="s">
        <v>394</v>
      </c>
      <c r="F70" s="60" t="s">
        <v>400</v>
      </c>
      <c r="G70" s="60" t="s">
        <v>405</v>
      </c>
      <c r="H70" s="60" t="s">
        <v>418</v>
      </c>
      <c r="I70" s="60" t="s">
        <v>396</v>
      </c>
      <c r="J70" s="60" t="s">
        <v>419</v>
      </c>
      <c r="K70" s="60" t="s">
        <v>396</v>
      </c>
      <c r="L70" s="60" t="s">
        <v>423</v>
      </c>
      <c r="M70" s="60" t="s">
        <v>421</v>
      </c>
      <c r="N70" s="34"/>
      <c r="O70" s="34"/>
      <c r="P70" s="54"/>
      <c r="Q70" s="54"/>
      <c r="R70" s="54"/>
      <c r="S70" s="54"/>
      <c r="T70" s="54"/>
      <c r="U70" s="68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</row>
    <row r="71" spans="1:33" ht="19.5" customHeight="1">
      <c r="A71" s="63"/>
      <c r="B71" s="63"/>
      <c r="C71" s="64"/>
      <c r="D71" s="63"/>
      <c r="E71" s="64"/>
      <c r="F71" s="65" t="s">
        <v>399</v>
      </c>
      <c r="G71" s="65" t="s">
        <v>436</v>
      </c>
      <c r="H71" s="65" t="s">
        <v>416</v>
      </c>
      <c r="I71" s="65" t="s">
        <v>453</v>
      </c>
      <c r="J71" s="65" t="s">
        <v>405</v>
      </c>
      <c r="K71" s="65" t="s">
        <v>406</v>
      </c>
      <c r="L71" s="65" t="s">
        <v>436</v>
      </c>
      <c r="M71" s="65"/>
      <c r="N71" s="56"/>
      <c r="O71" s="56"/>
      <c r="P71" s="56"/>
      <c r="Q71" s="56"/>
      <c r="R71" s="56"/>
      <c r="S71" s="56"/>
      <c r="T71" s="56"/>
      <c r="U71" s="69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</row>
    <row r="72" spans="1:33" ht="19.5" customHeight="1">
      <c r="A72" s="59">
        <v>36</v>
      </c>
      <c r="B72" s="60" t="s">
        <v>285</v>
      </c>
      <c r="C72" s="61" t="s">
        <v>286</v>
      </c>
      <c r="D72" s="59" t="s">
        <v>229</v>
      </c>
      <c r="E72" s="60" t="s">
        <v>394</v>
      </c>
      <c r="F72" s="60" t="s">
        <v>400</v>
      </c>
      <c r="G72" s="60" t="s">
        <v>405</v>
      </c>
      <c r="H72" s="60" t="s">
        <v>418</v>
      </c>
      <c r="I72" s="60" t="s">
        <v>396</v>
      </c>
      <c r="J72" s="60" t="s">
        <v>419</v>
      </c>
      <c r="K72" s="60" t="s">
        <v>396</v>
      </c>
      <c r="L72" s="60" t="s">
        <v>420</v>
      </c>
      <c r="M72" s="60" t="s">
        <v>421</v>
      </c>
      <c r="N72" s="34"/>
      <c r="O72" s="34"/>
      <c r="P72" s="54"/>
      <c r="Q72" s="54"/>
      <c r="R72" s="54"/>
      <c r="S72" s="54"/>
      <c r="T72" s="54"/>
      <c r="U72" s="68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</row>
    <row r="73" spans="1:33" ht="19.5" customHeight="1">
      <c r="A73" s="63"/>
      <c r="B73" s="63"/>
      <c r="C73" s="64"/>
      <c r="D73" s="63"/>
      <c r="E73" s="64"/>
      <c r="F73" s="65" t="s">
        <v>409</v>
      </c>
      <c r="G73" s="65" t="s">
        <v>436</v>
      </c>
      <c r="H73" s="65" t="s">
        <v>438</v>
      </c>
      <c r="I73" s="65" t="s">
        <v>417</v>
      </c>
      <c r="J73" s="65" t="s">
        <v>405</v>
      </c>
      <c r="K73" s="65" t="s">
        <v>406</v>
      </c>
      <c r="L73" s="65" t="s">
        <v>426</v>
      </c>
      <c r="M73" s="65"/>
      <c r="N73" s="56"/>
      <c r="O73" s="56"/>
      <c r="P73" s="56"/>
      <c r="Q73" s="56"/>
      <c r="R73" s="56"/>
      <c r="S73" s="56"/>
      <c r="T73" s="56"/>
      <c r="U73" s="69"/>
    </row>
    <row r="74" spans="1:33" ht="19.5" customHeight="1">
      <c r="A74" s="59">
        <v>37</v>
      </c>
      <c r="B74" s="60" t="s">
        <v>288</v>
      </c>
      <c r="C74" s="61" t="s">
        <v>289</v>
      </c>
      <c r="D74" s="59" t="s">
        <v>229</v>
      </c>
      <c r="E74" s="60" t="s">
        <v>394</v>
      </c>
      <c r="F74" s="60" t="s">
        <v>456</v>
      </c>
      <c r="G74" s="60" t="s">
        <v>428</v>
      </c>
      <c r="H74" s="60" t="s">
        <v>397</v>
      </c>
      <c r="I74" s="60" t="s">
        <v>432</v>
      </c>
      <c r="J74" s="60" t="s">
        <v>408</v>
      </c>
      <c r="K74" s="60" t="s">
        <v>432</v>
      </c>
      <c r="L74" s="60" t="s">
        <v>403</v>
      </c>
      <c r="M74" s="60" t="s">
        <v>395</v>
      </c>
      <c r="N74" s="34"/>
      <c r="O74" s="34"/>
      <c r="P74" s="54"/>
      <c r="Q74" s="54"/>
      <c r="R74" s="54"/>
      <c r="S74" s="54"/>
      <c r="T74" s="54"/>
      <c r="U74" s="68"/>
    </row>
    <row r="75" spans="1:33" ht="19.5" customHeight="1">
      <c r="A75" s="63"/>
      <c r="B75" s="63"/>
      <c r="C75" s="64"/>
      <c r="D75" s="63"/>
      <c r="E75" s="64"/>
      <c r="F75" s="65" t="s">
        <v>468</v>
      </c>
      <c r="G75" s="65" t="s">
        <v>431</v>
      </c>
      <c r="H75" s="65" t="s">
        <v>425</v>
      </c>
      <c r="I75" s="65" t="s">
        <v>435</v>
      </c>
      <c r="J75" s="65" t="s">
        <v>405</v>
      </c>
      <c r="K75" s="65" t="s">
        <v>406</v>
      </c>
      <c r="L75" s="65" t="s">
        <v>469</v>
      </c>
      <c r="M75" s="65"/>
      <c r="N75" s="56"/>
      <c r="O75" s="56"/>
      <c r="P75" s="56"/>
      <c r="Q75" s="56"/>
      <c r="R75" s="56"/>
      <c r="S75" s="56"/>
      <c r="T75" s="56"/>
      <c r="U75" s="69"/>
    </row>
    <row r="76" spans="1:33" ht="19.5" customHeight="1">
      <c r="A76" s="59">
        <v>38</v>
      </c>
      <c r="B76" s="60" t="s">
        <v>297</v>
      </c>
      <c r="C76" s="61" t="s">
        <v>298</v>
      </c>
      <c r="D76" s="59" t="s">
        <v>229</v>
      </c>
      <c r="E76" s="60" t="s">
        <v>386</v>
      </c>
      <c r="F76" s="60"/>
      <c r="G76" s="60"/>
      <c r="H76" s="60"/>
      <c r="I76" s="60"/>
      <c r="J76" s="60"/>
      <c r="K76" s="60"/>
      <c r="L76" s="60"/>
      <c r="M76" s="60"/>
      <c r="N76" s="34"/>
      <c r="O76" s="34"/>
      <c r="P76" s="54"/>
      <c r="Q76" s="54"/>
      <c r="R76" s="54"/>
      <c r="S76" s="54"/>
      <c r="T76" s="54"/>
      <c r="U76" s="68"/>
    </row>
    <row r="77" spans="1:33" ht="19.5" customHeight="1">
      <c r="A77" s="63"/>
      <c r="B77" s="63"/>
      <c r="C77" s="64"/>
      <c r="D77" s="63"/>
      <c r="E77" s="64"/>
      <c r="F77" s="65"/>
      <c r="G77" s="65"/>
      <c r="H77" s="65"/>
      <c r="I77" s="65"/>
      <c r="J77" s="65"/>
      <c r="K77" s="65"/>
      <c r="L77" s="65"/>
      <c r="M77" s="65"/>
      <c r="N77" s="56"/>
      <c r="O77" s="56"/>
      <c r="P77" s="56"/>
      <c r="Q77" s="56"/>
      <c r="R77" s="56"/>
      <c r="S77" s="56"/>
      <c r="T77" s="56"/>
      <c r="U77" s="69"/>
    </row>
    <row r="78" spans="1:33" ht="19.5" customHeight="1">
      <c r="A78" s="59">
        <v>39</v>
      </c>
      <c r="B78" s="60" t="s">
        <v>312</v>
      </c>
      <c r="C78" s="61" t="s">
        <v>313</v>
      </c>
      <c r="D78" s="59" t="s">
        <v>229</v>
      </c>
      <c r="E78" s="60" t="s">
        <v>394</v>
      </c>
      <c r="F78" s="60" t="s">
        <v>395</v>
      </c>
      <c r="G78" s="60" t="s">
        <v>419</v>
      </c>
      <c r="H78" s="60" t="s">
        <v>397</v>
      </c>
      <c r="I78" s="60" t="s">
        <v>398</v>
      </c>
      <c r="J78" s="60" t="s">
        <v>396</v>
      </c>
      <c r="K78" s="60" t="s">
        <v>398</v>
      </c>
      <c r="L78" s="60" t="s">
        <v>403</v>
      </c>
      <c r="M78" s="60" t="s">
        <v>400</v>
      </c>
      <c r="N78" s="34"/>
      <c r="O78" s="34"/>
      <c r="P78" s="54"/>
      <c r="Q78" s="54"/>
      <c r="R78" s="54"/>
      <c r="S78" s="54"/>
      <c r="T78" s="54"/>
      <c r="U78" s="68"/>
    </row>
    <row r="79" spans="1:33" ht="19.5" customHeight="1">
      <c r="A79" s="63"/>
      <c r="B79" s="63"/>
      <c r="C79" s="64"/>
      <c r="D79" s="63"/>
      <c r="E79" s="64"/>
      <c r="F79" s="65" t="s">
        <v>437</v>
      </c>
      <c r="G79" s="65" t="s">
        <v>431</v>
      </c>
      <c r="H79" s="65" t="s">
        <v>416</v>
      </c>
      <c r="I79" s="65" t="s">
        <v>404</v>
      </c>
      <c r="J79" s="65" t="s">
        <v>405</v>
      </c>
      <c r="K79" s="65" t="s">
        <v>406</v>
      </c>
      <c r="L79" s="65" t="s">
        <v>439</v>
      </c>
      <c r="M79" s="65"/>
      <c r="N79" s="56"/>
      <c r="O79" s="56"/>
      <c r="P79" s="56"/>
      <c r="Q79" s="56"/>
      <c r="R79" s="56"/>
      <c r="S79" s="56"/>
      <c r="T79" s="56"/>
      <c r="U79" s="69"/>
    </row>
    <row r="80" spans="1:33" ht="19.5" customHeight="1">
      <c r="A80" s="59">
        <v>40</v>
      </c>
      <c r="B80" s="60" t="s">
        <v>234</v>
      </c>
      <c r="C80" s="61" t="s">
        <v>235</v>
      </c>
      <c r="D80" s="59" t="s">
        <v>229</v>
      </c>
      <c r="E80" s="60" t="s">
        <v>394</v>
      </c>
      <c r="F80" s="60" t="s">
        <v>400</v>
      </c>
      <c r="G80" s="60" t="s">
        <v>405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420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21" ht="19.5" customHeight="1">
      <c r="A81" s="63"/>
      <c r="B81" s="63"/>
      <c r="C81" s="64"/>
      <c r="D81" s="63"/>
      <c r="E81" s="64"/>
      <c r="F81" s="65" t="s">
        <v>444</v>
      </c>
      <c r="G81" s="65" t="s">
        <v>436</v>
      </c>
      <c r="H81" s="65" t="s">
        <v>470</v>
      </c>
      <c r="I81" s="65" t="s">
        <v>417</v>
      </c>
      <c r="J81" s="65" t="s">
        <v>405</v>
      </c>
      <c r="K81" s="65" t="s">
        <v>406</v>
      </c>
      <c r="L81" s="65" t="s">
        <v>402</v>
      </c>
      <c r="M81" s="65"/>
      <c r="N81" s="56"/>
      <c r="O81" s="56"/>
      <c r="P81" s="56"/>
      <c r="Q81" s="56"/>
      <c r="R81" s="56"/>
      <c r="S81" s="56"/>
      <c r="T81" s="56"/>
      <c r="U81" s="69"/>
    </row>
    <row r="82" spans="1:21" ht="19.5" customHeight="1">
      <c r="A82" s="59">
        <v>41</v>
      </c>
      <c r="B82" s="60" t="s">
        <v>315</v>
      </c>
      <c r="C82" s="61" t="s">
        <v>316</v>
      </c>
      <c r="D82" s="59" t="s">
        <v>229</v>
      </c>
      <c r="E82" s="60" t="s">
        <v>394</v>
      </c>
      <c r="F82" s="60" t="s">
        <v>455</v>
      </c>
      <c r="G82" s="60" t="s">
        <v>419</v>
      </c>
      <c r="H82" s="60" t="s">
        <v>452</v>
      </c>
      <c r="I82" s="60" t="s">
        <v>413</v>
      </c>
      <c r="J82" s="60" t="s">
        <v>417</v>
      </c>
      <c r="K82" s="60" t="s">
        <v>413</v>
      </c>
      <c r="L82" s="60" t="s">
        <v>403</v>
      </c>
      <c r="M82" s="60" t="s">
        <v>456</v>
      </c>
      <c r="N82" s="34"/>
      <c r="O82" s="34"/>
      <c r="P82" s="54"/>
      <c r="Q82" s="54"/>
      <c r="R82" s="54"/>
      <c r="S82" s="54"/>
      <c r="T82" s="54"/>
      <c r="U82" s="68"/>
    </row>
    <row r="83" spans="1:21" ht="19.5" customHeight="1">
      <c r="A83" s="63"/>
      <c r="B83" s="63"/>
      <c r="C83" s="64"/>
      <c r="D83" s="63"/>
      <c r="E83" s="64"/>
      <c r="F83" s="65" t="s">
        <v>431</v>
      </c>
      <c r="G83" s="65" t="s">
        <v>471</v>
      </c>
      <c r="H83" s="65" t="s">
        <v>399</v>
      </c>
      <c r="I83" s="65" t="s">
        <v>458</v>
      </c>
      <c r="J83" s="65" t="s">
        <v>398</v>
      </c>
      <c r="K83" s="65" t="s">
        <v>452</v>
      </c>
      <c r="L83" s="65" t="s">
        <v>460</v>
      </c>
      <c r="M83" s="65"/>
      <c r="N83" s="56"/>
      <c r="O83" s="56"/>
      <c r="P83" s="56"/>
      <c r="Q83" s="56"/>
      <c r="R83" s="56"/>
      <c r="S83" s="56"/>
      <c r="T83" s="56"/>
      <c r="U83" s="69"/>
    </row>
    <row r="84" spans="1:21" ht="19.5" customHeight="1">
      <c r="A84" s="59">
        <v>42</v>
      </c>
      <c r="B84" s="60" t="s">
        <v>321</v>
      </c>
      <c r="C84" s="61" t="s">
        <v>322</v>
      </c>
      <c r="D84" s="59" t="s">
        <v>229</v>
      </c>
      <c r="E84" s="60" t="s">
        <v>394</v>
      </c>
      <c r="F84" s="60" t="s">
        <v>448</v>
      </c>
      <c r="G84" s="60" t="s">
        <v>419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425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21" ht="19.5" customHeight="1">
      <c r="A85" s="63"/>
      <c r="B85" s="63"/>
      <c r="C85" s="64"/>
      <c r="D85" s="63"/>
      <c r="E85" s="64"/>
      <c r="F85" s="65" t="s">
        <v>460</v>
      </c>
      <c r="G85" s="65" t="s">
        <v>414</v>
      </c>
      <c r="H85" s="65" t="s">
        <v>420</v>
      </c>
      <c r="I85" s="65" t="s">
        <v>472</v>
      </c>
      <c r="J85" s="65" t="s">
        <v>405</v>
      </c>
      <c r="K85" s="65" t="s">
        <v>452</v>
      </c>
      <c r="L85" s="65" t="s">
        <v>447</v>
      </c>
      <c r="M85" s="65"/>
      <c r="N85" s="56"/>
      <c r="O85" s="56"/>
      <c r="P85" s="56"/>
      <c r="Q85" s="56"/>
      <c r="R85" s="56"/>
      <c r="S85" s="56"/>
      <c r="T85" s="56"/>
      <c r="U85" s="69"/>
    </row>
    <row r="86" spans="1:21" ht="19.5" customHeight="1">
      <c r="A86" s="59">
        <v>43</v>
      </c>
      <c r="B86" s="60" t="s">
        <v>324</v>
      </c>
      <c r="C86" s="61" t="s">
        <v>325</v>
      </c>
      <c r="D86" s="59" t="s">
        <v>229</v>
      </c>
      <c r="E86" s="60" t="s">
        <v>386</v>
      </c>
      <c r="F86" s="60"/>
      <c r="G86" s="60"/>
      <c r="H86" s="60"/>
      <c r="I86" s="60"/>
      <c r="J86" s="60"/>
      <c r="K86" s="60"/>
      <c r="L86" s="60"/>
      <c r="M86" s="60"/>
      <c r="N86" s="34"/>
      <c r="O86" s="34"/>
      <c r="P86" s="54"/>
      <c r="Q86" s="54"/>
      <c r="R86" s="54"/>
      <c r="S86" s="54"/>
      <c r="T86" s="54"/>
      <c r="U86" s="68"/>
    </row>
    <row r="87" spans="1:21" ht="19.5" customHeight="1">
      <c r="A87" s="63"/>
      <c r="B87" s="63"/>
      <c r="C87" s="64"/>
      <c r="D87" s="63"/>
      <c r="E87" s="64"/>
      <c r="F87" s="65"/>
      <c r="G87" s="65"/>
      <c r="H87" s="65"/>
      <c r="I87" s="65"/>
      <c r="J87" s="65"/>
      <c r="K87" s="65"/>
      <c r="L87" s="65"/>
      <c r="M87" s="65"/>
      <c r="N87" s="56"/>
      <c r="O87" s="56"/>
      <c r="P87" s="56"/>
      <c r="Q87" s="56"/>
      <c r="R87" s="56"/>
      <c r="S87" s="56"/>
      <c r="T87" s="56"/>
      <c r="U87" s="69"/>
    </row>
    <row r="88" spans="1:21" ht="19.5" customHeight="1">
      <c r="A88" s="59">
        <v>44</v>
      </c>
      <c r="B88" s="60" t="s">
        <v>327</v>
      </c>
      <c r="C88" s="61" t="s">
        <v>328</v>
      </c>
      <c r="D88" s="59" t="s">
        <v>229</v>
      </c>
      <c r="E88" s="60" t="s">
        <v>394</v>
      </c>
      <c r="F88" s="60" t="s">
        <v>400</v>
      </c>
      <c r="G88" s="60" t="s">
        <v>419</v>
      </c>
      <c r="H88" s="60" t="s">
        <v>418</v>
      </c>
      <c r="I88" s="60" t="s">
        <v>396</v>
      </c>
      <c r="J88" s="60" t="s">
        <v>419</v>
      </c>
      <c r="K88" s="60" t="s">
        <v>396</v>
      </c>
      <c r="L88" s="60" t="s">
        <v>425</v>
      </c>
      <c r="M88" s="60" t="s">
        <v>421</v>
      </c>
      <c r="N88" s="34"/>
      <c r="O88" s="34"/>
      <c r="P88" s="54"/>
      <c r="Q88" s="54"/>
      <c r="R88" s="54"/>
      <c r="S88" s="54"/>
      <c r="T88" s="54"/>
      <c r="U88" s="68"/>
    </row>
    <row r="89" spans="1:21" ht="19.5" customHeight="1">
      <c r="A89" s="63"/>
      <c r="B89" s="63"/>
      <c r="C89" s="64"/>
      <c r="D89" s="63"/>
      <c r="E89" s="64"/>
      <c r="F89" s="65" t="s">
        <v>444</v>
      </c>
      <c r="G89" s="65" t="s">
        <v>447</v>
      </c>
      <c r="H89" s="65" t="s">
        <v>438</v>
      </c>
      <c r="I89" s="65" t="s">
        <v>417</v>
      </c>
      <c r="J89" s="65" t="s">
        <v>405</v>
      </c>
      <c r="K89" s="65" t="s">
        <v>406</v>
      </c>
      <c r="L89" s="65" t="s">
        <v>439</v>
      </c>
      <c r="M89" s="65"/>
      <c r="N89" s="56"/>
      <c r="O89" s="56"/>
      <c r="P89" s="56"/>
      <c r="Q89" s="56"/>
      <c r="R89" s="56"/>
      <c r="S89" s="56"/>
      <c r="T89" s="56"/>
      <c r="U89" s="69"/>
    </row>
    <row r="90" spans="1:21" ht="19.5" customHeight="1">
      <c r="A90" s="59">
        <v>45</v>
      </c>
      <c r="B90" s="60" t="s">
        <v>330</v>
      </c>
      <c r="C90" s="61" t="s">
        <v>331</v>
      </c>
      <c r="D90" s="59" t="s">
        <v>229</v>
      </c>
      <c r="E90" s="60" t="s">
        <v>394</v>
      </c>
      <c r="F90" s="60" t="s">
        <v>448</v>
      </c>
      <c r="G90" s="60" t="s">
        <v>419</v>
      </c>
      <c r="H90" s="60" t="s">
        <v>446</v>
      </c>
      <c r="I90" s="60" t="s">
        <v>453</v>
      </c>
      <c r="J90" s="60" t="s">
        <v>398</v>
      </c>
      <c r="K90" s="60" t="s">
        <v>453</v>
      </c>
      <c r="L90" s="60" t="s">
        <v>425</v>
      </c>
      <c r="M90" s="60" t="s">
        <v>427</v>
      </c>
      <c r="N90" s="34"/>
      <c r="O90" s="34"/>
      <c r="P90" s="54"/>
      <c r="Q90" s="54"/>
      <c r="R90" s="54"/>
      <c r="S90" s="54"/>
      <c r="T90" s="54"/>
      <c r="U90" s="68"/>
    </row>
    <row r="91" spans="1:21" ht="19.5" customHeight="1">
      <c r="A91" s="63"/>
      <c r="B91" s="63"/>
      <c r="C91" s="64"/>
      <c r="D91" s="63"/>
      <c r="E91" s="64"/>
      <c r="F91" s="65" t="s">
        <v>460</v>
      </c>
      <c r="G91" s="65" t="s">
        <v>434</v>
      </c>
      <c r="H91" s="65" t="s">
        <v>441</v>
      </c>
      <c r="I91" s="65" t="s">
        <v>472</v>
      </c>
      <c r="J91" s="65" t="s">
        <v>405</v>
      </c>
      <c r="K91" s="65" t="s">
        <v>452</v>
      </c>
      <c r="L91" s="65" t="s">
        <v>422</v>
      </c>
      <c r="M91" s="65"/>
      <c r="N91" s="56"/>
      <c r="O91" s="56"/>
      <c r="P91" s="56"/>
      <c r="Q91" s="56"/>
      <c r="R91" s="56"/>
      <c r="S91" s="56"/>
      <c r="T91" s="56"/>
      <c r="U91" s="69"/>
    </row>
    <row r="92" spans="1:21" ht="19.5" customHeight="1">
      <c r="A92" s="59">
        <v>46</v>
      </c>
      <c r="B92" s="60" t="s">
        <v>336</v>
      </c>
      <c r="C92" s="61" t="s">
        <v>337</v>
      </c>
      <c r="D92" s="59" t="s">
        <v>229</v>
      </c>
      <c r="E92" s="60" t="s">
        <v>394</v>
      </c>
      <c r="F92" s="60" t="s">
        <v>448</v>
      </c>
      <c r="G92" s="60" t="s">
        <v>408</v>
      </c>
      <c r="H92" s="60" t="s">
        <v>446</v>
      </c>
      <c r="I92" s="60" t="s">
        <v>453</v>
      </c>
      <c r="J92" s="60" t="s">
        <v>398</v>
      </c>
      <c r="K92" s="60" t="s">
        <v>453</v>
      </c>
      <c r="L92" s="60" t="s">
        <v>441</v>
      </c>
      <c r="M92" s="60" t="s">
        <v>427</v>
      </c>
      <c r="N92" s="34"/>
      <c r="O92" s="34"/>
      <c r="P92" s="54"/>
      <c r="Q92" s="54"/>
      <c r="R92" s="54"/>
      <c r="S92" s="54"/>
      <c r="T92" s="54"/>
      <c r="U92" s="68"/>
    </row>
    <row r="93" spans="1:21" ht="19.5" customHeight="1">
      <c r="A93" s="63"/>
      <c r="B93" s="63"/>
      <c r="C93" s="64"/>
      <c r="D93" s="63"/>
      <c r="E93" s="64"/>
      <c r="F93" s="65" t="s">
        <v>460</v>
      </c>
      <c r="G93" s="65" t="s">
        <v>473</v>
      </c>
      <c r="H93" s="65" t="s">
        <v>444</v>
      </c>
      <c r="I93" s="65" t="s">
        <v>472</v>
      </c>
      <c r="J93" s="65" t="s">
        <v>396</v>
      </c>
      <c r="K93" s="65" t="s">
        <v>452</v>
      </c>
      <c r="L93" s="65" t="s">
        <v>414</v>
      </c>
      <c r="M93" s="65"/>
      <c r="N93" s="56"/>
      <c r="O93" s="56"/>
      <c r="P93" s="56"/>
      <c r="Q93" s="56"/>
      <c r="R93" s="56"/>
      <c r="S93" s="56"/>
      <c r="T93" s="56"/>
      <c r="U93" s="69"/>
    </row>
    <row r="94" spans="1:21" ht="19.5" customHeight="1">
      <c r="A94" s="59">
        <v>47</v>
      </c>
      <c r="B94" s="60" t="s">
        <v>339</v>
      </c>
      <c r="C94" s="61" t="s">
        <v>340</v>
      </c>
      <c r="D94" s="59" t="s">
        <v>229</v>
      </c>
      <c r="E94" s="60" t="s">
        <v>394</v>
      </c>
      <c r="F94" s="60" t="s">
        <v>448</v>
      </c>
      <c r="G94" s="60" t="s">
        <v>396</v>
      </c>
      <c r="H94" s="60" t="s">
        <v>446</v>
      </c>
      <c r="I94" s="60" t="s">
        <v>453</v>
      </c>
      <c r="J94" s="60" t="s">
        <v>398</v>
      </c>
      <c r="K94" s="60" t="s">
        <v>453</v>
      </c>
      <c r="L94" s="60" t="s">
        <v>441</v>
      </c>
      <c r="M94" s="60" t="s">
        <v>427</v>
      </c>
      <c r="N94" s="34"/>
      <c r="O94" s="34"/>
      <c r="P94" s="54"/>
      <c r="Q94" s="54"/>
      <c r="R94" s="54"/>
      <c r="S94" s="54"/>
      <c r="T94" s="54"/>
      <c r="U94" s="68"/>
    </row>
    <row r="95" spans="1:21" ht="19.5" customHeight="1">
      <c r="A95" s="63"/>
      <c r="B95" s="63"/>
      <c r="C95" s="64"/>
      <c r="D95" s="63"/>
      <c r="E95" s="64"/>
      <c r="F95" s="65" t="s">
        <v>439</v>
      </c>
      <c r="G95" s="65" t="s">
        <v>442</v>
      </c>
      <c r="H95" s="65" t="s">
        <v>441</v>
      </c>
      <c r="I95" s="65" t="s">
        <v>472</v>
      </c>
      <c r="J95" s="65" t="s">
        <v>396</v>
      </c>
      <c r="K95" s="65" t="s">
        <v>452</v>
      </c>
      <c r="L95" s="65" t="s">
        <v>415</v>
      </c>
      <c r="M95" s="65"/>
      <c r="N95" s="56"/>
      <c r="O95" s="56"/>
      <c r="P95" s="56"/>
      <c r="Q95" s="56"/>
      <c r="R95" s="56"/>
      <c r="S95" s="56"/>
      <c r="T95" s="56"/>
      <c r="U95" s="69"/>
    </row>
    <row r="96" spans="1:21" ht="19.5" customHeight="1">
      <c r="A96" s="59">
        <v>48</v>
      </c>
      <c r="B96" s="60" t="s">
        <v>345</v>
      </c>
      <c r="C96" s="61" t="s">
        <v>346</v>
      </c>
      <c r="D96" s="59" t="s">
        <v>229</v>
      </c>
      <c r="E96" s="60" t="s">
        <v>386</v>
      </c>
      <c r="F96" s="60"/>
      <c r="G96" s="60"/>
      <c r="H96" s="60"/>
      <c r="I96" s="60"/>
      <c r="J96" s="60"/>
      <c r="K96" s="60"/>
      <c r="L96" s="60"/>
      <c r="M96" s="60"/>
      <c r="N96" s="34"/>
      <c r="O96" s="34"/>
      <c r="P96" s="54"/>
      <c r="Q96" s="54"/>
      <c r="R96" s="54"/>
      <c r="S96" s="54"/>
      <c r="T96" s="54"/>
      <c r="U96" s="68"/>
    </row>
    <row r="97" spans="1:33" ht="19.5" customHeight="1">
      <c r="A97" s="63"/>
      <c r="B97" s="63"/>
      <c r="C97" s="64"/>
      <c r="D97" s="63"/>
      <c r="E97" s="64"/>
      <c r="F97" s="65"/>
      <c r="G97" s="65"/>
      <c r="H97" s="65"/>
      <c r="I97" s="65"/>
      <c r="J97" s="65"/>
      <c r="K97" s="65"/>
      <c r="L97" s="65"/>
      <c r="M97" s="65"/>
      <c r="N97" s="56"/>
      <c r="O97" s="56"/>
      <c r="P97" s="56"/>
      <c r="Q97" s="56"/>
      <c r="R97" s="56"/>
      <c r="S97" s="56"/>
      <c r="T97" s="56"/>
      <c r="U97" s="69"/>
    </row>
    <row r="98" spans="1:33" ht="19.5" customHeight="1">
      <c r="A98" s="59">
        <v>49</v>
      </c>
      <c r="B98" s="60" t="s">
        <v>348</v>
      </c>
      <c r="C98" s="61" t="s">
        <v>349</v>
      </c>
      <c r="D98" s="59" t="s">
        <v>229</v>
      </c>
      <c r="E98" s="60" t="s">
        <v>394</v>
      </c>
      <c r="F98" s="60" t="s">
        <v>427</v>
      </c>
      <c r="G98" s="60" t="s">
        <v>405</v>
      </c>
      <c r="H98" s="60" t="s">
        <v>397</v>
      </c>
      <c r="I98" s="60" t="s">
        <v>398</v>
      </c>
      <c r="J98" s="60" t="s">
        <v>396</v>
      </c>
      <c r="K98" s="60" t="s">
        <v>398</v>
      </c>
      <c r="L98" s="60" t="s">
        <v>462</v>
      </c>
      <c r="M98" s="60" t="s">
        <v>387</v>
      </c>
      <c r="N98" s="34"/>
      <c r="O98" s="34"/>
      <c r="P98" s="54"/>
      <c r="Q98" s="54"/>
      <c r="R98" s="54"/>
      <c r="S98" s="54"/>
      <c r="T98" s="54"/>
      <c r="U98" s="68"/>
    </row>
    <row r="99" spans="1:33" ht="19.5" customHeight="1">
      <c r="A99" s="63"/>
      <c r="B99" s="63"/>
      <c r="C99" s="64"/>
      <c r="D99" s="63"/>
      <c r="E99" s="64"/>
      <c r="F99" s="65" t="s">
        <v>474</v>
      </c>
      <c r="G99" s="65" t="s">
        <v>414</v>
      </c>
      <c r="H99" s="65" t="s">
        <v>423</v>
      </c>
      <c r="I99" s="65" t="s">
        <v>404</v>
      </c>
      <c r="J99" s="65" t="s">
        <v>396</v>
      </c>
      <c r="K99" s="65" t="s">
        <v>406</v>
      </c>
      <c r="L99" s="65" t="s">
        <v>445</v>
      </c>
      <c r="M99" s="65"/>
      <c r="N99" s="56"/>
      <c r="O99" s="56"/>
      <c r="P99" s="56"/>
      <c r="Q99" s="56"/>
      <c r="R99" s="56"/>
      <c r="S99" s="56"/>
      <c r="T99" s="56"/>
      <c r="U99" s="69"/>
    </row>
    <row r="100" spans="1:33" ht="19.5" customHeight="1">
      <c r="A100" s="59">
        <v>50</v>
      </c>
      <c r="B100" s="60" t="s">
        <v>354</v>
      </c>
      <c r="C100" s="61" t="s">
        <v>355</v>
      </c>
      <c r="D100" s="59" t="s">
        <v>229</v>
      </c>
      <c r="E100" s="60" t="s">
        <v>386</v>
      </c>
      <c r="F100" s="60"/>
      <c r="G100" s="60"/>
      <c r="H100" s="60"/>
      <c r="I100" s="60"/>
      <c r="J100" s="60"/>
      <c r="K100" s="60"/>
      <c r="L100" s="60"/>
      <c r="M100" s="60"/>
      <c r="N100" s="34"/>
      <c r="O100" s="34"/>
      <c r="P100" s="54"/>
      <c r="Q100" s="54"/>
      <c r="R100" s="54"/>
      <c r="S100" s="54"/>
      <c r="T100" s="54"/>
      <c r="U100" s="68"/>
    </row>
    <row r="101" spans="1:33" ht="19.5" customHeight="1">
      <c r="A101" s="63"/>
      <c r="B101" s="63"/>
      <c r="C101" s="64"/>
      <c r="D101" s="63"/>
      <c r="E101" s="64"/>
      <c r="F101" s="65"/>
      <c r="G101" s="65"/>
      <c r="H101" s="65"/>
      <c r="I101" s="65"/>
      <c r="J101" s="65"/>
      <c r="K101" s="65"/>
      <c r="L101" s="65"/>
      <c r="M101" s="65"/>
      <c r="N101" s="56"/>
      <c r="O101" s="56"/>
      <c r="P101" s="56"/>
      <c r="Q101" s="56"/>
      <c r="R101" s="56"/>
      <c r="S101" s="56"/>
      <c r="T101" s="56"/>
      <c r="U101" s="69"/>
    </row>
    <row r="102" spans="1:33" ht="19.5" customHeight="1">
      <c r="A102" s="59">
        <v>51</v>
      </c>
      <c r="B102" s="60" t="s">
        <v>357</v>
      </c>
      <c r="C102" s="61" t="s">
        <v>358</v>
      </c>
      <c r="D102" s="59" t="s">
        <v>229</v>
      </c>
      <c r="E102" s="60" t="s">
        <v>394</v>
      </c>
      <c r="F102" s="60" t="s">
        <v>400</v>
      </c>
      <c r="G102" s="60" t="s">
        <v>419</v>
      </c>
      <c r="H102" s="60" t="s">
        <v>418</v>
      </c>
      <c r="I102" s="60" t="s">
        <v>396</v>
      </c>
      <c r="J102" s="60" t="s">
        <v>419</v>
      </c>
      <c r="K102" s="60" t="s">
        <v>396</v>
      </c>
      <c r="L102" s="60" t="s">
        <v>420</v>
      </c>
      <c r="M102" s="60" t="s">
        <v>421</v>
      </c>
      <c r="N102" s="34"/>
      <c r="O102" s="34"/>
      <c r="P102" s="54"/>
      <c r="Q102" s="54"/>
      <c r="R102" s="54"/>
      <c r="S102" s="54"/>
      <c r="T102" s="54"/>
      <c r="U102" s="68"/>
      <c r="V102" s="1"/>
      <c r="W102" s="1"/>
      <c r="X102" s="1"/>
      <c r="Y102" s="1"/>
      <c r="Z102" s="1"/>
      <c r="AA102" s="1"/>
      <c r="AB102" s="1"/>
      <c r="AC102" s="1"/>
      <c r="AD102" s="1"/>
    </row>
    <row r="103" spans="1:33" ht="19.5" customHeight="1">
      <c r="A103" s="63"/>
      <c r="B103" s="63"/>
      <c r="C103" s="64"/>
      <c r="D103" s="63"/>
      <c r="E103" s="64"/>
      <c r="F103" s="65" t="s">
        <v>441</v>
      </c>
      <c r="G103" s="65" t="s">
        <v>436</v>
      </c>
      <c r="H103" s="65" t="s">
        <v>475</v>
      </c>
      <c r="I103" s="65" t="s">
        <v>453</v>
      </c>
      <c r="J103" s="65" t="s">
        <v>405</v>
      </c>
      <c r="K103" s="65" t="s">
        <v>406</v>
      </c>
      <c r="L103" s="65" t="s">
        <v>426</v>
      </c>
      <c r="M103" s="65"/>
      <c r="N103" s="56"/>
      <c r="O103" s="56"/>
      <c r="P103" s="56"/>
      <c r="Q103" s="56"/>
      <c r="R103" s="56"/>
      <c r="S103" s="56"/>
      <c r="T103" s="56"/>
      <c r="U103" s="69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</row>
    <row r="104" spans="1:33" ht="19.5" customHeight="1">
      <c r="A104" s="59">
        <v>52</v>
      </c>
      <c r="B104" s="60" t="s">
        <v>243</v>
      </c>
      <c r="C104" s="61" t="s">
        <v>244</v>
      </c>
      <c r="D104" s="59" t="s">
        <v>229</v>
      </c>
      <c r="E104" s="60" t="s">
        <v>394</v>
      </c>
      <c r="F104" s="60" t="s">
        <v>421</v>
      </c>
      <c r="G104" s="60" t="s">
        <v>428</v>
      </c>
      <c r="H104" s="60" t="s">
        <v>418</v>
      </c>
      <c r="I104" s="60" t="s">
        <v>396</v>
      </c>
      <c r="J104" s="60" t="s">
        <v>428</v>
      </c>
      <c r="K104" s="60" t="s">
        <v>396</v>
      </c>
      <c r="L104" s="60" t="s">
        <v>438</v>
      </c>
      <c r="M104" s="60" t="s">
        <v>458</v>
      </c>
      <c r="N104" s="34"/>
      <c r="O104" s="34"/>
      <c r="P104" s="54"/>
      <c r="Q104" s="54"/>
      <c r="R104" s="54"/>
      <c r="S104" s="54"/>
      <c r="T104" s="54"/>
      <c r="U104" s="68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</row>
    <row r="105" spans="1:33" ht="19.5" customHeight="1">
      <c r="A105" s="63"/>
      <c r="B105" s="63"/>
      <c r="C105" s="64"/>
      <c r="D105" s="63"/>
      <c r="E105" s="64"/>
      <c r="F105" s="65" t="s">
        <v>425</v>
      </c>
      <c r="G105" s="65" t="s">
        <v>460</v>
      </c>
      <c r="H105" s="65" t="s">
        <v>475</v>
      </c>
      <c r="I105" s="65" t="s">
        <v>432</v>
      </c>
      <c r="J105" s="65" t="s">
        <v>419</v>
      </c>
      <c r="K105" s="65" t="s">
        <v>446</v>
      </c>
      <c r="L105" s="65" t="s">
        <v>476</v>
      </c>
      <c r="M105" s="65"/>
      <c r="N105" s="56"/>
      <c r="O105" s="56"/>
      <c r="P105" s="56"/>
      <c r="Q105" s="56"/>
      <c r="R105" s="56"/>
      <c r="S105" s="56"/>
      <c r="T105" s="56"/>
      <c r="U105" s="69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/>
  <headerFooter>
    <oddHeader>&amp;C&amp;"Arial,Regular"&amp;P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93"/>
  <sheetViews>
    <sheetView topLeftCell="A82" zoomScale="120" zoomScaleNormal="120" workbookViewId="0">
      <selection sqref="A1:M9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9" width="4.7109375" style="3" customWidth="1"/>
    <col min="10" max="10" width="4.5703125" style="3" customWidth="1"/>
    <col min="11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52</v>
      </c>
      <c r="C2" s="61" t="s">
        <v>53</v>
      </c>
      <c r="D2" s="59" t="s">
        <v>26</v>
      </c>
      <c r="E2" s="60" t="s">
        <v>394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55</v>
      </c>
      <c r="C4" s="61" t="s">
        <v>56</v>
      </c>
      <c r="D4" s="59" t="s">
        <v>26</v>
      </c>
      <c r="E4" s="60" t="s">
        <v>394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61</v>
      </c>
      <c r="C6" s="61" t="s">
        <v>62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64</v>
      </c>
      <c r="C8" s="61" t="s">
        <v>65</v>
      </c>
      <c r="D8" s="59" t="s">
        <v>26</v>
      </c>
      <c r="E8" s="60" t="s">
        <v>394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67</v>
      </c>
      <c r="C10" s="61" t="s">
        <v>68</v>
      </c>
      <c r="D10" s="59" t="s">
        <v>26</v>
      </c>
      <c r="E10" s="60" t="s">
        <v>394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70</v>
      </c>
      <c r="C12" s="61" t="s">
        <v>71</v>
      </c>
      <c r="D12" s="59" t="s">
        <v>26</v>
      </c>
      <c r="E12" s="60" t="s">
        <v>394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73</v>
      </c>
      <c r="C14" s="61" t="s">
        <v>74</v>
      </c>
      <c r="D14" s="59" t="s">
        <v>26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  <row r="16" spans="1:1024" ht="19.5" customHeight="1">
      <c r="A16" s="59">
        <v>8</v>
      </c>
      <c r="B16" s="60" t="s">
        <v>76</v>
      </c>
      <c r="C16" s="61" t="s">
        <v>77</v>
      </c>
      <c r="D16" s="59" t="s">
        <v>26</v>
      </c>
      <c r="E16" s="60" t="s">
        <v>394</v>
      </c>
      <c r="F16" s="60" t="s">
        <v>395</v>
      </c>
      <c r="G16" s="60" t="s">
        <v>419</v>
      </c>
      <c r="H16" s="60" t="s">
        <v>397</v>
      </c>
      <c r="I16" s="60" t="s">
        <v>398</v>
      </c>
      <c r="J16" s="60" t="s">
        <v>396</v>
      </c>
      <c r="K16" s="60" t="s">
        <v>398</v>
      </c>
      <c r="L16" s="60" t="s">
        <v>403</v>
      </c>
      <c r="M16" s="60" t="s">
        <v>400</v>
      </c>
      <c r="U16" s="62"/>
      <c r="AMJ16" s="5"/>
    </row>
    <row r="17" spans="1:1024" ht="19.5" customHeight="1">
      <c r="A17" s="63"/>
      <c r="B17" s="63"/>
      <c r="C17" s="64"/>
      <c r="D17" s="63"/>
      <c r="E17" s="64"/>
      <c r="F17" s="102" t="s">
        <v>437</v>
      </c>
      <c r="G17" s="102" t="s">
        <v>426</v>
      </c>
      <c r="H17" s="102" t="s">
        <v>438</v>
      </c>
      <c r="I17" s="102" t="s">
        <v>413</v>
      </c>
      <c r="J17" s="102" t="s">
        <v>419</v>
      </c>
      <c r="K17" s="102" t="s">
        <v>406</v>
      </c>
      <c r="L17" s="102" t="s">
        <v>439</v>
      </c>
      <c r="M17" s="102"/>
      <c r="N17" s="66"/>
      <c r="O17" s="66"/>
      <c r="U17" s="67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MJ17" s="5"/>
    </row>
    <row r="18" spans="1:1024" ht="19.5" customHeight="1">
      <c r="A18" s="59">
        <v>9</v>
      </c>
      <c r="B18" s="60" t="s">
        <v>79</v>
      </c>
      <c r="C18" s="61" t="s">
        <v>80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423</v>
      </c>
      <c r="M18" s="60" t="s">
        <v>400</v>
      </c>
      <c r="U18" s="62"/>
      <c r="AMJ18" s="5"/>
    </row>
    <row r="19" spans="1:1024" ht="19.5" customHeight="1">
      <c r="A19" s="63"/>
      <c r="B19" s="63"/>
      <c r="C19" s="64"/>
      <c r="D19" s="63"/>
      <c r="E19" s="64"/>
      <c r="F19" s="102" t="s">
        <v>437</v>
      </c>
      <c r="G19" s="102" t="s">
        <v>440</v>
      </c>
      <c r="H19" s="102" t="s">
        <v>403</v>
      </c>
      <c r="I19" s="102" t="s">
        <v>413</v>
      </c>
      <c r="J19" s="102" t="s">
        <v>405</v>
      </c>
      <c r="K19" s="102" t="s">
        <v>406</v>
      </c>
      <c r="L19" s="102" t="s">
        <v>422</v>
      </c>
      <c r="M19" s="102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MJ19" s="5"/>
    </row>
    <row r="20" spans="1:1024" ht="19.5" customHeight="1">
      <c r="A20" s="59">
        <v>10</v>
      </c>
      <c r="B20" s="60" t="s">
        <v>28</v>
      </c>
      <c r="C20" s="61" t="s">
        <v>29</v>
      </c>
      <c r="D20" s="59" t="s">
        <v>26</v>
      </c>
      <c r="E20" s="60" t="s">
        <v>394</v>
      </c>
      <c r="F20" s="60" t="s">
        <v>427</v>
      </c>
      <c r="G20" s="60" t="s">
        <v>405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441</v>
      </c>
      <c r="M20" s="60" t="s">
        <v>387</v>
      </c>
      <c r="U20" s="62"/>
      <c r="AMJ20" s="5"/>
    </row>
    <row r="21" spans="1:1024" ht="19.5" customHeight="1">
      <c r="A21" s="63"/>
      <c r="B21" s="63"/>
      <c r="C21" s="64"/>
      <c r="D21" s="63"/>
      <c r="E21" s="64"/>
      <c r="F21" s="102" t="s">
        <v>429</v>
      </c>
      <c r="G21" s="102" t="s">
        <v>442</v>
      </c>
      <c r="H21" s="102" t="s">
        <v>403</v>
      </c>
      <c r="I21" s="102" t="s">
        <v>435</v>
      </c>
      <c r="J21" s="102" t="s">
        <v>405</v>
      </c>
      <c r="K21" s="102" t="s">
        <v>406</v>
      </c>
      <c r="L21" s="102" t="s">
        <v>415</v>
      </c>
      <c r="M21" s="102"/>
      <c r="N21" s="66"/>
      <c r="O21" s="66"/>
      <c r="U21" s="67"/>
      <c r="AMJ21" s="5"/>
    </row>
    <row r="22" spans="1:1024" ht="19.5" customHeight="1">
      <c r="A22" s="59">
        <v>11</v>
      </c>
      <c r="B22" s="60" t="s">
        <v>82</v>
      </c>
      <c r="C22" s="61" t="s">
        <v>83</v>
      </c>
      <c r="D22" s="59" t="s">
        <v>26</v>
      </c>
      <c r="E22" s="60" t="s">
        <v>394</v>
      </c>
      <c r="F22" s="60" t="s">
        <v>400</v>
      </c>
      <c r="G22" s="60" t="s">
        <v>405</v>
      </c>
      <c r="H22" s="60" t="s">
        <v>418</v>
      </c>
      <c r="I22" s="60" t="s">
        <v>396</v>
      </c>
      <c r="J22" s="60" t="s">
        <v>419</v>
      </c>
      <c r="K22" s="60" t="s">
        <v>396</v>
      </c>
      <c r="L22" s="60" t="s">
        <v>443</v>
      </c>
      <c r="M22" s="60" t="s">
        <v>421</v>
      </c>
      <c r="U22" s="62"/>
      <c r="AMJ22" s="5"/>
    </row>
    <row r="23" spans="1:1024" ht="19.5" customHeight="1">
      <c r="A23" s="63"/>
      <c r="B23" s="63"/>
      <c r="C23" s="64"/>
      <c r="D23" s="63"/>
      <c r="E23" s="64"/>
      <c r="F23" s="102" t="s">
        <v>444</v>
      </c>
      <c r="G23" s="102" t="s">
        <v>426</v>
      </c>
      <c r="H23" s="102" t="s">
        <v>403</v>
      </c>
      <c r="I23" s="102" t="s">
        <v>417</v>
      </c>
      <c r="J23" s="102" t="s">
        <v>405</v>
      </c>
      <c r="K23" s="102" t="s">
        <v>406</v>
      </c>
      <c r="L23" s="102" t="s">
        <v>445</v>
      </c>
      <c r="M23" s="102"/>
      <c r="N23" s="66"/>
      <c r="O23" s="66"/>
      <c r="U23" s="67"/>
      <c r="AMJ23" s="5"/>
    </row>
    <row r="24" spans="1:1024" ht="19.5" customHeight="1">
      <c r="A24" s="59">
        <v>12</v>
      </c>
      <c r="B24" s="60" t="s">
        <v>85</v>
      </c>
      <c r="C24" s="61" t="s">
        <v>86</v>
      </c>
      <c r="D24" s="59" t="s">
        <v>26</v>
      </c>
      <c r="E24" s="60" t="s">
        <v>394</v>
      </c>
      <c r="F24" s="60" t="s">
        <v>395</v>
      </c>
      <c r="G24" s="60" t="s">
        <v>419</v>
      </c>
      <c r="H24" s="60" t="s">
        <v>397</v>
      </c>
      <c r="I24" s="60" t="s">
        <v>398</v>
      </c>
      <c r="J24" s="60" t="s">
        <v>396</v>
      </c>
      <c r="K24" s="60" t="s">
        <v>398</v>
      </c>
      <c r="L24" s="60" t="s">
        <v>425</v>
      </c>
      <c r="M24" s="60" t="s">
        <v>400</v>
      </c>
      <c r="U24" s="62"/>
      <c r="AMJ24" s="5"/>
    </row>
    <row r="25" spans="1:1024" ht="19.5" customHeight="1">
      <c r="A25" s="63"/>
      <c r="B25" s="63"/>
      <c r="C25" s="64"/>
      <c r="D25" s="63"/>
      <c r="E25" s="64"/>
      <c r="F25" s="102" t="s">
        <v>401</v>
      </c>
      <c r="G25" s="102" t="s">
        <v>426</v>
      </c>
      <c r="H25" s="102" t="s">
        <v>403</v>
      </c>
      <c r="I25" s="102" t="s">
        <v>417</v>
      </c>
      <c r="J25" s="102" t="s">
        <v>419</v>
      </c>
      <c r="K25" s="102" t="s">
        <v>446</v>
      </c>
      <c r="L25" s="102" t="s">
        <v>447</v>
      </c>
      <c r="M25" s="102"/>
      <c r="N25" s="66"/>
      <c r="O25" s="66"/>
      <c r="U25" s="67"/>
      <c r="AMJ25" s="5"/>
    </row>
    <row r="26" spans="1:1024" ht="19.5" customHeight="1">
      <c r="A26" s="59">
        <v>13</v>
      </c>
      <c r="B26" s="60" t="s">
        <v>88</v>
      </c>
      <c r="C26" s="61" t="s">
        <v>89</v>
      </c>
      <c r="D26" s="59" t="s">
        <v>26</v>
      </c>
      <c r="E26" s="60" t="s">
        <v>394</v>
      </c>
      <c r="F26" s="60" t="s">
        <v>448</v>
      </c>
      <c r="G26" s="60" t="s">
        <v>405</v>
      </c>
      <c r="H26" s="60" t="s">
        <v>406</v>
      </c>
      <c r="I26" s="60" t="s">
        <v>417</v>
      </c>
      <c r="J26" s="60" t="s">
        <v>432</v>
      </c>
      <c r="K26" s="60" t="s">
        <v>449</v>
      </c>
      <c r="L26" s="60" t="s">
        <v>420</v>
      </c>
      <c r="M26" s="60" t="s">
        <v>427</v>
      </c>
      <c r="U26" s="62"/>
      <c r="AMJ26" s="5"/>
    </row>
    <row r="27" spans="1:1024" ht="19.5" customHeight="1">
      <c r="A27" s="63"/>
      <c r="B27" s="63"/>
      <c r="C27" s="64"/>
      <c r="D27" s="63"/>
      <c r="E27" s="64"/>
      <c r="F27" s="102" t="s">
        <v>447</v>
      </c>
      <c r="G27" s="102" t="s">
        <v>450</v>
      </c>
      <c r="H27" s="102" t="s">
        <v>443</v>
      </c>
      <c r="I27" s="102" t="s">
        <v>451</v>
      </c>
      <c r="J27" s="102" t="s">
        <v>396</v>
      </c>
      <c r="K27" s="102" t="s">
        <v>452</v>
      </c>
      <c r="L27" s="102" t="s">
        <v>426</v>
      </c>
      <c r="M27" s="102"/>
      <c r="N27" s="66"/>
      <c r="O27" s="66"/>
      <c r="U27" s="67"/>
      <c r="AMJ27" s="5"/>
    </row>
    <row r="28" spans="1:1024" ht="19.5" customHeight="1">
      <c r="A28" s="59">
        <v>14</v>
      </c>
      <c r="B28" s="60" t="s">
        <v>106</v>
      </c>
      <c r="C28" s="61" t="s">
        <v>107</v>
      </c>
      <c r="D28" s="59" t="s">
        <v>26</v>
      </c>
      <c r="E28" s="60" t="s">
        <v>394</v>
      </c>
      <c r="F28" s="60" t="s">
        <v>395</v>
      </c>
      <c r="G28" s="60" t="s">
        <v>419</v>
      </c>
      <c r="H28" s="60" t="s">
        <v>397</v>
      </c>
      <c r="I28" s="60" t="s">
        <v>398</v>
      </c>
      <c r="J28" s="60" t="s">
        <v>396</v>
      </c>
      <c r="K28" s="60" t="s">
        <v>398</v>
      </c>
      <c r="L28" s="60" t="s">
        <v>420</v>
      </c>
      <c r="M28" s="60" t="s">
        <v>400</v>
      </c>
      <c r="U28" s="62"/>
      <c r="AMJ28" s="5"/>
    </row>
    <row r="29" spans="1:1024" ht="19.5" customHeight="1">
      <c r="A29" s="63"/>
      <c r="B29" s="63"/>
      <c r="C29" s="64"/>
      <c r="D29" s="63"/>
      <c r="E29" s="64"/>
      <c r="F29" s="102" t="s">
        <v>437</v>
      </c>
      <c r="G29" s="102" t="s">
        <v>402</v>
      </c>
      <c r="H29" s="102" t="s">
        <v>403</v>
      </c>
      <c r="I29" s="102" t="s">
        <v>404</v>
      </c>
      <c r="J29" s="102" t="s">
        <v>405</v>
      </c>
      <c r="K29" s="102" t="s">
        <v>406</v>
      </c>
      <c r="L29" s="102" t="s">
        <v>402</v>
      </c>
      <c r="M29" s="102"/>
      <c r="N29" s="66"/>
      <c r="O29" s="66"/>
      <c r="U29" s="67"/>
      <c r="AMJ29" s="5"/>
    </row>
    <row r="30" spans="1:1024" ht="19.5" customHeight="1">
      <c r="A30" s="59">
        <v>15</v>
      </c>
      <c r="B30" s="60" t="s">
        <v>31</v>
      </c>
      <c r="C30" s="61" t="s">
        <v>32</v>
      </c>
      <c r="D30" s="59" t="s">
        <v>26</v>
      </c>
      <c r="E30" s="60" t="s">
        <v>394</v>
      </c>
      <c r="F30" s="60" t="s">
        <v>387</v>
      </c>
      <c r="G30" s="60" t="s">
        <v>419</v>
      </c>
      <c r="H30" s="60" t="s">
        <v>397</v>
      </c>
      <c r="I30" s="60" t="s">
        <v>408</v>
      </c>
      <c r="J30" s="60" t="s">
        <v>405</v>
      </c>
      <c r="K30" s="60" t="s">
        <v>408</v>
      </c>
      <c r="L30" s="60" t="s">
        <v>425</v>
      </c>
      <c r="M30" s="60" t="s">
        <v>410</v>
      </c>
      <c r="U30" s="62"/>
      <c r="AMJ30" s="5"/>
    </row>
    <row r="31" spans="1:1024" ht="19.5" customHeight="1">
      <c r="A31" s="63"/>
      <c r="B31" s="63"/>
      <c r="C31" s="64"/>
      <c r="D31" s="63"/>
      <c r="E31" s="64"/>
      <c r="F31" s="102" t="s">
        <v>454</v>
      </c>
      <c r="G31" s="102" t="s">
        <v>412</v>
      </c>
      <c r="H31" s="102" t="s">
        <v>403</v>
      </c>
      <c r="I31" s="102" t="s">
        <v>413</v>
      </c>
      <c r="J31" s="102" t="s">
        <v>405</v>
      </c>
      <c r="K31" s="102" t="s">
        <v>406</v>
      </c>
      <c r="L31" s="102" t="s">
        <v>447</v>
      </c>
      <c r="M31" s="102"/>
      <c r="N31" s="66"/>
      <c r="O31" s="66"/>
      <c r="U31" s="67"/>
      <c r="AMJ31" s="5"/>
    </row>
    <row r="32" spans="1:1024" ht="19.5" customHeight="1">
      <c r="A32" s="59">
        <v>16</v>
      </c>
      <c r="B32" s="60" t="s">
        <v>115</v>
      </c>
      <c r="C32" s="61" t="s">
        <v>116</v>
      </c>
      <c r="D32" s="59" t="s">
        <v>26</v>
      </c>
      <c r="E32" s="60" t="s">
        <v>394</v>
      </c>
      <c r="F32" s="60" t="s">
        <v>455</v>
      </c>
      <c r="G32" s="60" t="s">
        <v>419</v>
      </c>
      <c r="H32" s="60" t="s">
        <v>452</v>
      </c>
      <c r="I32" s="60" t="s">
        <v>413</v>
      </c>
      <c r="J32" s="60" t="s">
        <v>432</v>
      </c>
      <c r="K32" s="60" t="s">
        <v>413</v>
      </c>
      <c r="L32" s="60" t="s">
        <v>403</v>
      </c>
      <c r="M32" s="60" t="s">
        <v>456</v>
      </c>
      <c r="U32" s="62"/>
      <c r="AMJ32" s="5"/>
    </row>
    <row r="33" spans="1:1024" ht="19.5" customHeight="1">
      <c r="A33" s="63"/>
      <c r="B33" s="63"/>
      <c r="C33" s="64"/>
      <c r="D33" s="63"/>
      <c r="E33" s="64"/>
      <c r="F33" s="102" t="s">
        <v>412</v>
      </c>
      <c r="G33" s="102" t="s">
        <v>457</v>
      </c>
      <c r="H33" s="102" t="s">
        <v>441</v>
      </c>
      <c r="I33" s="102" t="s">
        <v>458</v>
      </c>
      <c r="J33" s="102" t="s">
        <v>398</v>
      </c>
      <c r="K33" s="102" t="s">
        <v>459</v>
      </c>
      <c r="L33" s="102" t="s">
        <v>460</v>
      </c>
      <c r="M33" s="102"/>
      <c r="N33" s="66"/>
      <c r="O33" s="66"/>
      <c r="U33" s="67"/>
      <c r="AMJ33" s="5"/>
    </row>
    <row r="34" spans="1:1024" ht="19.5" customHeight="1">
      <c r="A34" s="59">
        <v>17</v>
      </c>
      <c r="B34" s="60" t="s">
        <v>37</v>
      </c>
      <c r="C34" s="61" t="s">
        <v>38</v>
      </c>
      <c r="D34" s="59" t="s">
        <v>26</v>
      </c>
      <c r="E34" s="60" t="s">
        <v>394</v>
      </c>
      <c r="F34" s="60" t="s">
        <v>461</v>
      </c>
      <c r="G34" s="60" t="s">
        <v>405</v>
      </c>
      <c r="H34" s="60" t="s">
        <v>452</v>
      </c>
      <c r="I34" s="60" t="s">
        <v>413</v>
      </c>
      <c r="J34" s="60" t="s">
        <v>453</v>
      </c>
      <c r="K34" s="60" t="s">
        <v>413</v>
      </c>
      <c r="L34" s="60" t="s">
        <v>462</v>
      </c>
      <c r="M34" s="60" t="s">
        <v>456</v>
      </c>
      <c r="U34" s="62"/>
      <c r="AMJ34" s="5"/>
    </row>
    <row r="35" spans="1:1024" ht="19.5" customHeight="1">
      <c r="A35" s="63"/>
      <c r="B35" s="63"/>
      <c r="C35" s="64"/>
      <c r="D35" s="63"/>
      <c r="E35" s="64"/>
      <c r="F35" s="102" t="s">
        <v>431</v>
      </c>
      <c r="G35" s="102" t="s">
        <v>463</v>
      </c>
      <c r="H35" s="102" t="s">
        <v>399</v>
      </c>
      <c r="I35" s="102" t="s">
        <v>458</v>
      </c>
      <c r="J35" s="102" t="s">
        <v>398</v>
      </c>
      <c r="K35" s="102" t="s">
        <v>452</v>
      </c>
      <c r="L35" s="102" t="s">
        <v>412</v>
      </c>
      <c r="M35" s="102"/>
      <c r="N35" s="66"/>
      <c r="O35" s="66"/>
      <c r="U35" s="67"/>
      <c r="V35" s="1"/>
      <c r="W35" s="1"/>
      <c r="X35" s="1"/>
      <c r="Y35" s="1"/>
      <c r="Z35" s="1"/>
      <c r="AA35" s="1"/>
      <c r="AB35" s="1"/>
      <c r="AC35" s="1"/>
      <c r="AD35" s="1"/>
      <c r="AMJ35" s="5"/>
    </row>
    <row r="36" spans="1:1024" ht="19.5" customHeight="1">
      <c r="A36" s="59">
        <v>18</v>
      </c>
      <c r="B36" s="60" t="s">
        <v>40</v>
      </c>
      <c r="C36" s="61" t="s">
        <v>41</v>
      </c>
      <c r="D36" s="59" t="s">
        <v>26</v>
      </c>
      <c r="E36" s="60" t="s">
        <v>394</v>
      </c>
      <c r="F36" s="60" t="s">
        <v>395</v>
      </c>
      <c r="G36" s="60" t="s">
        <v>419</v>
      </c>
      <c r="H36" s="60" t="s">
        <v>397</v>
      </c>
      <c r="I36" s="60" t="s">
        <v>398</v>
      </c>
      <c r="J36" s="60" t="s">
        <v>396</v>
      </c>
      <c r="K36" s="60" t="s">
        <v>398</v>
      </c>
      <c r="L36" s="60" t="s">
        <v>403</v>
      </c>
      <c r="M36" s="60" t="s">
        <v>400</v>
      </c>
      <c r="U36" s="62"/>
      <c r="AMJ36" s="5"/>
    </row>
    <row r="37" spans="1:1024" ht="19.5" customHeight="1">
      <c r="A37" s="63"/>
      <c r="B37" s="63"/>
      <c r="C37" s="64"/>
      <c r="D37" s="63"/>
      <c r="E37" s="64"/>
      <c r="F37" s="102" t="s">
        <v>424</v>
      </c>
      <c r="G37" s="102" t="s">
        <v>412</v>
      </c>
      <c r="H37" s="102" t="s">
        <v>438</v>
      </c>
      <c r="I37" s="102" t="s">
        <v>413</v>
      </c>
      <c r="J37" s="102" t="s">
        <v>419</v>
      </c>
      <c r="K37" s="102" t="s">
        <v>406</v>
      </c>
      <c r="L37" s="102" t="s">
        <v>439</v>
      </c>
      <c r="M37" s="102"/>
      <c r="N37" s="66"/>
      <c r="O37" s="66"/>
      <c r="U37" s="67"/>
      <c r="AMJ37" s="5"/>
    </row>
    <row r="38" spans="1:1024" ht="19.5" customHeight="1">
      <c r="A38" s="59">
        <v>19</v>
      </c>
      <c r="B38" s="60" t="s">
        <v>43</v>
      </c>
      <c r="C38" s="61" t="s">
        <v>44</v>
      </c>
      <c r="D38" s="59" t="s">
        <v>26</v>
      </c>
      <c r="E38" s="60" t="s">
        <v>394</v>
      </c>
      <c r="F38" s="60" t="s">
        <v>395</v>
      </c>
      <c r="G38" s="60" t="s">
        <v>408</v>
      </c>
      <c r="H38" s="60" t="s">
        <v>397</v>
      </c>
      <c r="I38" s="60" t="s">
        <v>398</v>
      </c>
      <c r="J38" s="60" t="s">
        <v>396</v>
      </c>
      <c r="K38" s="60" t="s">
        <v>398</v>
      </c>
      <c r="L38" s="60" t="s">
        <v>409</v>
      </c>
      <c r="M38" s="60" t="s">
        <v>400</v>
      </c>
      <c r="U38" s="62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MJ38" s="5"/>
    </row>
    <row r="39" spans="1:1024" ht="19.5" customHeight="1">
      <c r="A39" s="63"/>
      <c r="B39" s="63"/>
      <c r="C39" s="64"/>
      <c r="D39" s="63"/>
      <c r="E39" s="64"/>
      <c r="F39" s="102" t="s">
        <v>437</v>
      </c>
      <c r="G39" s="102" t="s">
        <v>412</v>
      </c>
      <c r="H39" s="102" t="s">
        <v>443</v>
      </c>
      <c r="I39" s="102" t="s">
        <v>435</v>
      </c>
      <c r="J39" s="102" t="s">
        <v>405</v>
      </c>
      <c r="K39" s="102" t="s">
        <v>406</v>
      </c>
      <c r="L39" s="102" t="s">
        <v>414</v>
      </c>
      <c r="M39" s="102"/>
      <c r="N39" s="66"/>
      <c r="O39" s="66"/>
      <c r="U39" s="67"/>
      <c r="AMJ39" s="5"/>
    </row>
    <row r="40" spans="1:1024" ht="19.5" customHeight="1">
      <c r="A40" s="59">
        <v>20</v>
      </c>
      <c r="B40" s="60" t="s">
        <v>49</v>
      </c>
      <c r="C40" s="61" t="s">
        <v>50</v>
      </c>
      <c r="D40" s="59" t="s">
        <v>26</v>
      </c>
      <c r="E40" s="60" t="s">
        <v>394</v>
      </c>
      <c r="F40" s="60" t="s">
        <v>387</v>
      </c>
      <c r="G40" s="60" t="s">
        <v>396</v>
      </c>
      <c r="H40" s="60" t="s">
        <v>397</v>
      </c>
      <c r="I40" s="60" t="s">
        <v>408</v>
      </c>
      <c r="J40" s="60" t="s">
        <v>405</v>
      </c>
      <c r="K40" s="60" t="s">
        <v>408</v>
      </c>
      <c r="L40" s="60" t="s">
        <v>399</v>
      </c>
      <c r="M40" s="60" t="s">
        <v>410</v>
      </c>
      <c r="U40" s="62"/>
      <c r="AMJ40" s="5"/>
    </row>
    <row r="41" spans="1:1024" ht="19.5" customHeight="1">
      <c r="A41" s="63"/>
      <c r="B41" s="63"/>
      <c r="C41" s="64"/>
      <c r="D41" s="63"/>
      <c r="E41" s="64"/>
      <c r="F41" s="102" t="s">
        <v>411</v>
      </c>
      <c r="G41" s="102" t="s">
        <v>426</v>
      </c>
      <c r="H41" s="102" t="s">
        <v>438</v>
      </c>
      <c r="I41" s="102" t="s">
        <v>417</v>
      </c>
      <c r="J41" s="102" t="s">
        <v>405</v>
      </c>
      <c r="K41" s="102" t="s">
        <v>406</v>
      </c>
      <c r="L41" s="102" t="s">
        <v>407</v>
      </c>
      <c r="M41" s="102"/>
      <c r="N41" s="66"/>
      <c r="O41" s="66"/>
      <c r="U41" s="67"/>
      <c r="AMJ41" s="5"/>
    </row>
    <row r="42" spans="1:1024" ht="19.5" customHeight="1">
      <c r="A42" s="59">
        <v>21</v>
      </c>
      <c r="B42" s="60" t="s">
        <v>118</v>
      </c>
      <c r="C42" s="61" t="s">
        <v>119</v>
      </c>
      <c r="D42" s="59" t="s">
        <v>120</v>
      </c>
      <c r="E42" s="60" t="s">
        <v>394</v>
      </c>
      <c r="F42" s="60" t="s">
        <v>395</v>
      </c>
      <c r="G42" s="60" t="s">
        <v>405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443</v>
      </c>
      <c r="M42" s="60" t="s">
        <v>400</v>
      </c>
      <c r="U42" s="62"/>
      <c r="AMJ42" s="5"/>
    </row>
    <row r="43" spans="1:1024" ht="19.5" customHeight="1">
      <c r="A43" s="63"/>
      <c r="B43" s="63"/>
      <c r="C43" s="64"/>
      <c r="D43" s="63"/>
      <c r="E43" s="64"/>
      <c r="F43" s="102" t="s">
        <v>401</v>
      </c>
      <c r="G43" s="102" t="s">
        <v>412</v>
      </c>
      <c r="H43" s="102" t="s">
        <v>425</v>
      </c>
      <c r="I43" s="102" t="s">
        <v>404</v>
      </c>
      <c r="J43" s="102" t="s">
        <v>405</v>
      </c>
      <c r="K43" s="102" t="s">
        <v>406</v>
      </c>
      <c r="L43" s="102" t="s">
        <v>445</v>
      </c>
      <c r="M43" s="102"/>
      <c r="N43" s="66"/>
      <c r="O43" s="66"/>
      <c r="U43" s="67"/>
      <c r="AMJ43" s="5"/>
    </row>
    <row r="44" spans="1:1024" ht="19.5" customHeight="1">
      <c r="A44" s="59">
        <v>22</v>
      </c>
      <c r="B44" s="60" t="s">
        <v>149</v>
      </c>
      <c r="C44" s="61" t="s">
        <v>150</v>
      </c>
      <c r="D44" s="59" t="s">
        <v>120</v>
      </c>
      <c r="E44" s="60" t="s">
        <v>394</v>
      </c>
      <c r="F44" s="60" t="s">
        <v>400</v>
      </c>
      <c r="G44" s="60" t="s">
        <v>396</v>
      </c>
      <c r="H44" s="60" t="s">
        <v>418</v>
      </c>
      <c r="I44" s="60" t="s">
        <v>396</v>
      </c>
      <c r="J44" s="60" t="s">
        <v>419</v>
      </c>
      <c r="K44" s="60" t="s">
        <v>396</v>
      </c>
      <c r="L44" s="60" t="s">
        <v>409</v>
      </c>
      <c r="M44" s="60" t="s">
        <v>421</v>
      </c>
      <c r="U44" s="62"/>
      <c r="AMJ44" s="5"/>
    </row>
    <row r="45" spans="1:1024" ht="19.5" customHeight="1">
      <c r="A45" s="63"/>
      <c r="B45" s="63"/>
      <c r="C45" s="64"/>
      <c r="D45" s="63"/>
      <c r="E45" s="64"/>
      <c r="F45" s="102" t="s">
        <v>399</v>
      </c>
      <c r="G45" s="102" t="s">
        <v>447</v>
      </c>
      <c r="H45" s="102" t="s">
        <v>416</v>
      </c>
      <c r="I45" s="102" t="s">
        <v>453</v>
      </c>
      <c r="J45" s="102" t="s">
        <v>405</v>
      </c>
      <c r="K45" s="102" t="s">
        <v>406</v>
      </c>
      <c r="L45" s="102" t="s">
        <v>414</v>
      </c>
      <c r="M45" s="102"/>
      <c r="N45" s="66"/>
      <c r="O45" s="66"/>
      <c r="U45" s="67"/>
      <c r="AMJ45" s="5"/>
    </row>
    <row r="46" spans="1:1024" ht="19.5" customHeight="1">
      <c r="A46" s="59">
        <v>23</v>
      </c>
      <c r="B46" s="60" t="s">
        <v>152</v>
      </c>
      <c r="C46" s="61" t="s">
        <v>153</v>
      </c>
      <c r="D46" s="59" t="s">
        <v>120</v>
      </c>
      <c r="E46" s="60" t="s">
        <v>394</v>
      </c>
      <c r="F46" s="60" t="s">
        <v>427</v>
      </c>
      <c r="G46" s="60" t="s">
        <v>419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403</v>
      </c>
      <c r="M46" s="60" t="s">
        <v>387</v>
      </c>
      <c r="U46" s="62"/>
      <c r="AMJ46" s="5"/>
    </row>
    <row r="47" spans="1:1024" ht="19.5" customHeight="1">
      <c r="A47" s="63"/>
      <c r="B47" s="63"/>
      <c r="C47" s="64"/>
      <c r="D47" s="63"/>
      <c r="E47" s="64"/>
      <c r="F47" s="102" t="s">
        <v>429</v>
      </c>
      <c r="G47" s="102" t="s">
        <v>415</v>
      </c>
      <c r="H47" s="102" t="s">
        <v>403</v>
      </c>
      <c r="I47" s="102" t="s">
        <v>404</v>
      </c>
      <c r="J47" s="102" t="s">
        <v>405</v>
      </c>
      <c r="K47" s="102" t="s">
        <v>452</v>
      </c>
      <c r="L47" s="102" t="s">
        <v>439</v>
      </c>
      <c r="M47" s="102"/>
      <c r="N47" s="66"/>
      <c r="O47" s="66"/>
      <c r="U47" s="67"/>
      <c r="AMJ47" s="5"/>
    </row>
    <row r="48" spans="1:1024" ht="19.5" customHeight="1">
      <c r="A48" s="59">
        <v>24</v>
      </c>
      <c r="B48" s="60" t="s">
        <v>161</v>
      </c>
      <c r="C48" s="61" t="s">
        <v>162</v>
      </c>
      <c r="D48" s="59" t="s">
        <v>120</v>
      </c>
      <c r="E48" s="60" t="s">
        <v>394</v>
      </c>
      <c r="F48" s="60" t="s">
        <v>387</v>
      </c>
      <c r="G48" s="60" t="s">
        <v>419</v>
      </c>
      <c r="H48" s="60" t="s">
        <v>397</v>
      </c>
      <c r="I48" s="60" t="s">
        <v>408</v>
      </c>
      <c r="J48" s="60" t="s">
        <v>405</v>
      </c>
      <c r="K48" s="60" t="s">
        <v>408</v>
      </c>
      <c r="L48" s="60" t="s">
        <v>425</v>
      </c>
      <c r="M48" s="60" t="s">
        <v>410</v>
      </c>
      <c r="U48" s="62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MJ48" s="5"/>
    </row>
    <row r="49" spans="1:1024" ht="19.5" customHeight="1">
      <c r="A49" s="63"/>
      <c r="B49" s="63"/>
      <c r="C49" s="64"/>
      <c r="D49" s="63"/>
      <c r="E49" s="64"/>
      <c r="F49" s="102" t="s">
        <v>454</v>
      </c>
      <c r="G49" s="102" t="s">
        <v>426</v>
      </c>
      <c r="H49" s="102" t="s">
        <v>438</v>
      </c>
      <c r="I49" s="102" t="s">
        <v>413</v>
      </c>
      <c r="J49" s="102" t="s">
        <v>405</v>
      </c>
      <c r="K49" s="102" t="s">
        <v>446</v>
      </c>
      <c r="L49" s="102" t="s">
        <v>447</v>
      </c>
      <c r="M49" s="102"/>
      <c r="N49" s="66"/>
      <c r="O49" s="66"/>
      <c r="U49" s="67"/>
      <c r="AMJ49" s="5"/>
    </row>
    <row r="50" spans="1:1024" s="5" customFormat="1" ht="19.5" customHeight="1">
      <c r="A50" s="59">
        <v>25</v>
      </c>
      <c r="B50" s="60" t="s">
        <v>170</v>
      </c>
      <c r="C50" s="61" t="s">
        <v>171</v>
      </c>
      <c r="D50" s="59" t="s">
        <v>120</v>
      </c>
      <c r="E50" s="60" t="s">
        <v>394</v>
      </c>
      <c r="F50" s="60" t="s">
        <v>461</v>
      </c>
      <c r="G50" s="60" t="s">
        <v>419</v>
      </c>
      <c r="H50" s="60" t="s">
        <v>452</v>
      </c>
      <c r="I50" s="60" t="s">
        <v>413</v>
      </c>
      <c r="J50" s="60" t="s">
        <v>417</v>
      </c>
      <c r="K50" s="60" t="s">
        <v>413</v>
      </c>
      <c r="L50" s="60" t="s">
        <v>420</v>
      </c>
      <c r="M50" s="60" t="s">
        <v>456</v>
      </c>
      <c r="N50" s="34"/>
      <c r="O50" s="34"/>
      <c r="P50" s="54"/>
      <c r="Q50" s="54"/>
      <c r="R50" s="54"/>
      <c r="S50" s="54"/>
      <c r="T50" s="54"/>
      <c r="U50" s="68"/>
    </row>
    <row r="51" spans="1:1024" s="5" customFormat="1" ht="19.5" customHeight="1">
      <c r="A51" s="63"/>
      <c r="B51" s="63"/>
      <c r="C51" s="64"/>
      <c r="D51" s="63"/>
      <c r="E51" s="64"/>
      <c r="F51" s="102" t="s">
        <v>431</v>
      </c>
      <c r="G51" s="102" t="s">
        <v>464</v>
      </c>
      <c r="H51" s="102" t="s">
        <v>399</v>
      </c>
      <c r="I51" s="102" t="s">
        <v>458</v>
      </c>
      <c r="J51" s="102" t="s">
        <v>398</v>
      </c>
      <c r="K51" s="102" t="s">
        <v>452</v>
      </c>
      <c r="L51" s="102" t="s">
        <v>426</v>
      </c>
      <c r="M51" s="102"/>
      <c r="N51" s="56"/>
      <c r="O51" s="56"/>
      <c r="P51" s="56"/>
      <c r="Q51" s="56"/>
      <c r="R51" s="56"/>
      <c r="S51" s="56"/>
      <c r="T51" s="56"/>
      <c r="U51" s="69"/>
    </row>
    <row r="52" spans="1:1024" s="5" customFormat="1" ht="19.5" customHeight="1">
      <c r="A52" s="59">
        <v>26</v>
      </c>
      <c r="B52" s="60" t="s">
        <v>173</v>
      </c>
      <c r="C52" s="61" t="s">
        <v>174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N52" s="34"/>
      <c r="O52" s="34"/>
      <c r="P52" s="54"/>
      <c r="Q52" s="54"/>
      <c r="R52" s="54"/>
      <c r="S52" s="54"/>
      <c r="T52" s="54"/>
      <c r="U52" s="68"/>
    </row>
    <row r="53" spans="1:1024" s="5" customFormat="1" ht="19.5" customHeight="1">
      <c r="A53" s="63"/>
      <c r="B53" s="63"/>
      <c r="C53" s="64"/>
      <c r="D53" s="63"/>
      <c r="E53" s="64"/>
      <c r="F53" s="102" t="s">
        <v>411</v>
      </c>
      <c r="G53" s="102" t="s">
        <v>402</v>
      </c>
      <c r="H53" s="102" t="s">
        <v>438</v>
      </c>
      <c r="I53" s="102" t="s">
        <v>413</v>
      </c>
      <c r="J53" s="102" t="s">
        <v>405</v>
      </c>
      <c r="K53" s="102" t="s">
        <v>406</v>
      </c>
      <c r="L53" s="102" t="s">
        <v>447</v>
      </c>
      <c r="M53" s="102"/>
      <c r="N53" s="56"/>
      <c r="O53" s="56"/>
      <c r="P53" s="56"/>
      <c r="Q53" s="56"/>
      <c r="R53" s="56"/>
      <c r="S53" s="56"/>
      <c r="T53" s="56"/>
      <c r="U53" s="69"/>
    </row>
    <row r="54" spans="1:1024" s="5" customFormat="1" ht="19.5" customHeight="1">
      <c r="A54" s="59">
        <v>27</v>
      </c>
      <c r="B54" s="60" t="s">
        <v>122</v>
      </c>
      <c r="C54" s="61" t="s">
        <v>123</v>
      </c>
      <c r="D54" s="59" t="s">
        <v>120</v>
      </c>
      <c r="E54" s="60" t="s">
        <v>394</v>
      </c>
      <c r="F54" s="60" t="s">
        <v>448</v>
      </c>
      <c r="G54" s="60" t="s">
        <v>396</v>
      </c>
      <c r="H54" s="60" t="s">
        <v>406</v>
      </c>
      <c r="I54" s="60" t="s">
        <v>417</v>
      </c>
      <c r="J54" s="60" t="s">
        <v>432</v>
      </c>
      <c r="K54" s="60" t="s">
        <v>417</v>
      </c>
      <c r="L54" s="60" t="s">
        <v>399</v>
      </c>
      <c r="M54" s="60" t="s">
        <v>427</v>
      </c>
      <c r="N54" s="34"/>
      <c r="O54" s="34"/>
      <c r="P54" s="54"/>
      <c r="Q54" s="54"/>
      <c r="R54" s="54"/>
      <c r="S54" s="54"/>
      <c r="T54" s="54"/>
      <c r="U54" s="68"/>
    </row>
    <row r="55" spans="1:1024" s="5" customFormat="1" ht="19.5" customHeight="1">
      <c r="A55" s="63"/>
      <c r="B55" s="63"/>
      <c r="C55" s="64"/>
      <c r="D55" s="63"/>
      <c r="E55" s="64"/>
      <c r="F55" s="102" t="s">
        <v>422</v>
      </c>
      <c r="G55" s="102" t="s">
        <v>450</v>
      </c>
      <c r="H55" s="102" t="s">
        <v>443</v>
      </c>
      <c r="I55" s="102" t="s">
        <v>451</v>
      </c>
      <c r="J55" s="102" t="s">
        <v>396</v>
      </c>
      <c r="K55" s="102" t="s">
        <v>452</v>
      </c>
      <c r="L55" s="102" t="s">
        <v>407</v>
      </c>
      <c r="M55" s="102"/>
      <c r="N55" s="56"/>
      <c r="O55" s="56"/>
      <c r="P55" s="56"/>
      <c r="Q55" s="56"/>
      <c r="R55" s="56"/>
      <c r="S55" s="56"/>
      <c r="T55" s="56"/>
      <c r="U55" s="69"/>
    </row>
    <row r="56" spans="1:1024" s="5" customFormat="1" ht="19.5" customHeight="1">
      <c r="A56" s="59">
        <v>28</v>
      </c>
      <c r="B56" s="60" t="s">
        <v>206</v>
      </c>
      <c r="C56" s="61" t="s">
        <v>207</v>
      </c>
      <c r="D56" s="59" t="s">
        <v>120</v>
      </c>
      <c r="E56" s="60" t="s">
        <v>394</v>
      </c>
      <c r="F56" s="60" t="s">
        <v>455</v>
      </c>
      <c r="G56" s="60" t="s">
        <v>396</v>
      </c>
      <c r="H56" s="60" t="s">
        <v>406</v>
      </c>
      <c r="I56" s="60" t="s">
        <v>417</v>
      </c>
      <c r="J56" s="60" t="s">
        <v>432</v>
      </c>
      <c r="K56" s="60" t="s">
        <v>417</v>
      </c>
      <c r="L56" s="60" t="s">
        <v>441</v>
      </c>
      <c r="M56" s="60" t="s">
        <v>456</v>
      </c>
      <c r="N56" s="34"/>
      <c r="O56" s="34"/>
      <c r="P56" s="54"/>
      <c r="Q56" s="54"/>
      <c r="R56" s="54"/>
      <c r="S56" s="54"/>
      <c r="T56" s="54"/>
      <c r="U56" s="68"/>
    </row>
    <row r="57" spans="1:1024" s="5" customFormat="1" ht="19.5" customHeight="1">
      <c r="A57" s="63"/>
      <c r="B57" s="63"/>
      <c r="C57" s="64"/>
      <c r="D57" s="63"/>
      <c r="E57" s="64"/>
      <c r="F57" s="102" t="s">
        <v>402</v>
      </c>
      <c r="G57" s="102" t="s">
        <v>465</v>
      </c>
      <c r="H57" s="102" t="s">
        <v>462</v>
      </c>
      <c r="I57" s="102" t="s">
        <v>451</v>
      </c>
      <c r="J57" s="102" t="s">
        <v>408</v>
      </c>
      <c r="K57" s="102" t="s">
        <v>459</v>
      </c>
      <c r="L57" s="102" t="s">
        <v>445</v>
      </c>
      <c r="M57" s="102"/>
      <c r="N57" s="56"/>
      <c r="O57" s="56"/>
      <c r="P57" s="56"/>
      <c r="Q57" s="56"/>
      <c r="R57" s="56"/>
      <c r="S57" s="56"/>
      <c r="T57" s="56"/>
      <c r="U57" s="69"/>
    </row>
    <row r="58" spans="1:1024" s="5" customFormat="1" ht="19.5" customHeight="1">
      <c r="A58" s="59">
        <v>29</v>
      </c>
      <c r="B58" s="60" t="s">
        <v>212</v>
      </c>
      <c r="C58" s="61" t="s">
        <v>213</v>
      </c>
      <c r="D58" s="59" t="s">
        <v>120</v>
      </c>
      <c r="E58" s="60" t="s">
        <v>394</v>
      </c>
      <c r="F58" s="60" t="s">
        <v>395</v>
      </c>
      <c r="G58" s="60" t="s">
        <v>419</v>
      </c>
      <c r="H58" s="60" t="s">
        <v>397</v>
      </c>
      <c r="I58" s="60" t="s">
        <v>408</v>
      </c>
      <c r="J58" s="60" t="s">
        <v>405</v>
      </c>
      <c r="K58" s="60" t="s">
        <v>408</v>
      </c>
      <c r="L58" s="60" t="s">
        <v>403</v>
      </c>
      <c r="M58" s="60" t="s">
        <v>410</v>
      </c>
      <c r="N58" s="34"/>
      <c r="O58" s="34"/>
      <c r="P58" s="54"/>
      <c r="Q58" s="54"/>
      <c r="R58" s="54"/>
      <c r="S58" s="54"/>
      <c r="T58" s="54"/>
      <c r="U58" s="68"/>
    </row>
    <row r="59" spans="1:1024" s="5" customFormat="1" ht="19.5" customHeight="1">
      <c r="A59" s="63"/>
      <c r="B59" s="63"/>
      <c r="C59" s="64"/>
      <c r="D59" s="63"/>
      <c r="E59" s="64"/>
      <c r="F59" s="102" t="s">
        <v>466</v>
      </c>
      <c r="G59" s="102" t="s">
        <v>415</v>
      </c>
      <c r="H59" s="102" t="s">
        <v>403</v>
      </c>
      <c r="I59" s="102" t="s">
        <v>404</v>
      </c>
      <c r="J59" s="102" t="s">
        <v>405</v>
      </c>
      <c r="K59" s="102" t="s">
        <v>446</v>
      </c>
      <c r="L59" s="102" t="s">
        <v>439</v>
      </c>
      <c r="M59" s="102"/>
      <c r="N59" s="56"/>
      <c r="O59" s="56"/>
      <c r="P59" s="56"/>
      <c r="Q59" s="56"/>
      <c r="R59" s="56"/>
      <c r="S59" s="56"/>
      <c r="T59" s="56"/>
      <c r="U59" s="69"/>
    </row>
    <row r="60" spans="1:1024" s="5" customFormat="1" ht="19.5" customHeight="1">
      <c r="A60" s="59">
        <v>30</v>
      </c>
      <c r="B60" s="60" t="s">
        <v>221</v>
      </c>
      <c r="C60" s="61" t="s">
        <v>222</v>
      </c>
      <c r="D60" s="59" t="s">
        <v>120</v>
      </c>
      <c r="E60" s="60" t="s">
        <v>394</v>
      </c>
      <c r="F60" s="60" t="s">
        <v>395</v>
      </c>
      <c r="G60" s="60" t="s">
        <v>419</v>
      </c>
      <c r="H60" s="60" t="s">
        <v>397</v>
      </c>
      <c r="I60" s="60" t="s">
        <v>408</v>
      </c>
      <c r="J60" s="60" t="s">
        <v>405</v>
      </c>
      <c r="K60" s="60" t="s">
        <v>408</v>
      </c>
      <c r="L60" s="60" t="s">
        <v>403</v>
      </c>
      <c r="M60" s="60" t="s">
        <v>410</v>
      </c>
      <c r="N60" s="34"/>
      <c r="O60" s="34"/>
      <c r="P60" s="54"/>
      <c r="Q60" s="54"/>
      <c r="R60" s="54"/>
      <c r="S60" s="54"/>
      <c r="T60" s="54"/>
      <c r="U60" s="68"/>
    </row>
    <row r="61" spans="1:1024" s="5" customFormat="1" ht="19.5" customHeight="1">
      <c r="A61" s="63"/>
      <c r="B61" s="63"/>
      <c r="C61" s="64"/>
      <c r="D61" s="63"/>
      <c r="E61" s="64"/>
      <c r="F61" s="102" t="s">
        <v>467</v>
      </c>
      <c r="G61" s="102" t="s">
        <v>436</v>
      </c>
      <c r="H61" s="102" t="s">
        <v>403</v>
      </c>
      <c r="I61" s="102" t="s">
        <v>404</v>
      </c>
      <c r="J61" s="102" t="s">
        <v>405</v>
      </c>
      <c r="K61" s="102" t="s">
        <v>406</v>
      </c>
      <c r="L61" s="102" t="s">
        <v>439</v>
      </c>
      <c r="M61" s="102"/>
      <c r="N61" s="56"/>
      <c r="O61" s="56"/>
      <c r="P61" s="56"/>
      <c r="Q61" s="56"/>
      <c r="R61" s="56"/>
      <c r="S61" s="56"/>
      <c r="T61" s="56"/>
      <c r="U61" s="69"/>
    </row>
    <row r="62" spans="1:1024" s="5" customFormat="1" ht="19.5" customHeight="1">
      <c r="A62" s="59">
        <v>31</v>
      </c>
      <c r="B62" s="60" t="s">
        <v>128</v>
      </c>
      <c r="C62" s="61" t="s">
        <v>129</v>
      </c>
      <c r="D62" s="59" t="s">
        <v>120</v>
      </c>
      <c r="E62" s="60" t="s">
        <v>394</v>
      </c>
      <c r="F62" s="60" t="s">
        <v>387</v>
      </c>
      <c r="G62" s="60" t="s">
        <v>408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409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1024" s="5" customFormat="1" ht="19.5" customHeight="1">
      <c r="A63" s="63"/>
      <c r="B63" s="63"/>
      <c r="C63" s="64"/>
      <c r="D63" s="63"/>
      <c r="E63" s="64"/>
      <c r="F63" s="102" t="s">
        <v>411</v>
      </c>
      <c r="G63" s="102" t="s">
        <v>445</v>
      </c>
      <c r="H63" s="102" t="s">
        <v>423</v>
      </c>
      <c r="I63" s="102" t="s">
        <v>413</v>
      </c>
      <c r="J63" s="102" t="s">
        <v>405</v>
      </c>
      <c r="K63" s="102" t="s">
        <v>406</v>
      </c>
      <c r="L63" s="102" t="s">
        <v>430</v>
      </c>
      <c r="M63" s="102"/>
      <c r="N63" s="56"/>
      <c r="O63" s="56"/>
      <c r="P63" s="56"/>
      <c r="Q63" s="56"/>
      <c r="R63" s="56"/>
      <c r="S63" s="56"/>
      <c r="T63" s="56"/>
      <c r="U63" s="69"/>
      <c r="V63" s="1"/>
      <c r="W63" s="1"/>
      <c r="X63" s="1"/>
      <c r="Y63" s="1"/>
      <c r="Z63" s="1"/>
      <c r="AA63" s="1"/>
      <c r="AB63" s="1"/>
      <c r="AC63" s="1"/>
      <c r="AD63" s="1"/>
    </row>
    <row r="64" spans="1:1024" s="5" customFormat="1" ht="19.5" customHeight="1">
      <c r="A64" s="59">
        <v>32</v>
      </c>
      <c r="B64" s="60" t="s">
        <v>131</v>
      </c>
      <c r="C64" s="61" t="s">
        <v>132</v>
      </c>
      <c r="D64" s="59" t="s">
        <v>120</v>
      </c>
      <c r="E64" s="60" t="s">
        <v>394</v>
      </c>
      <c r="F64" s="60" t="s">
        <v>427</v>
      </c>
      <c r="G64" s="60" t="s">
        <v>396</v>
      </c>
      <c r="H64" s="60" t="s">
        <v>397</v>
      </c>
      <c r="I64" s="60" t="s">
        <v>398</v>
      </c>
      <c r="J64" s="60" t="s">
        <v>396</v>
      </c>
      <c r="K64" s="60" t="s">
        <v>398</v>
      </c>
      <c r="L64" s="60" t="s">
        <v>399</v>
      </c>
      <c r="M64" s="60" t="s">
        <v>387</v>
      </c>
      <c r="N64" s="34"/>
      <c r="O64" s="34"/>
      <c r="P64" s="54"/>
      <c r="Q64" s="54"/>
      <c r="R64" s="54"/>
      <c r="S64" s="54"/>
      <c r="T64" s="54"/>
      <c r="U64" s="68"/>
      <c r="V64" s="1"/>
      <c r="W64" s="1"/>
      <c r="X64" s="1"/>
      <c r="Y64" s="1"/>
      <c r="Z64" s="1"/>
      <c r="AA64" s="1"/>
      <c r="AB64" s="1"/>
      <c r="AC64" s="1"/>
      <c r="AD64" s="1"/>
    </row>
    <row r="65" spans="1:33" s="5" customFormat="1" ht="19.5" customHeight="1">
      <c r="A65" s="63"/>
      <c r="B65" s="63"/>
      <c r="C65" s="64"/>
      <c r="D65" s="63"/>
      <c r="E65" s="64"/>
      <c r="F65" s="102" t="s">
        <v>429</v>
      </c>
      <c r="G65" s="102" t="s">
        <v>450</v>
      </c>
      <c r="H65" s="102" t="s">
        <v>420</v>
      </c>
      <c r="I65" s="102" t="s">
        <v>404</v>
      </c>
      <c r="J65" s="102" t="s">
        <v>405</v>
      </c>
      <c r="K65" s="102" t="s">
        <v>406</v>
      </c>
      <c r="L65" s="102" t="s">
        <v>431</v>
      </c>
      <c r="M65" s="102"/>
      <c r="N65" s="56"/>
      <c r="O65" s="56"/>
      <c r="P65" s="56"/>
      <c r="Q65" s="56"/>
      <c r="R65" s="56"/>
      <c r="S65" s="56"/>
      <c r="T65" s="56"/>
      <c r="U65" s="69"/>
      <c r="V65" s="1"/>
      <c r="W65" s="1"/>
      <c r="X65" s="1"/>
      <c r="Y65" s="1"/>
      <c r="Z65" s="1"/>
      <c r="AA65" s="1"/>
      <c r="AB65" s="1"/>
      <c r="AC65" s="1"/>
      <c r="AD65" s="1"/>
    </row>
    <row r="66" spans="1:33" s="5" customFormat="1" ht="19.5" customHeight="1">
      <c r="A66" s="59">
        <v>33</v>
      </c>
      <c r="B66" s="60" t="s">
        <v>273</v>
      </c>
      <c r="C66" s="61" t="s">
        <v>274</v>
      </c>
      <c r="D66" s="59" t="s">
        <v>229</v>
      </c>
      <c r="E66" s="60" t="s">
        <v>394</v>
      </c>
      <c r="F66" s="60" t="s">
        <v>400</v>
      </c>
      <c r="G66" s="60" t="s">
        <v>405</v>
      </c>
      <c r="H66" s="60" t="s">
        <v>418</v>
      </c>
      <c r="I66" s="60" t="s">
        <v>396</v>
      </c>
      <c r="J66" s="60" t="s">
        <v>419</v>
      </c>
      <c r="K66" s="60" t="s">
        <v>396</v>
      </c>
      <c r="L66" s="60" t="s">
        <v>423</v>
      </c>
      <c r="M66" s="60" t="s">
        <v>421</v>
      </c>
      <c r="N66" s="34"/>
      <c r="O66" s="34"/>
      <c r="P66" s="54"/>
      <c r="Q66" s="54"/>
      <c r="R66" s="54"/>
      <c r="S66" s="54"/>
      <c r="T66" s="54"/>
      <c r="U66" s="68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</row>
    <row r="67" spans="1:33" s="5" customFormat="1" ht="19.5" customHeight="1">
      <c r="A67" s="63"/>
      <c r="B67" s="63"/>
      <c r="C67" s="64"/>
      <c r="D67" s="63"/>
      <c r="E67" s="64"/>
      <c r="F67" s="102" t="s">
        <v>399</v>
      </c>
      <c r="G67" s="102" t="s">
        <v>436</v>
      </c>
      <c r="H67" s="102" t="s">
        <v>416</v>
      </c>
      <c r="I67" s="102" t="s">
        <v>453</v>
      </c>
      <c r="J67" s="102" t="s">
        <v>405</v>
      </c>
      <c r="K67" s="102" t="s">
        <v>406</v>
      </c>
      <c r="L67" s="102" t="s">
        <v>436</v>
      </c>
      <c r="M67" s="102"/>
      <c r="N67" s="56"/>
      <c r="O67" s="56"/>
      <c r="P67" s="56"/>
      <c r="Q67" s="56"/>
      <c r="R67" s="56"/>
      <c r="S67" s="56"/>
      <c r="T67" s="56"/>
      <c r="U67" s="69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</row>
    <row r="68" spans="1:33" s="5" customFormat="1" ht="19.5" customHeight="1">
      <c r="A68" s="59">
        <v>34</v>
      </c>
      <c r="B68" s="60" t="s">
        <v>285</v>
      </c>
      <c r="C68" s="61" t="s">
        <v>286</v>
      </c>
      <c r="D68" s="59" t="s">
        <v>229</v>
      </c>
      <c r="E68" s="60" t="s">
        <v>394</v>
      </c>
      <c r="F68" s="60" t="s">
        <v>400</v>
      </c>
      <c r="G68" s="60" t="s">
        <v>405</v>
      </c>
      <c r="H68" s="60" t="s">
        <v>418</v>
      </c>
      <c r="I68" s="60" t="s">
        <v>396</v>
      </c>
      <c r="J68" s="60" t="s">
        <v>419</v>
      </c>
      <c r="K68" s="60" t="s">
        <v>396</v>
      </c>
      <c r="L68" s="60" t="s">
        <v>420</v>
      </c>
      <c r="M68" s="60" t="s">
        <v>421</v>
      </c>
      <c r="N68" s="34"/>
      <c r="O68" s="34"/>
      <c r="P68" s="54"/>
      <c r="Q68" s="54"/>
      <c r="R68" s="54"/>
      <c r="S68" s="54"/>
      <c r="T68" s="54"/>
      <c r="U68" s="68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</row>
    <row r="69" spans="1:33" s="5" customFormat="1" ht="19.5" customHeight="1">
      <c r="A69" s="63"/>
      <c r="B69" s="63"/>
      <c r="C69" s="64"/>
      <c r="D69" s="63"/>
      <c r="E69" s="64"/>
      <c r="F69" s="102" t="s">
        <v>409</v>
      </c>
      <c r="G69" s="102" t="s">
        <v>436</v>
      </c>
      <c r="H69" s="102" t="s">
        <v>438</v>
      </c>
      <c r="I69" s="102" t="s">
        <v>417</v>
      </c>
      <c r="J69" s="102" t="s">
        <v>405</v>
      </c>
      <c r="K69" s="102" t="s">
        <v>406</v>
      </c>
      <c r="L69" s="102" t="s">
        <v>426</v>
      </c>
      <c r="M69" s="102"/>
      <c r="N69" s="56"/>
      <c r="O69" s="56"/>
      <c r="P69" s="56"/>
      <c r="Q69" s="56"/>
      <c r="R69" s="56"/>
      <c r="S69" s="56"/>
      <c r="T69" s="56"/>
      <c r="U69" s="69"/>
    </row>
    <row r="70" spans="1:33" s="5" customFormat="1" ht="19.5" customHeight="1">
      <c r="A70" s="59">
        <v>35</v>
      </c>
      <c r="B70" s="60" t="s">
        <v>288</v>
      </c>
      <c r="C70" s="61" t="s">
        <v>289</v>
      </c>
      <c r="D70" s="59" t="s">
        <v>229</v>
      </c>
      <c r="E70" s="60" t="s">
        <v>394</v>
      </c>
      <c r="F70" s="60" t="s">
        <v>456</v>
      </c>
      <c r="G70" s="60" t="s">
        <v>428</v>
      </c>
      <c r="H70" s="60" t="s">
        <v>397</v>
      </c>
      <c r="I70" s="60" t="s">
        <v>432</v>
      </c>
      <c r="J70" s="60" t="s">
        <v>408</v>
      </c>
      <c r="K70" s="60" t="s">
        <v>432</v>
      </c>
      <c r="L70" s="60" t="s">
        <v>403</v>
      </c>
      <c r="M70" s="60" t="s">
        <v>395</v>
      </c>
      <c r="N70" s="34"/>
      <c r="O70" s="34"/>
      <c r="P70" s="54"/>
      <c r="Q70" s="54"/>
      <c r="R70" s="54"/>
      <c r="S70" s="54"/>
      <c r="T70" s="54"/>
      <c r="U70" s="68"/>
    </row>
    <row r="71" spans="1:33" s="5" customFormat="1" ht="19.5" customHeight="1">
      <c r="A71" s="63"/>
      <c r="B71" s="63"/>
      <c r="C71" s="64"/>
      <c r="D71" s="63"/>
      <c r="E71" s="64"/>
      <c r="F71" s="102" t="s">
        <v>468</v>
      </c>
      <c r="G71" s="102" t="s">
        <v>431</v>
      </c>
      <c r="H71" s="102" t="s">
        <v>425</v>
      </c>
      <c r="I71" s="102" t="s">
        <v>435</v>
      </c>
      <c r="J71" s="102" t="s">
        <v>405</v>
      </c>
      <c r="K71" s="102" t="s">
        <v>406</v>
      </c>
      <c r="L71" s="102" t="s">
        <v>469</v>
      </c>
      <c r="M71" s="102"/>
      <c r="N71" s="56"/>
      <c r="O71" s="56"/>
      <c r="P71" s="56"/>
      <c r="Q71" s="56"/>
      <c r="R71" s="56"/>
      <c r="S71" s="56"/>
      <c r="T71" s="56"/>
      <c r="U71" s="69"/>
    </row>
    <row r="72" spans="1:33" s="5" customFormat="1" ht="19.5" customHeight="1">
      <c r="A72" s="59">
        <v>36</v>
      </c>
      <c r="B72" s="60" t="s">
        <v>312</v>
      </c>
      <c r="C72" s="61" t="s">
        <v>313</v>
      </c>
      <c r="D72" s="59" t="s">
        <v>229</v>
      </c>
      <c r="E72" s="60" t="s">
        <v>394</v>
      </c>
      <c r="F72" s="60" t="s">
        <v>395</v>
      </c>
      <c r="G72" s="60" t="s">
        <v>419</v>
      </c>
      <c r="H72" s="60" t="s">
        <v>397</v>
      </c>
      <c r="I72" s="60" t="s">
        <v>398</v>
      </c>
      <c r="J72" s="60" t="s">
        <v>396</v>
      </c>
      <c r="K72" s="60" t="s">
        <v>398</v>
      </c>
      <c r="L72" s="60" t="s">
        <v>403</v>
      </c>
      <c r="M72" s="60" t="s">
        <v>400</v>
      </c>
      <c r="N72" s="34"/>
      <c r="O72" s="34"/>
      <c r="P72" s="54"/>
      <c r="Q72" s="54"/>
      <c r="R72" s="54"/>
      <c r="S72" s="54"/>
      <c r="T72" s="54"/>
      <c r="U72" s="68"/>
    </row>
    <row r="73" spans="1:33" s="5" customFormat="1" ht="19.5" customHeight="1">
      <c r="A73" s="63"/>
      <c r="B73" s="63"/>
      <c r="C73" s="64"/>
      <c r="D73" s="63"/>
      <c r="E73" s="64"/>
      <c r="F73" s="102" t="s">
        <v>437</v>
      </c>
      <c r="G73" s="102" t="s">
        <v>431</v>
      </c>
      <c r="H73" s="102" t="s">
        <v>416</v>
      </c>
      <c r="I73" s="102" t="s">
        <v>404</v>
      </c>
      <c r="J73" s="102" t="s">
        <v>405</v>
      </c>
      <c r="K73" s="102" t="s">
        <v>406</v>
      </c>
      <c r="L73" s="102" t="s">
        <v>439</v>
      </c>
      <c r="M73" s="102"/>
      <c r="N73" s="56"/>
      <c r="O73" s="56"/>
      <c r="P73" s="56"/>
      <c r="Q73" s="56"/>
      <c r="R73" s="56"/>
      <c r="S73" s="56"/>
      <c r="T73" s="56"/>
      <c r="U73" s="69"/>
    </row>
    <row r="74" spans="1:33" s="5" customFormat="1" ht="19.5" customHeight="1">
      <c r="A74" s="59">
        <v>37</v>
      </c>
      <c r="B74" s="60" t="s">
        <v>234</v>
      </c>
      <c r="C74" s="61" t="s">
        <v>235</v>
      </c>
      <c r="D74" s="59" t="s">
        <v>229</v>
      </c>
      <c r="E74" s="60" t="s">
        <v>394</v>
      </c>
      <c r="F74" s="60" t="s">
        <v>400</v>
      </c>
      <c r="G74" s="60" t="s">
        <v>405</v>
      </c>
      <c r="H74" s="60" t="s">
        <v>418</v>
      </c>
      <c r="I74" s="60" t="s">
        <v>396</v>
      </c>
      <c r="J74" s="60" t="s">
        <v>419</v>
      </c>
      <c r="K74" s="60" t="s">
        <v>396</v>
      </c>
      <c r="L74" s="60" t="s">
        <v>420</v>
      </c>
      <c r="M74" s="60" t="s">
        <v>421</v>
      </c>
      <c r="N74" s="34"/>
      <c r="O74" s="34"/>
      <c r="P74" s="54"/>
      <c r="Q74" s="54"/>
      <c r="R74" s="54"/>
      <c r="S74" s="54"/>
      <c r="T74" s="54"/>
      <c r="U74" s="68"/>
    </row>
    <row r="75" spans="1:33" s="5" customFormat="1" ht="19.5" customHeight="1">
      <c r="A75" s="63"/>
      <c r="B75" s="63"/>
      <c r="C75" s="64"/>
      <c r="D75" s="63"/>
      <c r="E75" s="64"/>
      <c r="F75" s="102" t="s">
        <v>444</v>
      </c>
      <c r="G75" s="102" t="s">
        <v>436</v>
      </c>
      <c r="H75" s="102" t="s">
        <v>470</v>
      </c>
      <c r="I75" s="102" t="s">
        <v>417</v>
      </c>
      <c r="J75" s="102" t="s">
        <v>405</v>
      </c>
      <c r="K75" s="102" t="s">
        <v>406</v>
      </c>
      <c r="L75" s="102" t="s">
        <v>402</v>
      </c>
      <c r="M75" s="102"/>
      <c r="N75" s="56"/>
      <c r="O75" s="56"/>
      <c r="P75" s="56"/>
      <c r="Q75" s="56"/>
      <c r="R75" s="56"/>
      <c r="S75" s="56"/>
      <c r="T75" s="56"/>
      <c r="U75" s="69"/>
    </row>
    <row r="76" spans="1:33" s="5" customFormat="1" ht="19.5" customHeight="1">
      <c r="A76" s="59">
        <v>38</v>
      </c>
      <c r="B76" s="60" t="s">
        <v>315</v>
      </c>
      <c r="C76" s="61" t="s">
        <v>316</v>
      </c>
      <c r="D76" s="59" t="s">
        <v>229</v>
      </c>
      <c r="E76" s="60" t="s">
        <v>394</v>
      </c>
      <c r="F76" s="60" t="s">
        <v>455</v>
      </c>
      <c r="G76" s="60" t="s">
        <v>419</v>
      </c>
      <c r="H76" s="60" t="s">
        <v>452</v>
      </c>
      <c r="I76" s="60" t="s">
        <v>413</v>
      </c>
      <c r="J76" s="60" t="s">
        <v>417</v>
      </c>
      <c r="K76" s="60" t="s">
        <v>413</v>
      </c>
      <c r="L76" s="60" t="s">
        <v>403</v>
      </c>
      <c r="M76" s="60" t="s">
        <v>456</v>
      </c>
      <c r="N76" s="34"/>
      <c r="O76" s="34"/>
      <c r="P76" s="54"/>
      <c r="Q76" s="54"/>
      <c r="R76" s="54"/>
      <c r="S76" s="54"/>
      <c r="T76" s="54"/>
      <c r="U76" s="68"/>
    </row>
    <row r="77" spans="1:33" s="5" customFormat="1" ht="19.5" customHeight="1">
      <c r="A77" s="63"/>
      <c r="B77" s="63"/>
      <c r="C77" s="64"/>
      <c r="D77" s="63"/>
      <c r="E77" s="64"/>
      <c r="F77" s="102" t="s">
        <v>431</v>
      </c>
      <c r="G77" s="102" t="s">
        <v>471</v>
      </c>
      <c r="H77" s="102" t="s">
        <v>399</v>
      </c>
      <c r="I77" s="102" t="s">
        <v>458</v>
      </c>
      <c r="J77" s="102" t="s">
        <v>398</v>
      </c>
      <c r="K77" s="102" t="s">
        <v>452</v>
      </c>
      <c r="L77" s="102" t="s">
        <v>460</v>
      </c>
      <c r="M77" s="102"/>
      <c r="N77" s="56"/>
      <c r="O77" s="56"/>
      <c r="P77" s="56"/>
      <c r="Q77" s="56"/>
      <c r="R77" s="56"/>
      <c r="S77" s="56"/>
      <c r="T77" s="56"/>
      <c r="U77" s="69"/>
    </row>
    <row r="78" spans="1:33" s="5" customFormat="1" ht="19.5" customHeight="1">
      <c r="A78" s="59">
        <v>39</v>
      </c>
      <c r="B78" s="60" t="s">
        <v>321</v>
      </c>
      <c r="C78" s="61" t="s">
        <v>322</v>
      </c>
      <c r="D78" s="59" t="s">
        <v>229</v>
      </c>
      <c r="E78" s="60" t="s">
        <v>394</v>
      </c>
      <c r="F78" s="60" t="s">
        <v>448</v>
      </c>
      <c r="G78" s="60" t="s">
        <v>419</v>
      </c>
      <c r="H78" s="60" t="s">
        <v>446</v>
      </c>
      <c r="I78" s="60" t="s">
        <v>453</v>
      </c>
      <c r="J78" s="60" t="s">
        <v>398</v>
      </c>
      <c r="K78" s="60" t="s">
        <v>453</v>
      </c>
      <c r="L78" s="60" t="s">
        <v>425</v>
      </c>
      <c r="M78" s="60" t="s">
        <v>427</v>
      </c>
      <c r="N78" s="34"/>
      <c r="O78" s="34"/>
      <c r="P78" s="54"/>
      <c r="Q78" s="54"/>
      <c r="R78" s="54"/>
      <c r="S78" s="54"/>
      <c r="T78" s="54"/>
      <c r="U78" s="68"/>
    </row>
    <row r="79" spans="1:33" s="5" customFormat="1" ht="19.5" customHeight="1">
      <c r="A79" s="63"/>
      <c r="B79" s="63"/>
      <c r="C79" s="64"/>
      <c r="D79" s="63"/>
      <c r="E79" s="64"/>
      <c r="F79" s="102" t="s">
        <v>460</v>
      </c>
      <c r="G79" s="102" t="s">
        <v>414</v>
      </c>
      <c r="H79" s="102" t="s">
        <v>420</v>
      </c>
      <c r="I79" s="102" t="s">
        <v>472</v>
      </c>
      <c r="J79" s="102" t="s">
        <v>405</v>
      </c>
      <c r="K79" s="102" t="s">
        <v>452</v>
      </c>
      <c r="L79" s="102" t="s">
        <v>447</v>
      </c>
      <c r="M79" s="102"/>
      <c r="N79" s="56"/>
      <c r="O79" s="56"/>
      <c r="P79" s="56"/>
      <c r="Q79" s="56"/>
      <c r="R79" s="56"/>
      <c r="S79" s="56"/>
      <c r="T79" s="56"/>
      <c r="U79" s="69"/>
    </row>
    <row r="80" spans="1:33" s="5" customFormat="1" ht="19.5" customHeight="1">
      <c r="A80" s="59">
        <v>40</v>
      </c>
      <c r="B80" s="60" t="s">
        <v>327</v>
      </c>
      <c r="C80" s="61" t="s">
        <v>328</v>
      </c>
      <c r="D80" s="59" t="s">
        <v>229</v>
      </c>
      <c r="E80" s="60" t="s">
        <v>394</v>
      </c>
      <c r="F80" s="60" t="s">
        <v>400</v>
      </c>
      <c r="G80" s="60" t="s">
        <v>419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425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33" s="5" customFormat="1" ht="19.5" customHeight="1">
      <c r="A81" s="63"/>
      <c r="B81" s="63"/>
      <c r="C81" s="64"/>
      <c r="D81" s="63"/>
      <c r="E81" s="64"/>
      <c r="F81" s="102" t="s">
        <v>444</v>
      </c>
      <c r="G81" s="102" t="s">
        <v>447</v>
      </c>
      <c r="H81" s="102" t="s">
        <v>438</v>
      </c>
      <c r="I81" s="102" t="s">
        <v>417</v>
      </c>
      <c r="J81" s="102" t="s">
        <v>405</v>
      </c>
      <c r="K81" s="102" t="s">
        <v>406</v>
      </c>
      <c r="L81" s="102" t="s">
        <v>439</v>
      </c>
      <c r="M81" s="102"/>
      <c r="N81" s="56"/>
      <c r="O81" s="56"/>
      <c r="P81" s="56"/>
      <c r="Q81" s="56"/>
      <c r="R81" s="56"/>
      <c r="S81" s="56"/>
      <c r="T81" s="56"/>
      <c r="U81" s="69"/>
    </row>
    <row r="82" spans="1:33" s="5" customFormat="1" ht="19.5" customHeight="1">
      <c r="A82" s="59">
        <v>41</v>
      </c>
      <c r="B82" s="60" t="s">
        <v>330</v>
      </c>
      <c r="C82" s="61" t="s">
        <v>331</v>
      </c>
      <c r="D82" s="59" t="s">
        <v>229</v>
      </c>
      <c r="E82" s="60" t="s">
        <v>394</v>
      </c>
      <c r="F82" s="60" t="s">
        <v>448</v>
      </c>
      <c r="G82" s="60" t="s">
        <v>419</v>
      </c>
      <c r="H82" s="60" t="s">
        <v>446</v>
      </c>
      <c r="I82" s="60" t="s">
        <v>453</v>
      </c>
      <c r="J82" s="60" t="s">
        <v>398</v>
      </c>
      <c r="K82" s="60" t="s">
        <v>453</v>
      </c>
      <c r="L82" s="60" t="s">
        <v>425</v>
      </c>
      <c r="M82" s="60" t="s">
        <v>427</v>
      </c>
      <c r="N82" s="34"/>
      <c r="O82" s="34"/>
      <c r="P82" s="54"/>
      <c r="Q82" s="54"/>
      <c r="R82" s="54"/>
      <c r="S82" s="54"/>
      <c r="T82" s="54"/>
      <c r="U82" s="68"/>
    </row>
    <row r="83" spans="1:33" s="5" customFormat="1" ht="19.5" customHeight="1">
      <c r="A83" s="63"/>
      <c r="B83" s="63"/>
      <c r="C83" s="64"/>
      <c r="D83" s="63"/>
      <c r="E83" s="64"/>
      <c r="F83" s="102" t="s">
        <v>460</v>
      </c>
      <c r="G83" s="102" t="s">
        <v>434</v>
      </c>
      <c r="H83" s="102" t="s">
        <v>441</v>
      </c>
      <c r="I83" s="102" t="s">
        <v>472</v>
      </c>
      <c r="J83" s="102" t="s">
        <v>405</v>
      </c>
      <c r="K83" s="102" t="s">
        <v>452</v>
      </c>
      <c r="L83" s="102" t="s">
        <v>422</v>
      </c>
      <c r="M83" s="102"/>
      <c r="N83" s="56"/>
      <c r="O83" s="56"/>
      <c r="P83" s="56"/>
      <c r="Q83" s="56"/>
      <c r="R83" s="56"/>
      <c r="S83" s="56"/>
      <c r="T83" s="56"/>
      <c r="U83" s="69"/>
    </row>
    <row r="84" spans="1:33" s="5" customFormat="1" ht="19.5" customHeight="1">
      <c r="A84" s="59">
        <v>42</v>
      </c>
      <c r="B84" s="60" t="s">
        <v>336</v>
      </c>
      <c r="C84" s="61" t="s">
        <v>337</v>
      </c>
      <c r="D84" s="59" t="s">
        <v>229</v>
      </c>
      <c r="E84" s="60" t="s">
        <v>394</v>
      </c>
      <c r="F84" s="60" t="s">
        <v>448</v>
      </c>
      <c r="G84" s="60" t="s">
        <v>408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441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33" s="5" customFormat="1" ht="19.5" customHeight="1">
      <c r="A85" s="63"/>
      <c r="B85" s="63"/>
      <c r="C85" s="64"/>
      <c r="D85" s="63"/>
      <c r="E85" s="64"/>
      <c r="F85" s="102" t="s">
        <v>460</v>
      </c>
      <c r="G85" s="102" t="s">
        <v>473</v>
      </c>
      <c r="H85" s="102" t="s">
        <v>444</v>
      </c>
      <c r="I85" s="102" t="s">
        <v>472</v>
      </c>
      <c r="J85" s="102" t="s">
        <v>396</v>
      </c>
      <c r="K85" s="102" t="s">
        <v>452</v>
      </c>
      <c r="L85" s="102" t="s">
        <v>414</v>
      </c>
      <c r="M85" s="102"/>
      <c r="N85" s="56"/>
      <c r="O85" s="56"/>
      <c r="P85" s="56"/>
      <c r="Q85" s="56"/>
      <c r="R85" s="56"/>
      <c r="S85" s="56"/>
      <c r="T85" s="56"/>
      <c r="U85" s="69"/>
    </row>
    <row r="86" spans="1:33" s="5" customFormat="1" ht="19.5" customHeight="1">
      <c r="A86" s="59">
        <v>43</v>
      </c>
      <c r="B86" s="60" t="s">
        <v>339</v>
      </c>
      <c r="C86" s="61" t="s">
        <v>340</v>
      </c>
      <c r="D86" s="59" t="s">
        <v>229</v>
      </c>
      <c r="E86" s="60" t="s">
        <v>394</v>
      </c>
      <c r="F86" s="60" t="s">
        <v>448</v>
      </c>
      <c r="G86" s="60" t="s">
        <v>396</v>
      </c>
      <c r="H86" s="60" t="s">
        <v>446</v>
      </c>
      <c r="I86" s="60" t="s">
        <v>453</v>
      </c>
      <c r="J86" s="60" t="s">
        <v>398</v>
      </c>
      <c r="K86" s="60" t="s">
        <v>453</v>
      </c>
      <c r="L86" s="60" t="s">
        <v>441</v>
      </c>
      <c r="M86" s="60" t="s">
        <v>427</v>
      </c>
      <c r="N86" s="34"/>
      <c r="O86" s="34"/>
      <c r="P86" s="54"/>
      <c r="Q86" s="54"/>
      <c r="R86" s="54"/>
      <c r="S86" s="54"/>
      <c r="T86" s="54"/>
      <c r="U86" s="68"/>
    </row>
    <row r="87" spans="1:33" s="5" customFormat="1" ht="19.5" customHeight="1">
      <c r="A87" s="63"/>
      <c r="B87" s="63"/>
      <c r="C87" s="64"/>
      <c r="D87" s="63"/>
      <c r="E87" s="64"/>
      <c r="F87" s="102" t="s">
        <v>439</v>
      </c>
      <c r="G87" s="102" t="s">
        <v>442</v>
      </c>
      <c r="H87" s="102" t="s">
        <v>441</v>
      </c>
      <c r="I87" s="102" t="s">
        <v>472</v>
      </c>
      <c r="J87" s="102" t="s">
        <v>396</v>
      </c>
      <c r="K87" s="102" t="s">
        <v>452</v>
      </c>
      <c r="L87" s="102" t="s">
        <v>415</v>
      </c>
      <c r="M87" s="102"/>
      <c r="N87" s="56"/>
      <c r="O87" s="56"/>
      <c r="P87" s="56"/>
      <c r="Q87" s="56"/>
      <c r="R87" s="56"/>
      <c r="S87" s="56"/>
      <c r="T87" s="56"/>
      <c r="U87" s="69"/>
    </row>
    <row r="88" spans="1:33" s="5" customFormat="1" ht="19.5" customHeight="1">
      <c r="A88" s="59">
        <v>44</v>
      </c>
      <c r="B88" s="60" t="s">
        <v>348</v>
      </c>
      <c r="C88" s="61" t="s">
        <v>349</v>
      </c>
      <c r="D88" s="59" t="s">
        <v>229</v>
      </c>
      <c r="E88" s="60" t="s">
        <v>394</v>
      </c>
      <c r="F88" s="60" t="s">
        <v>427</v>
      </c>
      <c r="G88" s="60" t="s">
        <v>405</v>
      </c>
      <c r="H88" s="60" t="s">
        <v>397</v>
      </c>
      <c r="I88" s="60" t="s">
        <v>398</v>
      </c>
      <c r="J88" s="60" t="s">
        <v>396</v>
      </c>
      <c r="K88" s="60" t="s">
        <v>398</v>
      </c>
      <c r="L88" s="60" t="s">
        <v>462</v>
      </c>
      <c r="M88" s="60" t="s">
        <v>387</v>
      </c>
      <c r="N88" s="34"/>
      <c r="O88" s="34"/>
      <c r="P88" s="54"/>
      <c r="Q88" s="54"/>
      <c r="R88" s="54"/>
      <c r="S88" s="54"/>
      <c r="T88" s="54"/>
      <c r="U88" s="68"/>
    </row>
    <row r="89" spans="1:33" s="5" customFormat="1" ht="19.5" customHeight="1">
      <c r="A89" s="63"/>
      <c r="B89" s="63"/>
      <c r="C89" s="64"/>
      <c r="D89" s="63"/>
      <c r="E89" s="64"/>
      <c r="F89" s="102" t="s">
        <v>474</v>
      </c>
      <c r="G89" s="102" t="s">
        <v>414</v>
      </c>
      <c r="H89" s="102" t="s">
        <v>423</v>
      </c>
      <c r="I89" s="102" t="s">
        <v>404</v>
      </c>
      <c r="J89" s="102" t="s">
        <v>396</v>
      </c>
      <c r="K89" s="102" t="s">
        <v>406</v>
      </c>
      <c r="L89" s="102" t="s">
        <v>445</v>
      </c>
      <c r="M89" s="102"/>
      <c r="N89" s="56"/>
      <c r="O89" s="56"/>
      <c r="P89" s="56"/>
      <c r="Q89" s="56"/>
      <c r="R89" s="56"/>
      <c r="S89" s="56"/>
      <c r="T89" s="56"/>
      <c r="U89" s="69"/>
    </row>
    <row r="90" spans="1:33" s="5" customFormat="1" ht="19.5" customHeight="1">
      <c r="A90" s="59">
        <v>45</v>
      </c>
      <c r="B90" s="60" t="s">
        <v>357</v>
      </c>
      <c r="C90" s="61" t="s">
        <v>358</v>
      </c>
      <c r="D90" s="59" t="s">
        <v>229</v>
      </c>
      <c r="E90" s="60" t="s">
        <v>394</v>
      </c>
      <c r="F90" s="60" t="s">
        <v>400</v>
      </c>
      <c r="G90" s="60" t="s">
        <v>419</v>
      </c>
      <c r="H90" s="60" t="s">
        <v>418</v>
      </c>
      <c r="I90" s="60" t="s">
        <v>396</v>
      </c>
      <c r="J90" s="60" t="s">
        <v>419</v>
      </c>
      <c r="K90" s="60" t="s">
        <v>396</v>
      </c>
      <c r="L90" s="60" t="s">
        <v>420</v>
      </c>
      <c r="M90" s="60" t="s">
        <v>421</v>
      </c>
      <c r="N90" s="34"/>
      <c r="O90" s="34"/>
      <c r="P90" s="54"/>
      <c r="Q90" s="54"/>
      <c r="R90" s="54"/>
      <c r="S90" s="54"/>
      <c r="T90" s="54"/>
      <c r="U90" s="68"/>
      <c r="V90" s="1"/>
      <c r="W90" s="1"/>
      <c r="X90" s="1"/>
      <c r="Y90" s="1"/>
      <c r="Z90" s="1"/>
      <c r="AA90" s="1"/>
      <c r="AB90" s="1"/>
      <c r="AC90" s="1"/>
      <c r="AD90" s="1"/>
    </row>
    <row r="91" spans="1:33" s="5" customFormat="1" ht="19.5" customHeight="1">
      <c r="A91" s="63"/>
      <c r="B91" s="63"/>
      <c r="C91" s="64"/>
      <c r="D91" s="63"/>
      <c r="E91" s="64"/>
      <c r="F91" s="102" t="s">
        <v>441</v>
      </c>
      <c r="G91" s="102" t="s">
        <v>436</v>
      </c>
      <c r="H91" s="102" t="s">
        <v>475</v>
      </c>
      <c r="I91" s="102" t="s">
        <v>453</v>
      </c>
      <c r="J91" s="102" t="s">
        <v>405</v>
      </c>
      <c r="K91" s="102" t="s">
        <v>406</v>
      </c>
      <c r="L91" s="102" t="s">
        <v>426</v>
      </c>
      <c r="M91" s="102"/>
      <c r="N91" s="56"/>
      <c r="O91" s="56"/>
      <c r="P91" s="56"/>
      <c r="Q91" s="56"/>
      <c r="R91" s="56"/>
      <c r="S91" s="56"/>
      <c r="T91" s="56"/>
      <c r="U91" s="69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</row>
    <row r="92" spans="1:33" s="5" customFormat="1" ht="19.5" customHeight="1">
      <c r="A92" s="59">
        <v>46</v>
      </c>
      <c r="B92" s="60" t="s">
        <v>243</v>
      </c>
      <c r="C92" s="61" t="s">
        <v>244</v>
      </c>
      <c r="D92" s="59" t="s">
        <v>229</v>
      </c>
      <c r="E92" s="60" t="s">
        <v>394</v>
      </c>
      <c r="F92" s="60" t="s">
        <v>421</v>
      </c>
      <c r="G92" s="60" t="s">
        <v>428</v>
      </c>
      <c r="H92" s="60" t="s">
        <v>418</v>
      </c>
      <c r="I92" s="60" t="s">
        <v>396</v>
      </c>
      <c r="J92" s="60" t="s">
        <v>428</v>
      </c>
      <c r="K92" s="60" t="s">
        <v>396</v>
      </c>
      <c r="L92" s="60" t="s">
        <v>438</v>
      </c>
      <c r="M92" s="60" t="s">
        <v>458</v>
      </c>
      <c r="N92" s="34"/>
      <c r="O92" s="34"/>
      <c r="P92" s="54"/>
      <c r="Q92" s="54"/>
      <c r="R92" s="54"/>
      <c r="S92" s="54"/>
      <c r="T92" s="54"/>
      <c r="U92" s="68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</row>
    <row r="93" spans="1:33" s="5" customFormat="1" ht="19.5" customHeight="1">
      <c r="A93" s="63"/>
      <c r="B93" s="63"/>
      <c r="C93" s="64"/>
      <c r="D93" s="63"/>
      <c r="E93" s="64"/>
      <c r="F93" s="102" t="s">
        <v>425</v>
      </c>
      <c r="G93" s="102" t="s">
        <v>460</v>
      </c>
      <c r="H93" s="102" t="s">
        <v>475</v>
      </c>
      <c r="I93" s="102" t="s">
        <v>432</v>
      </c>
      <c r="J93" s="102" t="s">
        <v>419</v>
      </c>
      <c r="K93" s="102" t="s">
        <v>446</v>
      </c>
      <c r="L93" s="102" t="s">
        <v>476</v>
      </c>
      <c r="M93" s="102"/>
      <c r="N93" s="56"/>
      <c r="O93" s="56"/>
      <c r="P93" s="56"/>
      <c r="Q93" s="56"/>
      <c r="R93" s="56"/>
      <c r="S93" s="56"/>
      <c r="T93" s="56"/>
      <c r="U93" s="69"/>
    </row>
  </sheetData>
  <mergeCells count="1">
    <mergeCell ref="A1:B1"/>
  </mergeCells>
  <pageMargins left="0.196527777777778" right="0.196527777777778" top="0.55069444444444404" bottom="0.13" header="0.196527777777778" footer="0.43"/>
  <pageSetup paperSize="9" scale="95" firstPageNumber="0" orientation="portrait" horizontalDpi="300" verticalDpi="300" r:id="rId1"/>
  <headerFooter>
    <oddHeader>&amp;C&amp;"Arial,Regular"&amp;P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15"/>
  <sheetViews>
    <sheetView zoomScale="120" zoomScaleNormal="120" workbookViewId="0">
      <selection activeCell="M15" sqref="A1:M15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342</v>
      </c>
      <c r="C2" s="61" t="s">
        <v>343</v>
      </c>
      <c r="D2" s="59" t="s">
        <v>229</v>
      </c>
      <c r="E2" s="60" t="s">
        <v>386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354</v>
      </c>
      <c r="C4" s="61" t="s">
        <v>477</v>
      </c>
      <c r="D4" s="59" t="s">
        <v>229</v>
      </c>
      <c r="E4" s="60" t="s">
        <v>386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252</v>
      </c>
      <c r="C6" s="61" t="s">
        <v>478</v>
      </c>
      <c r="D6" s="59" t="s">
        <v>229</v>
      </c>
      <c r="E6" s="60" t="s">
        <v>386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297</v>
      </c>
      <c r="C8" s="61" t="s">
        <v>479</v>
      </c>
      <c r="D8" s="59" t="s">
        <v>229</v>
      </c>
      <c r="E8" s="60" t="s">
        <v>386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345</v>
      </c>
      <c r="C10" s="61" t="s">
        <v>346</v>
      </c>
      <c r="D10" s="59" t="s">
        <v>229</v>
      </c>
      <c r="E10" s="60" t="s">
        <v>386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246</v>
      </c>
      <c r="C12" s="61" t="s">
        <v>480</v>
      </c>
      <c r="D12" s="59" t="s">
        <v>229</v>
      </c>
      <c r="E12" s="60" t="s">
        <v>386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97</v>
      </c>
      <c r="C14" s="61" t="s">
        <v>481</v>
      </c>
      <c r="D14" s="59" t="s">
        <v>120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SEMUA</vt:lpstr>
      <vt:lpstr>blm ukur 17022021</vt:lpstr>
      <vt:lpstr>CETAK 41ORG KE DUA</vt:lpstr>
      <vt:lpstr>UKUR 17s.d.24 feb 2021</vt:lpstr>
      <vt:lpstr>history setor</vt:lpstr>
      <vt:lpstr>Sheet4</vt:lpstr>
      <vt:lpstr>CETAK</vt:lpstr>
      <vt:lpstr>REKAP</vt:lpstr>
      <vt:lpstr>FORM REVISI UK</vt:lpstr>
      <vt:lpstr>CETAK GEL I</vt:lpstr>
      <vt:lpstr>serah trima 1 (46org)</vt:lpstr>
      <vt:lpstr>serah trima 2 (7org)</vt:lpstr>
      <vt:lpstr>CETAK!_FilterDatabase</vt:lpstr>
      <vt:lpstr>'CETAK GEL I'!_FilterDatabase</vt:lpstr>
      <vt:lpstr>'FORM REVISI UK'!_FilterDatabase</vt:lpstr>
      <vt:lpstr>'serah trima 1 (46org)'!_FilterDatabase</vt:lpstr>
      <vt:lpstr>'serah trima 2 (7org)'!_FilterDatabase</vt:lpstr>
      <vt:lpstr>'blm ukur 17022021'!Print_Titles</vt:lpstr>
      <vt:lpstr>CETAK!Print_Titles</vt:lpstr>
      <vt:lpstr>'CETAK 41ORG KE DUA'!Print_Titles</vt:lpstr>
      <vt:lpstr>'CETAK GEL I'!Print_Titles</vt:lpstr>
      <vt:lpstr>'FORM REVISI UK'!Print_Titles</vt:lpstr>
      <vt:lpstr>REKAP!Print_Titles</vt:lpstr>
      <vt:lpstr>'serah trima 1 (46org)'!Print_Titles</vt:lpstr>
      <vt:lpstr>'serah trima 2 (7org)'!Print_Titles</vt:lpstr>
      <vt:lpstr>'UKUR 17s.d.24 feb 2021'!Print_Titles</vt:lpstr>
      <vt:lpstr>REKAP!Print_Titles_0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Altaf</cp:lastModifiedBy>
  <cp:revision>8</cp:revision>
  <cp:lastPrinted>2021-03-18T21:00:17Z</cp:lastPrinted>
  <dcterms:created xsi:type="dcterms:W3CDTF">2016-07-23T12:41:03Z</dcterms:created>
  <dcterms:modified xsi:type="dcterms:W3CDTF">2021-05-07T21:37:37Z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