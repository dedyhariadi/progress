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\"/>
    </mc:Choice>
  </mc:AlternateContent>
  <xr:revisionPtr revIDLastSave="0" documentId="13_ncr:1_{5B389DED-0A4D-4210-9F00-5B309B836E3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5" i="1" l="1"/>
</calcChain>
</file>

<file path=xl/sharedStrings.xml><?xml version="1.0" encoding="utf-8"?>
<sst xmlns="http://schemas.openxmlformats.org/spreadsheetml/2006/main" count="258" uniqueCount="114">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</sst>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2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25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85" totalsRowDxfId="44"/>
    <tableColumn id="3" xr3:uid="{9B922ABE-FC7D-498B-8674-4A868558B842}" name="KELAS" dataDxfId="84" totalsRowDxfId="43"/>
    <tableColumn id="4" xr3:uid="{9233572D-4F52-44C4-B484-C97F56911666}" name="SEPATU" dataDxfId="83" totalsRowDxfId="42"/>
    <tableColumn id="5" xr3:uid="{64A26244-D55D-4B6E-937D-32436530D5F4}" name="KAOS" dataDxfId="82" totalsRowDxfId="41"/>
    <tableColumn id="6" xr3:uid="{674B81FC-3E4E-469F-B47C-9E4889132B2C}" name="TOPI" dataDxfId="81" totalsRowDxfId="40"/>
    <tableColumn id="7" xr3:uid="{F49C6B83-EDDD-4412-A4AF-5877984BB528}" name="STREP" dataDxfId="80" totalsRowDxfId="39"/>
    <tableColumn id="8" xr3:uid="{F8F10CC0-3916-4253-B897-A6FF9F50B983}" name="GENDER" dataDxfId="79" totalsRowDxfId="38"/>
    <tableColumn id="9" xr3:uid="{DA0F9BEB-AB24-4D4D-A11C-63EC422C7B6E}" name="UBN_1" dataDxfId="78" totalsRowDxfId="37"/>
    <tableColumn id="10" xr3:uid="{B072B965-AFD7-4A68-B3A8-836EC02A3F67}" name="UBN_2" dataDxfId="77" totalsRowDxfId="36"/>
    <tableColumn id="11" xr3:uid="{E8BA9358-7203-40DB-9871-D6A286C7F2E9}" name="UBN_3" dataDxfId="76" totalsRowDxfId="35"/>
    <tableColumn id="12" xr3:uid="{803D067C-F930-4E77-92AA-AEE6853112E9}" name="UBN_4" dataDxfId="75" totalsRowDxfId="34"/>
    <tableColumn id="13" xr3:uid="{AB572C33-B9A9-4574-BC21-D6EDE4ACE0C1}" name="UBN_5" dataDxfId="74" totalsRowDxfId="33"/>
    <tableColumn id="14" xr3:uid="{BD1290D7-54A8-4F4D-9FCD-0E20C6DD5664}" name="UBN_6" dataDxfId="73" totalsRowDxfId="32"/>
    <tableColumn id="15" xr3:uid="{575D8CCE-A940-4003-91C3-E83329D0719E}" name="UBN_7" dataDxfId="72" totalsRowDxfId="31"/>
    <tableColumn id="16" xr3:uid="{718D3917-2C32-4F33-B68F-2E874FD787A4}" name="UBN_8" dataDxfId="71" totalsRowDxfId="30"/>
    <tableColumn id="17" xr3:uid="{05FF5F6F-8277-40D9-B9AD-56701DB28DFB}" name="UBN_9" dataDxfId="70" totalsRowDxfId="29"/>
    <tableColumn id="18" xr3:uid="{A158D112-581C-4116-9854-04C6227AB533}" name="UH_1" dataDxfId="69" totalsRowDxfId="28"/>
    <tableColumn id="19" xr3:uid="{3DBBCADC-ACBF-498B-9B79-6F3764D24DA1}" name="UH_2" dataDxfId="68" totalsRowDxfId="27"/>
    <tableColumn id="20" xr3:uid="{FEC0AD57-91B1-49D3-B5C8-4B9C6C73E8BF}" name="UH_3" dataDxfId="67" totalsRowDxfId="26"/>
    <tableColumn id="21" xr3:uid="{22B7BE22-2429-4C0E-A18F-2C844201C6FE}" name="UH_4" dataDxfId="66" totalsRowDxfId="25"/>
    <tableColumn id="22" xr3:uid="{AA4CDBA6-2919-4E9C-8867-1F0CEFC5E717}" name="UH_5" dataDxfId="65" totalsRowDxfId="24"/>
    <tableColumn id="23" xr3:uid="{A1E3B06F-8710-4851-808E-5608B8E62EFD}" name="UH_6" dataDxfId="64" totalsRowDxfId="23"/>
    <tableColumn id="24" xr3:uid="{CBEA97EF-2310-481A-8738-852A05BDBBDE}" name="UH_7" dataDxfId="63" totalsRowDxfId="22"/>
    <tableColumn id="25" xr3:uid="{8EBB9004-6143-477A-B838-04F62C906AF5}" name="UH_8" dataDxfId="62" totalsRowDxfId="21"/>
    <tableColumn id="26" xr3:uid="{019B93CF-A830-4031-9FBC-87FEB5CF8CC1}" name="UH_9" dataDxfId="61" totalsRowDxfId="20"/>
    <tableColumn id="27" xr3:uid="{621D9422-094A-44F5-8078-5A1B0173732C}" name="UB_1" dataDxfId="60" totalsRowDxfId="19"/>
    <tableColumn id="28" xr3:uid="{82AAB438-1A31-4B8B-A686-7AB1D17608C4}" name="UB_2" dataDxfId="59" totalsRowDxfId="18"/>
    <tableColumn id="29" xr3:uid="{C4332329-BFED-4D80-94E5-C948AB78ABCB}" name="UB_3" dataDxfId="58" totalsRowDxfId="17"/>
    <tableColumn id="30" xr3:uid="{AC15B654-44F1-46C8-AF2E-5DD79B537A7E}" name="UB_4" dataDxfId="57" totalsRowDxfId="16"/>
    <tableColumn id="31" xr3:uid="{3ADDDC7B-6C5E-4E8C-966C-13B336FADFE2}" name="UB_5" dataDxfId="56" totalsRowDxfId="15"/>
    <tableColumn id="32" xr3:uid="{3590D4FE-A77C-43C4-AEA6-E5F78B50AE13}" name="UB_6" dataDxfId="55" totalsRowDxfId="14"/>
    <tableColumn id="33" xr3:uid="{A625D872-9092-481E-B9AF-AF0255845E25}" name="UB_7" dataDxfId="54" totalsRowDxfId="13"/>
    <tableColumn id="34" xr3:uid="{449C4F99-AAC4-4FB4-BEE2-939A4354000C}" name="UB_8" dataDxfId="53" totalsRowDxfId="12"/>
    <tableColumn id="35" xr3:uid="{4EEA6EE7-FA12-47DC-B340-6C3E70C93E08}" name="UC_1" dataDxfId="52" totalsRowDxfId="11"/>
    <tableColumn id="36" xr3:uid="{FC5C5043-11F1-4450-8EAE-95A2829C00FB}" name="UC_2" dataDxfId="51" totalsRowDxfId="10"/>
    <tableColumn id="37" xr3:uid="{38D4F380-F65E-4236-A698-2A71ECE3FAF3}" name="UC_3" dataDxfId="50" totalsRowDxfId="9"/>
    <tableColumn id="38" xr3:uid="{6C206CD4-77B8-4C0F-BAAC-DA9B2CD32A8F}" name="UC_4" dataDxfId="49" totalsRowDxfId="8"/>
    <tableColumn id="39" xr3:uid="{C5B1372F-00ED-4D97-8528-DACA77C99B40}" name="UC_5" dataDxfId="48" totalsRowDxfId="7"/>
    <tableColumn id="40" xr3:uid="{2A3B6ABF-B569-43AF-8640-C4D16F8322BF}" name="UC_6" dataDxfId="47" totalsRowDxfId="6"/>
    <tableColumn id="41" xr3:uid="{704C5F5B-7163-41C3-BAEA-A821EE9C6524}" name="UC_7" dataDxfId="46" totalsRowDxfId="5"/>
    <tableColumn id="42" xr3:uid="{5622072B-C273-4B70-A4DE-408C7EE83FB1}" name="CETAK KE" dataDxfId="90" totalsRowDxfId="4"/>
    <tableColumn id="43" xr3:uid="{EF3B8348-E500-4292-AE15-A2679FF32794}" name="CETAK PDH" dataDxfId="89" totalsRowDxfId="3"/>
    <tableColumn id="44" xr3:uid="{871480CA-FDED-4AAF-9B75-018CF0AD3D72}" name="CETAK BN" dataDxfId="88" totalsRowDxfId="2"/>
    <tableColumn id="45" xr3:uid="{9EEF43E1-DF19-4E79-8A04-DC554BCC1371}" name="CETAK KAOS" dataDxfId="87" totalsRowDxfId="1"/>
    <tableColumn id="46" xr3:uid="{E5974331-AD8F-4843-B19B-724E9F9B5CD1}" name="CETAK SEPATU" totalsRowFunction="count" dataDxfId="8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4"/>
  <sheetViews>
    <sheetView tabSelected="1" zoomScale="40" zoomScaleNormal="40" workbookViewId="0">
      <pane ySplit="1" topLeftCell="A2" activePane="bottomLeft" state="frozen"/>
      <selection pane="bottomLeft" activeCell="AQ6" sqref="AQ6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60</v>
      </c>
      <c r="B2" s="28" t="s">
        <v>71</v>
      </c>
      <c r="C2" s="29" t="s">
        <v>72</v>
      </c>
      <c r="D2" s="29">
        <v>42</v>
      </c>
      <c r="E2" s="29" t="s">
        <v>32</v>
      </c>
      <c r="F2" s="29">
        <v>55</v>
      </c>
      <c r="G2" s="30" t="s">
        <v>110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112</v>
      </c>
      <c r="AQ2" s="6" t="s">
        <v>113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61</v>
      </c>
      <c r="B3" s="28" t="s">
        <v>73</v>
      </c>
      <c r="C3" s="29" t="s">
        <v>72</v>
      </c>
      <c r="D3" s="29">
        <v>41</v>
      </c>
      <c r="E3" s="29" t="s">
        <v>34</v>
      </c>
      <c r="F3" s="29">
        <v>58</v>
      </c>
      <c r="G3" s="30" t="s">
        <v>110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112</v>
      </c>
      <c r="AQ3" s="6" t="s">
        <v>113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62</v>
      </c>
      <c r="B4" s="28" t="s">
        <v>74</v>
      </c>
      <c r="C4" s="29" t="s">
        <v>72</v>
      </c>
      <c r="D4" s="29">
        <v>41</v>
      </c>
      <c r="E4" s="29" t="s">
        <v>31</v>
      </c>
      <c r="F4" s="29">
        <v>57</v>
      </c>
      <c r="G4" s="30" t="s">
        <v>110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112</v>
      </c>
      <c r="AQ4" s="6" t="s">
        <v>113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63</v>
      </c>
      <c r="B5" s="28" t="s">
        <v>75</v>
      </c>
      <c r="C5" s="29" t="s">
        <v>72</v>
      </c>
      <c r="D5" s="29">
        <v>40</v>
      </c>
      <c r="E5" s="29" t="s">
        <v>31</v>
      </c>
      <c r="F5" s="29">
        <v>57</v>
      </c>
      <c r="G5" s="30" t="s">
        <v>110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112</v>
      </c>
      <c r="AQ5" s="6" t="s">
        <v>113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64</v>
      </c>
      <c r="B6" s="28" t="s">
        <v>76</v>
      </c>
      <c r="C6" s="29" t="s">
        <v>72</v>
      </c>
      <c r="D6" s="29">
        <v>40</v>
      </c>
      <c r="E6" s="29" t="s">
        <v>32</v>
      </c>
      <c r="F6" s="29">
        <v>55</v>
      </c>
      <c r="G6" s="30" t="s">
        <v>110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112</v>
      </c>
      <c r="AQ6" s="6" t="s">
        <v>113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65</v>
      </c>
      <c r="B7" s="28" t="s">
        <v>77</v>
      </c>
      <c r="C7" s="29" t="s">
        <v>72</v>
      </c>
      <c r="D7" s="29">
        <v>40</v>
      </c>
      <c r="E7" s="29" t="s">
        <v>32</v>
      </c>
      <c r="F7" s="29">
        <v>56</v>
      </c>
      <c r="G7" s="30" t="s">
        <v>110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78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112</v>
      </c>
      <c r="AQ7" s="6" t="s">
        <v>113</v>
      </c>
      <c r="AR7" s="7"/>
      <c r="AS7" s="6"/>
      <c r="AT7" s="7"/>
      <c r="ALZ7" s="7"/>
    </row>
    <row r="8" spans="1:1014" ht="30" customHeight="1" x14ac:dyDescent="0.2">
      <c r="A8" s="8" t="s">
        <v>66</v>
      </c>
      <c r="B8" s="28" t="s">
        <v>79</v>
      </c>
      <c r="C8" s="29" t="s">
        <v>72</v>
      </c>
      <c r="D8" s="29">
        <v>41</v>
      </c>
      <c r="E8" s="29" t="s">
        <v>31</v>
      </c>
      <c r="F8" s="29">
        <v>56</v>
      </c>
      <c r="G8" s="30" t="s">
        <v>110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112</v>
      </c>
      <c r="AQ8" s="6" t="s">
        <v>113</v>
      </c>
      <c r="AR8" s="7"/>
      <c r="AS8" s="6"/>
      <c r="AT8" s="7"/>
      <c r="ALZ8" s="7"/>
    </row>
    <row r="9" spans="1:1014" ht="30" customHeight="1" x14ac:dyDescent="0.2">
      <c r="A9" s="8" t="s">
        <v>67</v>
      </c>
      <c r="B9" s="28" t="s">
        <v>80</v>
      </c>
      <c r="C9" s="29" t="s">
        <v>72</v>
      </c>
      <c r="D9" s="29">
        <v>42</v>
      </c>
      <c r="E9" s="29" t="s">
        <v>34</v>
      </c>
      <c r="F9" s="29">
        <v>57</v>
      </c>
      <c r="G9" s="30" t="s">
        <v>110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112</v>
      </c>
      <c r="AQ9" s="6" t="s">
        <v>113</v>
      </c>
      <c r="AS9" s="6"/>
      <c r="ALZ9" s="7"/>
    </row>
    <row r="10" spans="1:1014" ht="30" customHeight="1" x14ac:dyDescent="0.2">
      <c r="A10" s="8" t="s">
        <v>68</v>
      </c>
      <c r="B10" s="28" t="s">
        <v>81</v>
      </c>
      <c r="C10" s="29" t="s">
        <v>72</v>
      </c>
      <c r="D10" s="29">
        <v>40</v>
      </c>
      <c r="E10" s="29" t="s">
        <v>32</v>
      </c>
      <c r="F10" s="29">
        <v>55</v>
      </c>
      <c r="G10" s="30" t="s">
        <v>110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112</v>
      </c>
      <c r="AQ10" s="6" t="s">
        <v>113</v>
      </c>
      <c r="AS10" s="6"/>
    </row>
    <row r="11" spans="1:1014" ht="30" customHeight="1" x14ac:dyDescent="0.2">
      <c r="A11" s="8" t="s">
        <v>69</v>
      </c>
      <c r="B11" s="28" t="s">
        <v>82</v>
      </c>
      <c r="C11" s="29" t="s">
        <v>72</v>
      </c>
      <c r="D11" s="29">
        <v>43</v>
      </c>
      <c r="E11" s="29" t="s">
        <v>33</v>
      </c>
      <c r="F11" s="29">
        <v>58</v>
      </c>
      <c r="G11" s="30" t="s">
        <v>110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112</v>
      </c>
      <c r="AQ11" s="6" t="s">
        <v>113</v>
      </c>
      <c r="AS11" s="6"/>
    </row>
    <row r="12" spans="1:1014" ht="30" customHeight="1" x14ac:dyDescent="0.2">
      <c r="A12" s="8" t="s">
        <v>70</v>
      </c>
      <c r="B12" s="28" t="s">
        <v>83</v>
      </c>
      <c r="C12" s="29" t="s">
        <v>72</v>
      </c>
      <c r="D12" s="29"/>
      <c r="E12" s="29" t="s">
        <v>34</v>
      </c>
      <c r="F12" s="29"/>
      <c r="G12" s="30" t="s">
        <v>110</v>
      </c>
      <c r="H12" s="31" t="s">
        <v>41</v>
      </c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112</v>
      </c>
      <c r="AQ12" s="6" t="s">
        <v>113</v>
      </c>
      <c r="AS12" s="6"/>
    </row>
    <row r="13" spans="1:1014" ht="30" customHeight="1" x14ac:dyDescent="0.2">
      <c r="A13" s="8" t="s">
        <v>98</v>
      </c>
      <c r="B13" s="28" t="s">
        <v>84</v>
      </c>
      <c r="C13" s="29" t="s">
        <v>72</v>
      </c>
      <c r="D13" s="29">
        <v>42</v>
      </c>
      <c r="E13" s="29" t="s">
        <v>34</v>
      </c>
      <c r="F13" s="29">
        <v>57</v>
      </c>
      <c r="G13" s="30" t="s">
        <v>110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112</v>
      </c>
      <c r="AQ13" s="6" t="s">
        <v>113</v>
      </c>
      <c r="AS13" s="6"/>
    </row>
    <row r="14" spans="1:1014" ht="30" customHeight="1" x14ac:dyDescent="0.2">
      <c r="A14" s="26" t="s">
        <v>99</v>
      </c>
      <c r="B14" s="28" t="s">
        <v>85</v>
      </c>
      <c r="C14" s="29" t="s">
        <v>86</v>
      </c>
      <c r="D14" s="29">
        <v>44</v>
      </c>
      <c r="E14" s="29" t="s">
        <v>32</v>
      </c>
      <c r="F14" s="29">
        <v>56</v>
      </c>
      <c r="G14" s="30" t="s">
        <v>111</v>
      </c>
      <c r="H14" s="31" t="s">
        <v>41</v>
      </c>
      <c r="I14" s="31">
        <v>49</v>
      </c>
      <c r="J14" s="31">
        <v>62</v>
      </c>
      <c r="K14" s="31">
        <v>19</v>
      </c>
      <c r="L14" s="31">
        <v>14</v>
      </c>
      <c r="M14" s="31">
        <v>99</v>
      </c>
      <c r="N14" s="31">
        <v>93</v>
      </c>
      <c r="O14" s="31">
        <v>110</v>
      </c>
      <c r="P14" s="31">
        <v>75</v>
      </c>
      <c r="Q14" s="31">
        <v>42</v>
      </c>
      <c r="R14" s="31">
        <v>49</v>
      </c>
      <c r="S14" s="31">
        <v>63</v>
      </c>
      <c r="T14" s="31">
        <v>17</v>
      </c>
      <c r="U14" s="31">
        <v>13</v>
      </c>
      <c r="V14" s="31">
        <v>27</v>
      </c>
      <c r="W14" s="31">
        <v>25</v>
      </c>
      <c r="X14" s="31">
        <v>27</v>
      </c>
      <c r="Y14" s="31">
        <v>75</v>
      </c>
      <c r="Z14" s="31">
        <v>42</v>
      </c>
      <c r="AA14" s="31">
        <v>49</v>
      </c>
      <c r="AB14" s="31">
        <v>26</v>
      </c>
      <c r="AC14" s="31">
        <v>17</v>
      </c>
      <c r="AD14" s="31">
        <v>27</v>
      </c>
      <c r="AE14" s="31">
        <v>25</v>
      </c>
      <c r="AF14" s="31">
        <v>27</v>
      </c>
      <c r="AG14" s="31">
        <v>75</v>
      </c>
      <c r="AH14" s="31">
        <v>42</v>
      </c>
      <c r="AI14" s="31">
        <v>86</v>
      </c>
      <c r="AJ14" s="31">
        <v>106</v>
      </c>
      <c r="AK14" s="31">
        <v>70</v>
      </c>
      <c r="AL14" s="31">
        <v>33</v>
      </c>
      <c r="AM14" s="31">
        <v>26</v>
      </c>
      <c r="AN14" s="31">
        <v>22</v>
      </c>
      <c r="AO14" s="29">
        <v>92</v>
      </c>
      <c r="AP14" s="3" t="s">
        <v>112</v>
      </c>
      <c r="AQ14" s="6" t="s">
        <v>113</v>
      </c>
      <c r="AS14" s="6"/>
    </row>
    <row r="15" spans="1:1014" ht="30" customHeight="1" x14ac:dyDescent="0.2">
      <c r="A15" s="26" t="s">
        <v>100</v>
      </c>
      <c r="B15" s="28" t="s">
        <v>87</v>
      </c>
      <c r="C15" s="29" t="s">
        <v>86</v>
      </c>
      <c r="D15" s="29">
        <v>42</v>
      </c>
      <c r="E15" s="29" t="s">
        <v>32</v>
      </c>
      <c r="F15" s="29">
        <v>56</v>
      </c>
      <c r="G15" s="30" t="s">
        <v>111</v>
      </c>
      <c r="H15" s="31" t="s">
        <v>41</v>
      </c>
      <c r="I15" s="31">
        <v>43</v>
      </c>
      <c r="J15" s="31">
        <v>57</v>
      </c>
      <c r="K15" s="31">
        <v>18</v>
      </c>
      <c r="L15" s="31">
        <v>14</v>
      </c>
      <c r="M15" s="31">
        <v>96</v>
      </c>
      <c r="N15" s="31">
        <v>90</v>
      </c>
      <c r="O15" s="31">
        <v>104</v>
      </c>
      <c r="P15" s="31">
        <v>69</v>
      </c>
      <c r="Q15" s="31">
        <v>39</v>
      </c>
      <c r="R15" s="31">
        <v>43</v>
      </c>
      <c r="S15" s="31">
        <v>58</v>
      </c>
      <c r="T15" s="31">
        <v>16</v>
      </c>
      <c r="U15" s="31">
        <v>13</v>
      </c>
      <c r="V15" s="31">
        <v>26</v>
      </c>
      <c r="W15" s="31">
        <v>25</v>
      </c>
      <c r="X15" s="31">
        <v>26</v>
      </c>
      <c r="Y15" s="31">
        <v>69</v>
      </c>
      <c r="Z15" s="31">
        <v>39</v>
      </c>
      <c r="AA15" s="31">
        <v>43</v>
      </c>
      <c r="AB15" s="31">
        <v>24</v>
      </c>
      <c r="AC15" s="31">
        <v>16</v>
      </c>
      <c r="AD15" s="31">
        <v>26</v>
      </c>
      <c r="AE15" s="31">
        <v>25</v>
      </c>
      <c r="AF15" s="31">
        <v>26</v>
      </c>
      <c r="AG15" s="31">
        <v>69</v>
      </c>
      <c r="AH15" s="31">
        <v>39</v>
      </c>
      <c r="AI15" s="31">
        <v>84</v>
      </c>
      <c r="AJ15" s="31">
        <v>101</v>
      </c>
      <c r="AK15" s="31">
        <v>65</v>
      </c>
      <c r="AL15" s="31">
        <v>31</v>
      </c>
      <c r="AM15" s="31">
        <v>23</v>
      </c>
      <c r="AN15" s="31">
        <v>19</v>
      </c>
      <c r="AO15" s="29">
        <v>95</v>
      </c>
      <c r="AP15" s="3" t="s">
        <v>112</v>
      </c>
      <c r="AQ15" s="6" t="s">
        <v>113</v>
      </c>
      <c r="AS15" s="6"/>
    </row>
    <row r="16" spans="1:1014" ht="30" customHeight="1" x14ac:dyDescent="0.2">
      <c r="A16" s="26" t="s">
        <v>101</v>
      </c>
      <c r="B16" s="28" t="s">
        <v>88</v>
      </c>
      <c r="C16" s="29" t="s">
        <v>86</v>
      </c>
      <c r="D16" s="29">
        <v>43</v>
      </c>
      <c r="E16" s="29" t="s">
        <v>33</v>
      </c>
      <c r="F16" s="29">
        <v>59</v>
      </c>
      <c r="G16" s="30" t="s">
        <v>111</v>
      </c>
      <c r="H16" s="31" t="s">
        <v>41</v>
      </c>
      <c r="I16" s="31">
        <v>48</v>
      </c>
      <c r="J16" s="31">
        <v>60</v>
      </c>
      <c r="K16" s="31">
        <v>20</v>
      </c>
      <c r="L16" s="31">
        <v>14</v>
      </c>
      <c r="M16" s="31">
        <v>114</v>
      </c>
      <c r="N16" s="31">
        <v>112</v>
      </c>
      <c r="O16" s="31">
        <v>119</v>
      </c>
      <c r="P16" s="31">
        <v>73</v>
      </c>
      <c r="Q16" s="31">
        <v>45</v>
      </c>
      <c r="R16" s="31">
        <v>48</v>
      </c>
      <c r="S16" s="31">
        <v>61</v>
      </c>
      <c r="T16" s="31">
        <v>19</v>
      </c>
      <c r="U16" s="31">
        <v>13</v>
      </c>
      <c r="V16" s="31">
        <v>30</v>
      </c>
      <c r="W16" s="31">
        <v>29</v>
      </c>
      <c r="X16" s="31">
        <v>30</v>
      </c>
      <c r="Y16" s="31">
        <v>73</v>
      </c>
      <c r="Z16" s="31">
        <v>45</v>
      </c>
      <c r="AA16" s="31">
        <v>48</v>
      </c>
      <c r="AB16" s="31">
        <v>26</v>
      </c>
      <c r="AC16" s="31">
        <v>19</v>
      </c>
      <c r="AD16" s="31">
        <v>30</v>
      </c>
      <c r="AE16" s="31">
        <v>29</v>
      </c>
      <c r="AF16" s="31">
        <v>30</v>
      </c>
      <c r="AG16" s="31">
        <v>73</v>
      </c>
      <c r="AH16" s="31">
        <v>45</v>
      </c>
      <c r="AI16" s="31">
        <v>106</v>
      </c>
      <c r="AJ16" s="31">
        <v>120</v>
      </c>
      <c r="AK16" s="31">
        <v>74</v>
      </c>
      <c r="AL16" s="31">
        <v>37</v>
      </c>
      <c r="AM16" s="31">
        <v>27</v>
      </c>
      <c r="AN16" s="31">
        <v>22</v>
      </c>
      <c r="AO16" s="29">
        <v>96</v>
      </c>
      <c r="AP16" s="3" t="s">
        <v>112</v>
      </c>
      <c r="AQ16" s="6" t="s">
        <v>113</v>
      </c>
    </row>
    <row r="17" spans="1:46" ht="30" customHeight="1" x14ac:dyDescent="0.2">
      <c r="A17" s="26" t="s">
        <v>102</v>
      </c>
      <c r="B17" s="28" t="s">
        <v>89</v>
      </c>
      <c r="C17" s="29" t="s">
        <v>86</v>
      </c>
      <c r="D17" s="29">
        <v>43</v>
      </c>
      <c r="E17" s="29" t="s">
        <v>34</v>
      </c>
      <c r="F17" s="29">
        <v>56</v>
      </c>
      <c r="G17" s="30" t="s">
        <v>111</v>
      </c>
      <c r="H17" s="31" t="s">
        <v>41</v>
      </c>
      <c r="I17" s="31">
        <v>47</v>
      </c>
      <c r="J17" s="31">
        <v>60</v>
      </c>
      <c r="K17" s="31">
        <v>20</v>
      </c>
      <c r="L17" s="31">
        <v>15</v>
      </c>
      <c r="M17" s="31">
        <v>108</v>
      </c>
      <c r="N17" s="31">
        <v>109</v>
      </c>
      <c r="O17" s="31">
        <v>117</v>
      </c>
      <c r="P17" s="31">
        <v>73</v>
      </c>
      <c r="Q17" s="31">
        <v>41</v>
      </c>
      <c r="R17" s="31">
        <v>47</v>
      </c>
      <c r="S17" s="31">
        <v>61</v>
      </c>
      <c r="T17" s="31">
        <v>19</v>
      </c>
      <c r="U17" s="31">
        <v>13</v>
      </c>
      <c r="V17" s="31">
        <v>30</v>
      </c>
      <c r="W17" s="31">
        <v>30</v>
      </c>
      <c r="X17" s="31">
        <v>30</v>
      </c>
      <c r="Y17" s="31">
        <v>73</v>
      </c>
      <c r="Z17" s="31">
        <v>41</v>
      </c>
      <c r="AA17" s="31">
        <v>47</v>
      </c>
      <c r="AB17" s="31">
        <v>26</v>
      </c>
      <c r="AC17" s="31">
        <v>19</v>
      </c>
      <c r="AD17" s="31">
        <v>30</v>
      </c>
      <c r="AE17" s="31">
        <v>30</v>
      </c>
      <c r="AF17" s="31">
        <v>30</v>
      </c>
      <c r="AG17" s="31">
        <v>73</v>
      </c>
      <c r="AH17" s="31">
        <v>41</v>
      </c>
      <c r="AI17" s="31">
        <v>100</v>
      </c>
      <c r="AJ17" s="31">
        <v>117</v>
      </c>
      <c r="AK17" s="31">
        <v>72</v>
      </c>
      <c r="AL17" s="31">
        <v>36</v>
      </c>
      <c r="AM17" s="31">
        <v>27</v>
      </c>
      <c r="AN17" s="31">
        <v>20</v>
      </c>
      <c r="AO17" s="29">
        <v>97</v>
      </c>
      <c r="AP17" s="3" t="s">
        <v>112</v>
      </c>
      <c r="AQ17" s="6" t="s">
        <v>113</v>
      </c>
      <c r="AR17" s="27"/>
    </row>
    <row r="18" spans="1:46" ht="30" customHeight="1" x14ac:dyDescent="0.2">
      <c r="A18" s="26" t="s">
        <v>103</v>
      </c>
      <c r="B18" s="28" t="s">
        <v>90</v>
      </c>
      <c r="C18" s="29" t="s">
        <v>86</v>
      </c>
      <c r="D18" s="29">
        <v>44</v>
      </c>
      <c r="E18" s="29" t="s">
        <v>34</v>
      </c>
      <c r="F18" s="29">
        <v>58</v>
      </c>
      <c r="G18" s="30" t="s">
        <v>111</v>
      </c>
      <c r="H18" s="31" t="s">
        <v>41</v>
      </c>
      <c r="I18" s="31">
        <v>47</v>
      </c>
      <c r="J18" s="31">
        <v>60</v>
      </c>
      <c r="K18" s="31">
        <v>20</v>
      </c>
      <c r="L18" s="31">
        <v>15</v>
      </c>
      <c r="M18" s="31">
        <v>100</v>
      </c>
      <c r="N18" s="31">
        <v>100</v>
      </c>
      <c r="O18" s="31">
        <v>115</v>
      </c>
      <c r="P18" s="31">
        <v>74</v>
      </c>
      <c r="Q18" s="31">
        <v>42</v>
      </c>
      <c r="R18" s="31">
        <v>47</v>
      </c>
      <c r="S18" s="31">
        <v>61</v>
      </c>
      <c r="T18" s="31">
        <v>18</v>
      </c>
      <c r="U18" s="31">
        <v>13</v>
      </c>
      <c r="V18" s="31">
        <v>29</v>
      </c>
      <c r="W18" s="31">
        <v>29</v>
      </c>
      <c r="X18" s="31">
        <v>29</v>
      </c>
      <c r="Y18" s="31">
        <v>74</v>
      </c>
      <c r="Z18" s="31">
        <v>42</v>
      </c>
      <c r="AA18" s="31">
        <v>47</v>
      </c>
      <c r="AB18" s="31">
        <v>25</v>
      </c>
      <c r="AC18" s="31">
        <v>18</v>
      </c>
      <c r="AD18" s="31">
        <v>29</v>
      </c>
      <c r="AE18" s="31">
        <v>29</v>
      </c>
      <c r="AF18" s="31">
        <v>29</v>
      </c>
      <c r="AG18" s="31">
        <v>74</v>
      </c>
      <c r="AH18" s="31">
        <v>42</v>
      </c>
      <c r="AI18" s="31">
        <v>92</v>
      </c>
      <c r="AJ18" s="31">
        <v>112</v>
      </c>
      <c r="AK18" s="31">
        <v>69</v>
      </c>
      <c r="AL18" s="31">
        <v>35</v>
      </c>
      <c r="AM18" s="31">
        <v>26</v>
      </c>
      <c r="AN18" s="31">
        <v>21</v>
      </c>
      <c r="AO18" s="29">
        <v>96</v>
      </c>
      <c r="AP18" s="3" t="s">
        <v>112</v>
      </c>
      <c r="AQ18" s="6" t="s">
        <v>113</v>
      </c>
      <c r="AR18" s="27"/>
    </row>
    <row r="19" spans="1:46" ht="30" customHeight="1" x14ac:dyDescent="0.2">
      <c r="A19" s="26" t="s">
        <v>104</v>
      </c>
      <c r="B19" s="28" t="s">
        <v>91</v>
      </c>
      <c r="C19" s="29" t="s">
        <v>86</v>
      </c>
      <c r="D19" s="29">
        <v>40</v>
      </c>
      <c r="E19" s="29" t="s">
        <v>31</v>
      </c>
      <c r="F19" s="29">
        <v>55</v>
      </c>
      <c r="G19" s="30" t="s">
        <v>111</v>
      </c>
      <c r="H19" s="31" t="s">
        <v>41</v>
      </c>
      <c r="I19" s="31">
        <v>43</v>
      </c>
      <c r="J19" s="31">
        <v>55</v>
      </c>
      <c r="K19" s="31">
        <v>18</v>
      </c>
      <c r="L19" s="31">
        <v>14</v>
      </c>
      <c r="M19" s="31">
        <v>94</v>
      </c>
      <c r="N19" s="31">
        <v>89</v>
      </c>
      <c r="O19" s="31">
        <v>84</v>
      </c>
      <c r="P19" s="31">
        <v>67</v>
      </c>
      <c r="Q19" s="31">
        <v>38</v>
      </c>
      <c r="R19" s="31">
        <v>43</v>
      </c>
      <c r="S19" s="31">
        <v>56</v>
      </c>
      <c r="T19" s="31">
        <v>16</v>
      </c>
      <c r="U19" s="31">
        <v>13</v>
      </c>
      <c r="V19" s="31">
        <v>26</v>
      </c>
      <c r="W19" s="31">
        <v>25</v>
      </c>
      <c r="X19" s="31">
        <v>26</v>
      </c>
      <c r="Y19" s="31">
        <v>67</v>
      </c>
      <c r="Z19" s="31">
        <v>38</v>
      </c>
      <c r="AA19" s="31">
        <v>43</v>
      </c>
      <c r="AB19" s="31">
        <v>23</v>
      </c>
      <c r="AC19" s="31">
        <v>16</v>
      </c>
      <c r="AD19" s="31">
        <v>26</v>
      </c>
      <c r="AE19" s="31">
        <v>25</v>
      </c>
      <c r="AF19" s="31">
        <v>26</v>
      </c>
      <c r="AG19" s="31">
        <v>67</v>
      </c>
      <c r="AH19" s="31">
        <v>38</v>
      </c>
      <c r="AI19" s="31">
        <v>81</v>
      </c>
      <c r="AJ19" s="31">
        <v>101</v>
      </c>
      <c r="AK19" s="31">
        <v>63</v>
      </c>
      <c r="AL19" s="31">
        <v>31</v>
      </c>
      <c r="AM19" s="31">
        <v>23</v>
      </c>
      <c r="AN19" s="31">
        <v>19</v>
      </c>
      <c r="AO19" s="29">
        <v>90</v>
      </c>
      <c r="AP19" s="3" t="s">
        <v>112</v>
      </c>
      <c r="AQ19" s="6" t="s">
        <v>113</v>
      </c>
      <c r="AR19" s="27"/>
    </row>
    <row r="20" spans="1:46" ht="30" customHeight="1" x14ac:dyDescent="0.2">
      <c r="A20" s="26" t="s">
        <v>105</v>
      </c>
      <c r="B20" s="28" t="s">
        <v>92</v>
      </c>
      <c r="C20" s="29" t="s">
        <v>86</v>
      </c>
      <c r="D20" s="29">
        <v>42</v>
      </c>
      <c r="E20" s="29" t="s">
        <v>34</v>
      </c>
      <c r="F20" s="29">
        <v>58</v>
      </c>
      <c r="G20" s="30" t="s">
        <v>111</v>
      </c>
      <c r="H20" s="31" t="s">
        <v>41</v>
      </c>
      <c r="I20" s="31">
        <v>47</v>
      </c>
      <c r="J20" s="31">
        <v>56</v>
      </c>
      <c r="K20" s="31">
        <v>21</v>
      </c>
      <c r="L20" s="31">
        <v>15</v>
      </c>
      <c r="M20" s="31">
        <v>118</v>
      </c>
      <c r="N20" s="31">
        <v>114</v>
      </c>
      <c r="O20" s="31">
        <v>122</v>
      </c>
      <c r="P20" s="31">
        <v>73</v>
      </c>
      <c r="Q20" s="31">
        <v>44</v>
      </c>
      <c r="R20" s="31">
        <v>47</v>
      </c>
      <c r="S20" s="31">
        <v>57</v>
      </c>
      <c r="T20" s="31">
        <v>20</v>
      </c>
      <c r="U20" s="31">
        <v>13</v>
      </c>
      <c r="V20" s="31">
        <v>32</v>
      </c>
      <c r="W20" s="31">
        <v>29</v>
      </c>
      <c r="X20" s="31">
        <v>31</v>
      </c>
      <c r="Y20" s="31">
        <v>73</v>
      </c>
      <c r="Z20" s="31">
        <v>44</v>
      </c>
      <c r="AA20" s="31">
        <v>47</v>
      </c>
      <c r="AB20" s="31">
        <v>24</v>
      </c>
      <c r="AC20" s="31">
        <v>20</v>
      </c>
      <c r="AD20" s="31">
        <v>31</v>
      </c>
      <c r="AE20" s="31">
        <v>29</v>
      </c>
      <c r="AF20" s="31">
        <v>31</v>
      </c>
      <c r="AG20" s="31">
        <v>73</v>
      </c>
      <c r="AH20" s="31">
        <v>44</v>
      </c>
      <c r="AI20" s="31">
        <v>108</v>
      </c>
      <c r="AJ20" s="31">
        <v>120</v>
      </c>
      <c r="AK20" s="31">
        <v>70</v>
      </c>
      <c r="AL20" s="31">
        <v>37</v>
      </c>
      <c r="AM20" s="31">
        <v>26</v>
      </c>
      <c r="AN20" s="31">
        <v>22</v>
      </c>
      <c r="AO20" s="29">
        <v>96</v>
      </c>
      <c r="AP20" s="3" t="s">
        <v>112</v>
      </c>
      <c r="AQ20" s="6" t="s">
        <v>113</v>
      </c>
      <c r="AR20" s="27"/>
    </row>
    <row r="21" spans="1:46" ht="30" customHeight="1" x14ac:dyDescent="0.2">
      <c r="A21" s="26" t="s">
        <v>106</v>
      </c>
      <c r="B21" s="28" t="s">
        <v>93</v>
      </c>
      <c r="C21" s="29" t="s">
        <v>86</v>
      </c>
      <c r="D21" s="29">
        <v>41</v>
      </c>
      <c r="E21" s="29" t="s">
        <v>32</v>
      </c>
      <c r="F21" s="29">
        <v>56</v>
      </c>
      <c r="G21" s="30" t="s">
        <v>111</v>
      </c>
      <c r="H21" s="31" t="s">
        <v>41</v>
      </c>
      <c r="I21" s="31">
        <v>46</v>
      </c>
      <c r="J21" s="31">
        <v>60</v>
      </c>
      <c r="K21" s="31">
        <v>18</v>
      </c>
      <c r="L21" s="31">
        <v>14</v>
      </c>
      <c r="M21" s="31">
        <v>96</v>
      </c>
      <c r="N21" s="31">
        <v>90</v>
      </c>
      <c r="O21" s="31">
        <v>100</v>
      </c>
      <c r="P21" s="31">
        <v>70</v>
      </c>
      <c r="Q21" s="31">
        <v>39</v>
      </c>
      <c r="R21" s="31">
        <v>46</v>
      </c>
      <c r="S21" s="31">
        <v>61</v>
      </c>
      <c r="T21" s="31">
        <v>16</v>
      </c>
      <c r="U21" s="31">
        <v>12</v>
      </c>
      <c r="V21" s="31">
        <v>27</v>
      </c>
      <c r="W21" s="31">
        <v>24</v>
      </c>
      <c r="X21" s="31">
        <v>27</v>
      </c>
      <c r="Y21" s="31">
        <v>70</v>
      </c>
      <c r="Z21" s="31">
        <v>39</v>
      </c>
      <c r="AA21" s="31">
        <v>46</v>
      </c>
      <c r="AB21" s="31">
        <v>26</v>
      </c>
      <c r="AC21" s="31">
        <v>16</v>
      </c>
      <c r="AD21" s="31">
        <v>27</v>
      </c>
      <c r="AE21" s="31">
        <v>24</v>
      </c>
      <c r="AF21" s="31">
        <v>27</v>
      </c>
      <c r="AG21" s="31">
        <v>70</v>
      </c>
      <c r="AH21" s="31">
        <v>39</v>
      </c>
      <c r="AI21" s="31">
        <v>82</v>
      </c>
      <c r="AJ21" s="31">
        <v>98</v>
      </c>
      <c r="AK21" s="31">
        <v>67</v>
      </c>
      <c r="AL21" s="31">
        <v>30</v>
      </c>
      <c r="AM21" s="31">
        <v>24</v>
      </c>
      <c r="AN21" s="31">
        <v>19</v>
      </c>
      <c r="AO21" s="29">
        <v>94</v>
      </c>
      <c r="AP21" s="3" t="s">
        <v>112</v>
      </c>
      <c r="AQ21" s="6" t="s">
        <v>113</v>
      </c>
      <c r="AR21" s="27"/>
    </row>
    <row r="22" spans="1:46" ht="30" customHeight="1" x14ac:dyDescent="0.2">
      <c r="A22" s="26" t="s">
        <v>107</v>
      </c>
      <c r="B22" s="28" t="s">
        <v>94</v>
      </c>
      <c r="C22" s="29" t="s">
        <v>86</v>
      </c>
      <c r="D22" s="29">
        <v>41</v>
      </c>
      <c r="E22" s="29" t="s">
        <v>32</v>
      </c>
      <c r="F22" s="29">
        <v>56</v>
      </c>
      <c r="G22" s="30" t="s">
        <v>111</v>
      </c>
      <c r="H22" s="31" t="s">
        <v>41</v>
      </c>
      <c r="I22" s="31">
        <v>46</v>
      </c>
      <c r="J22" s="31">
        <v>57</v>
      </c>
      <c r="K22" s="31">
        <v>19</v>
      </c>
      <c r="L22" s="31">
        <v>14</v>
      </c>
      <c r="M22" s="31">
        <v>102</v>
      </c>
      <c r="N22" s="31">
        <v>98</v>
      </c>
      <c r="O22" s="31">
        <v>107</v>
      </c>
      <c r="P22" s="31">
        <v>70</v>
      </c>
      <c r="Q22" s="31">
        <v>41</v>
      </c>
      <c r="R22" s="31">
        <v>46</v>
      </c>
      <c r="S22" s="31">
        <v>58</v>
      </c>
      <c r="T22" s="31">
        <v>18</v>
      </c>
      <c r="U22" s="31">
        <v>13</v>
      </c>
      <c r="V22" s="31">
        <v>28</v>
      </c>
      <c r="W22" s="31">
        <v>27</v>
      </c>
      <c r="X22" s="31">
        <v>28</v>
      </c>
      <c r="Y22" s="31">
        <v>70</v>
      </c>
      <c r="Z22" s="31">
        <v>41</v>
      </c>
      <c r="AA22" s="31">
        <v>46</v>
      </c>
      <c r="AB22" s="31">
        <v>24</v>
      </c>
      <c r="AC22" s="31">
        <v>18</v>
      </c>
      <c r="AD22" s="31">
        <v>28</v>
      </c>
      <c r="AE22" s="31">
        <v>27</v>
      </c>
      <c r="AF22" s="31">
        <v>28</v>
      </c>
      <c r="AG22" s="31">
        <v>70</v>
      </c>
      <c r="AH22" s="31">
        <v>41</v>
      </c>
      <c r="AI22" s="31">
        <v>90</v>
      </c>
      <c r="AJ22" s="31">
        <v>105</v>
      </c>
      <c r="AK22" s="31">
        <v>70</v>
      </c>
      <c r="AL22" s="31">
        <v>34</v>
      </c>
      <c r="AM22" s="31">
        <v>25</v>
      </c>
      <c r="AN22" s="31">
        <v>21</v>
      </c>
      <c r="AO22" s="29">
        <v>96</v>
      </c>
      <c r="AP22" s="3" t="s">
        <v>112</v>
      </c>
      <c r="AQ22" s="6" t="s">
        <v>113</v>
      </c>
      <c r="AR22" s="27"/>
    </row>
    <row r="23" spans="1:46" ht="30" customHeight="1" x14ac:dyDescent="0.2">
      <c r="A23" s="8" t="s">
        <v>108</v>
      </c>
      <c r="B23" s="28" t="s">
        <v>95</v>
      </c>
      <c r="C23" s="29" t="s">
        <v>96</v>
      </c>
      <c r="D23" s="29">
        <v>39</v>
      </c>
      <c r="E23" s="29" t="s">
        <v>31</v>
      </c>
      <c r="F23" s="29">
        <v>55</v>
      </c>
      <c r="G23" s="30" t="s">
        <v>111</v>
      </c>
      <c r="H23" s="31" t="s">
        <v>41</v>
      </c>
      <c r="I23" s="31">
        <v>44</v>
      </c>
      <c r="J23" s="31">
        <v>56</v>
      </c>
      <c r="K23" s="31">
        <v>18</v>
      </c>
      <c r="L23" s="31">
        <v>14</v>
      </c>
      <c r="M23" s="31">
        <v>90</v>
      </c>
      <c r="N23" s="31">
        <v>84</v>
      </c>
      <c r="O23" s="31">
        <v>102</v>
      </c>
      <c r="P23" s="31">
        <v>67</v>
      </c>
      <c r="Q23" s="31">
        <v>37</v>
      </c>
      <c r="R23" s="31">
        <v>44</v>
      </c>
      <c r="S23" s="31">
        <v>57</v>
      </c>
      <c r="T23" s="31">
        <v>16</v>
      </c>
      <c r="U23" s="31">
        <v>12</v>
      </c>
      <c r="V23" s="31">
        <v>26</v>
      </c>
      <c r="W23" s="31">
        <v>24</v>
      </c>
      <c r="X23" s="31">
        <v>26</v>
      </c>
      <c r="Y23" s="31">
        <v>67</v>
      </c>
      <c r="Z23" s="31">
        <v>37</v>
      </c>
      <c r="AA23" s="31">
        <v>44</v>
      </c>
      <c r="AB23" s="31">
        <v>22</v>
      </c>
      <c r="AC23" s="31">
        <v>16</v>
      </c>
      <c r="AD23" s="31">
        <v>26</v>
      </c>
      <c r="AE23" s="31">
        <v>24</v>
      </c>
      <c r="AF23" s="31">
        <v>26</v>
      </c>
      <c r="AG23" s="31">
        <v>67</v>
      </c>
      <c r="AH23" s="31">
        <v>37</v>
      </c>
      <c r="AI23" s="31">
        <v>77</v>
      </c>
      <c r="AJ23" s="31">
        <v>98</v>
      </c>
      <c r="AK23" s="31">
        <v>66</v>
      </c>
      <c r="AL23" s="31">
        <v>31</v>
      </c>
      <c r="AM23" s="31">
        <v>23</v>
      </c>
      <c r="AN23" s="31">
        <v>19</v>
      </c>
      <c r="AO23" s="29">
        <v>95</v>
      </c>
      <c r="AP23" s="3" t="s">
        <v>112</v>
      </c>
      <c r="AQ23" s="6" t="s">
        <v>113</v>
      </c>
      <c r="AR23" s="27"/>
    </row>
    <row r="24" spans="1:46" ht="30" customHeight="1" x14ac:dyDescent="0.2">
      <c r="A24" s="8" t="s">
        <v>109</v>
      </c>
      <c r="B24" s="28" t="s">
        <v>97</v>
      </c>
      <c r="C24" s="29" t="s">
        <v>96</v>
      </c>
      <c r="D24" s="29">
        <v>43</v>
      </c>
      <c r="E24" s="29" t="s">
        <v>32</v>
      </c>
      <c r="F24" s="29">
        <v>58</v>
      </c>
      <c r="G24" s="30"/>
      <c r="H24" s="31" t="s">
        <v>41</v>
      </c>
      <c r="I24" s="31">
        <v>46</v>
      </c>
      <c r="J24" s="31">
        <v>59</v>
      </c>
      <c r="K24" s="31">
        <v>19</v>
      </c>
      <c r="L24" s="31">
        <v>14</v>
      </c>
      <c r="M24" s="31">
        <v>103</v>
      </c>
      <c r="N24" s="31">
        <v>95</v>
      </c>
      <c r="O24" s="31">
        <v>109</v>
      </c>
      <c r="P24" s="31">
        <v>72</v>
      </c>
      <c r="Q24" s="31">
        <v>41</v>
      </c>
      <c r="R24" s="31"/>
      <c r="S24" s="31"/>
      <c r="T24" s="31"/>
      <c r="U24" s="31"/>
      <c r="V24" s="31"/>
      <c r="W24" s="31"/>
      <c r="X24" s="31"/>
      <c r="Y24" s="31"/>
      <c r="Z24" s="31"/>
      <c r="AA24" s="31">
        <v>46</v>
      </c>
      <c r="AB24" s="31">
        <v>24</v>
      </c>
      <c r="AC24" s="31">
        <v>17</v>
      </c>
      <c r="AD24" s="31">
        <v>28</v>
      </c>
      <c r="AE24" s="31">
        <v>27</v>
      </c>
      <c r="AF24" s="31">
        <v>28</v>
      </c>
      <c r="AG24" s="31">
        <v>72</v>
      </c>
      <c r="AH24" s="31">
        <v>41</v>
      </c>
      <c r="AI24" s="31">
        <v>87</v>
      </c>
      <c r="AJ24" s="31">
        <v>108</v>
      </c>
      <c r="AK24" s="31">
        <v>67</v>
      </c>
      <c r="AL24" s="31">
        <v>33</v>
      </c>
      <c r="AM24" s="31">
        <v>24</v>
      </c>
      <c r="AN24" s="31">
        <v>20</v>
      </c>
      <c r="AO24" s="29">
        <v>95</v>
      </c>
      <c r="AP24" s="3" t="s">
        <v>112</v>
      </c>
      <c r="AQ24" s="6" t="s">
        <v>113</v>
      </c>
      <c r="AR24" s="27"/>
    </row>
    <row r="25" spans="1:46" ht="30" customHeight="1" x14ac:dyDescent="0.25">
      <c r="A25" s="17"/>
      <c r="B25" s="18"/>
      <c r="C25" s="17"/>
      <c r="D25" s="19"/>
      <c r="E25" s="20"/>
      <c r="F25" s="19"/>
      <c r="G25" s="21"/>
      <c r="H25" s="21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3"/>
      <c r="AQ25" s="23"/>
      <c r="AR25" s="23"/>
      <c r="AS25" s="23"/>
      <c r="AT25" s="23">
        <f>SUBTOTAL(103,Table1[CETAK SEPATU])</f>
        <v>0</v>
      </c>
    </row>
    <row r="26" spans="1:46" ht="30" customHeight="1" x14ac:dyDescent="0.25">
      <c r="A26" s="8"/>
      <c r="B26" s="8"/>
      <c r="C26" s="12"/>
      <c r="D26" s="8"/>
      <c r="E26" s="4"/>
      <c r="F26" s="10"/>
      <c r="G26" s="4"/>
      <c r="H26" s="5"/>
      <c r="I26" s="5"/>
      <c r="AR26" s="7"/>
    </row>
    <row r="27" spans="1:46" ht="30" customHeight="1" x14ac:dyDescent="0.25">
      <c r="A27" s="8"/>
      <c r="B27" s="8"/>
      <c r="C27" s="12"/>
      <c r="D27" s="8"/>
      <c r="E27" s="4"/>
      <c r="F27" s="10"/>
      <c r="G27" s="4"/>
      <c r="H27" s="5"/>
      <c r="I27" s="5"/>
      <c r="AR27" s="7"/>
    </row>
    <row r="28" spans="1:46" ht="30" customHeight="1" x14ac:dyDescent="0.25">
      <c r="A28" s="8"/>
      <c r="B28" s="8"/>
      <c r="C28" s="12"/>
      <c r="D28" s="8"/>
      <c r="E28" s="4"/>
      <c r="F28" s="10"/>
      <c r="G28" s="4"/>
      <c r="H28" s="5"/>
      <c r="I28" s="5"/>
      <c r="AR28" s="7"/>
    </row>
    <row r="29" spans="1:46" ht="30" customHeight="1" x14ac:dyDescent="0.25">
      <c r="A29" s="8"/>
      <c r="B29" s="8"/>
      <c r="C29" s="12"/>
      <c r="D29" s="8"/>
      <c r="E29" s="4"/>
      <c r="F29" s="10"/>
      <c r="G29" s="4"/>
      <c r="H29" s="5"/>
      <c r="I29" s="5"/>
      <c r="AR29" s="7"/>
    </row>
    <row r="30" spans="1:46" ht="30" customHeight="1" x14ac:dyDescent="0.25">
      <c r="A30" s="8"/>
      <c r="B30" s="8"/>
      <c r="C30" s="12"/>
      <c r="D30" s="8"/>
      <c r="E30" s="4"/>
      <c r="F30" s="10"/>
      <c r="G30" s="4"/>
      <c r="H30" s="5"/>
      <c r="I30" s="5"/>
      <c r="AR30" s="7"/>
    </row>
    <row r="31" spans="1:46" ht="30" customHeight="1" x14ac:dyDescent="0.25">
      <c r="A31" s="8"/>
      <c r="B31" s="8"/>
      <c r="C31" s="12"/>
      <c r="D31" s="8"/>
      <c r="E31" s="4"/>
      <c r="F31" s="10"/>
      <c r="G31" s="4"/>
      <c r="H31" s="5"/>
      <c r="I31" s="5"/>
      <c r="AR31" s="7"/>
    </row>
    <row r="32" spans="1:46" ht="30" customHeight="1" x14ac:dyDescent="0.25">
      <c r="A32" s="8"/>
      <c r="B32" s="8"/>
      <c r="C32" s="12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2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2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2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2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2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2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2"/>
      <c r="D39" s="8"/>
      <c r="E39" s="4"/>
      <c r="F39" s="10"/>
      <c r="G39" s="4"/>
      <c r="H39" s="5"/>
      <c r="I39" s="5"/>
      <c r="AR39" s="7"/>
    </row>
    <row r="40" spans="1:44" ht="30" customHeight="1" x14ac:dyDescent="0.25">
      <c r="A40" s="8"/>
      <c r="B40" s="8"/>
      <c r="C40" s="12"/>
      <c r="D40" s="8"/>
      <c r="E40" s="4"/>
      <c r="F40" s="10"/>
      <c r="G40" s="4"/>
      <c r="H40" s="5"/>
      <c r="I40" s="5"/>
      <c r="AR40" s="7"/>
    </row>
    <row r="41" spans="1:44" ht="30" customHeight="1" x14ac:dyDescent="0.25">
      <c r="A41" s="8"/>
      <c r="B41" s="8"/>
      <c r="C41" s="12"/>
      <c r="D41" s="8"/>
      <c r="E41" s="4"/>
      <c r="F41" s="10"/>
      <c r="G41" s="4"/>
      <c r="H41" s="5"/>
      <c r="I41" s="5"/>
      <c r="AR41" s="7"/>
    </row>
    <row r="42" spans="1:44" ht="30" customHeight="1" x14ac:dyDescent="0.25">
      <c r="A42" s="8"/>
      <c r="B42" s="8"/>
      <c r="C42" s="12"/>
      <c r="D42" s="8"/>
      <c r="E42" s="4"/>
      <c r="F42" s="10"/>
      <c r="G42" s="4"/>
      <c r="H42" s="5"/>
      <c r="I42" s="5"/>
      <c r="AR42" s="7"/>
    </row>
    <row r="43" spans="1:44" ht="30" customHeight="1" x14ac:dyDescent="0.25">
      <c r="A43" s="8"/>
      <c r="B43" s="8"/>
      <c r="C43" s="12"/>
      <c r="D43" s="8"/>
      <c r="E43" s="4"/>
      <c r="F43" s="10"/>
      <c r="G43" s="4"/>
      <c r="H43" s="5"/>
      <c r="I43" s="5"/>
    </row>
    <row r="44" spans="1:44" ht="30" customHeight="1" x14ac:dyDescent="0.25">
      <c r="A44" s="8"/>
      <c r="B44" s="8"/>
      <c r="C44" s="12"/>
      <c r="D44" s="8"/>
      <c r="E44" s="4"/>
      <c r="F44" s="10"/>
      <c r="G44" s="4"/>
      <c r="H44" s="5"/>
      <c r="I44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4" t="s">
        <v>51</v>
      </c>
      <c r="B3" t="s">
        <v>53</v>
      </c>
      <c r="D3" s="14" t="s">
        <v>54</v>
      </c>
      <c r="E3" s="14" t="s">
        <v>56</v>
      </c>
      <c r="I3" s="14" t="s">
        <v>57</v>
      </c>
      <c r="J3" s="14" t="s">
        <v>56</v>
      </c>
    </row>
    <row r="4" spans="1:12" x14ac:dyDescent="0.25">
      <c r="A4" s="15" t="s">
        <v>58</v>
      </c>
      <c r="B4" s="16">
        <v>50</v>
      </c>
      <c r="D4" s="14" t="s">
        <v>51</v>
      </c>
      <c r="E4" t="s">
        <v>41</v>
      </c>
      <c r="F4" t="s">
        <v>59</v>
      </c>
      <c r="G4" t="s">
        <v>52</v>
      </c>
      <c r="I4" s="14" t="s">
        <v>51</v>
      </c>
      <c r="J4" t="s">
        <v>41</v>
      </c>
      <c r="K4" t="s">
        <v>59</v>
      </c>
      <c r="L4" t="s">
        <v>52</v>
      </c>
    </row>
    <row r="5" spans="1:12" x14ac:dyDescent="0.25">
      <c r="A5" s="15" t="s">
        <v>52</v>
      </c>
      <c r="B5" s="16">
        <v>50</v>
      </c>
      <c r="D5" s="15">
        <v>39</v>
      </c>
      <c r="E5" s="16">
        <v>4</v>
      </c>
      <c r="F5" s="16"/>
      <c r="G5" s="16">
        <v>4</v>
      </c>
      <c r="H5" s="16"/>
      <c r="I5" s="15">
        <v>53</v>
      </c>
      <c r="J5" s="16">
        <v>2</v>
      </c>
      <c r="K5" s="16"/>
      <c r="L5" s="16">
        <v>2</v>
      </c>
    </row>
    <row r="6" spans="1:12" x14ac:dyDescent="0.25">
      <c r="D6" s="15">
        <v>40</v>
      </c>
      <c r="E6" s="16">
        <v>9</v>
      </c>
      <c r="F6" s="16"/>
      <c r="G6" s="16">
        <v>9</v>
      </c>
      <c r="H6" s="16"/>
      <c r="I6" s="15">
        <v>55</v>
      </c>
      <c r="J6" s="16">
        <v>7</v>
      </c>
      <c r="K6" s="16"/>
      <c r="L6" s="16">
        <v>7</v>
      </c>
    </row>
    <row r="7" spans="1:12" x14ac:dyDescent="0.25">
      <c r="A7" s="14" t="s">
        <v>51</v>
      </c>
      <c r="B7" t="s">
        <v>55</v>
      </c>
      <c r="D7" s="15">
        <v>41</v>
      </c>
      <c r="E7" s="16">
        <v>12</v>
      </c>
      <c r="F7" s="16"/>
      <c r="G7" s="16">
        <v>12</v>
      </c>
      <c r="H7" s="16"/>
      <c r="I7" s="15">
        <v>56</v>
      </c>
      <c r="J7" s="16">
        <v>9</v>
      </c>
      <c r="K7" s="16"/>
      <c r="L7" s="16">
        <v>9</v>
      </c>
    </row>
    <row r="8" spans="1:12" x14ac:dyDescent="0.25">
      <c r="A8" s="15" t="s">
        <v>32</v>
      </c>
      <c r="B8" s="16">
        <v>20</v>
      </c>
      <c r="D8" s="15">
        <v>42</v>
      </c>
      <c r="E8" s="16">
        <v>14</v>
      </c>
      <c r="F8" s="16"/>
      <c r="G8" s="16">
        <v>14</v>
      </c>
      <c r="H8" s="16"/>
      <c r="I8" s="15">
        <v>57</v>
      </c>
      <c r="J8" s="16">
        <v>10</v>
      </c>
      <c r="K8" s="16"/>
      <c r="L8" s="16">
        <v>10</v>
      </c>
    </row>
    <row r="9" spans="1:12" x14ac:dyDescent="0.25">
      <c r="A9" s="15" t="s">
        <v>31</v>
      </c>
      <c r="B9" s="16">
        <v>9</v>
      </c>
      <c r="D9" s="15">
        <v>43</v>
      </c>
      <c r="E9" s="16">
        <v>5</v>
      </c>
      <c r="F9" s="16"/>
      <c r="G9" s="16">
        <v>5</v>
      </c>
      <c r="H9" s="16"/>
      <c r="I9" s="15">
        <v>58</v>
      </c>
      <c r="J9" s="16">
        <v>9</v>
      </c>
      <c r="K9" s="16"/>
      <c r="L9" s="16">
        <v>9</v>
      </c>
    </row>
    <row r="10" spans="1:12" x14ac:dyDescent="0.25">
      <c r="A10" s="15" t="s">
        <v>34</v>
      </c>
      <c r="B10" s="16">
        <v>17</v>
      </c>
      <c r="D10" s="15">
        <v>44</v>
      </c>
      <c r="E10" s="16">
        <v>3</v>
      </c>
      <c r="F10" s="16"/>
      <c r="G10" s="16">
        <v>3</v>
      </c>
      <c r="H10" s="16"/>
      <c r="I10" s="15">
        <v>59</v>
      </c>
      <c r="J10" s="16">
        <v>1</v>
      </c>
      <c r="K10" s="16"/>
      <c r="L10" s="16">
        <v>1</v>
      </c>
    </row>
    <row r="11" spans="1:12" x14ac:dyDescent="0.25">
      <c r="A11" s="15" t="s">
        <v>33</v>
      </c>
      <c r="B11" s="16">
        <v>2</v>
      </c>
      <c r="D11" s="15" t="s">
        <v>59</v>
      </c>
      <c r="E11" s="16"/>
      <c r="F11" s="16"/>
      <c r="G11" s="16"/>
      <c r="H11" s="16"/>
      <c r="I11" s="15" t="s">
        <v>59</v>
      </c>
      <c r="J11" s="16"/>
      <c r="K11" s="16"/>
      <c r="L11" s="16"/>
    </row>
    <row r="12" spans="1:12" x14ac:dyDescent="0.25">
      <c r="A12" s="15" t="s">
        <v>59</v>
      </c>
      <c r="B12" s="16"/>
      <c r="D12" s="15">
        <v>38</v>
      </c>
      <c r="E12" s="16">
        <v>1</v>
      </c>
      <c r="F12" s="16"/>
      <c r="G12" s="16">
        <v>1</v>
      </c>
      <c r="H12" s="16"/>
      <c r="I12" s="15">
        <v>54</v>
      </c>
      <c r="J12" s="16">
        <v>7</v>
      </c>
      <c r="K12" s="16"/>
      <c r="L12" s="16">
        <v>7</v>
      </c>
    </row>
    <row r="13" spans="1:12" x14ac:dyDescent="0.25">
      <c r="A13" s="15" t="s">
        <v>52</v>
      </c>
      <c r="B13" s="16">
        <v>48</v>
      </c>
      <c r="D13" s="15" t="s">
        <v>52</v>
      </c>
      <c r="E13" s="16">
        <v>48</v>
      </c>
      <c r="F13" s="16"/>
      <c r="G13" s="16">
        <v>48</v>
      </c>
      <c r="H13" s="16"/>
      <c r="I13" s="15">
        <v>60</v>
      </c>
      <c r="J13" s="16">
        <v>3</v>
      </c>
      <c r="K13" s="16"/>
      <c r="L13" s="16">
        <v>3</v>
      </c>
    </row>
    <row r="14" spans="1:12" x14ac:dyDescent="0.25">
      <c r="I14" s="15" t="s">
        <v>52</v>
      </c>
      <c r="J14" s="16">
        <v>48</v>
      </c>
      <c r="K14" s="16"/>
      <c r="L14" s="16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2022-02-11T00:38:12Z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