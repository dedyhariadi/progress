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0. PUSDIKKES (K_17)\"/>
    </mc:Choice>
  </mc:AlternateContent>
  <xr:revisionPtr revIDLastSave="0" documentId="13_ncr:1_{6B083F90-F7B2-422A-8982-5D7482B7B7BF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BLUS" sheetId="5" r:id="rId4"/>
    <sheet name="BLACKNAVY" sheetId="6" r:id="rId5"/>
  </sheets>
  <definedNames>
    <definedName name="_xlnm._FilterDatabase" localSheetId="0" hidden="1">SEMUA!$A$1:$AJ$53</definedName>
    <definedName name="_xlnm.Print_Titles" localSheetId="4">BLACKNAVY!$1:$1</definedName>
    <definedName name="_xlnm.Print_Titles" localSheetId="3">BLUS!$1:$1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<sst xmlns="http://schemas.openxmlformats.org/spreadsheetml/2006/main" count="1040" uniqueCount="247">
  <si>
    <t>NO</t>
  </si>
  <si>
    <t>NAMA</t>
  </si>
  <si>
    <t>GENDER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</si>
  <si>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</si>
  <si>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</si>
  <si>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</si>
  <si>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</si>
  <si>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</si>
  <si>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</si>
  <si>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</si>
  <si>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</si>
  <si>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</si>
  <si>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</si>
  <si>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</si>
  <si>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</si>
  <si>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</si>
  <si>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</si>
  <si>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</si>
  <si>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</si>
  <si>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</si>
  <si>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</si>
  <si>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</si>
  <si>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</si>
  <si>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</si>
  <si>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</si>
  <si>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</si>
  <si>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</si>
  <si>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</si>
  <si>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</si>
  <si>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</si>
  <si>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</si>
  <si>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</si>
  <si>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</si>
  <si>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</si>
  <si>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</si>
  <si>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</si>
  <si>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</si>
  <si>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</si>
  <si>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</si>
  <si>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</si>
  <si>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</si>
  <si>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</si>
  <si>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</si>
  <si>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pesan</t>
  </si>
  <si>
    <t>wanita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</si>
  <si>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</si>
  <si>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</si>
  <si>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</si>
  <si>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</si>
  <si>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</si>
  <si>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</si>
  <si>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</si>
  <si>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</si>
  <si>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</si>
  <si>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</si>
  <si>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</si>
  <si>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</si>
  <si>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</si>
  <si>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</si>
  <si>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</si>
  <si>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</si>
  <si>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</si>
  <si>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</si>
  <si>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</si>
  <si>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</si>
  <si>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</si>
  <si>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</si>
  <si>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</si>
  <si>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</si>
  <si>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</si>
  <si>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M. MUTHOHAR</t>
  </si>
  <si>
    <t>LETKOL LAUT (KH)</t>
  </si>
  <si>
    <t>BLACKNAVY</t>
  </si>
  <si>
    <t>JETBLACK</t>
  </si>
  <si>
    <t>ASEP RUHIAT</t>
  </si>
  <si>
    <t>LETKOL LAUT (T)</t>
  </si>
  <si>
    <t>FENDY GUNTOYO</t>
  </si>
  <si>
    <t>SUPRIYONO</t>
  </si>
  <si>
    <t>LETKOL LAUT (K)</t>
  </si>
  <si>
    <t>FAJAR GUNAWAN</t>
  </si>
  <si>
    <t>MANITA TARIGAN</t>
  </si>
  <si>
    <t>SUHARJONO</t>
  </si>
  <si>
    <t>M. NURDIN</t>
  </si>
  <si>
    <t>SETIAWAN ER</t>
  </si>
  <si>
    <t>SRI ANDAYANI</t>
  </si>
  <si>
    <t>WANITA</t>
  </si>
  <si>
    <t>FRANSISKA</t>
  </si>
  <si>
    <t>LETKOL LAUT (K/W)</t>
  </si>
  <si>
    <t>LELA CHAIRANI Z</t>
  </si>
  <si>
    <t>LETKOL LAUT (T/W)</t>
  </si>
  <si>
    <t>YOHANES</t>
  </si>
  <si>
    <t>MAYOR LAUT (K)</t>
  </si>
  <si>
    <t xml:space="preserve">E. KARO-KARO </t>
  </si>
  <si>
    <t>HERY GUNAWAN</t>
  </si>
  <si>
    <t>EDY ERNAWAN</t>
  </si>
  <si>
    <t>TOFAN KASIH B</t>
  </si>
  <si>
    <t>TEGUH WALUYO</t>
  </si>
  <si>
    <t>SUCIPTO</t>
  </si>
  <si>
    <t>ACHMAD BURHANUDIN</t>
  </si>
  <si>
    <t>DEWI MAYASARI</t>
  </si>
  <si>
    <t>MAYOR LAUT (K/W)</t>
  </si>
  <si>
    <t>JOKO EDI SISWANTO</t>
  </si>
  <si>
    <t>KAPTEN LAUT (K)</t>
  </si>
  <si>
    <t>M. NURSALAM</t>
  </si>
  <si>
    <t>MAWAN CHUSAINI</t>
  </si>
  <si>
    <t>WIWIN HANDAYANI</t>
  </si>
  <si>
    <t>KAPTEN LAUT (K/W)</t>
  </si>
  <si>
    <t>NI KETUT RAI K</t>
  </si>
  <si>
    <t>LETTU LAUT (K)</t>
  </si>
  <si>
    <t>ADE IRMA U</t>
  </si>
  <si>
    <t>DENNYS SUKARNA</t>
  </si>
  <si>
    <t>LETDA LAUT (K)</t>
  </si>
  <si>
    <t>NOVA WIJAYANTI</t>
  </si>
  <si>
    <t>LETDA LAUT (K/W</t>
  </si>
  <si>
    <t>ANITA KURNIA N, A.Md.Kep</t>
  </si>
  <si>
    <t>LETDA LAUT (K/W)</t>
  </si>
  <si>
    <t>NANIK UMIJATI, SE</t>
  </si>
  <si>
    <t>IV/A</t>
  </si>
  <si>
    <t>BLOUSE</t>
  </si>
  <si>
    <t>VALEXTRA 106</t>
  </si>
  <si>
    <t>ARI TRI KUSUMAWATI</t>
  </si>
  <si>
    <t>III/D</t>
  </si>
  <si>
    <t>SETIYAWATI</t>
  </si>
  <si>
    <t>PELDA RUM</t>
  </si>
  <si>
    <t>ISMI AJIZAH</t>
  </si>
  <si>
    <t>SERKA RUM/W</t>
  </si>
  <si>
    <t>ANISAH R</t>
  </si>
  <si>
    <t>II/D</t>
  </si>
  <si>
    <t>TRI STYANINGSIH</t>
  </si>
  <si>
    <t>PHL</t>
  </si>
  <si>
    <t>YATINI</t>
  </si>
  <si>
    <t>II/B</t>
  </si>
  <si>
    <t>MARIATUL K.</t>
  </si>
  <si>
    <t>RIA INDAH PUSPITA</t>
  </si>
  <si>
    <t>NADYA EVA M</t>
  </si>
  <si>
    <t>PUTRI AURA NOVITASARI</t>
  </si>
  <si>
    <t>MARTA WAHYUNINGSIH</t>
  </si>
  <si>
    <t>INDAH SARI W</t>
  </si>
  <si>
    <t>SEPTIA NOVITASARI</t>
  </si>
  <si>
    <t>FITRIYANI</t>
  </si>
  <si>
    <t>RIZKI FEBRIANTI</t>
  </si>
  <si>
    <t>SITI AISYAH AYU</t>
  </si>
  <si>
    <t>NOVIANI</t>
  </si>
  <si>
    <t>MARDA MISMI P</t>
  </si>
  <si>
    <t>ANITA ARISTYANTI</t>
  </si>
  <si>
    <t>JENIS</t>
  </si>
  <si>
    <t>KAIN</t>
  </si>
  <si>
    <t>ROK</t>
  </si>
  <si>
    <t>D26</t>
  </si>
  <si>
    <t>D27</t>
  </si>
  <si>
    <t>D28</t>
  </si>
  <si>
    <t>D29</t>
  </si>
  <si>
    <t>D30</t>
  </si>
  <si>
    <t>D31</t>
  </si>
  <si>
    <t>D32</t>
  </si>
  <si>
    <t>36 (26;24;27)</t>
  </si>
  <si>
    <t>ARI ENDRA G.</t>
  </si>
  <si>
    <t>48 (38; 38; 38)</t>
  </si>
  <si>
    <t>42 (30; 27; 31)</t>
  </si>
  <si>
    <t>jas lengan resleteng</t>
  </si>
  <si>
    <t>ABDUL LATIF N.</t>
  </si>
  <si>
    <t>JAS LENGAN RESLETENG</t>
  </si>
  <si>
    <t>39 (26,23,27)</t>
  </si>
  <si>
    <t>VALEXTRA 129</t>
  </si>
  <si>
    <t>KETERANGAN</t>
  </si>
  <si>
    <t>HITAM JETBLACK</t>
  </si>
  <si>
    <t>KANCING 5</t>
  </si>
  <si>
    <t>SITI LESTARI</t>
  </si>
  <si>
    <t>KANCING 4</t>
  </si>
  <si>
    <t>PANGKAT</t>
  </si>
  <si>
    <t>SATKER</t>
  </si>
  <si>
    <t>PUSDIKKES SBY</t>
  </si>
  <si>
    <t>CETAK TGL</t>
  </si>
  <si>
    <t>40 (27, 25, 28)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</si>
  <si>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</si>
  <si>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</si>
  <si>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</si>
  <si>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</si>
  <si>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</si>
  <si>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</si>
  <si>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</si>
  <si>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</si>
  <si>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</si>
  <si>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</si>
  <si>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</si>
  <si>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</si>
  <si>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</si>
  <si>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</si>
  <si>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</si>
  <si>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</si>
  <si>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</si>
  <si>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</si>
  <si>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</si>
  <si>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</si>
  <si>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</si>
  <si>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drg. THOMAS ATMAJA, M.Tr.Opsla</t>
  </si>
  <si>
    <t>SEKESAL MKS</t>
  </si>
  <si>
    <t>RINDANG YULIANA</t>
  </si>
  <si>
    <t>drg. ENDY MUKTI</t>
  </si>
  <si>
    <t>A. YOHANA</t>
  </si>
  <si>
    <t>PELDA TTU/W</t>
  </si>
  <si>
    <t>KUSTINI</t>
  </si>
  <si>
    <t>JULIANA, S.PD</t>
  </si>
  <si>
    <t>ST. AMINAH</t>
  </si>
  <si>
    <t>HERLIN ERMINAYU</t>
  </si>
  <si>
    <t>IRMAWATY</t>
  </si>
  <si>
    <t>III/B</t>
  </si>
  <si>
    <t>III/A</t>
  </si>
  <si>
    <t>E22</t>
  </si>
  <si>
    <t>E23</t>
  </si>
  <si>
    <t>E24</t>
  </si>
  <si>
    <t>E25</t>
  </si>
  <si>
    <t>E26</t>
  </si>
  <si>
    <t>E27</t>
  </si>
  <si>
    <t>E28</t>
  </si>
  <si>
    <t>SEKESAL JKT</t>
  </si>
  <si>
    <t>drg. AGUNG WIBOWO</t>
  </si>
  <si>
    <t>RONNY BASIRUN</t>
  </si>
  <si>
    <t>SUHARTOYO</t>
  </si>
  <si>
    <t>KET LAIN</t>
  </si>
  <si>
    <t>D33</t>
  </si>
  <si>
    <t>D34</t>
  </si>
  <si>
    <t>D35</t>
  </si>
  <si>
    <t>D36</t>
  </si>
  <si>
    <t>D37</t>
  </si>
  <si>
    <t>D38</t>
  </si>
  <si>
    <t>18 SEPTEMBER</t>
  </si>
  <si>
    <t>GUSTARIA SIREGAR</t>
  </si>
  <si>
    <t>SRI KAYATIN</t>
  </si>
  <si>
    <t>NEWATI</t>
  </si>
  <si>
    <t>MURYATIN</t>
  </si>
  <si>
    <t>E29</t>
  </si>
  <si>
    <t>E30</t>
  </si>
  <si>
    <t>E31</t>
  </si>
  <si>
    <t>VALEXTRA HITAM</t>
  </si>
  <si>
    <t>VALEXTRA 118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</si>
  <si>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</si>
  <si>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</si>
  <si>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</si>
  <si>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</si>
  <si>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</si>
  <si>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</si>
  <si>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</si>
  <si>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</si>
  <si>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</si>
  <si>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CETAK CELANA</t>
  </si>
  <si>
    <t>e1 (jadi no d33)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</si>
</sst>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  <font>
      <sz val="8"/>
      <color rgb="FF000000"/>
      <name val="Arial"/>
      <family val="2"/>
      <charset val="1"/>
    </font>
    <font>
      <sz val="8"/>
      <color rgb="FF000000"/>
      <name val="Calibri"/>
      <family val="2"/>
      <charset val="1"/>
    </font>
    <font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8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 indent="1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 indent="1"/>
    </xf>
    <xf numFmtId="49" fontId="21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/>
    </xf>
    <xf numFmtId="0" fontId="0" fillId="0" borderId="0" xfId="0" quotePrefix="1" applyNumberFormat="1" applyAlignment="1">
      <alignment vertical="center"/>
    </xf>
    <xf numFmtId="49" fontId="25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 indent="1"/>
    </xf>
    <xf numFmtId="49" fontId="25" fillId="0" borderId="3" xfId="0" applyNumberFormat="1" applyFont="1" applyFill="1" applyBorder="1" applyAlignment="1">
      <alignment horizontal="center" vertical="center"/>
    </xf>
    <xf numFmtId="0" fontId="22" fillId="0" borderId="6" xfId="0" applyFont="1" applyBorder="1" applyAlignment="1">
      <alignment vertical="center"/>
    </xf>
    <xf numFmtId="0" fontId="24" fillId="0" borderId="6" xfId="0" applyFont="1" applyBorder="1" applyAlignment="1">
      <alignment vertical="center"/>
    </xf>
    <xf numFmtId="0" fontId="24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left" vertical="center" indent="1"/>
    </xf>
    <xf numFmtId="49" fontId="15" fillId="0" borderId="6" xfId="0" applyNumberFormat="1" applyFont="1" applyBorder="1" applyAlignment="1">
      <alignment horizontal="center" vertical="center" wrapText="1"/>
    </xf>
    <xf numFmtId="49" fontId="15" fillId="0" borderId="4" xfId="0" applyNumberFormat="1" applyFont="1" applyBorder="1" applyAlignment="1">
      <alignment horizontal="center" vertical="center" wrapText="1"/>
    </xf>
    <xf numFmtId="49" fontId="22" fillId="0" borderId="4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vertical="center"/>
    </xf>
    <xf numFmtId="0" fontId="24" fillId="0" borderId="7" xfId="0" applyFont="1" applyBorder="1" applyAlignment="1">
      <alignment vertical="center"/>
    </xf>
    <xf numFmtId="0" fontId="24" fillId="0" borderId="7" xfId="0" applyFont="1" applyBorder="1" applyAlignment="1">
      <alignment horizontal="center" vertical="center"/>
    </xf>
    <xf numFmtId="0" fontId="24" fillId="0" borderId="7" xfId="0" applyFont="1" applyBorder="1" applyAlignment="1">
      <alignment horizontal="left" vertical="center" indent="1"/>
    </xf>
    <xf numFmtId="49" fontId="22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0" fillId="0" borderId="4" xfId="0" applyBorder="1"/>
    <xf numFmtId="0" fontId="15" fillId="0" borderId="4" xfId="0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vertical="center"/>
    </xf>
    <xf numFmtId="0" fontId="24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/>
    </xf>
    <xf numFmtId="0" fontId="0" fillId="0" borderId="0" xfId="0" applyBorder="1"/>
    <xf numFmtId="49" fontId="22" fillId="0" borderId="0" xfId="0" applyNumberFormat="1" applyFont="1" applyBorder="1" applyAlignment="1">
      <alignment horizontal="center" vertical="center"/>
    </xf>
    <xf numFmtId="49" fontId="26" fillId="0" borderId="3" xfId="0" applyNumberFormat="1" applyFont="1" applyBorder="1" applyAlignment="1">
      <alignment horizontal="center" vertical="center"/>
    </xf>
    <xf numFmtId="49" fontId="27" fillId="0" borderId="3" xfId="0" applyNumberFormat="1" applyFont="1" applyBorder="1" applyAlignment="1">
      <alignment horizontal="left" vertical="center" indent="1"/>
    </xf>
    <xf numFmtId="49" fontId="26" fillId="0" borderId="3" xfId="0" applyNumberFormat="1" applyFont="1" applyFill="1" applyBorder="1" applyAlignment="1">
      <alignment horizontal="center" vertical="center"/>
    </xf>
    <xf numFmtId="49" fontId="28" fillId="0" borderId="5" xfId="0" applyNumberFormat="1" applyFont="1" applyBorder="1" applyAlignment="1">
      <alignment horizontal="center" vertical="center"/>
    </xf>
    <xf numFmtId="0" fontId="22" fillId="0" borderId="4" xfId="0" applyFont="1" applyFill="1" applyBorder="1" applyAlignment="1">
      <alignment vertical="center"/>
    </xf>
    <xf numFmtId="0" fontId="24" fillId="0" borderId="2" xfId="0" applyFont="1" applyFill="1" applyBorder="1" applyAlignment="1">
      <alignment vertical="center"/>
    </xf>
    <xf numFmtId="0" fontId="24" fillId="0" borderId="4" xfId="0" applyFont="1" applyFill="1" applyBorder="1" applyAlignment="1">
      <alignment vertical="center"/>
    </xf>
    <xf numFmtId="0" fontId="24" fillId="0" borderId="2" xfId="0" applyFont="1" applyFill="1" applyBorder="1" applyAlignment="1">
      <alignment horizontal="center" vertical="center"/>
    </xf>
    <xf numFmtId="0" fontId="24" fillId="0" borderId="2" xfId="0" applyFont="1" applyFill="1" applyBorder="1" applyAlignment="1">
      <alignment horizontal="left" vertical="center" inden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vertical="center" wrapText="1"/>
    </xf>
    <xf numFmtId="16" fontId="0" fillId="0" borderId="0" xfId="0" applyNumberFormat="1" applyFill="1" applyAlignment="1">
      <alignment vertical="center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22" fillId="0" borderId="2" xfId="0" applyFont="1" applyFill="1" applyBorder="1" applyAlignment="1">
      <alignment vertical="center"/>
    </xf>
    <xf numFmtId="0" fontId="15" fillId="0" borderId="0" xfId="0" applyNumberFormat="1" applyFont="1" applyFill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O80"/>
  <sheetViews>
    <sheetView tabSelected="1" zoomScale="55" zoomScaleNormal="55" workbookViewId="0">
      <pane ySplit="1" topLeftCell="A32" activePane="bottomLeft" state="frozen"/>
      <selection pane="bottomLeft" activeCell="K48" sqref="A48:K57"/>
    </sheetView>
  </sheetViews>
  <sheetFormatPr defaultColWidth="8.7109375" defaultRowHeight="30" customHeight="1" x14ac:dyDescent="0.25"/>
  <cols>
    <col min="1" max="1" width="5.7109375" style="1" customWidth="1"/>
    <col min="2" max="2" width="31.28515625" style="21" customWidth="1"/>
    <col min="3" max="4" width="21.7109375" style="1" customWidth="1"/>
    <col min="5" max="5" width="9.42578125" style="1" bestFit="1" customWidth="1"/>
    <col min="6" max="6" width="13.7109375" style="10" bestFit="1" customWidth="1"/>
    <col min="7" max="7" width="17.85546875" style="3" bestFit="1" customWidth="1"/>
    <col min="8" max="15" width="7.7109375" style="3" customWidth="1"/>
    <col min="16" max="16" width="14.7109375" style="3" customWidth="1"/>
    <col min="17" max="29" width="7.7109375" style="3" customWidth="1"/>
    <col min="30" max="30" width="6.7109375" style="3" customWidth="1"/>
    <col min="31" max="32" width="8.28515625" style="3" customWidth="1"/>
    <col min="33" max="33" width="8.7109375" style="13"/>
    <col min="34" max="34" width="14" style="13" customWidth="1"/>
    <col min="35" max="35" width="8.7109375" style="36"/>
    <col min="36" max="36" width="22.42578125" style="2" customWidth="1"/>
    <col min="37" max="1003" width="8.7109375" style="2"/>
    <col min="1004" max="16384" width="8.7109375" style="4"/>
  </cols>
  <sheetData>
    <row r="1" spans="1:1003" ht="30" customHeight="1" thickBot="1" x14ac:dyDescent="0.3">
      <c r="A1" s="23" t="s">
        <v>0</v>
      </c>
      <c r="B1" s="24" t="s">
        <v>1</v>
      </c>
      <c r="C1" s="23" t="s">
        <v>169</v>
      </c>
      <c r="D1" s="23" t="s">
        <v>170</v>
      </c>
      <c r="E1" s="23" t="s">
        <v>2</v>
      </c>
      <c r="F1" s="25" t="s">
        <v>145</v>
      </c>
      <c r="G1" s="23" t="s">
        <v>146</v>
      </c>
      <c r="H1" s="33" t="s">
        <v>10</v>
      </c>
      <c r="I1" s="33" t="s">
        <v>11</v>
      </c>
      <c r="J1" s="33" t="s">
        <v>12</v>
      </c>
      <c r="K1" s="33" t="s">
        <v>13</v>
      </c>
      <c r="L1" s="33" t="s">
        <v>14</v>
      </c>
      <c r="M1" s="33" t="s">
        <v>15</v>
      </c>
      <c r="N1" s="33" t="s">
        <v>16</v>
      </c>
      <c r="O1" s="33" t="s">
        <v>17</v>
      </c>
      <c r="P1" s="33" t="s">
        <v>18</v>
      </c>
      <c r="Q1" s="33" t="s">
        <v>3</v>
      </c>
      <c r="R1" s="33" t="s">
        <v>4</v>
      </c>
      <c r="S1" s="33" t="s">
        <v>5</v>
      </c>
      <c r="T1" s="33" t="s">
        <v>6</v>
      </c>
      <c r="U1" s="33" t="s">
        <v>7</v>
      </c>
      <c r="V1" s="33" t="s">
        <v>8</v>
      </c>
      <c r="W1" s="33" t="s">
        <v>9</v>
      </c>
      <c r="X1" s="3" t="s">
        <v>34</v>
      </c>
      <c r="Y1" s="3" t="s">
        <v>35</v>
      </c>
      <c r="Z1" s="3" t="s">
        <v>36</v>
      </c>
      <c r="AA1" s="3" t="s">
        <v>37</v>
      </c>
      <c r="AB1" s="3" t="s">
        <v>38</v>
      </c>
      <c r="AC1" s="3" t="s">
        <v>39</v>
      </c>
      <c r="AD1" s="3" t="s">
        <v>40</v>
      </c>
      <c r="AE1" s="3" t="s">
        <v>41</v>
      </c>
      <c r="AF1" s="3" t="s">
        <v>42</v>
      </c>
      <c r="AG1" s="13" t="s">
        <v>172</v>
      </c>
      <c r="AH1" s="13" t="s">
        <v>164</v>
      </c>
      <c r="AI1" s="36" t="s">
        <v>172</v>
      </c>
      <c r="AJ1" s="2" t="s">
        <v>219</v>
      </c>
      <c r="AK1" s="2" t="s">
        <v>245</v>
      </c>
    </row>
    <row r="2" spans="1:1003" ht="30" customHeight="1" thickTop="1" x14ac:dyDescent="0.25">
      <c r="A2" s="22" t="s">
        <v>45</v>
      </c>
      <c r="B2" s="27" t="s">
        <v>70</v>
      </c>
      <c r="C2" s="27" t="s">
        <v>71</v>
      </c>
      <c r="D2" s="27" t="s">
        <v>171</v>
      </c>
      <c r="E2" s="28" t="s">
        <v>33</v>
      </c>
      <c r="F2" s="28" t="s">
        <v>72</v>
      </c>
      <c r="G2" s="29" t="s">
        <v>73</v>
      </c>
      <c r="H2" s="34">
        <v>46</v>
      </c>
      <c r="I2" s="34">
        <v>57</v>
      </c>
      <c r="J2" s="34">
        <v>20</v>
      </c>
      <c r="K2" s="34">
        <v>15</v>
      </c>
      <c r="L2" s="34">
        <v>111</v>
      </c>
      <c r="M2" s="34">
        <v>109</v>
      </c>
      <c r="N2" s="34">
        <v>117</v>
      </c>
      <c r="O2" s="34">
        <v>72</v>
      </c>
      <c r="P2" s="34">
        <v>43</v>
      </c>
      <c r="Q2" s="34">
        <v>98</v>
      </c>
      <c r="R2" s="34">
        <v>113</v>
      </c>
      <c r="S2" s="34">
        <v>74</v>
      </c>
      <c r="T2" s="34">
        <v>37</v>
      </c>
      <c r="U2" s="34">
        <v>28</v>
      </c>
      <c r="V2" s="34">
        <v>22</v>
      </c>
      <c r="W2" s="34">
        <v>98</v>
      </c>
      <c r="X2" s="3">
        <v>46</v>
      </c>
      <c r="Y2" s="34">
        <v>59</v>
      </c>
      <c r="Z2" s="34">
        <v>19</v>
      </c>
      <c r="AA2" s="34">
        <v>13</v>
      </c>
      <c r="AB2" s="34">
        <v>29</v>
      </c>
      <c r="AC2" s="34">
        <v>27</v>
      </c>
      <c r="AD2" s="34">
        <v>29</v>
      </c>
      <c r="AE2" s="34">
        <v>72</v>
      </c>
      <c r="AF2" s="34">
        <v>43</v>
      </c>
      <c r="AG2" s="13">
        <v>1</v>
      </c>
      <c r="AH2" s="35"/>
      <c r="AI2" s="26">
        <v>44456</v>
      </c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</row>
    <row r="3" spans="1:1003" ht="30" customHeight="1" x14ac:dyDescent="0.25">
      <c r="A3" s="17" t="s">
        <v>46</v>
      </c>
      <c r="B3" s="30" t="s">
        <v>74</v>
      </c>
      <c r="C3" s="30" t="s">
        <v>75</v>
      </c>
      <c r="D3" s="27" t="s">
        <v>171</v>
      </c>
      <c r="E3" s="31" t="s">
        <v>33</v>
      </c>
      <c r="F3" s="31" t="s">
        <v>72</v>
      </c>
      <c r="G3" s="32" t="s">
        <v>73</v>
      </c>
      <c r="H3" s="34">
        <v>47</v>
      </c>
      <c r="I3" s="34">
        <v>62</v>
      </c>
      <c r="J3" s="34">
        <v>19</v>
      </c>
      <c r="K3" s="34">
        <v>15</v>
      </c>
      <c r="L3" s="34">
        <v>108</v>
      </c>
      <c r="M3" s="34">
        <v>104</v>
      </c>
      <c r="N3" s="34">
        <v>111</v>
      </c>
      <c r="O3" s="34">
        <v>74</v>
      </c>
      <c r="P3" s="34">
        <v>43</v>
      </c>
      <c r="Q3" s="34">
        <v>92</v>
      </c>
      <c r="R3" s="34">
        <v>108</v>
      </c>
      <c r="S3" s="34">
        <v>68</v>
      </c>
      <c r="T3" s="34">
        <v>35</v>
      </c>
      <c r="U3" s="34">
        <v>27</v>
      </c>
      <c r="V3" s="34">
        <v>22</v>
      </c>
      <c r="W3" s="34">
        <v>100</v>
      </c>
      <c r="X3" s="34">
        <v>47</v>
      </c>
      <c r="Y3" s="34">
        <v>64</v>
      </c>
      <c r="Z3" s="34">
        <v>18</v>
      </c>
      <c r="AA3" s="34">
        <v>13</v>
      </c>
      <c r="AB3" s="34">
        <v>29</v>
      </c>
      <c r="AC3" s="34">
        <v>27</v>
      </c>
      <c r="AD3" s="34">
        <v>29</v>
      </c>
      <c r="AE3" s="34">
        <v>74</v>
      </c>
      <c r="AF3" s="34">
        <v>43</v>
      </c>
      <c r="AG3" s="13">
        <v>1</v>
      </c>
      <c r="AH3" s="35"/>
      <c r="AI3" s="26">
        <v>44456</v>
      </c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</row>
    <row r="4" spans="1:1003" ht="30" customHeight="1" x14ac:dyDescent="0.25">
      <c r="A4" s="22" t="s">
        <v>47</v>
      </c>
      <c r="B4" s="30" t="s">
        <v>76</v>
      </c>
      <c r="C4" s="30" t="s">
        <v>75</v>
      </c>
      <c r="D4" s="27" t="s">
        <v>171</v>
      </c>
      <c r="E4" s="31" t="s">
        <v>33</v>
      </c>
      <c r="F4" s="31" t="s">
        <v>72</v>
      </c>
      <c r="G4" s="32" t="s">
        <v>73</v>
      </c>
      <c r="H4" s="34">
        <v>47</v>
      </c>
      <c r="I4" s="34">
        <v>60</v>
      </c>
      <c r="J4" s="34">
        <v>20</v>
      </c>
      <c r="K4" s="34">
        <v>15</v>
      </c>
      <c r="L4" s="34">
        <v>112</v>
      </c>
      <c r="M4" s="34">
        <v>110</v>
      </c>
      <c r="N4" s="34">
        <v>118</v>
      </c>
      <c r="O4" s="34">
        <v>74</v>
      </c>
      <c r="P4" s="34">
        <v>42</v>
      </c>
      <c r="Q4" s="34">
        <v>98</v>
      </c>
      <c r="R4" s="34">
        <v>115</v>
      </c>
      <c r="S4" s="34">
        <v>76</v>
      </c>
      <c r="T4" s="34">
        <v>36</v>
      </c>
      <c r="U4" s="34">
        <v>27</v>
      </c>
      <c r="V4" s="34">
        <v>22</v>
      </c>
      <c r="W4" s="34">
        <v>101</v>
      </c>
      <c r="X4" s="34">
        <v>47</v>
      </c>
      <c r="Y4" s="34">
        <v>62</v>
      </c>
      <c r="Z4" s="34">
        <v>19</v>
      </c>
      <c r="AA4" s="3">
        <v>13</v>
      </c>
      <c r="AB4" s="34">
        <v>30</v>
      </c>
      <c r="AC4" s="34">
        <v>29</v>
      </c>
      <c r="AD4" s="34">
        <v>30</v>
      </c>
      <c r="AE4" s="34">
        <v>74</v>
      </c>
      <c r="AF4" s="34">
        <v>42</v>
      </c>
      <c r="AG4" s="13">
        <v>1</v>
      </c>
      <c r="AH4" s="35"/>
      <c r="AI4" s="26">
        <v>44456</v>
      </c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</row>
    <row r="5" spans="1:1003" ht="30" customHeight="1" x14ac:dyDescent="0.25">
      <c r="A5" s="17" t="s">
        <v>48</v>
      </c>
      <c r="B5" s="30" t="s">
        <v>77</v>
      </c>
      <c r="C5" s="30" t="s">
        <v>78</v>
      </c>
      <c r="D5" s="27" t="s">
        <v>171</v>
      </c>
      <c r="E5" s="31" t="s">
        <v>33</v>
      </c>
      <c r="F5" s="31" t="s">
        <v>72</v>
      </c>
      <c r="G5" s="32" t="s">
        <v>73</v>
      </c>
      <c r="H5" s="34">
        <v>49</v>
      </c>
      <c r="I5" s="34">
        <v>60</v>
      </c>
      <c r="J5" s="34">
        <v>20</v>
      </c>
      <c r="K5" s="34">
        <v>15</v>
      </c>
      <c r="L5" s="34">
        <v>118</v>
      </c>
      <c r="M5" s="34">
        <v>113</v>
      </c>
      <c r="N5" s="34">
        <v>118</v>
      </c>
      <c r="O5" s="34">
        <v>76</v>
      </c>
      <c r="P5" s="34">
        <v>43</v>
      </c>
      <c r="Q5" s="34">
        <v>102</v>
      </c>
      <c r="R5" s="34">
        <v>115</v>
      </c>
      <c r="S5" s="34">
        <v>71</v>
      </c>
      <c r="T5" s="34">
        <v>36</v>
      </c>
      <c r="U5" s="34">
        <v>28</v>
      </c>
      <c r="V5" s="34">
        <v>23</v>
      </c>
      <c r="W5" s="34">
        <v>97</v>
      </c>
      <c r="X5" s="34">
        <v>49</v>
      </c>
      <c r="Y5" s="34">
        <v>62</v>
      </c>
      <c r="Z5" s="34">
        <v>19</v>
      </c>
      <c r="AA5" s="34">
        <v>13</v>
      </c>
      <c r="AB5" s="34">
        <v>31</v>
      </c>
      <c r="AC5" s="34">
        <v>29</v>
      </c>
      <c r="AD5" s="34">
        <v>31</v>
      </c>
      <c r="AE5" s="34">
        <v>76</v>
      </c>
      <c r="AF5" s="34">
        <v>43</v>
      </c>
      <c r="AG5" s="13">
        <v>1</v>
      </c>
      <c r="AH5" s="35"/>
      <c r="AI5" s="26">
        <v>44456</v>
      </c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</row>
    <row r="6" spans="1:1003" ht="30" customHeight="1" x14ac:dyDescent="0.25">
      <c r="A6" s="22" t="s">
        <v>49</v>
      </c>
      <c r="B6" s="30" t="s">
        <v>79</v>
      </c>
      <c r="C6" s="30" t="s">
        <v>78</v>
      </c>
      <c r="D6" s="27" t="s">
        <v>171</v>
      </c>
      <c r="E6" s="31" t="s">
        <v>33</v>
      </c>
      <c r="F6" s="31" t="s">
        <v>72</v>
      </c>
      <c r="G6" s="32" t="s">
        <v>73</v>
      </c>
      <c r="H6" s="34">
        <v>46</v>
      </c>
      <c r="I6" s="34">
        <v>57</v>
      </c>
      <c r="J6" s="34">
        <v>20</v>
      </c>
      <c r="K6" s="34">
        <v>15</v>
      </c>
      <c r="L6" s="34">
        <v>109</v>
      </c>
      <c r="M6" s="34">
        <v>106</v>
      </c>
      <c r="N6" s="34">
        <v>114</v>
      </c>
      <c r="O6" s="34">
        <v>70</v>
      </c>
      <c r="P6" s="34">
        <v>41</v>
      </c>
      <c r="Q6" s="34">
        <v>94</v>
      </c>
      <c r="R6" s="34">
        <v>112</v>
      </c>
      <c r="S6" s="34">
        <v>73</v>
      </c>
      <c r="T6" s="34">
        <v>36</v>
      </c>
      <c r="U6" s="34">
        <v>27</v>
      </c>
      <c r="V6" s="34">
        <v>22</v>
      </c>
      <c r="W6" s="34">
        <v>98</v>
      </c>
      <c r="X6" s="34">
        <v>46</v>
      </c>
      <c r="Y6" s="34">
        <v>58</v>
      </c>
      <c r="Z6" s="34">
        <v>19</v>
      </c>
      <c r="AA6" s="34">
        <v>13</v>
      </c>
      <c r="AB6" s="34">
        <v>29</v>
      </c>
      <c r="AC6" s="34">
        <v>28</v>
      </c>
      <c r="AD6" s="34">
        <v>29</v>
      </c>
      <c r="AE6" s="34">
        <v>70</v>
      </c>
      <c r="AF6" s="34">
        <v>41</v>
      </c>
      <c r="AG6" s="13">
        <v>1</v>
      </c>
      <c r="AH6" s="35"/>
      <c r="AI6" s="26">
        <v>44456</v>
      </c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</row>
    <row r="7" spans="1:1003" ht="30" customHeight="1" x14ac:dyDescent="0.25">
      <c r="A7" s="17" t="s">
        <v>50</v>
      </c>
      <c r="B7" s="30" t="s">
        <v>80</v>
      </c>
      <c r="C7" s="30" t="s">
        <v>78</v>
      </c>
      <c r="D7" s="27" t="s">
        <v>171</v>
      </c>
      <c r="E7" s="31" t="s">
        <v>33</v>
      </c>
      <c r="F7" s="31" t="s">
        <v>72</v>
      </c>
      <c r="G7" s="32" t="s">
        <v>73</v>
      </c>
      <c r="H7" s="33">
        <v>45</v>
      </c>
      <c r="I7" s="33">
        <v>55</v>
      </c>
      <c r="J7" s="33">
        <v>19</v>
      </c>
      <c r="K7" s="33">
        <v>14</v>
      </c>
      <c r="L7" s="33">
        <v>103</v>
      </c>
      <c r="M7" s="33">
        <v>96</v>
      </c>
      <c r="N7" s="33">
        <v>109</v>
      </c>
      <c r="O7" s="33">
        <v>71</v>
      </c>
      <c r="P7" s="33">
        <v>42</v>
      </c>
      <c r="Q7" s="33">
        <v>84</v>
      </c>
      <c r="R7" s="33">
        <v>103</v>
      </c>
      <c r="S7" s="33">
        <v>70</v>
      </c>
      <c r="T7" s="33">
        <v>33</v>
      </c>
      <c r="U7" s="33">
        <v>27</v>
      </c>
      <c r="V7" s="33">
        <v>22</v>
      </c>
      <c r="W7" s="3">
        <v>96</v>
      </c>
      <c r="X7" s="33">
        <v>45</v>
      </c>
      <c r="Y7" s="33">
        <v>57</v>
      </c>
      <c r="Z7" s="33">
        <v>17</v>
      </c>
      <c r="AA7" s="33">
        <v>12.5</v>
      </c>
      <c r="AB7" s="33">
        <v>27</v>
      </c>
      <c r="AC7" s="33">
        <v>25</v>
      </c>
      <c r="AD7" s="33">
        <v>27</v>
      </c>
      <c r="AE7" s="33">
        <v>71</v>
      </c>
      <c r="AF7" s="33">
        <v>42</v>
      </c>
      <c r="AG7" s="13">
        <v>1</v>
      </c>
      <c r="AH7" s="35"/>
      <c r="AI7" s="26">
        <v>44456</v>
      </c>
      <c r="AJ7" s="4"/>
    </row>
    <row r="8" spans="1:1003" ht="30" customHeight="1" x14ac:dyDescent="0.25">
      <c r="A8" s="22" t="s">
        <v>51</v>
      </c>
      <c r="B8" s="30" t="s">
        <v>81</v>
      </c>
      <c r="C8" s="30" t="s">
        <v>78</v>
      </c>
      <c r="D8" s="27" t="s">
        <v>171</v>
      </c>
      <c r="E8" s="31" t="s">
        <v>33</v>
      </c>
      <c r="F8" s="31" t="s">
        <v>72</v>
      </c>
      <c r="G8" s="32" t="s">
        <v>73</v>
      </c>
      <c r="H8" s="33">
        <v>46</v>
      </c>
      <c r="I8" s="33">
        <v>60</v>
      </c>
      <c r="J8" s="33">
        <v>19</v>
      </c>
      <c r="K8" s="33">
        <v>15</v>
      </c>
      <c r="L8" s="33">
        <v>104</v>
      </c>
      <c r="M8" s="33">
        <v>102</v>
      </c>
      <c r="N8" s="33">
        <v>112</v>
      </c>
      <c r="O8" s="33">
        <v>73</v>
      </c>
      <c r="P8" s="33">
        <v>41</v>
      </c>
      <c r="Q8" s="33">
        <v>90</v>
      </c>
      <c r="R8" s="33">
        <v>106</v>
      </c>
      <c r="S8" s="33">
        <v>69</v>
      </c>
      <c r="T8" s="33">
        <v>35</v>
      </c>
      <c r="U8" s="33">
        <v>27</v>
      </c>
      <c r="V8" s="33">
        <v>22</v>
      </c>
      <c r="W8" s="33">
        <v>99</v>
      </c>
      <c r="X8" s="33">
        <v>46</v>
      </c>
      <c r="Y8" s="33">
        <v>62</v>
      </c>
      <c r="Z8" s="33">
        <v>18</v>
      </c>
      <c r="AA8" s="33">
        <v>13</v>
      </c>
      <c r="AB8" s="3">
        <v>28</v>
      </c>
      <c r="AC8" s="3">
        <v>27</v>
      </c>
      <c r="AD8" s="33">
        <v>28</v>
      </c>
      <c r="AE8" s="33">
        <v>73</v>
      </c>
      <c r="AF8" s="33">
        <v>41</v>
      </c>
      <c r="AG8" s="13">
        <v>1</v>
      </c>
      <c r="AH8" s="35"/>
      <c r="AI8" s="26">
        <v>44456</v>
      </c>
      <c r="AJ8" s="4"/>
    </row>
    <row r="9" spans="1:1003" ht="30" customHeight="1" x14ac:dyDescent="0.25">
      <c r="A9" s="17" t="s">
        <v>52</v>
      </c>
      <c r="B9" s="30" t="s">
        <v>82</v>
      </c>
      <c r="C9" s="30" t="s">
        <v>78</v>
      </c>
      <c r="D9" s="27" t="s">
        <v>171</v>
      </c>
      <c r="E9" s="31" t="s">
        <v>33</v>
      </c>
      <c r="F9" s="31" t="s">
        <v>72</v>
      </c>
      <c r="G9" s="32" t="s">
        <v>73</v>
      </c>
      <c r="H9" s="33">
        <v>47</v>
      </c>
      <c r="I9" s="33">
        <v>60</v>
      </c>
      <c r="J9" s="33">
        <v>21</v>
      </c>
      <c r="K9" s="33">
        <v>15</v>
      </c>
      <c r="L9" s="33">
        <v>112</v>
      </c>
      <c r="M9" s="33">
        <v>118</v>
      </c>
      <c r="N9" s="33">
        <v>120</v>
      </c>
      <c r="O9" s="33">
        <v>73</v>
      </c>
      <c r="P9" s="33">
        <v>43</v>
      </c>
      <c r="Q9" s="3">
        <v>106</v>
      </c>
      <c r="R9" s="3">
        <v>117</v>
      </c>
      <c r="S9" s="33">
        <v>71</v>
      </c>
      <c r="T9" s="33">
        <v>37</v>
      </c>
      <c r="U9" s="33">
        <v>28</v>
      </c>
      <c r="V9" s="33">
        <v>22</v>
      </c>
      <c r="W9" s="33">
        <v>99</v>
      </c>
      <c r="X9" s="33">
        <v>47</v>
      </c>
      <c r="Y9" s="33">
        <v>62</v>
      </c>
      <c r="Z9" s="33">
        <v>19</v>
      </c>
      <c r="AA9" s="33">
        <v>13</v>
      </c>
      <c r="AB9" s="33">
        <v>30</v>
      </c>
      <c r="AC9" s="33">
        <v>30</v>
      </c>
      <c r="AD9" s="33">
        <v>30</v>
      </c>
      <c r="AE9" s="33">
        <v>73</v>
      </c>
      <c r="AF9" s="33">
        <v>43</v>
      </c>
      <c r="AG9" s="13">
        <v>1</v>
      </c>
      <c r="AH9" s="35"/>
      <c r="AI9" s="26">
        <v>44456</v>
      </c>
      <c r="AJ9" s="4"/>
    </row>
    <row r="10" spans="1:1003" ht="30" customHeight="1" x14ac:dyDescent="0.25">
      <c r="A10" s="22" t="s">
        <v>53</v>
      </c>
      <c r="B10" s="30" t="s">
        <v>83</v>
      </c>
      <c r="C10" s="30" t="s">
        <v>78</v>
      </c>
      <c r="D10" s="27" t="s">
        <v>171</v>
      </c>
      <c r="E10" s="31" t="s">
        <v>33</v>
      </c>
      <c r="F10" s="31" t="s">
        <v>72</v>
      </c>
      <c r="G10" s="32" t="s">
        <v>73</v>
      </c>
      <c r="H10" s="33">
        <v>44</v>
      </c>
      <c r="I10" s="33">
        <v>59</v>
      </c>
      <c r="J10" s="33">
        <v>20</v>
      </c>
      <c r="K10" s="33">
        <v>15</v>
      </c>
      <c r="L10" s="33">
        <v>106</v>
      </c>
      <c r="M10" s="33">
        <v>104</v>
      </c>
      <c r="N10" s="33">
        <v>111</v>
      </c>
      <c r="O10" s="33">
        <v>73</v>
      </c>
      <c r="P10" s="33">
        <v>42</v>
      </c>
      <c r="Q10" s="33">
        <v>93</v>
      </c>
      <c r="R10" s="33">
        <v>107</v>
      </c>
      <c r="S10" s="33">
        <v>70</v>
      </c>
      <c r="T10" s="33">
        <v>35</v>
      </c>
      <c r="U10" s="33">
        <v>27</v>
      </c>
      <c r="V10" s="33">
        <v>22</v>
      </c>
      <c r="W10" s="33">
        <v>97</v>
      </c>
      <c r="X10" s="33">
        <v>44</v>
      </c>
      <c r="Y10" s="33">
        <v>61</v>
      </c>
      <c r="Z10" s="33">
        <v>18</v>
      </c>
      <c r="AA10" s="33">
        <v>13</v>
      </c>
      <c r="AB10" s="33">
        <v>28</v>
      </c>
      <c r="AC10" s="33">
        <v>27</v>
      </c>
      <c r="AD10" s="33">
        <v>28</v>
      </c>
      <c r="AE10" s="33">
        <v>73</v>
      </c>
      <c r="AF10" s="33">
        <v>42</v>
      </c>
      <c r="AG10" s="13">
        <v>1</v>
      </c>
      <c r="AH10" s="35"/>
      <c r="AI10" s="26">
        <v>44456</v>
      </c>
      <c r="AJ10" s="4"/>
    </row>
    <row r="11" spans="1:1003" ht="30" customHeight="1" x14ac:dyDescent="0.25">
      <c r="A11" s="17" t="s">
        <v>54</v>
      </c>
      <c r="B11" s="30" t="s">
        <v>84</v>
      </c>
      <c r="C11" s="30" t="s">
        <v>78</v>
      </c>
      <c r="D11" s="27" t="s">
        <v>171</v>
      </c>
      <c r="E11" s="31" t="s">
        <v>85</v>
      </c>
      <c r="F11" s="31" t="s">
        <v>72</v>
      </c>
      <c r="G11" s="32" t="s">
        <v>73</v>
      </c>
      <c r="H11" s="34">
        <v>42</v>
      </c>
      <c r="I11" s="33">
        <v>57</v>
      </c>
      <c r="J11" s="33">
        <v>20</v>
      </c>
      <c r="K11" s="34">
        <v>14</v>
      </c>
      <c r="L11" s="34">
        <v>108</v>
      </c>
      <c r="M11" s="33">
        <v>103</v>
      </c>
      <c r="N11" s="33">
        <v>119</v>
      </c>
      <c r="O11" s="33">
        <v>71</v>
      </c>
      <c r="P11" s="33">
        <v>40</v>
      </c>
      <c r="Q11" s="33">
        <v>93</v>
      </c>
      <c r="R11" s="33">
        <v>113</v>
      </c>
      <c r="S11" s="33">
        <v>70</v>
      </c>
      <c r="T11" s="33">
        <v>35</v>
      </c>
      <c r="U11" s="33">
        <v>26</v>
      </c>
      <c r="V11" s="33">
        <v>20</v>
      </c>
      <c r="W11" s="33">
        <v>96</v>
      </c>
      <c r="X11" s="33">
        <v>42</v>
      </c>
      <c r="Y11" s="33">
        <v>59</v>
      </c>
      <c r="Z11" s="33">
        <v>18</v>
      </c>
      <c r="AA11" s="33">
        <v>13</v>
      </c>
      <c r="AB11" s="33">
        <v>28</v>
      </c>
      <c r="AC11" s="33">
        <v>27</v>
      </c>
      <c r="AD11" s="33">
        <v>285</v>
      </c>
      <c r="AE11" s="33">
        <v>71</v>
      </c>
      <c r="AF11" s="33">
        <v>40</v>
      </c>
      <c r="AG11" s="13">
        <v>1</v>
      </c>
      <c r="AH11" s="35"/>
      <c r="AI11" s="26">
        <v>44456</v>
      </c>
      <c r="AJ11" s="4"/>
    </row>
    <row r="12" spans="1:1003" ht="30" customHeight="1" x14ac:dyDescent="0.25">
      <c r="A12" s="22" t="s">
        <v>55</v>
      </c>
      <c r="B12" s="30" t="s">
        <v>86</v>
      </c>
      <c r="C12" s="30" t="s">
        <v>87</v>
      </c>
      <c r="D12" s="27" t="s">
        <v>171</v>
      </c>
      <c r="E12" s="31" t="s">
        <v>85</v>
      </c>
      <c r="F12" s="31" t="s">
        <v>72</v>
      </c>
      <c r="G12" s="32" t="s">
        <v>73</v>
      </c>
      <c r="H12" s="33">
        <v>43</v>
      </c>
      <c r="I12" s="33">
        <v>55</v>
      </c>
      <c r="J12" s="33">
        <v>18</v>
      </c>
      <c r="K12" s="33">
        <v>14</v>
      </c>
      <c r="L12" s="33">
        <v>98</v>
      </c>
      <c r="M12" s="33">
        <v>92</v>
      </c>
      <c r="N12" s="33">
        <v>112</v>
      </c>
      <c r="O12" s="33">
        <v>70</v>
      </c>
      <c r="P12" s="33" t="s">
        <v>173</v>
      </c>
      <c r="Q12" s="33">
        <v>86</v>
      </c>
      <c r="R12" s="33">
        <v>109</v>
      </c>
      <c r="S12" s="33">
        <v>57</v>
      </c>
      <c r="T12" s="33" t="s">
        <v>147</v>
      </c>
      <c r="U12" s="33"/>
      <c r="V12" s="33"/>
      <c r="W12" s="33"/>
      <c r="X12" s="33">
        <v>43</v>
      </c>
      <c r="Y12" s="33">
        <v>57</v>
      </c>
      <c r="Z12" s="33">
        <v>16</v>
      </c>
      <c r="AA12" s="33">
        <v>12</v>
      </c>
      <c r="AB12" s="33">
        <v>27</v>
      </c>
      <c r="AC12" s="33">
        <v>25</v>
      </c>
      <c r="AD12" s="33">
        <v>28</v>
      </c>
      <c r="AE12" s="33">
        <v>70</v>
      </c>
      <c r="AF12" s="33">
        <v>40</v>
      </c>
      <c r="AG12" s="13">
        <v>1</v>
      </c>
      <c r="AH12" s="35"/>
      <c r="AI12" s="26">
        <v>44456</v>
      </c>
      <c r="AJ12" s="4"/>
    </row>
    <row r="13" spans="1:1003" ht="30" customHeight="1" x14ac:dyDescent="0.25">
      <c r="A13" s="17" t="s">
        <v>56</v>
      </c>
      <c r="B13" s="30" t="s">
        <v>88</v>
      </c>
      <c r="C13" s="30" t="s">
        <v>89</v>
      </c>
      <c r="D13" s="27" t="s">
        <v>171</v>
      </c>
      <c r="E13" s="31" t="s">
        <v>85</v>
      </c>
      <c r="F13" s="31" t="s">
        <v>72</v>
      </c>
      <c r="G13" s="32" t="s">
        <v>73</v>
      </c>
      <c r="H13" s="3">
        <v>44</v>
      </c>
      <c r="I13" s="3">
        <v>56</v>
      </c>
      <c r="J13" s="3">
        <v>19</v>
      </c>
      <c r="K13" s="3">
        <v>14</v>
      </c>
      <c r="L13" s="3">
        <v>109</v>
      </c>
      <c r="M13" s="3">
        <v>106</v>
      </c>
      <c r="N13" s="3">
        <v>126</v>
      </c>
      <c r="O13" s="3">
        <v>72</v>
      </c>
      <c r="P13" s="3">
        <v>40</v>
      </c>
      <c r="Q13" s="3">
        <v>97</v>
      </c>
      <c r="R13" s="3">
        <v>122</v>
      </c>
      <c r="S13" s="3">
        <v>73</v>
      </c>
      <c r="T13" s="3">
        <v>36</v>
      </c>
      <c r="U13" s="3">
        <v>27</v>
      </c>
      <c r="V13" s="3">
        <v>21</v>
      </c>
      <c r="W13" s="3">
        <v>97</v>
      </c>
      <c r="X13" s="3">
        <v>44</v>
      </c>
      <c r="Y13" s="3">
        <v>58</v>
      </c>
      <c r="Z13" s="3">
        <v>18</v>
      </c>
      <c r="AA13" s="3">
        <v>13</v>
      </c>
      <c r="AB13" s="3">
        <v>29</v>
      </c>
      <c r="AC13" s="3">
        <v>27</v>
      </c>
      <c r="AD13" s="3">
        <v>31</v>
      </c>
      <c r="AE13" s="3">
        <v>72</v>
      </c>
      <c r="AF13" s="3">
        <v>40</v>
      </c>
      <c r="AG13" s="13">
        <v>1</v>
      </c>
      <c r="AI13" s="26">
        <v>44456</v>
      </c>
      <c r="AJ13" s="4"/>
    </row>
    <row r="14" spans="1:1003" ht="30" customHeight="1" x14ac:dyDescent="0.25">
      <c r="A14" s="22" t="s">
        <v>57</v>
      </c>
      <c r="B14" s="30" t="s">
        <v>90</v>
      </c>
      <c r="C14" s="30" t="s">
        <v>91</v>
      </c>
      <c r="D14" s="27" t="s">
        <v>171</v>
      </c>
      <c r="E14" s="31" t="s">
        <v>33</v>
      </c>
      <c r="F14" s="31" t="s">
        <v>72</v>
      </c>
      <c r="G14" s="32" t="s">
        <v>73</v>
      </c>
      <c r="H14" s="3">
        <v>46</v>
      </c>
      <c r="I14" s="3">
        <v>63</v>
      </c>
      <c r="J14" s="3">
        <v>20</v>
      </c>
      <c r="K14" s="3">
        <v>15</v>
      </c>
      <c r="L14" s="3">
        <v>106</v>
      </c>
      <c r="M14" s="3">
        <v>101</v>
      </c>
      <c r="N14" s="3">
        <v>109</v>
      </c>
      <c r="O14" s="3">
        <v>75</v>
      </c>
      <c r="P14" s="3">
        <v>42</v>
      </c>
      <c r="Q14" s="3">
        <v>89</v>
      </c>
      <c r="R14" s="3">
        <v>104</v>
      </c>
      <c r="S14" s="3">
        <v>71</v>
      </c>
      <c r="T14" s="3">
        <v>34</v>
      </c>
      <c r="U14" s="3">
        <v>27</v>
      </c>
      <c r="V14" s="3">
        <v>22</v>
      </c>
      <c r="W14" s="3">
        <v>101</v>
      </c>
      <c r="X14" s="3">
        <v>46</v>
      </c>
      <c r="Y14" s="3">
        <v>65</v>
      </c>
      <c r="Z14" s="3">
        <v>18</v>
      </c>
      <c r="AA14" s="3">
        <v>13</v>
      </c>
      <c r="AB14" s="3">
        <v>28</v>
      </c>
      <c r="AC14" s="3">
        <v>27</v>
      </c>
      <c r="AD14" s="3">
        <v>28</v>
      </c>
      <c r="AE14" s="3">
        <v>75</v>
      </c>
      <c r="AF14" s="3">
        <v>42</v>
      </c>
      <c r="AG14" s="13">
        <v>1</v>
      </c>
      <c r="AI14" s="26">
        <v>44456</v>
      </c>
      <c r="AJ14" s="4"/>
    </row>
    <row r="15" spans="1:1003" ht="30" customHeight="1" x14ac:dyDescent="0.25">
      <c r="A15" s="17" t="s">
        <v>58</v>
      </c>
      <c r="B15" s="30" t="s">
        <v>92</v>
      </c>
      <c r="C15" s="30" t="s">
        <v>91</v>
      </c>
      <c r="D15" s="27" t="s">
        <v>171</v>
      </c>
      <c r="E15" s="31" t="s">
        <v>33</v>
      </c>
      <c r="F15" s="31" t="s">
        <v>72</v>
      </c>
      <c r="G15" s="32" t="s">
        <v>73</v>
      </c>
      <c r="H15" s="3">
        <v>47</v>
      </c>
      <c r="I15" s="3">
        <v>58</v>
      </c>
      <c r="J15" s="3">
        <v>20</v>
      </c>
      <c r="K15" s="3">
        <v>15</v>
      </c>
      <c r="L15" s="3">
        <v>106</v>
      </c>
      <c r="M15" s="3">
        <v>98</v>
      </c>
      <c r="N15" s="3">
        <v>110</v>
      </c>
      <c r="O15" s="3">
        <v>73</v>
      </c>
      <c r="P15" s="3">
        <v>42</v>
      </c>
      <c r="Q15" s="3">
        <v>87</v>
      </c>
      <c r="R15" s="3">
        <v>105</v>
      </c>
      <c r="S15" s="3">
        <v>75</v>
      </c>
      <c r="T15" s="3">
        <v>34</v>
      </c>
      <c r="U15" s="3">
        <v>27</v>
      </c>
      <c r="V15" s="3">
        <v>22</v>
      </c>
      <c r="W15" s="3">
        <v>98</v>
      </c>
      <c r="X15" s="3">
        <v>47</v>
      </c>
      <c r="Y15" s="3">
        <v>60</v>
      </c>
      <c r="Z15" s="3">
        <v>17</v>
      </c>
      <c r="AA15" s="3">
        <v>13</v>
      </c>
      <c r="AB15" s="3">
        <v>28</v>
      </c>
      <c r="AC15" s="3">
        <v>27</v>
      </c>
      <c r="AD15" s="3">
        <v>29</v>
      </c>
      <c r="AE15" s="3">
        <v>73</v>
      </c>
      <c r="AF15" s="3">
        <v>42</v>
      </c>
      <c r="AG15" s="13">
        <v>1</v>
      </c>
      <c r="AI15" s="26">
        <v>44456</v>
      </c>
    </row>
    <row r="16" spans="1:1003" ht="30" customHeight="1" x14ac:dyDescent="0.25">
      <c r="A16" s="22" t="s">
        <v>59</v>
      </c>
      <c r="B16" s="30" t="s">
        <v>93</v>
      </c>
      <c r="C16" s="30" t="s">
        <v>91</v>
      </c>
      <c r="D16" s="27" t="s">
        <v>171</v>
      </c>
      <c r="E16" s="31" t="s">
        <v>33</v>
      </c>
      <c r="F16" s="31" t="s">
        <v>72</v>
      </c>
      <c r="G16" s="32" t="s">
        <v>73</v>
      </c>
      <c r="H16" s="3">
        <v>53</v>
      </c>
      <c r="I16" s="3">
        <v>57</v>
      </c>
      <c r="J16" s="3">
        <v>24</v>
      </c>
      <c r="K16" s="3">
        <v>17</v>
      </c>
      <c r="L16" s="3">
        <v>146</v>
      </c>
      <c r="M16" s="3">
        <v>147</v>
      </c>
      <c r="N16" s="3">
        <v>150</v>
      </c>
      <c r="O16" s="3">
        <v>78</v>
      </c>
      <c r="P16" s="3" t="s">
        <v>157</v>
      </c>
      <c r="Q16" s="3">
        <v>133</v>
      </c>
      <c r="R16" s="3">
        <v>145</v>
      </c>
      <c r="S16" s="3">
        <v>85</v>
      </c>
      <c r="T16" s="3">
        <v>45</v>
      </c>
      <c r="U16" s="3">
        <v>35</v>
      </c>
      <c r="V16" s="3">
        <v>26</v>
      </c>
      <c r="W16" s="3">
        <v>98</v>
      </c>
      <c r="X16" s="3">
        <v>53</v>
      </c>
      <c r="Y16" s="3">
        <v>59</v>
      </c>
      <c r="Z16" s="3">
        <v>22</v>
      </c>
      <c r="AA16" s="3">
        <v>14</v>
      </c>
      <c r="AB16" s="3">
        <v>38</v>
      </c>
      <c r="AC16" s="3">
        <v>38</v>
      </c>
      <c r="AD16" s="3">
        <v>338</v>
      </c>
      <c r="AE16" s="3">
        <v>78</v>
      </c>
      <c r="AF16" s="3">
        <v>48</v>
      </c>
      <c r="AG16" s="13">
        <v>1</v>
      </c>
      <c r="AI16" s="26">
        <v>44456</v>
      </c>
    </row>
    <row r="17" spans="1:35" ht="30" customHeight="1" x14ac:dyDescent="0.25">
      <c r="A17" s="17" t="s">
        <v>60</v>
      </c>
      <c r="B17" s="30" t="s">
        <v>94</v>
      </c>
      <c r="C17" s="30" t="s">
        <v>91</v>
      </c>
      <c r="D17" s="27" t="s">
        <v>171</v>
      </c>
      <c r="E17" s="31" t="s">
        <v>33</v>
      </c>
      <c r="F17" s="31" t="s">
        <v>72</v>
      </c>
      <c r="G17" s="32" t="s">
        <v>73</v>
      </c>
      <c r="H17" s="3">
        <v>46</v>
      </c>
      <c r="I17" s="3">
        <v>55</v>
      </c>
      <c r="J17" s="3">
        <v>20</v>
      </c>
      <c r="K17" s="3">
        <v>15</v>
      </c>
      <c r="L17" s="3">
        <v>106</v>
      </c>
      <c r="M17" s="3">
        <v>101</v>
      </c>
      <c r="N17" s="3">
        <v>113</v>
      </c>
      <c r="O17" s="3">
        <v>69</v>
      </c>
      <c r="P17" s="3">
        <v>40</v>
      </c>
      <c r="Q17" s="3">
        <v>90</v>
      </c>
      <c r="R17" s="3">
        <v>108</v>
      </c>
      <c r="S17" s="3">
        <v>69</v>
      </c>
      <c r="T17" s="3">
        <v>35</v>
      </c>
      <c r="U17" s="3">
        <v>27</v>
      </c>
      <c r="V17" s="3">
        <v>22</v>
      </c>
      <c r="W17" s="3">
        <v>96</v>
      </c>
      <c r="X17" s="3">
        <v>46</v>
      </c>
      <c r="Y17" s="3">
        <v>57</v>
      </c>
      <c r="Z17" s="3">
        <v>18</v>
      </c>
      <c r="AA17" s="3">
        <v>13</v>
      </c>
      <c r="AB17" s="3">
        <v>28</v>
      </c>
      <c r="AC17" s="3">
        <v>26</v>
      </c>
      <c r="AD17" s="3">
        <v>28</v>
      </c>
      <c r="AE17" s="3">
        <v>69</v>
      </c>
      <c r="AF17" s="3">
        <v>40</v>
      </c>
      <c r="AG17" s="13">
        <v>1</v>
      </c>
      <c r="AI17" s="26">
        <v>44456</v>
      </c>
    </row>
    <row r="18" spans="1:35" ht="30" customHeight="1" x14ac:dyDescent="0.25">
      <c r="A18" s="22" t="s">
        <v>61</v>
      </c>
      <c r="B18" s="30" t="s">
        <v>95</v>
      </c>
      <c r="C18" s="30" t="s">
        <v>91</v>
      </c>
      <c r="D18" s="27" t="s">
        <v>171</v>
      </c>
      <c r="E18" s="31" t="s">
        <v>33</v>
      </c>
      <c r="F18" s="31" t="s">
        <v>72</v>
      </c>
      <c r="G18" s="32" t="s">
        <v>73</v>
      </c>
      <c r="H18" s="3">
        <v>44</v>
      </c>
      <c r="I18" s="3">
        <v>54</v>
      </c>
      <c r="J18" s="3">
        <v>19</v>
      </c>
      <c r="K18" s="3">
        <v>14</v>
      </c>
      <c r="L18" s="3">
        <v>105</v>
      </c>
      <c r="M18" s="3">
        <v>99</v>
      </c>
      <c r="N18" s="3">
        <v>108</v>
      </c>
      <c r="O18" s="3">
        <v>71</v>
      </c>
      <c r="P18" s="3">
        <v>39</v>
      </c>
      <c r="Q18" s="3">
        <v>89</v>
      </c>
      <c r="R18" s="3">
        <v>103</v>
      </c>
      <c r="S18" s="3">
        <v>68</v>
      </c>
      <c r="T18" s="3">
        <v>34</v>
      </c>
      <c r="U18" s="3">
        <v>27</v>
      </c>
      <c r="V18" s="3">
        <v>22</v>
      </c>
      <c r="W18" s="3">
        <v>95</v>
      </c>
      <c r="X18" s="3">
        <v>44</v>
      </c>
      <c r="Y18" s="3">
        <v>56</v>
      </c>
      <c r="Z18" s="3">
        <v>18</v>
      </c>
      <c r="AA18" s="3">
        <v>13</v>
      </c>
      <c r="AB18" s="3">
        <v>28</v>
      </c>
      <c r="AC18" s="3">
        <v>27</v>
      </c>
      <c r="AD18" s="3">
        <v>28</v>
      </c>
      <c r="AE18" s="3">
        <v>71</v>
      </c>
      <c r="AF18" s="3">
        <v>39</v>
      </c>
      <c r="AG18" s="13">
        <v>1</v>
      </c>
      <c r="AI18" s="26">
        <v>44456</v>
      </c>
    </row>
    <row r="19" spans="1:35" ht="30" customHeight="1" x14ac:dyDescent="0.25">
      <c r="A19" s="17" t="s">
        <v>62</v>
      </c>
      <c r="B19" s="30" t="s">
        <v>96</v>
      </c>
      <c r="C19" s="30" t="s">
        <v>91</v>
      </c>
      <c r="D19" s="27" t="s">
        <v>171</v>
      </c>
      <c r="E19" s="31" t="s">
        <v>33</v>
      </c>
      <c r="F19" s="31" t="s">
        <v>72</v>
      </c>
      <c r="G19" s="32" t="s">
        <v>73</v>
      </c>
      <c r="H19" s="3">
        <v>47</v>
      </c>
      <c r="I19" s="3">
        <v>58</v>
      </c>
      <c r="J19" s="3">
        <v>20</v>
      </c>
      <c r="K19" s="3">
        <v>15</v>
      </c>
      <c r="L19" s="3">
        <v>112</v>
      </c>
      <c r="M19" s="3">
        <v>106</v>
      </c>
      <c r="N19" s="3">
        <v>119</v>
      </c>
      <c r="O19" s="3">
        <v>73</v>
      </c>
      <c r="P19" s="3">
        <v>43</v>
      </c>
      <c r="Q19" s="3">
        <v>93</v>
      </c>
      <c r="R19" s="3">
        <v>115</v>
      </c>
      <c r="S19" s="3">
        <v>76</v>
      </c>
      <c r="T19" s="3">
        <v>37</v>
      </c>
      <c r="U19" s="3">
        <v>27</v>
      </c>
      <c r="V19" s="3">
        <v>22</v>
      </c>
      <c r="W19" s="3">
        <v>95</v>
      </c>
      <c r="X19" s="3">
        <v>47</v>
      </c>
      <c r="Y19" s="3">
        <v>60</v>
      </c>
      <c r="Z19" s="3">
        <v>18</v>
      </c>
      <c r="AA19" s="3">
        <v>13</v>
      </c>
      <c r="AB19" s="3">
        <v>29</v>
      </c>
      <c r="AC19" s="3">
        <v>27</v>
      </c>
      <c r="AD19" s="3">
        <v>29</v>
      </c>
      <c r="AE19" s="3">
        <v>73</v>
      </c>
      <c r="AF19" s="3">
        <v>43</v>
      </c>
      <c r="AG19" s="13">
        <v>1</v>
      </c>
      <c r="AI19" s="26">
        <v>44456</v>
      </c>
    </row>
    <row r="20" spans="1:35" ht="30" customHeight="1" x14ac:dyDescent="0.25">
      <c r="A20" s="22" t="s">
        <v>63</v>
      </c>
      <c r="B20" s="30" t="s">
        <v>156</v>
      </c>
      <c r="C20" s="30" t="s">
        <v>91</v>
      </c>
      <c r="D20" s="27" t="s">
        <v>171</v>
      </c>
      <c r="E20" s="31" t="s">
        <v>33</v>
      </c>
      <c r="F20" s="31" t="s">
        <v>72</v>
      </c>
      <c r="G20" s="32" t="s">
        <v>73</v>
      </c>
      <c r="H20" s="3">
        <v>47</v>
      </c>
      <c r="I20" s="3">
        <v>62</v>
      </c>
      <c r="J20" s="3">
        <v>20</v>
      </c>
      <c r="K20" s="3">
        <v>15</v>
      </c>
      <c r="L20" s="3">
        <v>107</v>
      </c>
      <c r="M20" s="3">
        <v>102</v>
      </c>
      <c r="N20" s="3">
        <v>116</v>
      </c>
      <c r="O20" s="3">
        <v>77</v>
      </c>
      <c r="P20" s="3">
        <v>43</v>
      </c>
      <c r="Q20" s="3">
        <v>91</v>
      </c>
      <c r="R20" s="3">
        <v>111</v>
      </c>
      <c r="S20" s="3">
        <v>78</v>
      </c>
      <c r="T20" s="3">
        <v>35</v>
      </c>
      <c r="U20" s="3">
        <v>28</v>
      </c>
      <c r="V20" s="3">
        <v>23</v>
      </c>
      <c r="W20" s="3">
        <v>106</v>
      </c>
      <c r="X20" s="3">
        <v>47</v>
      </c>
      <c r="Y20" s="3">
        <v>64</v>
      </c>
      <c r="Z20" s="3">
        <v>18</v>
      </c>
      <c r="AA20" s="3">
        <v>13</v>
      </c>
      <c r="AB20" s="3">
        <v>28</v>
      </c>
      <c r="AC20" s="3">
        <v>27</v>
      </c>
      <c r="AD20" s="3">
        <v>28.5</v>
      </c>
      <c r="AE20" s="3">
        <v>77</v>
      </c>
      <c r="AF20" s="3">
        <v>43</v>
      </c>
      <c r="AG20" s="13">
        <v>1</v>
      </c>
      <c r="AI20" s="26">
        <v>44456</v>
      </c>
    </row>
    <row r="21" spans="1:35" ht="30" customHeight="1" x14ac:dyDescent="0.25">
      <c r="A21" s="17" t="s">
        <v>64</v>
      </c>
      <c r="B21" s="30" t="s">
        <v>97</v>
      </c>
      <c r="C21" s="30" t="s">
        <v>91</v>
      </c>
      <c r="D21" s="27" t="s">
        <v>171</v>
      </c>
      <c r="E21" s="31" t="s">
        <v>33</v>
      </c>
      <c r="F21" s="31" t="s">
        <v>72</v>
      </c>
      <c r="G21" s="32" t="s">
        <v>73</v>
      </c>
      <c r="H21" s="3">
        <v>46</v>
      </c>
      <c r="I21" s="3">
        <v>60</v>
      </c>
      <c r="J21" s="3">
        <v>19</v>
      </c>
      <c r="K21" s="3">
        <v>14</v>
      </c>
      <c r="L21" s="3">
        <v>102</v>
      </c>
      <c r="M21" s="3">
        <v>95</v>
      </c>
      <c r="N21" s="3">
        <v>108</v>
      </c>
      <c r="O21" s="3">
        <v>72</v>
      </c>
      <c r="P21" s="3">
        <v>41</v>
      </c>
      <c r="Q21" s="3">
        <v>85</v>
      </c>
      <c r="R21" s="3">
        <v>102</v>
      </c>
      <c r="S21" s="3">
        <v>72</v>
      </c>
      <c r="T21" s="3">
        <v>34</v>
      </c>
      <c r="U21" s="3">
        <v>27</v>
      </c>
      <c r="V21" s="3">
        <v>22</v>
      </c>
      <c r="W21" s="3">
        <v>101</v>
      </c>
      <c r="X21" s="3">
        <v>446</v>
      </c>
      <c r="Y21" s="3">
        <v>62</v>
      </c>
      <c r="Z21" s="3">
        <v>17</v>
      </c>
      <c r="AA21" s="3">
        <v>12.5</v>
      </c>
      <c r="AB21" s="3">
        <v>27</v>
      </c>
      <c r="AC21" s="3">
        <v>25</v>
      </c>
      <c r="AD21" s="3">
        <v>27</v>
      </c>
      <c r="AE21" s="3">
        <v>72</v>
      </c>
      <c r="AF21" s="3">
        <v>41</v>
      </c>
      <c r="AG21" s="13">
        <v>1</v>
      </c>
      <c r="AI21" s="26">
        <v>44456</v>
      </c>
    </row>
    <row r="22" spans="1:35" ht="30" customHeight="1" x14ac:dyDescent="0.25">
      <c r="A22" s="22" t="s">
        <v>65</v>
      </c>
      <c r="B22" s="30" t="s">
        <v>98</v>
      </c>
      <c r="C22" s="30" t="s">
        <v>91</v>
      </c>
      <c r="D22" s="27" t="s">
        <v>171</v>
      </c>
      <c r="E22" s="31" t="s">
        <v>33</v>
      </c>
      <c r="F22" s="31" t="s">
        <v>72</v>
      </c>
      <c r="G22" s="32" t="s">
        <v>73</v>
      </c>
      <c r="H22" s="3">
        <v>47</v>
      </c>
      <c r="I22" s="3">
        <v>59</v>
      </c>
      <c r="J22" s="3">
        <v>20</v>
      </c>
      <c r="K22" s="3">
        <v>15</v>
      </c>
      <c r="L22" s="3">
        <v>116</v>
      </c>
      <c r="M22" s="3">
        <v>110</v>
      </c>
      <c r="N22" s="3">
        <v>121</v>
      </c>
      <c r="O22" s="3">
        <v>75</v>
      </c>
      <c r="P22" s="3">
        <v>46</v>
      </c>
      <c r="Q22" s="3">
        <v>98</v>
      </c>
      <c r="R22" s="3">
        <v>118</v>
      </c>
      <c r="S22" s="3">
        <v>72</v>
      </c>
      <c r="T22" s="3">
        <v>36</v>
      </c>
      <c r="U22" s="3">
        <v>28</v>
      </c>
      <c r="V22" s="3">
        <v>22</v>
      </c>
      <c r="W22" s="3">
        <v>100</v>
      </c>
      <c r="X22" s="3">
        <v>47</v>
      </c>
      <c r="Y22" s="3">
        <v>61</v>
      </c>
      <c r="Z22" s="3">
        <v>19</v>
      </c>
      <c r="AA22" s="3">
        <v>13</v>
      </c>
      <c r="AB22" s="3">
        <v>29</v>
      </c>
      <c r="AC22" s="3">
        <v>27</v>
      </c>
      <c r="AD22" s="3">
        <v>29</v>
      </c>
      <c r="AE22" s="3">
        <v>75</v>
      </c>
      <c r="AF22" s="3">
        <v>46</v>
      </c>
      <c r="AG22" s="13">
        <v>1</v>
      </c>
      <c r="AI22" s="26">
        <v>44456</v>
      </c>
    </row>
    <row r="23" spans="1:35" ht="30" customHeight="1" x14ac:dyDescent="0.25">
      <c r="A23" s="17" t="s">
        <v>66</v>
      </c>
      <c r="B23" s="30" t="s">
        <v>99</v>
      </c>
      <c r="C23" s="30" t="s">
        <v>100</v>
      </c>
      <c r="D23" s="27" t="s">
        <v>171</v>
      </c>
      <c r="E23" s="31" t="s">
        <v>85</v>
      </c>
      <c r="F23" s="31" t="s">
        <v>72</v>
      </c>
      <c r="G23" s="32" t="s">
        <v>73</v>
      </c>
      <c r="H23" s="3">
        <v>41</v>
      </c>
      <c r="I23" s="3">
        <v>59</v>
      </c>
      <c r="J23" s="3">
        <v>18</v>
      </c>
      <c r="K23" s="3">
        <v>13.5</v>
      </c>
      <c r="L23" s="3">
        <v>89</v>
      </c>
      <c r="M23" s="3">
        <v>84</v>
      </c>
      <c r="N23" s="3">
        <v>102</v>
      </c>
      <c r="O23" s="3">
        <v>67</v>
      </c>
      <c r="P23" s="3" t="s">
        <v>155</v>
      </c>
      <c r="Q23" s="3">
        <v>76</v>
      </c>
      <c r="R23" s="3">
        <v>98</v>
      </c>
      <c r="S23" s="3">
        <v>67</v>
      </c>
      <c r="T23" s="3">
        <v>30</v>
      </c>
      <c r="U23" s="3">
        <v>25</v>
      </c>
      <c r="V23" s="3">
        <v>20</v>
      </c>
      <c r="W23" s="3">
        <v>98</v>
      </c>
      <c r="X23" s="3">
        <v>41</v>
      </c>
      <c r="Y23" s="3">
        <v>61</v>
      </c>
      <c r="Z23" s="3">
        <v>16</v>
      </c>
      <c r="AA23" s="3">
        <v>12</v>
      </c>
      <c r="AB23" s="3">
        <v>26</v>
      </c>
      <c r="AC23" s="3">
        <v>24</v>
      </c>
      <c r="AD23" s="3">
        <v>27</v>
      </c>
      <c r="AE23" s="3">
        <v>67</v>
      </c>
      <c r="AF23" s="3">
        <v>36</v>
      </c>
      <c r="AG23" s="13">
        <v>1</v>
      </c>
      <c r="AI23" s="26">
        <v>44456</v>
      </c>
    </row>
    <row r="24" spans="1:35" ht="30" customHeight="1" x14ac:dyDescent="0.25">
      <c r="A24" s="22" t="s">
        <v>67</v>
      </c>
      <c r="B24" s="30" t="s">
        <v>101</v>
      </c>
      <c r="C24" s="30" t="s">
        <v>102</v>
      </c>
      <c r="D24" s="27" t="s">
        <v>171</v>
      </c>
      <c r="E24" s="31" t="s">
        <v>33</v>
      </c>
      <c r="F24" s="31" t="s">
        <v>72</v>
      </c>
      <c r="G24" s="32" t="s">
        <v>73</v>
      </c>
      <c r="H24" s="3">
        <v>46</v>
      </c>
      <c r="I24" s="3">
        <v>56</v>
      </c>
      <c r="J24" s="3">
        <v>19</v>
      </c>
      <c r="K24" s="3">
        <v>14</v>
      </c>
      <c r="L24" s="3">
        <v>106</v>
      </c>
      <c r="M24" s="3">
        <v>100</v>
      </c>
      <c r="N24" s="3">
        <v>109</v>
      </c>
      <c r="O24" s="3">
        <v>71</v>
      </c>
      <c r="P24" s="3">
        <v>42</v>
      </c>
      <c r="Q24" s="3">
        <v>89</v>
      </c>
      <c r="R24" s="3">
        <v>104</v>
      </c>
      <c r="S24" s="3">
        <v>70</v>
      </c>
      <c r="T24" s="3">
        <v>34</v>
      </c>
      <c r="U24" s="3">
        <v>27</v>
      </c>
      <c r="V24" s="3">
        <v>22</v>
      </c>
      <c r="W24" s="3">
        <v>96</v>
      </c>
      <c r="X24" s="3">
        <v>46</v>
      </c>
      <c r="Y24" s="3">
        <v>58</v>
      </c>
      <c r="Z24" s="3">
        <v>17</v>
      </c>
      <c r="AA24" s="3">
        <v>13</v>
      </c>
      <c r="AB24" s="3">
        <v>28</v>
      </c>
      <c r="AC24" s="3">
        <v>27</v>
      </c>
      <c r="AD24" s="3">
        <v>28</v>
      </c>
      <c r="AE24" s="3">
        <v>71</v>
      </c>
      <c r="AF24" s="3">
        <v>42</v>
      </c>
      <c r="AG24" s="13">
        <v>1</v>
      </c>
      <c r="AI24" s="26">
        <v>44456</v>
      </c>
    </row>
    <row r="25" spans="1:35" ht="30" customHeight="1" x14ac:dyDescent="0.25">
      <c r="A25" s="17" t="s">
        <v>68</v>
      </c>
      <c r="B25" s="30" t="s">
        <v>103</v>
      </c>
      <c r="C25" s="30" t="s">
        <v>102</v>
      </c>
      <c r="D25" s="27" t="s">
        <v>171</v>
      </c>
      <c r="E25" s="31" t="s">
        <v>33</v>
      </c>
      <c r="F25" s="31" t="s">
        <v>72</v>
      </c>
      <c r="G25" s="32" t="s">
        <v>73</v>
      </c>
      <c r="H25" s="3">
        <v>49</v>
      </c>
      <c r="I25" s="3">
        <v>56</v>
      </c>
      <c r="J25" s="3">
        <v>21</v>
      </c>
      <c r="K25" s="3">
        <v>15</v>
      </c>
      <c r="L25" s="3">
        <v>116</v>
      </c>
      <c r="M25" s="3">
        <v>118</v>
      </c>
      <c r="N25" s="3">
        <v>123</v>
      </c>
      <c r="O25" s="3">
        <v>75</v>
      </c>
      <c r="P25" s="3">
        <v>42</v>
      </c>
      <c r="Q25" s="3">
        <v>106</v>
      </c>
      <c r="R25" s="3">
        <v>118</v>
      </c>
      <c r="S25" s="3">
        <v>79</v>
      </c>
      <c r="T25" s="3">
        <v>37</v>
      </c>
      <c r="U25" s="3">
        <v>28</v>
      </c>
      <c r="V25" s="3">
        <v>22</v>
      </c>
      <c r="W25" s="3">
        <v>97</v>
      </c>
      <c r="X25" s="3">
        <v>49</v>
      </c>
      <c r="Y25" s="3">
        <v>58</v>
      </c>
      <c r="Z25" s="3">
        <v>20</v>
      </c>
      <c r="AA25" s="3">
        <v>13</v>
      </c>
      <c r="AB25" s="3">
        <v>31</v>
      </c>
      <c r="AC25" s="3">
        <v>31</v>
      </c>
      <c r="AD25" s="3">
        <v>31</v>
      </c>
      <c r="AE25" s="3">
        <v>75</v>
      </c>
      <c r="AF25" s="3">
        <v>42</v>
      </c>
      <c r="AG25" s="13">
        <v>1</v>
      </c>
      <c r="AI25" s="26">
        <v>44456</v>
      </c>
    </row>
    <row r="26" spans="1:35" ht="30" customHeight="1" x14ac:dyDescent="0.25">
      <c r="A26" s="22" t="s">
        <v>69</v>
      </c>
      <c r="B26" s="30" t="s">
        <v>104</v>
      </c>
      <c r="C26" s="30" t="s">
        <v>102</v>
      </c>
      <c r="D26" s="27" t="s">
        <v>171</v>
      </c>
      <c r="E26" s="31" t="s">
        <v>33</v>
      </c>
      <c r="F26" s="31" t="s">
        <v>72</v>
      </c>
      <c r="G26" s="32" t="s">
        <v>73</v>
      </c>
      <c r="H26" s="3">
        <v>47</v>
      </c>
      <c r="I26" s="3">
        <v>59</v>
      </c>
      <c r="J26" s="3">
        <v>19</v>
      </c>
      <c r="K26" s="3">
        <v>14</v>
      </c>
      <c r="L26" s="3">
        <v>104</v>
      </c>
      <c r="M26" s="3">
        <v>96</v>
      </c>
      <c r="N26" s="3">
        <v>115</v>
      </c>
      <c r="O26" s="3">
        <v>71</v>
      </c>
      <c r="P26" s="3">
        <v>40</v>
      </c>
      <c r="Q26" s="3">
        <v>86</v>
      </c>
      <c r="R26" s="3">
        <v>112</v>
      </c>
      <c r="S26" s="3">
        <v>72</v>
      </c>
      <c r="T26" s="3">
        <v>34</v>
      </c>
      <c r="U26" s="3">
        <v>27</v>
      </c>
      <c r="V26" s="3">
        <v>22</v>
      </c>
      <c r="W26" s="3">
        <v>100</v>
      </c>
      <c r="X26" s="3">
        <v>46</v>
      </c>
      <c r="Y26" s="3">
        <v>61</v>
      </c>
      <c r="Z26" s="3">
        <v>17</v>
      </c>
      <c r="AA26" s="3">
        <v>13</v>
      </c>
      <c r="AB26" s="3">
        <v>27</v>
      </c>
      <c r="AC26" s="3">
        <v>26</v>
      </c>
      <c r="AD26" s="3">
        <v>28</v>
      </c>
      <c r="AE26" s="3">
        <v>71</v>
      </c>
      <c r="AF26" s="3">
        <v>40</v>
      </c>
      <c r="AG26" s="13">
        <v>1</v>
      </c>
      <c r="AI26" s="26">
        <v>44456</v>
      </c>
    </row>
    <row r="27" spans="1:35" ht="30" customHeight="1" x14ac:dyDescent="0.25">
      <c r="A27" s="17" t="s">
        <v>148</v>
      </c>
      <c r="B27" s="30" t="s">
        <v>105</v>
      </c>
      <c r="C27" s="30" t="s">
        <v>106</v>
      </c>
      <c r="D27" s="27" t="s">
        <v>171</v>
      </c>
      <c r="E27" s="31" t="s">
        <v>85</v>
      </c>
      <c r="F27" s="31" t="s">
        <v>72</v>
      </c>
      <c r="G27" s="32" t="s">
        <v>73</v>
      </c>
      <c r="H27" s="3">
        <v>46</v>
      </c>
      <c r="I27" s="3">
        <v>55</v>
      </c>
      <c r="J27" s="3">
        <v>20</v>
      </c>
      <c r="K27" s="3">
        <v>14</v>
      </c>
      <c r="L27" s="3">
        <v>109</v>
      </c>
      <c r="M27" s="3">
        <v>108</v>
      </c>
      <c r="N27" s="3">
        <v>123</v>
      </c>
      <c r="O27" s="3">
        <v>72</v>
      </c>
      <c r="P27" s="3" t="s">
        <v>158</v>
      </c>
      <c r="Q27" s="3">
        <v>97</v>
      </c>
      <c r="R27" s="3">
        <v>122</v>
      </c>
      <c r="S27" s="3">
        <v>70</v>
      </c>
      <c r="T27" s="3">
        <v>37</v>
      </c>
      <c r="U27" s="3">
        <v>26</v>
      </c>
      <c r="V27" s="3">
        <v>20</v>
      </c>
      <c r="W27" s="3">
        <v>96</v>
      </c>
      <c r="X27" s="3">
        <v>46</v>
      </c>
      <c r="Y27" s="3">
        <v>57</v>
      </c>
      <c r="Z27" s="3">
        <v>19</v>
      </c>
      <c r="AA27" s="3">
        <v>13</v>
      </c>
      <c r="AB27" s="3">
        <v>30</v>
      </c>
      <c r="AC27" s="3">
        <v>27</v>
      </c>
      <c r="AD27" s="3">
        <v>31</v>
      </c>
      <c r="AE27" s="3">
        <v>72</v>
      </c>
      <c r="AF27" s="3">
        <v>42</v>
      </c>
      <c r="AG27" s="13">
        <v>1</v>
      </c>
      <c r="AH27" s="13" t="s">
        <v>159</v>
      </c>
      <c r="AI27" s="26">
        <v>44456</v>
      </c>
    </row>
    <row r="28" spans="1:35" ht="30" customHeight="1" x14ac:dyDescent="0.25">
      <c r="A28" s="22" t="s">
        <v>149</v>
      </c>
      <c r="B28" s="30" t="s">
        <v>160</v>
      </c>
      <c r="C28" s="30" t="s">
        <v>102</v>
      </c>
      <c r="D28" s="27" t="s">
        <v>171</v>
      </c>
      <c r="E28" s="31" t="s">
        <v>33</v>
      </c>
      <c r="F28" s="31" t="s">
        <v>72</v>
      </c>
      <c r="G28" s="32" t="s">
        <v>73</v>
      </c>
      <c r="H28" s="3">
        <v>48</v>
      </c>
      <c r="I28" s="3">
        <v>59</v>
      </c>
      <c r="J28" s="3">
        <v>19</v>
      </c>
      <c r="K28" s="3">
        <v>14</v>
      </c>
      <c r="L28" s="3">
        <v>106</v>
      </c>
      <c r="M28" s="3">
        <v>98</v>
      </c>
      <c r="N28" s="3">
        <v>110</v>
      </c>
      <c r="O28" s="3">
        <v>69</v>
      </c>
      <c r="P28" s="3">
        <v>40</v>
      </c>
      <c r="Q28" s="3">
        <v>90</v>
      </c>
      <c r="R28" s="3">
        <v>108</v>
      </c>
      <c r="S28" s="3">
        <v>66</v>
      </c>
      <c r="T28" s="3">
        <v>34</v>
      </c>
      <c r="U28" s="3">
        <v>27</v>
      </c>
      <c r="V28" s="3">
        <v>22</v>
      </c>
      <c r="W28" s="3">
        <v>97</v>
      </c>
      <c r="X28" s="3">
        <v>48</v>
      </c>
      <c r="Y28" s="3">
        <v>60</v>
      </c>
      <c r="Z28" s="3">
        <v>18</v>
      </c>
      <c r="AA28" s="3">
        <v>13</v>
      </c>
      <c r="AB28" s="3">
        <v>28</v>
      </c>
      <c r="AC28" s="3">
        <v>27</v>
      </c>
      <c r="AD28" s="3">
        <v>28</v>
      </c>
      <c r="AE28" s="3">
        <v>69</v>
      </c>
      <c r="AF28" s="3">
        <v>40</v>
      </c>
      <c r="AG28" s="13">
        <v>1</v>
      </c>
      <c r="AI28" s="26">
        <v>44456</v>
      </c>
    </row>
    <row r="29" spans="1:35" ht="30" customHeight="1" x14ac:dyDescent="0.25">
      <c r="A29" s="17" t="s">
        <v>150</v>
      </c>
      <c r="B29" s="30" t="s">
        <v>107</v>
      </c>
      <c r="C29" s="30" t="s">
        <v>108</v>
      </c>
      <c r="D29" s="27" t="s">
        <v>171</v>
      </c>
      <c r="E29" s="31" t="s">
        <v>85</v>
      </c>
      <c r="F29" s="31" t="s">
        <v>72</v>
      </c>
      <c r="G29" s="32" t="s">
        <v>73</v>
      </c>
      <c r="H29" s="3">
        <v>41</v>
      </c>
      <c r="I29" s="3">
        <v>56</v>
      </c>
      <c r="J29" s="3">
        <v>18</v>
      </c>
      <c r="K29" s="3">
        <v>14</v>
      </c>
      <c r="L29" s="3">
        <v>96</v>
      </c>
      <c r="M29" s="3">
        <v>87</v>
      </c>
      <c r="N29" s="3">
        <v>112</v>
      </c>
      <c r="O29" s="3">
        <v>68</v>
      </c>
      <c r="P29" s="3" t="s">
        <v>162</v>
      </c>
      <c r="Q29" s="3">
        <v>78</v>
      </c>
      <c r="R29" s="3">
        <v>107</v>
      </c>
      <c r="S29" s="3">
        <v>68</v>
      </c>
      <c r="T29" s="3">
        <v>33</v>
      </c>
      <c r="U29" s="3">
        <v>24</v>
      </c>
      <c r="V29" s="3">
        <v>20</v>
      </c>
      <c r="W29" s="3">
        <v>97</v>
      </c>
      <c r="X29" s="3">
        <v>41</v>
      </c>
      <c r="Y29" s="3">
        <v>58</v>
      </c>
      <c r="Z29" s="3">
        <v>16</v>
      </c>
      <c r="AA29" s="3">
        <v>12</v>
      </c>
      <c r="AB29" s="3">
        <v>26</v>
      </c>
      <c r="AC29" s="3">
        <v>23</v>
      </c>
      <c r="AD29" s="3">
        <v>27</v>
      </c>
      <c r="AE29" s="3">
        <v>68</v>
      </c>
      <c r="AF29" s="3">
        <v>39</v>
      </c>
      <c r="AG29" s="13">
        <v>1</v>
      </c>
      <c r="AI29" s="26">
        <v>44456</v>
      </c>
    </row>
    <row r="30" spans="1:35" ht="30" customHeight="1" x14ac:dyDescent="0.25">
      <c r="A30" s="22" t="s">
        <v>151</v>
      </c>
      <c r="B30" s="30" t="s">
        <v>109</v>
      </c>
      <c r="C30" s="30" t="s">
        <v>108</v>
      </c>
      <c r="D30" s="27" t="s">
        <v>171</v>
      </c>
      <c r="E30" s="31" t="s">
        <v>85</v>
      </c>
      <c r="F30" s="31" t="s">
        <v>72</v>
      </c>
      <c r="G30" s="32" t="s">
        <v>73</v>
      </c>
      <c r="H30" s="3">
        <v>41</v>
      </c>
      <c r="I30" s="3">
        <v>56</v>
      </c>
      <c r="J30" s="3">
        <v>17</v>
      </c>
      <c r="K30" s="3">
        <v>13.5</v>
      </c>
      <c r="L30" s="3">
        <v>90</v>
      </c>
      <c r="M30" s="3">
        <v>82</v>
      </c>
      <c r="N30" s="3">
        <v>102</v>
      </c>
      <c r="O30" s="3">
        <v>68</v>
      </c>
      <c r="P30" s="3">
        <v>37</v>
      </c>
      <c r="Q30" s="3">
        <v>77</v>
      </c>
      <c r="R30" s="3">
        <v>98</v>
      </c>
      <c r="S30" s="3">
        <v>66</v>
      </c>
      <c r="T30" s="3">
        <v>32</v>
      </c>
      <c r="U30" s="3">
        <v>25</v>
      </c>
      <c r="V30" s="3">
        <v>20</v>
      </c>
      <c r="W30" s="3">
        <v>97</v>
      </c>
      <c r="X30" s="3">
        <v>41</v>
      </c>
      <c r="Y30" s="3">
        <v>58</v>
      </c>
      <c r="Z30" s="3">
        <v>16</v>
      </c>
      <c r="AA30" s="3">
        <v>12</v>
      </c>
      <c r="AB30" s="3">
        <v>26</v>
      </c>
      <c r="AC30" s="3">
        <v>24</v>
      </c>
      <c r="AD30" s="3">
        <v>27</v>
      </c>
      <c r="AE30" s="3">
        <v>68</v>
      </c>
      <c r="AF30" s="3">
        <v>37</v>
      </c>
      <c r="AG30" s="13">
        <v>1</v>
      </c>
      <c r="AH30" s="13" t="s">
        <v>161</v>
      </c>
      <c r="AI30" s="26">
        <v>44456</v>
      </c>
    </row>
    <row r="31" spans="1:35" ht="30" customHeight="1" x14ac:dyDescent="0.25">
      <c r="A31" s="17" t="s">
        <v>152</v>
      </c>
      <c r="B31" s="30" t="s">
        <v>110</v>
      </c>
      <c r="C31" s="30" t="s">
        <v>111</v>
      </c>
      <c r="D31" s="27" t="s">
        <v>171</v>
      </c>
      <c r="E31" s="31" t="s">
        <v>33</v>
      </c>
      <c r="F31" s="31" t="s">
        <v>72</v>
      </c>
      <c r="G31" s="32" t="s">
        <v>73</v>
      </c>
      <c r="H31" s="3">
        <v>47</v>
      </c>
      <c r="I31" s="3">
        <v>61</v>
      </c>
      <c r="J31" s="3">
        <v>20</v>
      </c>
      <c r="K31" s="3">
        <v>15</v>
      </c>
      <c r="L31" s="3">
        <v>108</v>
      </c>
      <c r="M31" s="3">
        <v>104</v>
      </c>
      <c r="N31" s="3">
        <v>114</v>
      </c>
      <c r="O31" s="3">
        <v>71</v>
      </c>
      <c r="P31" s="3">
        <v>40</v>
      </c>
      <c r="Q31" s="3">
        <v>90</v>
      </c>
      <c r="R31" s="3">
        <v>107</v>
      </c>
      <c r="S31" s="3">
        <v>76</v>
      </c>
      <c r="T31" s="3">
        <v>35</v>
      </c>
      <c r="U31" s="3">
        <v>27</v>
      </c>
      <c r="V31" s="3">
        <v>22</v>
      </c>
      <c r="W31" s="3">
        <v>102</v>
      </c>
      <c r="X31" s="3">
        <v>47</v>
      </c>
      <c r="Y31" s="3">
        <v>63</v>
      </c>
      <c r="Z31" s="3">
        <v>18</v>
      </c>
      <c r="AA31" s="3">
        <v>13</v>
      </c>
      <c r="AB31" s="3">
        <v>29</v>
      </c>
      <c r="AC31" s="3">
        <v>28</v>
      </c>
      <c r="AD31" s="3">
        <v>29</v>
      </c>
      <c r="AE31" s="3">
        <v>71</v>
      </c>
      <c r="AF31" s="3">
        <v>40</v>
      </c>
      <c r="AG31" s="13">
        <v>1</v>
      </c>
      <c r="AI31" s="26">
        <v>44456</v>
      </c>
    </row>
    <row r="32" spans="1:35" ht="30" customHeight="1" x14ac:dyDescent="0.25">
      <c r="A32" s="22" t="s">
        <v>153</v>
      </c>
      <c r="B32" s="30" t="s">
        <v>112</v>
      </c>
      <c r="C32" s="30" t="s">
        <v>113</v>
      </c>
      <c r="D32" s="27" t="s">
        <v>171</v>
      </c>
      <c r="E32" s="31" t="s">
        <v>85</v>
      </c>
      <c r="F32" s="31" t="s">
        <v>72</v>
      </c>
      <c r="G32" s="32" t="s">
        <v>73</v>
      </c>
      <c r="H32" s="3">
        <v>43</v>
      </c>
      <c r="I32" s="3">
        <v>58</v>
      </c>
      <c r="J32" s="3">
        <v>18</v>
      </c>
      <c r="K32" s="3">
        <v>14</v>
      </c>
      <c r="L32" s="3">
        <v>100</v>
      </c>
      <c r="M32" s="3">
        <v>97</v>
      </c>
      <c r="N32" s="3">
        <v>120</v>
      </c>
      <c r="O32" s="3">
        <v>69</v>
      </c>
      <c r="P32" s="3">
        <v>40</v>
      </c>
      <c r="Q32" s="3">
        <v>90</v>
      </c>
      <c r="R32" s="3">
        <v>115</v>
      </c>
      <c r="S32" s="3">
        <v>67</v>
      </c>
      <c r="T32" s="3">
        <v>35</v>
      </c>
      <c r="U32" s="3">
        <v>26</v>
      </c>
      <c r="V32" s="3">
        <v>20</v>
      </c>
      <c r="W32" s="3">
        <v>96</v>
      </c>
      <c r="X32" s="3">
        <v>43</v>
      </c>
      <c r="Y32" s="3">
        <v>60</v>
      </c>
      <c r="Z32" s="3">
        <v>17</v>
      </c>
      <c r="AA32" s="3">
        <v>13</v>
      </c>
      <c r="AB32" s="3">
        <v>28</v>
      </c>
      <c r="AC32" s="3">
        <v>26</v>
      </c>
      <c r="AD32" s="3">
        <v>29</v>
      </c>
      <c r="AE32" s="3">
        <v>69</v>
      </c>
      <c r="AF32" s="3">
        <v>40</v>
      </c>
      <c r="AG32" s="13">
        <v>1</v>
      </c>
      <c r="AI32" s="26">
        <v>44456</v>
      </c>
    </row>
    <row r="33" spans="1:37" ht="30" customHeight="1" x14ac:dyDescent="0.25">
      <c r="A33" s="17" t="s">
        <v>154</v>
      </c>
      <c r="B33" s="30" t="s">
        <v>114</v>
      </c>
      <c r="C33" s="30" t="s">
        <v>115</v>
      </c>
      <c r="D33" s="27" t="s">
        <v>171</v>
      </c>
      <c r="E33" s="31" t="s">
        <v>85</v>
      </c>
      <c r="F33" s="31" t="s">
        <v>72</v>
      </c>
      <c r="G33" s="32" t="s">
        <v>73</v>
      </c>
      <c r="H33" s="3">
        <v>44</v>
      </c>
      <c r="I33" s="3">
        <v>59</v>
      </c>
      <c r="J33" s="3">
        <v>18</v>
      </c>
      <c r="K33" s="3">
        <v>14</v>
      </c>
      <c r="L33" s="3">
        <v>99</v>
      </c>
      <c r="M33" s="3">
        <v>93</v>
      </c>
      <c r="N33" s="3">
        <v>114</v>
      </c>
      <c r="O33" s="3">
        <v>69</v>
      </c>
      <c r="P33" s="3">
        <v>42</v>
      </c>
      <c r="Q33" s="3">
        <v>88</v>
      </c>
      <c r="R33" s="3">
        <v>109</v>
      </c>
      <c r="S33" s="3">
        <v>68</v>
      </c>
      <c r="T33" s="3">
        <v>35</v>
      </c>
      <c r="U33" s="3">
        <v>25</v>
      </c>
      <c r="V33" s="3">
        <v>20</v>
      </c>
      <c r="W33" s="3">
        <v>94</v>
      </c>
      <c r="X33" s="3">
        <v>44</v>
      </c>
      <c r="Y33" s="3">
        <v>61</v>
      </c>
      <c r="Z33" s="3">
        <v>17</v>
      </c>
      <c r="AA33" s="3">
        <v>13</v>
      </c>
      <c r="AB33" s="3">
        <v>27</v>
      </c>
      <c r="AC33" s="3">
        <v>24</v>
      </c>
      <c r="AD33" s="3">
        <v>27</v>
      </c>
      <c r="AE33" s="3">
        <v>69</v>
      </c>
      <c r="AF33" s="3">
        <v>42</v>
      </c>
      <c r="AG33" s="13">
        <v>1</v>
      </c>
      <c r="AI33" s="26">
        <v>44456</v>
      </c>
    </row>
    <row r="34" spans="1:37" ht="30" customHeight="1" x14ac:dyDescent="0.25">
      <c r="A34" s="22" t="s">
        <v>220</v>
      </c>
      <c r="B34" s="30" t="s">
        <v>195</v>
      </c>
      <c r="C34" s="30" t="s">
        <v>91</v>
      </c>
      <c r="D34" s="27" t="s">
        <v>196</v>
      </c>
      <c r="E34" s="31" t="s">
        <v>33</v>
      </c>
      <c r="F34" s="31" t="s">
        <v>72</v>
      </c>
      <c r="G34" s="32" t="s">
        <v>73</v>
      </c>
      <c r="H34" s="3">
        <v>46</v>
      </c>
      <c r="I34" s="3">
        <v>59</v>
      </c>
      <c r="J34" s="3">
        <v>19</v>
      </c>
      <c r="K34" s="3">
        <v>14</v>
      </c>
      <c r="L34" s="3">
        <v>105</v>
      </c>
      <c r="M34" s="3">
        <v>96</v>
      </c>
      <c r="N34" s="3">
        <v>109</v>
      </c>
      <c r="O34" s="3">
        <v>72</v>
      </c>
      <c r="Q34" s="3">
        <v>86</v>
      </c>
      <c r="R34" s="3">
        <v>103</v>
      </c>
      <c r="S34" s="3">
        <v>69</v>
      </c>
      <c r="T34" s="3">
        <v>34</v>
      </c>
      <c r="U34" s="3">
        <v>28</v>
      </c>
      <c r="V34" s="3">
        <v>21</v>
      </c>
      <c r="W34" s="3">
        <v>100</v>
      </c>
      <c r="X34" s="3">
        <v>46</v>
      </c>
      <c r="Y34" s="3">
        <v>60</v>
      </c>
      <c r="Z34" s="3">
        <v>17</v>
      </c>
      <c r="AA34" s="3">
        <v>13</v>
      </c>
      <c r="AB34" s="3">
        <v>28</v>
      </c>
      <c r="AC34" s="3">
        <v>26</v>
      </c>
      <c r="AD34" s="3">
        <v>28</v>
      </c>
      <c r="AE34" s="3">
        <v>72</v>
      </c>
      <c r="AG34" s="13">
        <v>2</v>
      </c>
      <c r="AI34" s="39" t="s">
        <v>226</v>
      </c>
    </row>
    <row r="35" spans="1:37" ht="30" customHeight="1" x14ac:dyDescent="0.25">
      <c r="A35" s="17" t="s">
        <v>221</v>
      </c>
      <c r="B35" s="30" t="s">
        <v>197</v>
      </c>
      <c r="C35" s="30" t="s">
        <v>100</v>
      </c>
      <c r="D35" s="27" t="s">
        <v>196</v>
      </c>
      <c r="E35" s="31" t="s">
        <v>85</v>
      </c>
      <c r="F35" s="31" t="s">
        <v>72</v>
      </c>
      <c r="G35" s="32" t="s">
        <v>73</v>
      </c>
      <c r="H35" s="3">
        <v>41</v>
      </c>
      <c r="I35" s="3">
        <v>55</v>
      </c>
      <c r="J35" s="3">
        <v>19</v>
      </c>
      <c r="K35" s="3">
        <v>14</v>
      </c>
      <c r="L35" s="3">
        <v>108</v>
      </c>
      <c r="M35" s="3">
        <v>102</v>
      </c>
      <c r="N35" s="3">
        <v>115</v>
      </c>
      <c r="O35" s="3">
        <v>68</v>
      </c>
      <c r="Q35" s="3">
        <v>90</v>
      </c>
      <c r="R35" s="3">
        <v>110</v>
      </c>
      <c r="S35" s="3">
        <v>71</v>
      </c>
      <c r="T35" s="3">
        <v>34</v>
      </c>
      <c r="U35" s="3">
        <v>26</v>
      </c>
      <c r="V35" s="3">
        <v>19</v>
      </c>
      <c r="W35" s="3">
        <v>94</v>
      </c>
      <c r="X35" s="3">
        <v>41</v>
      </c>
      <c r="Y35" s="3">
        <v>56</v>
      </c>
      <c r="Z35" s="3">
        <v>17</v>
      </c>
      <c r="AA35" s="3">
        <v>12</v>
      </c>
      <c r="AB35" s="3">
        <v>28</v>
      </c>
      <c r="AC35" s="3">
        <v>26</v>
      </c>
      <c r="AD35" s="3">
        <v>28</v>
      </c>
      <c r="AE35" s="3">
        <v>68</v>
      </c>
      <c r="AG35" s="13">
        <v>2</v>
      </c>
      <c r="AI35" s="39" t="s">
        <v>226</v>
      </c>
    </row>
    <row r="36" spans="1:37" ht="30" customHeight="1" x14ac:dyDescent="0.25">
      <c r="A36" s="22" t="s">
        <v>222</v>
      </c>
      <c r="B36" s="30" t="s">
        <v>198</v>
      </c>
      <c r="C36" s="30" t="s">
        <v>102</v>
      </c>
      <c r="D36" s="27" t="s">
        <v>196</v>
      </c>
      <c r="E36" s="31" t="s">
        <v>33</v>
      </c>
      <c r="F36" s="31" t="s">
        <v>72</v>
      </c>
      <c r="G36" s="32" t="s">
        <v>73</v>
      </c>
      <c r="H36" s="3">
        <v>46</v>
      </c>
      <c r="I36" s="3">
        <v>63</v>
      </c>
      <c r="J36" s="3">
        <v>19</v>
      </c>
      <c r="K36" s="3">
        <v>14</v>
      </c>
      <c r="L36" s="3">
        <v>105</v>
      </c>
      <c r="M36" s="3">
        <v>95</v>
      </c>
      <c r="N36" s="3">
        <v>110</v>
      </c>
      <c r="O36" s="3">
        <v>74</v>
      </c>
      <c r="Q36" s="3">
        <v>87</v>
      </c>
      <c r="R36" s="3">
        <v>105</v>
      </c>
      <c r="S36" s="3">
        <v>72</v>
      </c>
      <c r="T36" s="3">
        <v>34</v>
      </c>
      <c r="U36" s="3">
        <v>26</v>
      </c>
      <c r="V36" s="3">
        <v>21</v>
      </c>
      <c r="W36" s="3">
        <v>99</v>
      </c>
      <c r="X36" s="3">
        <v>46</v>
      </c>
      <c r="Y36" s="3">
        <v>64</v>
      </c>
      <c r="Z36" s="3">
        <v>18</v>
      </c>
      <c r="AA36" s="3">
        <v>13</v>
      </c>
      <c r="AB36" s="3">
        <v>28</v>
      </c>
      <c r="AC36" s="3">
        <v>26</v>
      </c>
      <c r="AD36" s="3">
        <v>28</v>
      </c>
      <c r="AE36" s="3">
        <v>74</v>
      </c>
      <c r="AG36" s="13">
        <v>2</v>
      </c>
      <c r="AI36" s="39" t="s">
        <v>226</v>
      </c>
    </row>
    <row r="37" spans="1:37" ht="30" customHeight="1" x14ac:dyDescent="0.25">
      <c r="A37" s="17" t="s">
        <v>223</v>
      </c>
      <c r="B37" s="30" t="s">
        <v>216</v>
      </c>
      <c r="C37" s="30" t="s">
        <v>78</v>
      </c>
      <c r="D37" s="27" t="s">
        <v>215</v>
      </c>
      <c r="E37" s="31" t="s">
        <v>33</v>
      </c>
      <c r="F37" s="31" t="s">
        <v>72</v>
      </c>
      <c r="G37" s="32" t="s">
        <v>73</v>
      </c>
      <c r="H37" s="3">
        <v>46</v>
      </c>
      <c r="I37" s="3">
        <v>54</v>
      </c>
      <c r="J37" s="3">
        <v>19</v>
      </c>
      <c r="K37" s="3">
        <v>14</v>
      </c>
      <c r="L37" s="3">
        <v>107</v>
      </c>
      <c r="M37" s="3">
        <v>102</v>
      </c>
      <c r="N37" s="3">
        <v>112</v>
      </c>
      <c r="O37" s="3">
        <v>69</v>
      </c>
      <c r="Q37" s="3">
        <v>95</v>
      </c>
      <c r="R37" s="3">
        <v>107</v>
      </c>
      <c r="S37" s="3">
        <v>66</v>
      </c>
      <c r="T37" s="3">
        <v>35</v>
      </c>
      <c r="U37" s="3">
        <v>26</v>
      </c>
      <c r="V37" s="3">
        <v>21</v>
      </c>
      <c r="W37" s="3">
        <v>95</v>
      </c>
      <c r="X37" s="3">
        <v>46</v>
      </c>
      <c r="Y37" s="3">
        <v>56</v>
      </c>
      <c r="Z37" s="3">
        <v>18</v>
      </c>
      <c r="AA37" s="3">
        <v>13</v>
      </c>
      <c r="AB37" s="3">
        <v>29</v>
      </c>
      <c r="AC37" s="3">
        <v>27</v>
      </c>
      <c r="AD37" s="13">
        <v>29</v>
      </c>
      <c r="AE37" s="13">
        <v>69</v>
      </c>
      <c r="AG37" s="13">
        <v>2</v>
      </c>
      <c r="AI37" s="39" t="s">
        <v>226</v>
      </c>
    </row>
    <row r="38" spans="1:37" ht="30" customHeight="1" x14ac:dyDescent="0.25">
      <c r="A38" s="22" t="s">
        <v>224</v>
      </c>
      <c r="B38" s="30" t="s">
        <v>217</v>
      </c>
      <c r="C38" s="30" t="s">
        <v>91</v>
      </c>
      <c r="D38" s="27" t="s">
        <v>215</v>
      </c>
      <c r="E38" s="31" t="s">
        <v>33</v>
      </c>
      <c r="F38" s="31" t="s">
        <v>72</v>
      </c>
      <c r="G38" s="32" t="s">
        <v>73</v>
      </c>
      <c r="H38" s="3">
        <v>45</v>
      </c>
      <c r="I38" s="3">
        <v>56</v>
      </c>
      <c r="J38" s="3">
        <v>19</v>
      </c>
      <c r="K38" s="3">
        <v>17</v>
      </c>
      <c r="L38" s="3">
        <v>108</v>
      </c>
      <c r="M38" s="3">
        <v>100</v>
      </c>
      <c r="N38" s="3">
        <v>114</v>
      </c>
      <c r="O38" s="3">
        <v>70</v>
      </c>
      <c r="Q38" s="3">
        <v>94</v>
      </c>
      <c r="R38" s="3">
        <v>109</v>
      </c>
      <c r="S38" s="3">
        <v>66</v>
      </c>
      <c r="T38" s="3">
        <v>34</v>
      </c>
      <c r="U38" s="3">
        <v>26</v>
      </c>
      <c r="V38" s="3">
        <v>21</v>
      </c>
      <c r="W38" s="3">
        <v>96</v>
      </c>
      <c r="X38" s="3">
        <v>45</v>
      </c>
      <c r="Y38" s="3">
        <v>58</v>
      </c>
      <c r="Z38" s="3">
        <v>18</v>
      </c>
      <c r="AA38" s="3">
        <v>13</v>
      </c>
      <c r="AB38" s="3">
        <v>28</v>
      </c>
      <c r="AC38" s="3">
        <v>27</v>
      </c>
      <c r="AD38" s="13">
        <v>28</v>
      </c>
      <c r="AE38" s="13">
        <v>70</v>
      </c>
      <c r="AG38" s="13">
        <v>2</v>
      </c>
      <c r="AI38" s="39" t="s">
        <v>226</v>
      </c>
    </row>
    <row r="39" spans="1:37" ht="30" customHeight="1" x14ac:dyDescent="0.25">
      <c r="A39" s="17" t="s">
        <v>225</v>
      </c>
      <c r="B39" s="30" t="s">
        <v>218</v>
      </c>
      <c r="C39" s="30" t="s">
        <v>111</v>
      </c>
      <c r="D39" s="27" t="s">
        <v>215</v>
      </c>
      <c r="E39" s="31" t="s">
        <v>33</v>
      </c>
      <c r="F39" s="31" t="s">
        <v>72</v>
      </c>
      <c r="G39" s="32" t="s">
        <v>73</v>
      </c>
      <c r="H39" s="3">
        <v>47</v>
      </c>
      <c r="I39" s="3">
        <v>56</v>
      </c>
      <c r="J39" s="3">
        <v>18</v>
      </c>
      <c r="K39" s="3">
        <v>14</v>
      </c>
      <c r="L39" s="3">
        <v>101</v>
      </c>
      <c r="M39" s="3">
        <v>94</v>
      </c>
      <c r="N39" s="3">
        <v>106</v>
      </c>
      <c r="O39" s="3">
        <v>71</v>
      </c>
      <c r="Q39" s="3">
        <v>86</v>
      </c>
      <c r="R39" s="3">
        <v>104</v>
      </c>
      <c r="S39" s="3">
        <v>69</v>
      </c>
      <c r="T39" s="3">
        <v>33</v>
      </c>
      <c r="U39" s="3">
        <v>26</v>
      </c>
      <c r="V39" s="3">
        <v>21</v>
      </c>
      <c r="W39" s="3">
        <v>98</v>
      </c>
      <c r="X39" s="3">
        <v>46</v>
      </c>
      <c r="Y39" s="3">
        <v>58</v>
      </c>
      <c r="Z39" s="3">
        <v>17</v>
      </c>
      <c r="AA39" s="3">
        <v>13</v>
      </c>
      <c r="AB39" s="3">
        <v>28</v>
      </c>
      <c r="AC39" s="3">
        <v>26</v>
      </c>
      <c r="AD39" s="13">
        <v>28</v>
      </c>
      <c r="AE39" s="13">
        <v>71</v>
      </c>
      <c r="AG39" s="13">
        <v>2</v>
      </c>
      <c r="AI39" s="39" t="s">
        <v>226</v>
      </c>
    </row>
    <row r="40" spans="1:37" ht="30" customHeight="1" x14ac:dyDescent="0.25">
      <c r="A40" s="22" t="s">
        <v>174</v>
      </c>
      <c r="B40" s="30" t="s">
        <v>116</v>
      </c>
      <c r="C40" s="30" t="s">
        <v>117</v>
      </c>
      <c r="D40" s="27" t="s">
        <v>171</v>
      </c>
      <c r="E40" s="31" t="s">
        <v>85</v>
      </c>
      <c r="F40" s="31" t="s">
        <v>118</v>
      </c>
      <c r="G40" s="32" t="s">
        <v>165</v>
      </c>
      <c r="H40" s="3">
        <v>41</v>
      </c>
      <c r="I40" s="3">
        <v>53</v>
      </c>
      <c r="J40" s="3">
        <v>18</v>
      </c>
      <c r="K40" s="3">
        <v>14</v>
      </c>
      <c r="L40" s="3">
        <v>105</v>
      </c>
      <c r="M40" s="3">
        <v>98</v>
      </c>
      <c r="N40" s="3">
        <v>115</v>
      </c>
      <c r="O40" s="3">
        <v>66</v>
      </c>
      <c r="P40" s="3">
        <v>36</v>
      </c>
      <c r="Q40" s="3">
        <v>93</v>
      </c>
      <c r="R40" s="3">
        <v>114</v>
      </c>
      <c r="S40" s="3">
        <v>69</v>
      </c>
      <c r="T40" s="3">
        <v>35</v>
      </c>
      <c r="U40" s="3">
        <v>24</v>
      </c>
      <c r="V40" s="3">
        <v>19</v>
      </c>
      <c r="W40" s="3">
        <v>90</v>
      </c>
      <c r="AG40" s="13">
        <v>1</v>
      </c>
      <c r="AI40" s="26">
        <v>44456</v>
      </c>
      <c r="AK40" s="2" t="s">
        <v>246</v>
      </c>
    </row>
    <row r="41" spans="1:37" ht="30" customHeight="1" x14ac:dyDescent="0.25">
      <c r="A41" s="17" t="s">
        <v>175</v>
      </c>
      <c r="B41" s="30" t="s">
        <v>120</v>
      </c>
      <c r="C41" s="30" t="s">
        <v>121</v>
      </c>
      <c r="D41" s="27" t="s">
        <v>171</v>
      </c>
      <c r="E41" s="31" t="s">
        <v>85</v>
      </c>
      <c r="F41" s="31" t="s">
        <v>118</v>
      </c>
      <c r="G41" s="32" t="s">
        <v>119</v>
      </c>
      <c r="H41" s="3">
        <v>41</v>
      </c>
      <c r="I41" s="3">
        <v>55</v>
      </c>
      <c r="J41" s="3">
        <v>17</v>
      </c>
      <c r="K41" s="3">
        <v>13.5</v>
      </c>
      <c r="L41" s="3">
        <v>96</v>
      </c>
      <c r="M41" s="3">
        <v>88</v>
      </c>
      <c r="N41" s="3">
        <v>110</v>
      </c>
      <c r="O41" s="3">
        <v>69</v>
      </c>
      <c r="P41" s="3">
        <v>39</v>
      </c>
      <c r="Q41" s="56">
        <v>80</v>
      </c>
      <c r="R41" s="56">
        <v>106</v>
      </c>
      <c r="S41" s="56">
        <v>68</v>
      </c>
      <c r="T41" s="56">
        <v>34</v>
      </c>
      <c r="U41" s="56">
        <v>26</v>
      </c>
      <c r="V41" s="56">
        <v>20</v>
      </c>
      <c r="W41" s="56">
        <v>94</v>
      </c>
      <c r="AG41" s="13">
        <v>1</v>
      </c>
      <c r="AI41" s="26">
        <v>44456</v>
      </c>
      <c r="AK41" s="2">
        <v>1</v>
      </c>
    </row>
    <row r="42" spans="1:37" ht="30" customHeight="1" x14ac:dyDescent="0.25">
      <c r="A42" s="22" t="s">
        <v>176</v>
      </c>
      <c r="B42" s="30" t="s">
        <v>122</v>
      </c>
      <c r="C42" s="30" t="s">
        <v>123</v>
      </c>
      <c r="D42" s="27" t="s">
        <v>171</v>
      </c>
      <c r="E42" s="31" t="s">
        <v>85</v>
      </c>
      <c r="F42" s="31" t="s">
        <v>118</v>
      </c>
      <c r="G42" s="32" t="s">
        <v>119</v>
      </c>
      <c r="H42" s="3">
        <v>43</v>
      </c>
      <c r="I42" s="3">
        <v>56</v>
      </c>
      <c r="J42" s="3">
        <v>19</v>
      </c>
      <c r="K42" s="3">
        <v>14</v>
      </c>
      <c r="L42" s="3">
        <v>116</v>
      </c>
      <c r="M42" s="3">
        <v>105</v>
      </c>
      <c r="N42" s="3">
        <v>123</v>
      </c>
      <c r="O42" s="3">
        <v>73</v>
      </c>
      <c r="P42" s="3">
        <v>42</v>
      </c>
      <c r="Q42" s="56">
        <v>96</v>
      </c>
      <c r="R42" s="56">
        <v>118</v>
      </c>
      <c r="S42" s="56">
        <v>76</v>
      </c>
      <c r="T42" s="56">
        <v>36</v>
      </c>
      <c r="U42" s="56">
        <v>26</v>
      </c>
      <c r="V42" s="56">
        <v>22</v>
      </c>
      <c r="W42" s="56">
        <v>101</v>
      </c>
      <c r="AG42" s="13">
        <v>1</v>
      </c>
      <c r="AI42" s="26">
        <v>44456</v>
      </c>
      <c r="AK42" s="2">
        <v>1</v>
      </c>
    </row>
    <row r="43" spans="1:37" ht="30" customHeight="1" x14ac:dyDescent="0.25">
      <c r="A43" s="17" t="s">
        <v>177</v>
      </c>
      <c r="B43" s="30" t="s">
        <v>124</v>
      </c>
      <c r="C43" s="30" t="s">
        <v>125</v>
      </c>
      <c r="D43" s="27" t="s">
        <v>171</v>
      </c>
      <c r="E43" s="31" t="s">
        <v>85</v>
      </c>
      <c r="F43" s="31" t="s">
        <v>118</v>
      </c>
      <c r="G43" s="32" t="s">
        <v>119</v>
      </c>
      <c r="H43" s="3">
        <v>45</v>
      </c>
      <c r="I43" s="3">
        <v>60</v>
      </c>
      <c r="J43" s="3">
        <v>19</v>
      </c>
      <c r="K43" s="3">
        <v>14</v>
      </c>
      <c r="L43" s="3">
        <v>106</v>
      </c>
      <c r="M43" s="3">
        <v>100</v>
      </c>
      <c r="N43" s="3">
        <v>116</v>
      </c>
      <c r="O43" s="3">
        <v>68</v>
      </c>
      <c r="P43" s="3">
        <v>40</v>
      </c>
      <c r="AG43" s="13">
        <v>1</v>
      </c>
      <c r="AI43" s="26">
        <v>44456</v>
      </c>
    </row>
    <row r="44" spans="1:37" ht="30" customHeight="1" x14ac:dyDescent="0.25">
      <c r="A44" s="22" t="s">
        <v>178</v>
      </c>
      <c r="B44" s="30" t="s">
        <v>126</v>
      </c>
      <c r="C44" s="30" t="s">
        <v>127</v>
      </c>
      <c r="D44" s="27" t="s">
        <v>171</v>
      </c>
      <c r="E44" s="31" t="s">
        <v>85</v>
      </c>
      <c r="F44" s="31" t="s">
        <v>118</v>
      </c>
      <c r="G44" s="32" t="s">
        <v>119</v>
      </c>
      <c r="H44" s="3">
        <v>40</v>
      </c>
      <c r="I44" s="3">
        <v>55</v>
      </c>
      <c r="J44" s="3">
        <v>16</v>
      </c>
      <c r="K44" s="3">
        <v>13.5</v>
      </c>
      <c r="L44" s="3">
        <v>93</v>
      </c>
      <c r="M44" s="3">
        <v>85</v>
      </c>
      <c r="N44" s="3">
        <v>102</v>
      </c>
      <c r="O44" s="3">
        <v>67</v>
      </c>
      <c r="P44" s="3">
        <v>37</v>
      </c>
      <c r="Q44" s="56">
        <v>79</v>
      </c>
      <c r="R44" s="56">
        <v>97</v>
      </c>
      <c r="S44" s="56">
        <v>66</v>
      </c>
      <c r="T44" s="56">
        <v>33</v>
      </c>
      <c r="U44" s="56">
        <v>24</v>
      </c>
      <c r="V44" s="56">
        <v>20</v>
      </c>
      <c r="W44" s="56">
        <v>94</v>
      </c>
      <c r="AG44" s="13">
        <v>1</v>
      </c>
      <c r="AI44" s="26">
        <v>44456</v>
      </c>
      <c r="AK44" s="2">
        <v>1</v>
      </c>
    </row>
    <row r="45" spans="1:37" ht="30" customHeight="1" x14ac:dyDescent="0.25">
      <c r="A45" s="17" t="s">
        <v>179</v>
      </c>
      <c r="B45" s="30" t="s">
        <v>130</v>
      </c>
      <c r="C45" s="30" t="s">
        <v>131</v>
      </c>
      <c r="D45" s="27" t="s">
        <v>171</v>
      </c>
      <c r="E45" s="31" t="s">
        <v>85</v>
      </c>
      <c r="F45" s="31" t="s">
        <v>118</v>
      </c>
      <c r="G45" s="32" t="s">
        <v>119</v>
      </c>
      <c r="H45" s="3">
        <v>41</v>
      </c>
      <c r="I45" s="3">
        <v>53</v>
      </c>
      <c r="J45" s="3">
        <v>18</v>
      </c>
      <c r="K45" s="3">
        <v>14</v>
      </c>
      <c r="L45" s="3">
        <v>104</v>
      </c>
      <c r="M45" s="3">
        <v>93</v>
      </c>
      <c r="N45" s="3">
        <v>115</v>
      </c>
      <c r="O45" s="3">
        <v>70</v>
      </c>
      <c r="P45" s="3">
        <v>40</v>
      </c>
      <c r="Q45" s="56">
        <v>86</v>
      </c>
      <c r="R45" s="56">
        <v>112</v>
      </c>
      <c r="S45" s="56">
        <v>71</v>
      </c>
      <c r="T45" s="56">
        <v>36</v>
      </c>
      <c r="U45" s="56">
        <v>25</v>
      </c>
      <c r="V45" s="56">
        <v>19</v>
      </c>
      <c r="W45" s="56">
        <v>95</v>
      </c>
      <c r="AG45" s="13">
        <v>1</v>
      </c>
      <c r="AI45" s="26">
        <v>44456</v>
      </c>
      <c r="AK45" s="2">
        <v>1</v>
      </c>
    </row>
    <row r="46" spans="1:37" ht="30" customHeight="1" x14ac:dyDescent="0.25">
      <c r="A46" s="22" t="s">
        <v>180</v>
      </c>
      <c r="B46" s="30" t="s">
        <v>144</v>
      </c>
      <c r="C46" s="30" t="s">
        <v>129</v>
      </c>
      <c r="D46" s="27" t="s">
        <v>171</v>
      </c>
      <c r="E46" s="31" t="s">
        <v>85</v>
      </c>
      <c r="F46" s="31" t="s">
        <v>118</v>
      </c>
      <c r="G46" s="32" t="s">
        <v>163</v>
      </c>
      <c r="H46" s="3">
        <v>40</v>
      </c>
      <c r="I46" s="3">
        <v>57</v>
      </c>
      <c r="J46" s="3">
        <v>16</v>
      </c>
      <c r="K46" s="3">
        <v>13.5</v>
      </c>
      <c r="L46" s="3">
        <v>89</v>
      </c>
      <c r="M46" s="3">
        <v>82</v>
      </c>
      <c r="N46" s="3">
        <v>103</v>
      </c>
      <c r="O46" s="3">
        <v>69</v>
      </c>
      <c r="P46" s="3">
        <v>37</v>
      </c>
      <c r="Q46" s="56">
        <v>73</v>
      </c>
      <c r="R46" s="56">
        <v>98</v>
      </c>
      <c r="S46" s="56">
        <v>66</v>
      </c>
      <c r="T46" s="56">
        <v>30</v>
      </c>
      <c r="U46" s="56">
        <v>23</v>
      </c>
      <c r="V46" s="56">
        <v>19</v>
      </c>
      <c r="W46" s="56">
        <v>98</v>
      </c>
      <c r="AG46" s="13">
        <v>1</v>
      </c>
      <c r="AH46" s="13" t="s">
        <v>166</v>
      </c>
      <c r="AI46" s="26">
        <v>44456</v>
      </c>
      <c r="AK46" s="2">
        <v>1</v>
      </c>
    </row>
    <row r="47" spans="1:37" ht="30" customHeight="1" x14ac:dyDescent="0.25">
      <c r="A47" s="17" t="s">
        <v>181</v>
      </c>
      <c r="B47" s="30" t="s">
        <v>139</v>
      </c>
      <c r="C47" s="30" t="s">
        <v>129</v>
      </c>
      <c r="D47" s="27" t="s">
        <v>171</v>
      </c>
      <c r="E47" s="31" t="s">
        <v>85</v>
      </c>
      <c r="F47" s="31" t="s">
        <v>118</v>
      </c>
      <c r="G47" s="32" t="s">
        <v>119</v>
      </c>
      <c r="H47" s="3">
        <v>43</v>
      </c>
      <c r="I47" s="3">
        <v>54</v>
      </c>
      <c r="J47" s="3">
        <v>20</v>
      </c>
      <c r="K47" s="3">
        <v>14</v>
      </c>
      <c r="L47" s="3">
        <v>109</v>
      </c>
      <c r="M47" s="3">
        <v>99</v>
      </c>
      <c r="N47" s="3">
        <v>121</v>
      </c>
      <c r="O47" s="3">
        <v>69</v>
      </c>
      <c r="P47" s="3">
        <v>39</v>
      </c>
      <c r="Q47" s="56">
        <v>91</v>
      </c>
      <c r="R47" s="56">
        <v>122</v>
      </c>
      <c r="S47" s="56">
        <v>72</v>
      </c>
      <c r="T47" s="56">
        <v>38</v>
      </c>
      <c r="U47" s="56">
        <v>27</v>
      </c>
      <c r="V47" s="56">
        <v>21</v>
      </c>
      <c r="W47" s="56">
        <v>94</v>
      </c>
      <c r="AG47" s="13">
        <v>1</v>
      </c>
      <c r="AI47" s="26">
        <v>44456</v>
      </c>
      <c r="AK47" s="2">
        <v>1</v>
      </c>
    </row>
    <row r="48" spans="1:37" ht="30" customHeight="1" x14ac:dyDescent="0.25">
      <c r="A48" s="22" t="s">
        <v>182</v>
      </c>
      <c r="B48" s="30" t="s">
        <v>137</v>
      </c>
      <c r="C48" s="30" t="s">
        <v>129</v>
      </c>
      <c r="D48" s="27" t="s">
        <v>171</v>
      </c>
      <c r="E48" s="31" t="s">
        <v>85</v>
      </c>
      <c r="F48" s="31" t="s">
        <v>118</v>
      </c>
      <c r="G48" s="32" t="s">
        <v>119</v>
      </c>
      <c r="H48" s="3">
        <v>43</v>
      </c>
      <c r="I48" s="3">
        <v>55</v>
      </c>
      <c r="J48" s="3">
        <v>18</v>
      </c>
      <c r="K48" s="3">
        <v>14</v>
      </c>
      <c r="L48" s="3">
        <v>109</v>
      </c>
      <c r="M48" s="3">
        <v>98</v>
      </c>
      <c r="N48" s="3">
        <v>125</v>
      </c>
      <c r="O48" s="3">
        <v>70</v>
      </c>
      <c r="P48" s="3">
        <v>41</v>
      </c>
      <c r="Q48" s="56">
        <v>89</v>
      </c>
      <c r="R48" s="56">
        <v>127</v>
      </c>
      <c r="S48" s="56">
        <v>75</v>
      </c>
      <c r="T48" s="56">
        <v>38</v>
      </c>
      <c r="U48" s="56">
        <v>26</v>
      </c>
      <c r="V48" s="56">
        <v>20</v>
      </c>
      <c r="W48" s="56">
        <v>96</v>
      </c>
      <c r="AG48" s="13">
        <v>1</v>
      </c>
      <c r="AI48" s="26">
        <v>44456</v>
      </c>
      <c r="AK48" s="2">
        <v>1</v>
      </c>
    </row>
    <row r="49" spans="1:1003" ht="30" customHeight="1" x14ac:dyDescent="0.25">
      <c r="A49" s="17" t="s">
        <v>183</v>
      </c>
      <c r="B49" s="30" t="s">
        <v>143</v>
      </c>
      <c r="C49" s="30" t="s">
        <v>129</v>
      </c>
      <c r="D49" s="27" t="s">
        <v>171</v>
      </c>
      <c r="E49" s="31" t="s">
        <v>85</v>
      </c>
      <c r="F49" s="31" t="s">
        <v>118</v>
      </c>
      <c r="G49" s="32" t="s">
        <v>119</v>
      </c>
      <c r="H49" s="3">
        <v>39</v>
      </c>
      <c r="I49" s="3">
        <v>51</v>
      </c>
      <c r="J49" s="3">
        <v>17</v>
      </c>
      <c r="K49" s="3">
        <v>14</v>
      </c>
      <c r="L49" s="3">
        <v>96</v>
      </c>
      <c r="M49" s="3">
        <v>86</v>
      </c>
      <c r="N49" s="3">
        <v>105</v>
      </c>
      <c r="O49" s="3">
        <v>66</v>
      </c>
      <c r="P49" s="3">
        <v>38</v>
      </c>
      <c r="Q49" s="56">
        <v>77</v>
      </c>
      <c r="R49" s="56">
        <v>102</v>
      </c>
      <c r="S49" s="56">
        <v>68</v>
      </c>
      <c r="T49" s="56">
        <v>33</v>
      </c>
      <c r="U49" s="56">
        <v>24</v>
      </c>
      <c r="V49" s="56">
        <v>19</v>
      </c>
      <c r="W49" s="56">
        <v>94</v>
      </c>
      <c r="AG49" s="13">
        <v>1</v>
      </c>
      <c r="AI49" s="26">
        <v>44456</v>
      </c>
      <c r="AK49" s="2">
        <v>1</v>
      </c>
    </row>
    <row r="50" spans="1:1003" ht="30" customHeight="1" x14ac:dyDescent="0.25">
      <c r="A50" s="22" t="s">
        <v>184</v>
      </c>
      <c r="B50" s="30" t="s">
        <v>132</v>
      </c>
      <c r="C50" s="30" t="s">
        <v>129</v>
      </c>
      <c r="D50" s="27" t="s">
        <v>171</v>
      </c>
      <c r="E50" s="31" t="s">
        <v>85</v>
      </c>
      <c r="F50" s="31" t="s">
        <v>118</v>
      </c>
      <c r="G50" s="32" t="s">
        <v>119</v>
      </c>
      <c r="H50" s="3">
        <v>41</v>
      </c>
      <c r="I50" s="3">
        <v>57</v>
      </c>
      <c r="J50" s="3">
        <v>18</v>
      </c>
      <c r="K50" s="3">
        <v>13.5</v>
      </c>
      <c r="L50" s="3">
        <v>101</v>
      </c>
      <c r="M50" s="3">
        <v>95</v>
      </c>
      <c r="N50" s="3">
        <v>114</v>
      </c>
      <c r="O50" s="3">
        <v>66</v>
      </c>
      <c r="P50" s="3">
        <v>38</v>
      </c>
      <c r="Q50" s="56">
        <v>88</v>
      </c>
      <c r="R50" s="56">
        <v>113</v>
      </c>
      <c r="S50" s="56">
        <v>71</v>
      </c>
      <c r="T50" s="56">
        <v>35</v>
      </c>
      <c r="U50" s="56">
        <v>25</v>
      </c>
      <c r="V50" s="56">
        <v>20</v>
      </c>
      <c r="W50" s="56">
        <v>93</v>
      </c>
      <c r="AG50" s="13">
        <v>1</v>
      </c>
      <c r="AI50" s="26">
        <v>44456</v>
      </c>
      <c r="AK50" s="2">
        <v>1</v>
      </c>
    </row>
    <row r="51" spans="1:1003" ht="30" customHeight="1" x14ac:dyDescent="0.25">
      <c r="A51" s="17" t="s">
        <v>185</v>
      </c>
      <c r="B51" s="30" t="s">
        <v>136</v>
      </c>
      <c r="C51" s="30" t="s">
        <v>129</v>
      </c>
      <c r="D51" s="27" t="s">
        <v>171</v>
      </c>
      <c r="E51" s="31" t="s">
        <v>85</v>
      </c>
      <c r="F51" s="31" t="s">
        <v>118</v>
      </c>
      <c r="G51" s="32" t="s">
        <v>119</v>
      </c>
      <c r="H51" s="3">
        <v>41</v>
      </c>
      <c r="I51" s="3">
        <v>55</v>
      </c>
      <c r="J51" s="3">
        <v>17</v>
      </c>
      <c r="K51" s="3">
        <v>13.5</v>
      </c>
      <c r="L51" s="3">
        <v>94</v>
      </c>
      <c r="M51" s="3">
        <v>89</v>
      </c>
      <c r="N51" s="3">
        <v>106</v>
      </c>
      <c r="O51" s="3">
        <v>67</v>
      </c>
      <c r="P51" s="3">
        <v>39</v>
      </c>
      <c r="Q51" s="56">
        <v>83</v>
      </c>
      <c r="R51" s="56">
        <v>106</v>
      </c>
      <c r="S51" s="56">
        <v>64</v>
      </c>
      <c r="T51" s="56">
        <v>33</v>
      </c>
      <c r="U51" s="56">
        <v>24</v>
      </c>
      <c r="V51" s="56">
        <v>19</v>
      </c>
      <c r="W51" s="56">
        <v>93</v>
      </c>
      <c r="AG51" s="13">
        <v>1</v>
      </c>
      <c r="AI51" s="26">
        <v>44456</v>
      </c>
      <c r="AK51" s="2">
        <v>1</v>
      </c>
    </row>
    <row r="52" spans="1:1003" ht="30" customHeight="1" x14ac:dyDescent="0.25">
      <c r="A52" s="22" t="s">
        <v>186</v>
      </c>
      <c r="B52" s="30" t="s">
        <v>134</v>
      </c>
      <c r="C52" s="30" t="s">
        <v>129</v>
      </c>
      <c r="D52" s="27" t="s">
        <v>171</v>
      </c>
      <c r="E52" s="31" t="s">
        <v>85</v>
      </c>
      <c r="F52" s="31" t="s">
        <v>118</v>
      </c>
      <c r="G52" s="32" t="s">
        <v>119</v>
      </c>
      <c r="H52" s="3">
        <v>39</v>
      </c>
      <c r="I52" s="3">
        <v>57</v>
      </c>
      <c r="J52" s="3">
        <v>17</v>
      </c>
      <c r="K52" s="3">
        <v>13.5</v>
      </c>
      <c r="L52" s="3">
        <v>93</v>
      </c>
      <c r="M52" s="3">
        <v>79</v>
      </c>
      <c r="N52" s="3">
        <v>100</v>
      </c>
      <c r="O52" s="3">
        <v>67</v>
      </c>
      <c r="P52" s="3">
        <v>37</v>
      </c>
      <c r="Q52" s="56">
        <v>83</v>
      </c>
      <c r="R52" s="56">
        <v>107</v>
      </c>
      <c r="S52" s="56">
        <v>66</v>
      </c>
      <c r="T52" s="56">
        <v>33</v>
      </c>
      <c r="U52" s="56">
        <v>24</v>
      </c>
      <c r="V52" s="56">
        <v>19</v>
      </c>
      <c r="W52" s="56">
        <v>97</v>
      </c>
      <c r="AG52" s="13">
        <v>1</v>
      </c>
      <c r="AI52" s="26">
        <v>44456</v>
      </c>
      <c r="AK52" s="2">
        <v>1</v>
      </c>
    </row>
    <row r="53" spans="1:1003" ht="30" customHeight="1" x14ac:dyDescent="0.25">
      <c r="A53" s="17" t="s">
        <v>187</v>
      </c>
      <c r="B53" s="30" t="s">
        <v>142</v>
      </c>
      <c r="C53" s="30" t="s">
        <v>129</v>
      </c>
      <c r="D53" s="27" t="s">
        <v>171</v>
      </c>
      <c r="E53" s="31" t="s">
        <v>85</v>
      </c>
      <c r="F53" s="31" t="s">
        <v>118</v>
      </c>
      <c r="G53" s="32" t="s">
        <v>119</v>
      </c>
      <c r="H53" s="3">
        <v>39</v>
      </c>
      <c r="I53" s="3">
        <v>56</v>
      </c>
      <c r="J53" s="3">
        <v>18</v>
      </c>
      <c r="K53" s="3">
        <v>14</v>
      </c>
      <c r="L53" s="3">
        <v>99</v>
      </c>
      <c r="M53" s="3">
        <v>90</v>
      </c>
      <c r="N53" s="3">
        <v>111</v>
      </c>
      <c r="O53" s="3">
        <v>68</v>
      </c>
      <c r="P53" s="3">
        <v>38</v>
      </c>
      <c r="Q53" s="56">
        <v>90</v>
      </c>
      <c r="R53" s="56">
        <v>112</v>
      </c>
      <c r="S53" s="56">
        <v>64</v>
      </c>
      <c r="T53" s="56">
        <v>34</v>
      </c>
      <c r="U53" s="56">
        <v>25</v>
      </c>
      <c r="V53" s="56">
        <v>20</v>
      </c>
      <c r="W53" s="56">
        <v>88</v>
      </c>
      <c r="AG53" s="13">
        <v>1</v>
      </c>
      <c r="AI53" s="26">
        <v>44456</v>
      </c>
      <c r="AK53" s="2">
        <v>1</v>
      </c>
    </row>
    <row r="54" spans="1:1003" ht="30" customHeight="1" x14ac:dyDescent="0.25">
      <c r="A54" s="22" t="s">
        <v>188</v>
      </c>
      <c r="B54" s="30" t="s">
        <v>135</v>
      </c>
      <c r="C54" s="30" t="s">
        <v>129</v>
      </c>
      <c r="D54" s="27" t="s">
        <v>171</v>
      </c>
      <c r="E54" s="31" t="s">
        <v>85</v>
      </c>
      <c r="F54" s="31" t="s">
        <v>118</v>
      </c>
      <c r="G54" s="32" t="s">
        <v>119</v>
      </c>
      <c r="H54" s="3">
        <v>40</v>
      </c>
      <c r="I54" s="3">
        <v>57</v>
      </c>
      <c r="J54" s="3">
        <v>17</v>
      </c>
      <c r="K54" s="3">
        <v>13.5</v>
      </c>
      <c r="L54" s="3">
        <v>93</v>
      </c>
      <c r="M54" s="3">
        <v>83</v>
      </c>
      <c r="N54" s="3">
        <v>98</v>
      </c>
      <c r="O54" s="3">
        <v>68</v>
      </c>
      <c r="P54" s="3">
        <v>38</v>
      </c>
      <c r="Q54" s="56">
        <v>77</v>
      </c>
      <c r="R54" s="56">
        <v>105</v>
      </c>
      <c r="S54" s="56">
        <v>66</v>
      </c>
      <c r="T54" s="56">
        <v>32</v>
      </c>
      <c r="U54" s="56">
        <v>24</v>
      </c>
      <c r="V54" s="56">
        <v>19</v>
      </c>
      <c r="W54" s="56">
        <v>96</v>
      </c>
      <c r="AG54" s="13">
        <v>1</v>
      </c>
      <c r="AI54" s="26">
        <v>44456</v>
      </c>
      <c r="AK54" s="2">
        <v>1</v>
      </c>
    </row>
    <row r="55" spans="1:1003" ht="30" customHeight="1" x14ac:dyDescent="0.25">
      <c r="A55" s="17" t="s">
        <v>189</v>
      </c>
      <c r="B55" s="30" t="s">
        <v>133</v>
      </c>
      <c r="C55" s="30" t="s">
        <v>129</v>
      </c>
      <c r="D55" s="27" t="s">
        <v>171</v>
      </c>
      <c r="E55" s="31" t="s">
        <v>85</v>
      </c>
      <c r="F55" s="31" t="s">
        <v>118</v>
      </c>
      <c r="G55" s="32" t="s">
        <v>119</v>
      </c>
      <c r="H55" s="3">
        <v>39</v>
      </c>
      <c r="I55" s="3">
        <v>51</v>
      </c>
      <c r="J55" s="3">
        <v>17</v>
      </c>
      <c r="K55" s="3">
        <v>13</v>
      </c>
      <c r="L55" s="3">
        <v>94</v>
      </c>
      <c r="M55" s="3">
        <v>83</v>
      </c>
      <c r="N55" s="3">
        <v>103</v>
      </c>
      <c r="O55" s="3">
        <v>58</v>
      </c>
      <c r="P55" s="3">
        <v>40</v>
      </c>
      <c r="Q55" s="56">
        <v>79</v>
      </c>
      <c r="R55" s="56">
        <v>105</v>
      </c>
      <c r="S55" s="56">
        <v>63</v>
      </c>
      <c r="T55" s="56">
        <v>32</v>
      </c>
      <c r="U55" s="56">
        <v>24</v>
      </c>
      <c r="V55" s="56">
        <v>19</v>
      </c>
      <c r="W55" s="56">
        <v>91</v>
      </c>
      <c r="AG55" s="13">
        <v>1</v>
      </c>
      <c r="AI55" s="26">
        <v>44456</v>
      </c>
      <c r="AK55" s="2">
        <v>1</v>
      </c>
    </row>
    <row r="56" spans="1:1003" s="78" customFormat="1" ht="30" customHeight="1" x14ac:dyDescent="0.25">
      <c r="A56" s="68" t="s">
        <v>190</v>
      </c>
      <c r="B56" s="69" t="s">
        <v>140</v>
      </c>
      <c r="C56" s="69" t="s">
        <v>129</v>
      </c>
      <c r="D56" s="70" t="s">
        <v>171</v>
      </c>
      <c r="E56" s="71" t="s">
        <v>85</v>
      </c>
      <c r="F56" s="71" t="s">
        <v>118</v>
      </c>
      <c r="G56" s="72" t="s">
        <v>119</v>
      </c>
      <c r="H56" s="73">
        <v>38</v>
      </c>
      <c r="I56" s="73">
        <v>56</v>
      </c>
      <c r="J56" s="73">
        <v>16</v>
      </c>
      <c r="K56" s="73">
        <v>13</v>
      </c>
      <c r="L56" s="73">
        <v>88</v>
      </c>
      <c r="M56" s="73">
        <v>78</v>
      </c>
      <c r="N56" s="73">
        <v>98</v>
      </c>
      <c r="O56" s="73">
        <v>66</v>
      </c>
      <c r="P56" s="73">
        <v>38</v>
      </c>
      <c r="Q56" s="74">
        <v>71</v>
      </c>
      <c r="R56" s="74">
        <v>98</v>
      </c>
      <c r="S56" s="74">
        <v>67</v>
      </c>
      <c r="T56" s="74">
        <v>32</v>
      </c>
      <c r="U56" s="74">
        <v>24</v>
      </c>
      <c r="V56" s="74">
        <v>19</v>
      </c>
      <c r="W56" s="74">
        <v>98</v>
      </c>
      <c r="X56" s="73"/>
      <c r="Y56" s="73"/>
      <c r="Z56" s="73"/>
      <c r="AA56" s="73"/>
      <c r="AB56" s="73"/>
      <c r="AC56" s="73"/>
      <c r="AD56" s="73"/>
      <c r="AE56" s="73"/>
      <c r="AF56" s="73"/>
      <c r="AG56" s="75">
        <v>1</v>
      </c>
      <c r="AH56" s="75"/>
      <c r="AI56" s="76">
        <v>44456</v>
      </c>
      <c r="AJ56" s="77"/>
      <c r="AK56" s="77">
        <v>1</v>
      </c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  <c r="AW56" s="77"/>
      <c r="AX56" s="77"/>
      <c r="AY56" s="77"/>
      <c r="AZ56" s="77"/>
      <c r="BA56" s="77"/>
      <c r="BB56" s="77"/>
      <c r="BC56" s="77"/>
      <c r="BD56" s="77"/>
      <c r="BE56" s="77"/>
      <c r="BF56" s="77"/>
      <c r="BG56" s="77"/>
      <c r="BH56" s="77"/>
      <c r="BI56" s="77"/>
      <c r="BJ56" s="77"/>
      <c r="BK56" s="77"/>
      <c r="BL56" s="77"/>
      <c r="BM56" s="77"/>
      <c r="BN56" s="77"/>
      <c r="BO56" s="77"/>
      <c r="BP56" s="77"/>
      <c r="BQ56" s="77"/>
      <c r="BR56" s="77"/>
      <c r="BS56" s="77"/>
      <c r="BT56" s="77"/>
      <c r="BU56" s="77"/>
      <c r="BV56" s="77"/>
      <c r="BW56" s="77"/>
      <c r="BX56" s="77"/>
      <c r="BY56" s="77"/>
      <c r="BZ56" s="77"/>
      <c r="CA56" s="77"/>
      <c r="CB56" s="77"/>
      <c r="CC56" s="77"/>
      <c r="CD56" s="77"/>
      <c r="CE56" s="77"/>
      <c r="CF56" s="77"/>
      <c r="CG56" s="77"/>
      <c r="CH56" s="77"/>
      <c r="CI56" s="77"/>
      <c r="CJ56" s="77"/>
      <c r="CK56" s="77"/>
      <c r="CL56" s="77"/>
      <c r="CM56" s="77"/>
      <c r="CN56" s="77"/>
      <c r="CO56" s="77"/>
      <c r="CP56" s="77"/>
      <c r="CQ56" s="77"/>
      <c r="CR56" s="77"/>
      <c r="CS56" s="77"/>
      <c r="CT56" s="77"/>
      <c r="CU56" s="77"/>
      <c r="CV56" s="77"/>
      <c r="CW56" s="77"/>
      <c r="CX56" s="77"/>
      <c r="CY56" s="77"/>
      <c r="CZ56" s="77"/>
      <c r="DA56" s="77"/>
      <c r="DB56" s="77"/>
      <c r="DC56" s="77"/>
      <c r="DD56" s="77"/>
      <c r="DE56" s="77"/>
      <c r="DF56" s="77"/>
      <c r="DG56" s="77"/>
      <c r="DH56" s="77"/>
      <c r="DI56" s="77"/>
      <c r="DJ56" s="77"/>
      <c r="DK56" s="77"/>
      <c r="DL56" s="77"/>
      <c r="DM56" s="77"/>
      <c r="DN56" s="77"/>
      <c r="DO56" s="77"/>
      <c r="DP56" s="77"/>
      <c r="DQ56" s="77"/>
      <c r="DR56" s="77"/>
      <c r="DS56" s="77"/>
      <c r="DT56" s="77"/>
      <c r="DU56" s="77"/>
      <c r="DV56" s="77"/>
      <c r="DW56" s="77"/>
      <c r="DX56" s="77"/>
      <c r="DY56" s="77"/>
      <c r="DZ56" s="77"/>
      <c r="EA56" s="77"/>
      <c r="EB56" s="77"/>
      <c r="EC56" s="77"/>
      <c r="ED56" s="77"/>
      <c r="EE56" s="77"/>
      <c r="EF56" s="77"/>
      <c r="EG56" s="77"/>
      <c r="EH56" s="77"/>
      <c r="EI56" s="77"/>
      <c r="EJ56" s="77"/>
      <c r="EK56" s="77"/>
      <c r="EL56" s="77"/>
      <c r="EM56" s="77"/>
      <c r="EN56" s="77"/>
      <c r="EO56" s="77"/>
      <c r="EP56" s="77"/>
      <c r="EQ56" s="77"/>
      <c r="ER56" s="77"/>
      <c r="ES56" s="77"/>
      <c r="ET56" s="77"/>
      <c r="EU56" s="77"/>
      <c r="EV56" s="77"/>
      <c r="EW56" s="77"/>
      <c r="EX56" s="77"/>
      <c r="EY56" s="77"/>
      <c r="EZ56" s="77"/>
      <c r="FA56" s="77"/>
      <c r="FB56" s="77"/>
      <c r="FC56" s="77"/>
      <c r="FD56" s="77"/>
      <c r="FE56" s="77"/>
      <c r="FF56" s="77"/>
      <c r="FG56" s="77"/>
      <c r="FH56" s="77"/>
      <c r="FI56" s="77"/>
      <c r="FJ56" s="77"/>
      <c r="FK56" s="77"/>
      <c r="FL56" s="77"/>
      <c r="FM56" s="77"/>
      <c r="FN56" s="77"/>
      <c r="FO56" s="77"/>
      <c r="FP56" s="77"/>
      <c r="FQ56" s="77"/>
      <c r="FR56" s="77"/>
      <c r="FS56" s="77"/>
      <c r="FT56" s="77"/>
      <c r="FU56" s="77"/>
      <c r="FV56" s="77"/>
      <c r="FW56" s="77"/>
      <c r="FX56" s="77"/>
      <c r="FY56" s="77"/>
      <c r="FZ56" s="77"/>
      <c r="GA56" s="77"/>
      <c r="GB56" s="77"/>
      <c r="GC56" s="77"/>
      <c r="GD56" s="77"/>
      <c r="GE56" s="77"/>
      <c r="GF56" s="77"/>
      <c r="GG56" s="77"/>
      <c r="GH56" s="77"/>
      <c r="GI56" s="77"/>
      <c r="GJ56" s="77"/>
      <c r="GK56" s="77"/>
      <c r="GL56" s="77"/>
      <c r="GM56" s="77"/>
      <c r="GN56" s="77"/>
      <c r="GO56" s="77"/>
      <c r="GP56" s="77"/>
      <c r="GQ56" s="77"/>
      <c r="GR56" s="77"/>
      <c r="GS56" s="77"/>
      <c r="GT56" s="77"/>
      <c r="GU56" s="77"/>
      <c r="GV56" s="77"/>
      <c r="GW56" s="77"/>
      <c r="GX56" s="77"/>
      <c r="GY56" s="77"/>
      <c r="GZ56" s="77"/>
      <c r="HA56" s="77"/>
      <c r="HB56" s="77"/>
      <c r="HC56" s="77"/>
      <c r="HD56" s="77"/>
      <c r="HE56" s="77"/>
      <c r="HF56" s="77"/>
      <c r="HG56" s="77"/>
      <c r="HH56" s="77"/>
      <c r="HI56" s="77"/>
      <c r="HJ56" s="77"/>
      <c r="HK56" s="77"/>
      <c r="HL56" s="77"/>
      <c r="HM56" s="77"/>
      <c r="HN56" s="77"/>
      <c r="HO56" s="77"/>
      <c r="HP56" s="77"/>
      <c r="HQ56" s="77"/>
      <c r="HR56" s="77"/>
      <c r="HS56" s="77"/>
      <c r="HT56" s="77"/>
      <c r="HU56" s="77"/>
      <c r="HV56" s="77"/>
      <c r="HW56" s="77"/>
      <c r="HX56" s="77"/>
      <c r="HY56" s="77"/>
      <c r="HZ56" s="77"/>
      <c r="IA56" s="77"/>
      <c r="IB56" s="77"/>
      <c r="IC56" s="77"/>
      <c r="ID56" s="77"/>
      <c r="IE56" s="77"/>
      <c r="IF56" s="77"/>
      <c r="IG56" s="77"/>
      <c r="IH56" s="77"/>
      <c r="II56" s="77"/>
      <c r="IJ56" s="77"/>
      <c r="IK56" s="77"/>
      <c r="IL56" s="77"/>
      <c r="IM56" s="77"/>
      <c r="IN56" s="77"/>
      <c r="IO56" s="77"/>
      <c r="IP56" s="77"/>
      <c r="IQ56" s="77"/>
      <c r="IR56" s="77"/>
      <c r="IS56" s="77"/>
      <c r="IT56" s="77"/>
      <c r="IU56" s="77"/>
      <c r="IV56" s="77"/>
      <c r="IW56" s="77"/>
      <c r="IX56" s="77"/>
      <c r="IY56" s="77"/>
      <c r="IZ56" s="77"/>
      <c r="JA56" s="77"/>
      <c r="JB56" s="77"/>
      <c r="JC56" s="77"/>
      <c r="JD56" s="77"/>
      <c r="JE56" s="77"/>
      <c r="JF56" s="77"/>
      <c r="JG56" s="77"/>
      <c r="JH56" s="77"/>
      <c r="JI56" s="77"/>
      <c r="JJ56" s="77"/>
      <c r="JK56" s="77"/>
      <c r="JL56" s="77"/>
      <c r="JM56" s="77"/>
      <c r="JN56" s="77"/>
      <c r="JO56" s="77"/>
      <c r="JP56" s="77"/>
      <c r="JQ56" s="77"/>
      <c r="JR56" s="77"/>
      <c r="JS56" s="77"/>
      <c r="JT56" s="77"/>
      <c r="JU56" s="77"/>
      <c r="JV56" s="77"/>
      <c r="JW56" s="77"/>
      <c r="JX56" s="77"/>
      <c r="JY56" s="77"/>
      <c r="JZ56" s="77"/>
      <c r="KA56" s="77"/>
      <c r="KB56" s="77"/>
      <c r="KC56" s="77"/>
      <c r="KD56" s="77"/>
      <c r="KE56" s="77"/>
      <c r="KF56" s="77"/>
      <c r="KG56" s="77"/>
      <c r="KH56" s="77"/>
      <c r="KI56" s="77"/>
      <c r="KJ56" s="77"/>
      <c r="KK56" s="77"/>
      <c r="KL56" s="77"/>
      <c r="KM56" s="77"/>
      <c r="KN56" s="77"/>
      <c r="KO56" s="77"/>
      <c r="KP56" s="77"/>
      <c r="KQ56" s="77"/>
      <c r="KR56" s="77"/>
      <c r="KS56" s="77"/>
      <c r="KT56" s="77"/>
      <c r="KU56" s="77"/>
      <c r="KV56" s="77"/>
      <c r="KW56" s="77"/>
      <c r="KX56" s="77"/>
      <c r="KY56" s="77"/>
      <c r="KZ56" s="77"/>
      <c r="LA56" s="77"/>
      <c r="LB56" s="77"/>
      <c r="LC56" s="77"/>
      <c r="LD56" s="77"/>
      <c r="LE56" s="77"/>
      <c r="LF56" s="77"/>
      <c r="LG56" s="77"/>
      <c r="LH56" s="77"/>
      <c r="LI56" s="77"/>
      <c r="LJ56" s="77"/>
      <c r="LK56" s="77"/>
      <c r="LL56" s="77"/>
      <c r="LM56" s="77"/>
      <c r="LN56" s="77"/>
      <c r="LO56" s="77"/>
      <c r="LP56" s="77"/>
      <c r="LQ56" s="77"/>
      <c r="LR56" s="77"/>
      <c r="LS56" s="77"/>
      <c r="LT56" s="77"/>
      <c r="LU56" s="77"/>
      <c r="LV56" s="77"/>
      <c r="LW56" s="77"/>
      <c r="LX56" s="77"/>
      <c r="LY56" s="77"/>
      <c r="LZ56" s="77"/>
      <c r="MA56" s="77"/>
      <c r="MB56" s="77"/>
      <c r="MC56" s="77"/>
      <c r="MD56" s="77"/>
      <c r="ME56" s="77"/>
      <c r="MF56" s="77"/>
      <c r="MG56" s="77"/>
      <c r="MH56" s="77"/>
      <c r="MI56" s="77"/>
      <c r="MJ56" s="77"/>
      <c r="MK56" s="77"/>
      <c r="ML56" s="77"/>
      <c r="MM56" s="77"/>
      <c r="MN56" s="77"/>
      <c r="MO56" s="77"/>
      <c r="MP56" s="77"/>
      <c r="MQ56" s="77"/>
      <c r="MR56" s="77"/>
      <c r="MS56" s="77"/>
      <c r="MT56" s="77"/>
      <c r="MU56" s="77"/>
      <c r="MV56" s="77"/>
      <c r="MW56" s="77"/>
      <c r="MX56" s="77"/>
      <c r="MY56" s="77"/>
      <c r="MZ56" s="77"/>
      <c r="NA56" s="77"/>
      <c r="NB56" s="77"/>
      <c r="NC56" s="77"/>
      <c r="ND56" s="77"/>
      <c r="NE56" s="77"/>
      <c r="NF56" s="77"/>
      <c r="NG56" s="77"/>
      <c r="NH56" s="77"/>
      <c r="NI56" s="77"/>
      <c r="NJ56" s="77"/>
      <c r="NK56" s="77"/>
      <c r="NL56" s="77"/>
      <c r="NM56" s="77"/>
      <c r="NN56" s="77"/>
      <c r="NO56" s="77"/>
      <c r="NP56" s="77"/>
      <c r="NQ56" s="77"/>
      <c r="NR56" s="77"/>
      <c r="NS56" s="77"/>
      <c r="NT56" s="77"/>
      <c r="NU56" s="77"/>
      <c r="NV56" s="77"/>
      <c r="NW56" s="77"/>
      <c r="NX56" s="77"/>
      <c r="NY56" s="77"/>
      <c r="NZ56" s="77"/>
      <c r="OA56" s="77"/>
      <c r="OB56" s="77"/>
      <c r="OC56" s="77"/>
      <c r="OD56" s="77"/>
      <c r="OE56" s="77"/>
      <c r="OF56" s="77"/>
      <c r="OG56" s="77"/>
      <c r="OH56" s="77"/>
      <c r="OI56" s="77"/>
      <c r="OJ56" s="77"/>
      <c r="OK56" s="77"/>
      <c r="OL56" s="77"/>
      <c r="OM56" s="77"/>
      <c r="ON56" s="77"/>
      <c r="OO56" s="77"/>
      <c r="OP56" s="77"/>
      <c r="OQ56" s="77"/>
      <c r="OR56" s="77"/>
      <c r="OS56" s="77"/>
      <c r="OT56" s="77"/>
      <c r="OU56" s="77"/>
      <c r="OV56" s="77"/>
      <c r="OW56" s="77"/>
      <c r="OX56" s="77"/>
      <c r="OY56" s="77"/>
      <c r="OZ56" s="77"/>
      <c r="PA56" s="77"/>
      <c r="PB56" s="77"/>
      <c r="PC56" s="77"/>
      <c r="PD56" s="77"/>
      <c r="PE56" s="77"/>
      <c r="PF56" s="77"/>
      <c r="PG56" s="77"/>
      <c r="PH56" s="77"/>
      <c r="PI56" s="77"/>
      <c r="PJ56" s="77"/>
      <c r="PK56" s="77"/>
      <c r="PL56" s="77"/>
      <c r="PM56" s="77"/>
      <c r="PN56" s="77"/>
      <c r="PO56" s="77"/>
      <c r="PP56" s="77"/>
      <c r="PQ56" s="77"/>
      <c r="PR56" s="77"/>
      <c r="PS56" s="77"/>
      <c r="PT56" s="77"/>
      <c r="PU56" s="77"/>
      <c r="PV56" s="77"/>
      <c r="PW56" s="77"/>
      <c r="PX56" s="77"/>
      <c r="PY56" s="77"/>
      <c r="PZ56" s="77"/>
      <c r="QA56" s="77"/>
      <c r="QB56" s="77"/>
      <c r="QC56" s="77"/>
      <c r="QD56" s="77"/>
      <c r="QE56" s="77"/>
      <c r="QF56" s="77"/>
      <c r="QG56" s="77"/>
      <c r="QH56" s="77"/>
      <c r="QI56" s="77"/>
      <c r="QJ56" s="77"/>
      <c r="QK56" s="77"/>
      <c r="QL56" s="77"/>
      <c r="QM56" s="77"/>
      <c r="QN56" s="77"/>
      <c r="QO56" s="77"/>
      <c r="QP56" s="77"/>
      <c r="QQ56" s="77"/>
      <c r="QR56" s="77"/>
      <c r="QS56" s="77"/>
      <c r="QT56" s="77"/>
      <c r="QU56" s="77"/>
      <c r="QV56" s="77"/>
      <c r="QW56" s="77"/>
      <c r="QX56" s="77"/>
      <c r="QY56" s="77"/>
      <c r="QZ56" s="77"/>
      <c r="RA56" s="77"/>
      <c r="RB56" s="77"/>
      <c r="RC56" s="77"/>
      <c r="RD56" s="77"/>
      <c r="RE56" s="77"/>
      <c r="RF56" s="77"/>
      <c r="RG56" s="77"/>
      <c r="RH56" s="77"/>
      <c r="RI56" s="77"/>
      <c r="RJ56" s="77"/>
      <c r="RK56" s="77"/>
      <c r="RL56" s="77"/>
      <c r="RM56" s="77"/>
      <c r="RN56" s="77"/>
      <c r="RO56" s="77"/>
      <c r="RP56" s="77"/>
      <c r="RQ56" s="77"/>
      <c r="RR56" s="77"/>
      <c r="RS56" s="77"/>
      <c r="RT56" s="77"/>
      <c r="RU56" s="77"/>
      <c r="RV56" s="77"/>
      <c r="RW56" s="77"/>
      <c r="RX56" s="77"/>
      <c r="RY56" s="77"/>
      <c r="RZ56" s="77"/>
      <c r="SA56" s="77"/>
      <c r="SB56" s="77"/>
      <c r="SC56" s="77"/>
      <c r="SD56" s="77"/>
      <c r="SE56" s="77"/>
      <c r="SF56" s="77"/>
      <c r="SG56" s="77"/>
      <c r="SH56" s="77"/>
      <c r="SI56" s="77"/>
      <c r="SJ56" s="77"/>
      <c r="SK56" s="77"/>
      <c r="SL56" s="77"/>
      <c r="SM56" s="77"/>
      <c r="SN56" s="77"/>
      <c r="SO56" s="77"/>
      <c r="SP56" s="77"/>
      <c r="SQ56" s="77"/>
      <c r="SR56" s="77"/>
      <c r="SS56" s="77"/>
      <c r="ST56" s="77"/>
      <c r="SU56" s="77"/>
      <c r="SV56" s="77"/>
      <c r="SW56" s="77"/>
      <c r="SX56" s="77"/>
      <c r="SY56" s="77"/>
      <c r="SZ56" s="77"/>
      <c r="TA56" s="77"/>
      <c r="TB56" s="77"/>
      <c r="TC56" s="77"/>
      <c r="TD56" s="77"/>
      <c r="TE56" s="77"/>
      <c r="TF56" s="77"/>
      <c r="TG56" s="77"/>
      <c r="TH56" s="77"/>
      <c r="TI56" s="77"/>
      <c r="TJ56" s="77"/>
      <c r="TK56" s="77"/>
      <c r="TL56" s="77"/>
      <c r="TM56" s="77"/>
      <c r="TN56" s="77"/>
      <c r="TO56" s="77"/>
      <c r="TP56" s="77"/>
      <c r="TQ56" s="77"/>
      <c r="TR56" s="77"/>
      <c r="TS56" s="77"/>
      <c r="TT56" s="77"/>
      <c r="TU56" s="77"/>
      <c r="TV56" s="77"/>
      <c r="TW56" s="77"/>
      <c r="TX56" s="77"/>
      <c r="TY56" s="77"/>
      <c r="TZ56" s="77"/>
      <c r="UA56" s="77"/>
      <c r="UB56" s="77"/>
      <c r="UC56" s="77"/>
      <c r="UD56" s="77"/>
      <c r="UE56" s="77"/>
      <c r="UF56" s="77"/>
      <c r="UG56" s="77"/>
      <c r="UH56" s="77"/>
      <c r="UI56" s="77"/>
      <c r="UJ56" s="77"/>
      <c r="UK56" s="77"/>
      <c r="UL56" s="77"/>
      <c r="UM56" s="77"/>
      <c r="UN56" s="77"/>
      <c r="UO56" s="77"/>
      <c r="UP56" s="77"/>
      <c r="UQ56" s="77"/>
      <c r="UR56" s="77"/>
      <c r="US56" s="77"/>
      <c r="UT56" s="77"/>
      <c r="UU56" s="77"/>
      <c r="UV56" s="77"/>
      <c r="UW56" s="77"/>
      <c r="UX56" s="77"/>
      <c r="UY56" s="77"/>
      <c r="UZ56" s="77"/>
      <c r="VA56" s="77"/>
      <c r="VB56" s="77"/>
      <c r="VC56" s="77"/>
      <c r="VD56" s="77"/>
      <c r="VE56" s="77"/>
      <c r="VF56" s="77"/>
      <c r="VG56" s="77"/>
      <c r="VH56" s="77"/>
      <c r="VI56" s="77"/>
      <c r="VJ56" s="77"/>
      <c r="VK56" s="77"/>
      <c r="VL56" s="77"/>
      <c r="VM56" s="77"/>
      <c r="VN56" s="77"/>
      <c r="VO56" s="77"/>
      <c r="VP56" s="77"/>
      <c r="VQ56" s="77"/>
      <c r="VR56" s="77"/>
      <c r="VS56" s="77"/>
      <c r="VT56" s="77"/>
      <c r="VU56" s="77"/>
      <c r="VV56" s="77"/>
      <c r="VW56" s="77"/>
      <c r="VX56" s="77"/>
      <c r="VY56" s="77"/>
      <c r="VZ56" s="77"/>
      <c r="WA56" s="77"/>
      <c r="WB56" s="77"/>
      <c r="WC56" s="77"/>
      <c r="WD56" s="77"/>
      <c r="WE56" s="77"/>
      <c r="WF56" s="77"/>
      <c r="WG56" s="77"/>
      <c r="WH56" s="77"/>
      <c r="WI56" s="77"/>
      <c r="WJ56" s="77"/>
      <c r="WK56" s="77"/>
      <c r="WL56" s="77"/>
      <c r="WM56" s="77"/>
      <c r="WN56" s="77"/>
      <c r="WO56" s="77"/>
      <c r="WP56" s="77"/>
      <c r="WQ56" s="77"/>
      <c r="WR56" s="77"/>
      <c r="WS56" s="77"/>
      <c r="WT56" s="77"/>
      <c r="WU56" s="77"/>
      <c r="WV56" s="77"/>
      <c r="WW56" s="77"/>
      <c r="WX56" s="77"/>
      <c r="WY56" s="77"/>
      <c r="WZ56" s="77"/>
      <c r="XA56" s="77"/>
      <c r="XB56" s="77"/>
      <c r="XC56" s="77"/>
      <c r="XD56" s="77"/>
      <c r="XE56" s="77"/>
      <c r="XF56" s="77"/>
      <c r="XG56" s="77"/>
      <c r="XH56" s="77"/>
      <c r="XI56" s="77"/>
      <c r="XJ56" s="77"/>
      <c r="XK56" s="77"/>
      <c r="XL56" s="77"/>
      <c r="XM56" s="77"/>
      <c r="XN56" s="77"/>
      <c r="XO56" s="77"/>
      <c r="XP56" s="77"/>
      <c r="XQ56" s="77"/>
      <c r="XR56" s="77"/>
      <c r="XS56" s="77"/>
      <c r="XT56" s="77"/>
      <c r="XU56" s="77"/>
      <c r="XV56" s="77"/>
      <c r="XW56" s="77"/>
      <c r="XX56" s="77"/>
      <c r="XY56" s="77"/>
      <c r="XZ56" s="77"/>
      <c r="YA56" s="77"/>
      <c r="YB56" s="77"/>
      <c r="YC56" s="77"/>
      <c r="YD56" s="77"/>
      <c r="YE56" s="77"/>
      <c r="YF56" s="77"/>
      <c r="YG56" s="77"/>
      <c r="YH56" s="77"/>
      <c r="YI56" s="77"/>
      <c r="YJ56" s="77"/>
      <c r="YK56" s="77"/>
      <c r="YL56" s="77"/>
      <c r="YM56" s="77"/>
      <c r="YN56" s="77"/>
      <c r="YO56" s="77"/>
      <c r="YP56" s="77"/>
      <c r="YQ56" s="77"/>
      <c r="YR56" s="77"/>
      <c r="YS56" s="77"/>
      <c r="YT56" s="77"/>
      <c r="YU56" s="77"/>
      <c r="YV56" s="77"/>
      <c r="YW56" s="77"/>
      <c r="YX56" s="77"/>
      <c r="YY56" s="77"/>
      <c r="YZ56" s="77"/>
      <c r="ZA56" s="77"/>
      <c r="ZB56" s="77"/>
      <c r="ZC56" s="77"/>
      <c r="ZD56" s="77"/>
      <c r="ZE56" s="77"/>
      <c r="ZF56" s="77"/>
      <c r="ZG56" s="77"/>
      <c r="ZH56" s="77"/>
      <c r="ZI56" s="77"/>
      <c r="ZJ56" s="77"/>
      <c r="ZK56" s="77"/>
      <c r="ZL56" s="77"/>
      <c r="ZM56" s="77"/>
      <c r="ZN56" s="77"/>
      <c r="ZO56" s="77"/>
      <c r="ZP56" s="77"/>
      <c r="ZQ56" s="77"/>
      <c r="ZR56" s="77"/>
      <c r="ZS56" s="77"/>
      <c r="ZT56" s="77"/>
      <c r="ZU56" s="77"/>
      <c r="ZV56" s="77"/>
      <c r="ZW56" s="77"/>
      <c r="ZX56" s="77"/>
      <c r="ZY56" s="77"/>
      <c r="ZZ56" s="77"/>
      <c r="AAA56" s="77"/>
      <c r="AAB56" s="77"/>
      <c r="AAC56" s="77"/>
      <c r="AAD56" s="77"/>
      <c r="AAE56" s="77"/>
      <c r="AAF56" s="77"/>
      <c r="AAG56" s="77"/>
      <c r="AAH56" s="77"/>
      <c r="AAI56" s="77"/>
      <c r="AAJ56" s="77"/>
      <c r="AAK56" s="77"/>
      <c r="AAL56" s="77"/>
      <c r="AAM56" s="77"/>
      <c r="AAN56" s="77"/>
      <c r="AAO56" s="77"/>
      <c r="AAP56" s="77"/>
      <c r="AAQ56" s="77"/>
      <c r="AAR56" s="77"/>
      <c r="AAS56" s="77"/>
      <c r="AAT56" s="77"/>
      <c r="AAU56" s="77"/>
      <c r="AAV56" s="77"/>
      <c r="AAW56" s="77"/>
      <c r="AAX56" s="77"/>
      <c r="AAY56" s="77"/>
      <c r="AAZ56" s="77"/>
      <c r="ABA56" s="77"/>
      <c r="ABB56" s="77"/>
      <c r="ABC56" s="77"/>
      <c r="ABD56" s="77"/>
      <c r="ABE56" s="77"/>
      <c r="ABF56" s="77"/>
      <c r="ABG56" s="77"/>
      <c r="ABH56" s="77"/>
      <c r="ABI56" s="77"/>
      <c r="ABJ56" s="77"/>
      <c r="ABK56" s="77"/>
      <c r="ABL56" s="77"/>
      <c r="ABM56" s="77"/>
      <c r="ABN56" s="77"/>
      <c r="ABO56" s="77"/>
      <c r="ABP56" s="77"/>
      <c r="ABQ56" s="77"/>
      <c r="ABR56" s="77"/>
      <c r="ABS56" s="77"/>
      <c r="ABT56" s="77"/>
      <c r="ABU56" s="77"/>
      <c r="ABV56" s="77"/>
      <c r="ABW56" s="77"/>
      <c r="ABX56" s="77"/>
      <c r="ABY56" s="77"/>
      <c r="ABZ56" s="77"/>
      <c r="ACA56" s="77"/>
      <c r="ACB56" s="77"/>
      <c r="ACC56" s="77"/>
      <c r="ACD56" s="77"/>
      <c r="ACE56" s="77"/>
      <c r="ACF56" s="77"/>
      <c r="ACG56" s="77"/>
      <c r="ACH56" s="77"/>
      <c r="ACI56" s="77"/>
      <c r="ACJ56" s="77"/>
      <c r="ACK56" s="77"/>
      <c r="ACL56" s="77"/>
      <c r="ACM56" s="77"/>
      <c r="ACN56" s="77"/>
      <c r="ACO56" s="77"/>
      <c r="ACP56" s="77"/>
      <c r="ACQ56" s="77"/>
      <c r="ACR56" s="77"/>
      <c r="ACS56" s="77"/>
      <c r="ACT56" s="77"/>
      <c r="ACU56" s="77"/>
      <c r="ACV56" s="77"/>
      <c r="ACW56" s="77"/>
      <c r="ACX56" s="77"/>
      <c r="ACY56" s="77"/>
      <c r="ACZ56" s="77"/>
      <c r="ADA56" s="77"/>
      <c r="ADB56" s="77"/>
      <c r="ADC56" s="77"/>
      <c r="ADD56" s="77"/>
      <c r="ADE56" s="77"/>
      <c r="ADF56" s="77"/>
      <c r="ADG56" s="77"/>
      <c r="ADH56" s="77"/>
      <c r="ADI56" s="77"/>
      <c r="ADJ56" s="77"/>
      <c r="ADK56" s="77"/>
      <c r="ADL56" s="77"/>
      <c r="ADM56" s="77"/>
      <c r="ADN56" s="77"/>
      <c r="ADO56" s="77"/>
      <c r="ADP56" s="77"/>
      <c r="ADQ56" s="77"/>
      <c r="ADR56" s="77"/>
      <c r="ADS56" s="77"/>
      <c r="ADT56" s="77"/>
      <c r="ADU56" s="77"/>
      <c r="ADV56" s="77"/>
      <c r="ADW56" s="77"/>
      <c r="ADX56" s="77"/>
      <c r="ADY56" s="77"/>
      <c r="ADZ56" s="77"/>
      <c r="AEA56" s="77"/>
      <c r="AEB56" s="77"/>
      <c r="AEC56" s="77"/>
      <c r="AED56" s="77"/>
      <c r="AEE56" s="77"/>
      <c r="AEF56" s="77"/>
      <c r="AEG56" s="77"/>
      <c r="AEH56" s="77"/>
      <c r="AEI56" s="77"/>
      <c r="AEJ56" s="77"/>
      <c r="AEK56" s="77"/>
      <c r="AEL56" s="77"/>
      <c r="AEM56" s="77"/>
      <c r="AEN56" s="77"/>
      <c r="AEO56" s="77"/>
      <c r="AEP56" s="77"/>
      <c r="AEQ56" s="77"/>
      <c r="AER56" s="77"/>
      <c r="AES56" s="77"/>
      <c r="AET56" s="77"/>
      <c r="AEU56" s="77"/>
      <c r="AEV56" s="77"/>
      <c r="AEW56" s="77"/>
      <c r="AEX56" s="77"/>
      <c r="AEY56" s="77"/>
      <c r="AEZ56" s="77"/>
      <c r="AFA56" s="77"/>
      <c r="AFB56" s="77"/>
      <c r="AFC56" s="77"/>
      <c r="AFD56" s="77"/>
      <c r="AFE56" s="77"/>
      <c r="AFF56" s="77"/>
      <c r="AFG56" s="77"/>
      <c r="AFH56" s="77"/>
      <c r="AFI56" s="77"/>
      <c r="AFJ56" s="77"/>
      <c r="AFK56" s="77"/>
      <c r="AFL56" s="77"/>
      <c r="AFM56" s="77"/>
      <c r="AFN56" s="77"/>
      <c r="AFO56" s="77"/>
      <c r="AFP56" s="77"/>
      <c r="AFQ56" s="77"/>
      <c r="AFR56" s="77"/>
      <c r="AFS56" s="77"/>
      <c r="AFT56" s="77"/>
      <c r="AFU56" s="77"/>
      <c r="AFV56" s="77"/>
      <c r="AFW56" s="77"/>
      <c r="AFX56" s="77"/>
      <c r="AFY56" s="77"/>
      <c r="AFZ56" s="77"/>
      <c r="AGA56" s="77"/>
      <c r="AGB56" s="77"/>
      <c r="AGC56" s="77"/>
      <c r="AGD56" s="77"/>
      <c r="AGE56" s="77"/>
      <c r="AGF56" s="77"/>
      <c r="AGG56" s="77"/>
      <c r="AGH56" s="77"/>
      <c r="AGI56" s="77"/>
      <c r="AGJ56" s="77"/>
      <c r="AGK56" s="77"/>
      <c r="AGL56" s="77"/>
      <c r="AGM56" s="77"/>
      <c r="AGN56" s="77"/>
      <c r="AGO56" s="77"/>
      <c r="AGP56" s="77"/>
      <c r="AGQ56" s="77"/>
      <c r="AGR56" s="77"/>
      <c r="AGS56" s="77"/>
      <c r="AGT56" s="77"/>
      <c r="AGU56" s="77"/>
      <c r="AGV56" s="77"/>
      <c r="AGW56" s="77"/>
      <c r="AGX56" s="77"/>
      <c r="AGY56" s="77"/>
      <c r="AGZ56" s="77"/>
      <c r="AHA56" s="77"/>
      <c r="AHB56" s="77"/>
      <c r="AHC56" s="77"/>
      <c r="AHD56" s="77"/>
      <c r="AHE56" s="77"/>
      <c r="AHF56" s="77"/>
      <c r="AHG56" s="77"/>
      <c r="AHH56" s="77"/>
      <c r="AHI56" s="77"/>
      <c r="AHJ56" s="77"/>
      <c r="AHK56" s="77"/>
      <c r="AHL56" s="77"/>
      <c r="AHM56" s="77"/>
      <c r="AHN56" s="77"/>
      <c r="AHO56" s="77"/>
      <c r="AHP56" s="77"/>
      <c r="AHQ56" s="77"/>
      <c r="AHR56" s="77"/>
      <c r="AHS56" s="77"/>
      <c r="AHT56" s="77"/>
      <c r="AHU56" s="77"/>
      <c r="AHV56" s="77"/>
      <c r="AHW56" s="77"/>
      <c r="AHX56" s="77"/>
      <c r="AHY56" s="77"/>
      <c r="AHZ56" s="77"/>
      <c r="AIA56" s="77"/>
      <c r="AIB56" s="77"/>
      <c r="AIC56" s="77"/>
      <c r="AID56" s="77"/>
      <c r="AIE56" s="77"/>
      <c r="AIF56" s="77"/>
      <c r="AIG56" s="77"/>
      <c r="AIH56" s="77"/>
      <c r="AII56" s="77"/>
      <c r="AIJ56" s="77"/>
      <c r="AIK56" s="77"/>
      <c r="AIL56" s="77"/>
      <c r="AIM56" s="77"/>
      <c r="AIN56" s="77"/>
      <c r="AIO56" s="77"/>
      <c r="AIP56" s="77"/>
      <c r="AIQ56" s="77"/>
      <c r="AIR56" s="77"/>
      <c r="AIS56" s="77"/>
      <c r="AIT56" s="77"/>
      <c r="AIU56" s="77"/>
      <c r="AIV56" s="77"/>
      <c r="AIW56" s="77"/>
      <c r="AIX56" s="77"/>
      <c r="AIY56" s="77"/>
      <c r="AIZ56" s="77"/>
      <c r="AJA56" s="77"/>
      <c r="AJB56" s="77"/>
      <c r="AJC56" s="77"/>
      <c r="AJD56" s="77"/>
      <c r="AJE56" s="77"/>
      <c r="AJF56" s="77"/>
      <c r="AJG56" s="77"/>
      <c r="AJH56" s="77"/>
      <c r="AJI56" s="77"/>
      <c r="AJJ56" s="77"/>
      <c r="AJK56" s="77"/>
      <c r="AJL56" s="77"/>
      <c r="AJM56" s="77"/>
      <c r="AJN56" s="77"/>
      <c r="AJO56" s="77"/>
      <c r="AJP56" s="77"/>
      <c r="AJQ56" s="77"/>
      <c r="AJR56" s="77"/>
      <c r="AJS56" s="77"/>
      <c r="AJT56" s="77"/>
      <c r="AJU56" s="77"/>
      <c r="AJV56" s="77"/>
      <c r="AJW56" s="77"/>
      <c r="AJX56" s="77"/>
      <c r="AJY56" s="77"/>
      <c r="AJZ56" s="77"/>
      <c r="AKA56" s="77"/>
      <c r="AKB56" s="77"/>
      <c r="AKC56" s="77"/>
      <c r="AKD56" s="77"/>
      <c r="AKE56" s="77"/>
      <c r="AKF56" s="77"/>
      <c r="AKG56" s="77"/>
      <c r="AKH56" s="77"/>
      <c r="AKI56" s="77"/>
      <c r="AKJ56" s="77"/>
      <c r="AKK56" s="77"/>
      <c r="AKL56" s="77"/>
      <c r="AKM56" s="77"/>
      <c r="AKN56" s="77"/>
      <c r="AKO56" s="77"/>
      <c r="AKP56" s="77"/>
      <c r="AKQ56" s="77"/>
      <c r="AKR56" s="77"/>
      <c r="AKS56" s="77"/>
      <c r="AKT56" s="77"/>
      <c r="AKU56" s="77"/>
      <c r="AKV56" s="77"/>
      <c r="AKW56" s="77"/>
      <c r="AKX56" s="77"/>
      <c r="AKY56" s="77"/>
      <c r="AKZ56" s="77"/>
      <c r="ALA56" s="77"/>
      <c r="ALB56" s="77"/>
      <c r="ALC56" s="77"/>
      <c r="ALD56" s="77"/>
      <c r="ALE56" s="77"/>
      <c r="ALF56" s="77"/>
      <c r="ALG56" s="77"/>
      <c r="ALH56" s="77"/>
      <c r="ALI56" s="77"/>
      <c r="ALJ56" s="77"/>
      <c r="ALK56" s="77"/>
      <c r="ALL56" s="77"/>
      <c r="ALM56" s="77"/>
      <c r="ALN56" s="77"/>
      <c r="ALO56" s="77"/>
    </row>
    <row r="57" spans="1:1003" s="78" customFormat="1" ht="30" customHeight="1" x14ac:dyDescent="0.25">
      <c r="A57" s="79" t="s">
        <v>191</v>
      </c>
      <c r="B57" s="69" t="s">
        <v>138</v>
      </c>
      <c r="C57" s="69" t="s">
        <v>129</v>
      </c>
      <c r="D57" s="70" t="s">
        <v>171</v>
      </c>
      <c r="E57" s="71" t="s">
        <v>85</v>
      </c>
      <c r="F57" s="71" t="s">
        <v>118</v>
      </c>
      <c r="G57" s="72" t="s">
        <v>119</v>
      </c>
      <c r="H57" s="73">
        <v>39</v>
      </c>
      <c r="I57" s="73">
        <v>57</v>
      </c>
      <c r="J57" s="73">
        <v>16</v>
      </c>
      <c r="K57" s="73">
        <v>13.5</v>
      </c>
      <c r="L57" s="73">
        <v>89</v>
      </c>
      <c r="M57" s="73">
        <v>81</v>
      </c>
      <c r="N57" s="73">
        <v>100</v>
      </c>
      <c r="O57" s="73">
        <v>68</v>
      </c>
      <c r="P57" s="73">
        <v>37</v>
      </c>
      <c r="Q57" s="74">
        <v>69</v>
      </c>
      <c r="R57" s="74">
        <v>94</v>
      </c>
      <c r="S57" s="74">
        <v>63</v>
      </c>
      <c r="T57" s="74">
        <v>30</v>
      </c>
      <c r="U57" s="74">
        <v>23</v>
      </c>
      <c r="V57" s="74">
        <v>18</v>
      </c>
      <c r="W57" s="80">
        <v>87</v>
      </c>
      <c r="X57" s="73"/>
      <c r="Y57" s="73"/>
      <c r="Z57" s="73"/>
      <c r="AA57" s="73"/>
      <c r="AB57" s="73"/>
      <c r="AC57" s="73"/>
      <c r="AD57" s="73"/>
      <c r="AE57" s="73"/>
      <c r="AF57" s="73"/>
      <c r="AG57" s="75">
        <v>1</v>
      </c>
      <c r="AH57" s="75"/>
      <c r="AI57" s="76">
        <v>44456</v>
      </c>
      <c r="AJ57" s="77"/>
      <c r="AK57" s="77">
        <v>1</v>
      </c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7"/>
      <c r="BT57" s="77"/>
      <c r="BU57" s="77"/>
      <c r="BV57" s="77"/>
      <c r="BW57" s="77"/>
      <c r="BX57" s="77"/>
      <c r="BY57" s="77"/>
      <c r="BZ57" s="77"/>
      <c r="CA57" s="77"/>
      <c r="CB57" s="77"/>
      <c r="CC57" s="77"/>
      <c r="CD57" s="77"/>
      <c r="CE57" s="77"/>
      <c r="CF57" s="77"/>
      <c r="CG57" s="77"/>
      <c r="CH57" s="77"/>
      <c r="CI57" s="77"/>
      <c r="CJ57" s="77"/>
      <c r="CK57" s="77"/>
      <c r="CL57" s="77"/>
      <c r="CM57" s="77"/>
      <c r="CN57" s="77"/>
      <c r="CO57" s="77"/>
      <c r="CP57" s="77"/>
      <c r="CQ57" s="77"/>
      <c r="CR57" s="77"/>
      <c r="CS57" s="77"/>
      <c r="CT57" s="77"/>
      <c r="CU57" s="77"/>
      <c r="CV57" s="77"/>
      <c r="CW57" s="77"/>
      <c r="CX57" s="77"/>
      <c r="CY57" s="77"/>
      <c r="CZ57" s="77"/>
      <c r="DA57" s="77"/>
      <c r="DB57" s="77"/>
      <c r="DC57" s="77"/>
      <c r="DD57" s="77"/>
      <c r="DE57" s="77"/>
      <c r="DF57" s="77"/>
      <c r="DG57" s="77"/>
      <c r="DH57" s="77"/>
      <c r="DI57" s="77"/>
      <c r="DJ57" s="77"/>
      <c r="DK57" s="77"/>
      <c r="DL57" s="77"/>
      <c r="DM57" s="77"/>
      <c r="DN57" s="77"/>
      <c r="DO57" s="77"/>
      <c r="DP57" s="77"/>
      <c r="DQ57" s="77"/>
      <c r="DR57" s="77"/>
      <c r="DS57" s="77"/>
      <c r="DT57" s="77"/>
      <c r="DU57" s="77"/>
      <c r="DV57" s="77"/>
      <c r="DW57" s="77"/>
      <c r="DX57" s="77"/>
      <c r="DY57" s="77"/>
      <c r="DZ57" s="77"/>
      <c r="EA57" s="77"/>
      <c r="EB57" s="77"/>
      <c r="EC57" s="77"/>
      <c r="ED57" s="77"/>
      <c r="EE57" s="77"/>
      <c r="EF57" s="77"/>
      <c r="EG57" s="77"/>
      <c r="EH57" s="77"/>
      <c r="EI57" s="77"/>
      <c r="EJ57" s="77"/>
      <c r="EK57" s="77"/>
      <c r="EL57" s="77"/>
      <c r="EM57" s="77"/>
      <c r="EN57" s="77"/>
      <c r="EO57" s="77"/>
      <c r="EP57" s="77"/>
      <c r="EQ57" s="77"/>
      <c r="ER57" s="77"/>
      <c r="ES57" s="77"/>
      <c r="ET57" s="77"/>
      <c r="EU57" s="77"/>
      <c r="EV57" s="77"/>
      <c r="EW57" s="77"/>
      <c r="EX57" s="77"/>
      <c r="EY57" s="77"/>
      <c r="EZ57" s="77"/>
      <c r="FA57" s="77"/>
      <c r="FB57" s="77"/>
      <c r="FC57" s="77"/>
      <c r="FD57" s="77"/>
      <c r="FE57" s="77"/>
      <c r="FF57" s="77"/>
      <c r="FG57" s="77"/>
      <c r="FH57" s="77"/>
      <c r="FI57" s="77"/>
      <c r="FJ57" s="77"/>
      <c r="FK57" s="77"/>
      <c r="FL57" s="77"/>
      <c r="FM57" s="77"/>
      <c r="FN57" s="77"/>
      <c r="FO57" s="77"/>
      <c r="FP57" s="77"/>
      <c r="FQ57" s="77"/>
      <c r="FR57" s="77"/>
      <c r="FS57" s="77"/>
      <c r="FT57" s="77"/>
      <c r="FU57" s="77"/>
      <c r="FV57" s="77"/>
      <c r="FW57" s="77"/>
      <c r="FX57" s="77"/>
      <c r="FY57" s="77"/>
      <c r="FZ57" s="77"/>
      <c r="GA57" s="77"/>
      <c r="GB57" s="77"/>
      <c r="GC57" s="77"/>
      <c r="GD57" s="77"/>
      <c r="GE57" s="77"/>
      <c r="GF57" s="77"/>
      <c r="GG57" s="77"/>
      <c r="GH57" s="77"/>
      <c r="GI57" s="77"/>
      <c r="GJ57" s="77"/>
      <c r="GK57" s="77"/>
      <c r="GL57" s="77"/>
      <c r="GM57" s="77"/>
      <c r="GN57" s="77"/>
      <c r="GO57" s="77"/>
      <c r="GP57" s="77"/>
      <c r="GQ57" s="77"/>
      <c r="GR57" s="77"/>
      <c r="GS57" s="77"/>
      <c r="GT57" s="77"/>
      <c r="GU57" s="77"/>
      <c r="GV57" s="77"/>
      <c r="GW57" s="77"/>
      <c r="GX57" s="77"/>
      <c r="GY57" s="77"/>
      <c r="GZ57" s="77"/>
      <c r="HA57" s="77"/>
      <c r="HB57" s="77"/>
      <c r="HC57" s="77"/>
      <c r="HD57" s="77"/>
      <c r="HE57" s="77"/>
      <c r="HF57" s="77"/>
      <c r="HG57" s="77"/>
      <c r="HH57" s="77"/>
      <c r="HI57" s="77"/>
      <c r="HJ57" s="77"/>
      <c r="HK57" s="77"/>
      <c r="HL57" s="77"/>
      <c r="HM57" s="77"/>
      <c r="HN57" s="77"/>
      <c r="HO57" s="77"/>
      <c r="HP57" s="77"/>
      <c r="HQ57" s="77"/>
      <c r="HR57" s="77"/>
      <c r="HS57" s="77"/>
      <c r="HT57" s="77"/>
      <c r="HU57" s="77"/>
      <c r="HV57" s="77"/>
      <c r="HW57" s="77"/>
      <c r="HX57" s="77"/>
      <c r="HY57" s="77"/>
      <c r="HZ57" s="77"/>
      <c r="IA57" s="77"/>
      <c r="IB57" s="77"/>
      <c r="IC57" s="77"/>
      <c r="ID57" s="77"/>
      <c r="IE57" s="77"/>
      <c r="IF57" s="77"/>
      <c r="IG57" s="77"/>
      <c r="IH57" s="77"/>
      <c r="II57" s="77"/>
      <c r="IJ57" s="77"/>
      <c r="IK57" s="77"/>
      <c r="IL57" s="77"/>
      <c r="IM57" s="77"/>
      <c r="IN57" s="77"/>
      <c r="IO57" s="77"/>
      <c r="IP57" s="77"/>
      <c r="IQ57" s="77"/>
      <c r="IR57" s="77"/>
      <c r="IS57" s="77"/>
      <c r="IT57" s="77"/>
      <c r="IU57" s="77"/>
      <c r="IV57" s="77"/>
      <c r="IW57" s="77"/>
      <c r="IX57" s="77"/>
      <c r="IY57" s="77"/>
      <c r="IZ57" s="77"/>
      <c r="JA57" s="77"/>
      <c r="JB57" s="77"/>
      <c r="JC57" s="77"/>
      <c r="JD57" s="77"/>
      <c r="JE57" s="77"/>
      <c r="JF57" s="77"/>
      <c r="JG57" s="77"/>
      <c r="JH57" s="77"/>
      <c r="JI57" s="77"/>
      <c r="JJ57" s="77"/>
      <c r="JK57" s="77"/>
      <c r="JL57" s="77"/>
      <c r="JM57" s="77"/>
      <c r="JN57" s="77"/>
      <c r="JO57" s="77"/>
      <c r="JP57" s="77"/>
      <c r="JQ57" s="77"/>
      <c r="JR57" s="77"/>
      <c r="JS57" s="77"/>
      <c r="JT57" s="77"/>
      <c r="JU57" s="77"/>
      <c r="JV57" s="77"/>
      <c r="JW57" s="77"/>
      <c r="JX57" s="77"/>
      <c r="JY57" s="77"/>
      <c r="JZ57" s="77"/>
      <c r="KA57" s="77"/>
      <c r="KB57" s="77"/>
      <c r="KC57" s="77"/>
      <c r="KD57" s="77"/>
      <c r="KE57" s="77"/>
      <c r="KF57" s="77"/>
      <c r="KG57" s="77"/>
      <c r="KH57" s="77"/>
      <c r="KI57" s="77"/>
      <c r="KJ57" s="77"/>
      <c r="KK57" s="77"/>
      <c r="KL57" s="77"/>
      <c r="KM57" s="77"/>
      <c r="KN57" s="77"/>
      <c r="KO57" s="77"/>
      <c r="KP57" s="77"/>
      <c r="KQ57" s="77"/>
      <c r="KR57" s="77"/>
      <c r="KS57" s="77"/>
      <c r="KT57" s="77"/>
      <c r="KU57" s="77"/>
      <c r="KV57" s="77"/>
      <c r="KW57" s="77"/>
      <c r="KX57" s="77"/>
      <c r="KY57" s="77"/>
      <c r="KZ57" s="77"/>
      <c r="LA57" s="77"/>
      <c r="LB57" s="77"/>
      <c r="LC57" s="77"/>
      <c r="LD57" s="77"/>
      <c r="LE57" s="77"/>
      <c r="LF57" s="77"/>
      <c r="LG57" s="77"/>
      <c r="LH57" s="77"/>
      <c r="LI57" s="77"/>
      <c r="LJ57" s="77"/>
      <c r="LK57" s="77"/>
      <c r="LL57" s="77"/>
      <c r="LM57" s="77"/>
      <c r="LN57" s="77"/>
      <c r="LO57" s="77"/>
      <c r="LP57" s="77"/>
      <c r="LQ57" s="77"/>
      <c r="LR57" s="77"/>
      <c r="LS57" s="77"/>
      <c r="LT57" s="77"/>
      <c r="LU57" s="77"/>
      <c r="LV57" s="77"/>
      <c r="LW57" s="77"/>
      <c r="LX57" s="77"/>
      <c r="LY57" s="77"/>
      <c r="LZ57" s="77"/>
      <c r="MA57" s="77"/>
      <c r="MB57" s="77"/>
      <c r="MC57" s="77"/>
      <c r="MD57" s="77"/>
      <c r="ME57" s="77"/>
      <c r="MF57" s="77"/>
      <c r="MG57" s="77"/>
      <c r="MH57" s="77"/>
      <c r="MI57" s="77"/>
      <c r="MJ57" s="77"/>
      <c r="MK57" s="77"/>
      <c r="ML57" s="77"/>
      <c r="MM57" s="77"/>
      <c r="MN57" s="77"/>
      <c r="MO57" s="77"/>
      <c r="MP57" s="77"/>
      <c r="MQ57" s="77"/>
      <c r="MR57" s="77"/>
      <c r="MS57" s="77"/>
      <c r="MT57" s="77"/>
      <c r="MU57" s="77"/>
      <c r="MV57" s="77"/>
      <c r="MW57" s="77"/>
      <c r="MX57" s="77"/>
      <c r="MY57" s="77"/>
      <c r="MZ57" s="77"/>
      <c r="NA57" s="77"/>
      <c r="NB57" s="77"/>
      <c r="NC57" s="77"/>
      <c r="ND57" s="77"/>
      <c r="NE57" s="77"/>
      <c r="NF57" s="77"/>
      <c r="NG57" s="77"/>
      <c r="NH57" s="77"/>
      <c r="NI57" s="77"/>
      <c r="NJ57" s="77"/>
      <c r="NK57" s="77"/>
      <c r="NL57" s="77"/>
      <c r="NM57" s="77"/>
      <c r="NN57" s="77"/>
      <c r="NO57" s="77"/>
      <c r="NP57" s="77"/>
      <c r="NQ57" s="77"/>
      <c r="NR57" s="77"/>
      <c r="NS57" s="77"/>
      <c r="NT57" s="77"/>
      <c r="NU57" s="77"/>
      <c r="NV57" s="77"/>
      <c r="NW57" s="77"/>
      <c r="NX57" s="77"/>
      <c r="NY57" s="77"/>
      <c r="NZ57" s="77"/>
      <c r="OA57" s="77"/>
      <c r="OB57" s="77"/>
      <c r="OC57" s="77"/>
      <c r="OD57" s="77"/>
      <c r="OE57" s="77"/>
      <c r="OF57" s="77"/>
      <c r="OG57" s="77"/>
      <c r="OH57" s="77"/>
      <c r="OI57" s="77"/>
      <c r="OJ57" s="77"/>
      <c r="OK57" s="77"/>
      <c r="OL57" s="77"/>
      <c r="OM57" s="77"/>
      <c r="ON57" s="77"/>
      <c r="OO57" s="77"/>
      <c r="OP57" s="77"/>
      <c r="OQ57" s="77"/>
      <c r="OR57" s="77"/>
      <c r="OS57" s="77"/>
      <c r="OT57" s="77"/>
      <c r="OU57" s="77"/>
      <c r="OV57" s="77"/>
      <c r="OW57" s="77"/>
      <c r="OX57" s="77"/>
      <c r="OY57" s="77"/>
      <c r="OZ57" s="77"/>
      <c r="PA57" s="77"/>
      <c r="PB57" s="77"/>
      <c r="PC57" s="77"/>
      <c r="PD57" s="77"/>
      <c r="PE57" s="77"/>
      <c r="PF57" s="77"/>
      <c r="PG57" s="77"/>
      <c r="PH57" s="77"/>
      <c r="PI57" s="77"/>
      <c r="PJ57" s="77"/>
      <c r="PK57" s="77"/>
      <c r="PL57" s="77"/>
      <c r="PM57" s="77"/>
      <c r="PN57" s="77"/>
      <c r="PO57" s="77"/>
      <c r="PP57" s="77"/>
      <c r="PQ57" s="77"/>
      <c r="PR57" s="77"/>
      <c r="PS57" s="77"/>
      <c r="PT57" s="77"/>
      <c r="PU57" s="77"/>
      <c r="PV57" s="77"/>
      <c r="PW57" s="77"/>
      <c r="PX57" s="77"/>
      <c r="PY57" s="77"/>
      <c r="PZ57" s="77"/>
      <c r="QA57" s="77"/>
      <c r="QB57" s="77"/>
      <c r="QC57" s="77"/>
      <c r="QD57" s="77"/>
      <c r="QE57" s="77"/>
      <c r="QF57" s="77"/>
      <c r="QG57" s="77"/>
      <c r="QH57" s="77"/>
      <c r="QI57" s="77"/>
      <c r="QJ57" s="77"/>
      <c r="QK57" s="77"/>
      <c r="QL57" s="77"/>
      <c r="QM57" s="77"/>
      <c r="QN57" s="77"/>
      <c r="QO57" s="77"/>
      <c r="QP57" s="77"/>
      <c r="QQ57" s="77"/>
      <c r="QR57" s="77"/>
      <c r="QS57" s="77"/>
      <c r="QT57" s="77"/>
      <c r="QU57" s="77"/>
      <c r="QV57" s="77"/>
      <c r="QW57" s="77"/>
      <c r="QX57" s="77"/>
      <c r="QY57" s="77"/>
      <c r="QZ57" s="77"/>
      <c r="RA57" s="77"/>
      <c r="RB57" s="77"/>
      <c r="RC57" s="77"/>
      <c r="RD57" s="77"/>
      <c r="RE57" s="77"/>
      <c r="RF57" s="77"/>
      <c r="RG57" s="77"/>
      <c r="RH57" s="77"/>
      <c r="RI57" s="77"/>
      <c r="RJ57" s="77"/>
      <c r="RK57" s="77"/>
      <c r="RL57" s="77"/>
      <c r="RM57" s="77"/>
      <c r="RN57" s="77"/>
      <c r="RO57" s="77"/>
      <c r="RP57" s="77"/>
      <c r="RQ57" s="77"/>
      <c r="RR57" s="77"/>
      <c r="RS57" s="77"/>
      <c r="RT57" s="77"/>
      <c r="RU57" s="77"/>
      <c r="RV57" s="77"/>
      <c r="RW57" s="77"/>
      <c r="RX57" s="77"/>
      <c r="RY57" s="77"/>
      <c r="RZ57" s="77"/>
      <c r="SA57" s="77"/>
      <c r="SB57" s="77"/>
      <c r="SC57" s="77"/>
      <c r="SD57" s="77"/>
      <c r="SE57" s="77"/>
      <c r="SF57" s="77"/>
      <c r="SG57" s="77"/>
      <c r="SH57" s="77"/>
      <c r="SI57" s="77"/>
      <c r="SJ57" s="77"/>
      <c r="SK57" s="77"/>
      <c r="SL57" s="77"/>
      <c r="SM57" s="77"/>
      <c r="SN57" s="77"/>
      <c r="SO57" s="77"/>
      <c r="SP57" s="77"/>
      <c r="SQ57" s="77"/>
      <c r="SR57" s="77"/>
      <c r="SS57" s="77"/>
      <c r="ST57" s="77"/>
      <c r="SU57" s="77"/>
      <c r="SV57" s="77"/>
      <c r="SW57" s="77"/>
      <c r="SX57" s="77"/>
      <c r="SY57" s="77"/>
      <c r="SZ57" s="77"/>
      <c r="TA57" s="77"/>
      <c r="TB57" s="77"/>
      <c r="TC57" s="77"/>
      <c r="TD57" s="77"/>
      <c r="TE57" s="77"/>
      <c r="TF57" s="77"/>
      <c r="TG57" s="77"/>
      <c r="TH57" s="77"/>
      <c r="TI57" s="77"/>
      <c r="TJ57" s="77"/>
      <c r="TK57" s="77"/>
      <c r="TL57" s="77"/>
      <c r="TM57" s="77"/>
      <c r="TN57" s="77"/>
      <c r="TO57" s="77"/>
      <c r="TP57" s="77"/>
      <c r="TQ57" s="77"/>
      <c r="TR57" s="77"/>
      <c r="TS57" s="77"/>
      <c r="TT57" s="77"/>
      <c r="TU57" s="77"/>
      <c r="TV57" s="77"/>
      <c r="TW57" s="77"/>
      <c r="TX57" s="77"/>
      <c r="TY57" s="77"/>
      <c r="TZ57" s="77"/>
      <c r="UA57" s="77"/>
      <c r="UB57" s="77"/>
      <c r="UC57" s="77"/>
      <c r="UD57" s="77"/>
      <c r="UE57" s="77"/>
      <c r="UF57" s="77"/>
      <c r="UG57" s="77"/>
      <c r="UH57" s="77"/>
      <c r="UI57" s="77"/>
      <c r="UJ57" s="77"/>
      <c r="UK57" s="77"/>
      <c r="UL57" s="77"/>
      <c r="UM57" s="77"/>
      <c r="UN57" s="77"/>
      <c r="UO57" s="77"/>
      <c r="UP57" s="77"/>
      <c r="UQ57" s="77"/>
      <c r="UR57" s="77"/>
      <c r="US57" s="77"/>
      <c r="UT57" s="77"/>
      <c r="UU57" s="77"/>
      <c r="UV57" s="77"/>
      <c r="UW57" s="77"/>
      <c r="UX57" s="77"/>
      <c r="UY57" s="77"/>
      <c r="UZ57" s="77"/>
      <c r="VA57" s="77"/>
      <c r="VB57" s="77"/>
      <c r="VC57" s="77"/>
      <c r="VD57" s="77"/>
      <c r="VE57" s="77"/>
      <c r="VF57" s="77"/>
      <c r="VG57" s="77"/>
      <c r="VH57" s="77"/>
      <c r="VI57" s="77"/>
      <c r="VJ57" s="77"/>
      <c r="VK57" s="77"/>
      <c r="VL57" s="77"/>
      <c r="VM57" s="77"/>
      <c r="VN57" s="77"/>
      <c r="VO57" s="77"/>
      <c r="VP57" s="77"/>
      <c r="VQ57" s="77"/>
      <c r="VR57" s="77"/>
      <c r="VS57" s="77"/>
      <c r="VT57" s="77"/>
      <c r="VU57" s="77"/>
      <c r="VV57" s="77"/>
      <c r="VW57" s="77"/>
      <c r="VX57" s="77"/>
      <c r="VY57" s="77"/>
      <c r="VZ57" s="77"/>
      <c r="WA57" s="77"/>
      <c r="WB57" s="77"/>
      <c r="WC57" s="77"/>
      <c r="WD57" s="77"/>
      <c r="WE57" s="77"/>
      <c r="WF57" s="77"/>
      <c r="WG57" s="77"/>
      <c r="WH57" s="77"/>
      <c r="WI57" s="77"/>
      <c r="WJ57" s="77"/>
      <c r="WK57" s="77"/>
      <c r="WL57" s="77"/>
      <c r="WM57" s="77"/>
      <c r="WN57" s="77"/>
      <c r="WO57" s="77"/>
      <c r="WP57" s="77"/>
      <c r="WQ57" s="77"/>
      <c r="WR57" s="77"/>
      <c r="WS57" s="77"/>
      <c r="WT57" s="77"/>
      <c r="WU57" s="77"/>
      <c r="WV57" s="77"/>
      <c r="WW57" s="77"/>
      <c r="WX57" s="77"/>
      <c r="WY57" s="77"/>
      <c r="WZ57" s="77"/>
      <c r="XA57" s="77"/>
      <c r="XB57" s="77"/>
      <c r="XC57" s="77"/>
      <c r="XD57" s="77"/>
      <c r="XE57" s="77"/>
      <c r="XF57" s="77"/>
      <c r="XG57" s="77"/>
      <c r="XH57" s="77"/>
      <c r="XI57" s="77"/>
      <c r="XJ57" s="77"/>
      <c r="XK57" s="77"/>
      <c r="XL57" s="77"/>
      <c r="XM57" s="77"/>
      <c r="XN57" s="77"/>
      <c r="XO57" s="77"/>
      <c r="XP57" s="77"/>
      <c r="XQ57" s="77"/>
      <c r="XR57" s="77"/>
      <c r="XS57" s="77"/>
      <c r="XT57" s="77"/>
      <c r="XU57" s="77"/>
      <c r="XV57" s="77"/>
      <c r="XW57" s="77"/>
      <c r="XX57" s="77"/>
      <c r="XY57" s="77"/>
      <c r="XZ57" s="77"/>
      <c r="YA57" s="77"/>
      <c r="YB57" s="77"/>
      <c r="YC57" s="77"/>
      <c r="YD57" s="77"/>
      <c r="YE57" s="77"/>
      <c r="YF57" s="77"/>
      <c r="YG57" s="77"/>
      <c r="YH57" s="77"/>
      <c r="YI57" s="77"/>
      <c r="YJ57" s="77"/>
      <c r="YK57" s="77"/>
      <c r="YL57" s="77"/>
      <c r="YM57" s="77"/>
      <c r="YN57" s="77"/>
      <c r="YO57" s="77"/>
      <c r="YP57" s="77"/>
      <c r="YQ57" s="77"/>
      <c r="YR57" s="77"/>
      <c r="YS57" s="77"/>
      <c r="YT57" s="77"/>
      <c r="YU57" s="77"/>
      <c r="YV57" s="77"/>
      <c r="YW57" s="77"/>
      <c r="YX57" s="77"/>
      <c r="YY57" s="77"/>
      <c r="YZ57" s="77"/>
      <c r="ZA57" s="77"/>
      <c r="ZB57" s="77"/>
      <c r="ZC57" s="77"/>
      <c r="ZD57" s="77"/>
      <c r="ZE57" s="77"/>
      <c r="ZF57" s="77"/>
      <c r="ZG57" s="77"/>
      <c r="ZH57" s="77"/>
      <c r="ZI57" s="77"/>
      <c r="ZJ57" s="77"/>
      <c r="ZK57" s="77"/>
      <c r="ZL57" s="77"/>
      <c r="ZM57" s="77"/>
      <c r="ZN57" s="77"/>
      <c r="ZO57" s="77"/>
      <c r="ZP57" s="77"/>
      <c r="ZQ57" s="77"/>
      <c r="ZR57" s="77"/>
      <c r="ZS57" s="77"/>
      <c r="ZT57" s="77"/>
      <c r="ZU57" s="77"/>
      <c r="ZV57" s="77"/>
      <c r="ZW57" s="77"/>
      <c r="ZX57" s="77"/>
      <c r="ZY57" s="77"/>
      <c r="ZZ57" s="77"/>
      <c r="AAA57" s="77"/>
      <c r="AAB57" s="77"/>
      <c r="AAC57" s="77"/>
      <c r="AAD57" s="77"/>
      <c r="AAE57" s="77"/>
      <c r="AAF57" s="77"/>
      <c r="AAG57" s="77"/>
      <c r="AAH57" s="77"/>
      <c r="AAI57" s="77"/>
      <c r="AAJ57" s="77"/>
      <c r="AAK57" s="77"/>
      <c r="AAL57" s="77"/>
      <c r="AAM57" s="77"/>
      <c r="AAN57" s="77"/>
      <c r="AAO57" s="77"/>
      <c r="AAP57" s="77"/>
      <c r="AAQ57" s="77"/>
      <c r="AAR57" s="77"/>
      <c r="AAS57" s="77"/>
      <c r="AAT57" s="77"/>
      <c r="AAU57" s="77"/>
      <c r="AAV57" s="77"/>
      <c r="AAW57" s="77"/>
      <c r="AAX57" s="77"/>
      <c r="AAY57" s="77"/>
      <c r="AAZ57" s="77"/>
      <c r="ABA57" s="77"/>
      <c r="ABB57" s="77"/>
      <c r="ABC57" s="77"/>
      <c r="ABD57" s="77"/>
      <c r="ABE57" s="77"/>
      <c r="ABF57" s="77"/>
      <c r="ABG57" s="77"/>
      <c r="ABH57" s="77"/>
      <c r="ABI57" s="77"/>
      <c r="ABJ57" s="77"/>
      <c r="ABK57" s="77"/>
      <c r="ABL57" s="77"/>
      <c r="ABM57" s="77"/>
      <c r="ABN57" s="77"/>
      <c r="ABO57" s="77"/>
      <c r="ABP57" s="77"/>
      <c r="ABQ57" s="77"/>
      <c r="ABR57" s="77"/>
      <c r="ABS57" s="77"/>
      <c r="ABT57" s="77"/>
      <c r="ABU57" s="77"/>
      <c r="ABV57" s="77"/>
      <c r="ABW57" s="77"/>
      <c r="ABX57" s="77"/>
      <c r="ABY57" s="77"/>
      <c r="ABZ57" s="77"/>
      <c r="ACA57" s="77"/>
      <c r="ACB57" s="77"/>
      <c r="ACC57" s="77"/>
      <c r="ACD57" s="77"/>
      <c r="ACE57" s="77"/>
      <c r="ACF57" s="77"/>
      <c r="ACG57" s="77"/>
      <c r="ACH57" s="77"/>
      <c r="ACI57" s="77"/>
      <c r="ACJ57" s="77"/>
      <c r="ACK57" s="77"/>
      <c r="ACL57" s="77"/>
      <c r="ACM57" s="77"/>
      <c r="ACN57" s="77"/>
      <c r="ACO57" s="77"/>
      <c r="ACP57" s="77"/>
      <c r="ACQ57" s="77"/>
      <c r="ACR57" s="77"/>
      <c r="ACS57" s="77"/>
      <c r="ACT57" s="77"/>
      <c r="ACU57" s="77"/>
      <c r="ACV57" s="77"/>
      <c r="ACW57" s="77"/>
      <c r="ACX57" s="77"/>
      <c r="ACY57" s="77"/>
      <c r="ACZ57" s="77"/>
      <c r="ADA57" s="77"/>
      <c r="ADB57" s="77"/>
      <c r="ADC57" s="77"/>
      <c r="ADD57" s="77"/>
      <c r="ADE57" s="77"/>
      <c r="ADF57" s="77"/>
      <c r="ADG57" s="77"/>
      <c r="ADH57" s="77"/>
      <c r="ADI57" s="77"/>
      <c r="ADJ57" s="77"/>
      <c r="ADK57" s="77"/>
      <c r="ADL57" s="77"/>
      <c r="ADM57" s="77"/>
      <c r="ADN57" s="77"/>
      <c r="ADO57" s="77"/>
      <c r="ADP57" s="77"/>
      <c r="ADQ57" s="77"/>
      <c r="ADR57" s="77"/>
      <c r="ADS57" s="77"/>
      <c r="ADT57" s="77"/>
      <c r="ADU57" s="77"/>
      <c r="ADV57" s="77"/>
      <c r="ADW57" s="77"/>
      <c r="ADX57" s="77"/>
      <c r="ADY57" s="77"/>
      <c r="ADZ57" s="77"/>
      <c r="AEA57" s="77"/>
      <c r="AEB57" s="77"/>
      <c r="AEC57" s="77"/>
      <c r="AED57" s="77"/>
      <c r="AEE57" s="77"/>
      <c r="AEF57" s="77"/>
      <c r="AEG57" s="77"/>
      <c r="AEH57" s="77"/>
      <c r="AEI57" s="77"/>
      <c r="AEJ57" s="77"/>
      <c r="AEK57" s="77"/>
      <c r="AEL57" s="77"/>
      <c r="AEM57" s="77"/>
      <c r="AEN57" s="77"/>
      <c r="AEO57" s="77"/>
      <c r="AEP57" s="77"/>
      <c r="AEQ57" s="77"/>
      <c r="AER57" s="77"/>
      <c r="AES57" s="77"/>
      <c r="AET57" s="77"/>
      <c r="AEU57" s="77"/>
      <c r="AEV57" s="77"/>
      <c r="AEW57" s="77"/>
      <c r="AEX57" s="77"/>
      <c r="AEY57" s="77"/>
      <c r="AEZ57" s="77"/>
      <c r="AFA57" s="77"/>
      <c r="AFB57" s="77"/>
      <c r="AFC57" s="77"/>
      <c r="AFD57" s="77"/>
      <c r="AFE57" s="77"/>
      <c r="AFF57" s="77"/>
      <c r="AFG57" s="77"/>
      <c r="AFH57" s="77"/>
      <c r="AFI57" s="77"/>
      <c r="AFJ57" s="77"/>
      <c r="AFK57" s="77"/>
      <c r="AFL57" s="77"/>
      <c r="AFM57" s="77"/>
      <c r="AFN57" s="77"/>
      <c r="AFO57" s="77"/>
      <c r="AFP57" s="77"/>
      <c r="AFQ57" s="77"/>
      <c r="AFR57" s="77"/>
      <c r="AFS57" s="77"/>
      <c r="AFT57" s="77"/>
      <c r="AFU57" s="77"/>
      <c r="AFV57" s="77"/>
      <c r="AFW57" s="77"/>
      <c r="AFX57" s="77"/>
      <c r="AFY57" s="77"/>
      <c r="AFZ57" s="77"/>
      <c r="AGA57" s="77"/>
      <c r="AGB57" s="77"/>
      <c r="AGC57" s="77"/>
      <c r="AGD57" s="77"/>
      <c r="AGE57" s="77"/>
      <c r="AGF57" s="77"/>
      <c r="AGG57" s="77"/>
      <c r="AGH57" s="77"/>
      <c r="AGI57" s="77"/>
      <c r="AGJ57" s="77"/>
      <c r="AGK57" s="77"/>
      <c r="AGL57" s="77"/>
      <c r="AGM57" s="77"/>
      <c r="AGN57" s="77"/>
      <c r="AGO57" s="77"/>
      <c r="AGP57" s="77"/>
      <c r="AGQ57" s="77"/>
      <c r="AGR57" s="77"/>
      <c r="AGS57" s="77"/>
      <c r="AGT57" s="77"/>
      <c r="AGU57" s="77"/>
      <c r="AGV57" s="77"/>
      <c r="AGW57" s="77"/>
      <c r="AGX57" s="77"/>
      <c r="AGY57" s="77"/>
      <c r="AGZ57" s="77"/>
      <c r="AHA57" s="77"/>
      <c r="AHB57" s="77"/>
      <c r="AHC57" s="77"/>
      <c r="AHD57" s="77"/>
      <c r="AHE57" s="77"/>
      <c r="AHF57" s="77"/>
      <c r="AHG57" s="77"/>
      <c r="AHH57" s="77"/>
      <c r="AHI57" s="77"/>
      <c r="AHJ57" s="77"/>
      <c r="AHK57" s="77"/>
      <c r="AHL57" s="77"/>
      <c r="AHM57" s="77"/>
      <c r="AHN57" s="77"/>
      <c r="AHO57" s="77"/>
      <c r="AHP57" s="77"/>
      <c r="AHQ57" s="77"/>
      <c r="AHR57" s="77"/>
      <c r="AHS57" s="77"/>
      <c r="AHT57" s="77"/>
      <c r="AHU57" s="77"/>
      <c r="AHV57" s="77"/>
      <c r="AHW57" s="77"/>
      <c r="AHX57" s="77"/>
      <c r="AHY57" s="77"/>
      <c r="AHZ57" s="77"/>
      <c r="AIA57" s="77"/>
      <c r="AIB57" s="77"/>
      <c r="AIC57" s="77"/>
      <c r="AID57" s="77"/>
      <c r="AIE57" s="77"/>
      <c r="AIF57" s="77"/>
      <c r="AIG57" s="77"/>
      <c r="AIH57" s="77"/>
      <c r="AII57" s="77"/>
      <c r="AIJ57" s="77"/>
      <c r="AIK57" s="77"/>
      <c r="AIL57" s="77"/>
      <c r="AIM57" s="77"/>
      <c r="AIN57" s="77"/>
      <c r="AIO57" s="77"/>
      <c r="AIP57" s="77"/>
      <c r="AIQ57" s="77"/>
      <c r="AIR57" s="77"/>
      <c r="AIS57" s="77"/>
      <c r="AIT57" s="77"/>
      <c r="AIU57" s="77"/>
      <c r="AIV57" s="77"/>
      <c r="AIW57" s="77"/>
      <c r="AIX57" s="77"/>
      <c r="AIY57" s="77"/>
      <c r="AIZ57" s="77"/>
      <c r="AJA57" s="77"/>
      <c r="AJB57" s="77"/>
      <c r="AJC57" s="77"/>
      <c r="AJD57" s="77"/>
      <c r="AJE57" s="77"/>
      <c r="AJF57" s="77"/>
      <c r="AJG57" s="77"/>
      <c r="AJH57" s="77"/>
      <c r="AJI57" s="77"/>
      <c r="AJJ57" s="77"/>
      <c r="AJK57" s="77"/>
      <c r="AJL57" s="77"/>
      <c r="AJM57" s="77"/>
      <c r="AJN57" s="77"/>
      <c r="AJO57" s="77"/>
      <c r="AJP57" s="77"/>
      <c r="AJQ57" s="77"/>
      <c r="AJR57" s="77"/>
      <c r="AJS57" s="77"/>
      <c r="AJT57" s="77"/>
      <c r="AJU57" s="77"/>
      <c r="AJV57" s="77"/>
      <c r="AJW57" s="77"/>
      <c r="AJX57" s="77"/>
      <c r="AJY57" s="77"/>
      <c r="AJZ57" s="77"/>
      <c r="AKA57" s="77"/>
      <c r="AKB57" s="77"/>
      <c r="AKC57" s="77"/>
      <c r="AKD57" s="77"/>
      <c r="AKE57" s="77"/>
      <c r="AKF57" s="77"/>
      <c r="AKG57" s="77"/>
      <c r="AKH57" s="77"/>
      <c r="AKI57" s="77"/>
      <c r="AKJ57" s="77"/>
      <c r="AKK57" s="77"/>
      <c r="AKL57" s="77"/>
      <c r="AKM57" s="77"/>
      <c r="AKN57" s="77"/>
      <c r="AKO57" s="77"/>
      <c r="AKP57" s="77"/>
      <c r="AKQ57" s="77"/>
      <c r="AKR57" s="77"/>
      <c r="AKS57" s="77"/>
      <c r="AKT57" s="77"/>
      <c r="AKU57" s="77"/>
      <c r="AKV57" s="77"/>
      <c r="AKW57" s="77"/>
      <c r="AKX57" s="77"/>
      <c r="AKY57" s="77"/>
      <c r="AKZ57" s="77"/>
      <c r="ALA57" s="77"/>
      <c r="ALB57" s="77"/>
      <c r="ALC57" s="77"/>
      <c r="ALD57" s="77"/>
      <c r="ALE57" s="77"/>
      <c r="ALF57" s="77"/>
      <c r="ALG57" s="77"/>
      <c r="ALH57" s="77"/>
      <c r="ALI57" s="77"/>
      <c r="ALJ57" s="77"/>
      <c r="ALK57" s="77"/>
      <c r="ALL57" s="77"/>
      <c r="ALM57" s="77"/>
      <c r="ALN57" s="77"/>
      <c r="ALO57" s="77"/>
    </row>
    <row r="58" spans="1:1003" ht="30" customHeight="1" x14ac:dyDescent="0.25">
      <c r="A58" s="22" t="s">
        <v>192</v>
      </c>
      <c r="B58" s="30" t="s">
        <v>141</v>
      </c>
      <c r="C58" s="30" t="s">
        <v>129</v>
      </c>
      <c r="D58" s="27" t="s">
        <v>171</v>
      </c>
      <c r="E58" s="31" t="s">
        <v>85</v>
      </c>
      <c r="F58" s="31" t="s">
        <v>118</v>
      </c>
      <c r="G58" s="32" t="s">
        <v>119</v>
      </c>
      <c r="H58" s="3">
        <v>39</v>
      </c>
      <c r="I58" s="3">
        <v>54</v>
      </c>
      <c r="J58" s="3">
        <v>16</v>
      </c>
      <c r="K58" s="3">
        <v>13</v>
      </c>
      <c r="L58" s="3">
        <v>85</v>
      </c>
      <c r="M58" s="3">
        <v>75</v>
      </c>
      <c r="N58" s="3">
        <v>93</v>
      </c>
      <c r="O58" s="3">
        <v>61</v>
      </c>
      <c r="P58" s="3">
        <v>41</v>
      </c>
      <c r="Q58" s="56">
        <v>90</v>
      </c>
      <c r="R58" s="56">
        <v>114</v>
      </c>
      <c r="S58" s="56">
        <v>71</v>
      </c>
      <c r="T58" s="56">
        <v>35</v>
      </c>
      <c r="U58" s="56">
        <v>25</v>
      </c>
      <c r="V58" s="56">
        <v>20</v>
      </c>
      <c r="W58" s="56">
        <v>96</v>
      </c>
      <c r="AG58" s="13">
        <v>1</v>
      </c>
      <c r="AI58" s="26">
        <v>44456</v>
      </c>
      <c r="AK58" s="2">
        <v>1</v>
      </c>
    </row>
    <row r="59" spans="1:1003" ht="30" customHeight="1" x14ac:dyDescent="0.25">
      <c r="A59" s="17" t="s">
        <v>193</v>
      </c>
      <c r="B59" s="30" t="s">
        <v>128</v>
      </c>
      <c r="C59" s="30" t="s">
        <v>129</v>
      </c>
      <c r="D59" s="27" t="s">
        <v>171</v>
      </c>
      <c r="E59" s="31" t="s">
        <v>85</v>
      </c>
      <c r="F59" s="31" t="s">
        <v>118</v>
      </c>
      <c r="G59" s="32" t="s">
        <v>119</v>
      </c>
      <c r="H59" s="3">
        <v>41</v>
      </c>
      <c r="I59" s="3">
        <v>52</v>
      </c>
      <c r="J59" s="3">
        <v>18</v>
      </c>
      <c r="K59" s="3">
        <v>14</v>
      </c>
      <c r="L59" s="3">
        <v>106</v>
      </c>
      <c r="M59" s="3">
        <v>98</v>
      </c>
      <c r="N59" s="3">
        <v>115</v>
      </c>
      <c r="O59" s="3">
        <v>69</v>
      </c>
      <c r="P59" s="3">
        <v>43</v>
      </c>
      <c r="AG59" s="13">
        <v>1</v>
      </c>
      <c r="AI59" s="26">
        <v>44456</v>
      </c>
    </row>
    <row r="60" spans="1:1003" ht="30" customHeight="1" x14ac:dyDescent="0.25">
      <c r="A60" s="22" t="s">
        <v>194</v>
      </c>
      <c r="B60" s="37" t="s">
        <v>167</v>
      </c>
      <c r="C60" s="30" t="s">
        <v>129</v>
      </c>
      <c r="D60" s="27" t="s">
        <v>171</v>
      </c>
      <c r="E60" s="31" t="s">
        <v>85</v>
      </c>
      <c r="F60" s="31" t="s">
        <v>118</v>
      </c>
      <c r="G60" s="32" t="s">
        <v>119</v>
      </c>
      <c r="H60" s="3">
        <v>46</v>
      </c>
      <c r="I60" s="3">
        <v>57</v>
      </c>
      <c r="J60" s="3">
        <v>19</v>
      </c>
      <c r="K60" s="3">
        <v>15</v>
      </c>
      <c r="L60" s="3">
        <v>105</v>
      </c>
      <c r="M60" s="3">
        <v>102</v>
      </c>
      <c r="N60" s="3">
        <v>115</v>
      </c>
      <c r="O60" s="3">
        <v>66</v>
      </c>
      <c r="P60" s="3">
        <v>40</v>
      </c>
      <c r="AG60" s="13">
        <v>1</v>
      </c>
      <c r="AH60" s="13" t="s">
        <v>168</v>
      </c>
      <c r="AI60" s="26">
        <v>44456</v>
      </c>
    </row>
    <row r="61" spans="1:1003" ht="30" customHeight="1" x14ac:dyDescent="0.25">
      <c r="A61" s="17" t="s">
        <v>208</v>
      </c>
      <c r="B61" s="20" t="s">
        <v>199</v>
      </c>
      <c r="C61" s="38" t="s">
        <v>200</v>
      </c>
      <c r="D61" s="38" t="s">
        <v>196</v>
      </c>
      <c r="E61" s="31" t="s">
        <v>85</v>
      </c>
      <c r="F61" s="31" t="s">
        <v>118</v>
      </c>
      <c r="G61" s="16" t="s">
        <v>235</v>
      </c>
      <c r="H61" s="3">
        <v>40</v>
      </c>
      <c r="I61" s="3">
        <v>55</v>
      </c>
      <c r="J61" s="3">
        <v>19</v>
      </c>
      <c r="K61" s="3">
        <v>13.5</v>
      </c>
      <c r="L61" s="3">
        <v>100</v>
      </c>
      <c r="M61" s="3">
        <v>88</v>
      </c>
      <c r="N61" s="3">
        <v>108</v>
      </c>
      <c r="O61" s="3">
        <v>68</v>
      </c>
      <c r="Q61" s="3">
        <v>77</v>
      </c>
      <c r="R61" s="3">
        <v>100</v>
      </c>
      <c r="S61" s="3">
        <v>69</v>
      </c>
      <c r="T61" s="3">
        <v>2</v>
      </c>
      <c r="U61" s="3">
        <v>23</v>
      </c>
      <c r="V61" s="3">
        <v>18</v>
      </c>
      <c r="W61" s="3">
        <v>100</v>
      </c>
      <c r="AK61" s="2">
        <v>2</v>
      </c>
    </row>
    <row r="62" spans="1:1003" ht="30" customHeight="1" x14ac:dyDescent="0.25">
      <c r="A62" s="22" t="s">
        <v>209</v>
      </c>
      <c r="B62" s="20" t="s">
        <v>201</v>
      </c>
      <c r="C62" s="38" t="s">
        <v>200</v>
      </c>
      <c r="D62" s="38" t="s">
        <v>196</v>
      </c>
      <c r="E62" s="31" t="s">
        <v>85</v>
      </c>
      <c r="F62" s="31" t="s">
        <v>118</v>
      </c>
      <c r="G62" s="32" t="s">
        <v>119</v>
      </c>
      <c r="H62" s="3">
        <v>42</v>
      </c>
      <c r="I62" s="3">
        <v>57</v>
      </c>
      <c r="J62" s="3">
        <v>19</v>
      </c>
      <c r="K62" s="3">
        <v>14</v>
      </c>
      <c r="L62" s="3">
        <v>110</v>
      </c>
      <c r="M62" s="3">
        <v>100</v>
      </c>
      <c r="N62" s="3">
        <v>110</v>
      </c>
      <c r="O62" s="3">
        <v>70</v>
      </c>
      <c r="Q62" s="3">
        <v>87</v>
      </c>
      <c r="R62" s="3">
        <v>109</v>
      </c>
      <c r="S62" s="3">
        <v>69</v>
      </c>
      <c r="T62" s="3">
        <v>34</v>
      </c>
      <c r="U62" s="3">
        <v>26</v>
      </c>
      <c r="V62" s="3">
        <v>19</v>
      </c>
      <c r="W62" s="3">
        <v>95</v>
      </c>
      <c r="AK62" s="2">
        <v>2</v>
      </c>
    </row>
    <row r="63" spans="1:1003" ht="30" customHeight="1" x14ac:dyDescent="0.25">
      <c r="A63" s="17" t="s">
        <v>210</v>
      </c>
      <c r="B63" s="20" t="s">
        <v>202</v>
      </c>
      <c r="C63" s="38" t="s">
        <v>121</v>
      </c>
      <c r="D63" s="38" t="s">
        <v>196</v>
      </c>
      <c r="E63" s="31" t="s">
        <v>85</v>
      </c>
      <c r="F63" s="31" t="s">
        <v>118</v>
      </c>
      <c r="G63" s="32" t="s">
        <v>119</v>
      </c>
      <c r="H63" s="3">
        <v>41</v>
      </c>
      <c r="I63" s="3">
        <v>54</v>
      </c>
      <c r="J63" s="3">
        <v>19</v>
      </c>
      <c r="K63" s="3">
        <v>14</v>
      </c>
      <c r="L63" s="3">
        <v>106</v>
      </c>
      <c r="M63" s="3">
        <v>100</v>
      </c>
      <c r="N63" s="3">
        <v>114</v>
      </c>
      <c r="O63" s="3">
        <v>68</v>
      </c>
      <c r="Q63" s="3">
        <v>91</v>
      </c>
      <c r="R63" s="3">
        <v>110</v>
      </c>
      <c r="S63" s="3">
        <v>69</v>
      </c>
      <c r="T63" s="3">
        <v>34</v>
      </c>
      <c r="U63" s="3">
        <v>25</v>
      </c>
      <c r="V63" s="3">
        <v>19</v>
      </c>
      <c r="W63" s="3">
        <v>92</v>
      </c>
      <c r="AK63" s="2">
        <v>2</v>
      </c>
    </row>
    <row r="64" spans="1:1003" ht="30" customHeight="1" x14ac:dyDescent="0.25">
      <c r="A64" s="22" t="s">
        <v>211</v>
      </c>
      <c r="B64" s="20" t="s">
        <v>203</v>
      </c>
      <c r="C64" s="38" t="s">
        <v>206</v>
      </c>
      <c r="D64" s="38" t="s">
        <v>196</v>
      </c>
      <c r="E64" s="31" t="s">
        <v>85</v>
      </c>
      <c r="F64" s="31" t="s">
        <v>118</v>
      </c>
      <c r="G64" s="32" t="s">
        <v>119</v>
      </c>
      <c r="H64" s="3">
        <v>43</v>
      </c>
      <c r="I64" s="3">
        <v>55</v>
      </c>
      <c r="J64" s="3">
        <v>19</v>
      </c>
      <c r="K64" s="3">
        <v>13.5</v>
      </c>
      <c r="L64" s="3">
        <v>108</v>
      </c>
      <c r="M64" s="3">
        <v>100</v>
      </c>
      <c r="N64" s="3">
        <v>112</v>
      </c>
      <c r="O64" s="3">
        <v>69</v>
      </c>
      <c r="Q64" s="3">
        <v>88</v>
      </c>
      <c r="R64" s="3">
        <v>106</v>
      </c>
      <c r="S64" s="3">
        <v>70</v>
      </c>
      <c r="T64" s="3">
        <v>34</v>
      </c>
      <c r="U64" s="3">
        <v>26</v>
      </c>
      <c r="V64" s="3">
        <v>20</v>
      </c>
      <c r="W64" s="3">
        <v>92</v>
      </c>
      <c r="AK64" s="2">
        <v>2</v>
      </c>
    </row>
    <row r="65" spans="1:37" ht="30" customHeight="1" x14ac:dyDescent="0.25">
      <c r="A65" s="17" t="s">
        <v>212</v>
      </c>
      <c r="B65" s="20" t="s">
        <v>204</v>
      </c>
      <c r="C65" s="38" t="s">
        <v>207</v>
      </c>
      <c r="D65" s="38" t="s">
        <v>196</v>
      </c>
      <c r="E65" s="31" t="s">
        <v>85</v>
      </c>
      <c r="F65" s="31" t="s">
        <v>118</v>
      </c>
      <c r="G65" s="32" t="s">
        <v>119</v>
      </c>
      <c r="H65" s="3">
        <v>41</v>
      </c>
      <c r="I65" s="3">
        <v>55</v>
      </c>
      <c r="J65" s="3">
        <v>18</v>
      </c>
      <c r="K65" s="3">
        <v>13.5</v>
      </c>
      <c r="L65" s="3">
        <v>102</v>
      </c>
      <c r="M65" s="3">
        <v>94</v>
      </c>
      <c r="N65" s="3">
        <v>108</v>
      </c>
      <c r="O65" s="3">
        <v>68</v>
      </c>
      <c r="Q65" s="3">
        <v>82</v>
      </c>
      <c r="R65" s="3">
        <v>105</v>
      </c>
      <c r="S65" s="3">
        <v>70</v>
      </c>
      <c r="T65" s="3">
        <v>32</v>
      </c>
      <c r="U65" s="3">
        <v>26</v>
      </c>
      <c r="V65" s="3">
        <v>19</v>
      </c>
      <c r="W65" s="3">
        <v>95</v>
      </c>
      <c r="AK65" s="2">
        <v>2</v>
      </c>
    </row>
    <row r="66" spans="1:37" ht="30" customHeight="1" x14ac:dyDescent="0.25">
      <c r="A66" s="22" t="s">
        <v>213</v>
      </c>
      <c r="B66" s="20" t="s">
        <v>205</v>
      </c>
      <c r="C66" s="38" t="s">
        <v>131</v>
      </c>
      <c r="D66" s="38" t="s">
        <v>196</v>
      </c>
      <c r="E66" s="31" t="s">
        <v>85</v>
      </c>
      <c r="F66" s="31" t="s">
        <v>118</v>
      </c>
      <c r="G66" s="32" t="s">
        <v>119</v>
      </c>
      <c r="H66" s="3">
        <v>43</v>
      </c>
      <c r="I66" s="3">
        <v>56</v>
      </c>
      <c r="J66" s="3">
        <v>20</v>
      </c>
      <c r="K66" s="3">
        <v>14.5</v>
      </c>
      <c r="L66" s="3">
        <v>114</v>
      </c>
      <c r="M66" s="3">
        <v>106</v>
      </c>
      <c r="N66" s="3">
        <v>124</v>
      </c>
      <c r="O66" s="3">
        <v>67</v>
      </c>
      <c r="Q66" s="3">
        <v>95</v>
      </c>
      <c r="R66" s="3">
        <v>117</v>
      </c>
      <c r="S66" s="3">
        <v>73</v>
      </c>
      <c r="T66" s="3">
        <v>36</v>
      </c>
      <c r="U66" s="3">
        <v>27</v>
      </c>
      <c r="V66" s="3">
        <v>20</v>
      </c>
      <c r="W66" s="3">
        <v>93</v>
      </c>
      <c r="AK66" s="2">
        <v>2</v>
      </c>
    </row>
    <row r="67" spans="1:37" ht="30" customHeight="1" x14ac:dyDescent="0.25">
      <c r="A67" s="17" t="s">
        <v>214</v>
      </c>
      <c r="B67" s="20" t="s">
        <v>227</v>
      </c>
      <c r="C67" s="38" t="s">
        <v>206</v>
      </c>
      <c r="D67" s="38" t="s">
        <v>215</v>
      </c>
      <c r="E67" s="31" t="s">
        <v>85</v>
      </c>
      <c r="F67" s="31" t="s">
        <v>118</v>
      </c>
      <c r="G67" s="16" t="s">
        <v>234</v>
      </c>
      <c r="H67" s="3">
        <v>45</v>
      </c>
      <c r="I67" s="3">
        <v>55</v>
      </c>
      <c r="J67" s="3">
        <v>18</v>
      </c>
      <c r="K67" s="3">
        <v>14</v>
      </c>
      <c r="L67" s="3">
        <v>108</v>
      </c>
      <c r="M67" s="3">
        <v>104</v>
      </c>
      <c r="N67" s="3">
        <v>112</v>
      </c>
      <c r="O67" s="3">
        <v>68</v>
      </c>
      <c r="Q67" s="3">
        <v>98</v>
      </c>
      <c r="R67" s="3">
        <v>110</v>
      </c>
      <c r="S67" s="3">
        <v>67</v>
      </c>
      <c r="T67" s="3">
        <v>36</v>
      </c>
      <c r="U67" s="3">
        <v>27</v>
      </c>
      <c r="V67" s="3">
        <v>20</v>
      </c>
      <c r="W67" s="3">
        <v>93</v>
      </c>
      <c r="AK67" s="2">
        <v>2</v>
      </c>
    </row>
    <row r="68" spans="1:37" ht="30" customHeight="1" x14ac:dyDescent="0.25">
      <c r="A68" s="22" t="s">
        <v>231</v>
      </c>
      <c r="B68" s="20" t="s">
        <v>228</v>
      </c>
      <c r="C68" s="38" t="s">
        <v>127</v>
      </c>
      <c r="D68" s="38" t="s">
        <v>215</v>
      </c>
      <c r="E68" s="31" t="s">
        <v>85</v>
      </c>
      <c r="F68" s="31" t="s">
        <v>118</v>
      </c>
      <c r="G68" s="16" t="s">
        <v>234</v>
      </c>
      <c r="H68" s="3">
        <v>45</v>
      </c>
      <c r="I68" s="3">
        <v>51</v>
      </c>
      <c r="J68" s="3">
        <v>18</v>
      </c>
      <c r="K68" s="3">
        <v>14</v>
      </c>
      <c r="L68" s="3">
        <v>100</v>
      </c>
      <c r="M68" s="3">
        <v>105</v>
      </c>
      <c r="N68" s="3">
        <v>110</v>
      </c>
      <c r="O68" s="3">
        <v>65</v>
      </c>
      <c r="Q68" s="3">
        <v>98</v>
      </c>
      <c r="R68" s="3">
        <v>108</v>
      </c>
      <c r="S68" s="3">
        <v>68</v>
      </c>
      <c r="T68" s="3">
        <v>36</v>
      </c>
      <c r="U68" s="3">
        <v>26</v>
      </c>
      <c r="V68" s="3">
        <v>20</v>
      </c>
      <c r="W68" s="3">
        <v>91</v>
      </c>
      <c r="AK68" s="2">
        <v>2</v>
      </c>
    </row>
    <row r="69" spans="1:37" ht="30" customHeight="1" x14ac:dyDescent="0.25">
      <c r="A69" s="17" t="s">
        <v>232</v>
      </c>
      <c r="B69" s="20" t="s">
        <v>229</v>
      </c>
      <c r="C69" s="38" t="s">
        <v>129</v>
      </c>
      <c r="D69" s="38" t="s">
        <v>215</v>
      </c>
      <c r="E69" s="31" t="s">
        <v>85</v>
      </c>
      <c r="F69" s="31" t="s">
        <v>118</v>
      </c>
      <c r="G69" s="16" t="s">
        <v>234</v>
      </c>
      <c r="H69" s="3">
        <v>43</v>
      </c>
      <c r="I69" s="3">
        <v>52</v>
      </c>
      <c r="J69" s="3">
        <v>18</v>
      </c>
      <c r="K69" s="3">
        <v>14</v>
      </c>
      <c r="L69" s="3">
        <v>99</v>
      </c>
      <c r="M69" s="3">
        <v>93</v>
      </c>
      <c r="N69" s="3">
        <v>106</v>
      </c>
      <c r="O69" s="3">
        <v>68</v>
      </c>
      <c r="Q69" s="3">
        <v>86</v>
      </c>
      <c r="R69" s="3">
        <v>103</v>
      </c>
      <c r="S69" s="13">
        <v>69</v>
      </c>
      <c r="T69" s="13">
        <v>33</v>
      </c>
      <c r="U69" s="13">
        <v>24</v>
      </c>
      <c r="V69" s="13">
        <v>20</v>
      </c>
      <c r="W69" s="13">
        <v>91</v>
      </c>
      <c r="AK69" s="2">
        <v>2</v>
      </c>
    </row>
    <row r="70" spans="1:37" ht="30" customHeight="1" x14ac:dyDescent="0.25">
      <c r="A70" s="22" t="s">
        <v>233</v>
      </c>
      <c r="B70" s="20" t="s">
        <v>230</v>
      </c>
      <c r="C70" s="38" t="s">
        <v>129</v>
      </c>
      <c r="D70" s="38" t="s">
        <v>215</v>
      </c>
      <c r="E70" s="31" t="s">
        <v>85</v>
      </c>
      <c r="F70" s="31" t="s">
        <v>118</v>
      </c>
      <c r="G70" s="16" t="s">
        <v>234</v>
      </c>
      <c r="H70" s="3">
        <v>44</v>
      </c>
      <c r="I70" s="3">
        <v>56</v>
      </c>
      <c r="J70" s="3">
        <v>19</v>
      </c>
      <c r="K70" s="3">
        <v>14</v>
      </c>
      <c r="L70" s="3">
        <v>103</v>
      </c>
      <c r="M70" s="3">
        <v>99</v>
      </c>
      <c r="N70" s="3">
        <v>110</v>
      </c>
      <c r="O70" s="3">
        <v>70</v>
      </c>
      <c r="Q70" s="13">
        <v>92</v>
      </c>
      <c r="R70" s="13">
        <v>108</v>
      </c>
      <c r="S70" s="13">
        <v>70</v>
      </c>
      <c r="T70" s="13">
        <v>34</v>
      </c>
      <c r="U70" s="13">
        <v>25</v>
      </c>
      <c r="V70" s="13">
        <v>20</v>
      </c>
      <c r="W70" s="13">
        <v>91</v>
      </c>
      <c r="AK70" s="2">
        <v>2</v>
      </c>
    </row>
    <row r="71" spans="1:37" ht="30" customHeight="1" x14ac:dyDescent="0.25">
      <c r="A71" s="17"/>
      <c r="B71" s="20"/>
      <c r="C71" s="18"/>
      <c r="D71" s="18"/>
      <c r="E71" s="14"/>
      <c r="F71" s="15"/>
      <c r="G71" s="16"/>
    </row>
    <row r="72" spans="1:37" ht="30" customHeight="1" x14ac:dyDescent="0.25">
      <c r="A72" s="17"/>
      <c r="B72" s="20"/>
      <c r="C72" s="18"/>
      <c r="D72" s="18"/>
      <c r="E72" s="14"/>
      <c r="F72" s="15"/>
      <c r="G72" s="16"/>
    </row>
    <row r="73" spans="1:37" ht="30" customHeight="1" x14ac:dyDescent="0.25">
      <c r="A73" s="17"/>
      <c r="B73" s="20"/>
      <c r="C73" s="18"/>
      <c r="D73" s="18"/>
      <c r="E73" s="14"/>
      <c r="F73" s="15"/>
      <c r="G73" s="16"/>
    </row>
    <row r="74" spans="1:37" ht="30" customHeight="1" x14ac:dyDescent="0.25">
      <c r="A74" s="17"/>
      <c r="B74" s="20"/>
      <c r="C74" s="18"/>
      <c r="D74" s="18"/>
      <c r="E74" s="14"/>
      <c r="F74" s="15"/>
      <c r="G74" s="16"/>
    </row>
    <row r="75" spans="1:37" ht="30" customHeight="1" x14ac:dyDescent="0.25">
      <c r="A75" s="17"/>
      <c r="B75" s="20"/>
      <c r="C75" s="18"/>
      <c r="D75" s="18"/>
      <c r="E75" s="14"/>
      <c r="F75" s="15"/>
      <c r="G75" s="16"/>
    </row>
    <row r="76" spans="1:37" ht="30" customHeight="1" x14ac:dyDescent="0.25">
      <c r="A76" s="17"/>
      <c r="B76" s="20"/>
      <c r="C76" s="18"/>
      <c r="D76" s="18"/>
      <c r="E76" s="14"/>
      <c r="F76" s="15"/>
      <c r="G76" s="16"/>
    </row>
    <row r="77" spans="1:37" ht="30" customHeight="1" x14ac:dyDescent="0.25">
      <c r="A77" s="17"/>
      <c r="B77" s="20"/>
      <c r="C77" s="18"/>
      <c r="D77" s="18"/>
      <c r="E77" s="14"/>
      <c r="F77" s="15"/>
      <c r="G77" s="16"/>
    </row>
    <row r="78" spans="1:37" ht="30" customHeight="1" x14ac:dyDescent="0.25">
      <c r="A78" s="17"/>
      <c r="B78" s="20"/>
      <c r="C78" s="18"/>
      <c r="D78" s="18"/>
      <c r="E78" s="14"/>
      <c r="F78" s="15"/>
      <c r="G78" s="16"/>
    </row>
    <row r="79" spans="1:37" ht="30" customHeight="1" x14ac:dyDescent="0.25">
      <c r="A79" s="17"/>
      <c r="B79" s="20"/>
      <c r="C79" s="18"/>
      <c r="D79" s="18"/>
      <c r="E79" s="14"/>
      <c r="F79" s="15"/>
      <c r="G79" s="19"/>
    </row>
    <row r="80" spans="1:37" ht="30" customHeight="1" x14ac:dyDescent="0.25">
      <c r="A80" s="17"/>
      <c r="B80" s="20"/>
      <c r="C80" s="18"/>
      <c r="D80" s="18"/>
      <c r="E80" s="14"/>
      <c r="F80" s="15"/>
      <c r="G80" s="19"/>
    </row>
  </sheetData>
  <sortState xmlns:xlrd2="http://schemas.microsoft.com/office/spreadsheetml/2017/richdata2" ref="B46:AH59">
    <sortCondition ref="B46:B59"/>
  </sortState>
  <phoneticPr fontId="20" type="noConversion"/>
  <pageMargins left="0.74803149606299213" right="3.937007874015748E-2" top="0.39370078740157483" bottom="0.11811023622047245" header="0.23622047244094491" footer="0.51181102362204722"/>
  <pageSetup paperSize="9" scale="75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26</v>
      </c>
      <c r="G2" t="s">
        <v>27</v>
      </c>
      <c r="M2" s="1" t="s">
        <v>28</v>
      </c>
    </row>
    <row r="3" spans="1:18" x14ac:dyDescent="0.25">
      <c r="A3" t="s">
        <v>29</v>
      </c>
      <c r="B3" t="s">
        <v>30</v>
      </c>
      <c r="E3" s="11" t="s">
        <v>43</v>
      </c>
      <c r="G3" t="s">
        <v>31</v>
      </c>
      <c r="H3" t="s">
        <v>30</v>
      </c>
      <c r="K3" s="11" t="s">
        <v>43</v>
      </c>
      <c r="M3" s="1" t="s">
        <v>31</v>
      </c>
      <c r="N3" t="s">
        <v>30</v>
      </c>
      <c r="Q3" s="11" t="s">
        <v>43</v>
      </c>
    </row>
    <row r="4" spans="1:18" ht="15.75" x14ac:dyDescent="0.25">
      <c r="A4" s="1" t="s">
        <v>20</v>
      </c>
      <c r="B4">
        <f>COUNTIF(SEMUA!$F$2:$F$67,REKAP!A4)</f>
        <v>0</v>
      </c>
      <c r="C4">
        <v>3</v>
      </c>
      <c r="D4">
        <f>SUM(B4:C4)</f>
        <v>3</v>
      </c>
      <c r="E4" s="11">
        <v>25</v>
      </c>
      <c r="G4">
        <v>37</v>
      </c>
      <c r="H4">
        <f>COUNTIF(SEMUA!$E$1:$E$67,G4)</f>
        <v>0</v>
      </c>
      <c r="J4">
        <f>SUM(H4:I4)</f>
        <v>0</v>
      </c>
      <c r="K4" s="11">
        <v>0</v>
      </c>
      <c r="M4" s="7">
        <v>53</v>
      </c>
      <c r="N4">
        <f>COUNTIF(SEMUA!$G$2:$G$67,M4)</f>
        <v>0</v>
      </c>
      <c r="P4">
        <f>SUM(N4:O4)</f>
        <v>0</v>
      </c>
      <c r="Q4" s="11">
        <v>1</v>
      </c>
    </row>
    <row r="5" spans="1:18" ht="15.75" x14ac:dyDescent="0.25">
      <c r="A5" s="6" t="s">
        <v>19</v>
      </c>
      <c r="B5">
        <f>COUNTIF(SEMUA!$F$2:$F$67,REKAP!A5)</f>
        <v>0</v>
      </c>
      <c r="C5">
        <v>5</v>
      </c>
      <c r="D5">
        <f t="shared" ref="D5:D10" si="0">SUM(B5:C5)</f>
        <v>5</v>
      </c>
      <c r="E5" s="11">
        <v>16</v>
      </c>
      <c r="G5">
        <v>38</v>
      </c>
      <c r="H5">
        <f>COUNTIF(SEMUA!$E$1:$E$67,G5)</f>
        <v>0</v>
      </c>
      <c r="J5">
        <v>1</v>
      </c>
      <c r="K5" s="11">
        <v>0</v>
      </c>
      <c r="M5" s="7">
        <v>54</v>
      </c>
      <c r="N5">
        <f>COUNTIF(SEMUA!$G$2:$G$67,M5)</f>
        <v>0</v>
      </c>
      <c r="O5">
        <v>2</v>
      </c>
      <c r="P5">
        <f t="shared" ref="P5:P11" si="1">SUM(N5:O5)</f>
        <v>2</v>
      </c>
      <c r="Q5" s="11">
        <v>5</v>
      </c>
    </row>
    <row r="6" spans="1:18" ht="15.75" x14ac:dyDescent="0.25">
      <c r="A6" s="6" t="s">
        <v>23</v>
      </c>
      <c r="B6">
        <f>COUNTIF(SEMUA!$F$2:$F$67,REKAP!A6)</f>
        <v>0</v>
      </c>
      <c r="C6">
        <v>1</v>
      </c>
      <c r="D6">
        <f t="shared" si="0"/>
        <v>1</v>
      </c>
      <c r="E6" s="11">
        <v>4</v>
      </c>
      <c r="G6" s="7">
        <v>39</v>
      </c>
      <c r="H6">
        <f>COUNTIF(SEMUA!$E$1:$E$67,G6)</f>
        <v>0</v>
      </c>
      <c r="I6">
        <v>3</v>
      </c>
      <c r="J6">
        <f t="shared" ref="J6:J13" si="2">SUM(H6:I6)</f>
        <v>3</v>
      </c>
      <c r="K6" s="11">
        <v>3</v>
      </c>
      <c r="M6" s="7">
        <v>55</v>
      </c>
      <c r="N6">
        <f>COUNTIF(SEMUA!$G$2:$G$67,M6)</f>
        <v>0</v>
      </c>
      <c r="O6">
        <v>1</v>
      </c>
      <c r="P6">
        <f t="shared" si="1"/>
        <v>1</v>
      </c>
      <c r="Q6" s="11"/>
    </row>
    <row r="7" spans="1:18" ht="15.75" x14ac:dyDescent="0.25">
      <c r="A7" s="6" t="s">
        <v>22</v>
      </c>
      <c r="B7">
        <f>COUNTIF(SEMUA!$F$2:$F$67,REKAP!A7)</f>
        <v>0</v>
      </c>
      <c r="C7">
        <v>7</v>
      </c>
      <c r="D7">
        <f t="shared" si="0"/>
        <v>7</v>
      </c>
      <c r="E7" s="11">
        <v>24</v>
      </c>
      <c r="G7" s="7">
        <v>40</v>
      </c>
      <c r="H7">
        <f>COUNTIF(SEMUA!$E$1:$E$67,G7)</f>
        <v>0</v>
      </c>
      <c r="I7">
        <v>3</v>
      </c>
      <c r="J7">
        <f t="shared" si="2"/>
        <v>3</v>
      </c>
      <c r="K7" s="11">
        <v>22</v>
      </c>
      <c r="M7" s="7">
        <v>56</v>
      </c>
      <c r="N7">
        <f>COUNTIF(SEMUA!$G$2:$G$67,M7)</f>
        <v>0</v>
      </c>
      <c r="O7">
        <v>7</v>
      </c>
      <c r="P7">
        <f t="shared" si="1"/>
        <v>7</v>
      </c>
      <c r="Q7" s="11">
        <v>10</v>
      </c>
    </row>
    <row r="8" spans="1:18" ht="15.75" x14ac:dyDescent="0.25">
      <c r="A8" s="6" t="s">
        <v>21</v>
      </c>
      <c r="B8">
        <f>COUNTIF(SEMUA!$F$2:$F$67,REKAP!A8)</f>
        <v>0</v>
      </c>
      <c r="C8">
        <v>3</v>
      </c>
      <c r="D8">
        <f t="shared" si="0"/>
        <v>3</v>
      </c>
      <c r="E8" s="11">
        <v>11</v>
      </c>
      <c r="G8" s="7">
        <v>41</v>
      </c>
      <c r="H8">
        <f>COUNTIF(SEMUA!$E$1:$E$67,G8)</f>
        <v>0</v>
      </c>
      <c r="I8">
        <v>5</v>
      </c>
      <c r="J8">
        <f t="shared" si="2"/>
        <v>5</v>
      </c>
      <c r="K8" s="11">
        <v>23</v>
      </c>
      <c r="M8" s="7">
        <v>57</v>
      </c>
      <c r="N8">
        <f>COUNTIF(SEMUA!$G$2:$G$67,M8)</f>
        <v>0</v>
      </c>
      <c r="O8">
        <v>1</v>
      </c>
      <c r="P8">
        <f t="shared" si="1"/>
        <v>1</v>
      </c>
      <c r="Q8" s="11">
        <v>10</v>
      </c>
    </row>
    <row r="9" spans="1:18" ht="15.75" x14ac:dyDescent="0.25">
      <c r="A9" s="6" t="s">
        <v>24</v>
      </c>
      <c r="B9">
        <f>COUNTIF(SEMUA!$F$2:$F$67,REKAP!A9)</f>
        <v>0</v>
      </c>
      <c r="D9">
        <f t="shared" si="0"/>
        <v>0</v>
      </c>
      <c r="E9" s="11">
        <v>4</v>
      </c>
      <c r="G9" s="7">
        <v>42</v>
      </c>
      <c r="H9">
        <f>COUNTIF(SEMUA!$E$1:$E$67,G9)</f>
        <v>0</v>
      </c>
      <c r="I9">
        <v>2</v>
      </c>
      <c r="J9">
        <f t="shared" si="2"/>
        <v>2</v>
      </c>
      <c r="K9" s="11">
        <v>10</v>
      </c>
      <c r="M9" s="7">
        <v>58</v>
      </c>
      <c r="N9">
        <f>COUNTIF(SEMUA!$G$2:$G$67,M9)</f>
        <v>0</v>
      </c>
      <c r="O9">
        <v>6</v>
      </c>
      <c r="P9">
        <f t="shared" si="1"/>
        <v>6</v>
      </c>
      <c r="Q9" s="11">
        <v>9</v>
      </c>
    </row>
    <row r="10" spans="1:18" ht="15.75" x14ac:dyDescent="0.25">
      <c r="A10" s="6" t="s">
        <v>25</v>
      </c>
      <c r="B10">
        <f>COUNTIF(SEMUA!$F$2:$F$67,REKAP!A10)</f>
        <v>0</v>
      </c>
      <c r="D10">
        <f t="shared" si="0"/>
        <v>0</v>
      </c>
      <c r="E10" s="11">
        <v>1</v>
      </c>
      <c r="G10" s="7">
        <v>43</v>
      </c>
      <c r="H10">
        <f>COUNTIF(SEMUA!$E$1:$E$67,G10)</f>
        <v>0</v>
      </c>
      <c r="I10">
        <v>5</v>
      </c>
      <c r="J10">
        <f t="shared" si="2"/>
        <v>5</v>
      </c>
      <c r="K10" s="11">
        <v>10</v>
      </c>
      <c r="M10" s="7">
        <v>59</v>
      </c>
      <c r="N10">
        <f>COUNTIF(SEMUA!$G$2:$G$67,M10)</f>
        <v>0</v>
      </c>
      <c r="P10">
        <f t="shared" si="1"/>
        <v>0</v>
      </c>
      <c r="Q10" s="11"/>
    </row>
    <row r="11" spans="1:18" ht="15.75" x14ac:dyDescent="0.25">
      <c r="A11" s="8" t="s">
        <v>32</v>
      </c>
      <c r="B11" s="9">
        <f>SUM(B4:B10)</f>
        <v>0</v>
      </c>
      <c r="C11" s="9"/>
      <c r="D11" s="9">
        <f>SUM(D4:D10)</f>
        <v>19</v>
      </c>
      <c r="E11" s="12">
        <f>SUM(E4:E10)</f>
        <v>85</v>
      </c>
      <c r="F11" s="9"/>
      <c r="G11" s="7">
        <v>44</v>
      </c>
      <c r="H11">
        <f>COUNTIF(SEMUA!$E$1:$E$67,G11)</f>
        <v>0</v>
      </c>
      <c r="J11">
        <f t="shared" si="2"/>
        <v>0</v>
      </c>
      <c r="K11" s="11">
        <v>1</v>
      </c>
      <c r="M11" s="1">
        <v>60</v>
      </c>
      <c r="N11">
        <f>COUNTIF(SEMUA!$G$2:$G$67,M11)</f>
        <v>0</v>
      </c>
      <c r="O11">
        <v>2</v>
      </c>
      <c r="P11">
        <f t="shared" si="1"/>
        <v>2</v>
      </c>
      <c r="Q11" s="11">
        <v>5</v>
      </c>
    </row>
    <row r="12" spans="1:18" ht="15.75" x14ac:dyDescent="0.25">
      <c r="G12" s="7">
        <v>45</v>
      </c>
      <c r="H12">
        <f>COUNTIF(SEMUA!$E$1:$E$67,G12)</f>
        <v>0</v>
      </c>
      <c r="I12">
        <v>1</v>
      </c>
      <c r="J12">
        <f t="shared" si="2"/>
        <v>1</v>
      </c>
      <c r="K12" s="11">
        <v>0</v>
      </c>
      <c r="N12">
        <f>SUM(N4:N11)</f>
        <v>0</v>
      </c>
      <c r="O12">
        <f>SUM(O4:O11)</f>
        <v>19</v>
      </c>
      <c r="Q12" s="11">
        <f>SUM(Q4:Q11)</f>
        <v>40</v>
      </c>
    </row>
    <row r="13" spans="1:18" ht="15.75" x14ac:dyDescent="0.25">
      <c r="G13" s="7">
        <v>46</v>
      </c>
      <c r="H13">
        <f>COUNTIF(SEMUA!$E$1:$E$67,G13)</f>
        <v>0</v>
      </c>
      <c r="J13">
        <f t="shared" si="2"/>
        <v>0</v>
      </c>
      <c r="K13" s="11">
        <v>1</v>
      </c>
      <c r="Q13" s="11"/>
    </row>
    <row r="14" spans="1:18" ht="15.75" x14ac:dyDescent="0.25">
      <c r="G14" s="7"/>
      <c r="H14">
        <f>SUM(H4:H13)</f>
        <v>0</v>
      </c>
      <c r="I14">
        <f>SUM(I4:I13)</f>
        <v>19</v>
      </c>
      <c r="K14" s="11">
        <f>SUM(K4:K13)</f>
        <v>70</v>
      </c>
      <c r="P14" t="s">
        <v>44</v>
      </c>
      <c r="Q14" s="1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A8816-6793-4088-9C72-8730F9984DA9}">
  <dimension ref="A1:AKT63"/>
  <sheetViews>
    <sheetView topLeftCell="A25" zoomScale="85" zoomScaleNormal="85" workbookViewId="0">
      <selection activeCell="G84" sqref="G84"/>
    </sheetView>
  </sheetViews>
  <sheetFormatPr defaultRowHeight="15" x14ac:dyDescent="0.25"/>
  <cols>
    <col min="1" max="1" width="5.42578125" bestFit="1" customWidth="1"/>
    <col min="2" max="2" width="26.5703125" bestFit="1" customWidth="1"/>
    <col min="3" max="3" width="16.140625" bestFit="1" customWidth="1"/>
    <col min="4" max="4" width="18" bestFit="1" customWidth="1"/>
    <col min="5" max="5" width="10" bestFit="1" customWidth="1"/>
    <col min="6" max="6" width="9.5703125" bestFit="1" customWidth="1"/>
    <col min="7" max="7" width="19.7109375" bestFit="1" customWidth="1"/>
    <col min="8" max="16" width="6.42578125" bestFit="1" customWidth="1"/>
  </cols>
  <sheetData>
    <row r="1" spans="1:982" s="4" customFormat="1" ht="30" customHeight="1" thickBot="1" x14ac:dyDescent="0.3">
      <c r="A1" s="40" t="s">
        <v>0</v>
      </c>
      <c r="B1" s="41" t="s">
        <v>1</v>
      </c>
      <c r="C1" s="40" t="s">
        <v>169</v>
      </c>
      <c r="D1" s="40" t="s">
        <v>170</v>
      </c>
      <c r="E1" s="40" t="s">
        <v>2</v>
      </c>
      <c r="F1" s="42" t="s">
        <v>145</v>
      </c>
      <c r="G1" s="40" t="s">
        <v>146</v>
      </c>
      <c r="H1" s="40" t="s">
        <v>236</v>
      </c>
      <c r="I1" s="40" t="s">
        <v>237</v>
      </c>
      <c r="J1" s="40" t="s">
        <v>238</v>
      </c>
      <c r="K1" s="40" t="s">
        <v>239</v>
      </c>
      <c r="L1" s="40" t="s">
        <v>240</v>
      </c>
      <c r="M1" s="40" t="s">
        <v>241</v>
      </c>
      <c r="N1" s="40" t="s">
        <v>242</v>
      </c>
      <c r="O1" s="40" t="s">
        <v>243</v>
      </c>
      <c r="P1" s="40" t="s">
        <v>244</v>
      </c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</row>
    <row r="2" spans="1:982" ht="23.25" customHeight="1" thickTop="1" x14ac:dyDescent="0.25">
      <c r="A2" s="43" t="s">
        <v>174</v>
      </c>
      <c r="B2" s="44" t="s">
        <v>116</v>
      </c>
      <c r="C2" s="44" t="s">
        <v>117</v>
      </c>
      <c r="D2" s="44" t="s">
        <v>171</v>
      </c>
      <c r="E2" s="45" t="s">
        <v>85</v>
      </c>
      <c r="F2" s="45" t="s">
        <v>118</v>
      </c>
      <c r="G2" s="46" t="s">
        <v>165</v>
      </c>
      <c r="H2" s="47">
        <v>41</v>
      </c>
      <c r="I2" s="47">
        <v>53</v>
      </c>
      <c r="J2" s="47">
        <v>18</v>
      </c>
      <c r="K2" s="47">
        <v>14</v>
      </c>
      <c r="L2" s="47">
        <v>105</v>
      </c>
      <c r="M2" s="47">
        <v>98</v>
      </c>
      <c r="N2" s="47">
        <v>115</v>
      </c>
      <c r="O2" s="47">
        <v>66</v>
      </c>
      <c r="P2" s="47">
        <v>36</v>
      </c>
    </row>
    <row r="3" spans="1:982" ht="23.25" customHeight="1" x14ac:dyDescent="0.25">
      <c r="A3" s="57"/>
      <c r="B3" s="57"/>
      <c r="C3" s="57"/>
      <c r="D3" s="57"/>
      <c r="E3" s="57"/>
      <c r="F3" s="57"/>
      <c r="G3" s="57"/>
      <c r="H3" s="48">
        <v>93</v>
      </c>
      <c r="I3" s="48">
        <v>114</v>
      </c>
      <c r="J3" s="48">
        <v>69</v>
      </c>
      <c r="K3" s="48">
        <v>35</v>
      </c>
      <c r="L3" s="48">
        <v>24</v>
      </c>
      <c r="M3" s="48">
        <v>19</v>
      </c>
      <c r="N3" s="48">
        <v>90</v>
      </c>
      <c r="O3" s="57"/>
      <c r="P3" s="57"/>
    </row>
    <row r="4" spans="1:982" ht="23.25" customHeight="1" x14ac:dyDescent="0.25">
      <c r="A4" s="50" t="s">
        <v>175</v>
      </c>
      <c r="B4" s="51" t="s">
        <v>120</v>
      </c>
      <c r="C4" s="51" t="s">
        <v>121</v>
      </c>
      <c r="D4" s="51" t="s">
        <v>171</v>
      </c>
      <c r="E4" s="52" t="s">
        <v>85</v>
      </c>
      <c r="F4" s="52" t="s">
        <v>118</v>
      </c>
      <c r="G4" s="53" t="s">
        <v>119</v>
      </c>
      <c r="H4" s="55">
        <v>41</v>
      </c>
      <c r="I4" s="55">
        <v>55</v>
      </c>
      <c r="J4" s="55">
        <v>17</v>
      </c>
      <c r="K4" s="55">
        <v>13.5</v>
      </c>
      <c r="L4" s="55">
        <v>96</v>
      </c>
      <c r="M4" s="55">
        <v>88</v>
      </c>
      <c r="N4" s="55">
        <v>110</v>
      </c>
      <c r="O4" s="55">
        <v>69</v>
      </c>
      <c r="P4" s="55">
        <v>39</v>
      </c>
    </row>
    <row r="5" spans="1:982" ht="23.25" customHeight="1" x14ac:dyDescent="0.25">
      <c r="A5" s="57"/>
      <c r="B5" s="57"/>
      <c r="C5" s="57"/>
      <c r="D5" s="57"/>
      <c r="E5" s="57"/>
      <c r="F5" s="57"/>
      <c r="G5" s="57"/>
      <c r="H5" s="58">
        <v>80</v>
      </c>
      <c r="I5" s="58">
        <v>106</v>
      </c>
      <c r="J5" s="58">
        <v>68</v>
      </c>
      <c r="K5" s="58">
        <v>34</v>
      </c>
      <c r="L5" s="58">
        <v>26</v>
      </c>
      <c r="M5" s="58">
        <v>20</v>
      </c>
      <c r="N5" s="58">
        <v>94</v>
      </c>
      <c r="O5" s="57"/>
      <c r="P5" s="57"/>
    </row>
    <row r="6" spans="1:982" ht="23.25" customHeight="1" x14ac:dyDescent="0.25">
      <c r="A6" s="50" t="s">
        <v>176</v>
      </c>
      <c r="B6" s="51" t="s">
        <v>122</v>
      </c>
      <c r="C6" s="51" t="s">
        <v>123</v>
      </c>
      <c r="D6" s="51" t="s">
        <v>171</v>
      </c>
      <c r="E6" s="52" t="s">
        <v>85</v>
      </c>
      <c r="F6" s="52" t="s">
        <v>118</v>
      </c>
      <c r="G6" s="53" t="s">
        <v>119</v>
      </c>
      <c r="H6" s="55">
        <v>43</v>
      </c>
      <c r="I6" s="55">
        <v>56</v>
      </c>
      <c r="J6" s="55">
        <v>19</v>
      </c>
      <c r="K6" s="55">
        <v>14</v>
      </c>
      <c r="L6" s="55">
        <v>116</v>
      </c>
      <c r="M6" s="55">
        <v>105</v>
      </c>
      <c r="N6" s="55">
        <v>123</v>
      </c>
      <c r="O6" s="55">
        <v>73</v>
      </c>
      <c r="P6" s="55">
        <v>42</v>
      </c>
    </row>
    <row r="7" spans="1:982" ht="23.25" customHeight="1" x14ac:dyDescent="0.25">
      <c r="A7" s="57"/>
      <c r="B7" s="57"/>
      <c r="C7" s="57"/>
      <c r="D7" s="57"/>
      <c r="E7" s="57"/>
      <c r="F7" s="57"/>
      <c r="G7" s="57"/>
      <c r="H7" s="58">
        <v>96</v>
      </c>
      <c r="I7" s="58">
        <v>118</v>
      </c>
      <c r="J7" s="58">
        <v>76</v>
      </c>
      <c r="K7" s="58">
        <v>36</v>
      </c>
      <c r="L7" s="58">
        <v>26</v>
      </c>
      <c r="M7" s="58">
        <v>22</v>
      </c>
      <c r="N7" s="58">
        <v>101</v>
      </c>
      <c r="O7" s="57"/>
      <c r="P7" s="57"/>
    </row>
    <row r="8" spans="1:982" ht="23.25" customHeight="1" x14ac:dyDescent="0.25">
      <c r="A8" s="50" t="s">
        <v>177</v>
      </c>
      <c r="B8" s="51" t="s">
        <v>124</v>
      </c>
      <c r="C8" s="51" t="s">
        <v>125</v>
      </c>
      <c r="D8" s="51" t="s">
        <v>171</v>
      </c>
      <c r="E8" s="52" t="s">
        <v>85</v>
      </c>
      <c r="F8" s="52" t="s">
        <v>118</v>
      </c>
      <c r="G8" s="53" t="s">
        <v>119</v>
      </c>
      <c r="H8" s="55">
        <v>45</v>
      </c>
      <c r="I8" s="55">
        <v>60</v>
      </c>
      <c r="J8" s="55">
        <v>19</v>
      </c>
      <c r="K8" s="55">
        <v>14</v>
      </c>
      <c r="L8" s="55">
        <v>106</v>
      </c>
      <c r="M8" s="55">
        <v>100</v>
      </c>
      <c r="N8" s="55">
        <v>116</v>
      </c>
      <c r="O8" s="55">
        <v>68</v>
      </c>
      <c r="P8" s="55">
        <v>40</v>
      </c>
    </row>
    <row r="9" spans="1:982" ht="23.25" customHeight="1" x14ac:dyDescent="0.25">
      <c r="A9" s="57"/>
      <c r="B9" s="57"/>
      <c r="C9" s="57"/>
      <c r="D9" s="57"/>
      <c r="E9" s="57"/>
      <c r="F9" s="57"/>
      <c r="G9" s="57"/>
      <c r="H9" s="58"/>
      <c r="I9" s="58"/>
      <c r="J9" s="58"/>
      <c r="K9" s="58"/>
      <c r="L9" s="58"/>
      <c r="M9" s="58"/>
      <c r="N9" s="58"/>
      <c r="O9" s="57"/>
      <c r="P9" s="57"/>
    </row>
    <row r="10" spans="1:982" ht="23.25" customHeight="1" x14ac:dyDescent="0.25">
      <c r="A10" s="50" t="s">
        <v>178</v>
      </c>
      <c r="B10" s="51" t="s">
        <v>126</v>
      </c>
      <c r="C10" s="51" t="s">
        <v>127</v>
      </c>
      <c r="D10" s="51" t="s">
        <v>171</v>
      </c>
      <c r="E10" s="52" t="s">
        <v>85</v>
      </c>
      <c r="F10" s="52" t="s">
        <v>118</v>
      </c>
      <c r="G10" s="53" t="s">
        <v>119</v>
      </c>
      <c r="H10" s="55">
        <v>40</v>
      </c>
      <c r="I10" s="55">
        <v>55</v>
      </c>
      <c r="J10" s="55">
        <v>16</v>
      </c>
      <c r="K10" s="55">
        <v>13.5</v>
      </c>
      <c r="L10" s="55">
        <v>93</v>
      </c>
      <c r="M10" s="55">
        <v>85</v>
      </c>
      <c r="N10" s="55">
        <v>102</v>
      </c>
      <c r="O10" s="55">
        <v>67</v>
      </c>
      <c r="P10" s="55">
        <v>37</v>
      </c>
    </row>
    <row r="11" spans="1:982" ht="23.25" customHeight="1" x14ac:dyDescent="0.25">
      <c r="A11" s="57"/>
      <c r="B11" s="57"/>
      <c r="C11" s="57"/>
      <c r="D11" s="57"/>
      <c r="E11" s="57"/>
      <c r="F11" s="57"/>
      <c r="G11" s="57"/>
      <c r="H11" s="58">
        <v>79</v>
      </c>
      <c r="I11" s="58">
        <v>97</v>
      </c>
      <c r="J11" s="58">
        <v>66</v>
      </c>
      <c r="K11" s="58">
        <v>33</v>
      </c>
      <c r="L11" s="58">
        <v>24</v>
      </c>
      <c r="M11" s="58">
        <v>20</v>
      </c>
      <c r="N11" s="58">
        <v>94</v>
      </c>
      <c r="O11" s="57"/>
      <c r="P11" s="57"/>
    </row>
    <row r="12" spans="1:982" ht="23.25" customHeight="1" x14ac:dyDescent="0.25">
      <c r="A12" s="50" t="s">
        <v>179</v>
      </c>
      <c r="B12" s="51" t="s">
        <v>130</v>
      </c>
      <c r="C12" s="51" t="s">
        <v>131</v>
      </c>
      <c r="D12" s="51" t="s">
        <v>171</v>
      </c>
      <c r="E12" s="52" t="s">
        <v>85</v>
      </c>
      <c r="F12" s="52" t="s">
        <v>118</v>
      </c>
      <c r="G12" s="53" t="s">
        <v>119</v>
      </c>
      <c r="H12" s="55">
        <v>41</v>
      </c>
      <c r="I12" s="55">
        <v>53</v>
      </c>
      <c r="J12" s="55">
        <v>18</v>
      </c>
      <c r="K12" s="55">
        <v>14</v>
      </c>
      <c r="L12" s="55">
        <v>104</v>
      </c>
      <c r="M12" s="55">
        <v>93</v>
      </c>
      <c r="N12" s="55">
        <v>115</v>
      </c>
      <c r="O12" s="55">
        <v>70</v>
      </c>
      <c r="P12" s="55">
        <v>40</v>
      </c>
    </row>
    <row r="13" spans="1:982" ht="23.25" customHeight="1" x14ac:dyDescent="0.25">
      <c r="A13" s="57"/>
      <c r="B13" s="57"/>
      <c r="C13" s="57"/>
      <c r="D13" s="57"/>
      <c r="E13" s="57"/>
      <c r="F13" s="57"/>
      <c r="G13" s="57"/>
      <c r="H13" s="58">
        <v>86</v>
      </c>
      <c r="I13" s="58">
        <v>112</v>
      </c>
      <c r="J13" s="58">
        <v>71</v>
      </c>
      <c r="K13" s="58">
        <v>36</v>
      </c>
      <c r="L13" s="58">
        <v>25</v>
      </c>
      <c r="M13" s="58">
        <v>19</v>
      </c>
      <c r="N13" s="58">
        <v>95</v>
      </c>
      <c r="O13" s="57"/>
      <c r="P13" s="57"/>
    </row>
    <row r="14" spans="1:982" ht="23.25" customHeight="1" x14ac:dyDescent="0.25">
      <c r="A14" s="50" t="s">
        <v>180</v>
      </c>
      <c r="B14" s="51" t="s">
        <v>144</v>
      </c>
      <c r="C14" s="51" t="s">
        <v>129</v>
      </c>
      <c r="D14" s="51" t="s">
        <v>171</v>
      </c>
      <c r="E14" s="52" t="s">
        <v>85</v>
      </c>
      <c r="F14" s="52" t="s">
        <v>118</v>
      </c>
      <c r="G14" s="53" t="s">
        <v>163</v>
      </c>
      <c r="H14" s="55">
        <v>40</v>
      </c>
      <c r="I14" s="55">
        <v>57</v>
      </c>
      <c r="J14" s="55">
        <v>16</v>
      </c>
      <c r="K14" s="55">
        <v>13.5</v>
      </c>
      <c r="L14" s="55">
        <v>89</v>
      </c>
      <c r="M14" s="55">
        <v>82</v>
      </c>
      <c r="N14" s="55">
        <v>103</v>
      </c>
      <c r="O14" s="55">
        <v>69</v>
      </c>
      <c r="P14" s="55">
        <v>37</v>
      </c>
    </row>
    <row r="15" spans="1:982" ht="23.25" customHeight="1" x14ac:dyDescent="0.25">
      <c r="A15" s="57"/>
      <c r="B15" s="57"/>
      <c r="C15" s="57"/>
      <c r="D15" s="57"/>
      <c r="E15" s="57"/>
      <c r="F15" s="57"/>
      <c r="G15" s="57"/>
      <c r="H15" s="58">
        <v>73</v>
      </c>
      <c r="I15" s="58">
        <v>98</v>
      </c>
      <c r="J15" s="58">
        <v>66</v>
      </c>
      <c r="K15" s="58">
        <v>30</v>
      </c>
      <c r="L15" s="58">
        <v>23</v>
      </c>
      <c r="M15" s="58">
        <v>19</v>
      </c>
      <c r="N15" s="58">
        <v>98</v>
      </c>
      <c r="O15" s="57"/>
      <c r="P15" s="57"/>
    </row>
    <row r="16" spans="1:982" ht="23.25" customHeight="1" x14ac:dyDescent="0.25">
      <c r="A16" s="50" t="s">
        <v>181</v>
      </c>
      <c r="B16" s="51" t="s">
        <v>139</v>
      </c>
      <c r="C16" s="51" t="s">
        <v>129</v>
      </c>
      <c r="D16" s="51" t="s">
        <v>171</v>
      </c>
      <c r="E16" s="52" t="s">
        <v>85</v>
      </c>
      <c r="F16" s="52" t="s">
        <v>118</v>
      </c>
      <c r="G16" s="53" t="s">
        <v>119</v>
      </c>
      <c r="H16" s="55">
        <v>43</v>
      </c>
      <c r="I16" s="55">
        <v>54</v>
      </c>
      <c r="J16" s="55">
        <v>20</v>
      </c>
      <c r="K16" s="55">
        <v>14</v>
      </c>
      <c r="L16" s="55">
        <v>109</v>
      </c>
      <c r="M16" s="55">
        <v>99</v>
      </c>
      <c r="N16" s="55">
        <v>121</v>
      </c>
      <c r="O16" s="55">
        <v>69</v>
      </c>
      <c r="P16" s="55">
        <v>39</v>
      </c>
    </row>
    <row r="17" spans="1:16" ht="23.25" customHeight="1" x14ac:dyDescent="0.25">
      <c r="A17" s="57"/>
      <c r="B17" s="57"/>
      <c r="C17" s="57"/>
      <c r="D17" s="57"/>
      <c r="E17" s="57"/>
      <c r="F17" s="57"/>
      <c r="G17" s="57"/>
      <c r="H17" s="58">
        <v>91</v>
      </c>
      <c r="I17" s="58">
        <v>122</v>
      </c>
      <c r="J17" s="58">
        <v>72</v>
      </c>
      <c r="K17" s="58">
        <v>38</v>
      </c>
      <c r="L17" s="58">
        <v>27</v>
      </c>
      <c r="M17" s="58">
        <v>21</v>
      </c>
      <c r="N17" s="58">
        <v>94</v>
      </c>
      <c r="O17" s="57"/>
      <c r="P17" s="57"/>
    </row>
    <row r="18" spans="1:16" ht="23.25" customHeight="1" x14ac:dyDescent="0.25">
      <c r="A18" s="50" t="s">
        <v>182</v>
      </c>
      <c r="B18" s="51" t="s">
        <v>137</v>
      </c>
      <c r="C18" s="51" t="s">
        <v>129</v>
      </c>
      <c r="D18" s="51" t="s">
        <v>171</v>
      </c>
      <c r="E18" s="52" t="s">
        <v>85</v>
      </c>
      <c r="F18" s="52" t="s">
        <v>118</v>
      </c>
      <c r="G18" s="53" t="s">
        <v>119</v>
      </c>
      <c r="H18" s="55">
        <v>43</v>
      </c>
      <c r="I18" s="55">
        <v>55</v>
      </c>
      <c r="J18" s="55">
        <v>18</v>
      </c>
      <c r="K18" s="55">
        <v>14</v>
      </c>
      <c r="L18" s="55">
        <v>109</v>
      </c>
      <c r="M18" s="55">
        <v>98</v>
      </c>
      <c r="N18" s="55">
        <v>125</v>
      </c>
      <c r="O18" s="55">
        <v>70</v>
      </c>
      <c r="P18" s="55">
        <v>41</v>
      </c>
    </row>
    <row r="19" spans="1:16" ht="23.25" customHeight="1" x14ac:dyDescent="0.25">
      <c r="A19" s="57"/>
      <c r="B19" s="57"/>
      <c r="C19" s="57"/>
      <c r="D19" s="57"/>
      <c r="E19" s="57"/>
      <c r="F19" s="57"/>
      <c r="G19" s="57"/>
      <c r="H19" s="58">
        <v>89</v>
      </c>
      <c r="I19" s="58">
        <v>127</v>
      </c>
      <c r="J19" s="58">
        <v>75</v>
      </c>
      <c r="K19" s="58">
        <v>38</v>
      </c>
      <c r="L19" s="58">
        <v>26</v>
      </c>
      <c r="M19" s="58">
        <v>20</v>
      </c>
      <c r="N19" s="58">
        <v>96</v>
      </c>
      <c r="O19" s="57"/>
      <c r="P19" s="57"/>
    </row>
    <row r="20" spans="1:16" ht="23.25" customHeight="1" x14ac:dyDescent="0.25">
      <c r="A20" s="50" t="s">
        <v>183</v>
      </c>
      <c r="B20" s="51" t="s">
        <v>143</v>
      </c>
      <c r="C20" s="51" t="s">
        <v>129</v>
      </c>
      <c r="D20" s="51" t="s">
        <v>171</v>
      </c>
      <c r="E20" s="52" t="s">
        <v>85</v>
      </c>
      <c r="F20" s="52" t="s">
        <v>118</v>
      </c>
      <c r="G20" s="53" t="s">
        <v>119</v>
      </c>
      <c r="H20" s="55">
        <v>39</v>
      </c>
      <c r="I20" s="55">
        <v>51</v>
      </c>
      <c r="J20" s="55">
        <v>17</v>
      </c>
      <c r="K20" s="55">
        <v>14</v>
      </c>
      <c r="L20" s="55">
        <v>96</v>
      </c>
      <c r="M20" s="55">
        <v>86</v>
      </c>
      <c r="N20" s="55">
        <v>105</v>
      </c>
      <c r="O20" s="55">
        <v>66</v>
      </c>
      <c r="P20" s="55">
        <v>38</v>
      </c>
    </row>
    <row r="21" spans="1:16" ht="23.25" customHeight="1" x14ac:dyDescent="0.25">
      <c r="A21" s="57"/>
      <c r="B21" s="57"/>
      <c r="C21" s="57"/>
      <c r="D21" s="57"/>
      <c r="E21" s="57"/>
      <c r="F21" s="57"/>
      <c r="G21" s="57"/>
      <c r="H21" s="58">
        <v>77</v>
      </c>
      <c r="I21" s="58">
        <v>102</v>
      </c>
      <c r="J21" s="58">
        <v>68</v>
      </c>
      <c r="K21" s="58">
        <v>33</v>
      </c>
      <c r="L21" s="58">
        <v>24</v>
      </c>
      <c r="M21" s="58">
        <v>19</v>
      </c>
      <c r="N21" s="58">
        <v>94</v>
      </c>
      <c r="O21" s="57"/>
      <c r="P21" s="57"/>
    </row>
    <row r="22" spans="1:16" ht="23.25" customHeight="1" x14ac:dyDescent="0.25">
      <c r="A22" s="50" t="s">
        <v>184</v>
      </c>
      <c r="B22" s="51" t="s">
        <v>132</v>
      </c>
      <c r="C22" s="51" t="s">
        <v>129</v>
      </c>
      <c r="D22" s="51" t="s">
        <v>171</v>
      </c>
      <c r="E22" s="52" t="s">
        <v>85</v>
      </c>
      <c r="F22" s="52" t="s">
        <v>118</v>
      </c>
      <c r="G22" s="53" t="s">
        <v>119</v>
      </c>
      <c r="H22" s="55">
        <v>41</v>
      </c>
      <c r="I22" s="55">
        <v>57</v>
      </c>
      <c r="J22" s="55">
        <v>18</v>
      </c>
      <c r="K22" s="55">
        <v>13.5</v>
      </c>
      <c r="L22" s="55">
        <v>101</v>
      </c>
      <c r="M22" s="55">
        <v>95</v>
      </c>
      <c r="N22" s="55">
        <v>114</v>
      </c>
      <c r="O22" s="55">
        <v>66</v>
      </c>
      <c r="P22" s="55">
        <v>38</v>
      </c>
    </row>
    <row r="23" spans="1:16" ht="23.25" customHeight="1" x14ac:dyDescent="0.25">
      <c r="A23" s="57"/>
      <c r="B23" s="57"/>
      <c r="C23" s="57"/>
      <c r="D23" s="57"/>
      <c r="E23" s="57"/>
      <c r="F23" s="57"/>
      <c r="G23" s="57"/>
      <c r="H23" s="58">
        <v>88</v>
      </c>
      <c r="I23" s="58">
        <v>113</v>
      </c>
      <c r="J23" s="58">
        <v>71</v>
      </c>
      <c r="K23" s="58">
        <v>35</v>
      </c>
      <c r="L23" s="58">
        <v>25</v>
      </c>
      <c r="M23" s="58">
        <v>20</v>
      </c>
      <c r="N23" s="58">
        <v>93</v>
      </c>
      <c r="O23" s="57"/>
      <c r="P23" s="57"/>
    </row>
    <row r="24" spans="1:16" ht="23.25" customHeight="1" x14ac:dyDescent="0.25">
      <c r="A24" s="50" t="s">
        <v>185</v>
      </c>
      <c r="B24" s="51" t="s">
        <v>136</v>
      </c>
      <c r="C24" s="51" t="s">
        <v>129</v>
      </c>
      <c r="D24" s="51" t="s">
        <v>171</v>
      </c>
      <c r="E24" s="52" t="s">
        <v>85</v>
      </c>
      <c r="F24" s="52" t="s">
        <v>118</v>
      </c>
      <c r="G24" s="53" t="s">
        <v>119</v>
      </c>
      <c r="H24" s="55">
        <v>41</v>
      </c>
      <c r="I24" s="55">
        <v>55</v>
      </c>
      <c r="J24" s="55">
        <v>17</v>
      </c>
      <c r="K24" s="55">
        <v>13.5</v>
      </c>
      <c r="L24" s="55">
        <v>94</v>
      </c>
      <c r="M24" s="55">
        <v>89</v>
      </c>
      <c r="N24" s="55">
        <v>106</v>
      </c>
      <c r="O24" s="55">
        <v>67</v>
      </c>
      <c r="P24" s="55">
        <v>39</v>
      </c>
    </row>
    <row r="25" spans="1:16" ht="23.25" customHeight="1" x14ac:dyDescent="0.25">
      <c r="A25" s="57"/>
      <c r="B25" s="57"/>
      <c r="C25" s="57"/>
      <c r="D25" s="57"/>
      <c r="E25" s="57"/>
      <c r="F25" s="57"/>
      <c r="G25" s="57"/>
      <c r="H25" s="58">
        <v>83</v>
      </c>
      <c r="I25" s="58">
        <v>106</v>
      </c>
      <c r="J25" s="58">
        <v>64</v>
      </c>
      <c r="K25" s="58">
        <v>33</v>
      </c>
      <c r="L25" s="58">
        <v>24</v>
      </c>
      <c r="M25" s="58">
        <v>19</v>
      </c>
      <c r="N25" s="58">
        <v>93</v>
      </c>
      <c r="O25" s="57"/>
      <c r="P25" s="57"/>
    </row>
    <row r="26" spans="1:16" ht="23.25" customHeight="1" x14ac:dyDescent="0.25">
      <c r="A26" s="50" t="s">
        <v>186</v>
      </c>
      <c r="B26" s="51" t="s">
        <v>134</v>
      </c>
      <c r="C26" s="51" t="s">
        <v>129</v>
      </c>
      <c r="D26" s="51" t="s">
        <v>171</v>
      </c>
      <c r="E26" s="52" t="s">
        <v>85</v>
      </c>
      <c r="F26" s="52" t="s">
        <v>118</v>
      </c>
      <c r="G26" s="53" t="s">
        <v>119</v>
      </c>
      <c r="H26" s="55">
        <v>39</v>
      </c>
      <c r="I26" s="55">
        <v>57</v>
      </c>
      <c r="J26" s="55">
        <v>17</v>
      </c>
      <c r="K26" s="55">
        <v>13.5</v>
      </c>
      <c r="L26" s="55">
        <v>93</v>
      </c>
      <c r="M26" s="55">
        <v>79</v>
      </c>
      <c r="N26" s="55">
        <v>100</v>
      </c>
      <c r="O26" s="55">
        <v>67</v>
      </c>
      <c r="P26" s="55">
        <v>37</v>
      </c>
    </row>
    <row r="27" spans="1:16" ht="23.25" customHeight="1" x14ac:dyDescent="0.25">
      <c r="A27" s="57"/>
      <c r="B27" s="57"/>
      <c r="C27" s="57"/>
      <c r="D27" s="57"/>
      <c r="E27" s="57"/>
      <c r="F27" s="57"/>
      <c r="G27" s="57"/>
      <c r="H27" s="58">
        <v>83</v>
      </c>
      <c r="I27" s="58">
        <v>107</v>
      </c>
      <c r="J27" s="58">
        <v>66</v>
      </c>
      <c r="K27" s="58">
        <v>33</v>
      </c>
      <c r="L27" s="58">
        <v>24</v>
      </c>
      <c r="M27" s="58">
        <v>19</v>
      </c>
      <c r="N27" s="58">
        <v>97</v>
      </c>
      <c r="O27" s="57"/>
      <c r="P27" s="57"/>
    </row>
    <row r="28" spans="1:16" ht="23.25" customHeight="1" x14ac:dyDescent="0.25">
      <c r="A28" s="50" t="s">
        <v>187</v>
      </c>
      <c r="B28" s="51" t="s">
        <v>142</v>
      </c>
      <c r="C28" s="51" t="s">
        <v>129</v>
      </c>
      <c r="D28" s="51" t="s">
        <v>171</v>
      </c>
      <c r="E28" s="52" t="s">
        <v>85</v>
      </c>
      <c r="F28" s="52" t="s">
        <v>118</v>
      </c>
      <c r="G28" s="53" t="s">
        <v>119</v>
      </c>
      <c r="H28" s="55">
        <v>39</v>
      </c>
      <c r="I28" s="55">
        <v>56</v>
      </c>
      <c r="J28" s="55">
        <v>18</v>
      </c>
      <c r="K28" s="55">
        <v>14</v>
      </c>
      <c r="L28" s="55">
        <v>99</v>
      </c>
      <c r="M28" s="55">
        <v>90</v>
      </c>
      <c r="N28" s="55">
        <v>111</v>
      </c>
      <c r="O28" s="55">
        <v>68</v>
      </c>
      <c r="P28" s="55">
        <v>38</v>
      </c>
    </row>
    <row r="29" spans="1:16" ht="23.25" customHeight="1" x14ac:dyDescent="0.25">
      <c r="A29" s="57"/>
      <c r="B29" s="57"/>
      <c r="C29" s="57"/>
      <c r="D29" s="57"/>
      <c r="E29" s="57"/>
      <c r="F29" s="57"/>
      <c r="G29" s="57"/>
      <c r="H29" s="58">
        <v>90</v>
      </c>
      <c r="I29" s="58">
        <v>112</v>
      </c>
      <c r="J29" s="58">
        <v>64</v>
      </c>
      <c r="K29" s="58">
        <v>34</v>
      </c>
      <c r="L29" s="58">
        <v>25</v>
      </c>
      <c r="M29" s="58">
        <v>20</v>
      </c>
      <c r="N29" s="58">
        <v>88</v>
      </c>
      <c r="O29" s="57"/>
      <c r="P29" s="57"/>
    </row>
    <row r="30" spans="1:16" ht="23.25" customHeight="1" x14ac:dyDescent="0.25">
      <c r="A30" s="50" t="s">
        <v>188</v>
      </c>
      <c r="B30" s="51" t="s">
        <v>135</v>
      </c>
      <c r="C30" s="51" t="s">
        <v>129</v>
      </c>
      <c r="D30" s="51" t="s">
        <v>171</v>
      </c>
      <c r="E30" s="52" t="s">
        <v>85</v>
      </c>
      <c r="F30" s="52" t="s">
        <v>118</v>
      </c>
      <c r="G30" s="53" t="s">
        <v>119</v>
      </c>
      <c r="H30" s="55">
        <v>40</v>
      </c>
      <c r="I30" s="55">
        <v>57</v>
      </c>
      <c r="J30" s="55">
        <v>17</v>
      </c>
      <c r="K30" s="55">
        <v>13.5</v>
      </c>
      <c r="L30" s="55">
        <v>93</v>
      </c>
      <c r="M30" s="55">
        <v>83</v>
      </c>
      <c r="N30" s="55">
        <v>98</v>
      </c>
      <c r="O30" s="55">
        <v>68</v>
      </c>
      <c r="P30" s="55">
        <v>38</v>
      </c>
    </row>
    <row r="31" spans="1:16" ht="23.25" customHeight="1" x14ac:dyDescent="0.25">
      <c r="A31" s="57"/>
      <c r="B31" s="57"/>
      <c r="C31" s="57"/>
      <c r="D31" s="57"/>
      <c r="E31" s="57"/>
      <c r="F31" s="57"/>
      <c r="G31" s="57"/>
      <c r="H31" s="58">
        <v>77</v>
      </c>
      <c r="I31" s="58">
        <v>105</v>
      </c>
      <c r="J31" s="58">
        <v>66</v>
      </c>
      <c r="K31" s="58">
        <v>32</v>
      </c>
      <c r="L31" s="58">
        <v>24</v>
      </c>
      <c r="M31" s="58">
        <v>19</v>
      </c>
      <c r="N31" s="58">
        <v>96</v>
      </c>
      <c r="O31" s="57"/>
      <c r="P31" s="57"/>
    </row>
    <row r="32" spans="1:16" ht="23.25" customHeight="1" x14ac:dyDescent="0.25">
      <c r="A32" s="50" t="s">
        <v>189</v>
      </c>
      <c r="B32" s="51" t="s">
        <v>133</v>
      </c>
      <c r="C32" s="51" t="s">
        <v>129</v>
      </c>
      <c r="D32" s="51" t="s">
        <v>171</v>
      </c>
      <c r="E32" s="52" t="s">
        <v>85</v>
      </c>
      <c r="F32" s="52" t="s">
        <v>118</v>
      </c>
      <c r="G32" s="53" t="s">
        <v>119</v>
      </c>
      <c r="H32" s="55">
        <v>39</v>
      </c>
      <c r="I32" s="55">
        <v>51</v>
      </c>
      <c r="J32" s="55">
        <v>17</v>
      </c>
      <c r="K32" s="55">
        <v>13</v>
      </c>
      <c r="L32" s="55">
        <v>94</v>
      </c>
      <c r="M32" s="55">
        <v>83</v>
      </c>
      <c r="N32" s="55">
        <v>103</v>
      </c>
      <c r="O32" s="55">
        <v>58</v>
      </c>
      <c r="P32" s="55">
        <v>40</v>
      </c>
    </row>
    <row r="33" spans="1:16" ht="23.25" customHeight="1" x14ac:dyDescent="0.25">
      <c r="A33" s="57"/>
      <c r="B33" s="57"/>
      <c r="C33" s="57"/>
      <c r="D33" s="57"/>
      <c r="E33" s="57"/>
      <c r="F33" s="57"/>
      <c r="G33" s="57"/>
      <c r="H33" s="58">
        <v>79</v>
      </c>
      <c r="I33" s="58">
        <v>105</v>
      </c>
      <c r="J33" s="58">
        <v>63</v>
      </c>
      <c r="K33" s="58">
        <v>32</v>
      </c>
      <c r="L33" s="58">
        <v>24</v>
      </c>
      <c r="M33" s="58">
        <v>19</v>
      </c>
      <c r="N33" s="58">
        <v>91</v>
      </c>
      <c r="O33" s="57"/>
      <c r="P33" s="57"/>
    </row>
    <row r="34" spans="1:16" ht="23.25" customHeight="1" x14ac:dyDescent="0.25">
      <c r="A34" s="50" t="s">
        <v>190</v>
      </c>
      <c r="B34" s="51" t="s">
        <v>140</v>
      </c>
      <c r="C34" s="51" t="s">
        <v>129</v>
      </c>
      <c r="D34" s="51" t="s">
        <v>171</v>
      </c>
      <c r="E34" s="52" t="s">
        <v>85</v>
      </c>
      <c r="F34" s="52" t="s">
        <v>118</v>
      </c>
      <c r="G34" s="53" t="s">
        <v>119</v>
      </c>
      <c r="H34" s="55">
        <v>38</v>
      </c>
      <c r="I34" s="55">
        <v>56</v>
      </c>
      <c r="J34" s="55">
        <v>16</v>
      </c>
      <c r="K34" s="55">
        <v>13</v>
      </c>
      <c r="L34" s="55">
        <v>88</v>
      </c>
      <c r="M34" s="55">
        <v>78</v>
      </c>
      <c r="N34" s="55">
        <v>98</v>
      </c>
      <c r="O34" s="55">
        <v>66</v>
      </c>
      <c r="P34" s="55">
        <v>38</v>
      </c>
    </row>
    <row r="35" spans="1:16" ht="23.25" customHeight="1" x14ac:dyDescent="0.25">
      <c r="A35" s="57"/>
      <c r="B35" s="57"/>
      <c r="C35" s="57"/>
      <c r="D35" s="57"/>
      <c r="E35" s="57"/>
      <c r="F35" s="57"/>
      <c r="G35" s="57"/>
      <c r="H35" s="58">
        <v>71</v>
      </c>
      <c r="I35" s="58">
        <v>98</v>
      </c>
      <c r="J35" s="58">
        <v>67</v>
      </c>
      <c r="K35" s="58">
        <v>32</v>
      </c>
      <c r="L35" s="58">
        <v>24</v>
      </c>
      <c r="M35" s="58">
        <v>19</v>
      </c>
      <c r="N35" s="58">
        <v>98</v>
      </c>
      <c r="O35" s="57"/>
      <c r="P35" s="57"/>
    </row>
    <row r="36" spans="1:16" ht="23.25" customHeight="1" x14ac:dyDescent="0.25">
      <c r="A36" s="50" t="s">
        <v>191</v>
      </c>
      <c r="B36" s="51" t="s">
        <v>138</v>
      </c>
      <c r="C36" s="51" t="s">
        <v>129</v>
      </c>
      <c r="D36" s="51" t="s">
        <v>171</v>
      </c>
      <c r="E36" s="52" t="s">
        <v>85</v>
      </c>
      <c r="F36" s="52" t="s">
        <v>118</v>
      </c>
      <c r="G36" s="53" t="s">
        <v>119</v>
      </c>
      <c r="H36" s="55">
        <v>39</v>
      </c>
      <c r="I36" s="55">
        <v>57</v>
      </c>
      <c r="J36" s="55">
        <v>16</v>
      </c>
      <c r="K36" s="55">
        <v>13.5</v>
      </c>
      <c r="L36" s="55">
        <v>89</v>
      </c>
      <c r="M36" s="55">
        <v>81</v>
      </c>
      <c r="N36" s="55">
        <v>100</v>
      </c>
      <c r="O36" s="55">
        <v>68</v>
      </c>
      <c r="P36" s="55">
        <v>37</v>
      </c>
    </row>
    <row r="37" spans="1:16" ht="23.25" customHeight="1" x14ac:dyDescent="0.25">
      <c r="A37" s="57"/>
      <c r="B37" s="57"/>
      <c r="C37" s="57"/>
      <c r="D37" s="57"/>
      <c r="E37" s="57"/>
      <c r="F37" s="57"/>
      <c r="G37" s="57"/>
      <c r="H37" s="58">
        <v>69</v>
      </c>
      <c r="I37" s="58">
        <v>94</v>
      </c>
      <c r="J37" s="58">
        <v>63</v>
      </c>
      <c r="K37" s="58">
        <v>30</v>
      </c>
      <c r="L37" s="58">
        <v>23</v>
      </c>
      <c r="M37" s="58">
        <v>18</v>
      </c>
      <c r="N37" s="58">
        <v>87</v>
      </c>
      <c r="O37" s="57"/>
      <c r="P37" s="57"/>
    </row>
    <row r="38" spans="1:16" ht="23.25" customHeight="1" x14ac:dyDescent="0.25">
      <c r="A38" s="50" t="s">
        <v>192</v>
      </c>
      <c r="B38" s="51" t="s">
        <v>141</v>
      </c>
      <c r="C38" s="51" t="s">
        <v>129</v>
      </c>
      <c r="D38" s="51" t="s">
        <v>171</v>
      </c>
      <c r="E38" s="52" t="s">
        <v>85</v>
      </c>
      <c r="F38" s="52" t="s">
        <v>118</v>
      </c>
      <c r="G38" s="53" t="s">
        <v>119</v>
      </c>
      <c r="H38" s="55">
        <v>39</v>
      </c>
      <c r="I38" s="55">
        <v>54</v>
      </c>
      <c r="J38" s="55">
        <v>16</v>
      </c>
      <c r="K38" s="55">
        <v>13</v>
      </c>
      <c r="L38" s="55">
        <v>85</v>
      </c>
      <c r="M38" s="55">
        <v>75</v>
      </c>
      <c r="N38" s="55">
        <v>93</v>
      </c>
      <c r="O38" s="55">
        <v>61</v>
      </c>
      <c r="P38" s="55">
        <v>41</v>
      </c>
    </row>
    <row r="39" spans="1:16" ht="23.25" customHeight="1" x14ac:dyDescent="0.25">
      <c r="A39" s="57"/>
      <c r="B39" s="57"/>
      <c r="C39" s="57"/>
      <c r="D39" s="57"/>
      <c r="E39" s="57"/>
      <c r="F39" s="57"/>
      <c r="G39" s="57"/>
      <c r="H39" s="58">
        <v>90</v>
      </c>
      <c r="I39" s="58">
        <v>114</v>
      </c>
      <c r="J39" s="58">
        <v>71</v>
      </c>
      <c r="K39" s="58">
        <v>35</v>
      </c>
      <c r="L39" s="58">
        <v>25</v>
      </c>
      <c r="M39" s="58">
        <v>20</v>
      </c>
      <c r="N39" s="58">
        <v>96</v>
      </c>
      <c r="O39" s="57"/>
      <c r="P39" s="57"/>
    </row>
    <row r="40" spans="1:16" ht="23.25" customHeight="1" x14ac:dyDescent="0.25">
      <c r="A40" s="50" t="s">
        <v>193</v>
      </c>
      <c r="B40" s="51" t="s">
        <v>128</v>
      </c>
      <c r="C40" s="51" t="s">
        <v>129</v>
      </c>
      <c r="D40" s="51" t="s">
        <v>171</v>
      </c>
      <c r="E40" s="52" t="s">
        <v>85</v>
      </c>
      <c r="F40" s="52" t="s">
        <v>118</v>
      </c>
      <c r="G40" s="53" t="s">
        <v>119</v>
      </c>
      <c r="H40" s="55">
        <v>41</v>
      </c>
      <c r="I40" s="55">
        <v>52</v>
      </c>
      <c r="J40" s="55">
        <v>18</v>
      </c>
      <c r="K40" s="55">
        <v>14</v>
      </c>
      <c r="L40" s="55">
        <v>106</v>
      </c>
      <c r="M40" s="55">
        <v>98</v>
      </c>
      <c r="N40" s="55">
        <v>115</v>
      </c>
      <c r="O40" s="55">
        <v>69</v>
      </c>
      <c r="P40" s="55">
        <v>43</v>
      </c>
    </row>
    <row r="41" spans="1:16" ht="23.25" customHeight="1" x14ac:dyDescent="0.25">
      <c r="A41" s="57"/>
      <c r="B41" s="57"/>
      <c r="C41" s="57"/>
      <c r="D41" s="57"/>
      <c r="E41" s="57"/>
      <c r="F41" s="57"/>
      <c r="G41" s="57"/>
      <c r="H41" s="58"/>
      <c r="I41" s="58"/>
      <c r="J41" s="58"/>
      <c r="K41" s="58"/>
      <c r="L41" s="58"/>
      <c r="M41" s="58"/>
      <c r="N41" s="58"/>
      <c r="O41" s="57"/>
      <c r="P41" s="57"/>
    </row>
    <row r="42" spans="1:16" ht="23.25" customHeight="1" x14ac:dyDescent="0.25">
      <c r="A42" s="50" t="s">
        <v>194</v>
      </c>
      <c r="B42" s="51" t="s">
        <v>167</v>
      </c>
      <c r="C42" s="51" t="s">
        <v>129</v>
      </c>
      <c r="D42" s="51" t="s">
        <v>171</v>
      </c>
      <c r="E42" s="52" t="s">
        <v>85</v>
      </c>
      <c r="F42" s="52" t="s">
        <v>118</v>
      </c>
      <c r="G42" s="53" t="s">
        <v>119</v>
      </c>
      <c r="H42" s="55">
        <v>46</v>
      </c>
      <c r="I42" s="55">
        <v>57</v>
      </c>
      <c r="J42" s="55">
        <v>19</v>
      </c>
      <c r="K42" s="55">
        <v>15</v>
      </c>
      <c r="L42" s="55">
        <v>105</v>
      </c>
      <c r="M42" s="55">
        <v>102</v>
      </c>
      <c r="N42" s="55">
        <v>115</v>
      </c>
      <c r="O42" s="55">
        <v>66</v>
      </c>
      <c r="P42" s="55">
        <v>40</v>
      </c>
    </row>
    <row r="43" spans="1:16" ht="23.25" customHeight="1" x14ac:dyDescent="0.25">
      <c r="A43" s="57"/>
      <c r="B43" s="57"/>
      <c r="C43" s="57"/>
      <c r="D43" s="57"/>
      <c r="E43" s="57"/>
      <c r="F43" s="57"/>
      <c r="G43" s="57"/>
      <c r="H43" s="58"/>
      <c r="I43" s="58"/>
      <c r="J43" s="58"/>
      <c r="K43" s="58"/>
      <c r="L43" s="58"/>
      <c r="M43" s="58"/>
      <c r="N43" s="58"/>
      <c r="O43" s="57"/>
      <c r="P43" s="57"/>
    </row>
    <row r="44" spans="1:16" ht="23.25" customHeight="1" x14ac:dyDescent="0.25">
      <c r="A44" s="50" t="s">
        <v>208</v>
      </c>
      <c r="B44" s="51" t="s">
        <v>199</v>
      </c>
      <c r="C44" s="51" t="s">
        <v>200</v>
      </c>
      <c r="D44" s="51" t="s">
        <v>196</v>
      </c>
      <c r="E44" s="52" t="s">
        <v>85</v>
      </c>
      <c r="F44" s="52" t="s">
        <v>118</v>
      </c>
      <c r="G44" s="53" t="s">
        <v>235</v>
      </c>
      <c r="H44" s="55">
        <v>40</v>
      </c>
      <c r="I44" s="55">
        <v>55</v>
      </c>
      <c r="J44" s="55">
        <v>19</v>
      </c>
      <c r="K44" s="55">
        <v>13.5</v>
      </c>
      <c r="L44" s="55">
        <v>100</v>
      </c>
      <c r="M44" s="55">
        <v>88</v>
      </c>
      <c r="N44" s="55">
        <v>108</v>
      </c>
      <c r="O44" s="55">
        <v>68</v>
      </c>
      <c r="P44" s="55"/>
    </row>
    <row r="45" spans="1:16" ht="23.25" customHeight="1" x14ac:dyDescent="0.25">
      <c r="A45" s="57"/>
      <c r="B45" s="57"/>
      <c r="C45" s="57"/>
      <c r="D45" s="57"/>
      <c r="E45" s="57"/>
      <c r="F45" s="57"/>
      <c r="G45" s="57"/>
      <c r="H45" s="58">
        <v>77</v>
      </c>
      <c r="I45" s="58">
        <v>100</v>
      </c>
      <c r="J45" s="58">
        <v>69</v>
      </c>
      <c r="K45" s="58">
        <v>2</v>
      </c>
      <c r="L45" s="58">
        <v>23</v>
      </c>
      <c r="M45" s="58">
        <v>18</v>
      </c>
      <c r="N45" s="58">
        <v>100</v>
      </c>
      <c r="O45" s="57"/>
      <c r="P45" s="57"/>
    </row>
    <row r="46" spans="1:16" ht="23.25" customHeight="1" x14ac:dyDescent="0.25">
      <c r="A46" s="50" t="s">
        <v>209</v>
      </c>
      <c r="B46" s="51" t="s">
        <v>201</v>
      </c>
      <c r="C46" s="51" t="s">
        <v>200</v>
      </c>
      <c r="D46" s="51" t="s">
        <v>196</v>
      </c>
      <c r="E46" s="52" t="s">
        <v>85</v>
      </c>
      <c r="F46" s="52" t="s">
        <v>118</v>
      </c>
      <c r="G46" s="53" t="s">
        <v>119</v>
      </c>
      <c r="H46" s="55">
        <v>42</v>
      </c>
      <c r="I46" s="55">
        <v>57</v>
      </c>
      <c r="J46" s="55">
        <v>19</v>
      </c>
      <c r="K46" s="55">
        <v>14</v>
      </c>
      <c r="L46" s="55">
        <v>110</v>
      </c>
      <c r="M46" s="55">
        <v>100</v>
      </c>
      <c r="N46" s="55">
        <v>110</v>
      </c>
      <c r="O46" s="55">
        <v>70</v>
      </c>
      <c r="P46" s="55"/>
    </row>
    <row r="47" spans="1:16" ht="23.25" customHeight="1" x14ac:dyDescent="0.25">
      <c r="A47" s="57"/>
      <c r="B47" s="57"/>
      <c r="C47" s="57"/>
      <c r="D47" s="57"/>
      <c r="E47" s="57"/>
      <c r="F47" s="57"/>
      <c r="G47" s="57"/>
      <c r="H47" s="58">
        <v>87</v>
      </c>
      <c r="I47" s="58">
        <v>109</v>
      </c>
      <c r="J47" s="58">
        <v>69</v>
      </c>
      <c r="K47" s="58">
        <v>34</v>
      </c>
      <c r="L47" s="58">
        <v>26</v>
      </c>
      <c r="M47" s="58">
        <v>19</v>
      </c>
      <c r="N47" s="58">
        <v>95</v>
      </c>
      <c r="O47" s="57"/>
      <c r="P47" s="57"/>
    </row>
    <row r="48" spans="1:16" ht="23.25" customHeight="1" x14ac:dyDescent="0.25">
      <c r="A48" s="50" t="s">
        <v>210</v>
      </c>
      <c r="B48" s="51" t="s">
        <v>202</v>
      </c>
      <c r="C48" s="51" t="s">
        <v>121</v>
      </c>
      <c r="D48" s="51" t="s">
        <v>196</v>
      </c>
      <c r="E48" s="52" t="s">
        <v>85</v>
      </c>
      <c r="F48" s="52" t="s">
        <v>118</v>
      </c>
      <c r="G48" s="53" t="s">
        <v>119</v>
      </c>
      <c r="H48" s="55">
        <v>41</v>
      </c>
      <c r="I48" s="55">
        <v>54</v>
      </c>
      <c r="J48" s="55">
        <v>19</v>
      </c>
      <c r="K48" s="55">
        <v>14</v>
      </c>
      <c r="L48" s="55">
        <v>106</v>
      </c>
      <c r="M48" s="55">
        <v>100</v>
      </c>
      <c r="N48" s="55">
        <v>114</v>
      </c>
      <c r="O48" s="55">
        <v>68</v>
      </c>
      <c r="P48" s="55"/>
    </row>
    <row r="49" spans="1:16" ht="23.25" customHeight="1" x14ac:dyDescent="0.25">
      <c r="A49" s="57"/>
      <c r="B49" s="57"/>
      <c r="C49" s="57"/>
      <c r="D49" s="57"/>
      <c r="E49" s="57"/>
      <c r="F49" s="57"/>
      <c r="G49" s="57"/>
      <c r="H49" s="58">
        <v>91</v>
      </c>
      <c r="I49" s="58">
        <v>110</v>
      </c>
      <c r="J49" s="58">
        <v>69</v>
      </c>
      <c r="K49" s="58">
        <v>34</v>
      </c>
      <c r="L49" s="58">
        <v>25</v>
      </c>
      <c r="M49" s="58">
        <v>19</v>
      </c>
      <c r="N49" s="58">
        <v>92</v>
      </c>
      <c r="O49" s="57"/>
      <c r="P49" s="57"/>
    </row>
    <row r="50" spans="1:16" ht="23.25" customHeight="1" x14ac:dyDescent="0.25">
      <c r="A50" s="50" t="s">
        <v>211</v>
      </c>
      <c r="B50" s="51" t="s">
        <v>203</v>
      </c>
      <c r="C50" s="51" t="s">
        <v>206</v>
      </c>
      <c r="D50" s="51" t="s">
        <v>196</v>
      </c>
      <c r="E50" s="52" t="s">
        <v>85</v>
      </c>
      <c r="F50" s="52" t="s">
        <v>118</v>
      </c>
      <c r="G50" s="53" t="s">
        <v>119</v>
      </c>
      <c r="H50" s="55">
        <v>43</v>
      </c>
      <c r="I50" s="55">
        <v>55</v>
      </c>
      <c r="J50" s="55">
        <v>19</v>
      </c>
      <c r="K50" s="55">
        <v>13.5</v>
      </c>
      <c r="L50" s="55">
        <v>108</v>
      </c>
      <c r="M50" s="55">
        <v>100</v>
      </c>
      <c r="N50" s="55">
        <v>112</v>
      </c>
      <c r="O50" s="55">
        <v>69</v>
      </c>
      <c r="P50" s="55"/>
    </row>
    <row r="51" spans="1:16" ht="23.25" customHeight="1" x14ac:dyDescent="0.25">
      <c r="A51" s="57"/>
      <c r="B51" s="57"/>
      <c r="C51" s="57"/>
      <c r="D51" s="57"/>
      <c r="E51" s="57"/>
      <c r="F51" s="57"/>
      <c r="G51" s="57"/>
      <c r="H51" s="58">
        <v>88</v>
      </c>
      <c r="I51" s="58">
        <v>106</v>
      </c>
      <c r="J51" s="58">
        <v>70</v>
      </c>
      <c r="K51" s="58">
        <v>34</v>
      </c>
      <c r="L51" s="58">
        <v>26</v>
      </c>
      <c r="M51" s="58">
        <v>20</v>
      </c>
      <c r="N51" s="58">
        <v>92</v>
      </c>
      <c r="O51" s="57"/>
      <c r="P51" s="57"/>
    </row>
    <row r="52" spans="1:16" ht="23.25" customHeight="1" x14ac:dyDescent="0.25">
      <c r="A52" s="50" t="s">
        <v>212</v>
      </c>
      <c r="B52" s="51" t="s">
        <v>204</v>
      </c>
      <c r="C52" s="51" t="s">
        <v>207</v>
      </c>
      <c r="D52" s="51" t="s">
        <v>196</v>
      </c>
      <c r="E52" s="52" t="s">
        <v>85</v>
      </c>
      <c r="F52" s="52" t="s">
        <v>118</v>
      </c>
      <c r="G52" s="53" t="s">
        <v>119</v>
      </c>
      <c r="H52" s="55">
        <v>41</v>
      </c>
      <c r="I52" s="55">
        <v>55</v>
      </c>
      <c r="J52" s="55">
        <v>18</v>
      </c>
      <c r="K52" s="55">
        <v>13.5</v>
      </c>
      <c r="L52" s="55">
        <v>102</v>
      </c>
      <c r="M52" s="55">
        <v>94</v>
      </c>
      <c r="N52" s="55">
        <v>108</v>
      </c>
      <c r="O52" s="55">
        <v>68</v>
      </c>
      <c r="P52" s="55"/>
    </row>
    <row r="53" spans="1:16" ht="23.25" customHeight="1" x14ac:dyDescent="0.25">
      <c r="A53" s="57"/>
      <c r="B53" s="57"/>
      <c r="C53" s="57"/>
      <c r="D53" s="57"/>
      <c r="E53" s="57"/>
      <c r="F53" s="57"/>
      <c r="G53" s="57"/>
      <c r="H53" s="58">
        <v>82</v>
      </c>
      <c r="I53" s="58">
        <v>105</v>
      </c>
      <c r="J53" s="58">
        <v>70</v>
      </c>
      <c r="K53" s="58">
        <v>32</v>
      </c>
      <c r="L53" s="58">
        <v>26</v>
      </c>
      <c r="M53" s="58">
        <v>19</v>
      </c>
      <c r="N53" s="58">
        <v>95</v>
      </c>
      <c r="O53" s="57"/>
      <c r="P53" s="57"/>
    </row>
    <row r="54" spans="1:16" ht="23.25" customHeight="1" x14ac:dyDescent="0.25">
      <c r="A54" s="50" t="s">
        <v>213</v>
      </c>
      <c r="B54" s="51" t="s">
        <v>205</v>
      </c>
      <c r="C54" s="51" t="s">
        <v>131</v>
      </c>
      <c r="D54" s="51" t="s">
        <v>196</v>
      </c>
      <c r="E54" s="52" t="s">
        <v>85</v>
      </c>
      <c r="F54" s="52" t="s">
        <v>118</v>
      </c>
      <c r="G54" s="53" t="s">
        <v>119</v>
      </c>
      <c r="H54" s="55">
        <v>43</v>
      </c>
      <c r="I54" s="55">
        <v>56</v>
      </c>
      <c r="J54" s="55">
        <v>20</v>
      </c>
      <c r="K54" s="55">
        <v>14.5</v>
      </c>
      <c r="L54" s="55">
        <v>114</v>
      </c>
      <c r="M54" s="55">
        <v>106</v>
      </c>
      <c r="N54" s="55">
        <v>124</v>
      </c>
      <c r="O54" s="55">
        <v>67</v>
      </c>
      <c r="P54" s="55"/>
    </row>
    <row r="55" spans="1:16" ht="23.25" customHeight="1" x14ac:dyDescent="0.25">
      <c r="A55" s="57"/>
      <c r="B55" s="57"/>
      <c r="C55" s="57"/>
      <c r="D55" s="57"/>
      <c r="E55" s="57"/>
      <c r="F55" s="57"/>
      <c r="G55" s="57"/>
      <c r="H55" s="58">
        <v>95</v>
      </c>
      <c r="I55" s="58">
        <v>117</v>
      </c>
      <c r="J55" s="58">
        <v>73</v>
      </c>
      <c r="K55" s="58">
        <v>36</v>
      </c>
      <c r="L55" s="58">
        <v>27</v>
      </c>
      <c r="M55" s="58">
        <v>20</v>
      </c>
      <c r="N55" s="58">
        <v>93</v>
      </c>
      <c r="O55" s="57"/>
      <c r="P55" s="57"/>
    </row>
    <row r="56" spans="1:16" ht="23.25" customHeight="1" x14ac:dyDescent="0.25">
      <c r="A56" s="50" t="s">
        <v>214</v>
      </c>
      <c r="B56" s="51" t="s">
        <v>227</v>
      </c>
      <c r="C56" s="51" t="s">
        <v>206</v>
      </c>
      <c r="D56" s="51" t="s">
        <v>215</v>
      </c>
      <c r="E56" s="52" t="s">
        <v>85</v>
      </c>
      <c r="F56" s="52" t="s">
        <v>118</v>
      </c>
      <c r="G56" s="53" t="s">
        <v>234</v>
      </c>
      <c r="H56" s="55">
        <v>45</v>
      </c>
      <c r="I56" s="55">
        <v>55</v>
      </c>
      <c r="J56" s="55">
        <v>18</v>
      </c>
      <c r="K56" s="55">
        <v>14</v>
      </c>
      <c r="L56" s="55">
        <v>108</v>
      </c>
      <c r="M56" s="55">
        <v>104</v>
      </c>
      <c r="N56" s="55">
        <v>112</v>
      </c>
      <c r="O56" s="55">
        <v>68</v>
      </c>
      <c r="P56" s="55"/>
    </row>
    <row r="57" spans="1:16" ht="23.25" customHeight="1" x14ac:dyDescent="0.25">
      <c r="A57" s="57"/>
      <c r="B57" s="57"/>
      <c r="C57" s="57"/>
      <c r="D57" s="57"/>
      <c r="E57" s="57"/>
      <c r="F57" s="57"/>
      <c r="G57" s="57"/>
      <c r="H57" s="58">
        <v>98</v>
      </c>
      <c r="I57" s="58">
        <v>110</v>
      </c>
      <c r="J57" s="58">
        <v>67</v>
      </c>
      <c r="K57" s="58">
        <v>36</v>
      </c>
      <c r="L57" s="58">
        <v>27</v>
      </c>
      <c r="M57" s="58">
        <v>20</v>
      </c>
      <c r="N57" s="58">
        <v>93</v>
      </c>
      <c r="O57" s="57"/>
      <c r="P57" s="57"/>
    </row>
    <row r="58" spans="1:16" ht="23.25" customHeight="1" x14ac:dyDescent="0.25">
      <c r="A58" s="50" t="s">
        <v>231</v>
      </c>
      <c r="B58" s="51" t="s">
        <v>228</v>
      </c>
      <c r="C58" s="51" t="s">
        <v>127</v>
      </c>
      <c r="D58" s="51" t="s">
        <v>215</v>
      </c>
      <c r="E58" s="52" t="s">
        <v>85</v>
      </c>
      <c r="F58" s="52" t="s">
        <v>118</v>
      </c>
      <c r="G58" s="53" t="s">
        <v>234</v>
      </c>
      <c r="H58" s="55">
        <v>45</v>
      </c>
      <c r="I58" s="55">
        <v>51</v>
      </c>
      <c r="J58" s="55">
        <v>18</v>
      </c>
      <c r="K58" s="55">
        <v>14</v>
      </c>
      <c r="L58" s="55">
        <v>100</v>
      </c>
      <c r="M58" s="55">
        <v>105</v>
      </c>
      <c r="N58" s="55">
        <v>110</v>
      </c>
      <c r="O58" s="55">
        <v>65</v>
      </c>
      <c r="P58" s="55"/>
    </row>
    <row r="59" spans="1:16" ht="23.25" customHeight="1" x14ac:dyDescent="0.25">
      <c r="A59" s="57"/>
      <c r="B59" s="57"/>
      <c r="C59" s="57"/>
      <c r="D59" s="57"/>
      <c r="E59" s="57"/>
      <c r="F59" s="57"/>
      <c r="G59" s="57"/>
      <c r="H59" s="58">
        <v>98</v>
      </c>
      <c r="I59" s="58">
        <v>108</v>
      </c>
      <c r="J59" s="58">
        <v>68</v>
      </c>
      <c r="K59" s="58">
        <v>36</v>
      </c>
      <c r="L59" s="58">
        <v>26</v>
      </c>
      <c r="M59" s="58">
        <v>20</v>
      </c>
      <c r="N59" s="58">
        <v>91</v>
      </c>
      <c r="O59" s="57"/>
      <c r="P59" s="57"/>
    </row>
    <row r="60" spans="1:16" ht="23.25" customHeight="1" x14ac:dyDescent="0.25">
      <c r="A60" s="50" t="s">
        <v>232</v>
      </c>
      <c r="B60" s="51" t="s">
        <v>229</v>
      </c>
      <c r="C60" s="51" t="s">
        <v>129</v>
      </c>
      <c r="D60" s="51" t="s">
        <v>215</v>
      </c>
      <c r="E60" s="52" t="s">
        <v>85</v>
      </c>
      <c r="F60" s="52" t="s">
        <v>118</v>
      </c>
      <c r="G60" s="53" t="s">
        <v>234</v>
      </c>
      <c r="H60" s="55">
        <v>43</v>
      </c>
      <c r="I60" s="55">
        <v>52</v>
      </c>
      <c r="J60" s="55">
        <v>18</v>
      </c>
      <c r="K60" s="55">
        <v>14</v>
      </c>
      <c r="L60" s="55">
        <v>99</v>
      </c>
      <c r="M60" s="55">
        <v>93</v>
      </c>
      <c r="N60" s="55">
        <v>106</v>
      </c>
      <c r="O60" s="55">
        <v>68</v>
      </c>
      <c r="P60" s="55"/>
    </row>
    <row r="61" spans="1:16" ht="23.25" customHeight="1" x14ac:dyDescent="0.25">
      <c r="A61" s="57"/>
      <c r="B61" s="57"/>
      <c r="C61" s="57"/>
      <c r="D61" s="57"/>
      <c r="E61" s="57"/>
      <c r="F61" s="57"/>
      <c r="G61" s="57"/>
      <c r="H61" s="58">
        <v>86</v>
      </c>
      <c r="I61" s="58">
        <v>103</v>
      </c>
      <c r="J61" s="58">
        <v>69</v>
      </c>
      <c r="K61" s="58">
        <v>33</v>
      </c>
      <c r="L61" s="58">
        <v>24</v>
      </c>
      <c r="M61" s="58">
        <v>20</v>
      </c>
      <c r="N61" s="58">
        <v>91</v>
      </c>
      <c r="O61" s="57"/>
      <c r="P61" s="57"/>
    </row>
    <row r="62" spans="1:16" ht="23.25" customHeight="1" x14ac:dyDescent="0.25">
      <c r="A62" s="50" t="s">
        <v>233</v>
      </c>
      <c r="B62" s="51" t="s">
        <v>230</v>
      </c>
      <c r="C62" s="51" t="s">
        <v>129</v>
      </c>
      <c r="D62" s="51" t="s">
        <v>215</v>
      </c>
      <c r="E62" s="52" t="s">
        <v>85</v>
      </c>
      <c r="F62" s="52" t="s">
        <v>118</v>
      </c>
      <c r="G62" s="53" t="s">
        <v>234</v>
      </c>
      <c r="H62" s="55">
        <v>44</v>
      </c>
      <c r="I62" s="55">
        <v>56</v>
      </c>
      <c r="J62" s="55">
        <v>19</v>
      </c>
      <c r="K62" s="55">
        <v>14</v>
      </c>
      <c r="L62" s="55">
        <v>103</v>
      </c>
      <c r="M62" s="55">
        <v>99</v>
      </c>
      <c r="N62" s="55">
        <v>110</v>
      </c>
      <c r="O62" s="55">
        <v>70</v>
      </c>
      <c r="P62" s="55"/>
    </row>
    <row r="63" spans="1:16" ht="23.25" customHeight="1" x14ac:dyDescent="0.25">
      <c r="A63" s="57"/>
      <c r="B63" s="57"/>
      <c r="C63" s="57"/>
      <c r="D63" s="57"/>
      <c r="E63" s="57"/>
      <c r="F63" s="57"/>
      <c r="G63" s="57"/>
      <c r="H63" s="58">
        <v>92</v>
      </c>
      <c r="I63" s="58">
        <v>108</v>
      </c>
      <c r="J63" s="58">
        <v>70</v>
      </c>
      <c r="K63" s="58">
        <v>34</v>
      </c>
      <c r="L63" s="58">
        <v>25</v>
      </c>
      <c r="M63" s="58">
        <v>20</v>
      </c>
      <c r="N63" s="58">
        <v>91</v>
      </c>
      <c r="O63" s="57"/>
      <c r="P63" s="57"/>
    </row>
  </sheetData>
  <phoneticPr fontId="20" type="noConversion"/>
  <pageMargins left="0.55118110236220474" right="0.11811023622047245" top="0.43307086614173229" bottom="0.11811023622047245" header="0.31496062992125984" footer="0.11811023622047245"/>
  <pageSetup paperSize="9" scale="85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2BCC9-10D6-4CD8-A279-7CFC13CEF46C}">
  <dimension ref="A1:O115"/>
  <sheetViews>
    <sheetView zoomScale="70" zoomScaleNormal="70" workbookViewId="0">
      <selection activeCell="E92" sqref="E92"/>
    </sheetView>
  </sheetViews>
  <sheetFormatPr defaultRowHeight="21.75" customHeight="1" x14ac:dyDescent="0.25"/>
  <cols>
    <col min="1" max="1" width="5.5703125" bestFit="1" customWidth="1"/>
    <col min="2" max="2" width="35.28515625" bestFit="1" customWidth="1"/>
    <col min="3" max="3" width="21.5703125" bestFit="1" customWidth="1"/>
    <col min="4" max="4" width="18.140625" bestFit="1" customWidth="1"/>
    <col min="5" max="5" width="9.140625" bestFit="1" customWidth="1"/>
    <col min="6" max="6" width="14.28515625" bestFit="1" customWidth="1"/>
    <col min="7" max="8" width="5.140625" bestFit="1" customWidth="1"/>
    <col min="9" max="9" width="4.7109375" bestFit="1" customWidth="1"/>
    <col min="10" max="10" width="6.140625" bestFit="1" customWidth="1"/>
    <col min="11" max="12" width="5.140625" bestFit="1" customWidth="1"/>
    <col min="13" max="13" width="5.7109375" bestFit="1" customWidth="1"/>
    <col min="14" max="14" width="4.7109375" bestFit="1" customWidth="1"/>
    <col min="15" max="15" width="16" bestFit="1" customWidth="1"/>
  </cols>
  <sheetData>
    <row r="1" spans="1:15" ht="21.75" customHeight="1" thickBot="1" x14ac:dyDescent="0.3">
      <c r="A1" s="64" t="s">
        <v>0</v>
      </c>
      <c r="B1" s="65" t="s">
        <v>1</v>
      </c>
      <c r="C1" s="64" t="s">
        <v>169</v>
      </c>
      <c r="D1" s="64" t="s">
        <v>170</v>
      </c>
      <c r="E1" s="64" t="s">
        <v>2</v>
      </c>
      <c r="F1" s="66" t="s">
        <v>145</v>
      </c>
      <c r="G1" s="67" t="s">
        <v>236</v>
      </c>
      <c r="H1" s="67" t="s">
        <v>237</v>
      </c>
      <c r="I1" s="67" t="s">
        <v>238</v>
      </c>
      <c r="J1" s="67" t="s">
        <v>239</v>
      </c>
      <c r="K1" s="67" t="s">
        <v>240</v>
      </c>
      <c r="L1" s="67" t="s">
        <v>241</v>
      </c>
      <c r="M1" s="67" t="s">
        <v>242</v>
      </c>
      <c r="N1" s="67" t="s">
        <v>243</v>
      </c>
      <c r="O1" s="67" t="s">
        <v>244</v>
      </c>
    </row>
    <row r="2" spans="1:15" ht="21.75" customHeight="1" thickTop="1" x14ac:dyDescent="0.25">
      <c r="A2" s="59" t="s">
        <v>45</v>
      </c>
      <c r="B2" s="60" t="s">
        <v>70</v>
      </c>
      <c r="C2" s="60" t="s">
        <v>71</v>
      </c>
      <c r="D2" s="60" t="s">
        <v>171</v>
      </c>
      <c r="E2" s="61" t="s">
        <v>33</v>
      </c>
      <c r="F2" s="61" t="s">
        <v>72</v>
      </c>
      <c r="G2" s="63">
        <v>46</v>
      </c>
      <c r="H2" s="63">
        <v>57</v>
      </c>
      <c r="I2" s="63">
        <v>20</v>
      </c>
      <c r="J2" s="63">
        <v>15</v>
      </c>
      <c r="K2" s="63">
        <v>111</v>
      </c>
      <c r="L2" s="63">
        <v>109</v>
      </c>
      <c r="M2" s="63">
        <v>117</v>
      </c>
      <c r="N2" s="63">
        <v>72</v>
      </c>
      <c r="O2" s="63">
        <v>43</v>
      </c>
    </row>
    <row r="3" spans="1:15" ht="21.75" customHeight="1" x14ac:dyDescent="0.25">
      <c r="A3" s="62"/>
      <c r="B3" s="62"/>
      <c r="C3" s="62"/>
      <c r="D3" s="62"/>
      <c r="E3" s="62"/>
      <c r="F3" s="62"/>
      <c r="G3" s="63">
        <v>98</v>
      </c>
      <c r="H3" s="63">
        <v>113</v>
      </c>
      <c r="I3" s="63">
        <v>74</v>
      </c>
      <c r="J3" s="63">
        <v>37</v>
      </c>
      <c r="K3" s="63">
        <v>28</v>
      </c>
      <c r="L3" s="63">
        <v>22</v>
      </c>
      <c r="M3" s="63">
        <v>98</v>
      </c>
      <c r="N3" s="62"/>
      <c r="O3" s="62"/>
    </row>
    <row r="4" spans="1:15" ht="21.75" customHeight="1" x14ac:dyDescent="0.25">
      <c r="A4" s="57"/>
      <c r="B4" s="57"/>
      <c r="C4" s="57"/>
      <c r="D4" s="57"/>
      <c r="E4" s="57"/>
      <c r="F4" s="57"/>
      <c r="G4" s="48">
        <v>46</v>
      </c>
      <c r="H4" s="49">
        <v>59</v>
      </c>
      <c r="I4" s="49">
        <v>19</v>
      </c>
      <c r="J4" s="49">
        <v>13</v>
      </c>
      <c r="K4" s="49">
        <v>29</v>
      </c>
      <c r="L4" s="49">
        <v>27</v>
      </c>
      <c r="M4" s="49">
        <v>29</v>
      </c>
      <c r="N4" s="49">
        <v>72</v>
      </c>
      <c r="O4" s="49">
        <v>43</v>
      </c>
    </row>
    <row r="5" spans="1:15" ht="21.75" customHeight="1" x14ac:dyDescent="0.25">
      <c r="A5" s="50" t="s">
        <v>46</v>
      </c>
      <c r="B5" s="51" t="s">
        <v>74</v>
      </c>
      <c r="C5" s="51" t="s">
        <v>75</v>
      </c>
      <c r="D5" s="51" t="s">
        <v>171</v>
      </c>
      <c r="E5" s="52" t="s">
        <v>33</v>
      </c>
      <c r="F5" s="52" t="s">
        <v>72</v>
      </c>
      <c r="G5" s="54">
        <v>47</v>
      </c>
      <c r="H5" s="54">
        <v>62</v>
      </c>
      <c r="I5" s="54">
        <v>19</v>
      </c>
      <c r="J5" s="54">
        <v>15</v>
      </c>
      <c r="K5" s="54">
        <v>108</v>
      </c>
      <c r="L5" s="54">
        <v>104</v>
      </c>
      <c r="M5" s="54">
        <v>111</v>
      </c>
      <c r="N5" s="54">
        <v>74</v>
      </c>
      <c r="O5" s="54">
        <v>43</v>
      </c>
    </row>
    <row r="6" spans="1:15" ht="21.75" customHeight="1" x14ac:dyDescent="0.25">
      <c r="A6" s="62"/>
      <c r="B6" s="62"/>
      <c r="C6" s="62"/>
      <c r="D6" s="62"/>
      <c r="E6" s="62"/>
      <c r="F6" s="62"/>
      <c r="G6" s="63">
        <v>92</v>
      </c>
      <c r="H6" s="63">
        <v>108</v>
      </c>
      <c r="I6" s="63">
        <v>68</v>
      </c>
      <c r="J6" s="63">
        <v>35</v>
      </c>
      <c r="K6" s="63">
        <v>27</v>
      </c>
      <c r="L6" s="63">
        <v>22</v>
      </c>
      <c r="M6" s="63">
        <v>100</v>
      </c>
      <c r="N6" s="62"/>
      <c r="O6" s="62"/>
    </row>
    <row r="7" spans="1:15" ht="21.75" customHeight="1" x14ac:dyDescent="0.25">
      <c r="A7" s="57"/>
      <c r="B7" s="57"/>
      <c r="C7" s="57"/>
      <c r="D7" s="57"/>
      <c r="E7" s="57"/>
      <c r="F7" s="57"/>
      <c r="G7" s="48">
        <v>47</v>
      </c>
      <c r="H7" s="49">
        <v>64</v>
      </c>
      <c r="I7" s="49">
        <v>18</v>
      </c>
      <c r="J7" s="49">
        <v>13</v>
      </c>
      <c r="K7" s="49">
        <v>29</v>
      </c>
      <c r="L7" s="49">
        <v>27</v>
      </c>
      <c r="M7" s="49">
        <v>29</v>
      </c>
      <c r="N7" s="49">
        <v>74</v>
      </c>
      <c r="O7" s="49">
        <v>43</v>
      </c>
    </row>
    <row r="8" spans="1:15" ht="21.75" customHeight="1" x14ac:dyDescent="0.25">
      <c r="A8" s="50" t="s">
        <v>47</v>
      </c>
      <c r="B8" s="51" t="s">
        <v>76</v>
      </c>
      <c r="C8" s="51" t="s">
        <v>75</v>
      </c>
      <c r="D8" s="51" t="s">
        <v>171</v>
      </c>
      <c r="E8" s="52" t="s">
        <v>33</v>
      </c>
      <c r="F8" s="52" t="s">
        <v>72</v>
      </c>
      <c r="G8" s="54">
        <v>47</v>
      </c>
      <c r="H8" s="54">
        <v>60</v>
      </c>
      <c r="I8" s="54">
        <v>20</v>
      </c>
      <c r="J8" s="54">
        <v>15</v>
      </c>
      <c r="K8" s="54">
        <v>112</v>
      </c>
      <c r="L8" s="54">
        <v>110</v>
      </c>
      <c r="M8" s="54">
        <v>118</v>
      </c>
      <c r="N8" s="54">
        <v>74</v>
      </c>
      <c r="O8" s="54">
        <v>42</v>
      </c>
    </row>
    <row r="9" spans="1:15" ht="21.75" customHeight="1" x14ac:dyDescent="0.25">
      <c r="A9" s="62"/>
      <c r="B9" s="62"/>
      <c r="C9" s="62"/>
      <c r="D9" s="62"/>
      <c r="E9" s="62"/>
      <c r="F9" s="62"/>
      <c r="G9" s="63">
        <v>98</v>
      </c>
      <c r="H9" s="63">
        <v>115</v>
      </c>
      <c r="I9" s="63">
        <v>76</v>
      </c>
      <c r="J9" s="63">
        <v>36</v>
      </c>
      <c r="K9" s="63">
        <v>27</v>
      </c>
      <c r="L9" s="63">
        <v>22</v>
      </c>
      <c r="M9" s="63">
        <v>101</v>
      </c>
      <c r="N9" s="62"/>
      <c r="O9" s="62"/>
    </row>
    <row r="10" spans="1:15" ht="21.75" customHeight="1" x14ac:dyDescent="0.25">
      <c r="A10" s="57"/>
      <c r="B10" s="57"/>
      <c r="C10" s="57"/>
      <c r="D10" s="57"/>
      <c r="E10" s="57"/>
      <c r="F10" s="57"/>
      <c r="G10" s="48">
        <v>47</v>
      </c>
      <c r="H10" s="49">
        <v>62</v>
      </c>
      <c r="I10" s="49">
        <v>19</v>
      </c>
      <c r="J10" s="49">
        <v>13</v>
      </c>
      <c r="K10" s="49">
        <v>30</v>
      </c>
      <c r="L10" s="49">
        <v>29</v>
      </c>
      <c r="M10" s="49">
        <v>30</v>
      </c>
      <c r="N10" s="49">
        <v>74</v>
      </c>
      <c r="O10" s="49">
        <v>42</v>
      </c>
    </row>
    <row r="11" spans="1:15" ht="21.75" customHeight="1" x14ac:dyDescent="0.25">
      <c r="A11" s="50" t="s">
        <v>48</v>
      </c>
      <c r="B11" s="51" t="s">
        <v>77</v>
      </c>
      <c r="C11" s="51" t="s">
        <v>78</v>
      </c>
      <c r="D11" s="51" t="s">
        <v>171</v>
      </c>
      <c r="E11" s="52" t="s">
        <v>33</v>
      </c>
      <c r="F11" s="52" t="s">
        <v>72</v>
      </c>
      <c r="G11" s="54">
        <v>49</v>
      </c>
      <c r="H11" s="54">
        <v>60</v>
      </c>
      <c r="I11" s="54">
        <v>20</v>
      </c>
      <c r="J11" s="54">
        <v>15</v>
      </c>
      <c r="K11" s="54">
        <v>118</v>
      </c>
      <c r="L11" s="54">
        <v>113</v>
      </c>
      <c r="M11" s="54">
        <v>118</v>
      </c>
      <c r="N11" s="54">
        <v>76</v>
      </c>
      <c r="O11" s="54">
        <v>43</v>
      </c>
    </row>
    <row r="12" spans="1:15" ht="21.75" customHeight="1" x14ac:dyDescent="0.25">
      <c r="A12" s="62"/>
      <c r="B12" s="62"/>
      <c r="C12" s="62"/>
      <c r="D12" s="62"/>
      <c r="E12" s="62"/>
      <c r="F12" s="62"/>
      <c r="G12" s="63">
        <v>102</v>
      </c>
      <c r="H12" s="63">
        <v>115</v>
      </c>
      <c r="I12" s="63">
        <v>71</v>
      </c>
      <c r="J12" s="63">
        <v>36</v>
      </c>
      <c r="K12" s="63">
        <v>28</v>
      </c>
      <c r="L12" s="63">
        <v>23</v>
      </c>
      <c r="M12" s="63">
        <v>97</v>
      </c>
      <c r="N12" s="62"/>
      <c r="O12" s="62"/>
    </row>
    <row r="13" spans="1:15" ht="21.75" customHeight="1" x14ac:dyDescent="0.25">
      <c r="A13" s="57"/>
      <c r="B13" s="57"/>
      <c r="C13" s="57"/>
      <c r="D13" s="57"/>
      <c r="E13" s="57"/>
      <c r="F13" s="57"/>
      <c r="G13" s="48">
        <v>49</v>
      </c>
      <c r="H13" s="49">
        <v>62</v>
      </c>
      <c r="I13" s="49">
        <v>19</v>
      </c>
      <c r="J13" s="49">
        <v>13</v>
      </c>
      <c r="K13" s="49">
        <v>31</v>
      </c>
      <c r="L13" s="49">
        <v>29</v>
      </c>
      <c r="M13" s="49">
        <v>31</v>
      </c>
      <c r="N13" s="49">
        <v>76</v>
      </c>
      <c r="O13" s="49">
        <v>43</v>
      </c>
    </row>
    <row r="14" spans="1:15" ht="21.75" customHeight="1" x14ac:dyDescent="0.25">
      <c r="A14" s="50" t="s">
        <v>49</v>
      </c>
      <c r="B14" s="51" t="s">
        <v>79</v>
      </c>
      <c r="C14" s="51" t="s">
        <v>78</v>
      </c>
      <c r="D14" s="51" t="s">
        <v>171</v>
      </c>
      <c r="E14" s="52" t="s">
        <v>33</v>
      </c>
      <c r="F14" s="52" t="s">
        <v>72</v>
      </c>
      <c r="G14" s="54">
        <v>46</v>
      </c>
      <c r="H14" s="54">
        <v>57</v>
      </c>
      <c r="I14" s="54">
        <v>20</v>
      </c>
      <c r="J14" s="54">
        <v>15</v>
      </c>
      <c r="K14" s="54">
        <v>109</v>
      </c>
      <c r="L14" s="54">
        <v>106</v>
      </c>
      <c r="M14" s="54">
        <v>114</v>
      </c>
      <c r="N14" s="54">
        <v>70</v>
      </c>
      <c r="O14" s="54">
        <v>41</v>
      </c>
    </row>
    <row r="15" spans="1:15" ht="21.75" customHeight="1" x14ac:dyDescent="0.25">
      <c r="A15" s="62"/>
      <c r="B15" s="62"/>
      <c r="C15" s="62"/>
      <c r="D15" s="62"/>
      <c r="E15" s="62"/>
      <c r="F15" s="62"/>
      <c r="G15" s="63">
        <v>94</v>
      </c>
      <c r="H15" s="63">
        <v>112</v>
      </c>
      <c r="I15" s="63">
        <v>73</v>
      </c>
      <c r="J15" s="63">
        <v>36</v>
      </c>
      <c r="K15" s="63">
        <v>27</v>
      </c>
      <c r="L15" s="63">
        <v>22</v>
      </c>
      <c r="M15" s="63">
        <v>98</v>
      </c>
      <c r="N15" s="62"/>
      <c r="O15" s="62"/>
    </row>
    <row r="16" spans="1:15" ht="21.75" customHeight="1" x14ac:dyDescent="0.25">
      <c r="A16" s="57"/>
      <c r="B16" s="57"/>
      <c r="C16" s="57"/>
      <c r="D16" s="57"/>
      <c r="E16" s="57"/>
      <c r="F16" s="57"/>
      <c r="G16" s="48">
        <v>46</v>
      </c>
      <c r="H16" s="49">
        <v>58</v>
      </c>
      <c r="I16" s="49">
        <v>19</v>
      </c>
      <c r="J16" s="49">
        <v>13</v>
      </c>
      <c r="K16" s="49">
        <v>29</v>
      </c>
      <c r="L16" s="49">
        <v>28</v>
      </c>
      <c r="M16" s="49">
        <v>29</v>
      </c>
      <c r="N16" s="49">
        <v>70</v>
      </c>
      <c r="O16" s="49">
        <v>41</v>
      </c>
    </row>
    <row r="17" spans="1:15" ht="21.75" customHeight="1" x14ac:dyDescent="0.25">
      <c r="A17" s="50" t="s">
        <v>50</v>
      </c>
      <c r="B17" s="51" t="s">
        <v>80</v>
      </c>
      <c r="C17" s="51" t="s">
        <v>78</v>
      </c>
      <c r="D17" s="51" t="s">
        <v>171</v>
      </c>
      <c r="E17" s="52" t="s">
        <v>33</v>
      </c>
      <c r="F17" s="52" t="s">
        <v>72</v>
      </c>
      <c r="G17" s="54">
        <v>45</v>
      </c>
      <c r="H17" s="54">
        <v>55</v>
      </c>
      <c r="I17" s="54">
        <v>19</v>
      </c>
      <c r="J17" s="54">
        <v>14</v>
      </c>
      <c r="K17" s="54">
        <v>103</v>
      </c>
      <c r="L17" s="54">
        <v>96</v>
      </c>
      <c r="M17" s="54">
        <v>109</v>
      </c>
      <c r="N17" s="54">
        <v>71</v>
      </c>
      <c r="O17" s="54">
        <v>42</v>
      </c>
    </row>
    <row r="18" spans="1:15" ht="21.75" customHeight="1" x14ac:dyDescent="0.25">
      <c r="A18" s="62"/>
      <c r="B18" s="62"/>
      <c r="C18" s="62"/>
      <c r="D18" s="62"/>
      <c r="E18" s="62"/>
      <c r="F18" s="62"/>
      <c r="G18" s="63">
        <v>84</v>
      </c>
      <c r="H18" s="63">
        <v>103</v>
      </c>
      <c r="I18" s="63">
        <v>70</v>
      </c>
      <c r="J18" s="63">
        <v>33</v>
      </c>
      <c r="K18" s="63">
        <v>27</v>
      </c>
      <c r="L18" s="63">
        <v>22</v>
      </c>
      <c r="M18" s="63">
        <v>96</v>
      </c>
      <c r="N18" s="62"/>
      <c r="O18" s="62"/>
    </row>
    <row r="19" spans="1:15" ht="21.75" customHeight="1" x14ac:dyDescent="0.25">
      <c r="A19" s="57"/>
      <c r="B19" s="57"/>
      <c r="C19" s="57"/>
      <c r="D19" s="57"/>
      <c r="E19" s="57"/>
      <c r="F19" s="57"/>
      <c r="G19" s="48">
        <v>45</v>
      </c>
      <c r="H19" s="49">
        <v>57</v>
      </c>
      <c r="I19" s="49">
        <v>17</v>
      </c>
      <c r="J19" s="49">
        <v>12.5</v>
      </c>
      <c r="K19" s="49">
        <v>27</v>
      </c>
      <c r="L19" s="49">
        <v>25</v>
      </c>
      <c r="M19" s="49">
        <v>27</v>
      </c>
      <c r="N19" s="49">
        <v>71</v>
      </c>
      <c r="O19" s="49">
        <v>42</v>
      </c>
    </row>
    <row r="20" spans="1:15" ht="21.75" customHeight="1" x14ac:dyDescent="0.25">
      <c r="A20" s="50" t="s">
        <v>51</v>
      </c>
      <c r="B20" s="51" t="s">
        <v>81</v>
      </c>
      <c r="C20" s="51" t="s">
        <v>78</v>
      </c>
      <c r="D20" s="51" t="s">
        <v>171</v>
      </c>
      <c r="E20" s="52" t="s">
        <v>33</v>
      </c>
      <c r="F20" s="52" t="s">
        <v>72</v>
      </c>
      <c r="G20" s="54">
        <v>46</v>
      </c>
      <c r="H20" s="54">
        <v>60</v>
      </c>
      <c r="I20" s="54">
        <v>19</v>
      </c>
      <c r="J20" s="54">
        <v>15</v>
      </c>
      <c r="K20" s="54">
        <v>104</v>
      </c>
      <c r="L20" s="54">
        <v>102</v>
      </c>
      <c r="M20" s="54">
        <v>112</v>
      </c>
      <c r="N20" s="54">
        <v>73</v>
      </c>
      <c r="O20" s="54">
        <v>41</v>
      </c>
    </row>
    <row r="21" spans="1:15" ht="21.75" customHeight="1" x14ac:dyDescent="0.25">
      <c r="A21" s="62"/>
      <c r="B21" s="62"/>
      <c r="C21" s="62"/>
      <c r="D21" s="62"/>
      <c r="E21" s="62"/>
      <c r="F21" s="62"/>
      <c r="G21" s="63">
        <v>90</v>
      </c>
      <c r="H21" s="63">
        <v>106</v>
      </c>
      <c r="I21" s="63">
        <v>69</v>
      </c>
      <c r="J21" s="63">
        <v>35</v>
      </c>
      <c r="K21" s="63">
        <v>27</v>
      </c>
      <c r="L21" s="63">
        <v>22</v>
      </c>
      <c r="M21" s="63">
        <v>99</v>
      </c>
      <c r="N21" s="62"/>
      <c r="O21" s="62"/>
    </row>
    <row r="22" spans="1:15" ht="21.75" customHeight="1" x14ac:dyDescent="0.25">
      <c r="A22" s="57"/>
      <c r="B22" s="57"/>
      <c r="C22" s="57"/>
      <c r="D22" s="57"/>
      <c r="E22" s="57"/>
      <c r="F22" s="57"/>
      <c r="G22" s="48">
        <v>46</v>
      </c>
      <c r="H22" s="49">
        <v>62</v>
      </c>
      <c r="I22" s="49">
        <v>18</v>
      </c>
      <c r="J22" s="49">
        <v>13</v>
      </c>
      <c r="K22" s="49">
        <v>28</v>
      </c>
      <c r="L22" s="49">
        <v>27</v>
      </c>
      <c r="M22" s="49">
        <v>28</v>
      </c>
      <c r="N22" s="49">
        <v>73</v>
      </c>
      <c r="O22" s="49">
        <v>41</v>
      </c>
    </row>
    <row r="23" spans="1:15" ht="21.75" customHeight="1" x14ac:dyDescent="0.25">
      <c r="A23" s="50" t="s">
        <v>52</v>
      </c>
      <c r="B23" s="51" t="s">
        <v>82</v>
      </c>
      <c r="C23" s="51" t="s">
        <v>78</v>
      </c>
      <c r="D23" s="51" t="s">
        <v>171</v>
      </c>
      <c r="E23" s="52" t="s">
        <v>33</v>
      </c>
      <c r="F23" s="52" t="s">
        <v>72</v>
      </c>
      <c r="G23" s="54">
        <v>47</v>
      </c>
      <c r="H23" s="54">
        <v>60</v>
      </c>
      <c r="I23" s="54">
        <v>21</v>
      </c>
      <c r="J23" s="54">
        <v>15</v>
      </c>
      <c r="K23" s="54">
        <v>112</v>
      </c>
      <c r="L23" s="54">
        <v>118</v>
      </c>
      <c r="M23" s="54">
        <v>120</v>
      </c>
      <c r="N23" s="54">
        <v>73</v>
      </c>
      <c r="O23" s="54">
        <v>43</v>
      </c>
    </row>
    <row r="24" spans="1:15" ht="21.75" customHeight="1" x14ac:dyDescent="0.25">
      <c r="A24" s="62"/>
      <c r="B24" s="62"/>
      <c r="C24" s="62"/>
      <c r="D24" s="62"/>
      <c r="E24" s="62"/>
      <c r="F24" s="62"/>
      <c r="G24" s="63">
        <v>106</v>
      </c>
      <c r="H24" s="63">
        <v>117</v>
      </c>
      <c r="I24" s="63">
        <v>71</v>
      </c>
      <c r="J24" s="63">
        <v>37</v>
      </c>
      <c r="K24" s="63">
        <v>28</v>
      </c>
      <c r="L24" s="63">
        <v>22</v>
      </c>
      <c r="M24" s="63">
        <v>99</v>
      </c>
      <c r="N24" s="62"/>
      <c r="O24" s="62"/>
    </row>
    <row r="25" spans="1:15" ht="21.75" customHeight="1" x14ac:dyDescent="0.25">
      <c r="A25" s="57"/>
      <c r="B25" s="57"/>
      <c r="C25" s="57"/>
      <c r="D25" s="57"/>
      <c r="E25" s="57"/>
      <c r="F25" s="57"/>
      <c r="G25" s="48">
        <v>47</v>
      </c>
      <c r="H25" s="49">
        <v>62</v>
      </c>
      <c r="I25" s="49">
        <v>19</v>
      </c>
      <c r="J25" s="49">
        <v>13</v>
      </c>
      <c r="K25" s="49">
        <v>30</v>
      </c>
      <c r="L25" s="49">
        <v>30</v>
      </c>
      <c r="M25" s="49">
        <v>30</v>
      </c>
      <c r="N25" s="49">
        <v>73</v>
      </c>
      <c r="O25" s="49">
        <v>43</v>
      </c>
    </row>
    <row r="26" spans="1:15" ht="21.75" customHeight="1" x14ac:dyDescent="0.25">
      <c r="A26" s="50" t="s">
        <v>53</v>
      </c>
      <c r="B26" s="51" t="s">
        <v>83</v>
      </c>
      <c r="C26" s="51" t="s">
        <v>78</v>
      </c>
      <c r="D26" s="51" t="s">
        <v>171</v>
      </c>
      <c r="E26" s="52" t="s">
        <v>33</v>
      </c>
      <c r="F26" s="52" t="s">
        <v>72</v>
      </c>
      <c r="G26" s="54">
        <v>44</v>
      </c>
      <c r="H26" s="54">
        <v>59</v>
      </c>
      <c r="I26" s="54">
        <v>20</v>
      </c>
      <c r="J26" s="54">
        <v>15</v>
      </c>
      <c r="K26" s="54">
        <v>106</v>
      </c>
      <c r="L26" s="54">
        <v>104</v>
      </c>
      <c r="M26" s="54">
        <v>111</v>
      </c>
      <c r="N26" s="54">
        <v>73</v>
      </c>
      <c r="O26" s="54">
        <v>42</v>
      </c>
    </row>
    <row r="27" spans="1:15" ht="21.75" customHeight="1" x14ac:dyDescent="0.25">
      <c r="A27" s="62"/>
      <c r="B27" s="62"/>
      <c r="C27" s="62"/>
      <c r="D27" s="62"/>
      <c r="E27" s="62"/>
      <c r="F27" s="62"/>
      <c r="G27" s="63">
        <v>93</v>
      </c>
      <c r="H27" s="63">
        <v>107</v>
      </c>
      <c r="I27" s="63">
        <v>70</v>
      </c>
      <c r="J27" s="63">
        <v>35</v>
      </c>
      <c r="K27" s="63">
        <v>27</v>
      </c>
      <c r="L27" s="63">
        <v>22</v>
      </c>
      <c r="M27" s="63">
        <v>97</v>
      </c>
      <c r="N27" s="62"/>
      <c r="O27" s="62"/>
    </row>
    <row r="28" spans="1:15" ht="21.75" customHeight="1" x14ac:dyDescent="0.25">
      <c r="A28" s="57"/>
      <c r="B28" s="57"/>
      <c r="C28" s="57"/>
      <c r="D28" s="57"/>
      <c r="E28" s="57"/>
      <c r="F28" s="57"/>
      <c r="G28" s="48">
        <v>44</v>
      </c>
      <c r="H28" s="49">
        <v>61</v>
      </c>
      <c r="I28" s="49">
        <v>18</v>
      </c>
      <c r="J28" s="49">
        <v>13</v>
      </c>
      <c r="K28" s="49">
        <v>28</v>
      </c>
      <c r="L28" s="49">
        <v>27</v>
      </c>
      <c r="M28" s="49">
        <v>28</v>
      </c>
      <c r="N28" s="49">
        <v>73</v>
      </c>
      <c r="O28" s="49">
        <v>42</v>
      </c>
    </row>
    <row r="29" spans="1:15" ht="21.75" customHeight="1" x14ac:dyDescent="0.25">
      <c r="A29" s="50" t="s">
        <v>54</v>
      </c>
      <c r="B29" s="51" t="s">
        <v>84</v>
      </c>
      <c r="C29" s="51" t="s">
        <v>78</v>
      </c>
      <c r="D29" s="51" t="s">
        <v>171</v>
      </c>
      <c r="E29" s="52" t="s">
        <v>85</v>
      </c>
      <c r="F29" s="52" t="s">
        <v>72</v>
      </c>
      <c r="G29" s="54">
        <v>42</v>
      </c>
      <c r="H29" s="54">
        <v>57</v>
      </c>
      <c r="I29" s="54">
        <v>20</v>
      </c>
      <c r="J29" s="54">
        <v>14</v>
      </c>
      <c r="K29" s="54">
        <v>108</v>
      </c>
      <c r="L29" s="54">
        <v>103</v>
      </c>
      <c r="M29" s="54">
        <v>119</v>
      </c>
      <c r="N29" s="54">
        <v>71</v>
      </c>
      <c r="O29" s="54">
        <v>40</v>
      </c>
    </row>
    <row r="30" spans="1:15" ht="21.75" customHeight="1" x14ac:dyDescent="0.25">
      <c r="A30" s="62"/>
      <c r="B30" s="62"/>
      <c r="C30" s="62"/>
      <c r="D30" s="62"/>
      <c r="E30" s="62"/>
      <c r="F30" s="62"/>
      <c r="G30" s="63">
        <v>93</v>
      </c>
      <c r="H30" s="63">
        <v>113</v>
      </c>
      <c r="I30" s="63">
        <v>70</v>
      </c>
      <c r="J30" s="63">
        <v>35</v>
      </c>
      <c r="K30" s="63">
        <v>26</v>
      </c>
      <c r="L30" s="63">
        <v>20</v>
      </c>
      <c r="M30" s="63">
        <v>96</v>
      </c>
      <c r="N30" s="62"/>
      <c r="O30" s="62"/>
    </row>
    <row r="31" spans="1:15" ht="21.75" customHeight="1" x14ac:dyDescent="0.25">
      <c r="A31" s="57"/>
      <c r="B31" s="57"/>
      <c r="C31" s="57"/>
      <c r="D31" s="57"/>
      <c r="E31" s="57"/>
      <c r="F31" s="57"/>
      <c r="G31" s="48">
        <v>42</v>
      </c>
      <c r="H31" s="49">
        <v>59</v>
      </c>
      <c r="I31" s="49">
        <v>18</v>
      </c>
      <c r="J31" s="49">
        <v>13</v>
      </c>
      <c r="K31" s="49">
        <v>28</v>
      </c>
      <c r="L31" s="49">
        <v>27</v>
      </c>
      <c r="M31" s="49">
        <v>285</v>
      </c>
      <c r="N31" s="49">
        <v>71</v>
      </c>
      <c r="O31" s="49">
        <v>40</v>
      </c>
    </row>
    <row r="32" spans="1:15" ht="21.75" customHeight="1" x14ac:dyDescent="0.25">
      <c r="A32" s="50" t="s">
        <v>55</v>
      </c>
      <c r="B32" s="51" t="s">
        <v>86</v>
      </c>
      <c r="C32" s="51" t="s">
        <v>87</v>
      </c>
      <c r="D32" s="51" t="s">
        <v>171</v>
      </c>
      <c r="E32" s="52" t="s">
        <v>85</v>
      </c>
      <c r="F32" s="52" t="s">
        <v>72</v>
      </c>
      <c r="G32" s="54">
        <v>43</v>
      </c>
      <c r="H32" s="54">
        <v>55</v>
      </c>
      <c r="I32" s="54">
        <v>18</v>
      </c>
      <c r="J32" s="54">
        <v>14</v>
      </c>
      <c r="K32" s="54">
        <v>98</v>
      </c>
      <c r="L32" s="54">
        <v>92</v>
      </c>
      <c r="M32" s="54">
        <v>112</v>
      </c>
      <c r="N32" s="54">
        <v>70</v>
      </c>
      <c r="O32" s="54" t="s">
        <v>173</v>
      </c>
    </row>
    <row r="33" spans="1:15" ht="21.75" customHeight="1" x14ac:dyDescent="0.25">
      <c r="A33" s="62"/>
      <c r="B33" s="62"/>
      <c r="C33" s="62"/>
      <c r="D33" s="62"/>
      <c r="E33" s="62"/>
      <c r="F33" s="62"/>
      <c r="G33" s="63">
        <v>86</v>
      </c>
      <c r="H33" s="63">
        <v>109</v>
      </c>
      <c r="I33" s="63">
        <v>57</v>
      </c>
      <c r="J33" s="63" t="s">
        <v>147</v>
      </c>
      <c r="K33" s="63"/>
      <c r="L33" s="63"/>
      <c r="M33" s="63"/>
      <c r="N33" s="62"/>
      <c r="O33" s="62"/>
    </row>
    <row r="34" spans="1:15" ht="21.75" customHeight="1" x14ac:dyDescent="0.25">
      <c r="A34" s="57"/>
      <c r="B34" s="57"/>
      <c r="C34" s="57"/>
      <c r="D34" s="57"/>
      <c r="E34" s="57"/>
      <c r="F34" s="57"/>
      <c r="G34" s="48">
        <v>43</v>
      </c>
      <c r="H34" s="49">
        <v>57</v>
      </c>
      <c r="I34" s="49">
        <v>16</v>
      </c>
      <c r="J34" s="49">
        <v>12</v>
      </c>
      <c r="K34" s="49">
        <v>27</v>
      </c>
      <c r="L34" s="49">
        <v>25</v>
      </c>
      <c r="M34" s="49">
        <v>28</v>
      </c>
      <c r="N34" s="49">
        <v>70</v>
      </c>
      <c r="O34" s="49">
        <v>40</v>
      </c>
    </row>
    <row r="35" spans="1:15" ht="21.75" customHeight="1" x14ac:dyDescent="0.25">
      <c r="A35" s="50" t="s">
        <v>56</v>
      </c>
      <c r="B35" s="51" t="s">
        <v>88</v>
      </c>
      <c r="C35" s="51" t="s">
        <v>89</v>
      </c>
      <c r="D35" s="51" t="s">
        <v>171</v>
      </c>
      <c r="E35" s="52" t="s">
        <v>85</v>
      </c>
      <c r="F35" s="52" t="s">
        <v>72</v>
      </c>
      <c r="G35" s="54">
        <v>44</v>
      </c>
      <c r="H35" s="54">
        <v>56</v>
      </c>
      <c r="I35" s="54">
        <v>19</v>
      </c>
      <c r="J35" s="54">
        <v>14</v>
      </c>
      <c r="K35" s="54">
        <v>109</v>
      </c>
      <c r="L35" s="54">
        <v>106</v>
      </c>
      <c r="M35" s="54">
        <v>126</v>
      </c>
      <c r="N35" s="54">
        <v>72</v>
      </c>
      <c r="O35" s="54">
        <v>40</v>
      </c>
    </row>
    <row r="36" spans="1:15" ht="21.75" customHeight="1" x14ac:dyDescent="0.25">
      <c r="A36" s="62"/>
      <c r="B36" s="62"/>
      <c r="C36" s="62"/>
      <c r="D36" s="62"/>
      <c r="E36" s="62"/>
      <c r="F36" s="62"/>
      <c r="G36" s="63">
        <v>97</v>
      </c>
      <c r="H36" s="63">
        <v>122</v>
      </c>
      <c r="I36" s="63">
        <v>73</v>
      </c>
      <c r="J36" s="63">
        <v>36</v>
      </c>
      <c r="K36" s="63">
        <v>27</v>
      </c>
      <c r="L36" s="63">
        <v>21</v>
      </c>
      <c r="M36" s="63">
        <v>97</v>
      </c>
      <c r="N36" s="62"/>
      <c r="O36" s="62"/>
    </row>
    <row r="37" spans="1:15" ht="21.75" customHeight="1" x14ac:dyDescent="0.25">
      <c r="A37" s="57"/>
      <c r="B37" s="57"/>
      <c r="C37" s="57"/>
      <c r="D37" s="57"/>
      <c r="E37" s="57"/>
      <c r="F37" s="57"/>
      <c r="G37" s="48">
        <v>44</v>
      </c>
      <c r="H37" s="49">
        <v>58</v>
      </c>
      <c r="I37" s="49">
        <v>18</v>
      </c>
      <c r="J37" s="49">
        <v>13</v>
      </c>
      <c r="K37" s="49">
        <v>29</v>
      </c>
      <c r="L37" s="49">
        <v>27</v>
      </c>
      <c r="M37" s="49">
        <v>31</v>
      </c>
      <c r="N37" s="49">
        <v>72</v>
      </c>
      <c r="O37" s="49">
        <v>40</v>
      </c>
    </row>
    <row r="38" spans="1:15" ht="21.75" customHeight="1" x14ac:dyDescent="0.25">
      <c r="A38" s="50" t="s">
        <v>57</v>
      </c>
      <c r="B38" s="51" t="s">
        <v>90</v>
      </c>
      <c r="C38" s="51" t="s">
        <v>91</v>
      </c>
      <c r="D38" s="51" t="s">
        <v>171</v>
      </c>
      <c r="E38" s="52" t="s">
        <v>33</v>
      </c>
      <c r="F38" s="52" t="s">
        <v>72</v>
      </c>
      <c r="G38" s="54">
        <v>46</v>
      </c>
      <c r="H38" s="54">
        <v>63</v>
      </c>
      <c r="I38" s="54">
        <v>20</v>
      </c>
      <c r="J38" s="54">
        <v>15</v>
      </c>
      <c r="K38" s="54">
        <v>106</v>
      </c>
      <c r="L38" s="54">
        <v>101</v>
      </c>
      <c r="M38" s="54">
        <v>109</v>
      </c>
      <c r="N38" s="54">
        <v>75</v>
      </c>
      <c r="O38" s="54">
        <v>42</v>
      </c>
    </row>
    <row r="39" spans="1:15" ht="21.75" customHeight="1" x14ac:dyDescent="0.25">
      <c r="A39" s="62"/>
      <c r="B39" s="62"/>
      <c r="C39" s="62"/>
      <c r="D39" s="62"/>
      <c r="E39" s="62"/>
      <c r="F39" s="62"/>
      <c r="G39" s="63">
        <v>89</v>
      </c>
      <c r="H39" s="63">
        <v>104</v>
      </c>
      <c r="I39" s="63">
        <v>71</v>
      </c>
      <c r="J39" s="63">
        <v>34</v>
      </c>
      <c r="K39" s="63">
        <v>27</v>
      </c>
      <c r="L39" s="63">
        <v>22</v>
      </c>
      <c r="M39" s="63">
        <v>101</v>
      </c>
      <c r="N39" s="62"/>
      <c r="O39" s="62"/>
    </row>
    <row r="40" spans="1:15" ht="21.75" customHeight="1" x14ac:dyDescent="0.25">
      <c r="A40" s="57"/>
      <c r="B40" s="57"/>
      <c r="C40" s="57"/>
      <c r="D40" s="57"/>
      <c r="E40" s="57"/>
      <c r="F40" s="57"/>
      <c r="G40" s="48">
        <v>46</v>
      </c>
      <c r="H40" s="49">
        <v>65</v>
      </c>
      <c r="I40" s="49">
        <v>18</v>
      </c>
      <c r="J40" s="49">
        <v>13</v>
      </c>
      <c r="K40" s="49">
        <v>28</v>
      </c>
      <c r="L40" s="49">
        <v>27</v>
      </c>
      <c r="M40" s="49">
        <v>28</v>
      </c>
      <c r="N40" s="49">
        <v>75</v>
      </c>
      <c r="O40" s="49">
        <v>42</v>
      </c>
    </row>
    <row r="41" spans="1:15" ht="21.75" customHeight="1" x14ac:dyDescent="0.25">
      <c r="A41" s="50" t="s">
        <v>58</v>
      </c>
      <c r="B41" s="51" t="s">
        <v>92</v>
      </c>
      <c r="C41" s="51" t="s">
        <v>91</v>
      </c>
      <c r="D41" s="51" t="s">
        <v>171</v>
      </c>
      <c r="E41" s="52" t="s">
        <v>33</v>
      </c>
      <c r="F41" s="52" t="s">
        <v>72</v>
      </c>
      <c r="G41" s="54">
        <v>47</v>
      </c>
      <c r="H41" s="54">
        <v>58</v>
      </c>
      <c r="I41" s="54">
        <v>20</v>
      </c>
      <c r="J41" s="54">
        <v>15</v>
      </c>
      <c r="K41" s="54">
        <v>106</v>
      </c>
      <c r="L41" s="54">
        <v>98</v>
      </c>
      <c r="M41" s="54">
        <v>110</v>
      </c>
      <c r="N41" s="54">
        <v>73</v>
      </c>
      <c r="O41" s="54">
        <v>42</v>
      </c>
    </row>
    <row r="42" spans="1:15" ht="21.75" customHeight="1" x14ac:dyDescent="0.25">
      <c r="A42" s="62"/>
      <c r="B42" s="62"/>
      <c r="C42" s="62"/>
      <c r="D42" s="62"/>
      <c r="E42" s="62"/>
      <c r="F42" s="62"/>
      <c r="G42" s="63">
        <v>87</v>
      </c>
      <c r="H42" s="63">
        <v>105</v>
      </c>
      <c r="I42" s="63">
        <v>75</v>
      </c>
      <c r="J42" s="63">
        <v>34</v>
      </c>
      <c r="K42" s="63">
        <v>27</v>
      </c>
      <c r="L42" s="63">
        <v>22</v>
      </c>
      <c r="M42" s="63">
        <v>98</v>
      </c>
      <c r="N42" s="62"/>
      <c r="O42" s="62"/>
    </row>
    <row r="43" spans="1:15" ht="21.75" customHeight="1" x14ac:dyDescent="0.25">
      <c r="A43" s="57"/>
      <c r="B43" s="57"/>
      <c r="C43" s="57"/>
      <c r="D43" s="57"/>
      <c r="E43" s="57"/>
      <c r="F43" s="57"/>
      <c r="G43" s="48">
        <v>47</v>
      </c>
      <c r="H43" s="49">
        <v>60</v>
      </c>
      <c r="I43" s="49">
        <v>17</v>
      </c>
      <c r="J43" s="49">
        <v>13</v>
      </c>
      <c r="K43" s="49">
        <v>28</v>
      </c>
      <c r="L43" s="49">
        <v>27</v>
      </c>
      <c r="M43" s="49">
        <v>29</v>
      </c>
      <c r="N43" s="49">
        <v>73</v>
      </c>
      <c r="O43" s="49">
        <v>42</v>
      </c>
    </row>
    <row r="44" spans="1:15" ht="21.75" customHeight="1" x14ac:dyDescent="0.25">
      <c r="A44" s="50" t="s">
        <v>59</v>
      </c>
      <c r="B44" s="51" t="s">
        <v>93</v>
      </c>
      <c r="C44" s="51" t="s">
        <v>91</v>
      </c>
      <c r="D44" s="51" t="s">
        <v>171</v>
      </c>
      <c r="E44" s="52" t="s">
        <v>33</v>
      </c>
      <c r="F44" s="52" t="s">
        <v>72</v>
      </c>
      <c r="G44" s="54">
        <v>53</v>
      </c>
      <c r="H44" s="54">
        <v>57</v>
      </c>
      <c r="I44" s="54">
        <v>24</v>
      </c>
      <c r="J44" s="54">
        <v>17</v>
      </c>
      <c r="K44" s="54">
        <v>146</v>
      </c>
      <c r="L44" s="54">
        <v>147</v>
      </c>
      <c r="M44" s="54">
        <v>150</v>
      </c>
      <c r="N44" s="54">
        <v>78</v>
      </c>
      <c r="O44" s="54" t="s">
        <v>157</v>
      </c>
    </row>
    <row r="45" spans="1:15" ht="21.75" customHeight="1" x14ac:dyDescent="0.25">
      <c r="A45" s="62"/>
      <c r="B45" s="62"/>
      <c r="C45" s="62"/>
      <c r="D45" s="62"/>
      <c r="E45" s="62"/>
      <c r="F45" s="62"/>
      <c r="G45" s="63">
        <v>133</v>
      </c>
      <c r="H45" s="63">
        <v>145</v>
      </c>
      <c r="I45" s="63">
        <v>85</v>
      </c>
      <c r="J45" s="63">
        <v>45</v>
      </c>
      <c r="K45" s="63">
        <v>35</v>
      </c>
      <c r="L45" s="63">
        <v>26</v>
      </c>
      <c r="M45" s="63">
        <v>98</v>
      </c>
      <c r="N45" s="62"/>
      <c r="O45" s="62"/>
    </row>
    <row r="46" spans="1:15" ht="21.75" customHeight="1" x14ac:dyDescent="0.25">
      <c r="A46" s="57"/>
      <c r="B46" s="57"/>
      <c r="C46" s="57"/>
      <c r="D46" s="57"/>
      <c r="E46" s="57"/>
      <c r="F46" s="57"/>
      <c r="G46" s="48">
        <v>53</v>
      </c>
      <c r="H46" s="49">
        <v>59</v>
      </c>
      <c r="I46" s="49">
        <v>22</v>
      </c>
      <c r="J46" s="49">
        <v>14</v>
      </c>
      <c r="K46" s="49">
        <v>38</v>
      </c>
      <c r="L46" s="49">
        <v>38</v>
      </c>
      <c r="M46" s="49">
        <v>338</v>
      </c>
      <c r="N46" s="49">
        <v>78</v>
      </c>
      <c r="O46" s="49">
        <v>48</v>
      </c>
    </row>
    <row r="47" spans="1:15" ht="21.75" customHeight="1" x14ac:dyDescent="0.25">
      <c r="A47" s="50" t="s">
        <v>60</v>
      </c>
      <c r="B47" s="51" t="s">
        <v>94</v>
      </c>
      <c r="C47" s="51" t="s">
        <v>91</v>
      </c>
      <c r="D47" s="51" t="s">
        <v>171</v>
      </c>
      <c r="E47" s="52" t="s">
        <v>33</v>
      </c>
      <c r="F47" s="52" t="s">
        <v>72</v>
      </c>
      <c r="G47" s="54">
        <v>46</v>
      </c>
      <c r="H47" s="54">
        <v>55</v>
      </c>
      <c r="I47" s="54">
        <v>20</v>
      </c>
      <c r="J47" s="54">
        <v>15</v>
      </c>
      <c r="K47" s="54">
        <v>106</v>
      </c>
      <c r="L47" s="54">
        <v>101</v>
      </c>
      <c r="M47" s="54">
        <v>113</v>
      </c>
      <c r="N47" s="54">
        <v>69</v>
      </c>
      <c r="O47" s="54">
        <v>40</v>
      </c>
    </row>
    <row r="48" spans="1:15" ht="21.75" customHeight="1" x14ac:dyDescent="0.25">
      <c r="A48" s="62"/>
      <c r="B48" s="62"/>
      <c r="C48" s="62"/>
      <c r="D48" s="62"/>
      <c r="E48" s="62"/>
      <c r="F48" s="62"/>
      <c r="G48" s="63">
        <v>90</v>
      </c>
      <c r="H48" s="63">
        <v>108</v>
      </c>
      <c r="I48" s="63">
        <v>69</v>
      </c>
      <c r="J48" s="63">
        <v>35</v>
      </c>
      <c r="K48" s="63">
        <v>27</v>
      </c>
      <c r="L48" s="63">
        <v>22</v>
      </c>
      <c r="M48" s="63">
        <v>96</v>
      </c>
      <c r="N48" s="62"/>
      <c r="O48" s="62"/>
    </row>
    <row r="49" spans="1:15" ht="21.75" customHeight="1" x14ac:dyDescent="0.25">
      <c r="A49" s="57"/>
      <c r="B49" s="57"/>
      <c r="C49" s="57"/>
      <c r="D49" s="57"/>
      <c r="E49" s="57"/>
      <c r="F49" s="57"/>
      <c r="G49" s="48">
        <v>46</v>
      </c>
      <c r="H49" s="49">
        <v>57</v>
      </c>
      <c r="I49" s="49">
        <v>18</v>
      </c>
      <c r="J49" s="49">
        <v>13</v>
      </c>
      <c r="K49" s="49">
        <v>28</v>
      </c>
      <c r="L49" s="49">
        <v>26</v>
      </c>
      <c r="M49" s="49">
        <v>28</v>
      </c>
      <c r="N49" s="49">
        <v>69</v>
      </c>
      <c r="O49" s="49">
        <v>40</v>
      </c>
    </row>
    <row r="50" spans="1:15" ht="21.75" customHeight="1" x14ac:dyDescent="0.25">
      <c r="A50" s="50" t="s">
        <v>61</v>
      </c>
      <c r="B50" s="51" t="s">
        <v>95</v>
      </c>
      <c r="C50" s="51" t="s">
        <v>91</v>
      </c>
      <c r="D50" s="51" t="s">
        <v>171</v>
      </c>
      <c r="E50" s="52" t="s">
        <v>33</v>
      </c>
      <c r="F50" s="52" t="s">
        <v>72</v>
      </c>
      <c r="G50" s="54">
        <v>44</v>
      </c>
      <c r="H50" s="54">
        <v>54</v>
      </c>
      <c r="I50" s="54">
        <v>19</v>
      </c>
      <c r="J50" s="54">
        <v>14</v>
      </c>
      <c r="K50" s="54">
        <v>105</v>
      </c>
      <c r="L50" s="54">
        <v>99</v>
      </c>
      <c r="M50" s="54">
        <v>108</v>
      </c>
      <c r="N50" s="54">
        <v>71</v>
      </c>
      <c r="O50" s="54">
        <v>39</v>
      </c>
    </row>
    <row r="51" spans="1:15" ht="21.75" customHeight="1" x14ac:dyDescent="0.25">
      <c r="A51" s="62"/>
      <c r="B51" s="62"/>
      <c r="C51" s="62"/>
      <c r="D51" s="62"/>
      <c r="E51" s="62"/>
      <c r="F51" s="62"/>
      <c r="G51" s="63">
        <v>89</v>
      </c>
      <c r="H51" s="63">
        <v>103</v>
      </c>
      <c r="I51" s="63">
        <v>68</v>
      </c>
      <c r="J51" s="63">
        <v>34</v>
      </c>
      <c r="K51" s="63">
        <v>27</v>
      </c>
      <c r="L51" s="63">
        <v>22</v>
      </c>
      <c r="M51" s="63">
        <v>95</v>
      </c>
      <c r="N51" s="62"/>
      <c r="O51" s="62"/>
    </row>
    <row r="52" spans="1:15" ht="21.75" customHeight="1" x14ac:dyDescent="0.25">
      <c r="A52" s="57"/>
      <c r="B52" s="57"/>
      <c r="C52" s="57"/>
      <c r="D52" s="57"/>
      <c r="E52" s="57"/>
      <c r="F52" s="57"/>
      <c r="G52" s="48">
        <v>44</v>
      </c>
      <c r="H52" s="49">
        <v>56</v>
      </c>
      <c r="I52" s="49">
        <v>18</v>
      </c>
      <c r="J52" s="49">
        <v>13</v>
      </c>
      <c r="K52" s="49">
        <v>28</v>
      </c>
      <c r="L52" s="49">
        <v>27</v>
      </c>
      <c r="M52" s="49">
        <v>28</v>
      </c>
      <c r="N52" s="49">
        <v>71</v>
      </c>
      <c r="O52" s="49">
        <v>39</v>
      </c>
    </row>
    <row r="53" spans="1:15" ht="21.75" customHeight="1" x14ac:dyDescent="0.25">
      <c r="A53" s="50" t="s">
        <v>62</v>
      </c>
      <c r="B53" s="51" t="s">
        <v>96</v>
      </c>
      <c r="C53" s="51" t="s">
        <v>91</v>
      </c>
      <c r="D53" s="51" t="s">
        <v>171</v>
      </c>
      <c r="E53" s="52" t="s">
        <v>33</v>
      </c>
      <c r="F53" s="52" t="s">
        <v>72</v>
      </c>
      <c r="G53" s="54">
        <v>47</v>
      </c>
      <c r="H53" s="54">
        <v>58</v>
      </c>
      <c r="I53" s="54">
        <v>20</v>
      </c>
      <c r="J53" s="54">
        <v>15</v>
      </c>
      <c r="K53" s="54">
        <v>112</v>
      </c>
      <c r="L53" s="54">
        <v>106</v>
      </c>
      <c r="M53" s="54">
        <v>119</v>
      </c>
      <c r="N53" s="54">
        <v>73</v>
      </c>
      <c r="O53" s="54">
        <v>43</v>
      </c>
    </row>
    <row r="54" spans="1:15" ht="21.75" customHeight="1" x14ac:dyDescent="0.25">
      <c r="A54" s="62"/>
      <c r="B54" s="62"/>
      <c r="C54" s="62"/>
      <c r="D54" s="62"/>
      <c r="E54" s="62"/>
      <c r="F54" s="62"/>
      <c r="G54" s="63">
        <v>93</v>
      </c>
      <c r="H54" s="63">
        <v>115</v>
      </c>
      <c r="I54" s="63">
        <v>76</v>
      </c>
      <c r="J54" s="63">
        <v>37</v>
      </c>
      <c r="K54" s="63">
        <v>27</v>
      </c>
      <c r="L54" s="63">
        <v>22</v>
      </c>
      <c r="M54" s="63">
        <v>95</v>
      </c>
      <c r="N54" s="62"/>
      <c r="O54" s="62"/>
    </row>
    <row r="55" spans="1:15" ht="21.75" customHeight="1" x14ac:dyDescent="0.25">
      <c r="A55" s="57"/>
      <c r="B55" s="57"/>
      <c r="C55" s="57"/>
      <c r="D55" s="57"/>
      <c r="E55" s="57"/>
      <c r="F55" s="57"/>
      <c r="G55" s="48">
        <v>47</v>
      </c>
      <c r="H55" s="49">
        <v>60</v>
      </c>
      <c r="I55" s="49">
        <v>18</v>
      </c>
      <c r="J55" s="49">
        <v>13</v>
      </c>
      <c r="K55" s="49">
        <v>29</v>
      </c>
      <c r="L55" s="49">
        <v>27</v>
      </c>
      <c r="M55" s="49">
        <v>29</v>
      </c>
      <c r="N55" s="49">
        <v>73</v>
      </c>
      <c r="O55" s="49">
        <v>43</v>
      </c>
    </row>
    <row r="56" spans="1:15" ht="21.75" customHeight="1" x14ac:dyDescent="0.25">
      <c r="A56" s="50" t="s">
        <v>63</v>
      </c>
      <c r="B56" s="51" t="s">
        <v>156</v>
      </c>
      <c r="C56" s="51" t="s">
        <v>91</v>
      </c>
      <c r="D56" s="51" t="s">
        <v>171</v>
      </c>
      <c r="E56" s="52" t="s">
        <v>33</v>
      </c>
      <c r="F56" s="52" t="s">
        <v>72</v>
      </c>
      <c r="G56" s="54">
        <v>47</v>
      </c>
      <c r="H56" s="54">
        <v>62</v>
      </c>
      <c r="I56" s="54">
        <v>20</v>
      </c>
      <c r="J56" s="54">
        <v>15</v>
      </c>
      <c r="K56" s="54">
        <v>107</v>
      </c>
      <c r="L56" s="54">
        <v>102</v>
      </c>
      <c r="M56" s="54">
        <v>116</v>
      </c>
      <c r="N56" s="54">
        <v>77</v>
      </c>
      <c r="O56" s="54">
        <v>43</v>
      </c>
    </row>
    <row r="57" spans="1:15" ht="21.75" customHeight="1" x14ac:dyDescent="0.25">
      <c r="A57" s="62"/>
      <c r="B57" s="62"/>
      <c r="C57" s="62"/>
      <c r="D57" s="62"/>
      <c r="E57" s="62"/>
      <c r="F57" s="62"/>
      <c r="G57" s="63">
        <v>91</v>
      </c>
      <c r="H57" s="63">
        <v>111</v>
      </c>
      <c r="I57" s="63">
        <v>78</v>
      </c>
      <c r="J57" s="63">
        <v>35</v>
      </c>
      <c r="K57" s="63">
        <v>28</v>
      </c>
      <c r="L57" s="63">
        <v>23</v>
      </c>
      <c r="M57" s="63">
        <v>106</v>
      </c>
      <c r="N57" s="62"/>
      <c r="O57" s="62"/>
    </row>
    <row r="58" spans="1:15" ht="21.75" customHeight="1" x14ac:dyDescent="0.25">
      <c r="A58" s="57"/>
      <c r="B58" s="57"/>
      <c r="C58" s="57"/>
      <c r="D58" s="57"/>
      <c r="E58" s="57"/>
      <c r="F58" s="57"/>
      <c r="G58" s="48">
        <v>47</v>
      </c>
      <c r="H58" s="49">
        <v>64</v>
      </c>
      <c r="I58" s="49">
        <v>18</v>
      </c>
      <c r="J58" s="49">
        <v>13</v>
      </c>
      <c r="K58" s="49">
        <v>28</v>
      </c>
      <c r="L58" s="49">
        <v>27</v>
      </c>
      <c r="M58" s="49">
        <v>28.5</v>
      </c>
      <c r="N58" s="49">
        <v>77</v>
      </c>
      <c r="O58" s="49">
        <v>43</v>
      </c>
    </row>
    <row r="59" spans="1:15" ht="21.75" customHeight="1" x14ac:dyDescent="0.25">
      <c r="A59" s="50" t="s">
        <v>64</v>
      </c>
      <c r="B59" s="51" t="s">
        <v>97</v>
      </c>
      <c r="C59" s="51" t="s">
        <v>91</v>
      </c>
      <c r="D59" s="51" t="s">
        <v>171</v>
      </c>
      <c r="E59" s="52" t="s">
        <v>33</v>
      </c>
      <c r="F59" s="52" t="s">
        <v>72</v>
      </c>
      <c r="G59" s="54">
        <v>46</v>
      </c>
      <c r="H59" s="54">
        <v>60</v>
      </c>
      <c r="I59" s="54">
        <v>19</v>
      </c>
      <c r="J59" s="54">
        <v>14</v>
      </c>
      <c r="K59" s="54">
        <v>102</v>
      </c>
      <c r="L59" s="54">
        <v>95</v>
      </c>
      <c r="M59" s="54">
        <v>108</v>
      </c>
      <c r="N59" s="54">
        <v>72</v>
      </c>
      <c r="O59" s="54">
        <v>41</v>
      </c>
    </row>
    <row r="60" spans="1:15" ht="21.75" customHeight="1" x14ac:dyDescent="0.25">
      <c r="A60" s="62"/>
      <c r="B60" s="62"/>
      <c r="C60" s="62"/>
      <c r="D60" s="62"/>
      <c r="E60" s="62"/>
      <c r="F60" s="62"/>
      <c r="G60" s="63">
        <v>85</v>
      </c>
      <c r="H60" s="63">
        <v>102</v>
      </c>
      <c r="I60" s="63">
        <v>72</v>
      </c>
      <c r="J60" s="63">
        <v>34</v>
      </c>
      <c r="K60" s="63">
        <v>27</v>
      </c>
      <c r="L60" s="63">
        <v>22</v>
      </c>
      <c r="M60" s="63">
        <v>101</v>
      </c>
      <c r="N60" s="62"/>
      <c r="O60" s="62"/>
    </row>
    <row r="61" spans="1:15" ht="21.75" customHeight="1" x14ac:dyDescent="0.25">
      <c r="A61" s="57"/>
      <c r="B61" s="57"/>
      <c r="C61" s="57"/>
      <c r="D61" s="57"/>
      <c r="E61" s="57"/>
      <c r="F61" s="57"/>
      <c r="G61" s="48">
        <v>446</v>
      </c>
      <c r="H61" s="49">
        <v>62</v>
      </c>
      <c r="I61" s="49">
        <v>17</v>
      </c>
      <c r="J61" s="49">
        <v>12.5</v>
      </c>
      <c r="K61" s="49">
        <v>27</v>
      </c>
      <c r="L61" s="49">
        <v>25</v>
      </c>
      <c r="M61" s="49">
        <v>27</v>
      </c>
      <c r="N61" s="49">
        <v>72</v>
      </c>
      <c r="O61" s="49">
        <v>41</v>
      </c>
    </row>
    <row r="62" spans="1:15" ht="21.75" customHeight="1" x14ac:dyDescent="0.25">
      <c r="A62" s="50" t="s">
        <v>65</v>
      </c>
      <c r="B62" s="51" t="s">
        <v>98</v>
      </c>
      <c r="C62" s="51" t="s">
        <v>91</v>
      </c>
      <c r="D62" s="51" t="s">
        <v>171</v>
      </c>
      <c r="E62" s="52" t="s">
        <v>33</v>
      </c>
      <c r="F62" s="52" t="s">
        <v>72</v>
      </c>
      <c r="G62" s="54">
        <v>47</v>
      </c>
      <c r="H62" s="54">
        <v>59</v>
      </c>
      <c r="I62" s="54">
        <v>20</v>
      </c>
      <c r="J62" s="54">
        <v>15</v>
      </c>
      <c r="K62" s="54">
        <v>116</v>
      </c>
      <c r="L62" s="54">
        <v>110</v>
      </c>
      <c r="M62" s="54">
        <v>121</v>
      </c>
      <c r="N62" s="54">
        <v>75</v>
      </c>
      <c r="O62" s="54">
        <v>46</v>
      </c>
    </row>
    <row r="63" spans="1:15" ht="21.75" customHeight="1" x14ac:dyDescent="0.25">
      <c r="A63" s="62"/>
      <c r="B63" s="62"/>
      <c r="C63" s="62"/>
      <c r="D63" s="62"/>
      <c r="E63" s="62"/>
      <c r="F63" s="62"/>
      <c r="G63" s="63">
        <v>98</v>
      </c>
      <c r="H63" s="63">
        <v>118</v>
      </c>
      <c r="I63" s="63">
        <v>72</v>
      </c>
      <c r="J63" s="63">
        <v>36</v>
      </c>
      <c r="K63" s="63">
        <v>28</v>
      </c>
      <c r="L63" s="63">
        <v>22</v>
      </c>
      <c r="M63" s="63">
        <v>100</v>
      </c>
      <c r="N63" s="62"/>
      <c r="O63" s="62"/>
    </row>
    <row r="64" spans="1:15" ht="21.75" customHeight="1" x14ac:dyDescent="0.25">
      <c r="A64" s="57"/>
      <c r="B64" s="57"/>
      <c r="C64" s="57"/>
      <c r="D64" s="57"/>
      <c r="E64" s="57"/>
      <c r="F64" s="57"/>
      <c r="G64" s="48">
        <v>47</v>
      </c>
      <c r="H64" s="49">
        <v>61</v>
      </c>
      <c r="I64" s="49">
        <v>19</v>
      </c>
      <c r="J64" s="49">
        <v>13</v>
      </c>
      <c r="K64" s="49">
        <v>29</v>
      </c>
      <c r="L64" s="49">
        <v>27</v>
      </c>
      <c r="M64" s="49">
        <v>29</v>
      </c>
      <c r="N64" s="49">
        <v>75</v>
      </c>
      <c r="O64" s="49">
        <v>46</v>
      </c>
    </row>
    <row r="65" spans="1:15" ht="21.75" customHeight="1" x14ac:dyDescent="0.25">
      <c r="A65" s="50" t="s">
        <v>66</v>
      </c>
      <c r="B65" s="51" t="s">
        <v>99</v>
      </c>
      <c r="C65" s="51" t="s">
        <v>100</v>
      </c>
      <c r="D65" s="51" t="s">
        <v>171</v>
      </c>
      <c r="E65" s="52" t="s">
        <v>85</v>
      </c>
      <c r="F65" s="52" t="s">
        <v>72</v>
      </c>
      <c r="G65" s="54">
        <v>41</v>
      </c>
      <c r="H65" s="54">
        <v>59</v>
      </c>
      <c r="I65" s="54">
        <v>18</v>
      </c>
      <c r="J65" s="54">
        <v>13.5</v>
      </c>
      <c r="K65" s="54">
        <v>89</v>
      </c>
      <c r="L65" s="54">
        <v>84</v>
      </c>
      <c r="M65" s="54">
        <v>102</v>
      </c>
      <c r="N65" s="54">
        <v>67</v>
      </c>
      <c r="O65" s="54" t="s">
        <v>155</v>
      </c>
    </row>
    <row r="66" spans="1:15" ht="21.75" customHeight="1" x14ac:dyDescent="0.25">
      <c r="A66" s="62"/>
      <c r="B66" s="62"/>
      <c r="C66" s="62"/>
      <c r="D66" s="62"/>
      <c r="E66" s="62"/>
      <c r="F66" s="62"/>
      <c r="G66" s="63">
        <v>76</v>
      </c>
      <c r="H66" s="63">
        <v>98</v>
      </c>
      <c r="I66" s="63">
        <v>67</v>
      </c>
      <c r="J66" s="63">
        <v>30</v>
      </c>
      <c r="K66" s="63">
        <v>25</v>
      </c>
      <c r="L66" s="63">
        <v>20</v>
      </c>
      <c r="M66" s="63">
        <v>98</v>
      </c>
      <c r="N66" s="62"/>
      <c r="O66" s="62"/>
    </row>
    <row r="67" spans="1:15" ht="21.75" customHeight="1" x14ac:dyDescent="0.25">
      <c r="A67" s="57"/>
      <c r="B67" s="57"/>
      <c r="C67" s="57"/>
      <c r="D67" s="57"/>
      <c r="E67" s="57"/>
      <c r="F67" s="57"/>
      <c r="G67" s="48">
        <v>41</v>
      </c>
      <c r="H67" s="49">
        <v>61</v>
      </c>
      <c r="I67" s="49">
        <v>16</v>
      </c>
      <c r="J67" s="49">
        <v>12</v>
      </c>
      <c r="K67" s="49">
        <v>26</v>
      </c>
      <c r="L67" s="49">
        <v>24</v>
      </c>
      <c r="M67" s="49">
        <v>27</v>
      </c>
      <c r="N67" s="49">
        <v>67</v>
      </c>
      <c r="O67" s="49">
        <v>36</v>
      </c>
    </row>
    <row r="68" spans="1:15" ht="21.75" customHeight="1" x14ac:dyDescent="0.25">
      <c r="A68" s="50" t="s">
        <v>67</v>
      </c>
      <c r="B68" s="51" t="s">
        <v>101</v>
      </c>
      <c r="C68" s="51" t="s">
        <v>102</v>
      </c>
      <c r="D68" s="51" t="s">
        <v>171</v>
      </c>
      <c r="E68" s="52" t="s">
        <v>33</v>
      </c>
      <c r="F68" s="52" t="s">
        <v>72</v>
      </c>
      <c r="G68" s="54">
        <v>46</v>
      </c>
      <c r="H68" s="54">
        <v>56</v>
      </c>
      <c r="I68" s="54">
        <v>19</v>
      </c>
      <c r="J68" s="54">
        <v>14</v>
      </c>
      <c r="K68" s="54">
        <v>106</v>
      </c>
      <c r="L68" s="54">
        <v>100</v>
      </c>
      <c r="M68" s="54">
        <v>109</v>
      </c>
      <c r="N68" s="54">
        <v>71</v>
      </c>
      <c r="O68" s="54">
        <v>42</v>
      </c>
    </row>
    <row r="69" spans="1:15" ht="21.75" customHeight="1" x14ac:dyDescent="0.25">
      <c r="A69" s="62"/>
      <c r="B69" s="62"/>
      <c r="C69" s="62"/>
      <c r="D69" s="62"/>
      <c r="E69" s="62"/>
      <c r="F69" s="62"/>
      <c r="G69" s="63">
        <v>89</v>
      </c>
      <c r="H69" s="63">
        <v>104</v>
      </c>
      <c r="I69" s="63">
        <v>70</v>
      </c>
      <c r="J69" s="63">
        <v>34</v>
      </c>
      <c r="K69" s="63">
        <v>27</v>
      </c>
      <c r="L69" s="63">
        <v>22</v>
      </c>
      <c r="M69" s="63">
        <v>96</v>
      </c>
      <c r="N69" s="62"/>
      <c r="O69" s="62"/>
    </row>
    <row r="70" spans="1:15" ht="21.75" customHeight="1" x14ac:dyDescent="0.25">
      <c r="A70" s="57"/>
      <c r="B70" s="57"/>
      <c r="C70" s="57"/>
      <c r="D70" s="57"/>
      <c r="E70" s="57"/>
      <c r="F70" s="57"/>
      <c r="G70" s="48">
        <v>46</v>
      </c>
      <c r="H70" s="49">
        <v>58</v>
      </c>
      <c r="I70" s="49">
        <v>17</v>
      </c>
      <c r="J70" s="49">
        <v>13</v>
      </c>
      <c r="K70" s="49">
        <v>28</v>
      </c>
      <c r="L70" s="49">
        <v>27</v>
      </c>
      <c r="M70" s="49">
        <v>28</v>
      </c>
      <c r="N70" s="49">
        <v>71</v>
      </c>
      <c r="O70" s="49">
        <v>42</v>
      </c>
    </row>
    <row r="71" spans="1:15" ht="21.75" customHeight="1" x14ac:dyDescent="0.25">
      <c r="A71" s="50" t="s">
        <v>68</v>
      </c>
      <c r="B71" s="51" t="s">
        <v>103</v>
      </c>
      <c r="C71" s="51" t="s">
        <v>102</v>
      </c>
      <c r="D71" s="51" t="s">
        <v>171</v>
      </c>
      <c r="E71" s="52" t="s">
        <v>33</v>
      </c>
      <c r="F71" s="52" t="s">
        <v>72</v>
      </c>
      <c r="G71" s="54">
        <v>49</v>
      </c>
      <c r="H71" s="54">
        <v>56</v>
      </c>
      <c r="I71" s="54">
        <v>21</v>
      </c>
      <c r="J71" s="54">
        <v>15</v>
      </c>
      <c r="K71" s="54">
        <v>116</v>
      </c>
      <c r="L71" s="54">
        <v>118</v>
      </c>
      <c r="M71" s="54">
        <v>123</v>
      </c>
      <c r="N71" s="54">
        <v>75</v>
      </c>
      <c r="O71" s="54">
        <v>42</v>
      </c>
    </row>
    <row r="72" spans="1:15" ht="21.75" customHeight="1" x14ac:dyDescent="0.25">
      <c r="A72" s="62"/>
      <c r="B72" s="62"/>
      <c r="C72" s="62"/>
      <c r="D72" s="62"/>
      <c r="E72" s="62"/>
      <c r="F72" s="62"/>
      <c r="G72" s="63">
        <v>106</v>
      </c>
      <c r="H72" s="63">
        <v>118</v>
      </c>
      <c r="I72" s="63">
        <v>79</v>
      </c>
      <c r="J72" s="63">
        <v>37</v>
      </c>
      <c r="K72" s="63">
        <v>28</v>
      </c>
      <c r="L72" s="63">
        <v>22</v>
      </c>
      <c r="M72" s="63">
        <v>97</v>
      </c>
      <c r="N72" s="62"/>
      <c r="O72" s="62"/>
    </row>
    <row r="73" spans="1:15" ht="21.75" customHeight="1" x14ac:dyDescent="0.25">
      <c r="A73" s="57"/>
      <c r="B73" s="57"/>
      <c r="C73" s="57"/>
      <c r="D73" s="57"/>
      <c r="E73" s="57"/>
      <c r="F73" s="57"/>
      <c r="G73" s="48">
        <v>49</v>
      </c>
      <c r="H73" s="49">
        <v>58</v>
      </c>
      <c r="I73" s="49">
        <v>20</v>
      </c>
      <c r="J73" s="49">
        <v>13</v>
      </c>
      <c r="K73" s="49">
        <v>31</v>
      </c>
      <c r="L73" s="49">
        <v>31</v>
      </c>
      <c r="M73" s="49">
        <v>31</v>
      </c>
      <c r="N73" s="49">
        <v>75</v>
      </c>
      <c r="O73" s="49">
        <v>42</v>
      </c>
    </row>
    <row r="74" spans="1:15" ht="21.75" customHeight="1" x14ac:dyDescent="0.25">
      <c r="A74" s="50" t="s">
        <v>69</v>
      </c>
      <c r="B74" s="51" t="s">
        <v>104</v>
      </c>
      <c r="C74" s="51" t="s">
        <v>102</v>
      </c>
      <c r="D74" s="51" t="s">
        <v>171</v>
      </c>
      <c r="E74" s="52" t="s">
        <v>33</v>
      </c>
      <c r="F74" s="52" t="s">
        <v>72</v>
      </c>
      <c r="G74" s="54">
        <v>47</v>
      </c>
      <c r="H74" s="54">
        <v>59</v>
      </c>
      <c r="I74" s="54">
        <v>19</v>
      </c>
      <c r="J74" s="54">
        <v>14</v>
      </c>
      <c r="K74" s="54">
        <v>104</v>
      </c>
      <c r="L74" s="54">
        <v>96</v>
      </c>
      <c r="M74" s="54">
        <v>115</v>
      </c>
      <c r="N74" s="54">
        <v>71</v>
      </c>
      <c r="O74" s="54">
        <v>40</v>
      </c>
    </row>
    <row r="75" spans="1:15" ht="21.75" customHeight="1" x14ac:dyDescent="0.25">
      <c r="A75" s="62"/>
      <c r="B75" s="62"/>
      <c r="C75" s="62"/>
      <c r="D75" s="62"/>
      <c r="E75" s="62"/>
      <c r="F75" s="62"/>
      <c r="G75" s="63">
        <v>86</v>
      </c>
      <c r="H75" s="63">
        <v>112</v>
      </c>
      <c r="I75" s="63">
        <v>72</v>
      </c>
      <c r="J75" s="63">
        <v>34</v>
      </c>
      <c r="K75" s="63">
        <v>27</v>
      </c>
      <c r="L75" s="63">
        <v>22</v>
      </c>
      <c r="M75" s="63">
        <v>100</v>
      </c>
      <c r="N75" s="62"/>
      <c r="O75" s="62"/>
    </row>
    <row r="76" spans="1:15" ht="21.75" customHeight="1" x14ac:dyDescent="0.25">
      <c r="A76" s="57"/>
      <c r="B76" s="57"/>
      <c r="C76" s="57"/>
      <c r="D76" s="57"/>
      <c r="E76" s="57"/>
      <c r="F76" s="57"/>
      <c r="G76" s="48">
        <v>46</v>
      </c>
      <c r="H76" s="49">
        <v>61</v>
      </c>
      <c r="I76" s="49">
        <v>17</v>
      </c>
      <c r="J76" s="49">
        <v>13</v>
      </c>
      <c r="K76" s="49">
        <v>27</v>
      </c>
      <c r="L76" s="49">
        <v>26</v>
      </c>
      <c r="M76" s="49">
        <v>28</v>
      </c>
      <c r="N76" s="49">
        <v>71</v>
      </c>
      <c r="O76" s="49">
        <v>40</v>
      </c>
    </row>
    <row r="77" spans="1:15" ht="21.75" customHeight="1" x14ac:dyDescent="0.25">
      <c r="A77" s="50" t="s">
        <v>148</v>
      </c>
      <c r="B77" s="51" t="s">
        <v>105</v>
      </c>
      <c r="C77" s="51" t="s">
        <v>106</v>
      </c>
      <c r="D77" s="51" t="s">
        <v>171</v>
      </c>
      <c r="E77" s="52" t="s">
        <v>85</v>
      </c>
      <c r="F77" s="52" t="s">
        <v>72</v>
      </c>
      <c r="G77" s="54">
        <v>46</v>
      </c>
      <c r="H77" s="54">
        <v>55</v>
      </c>
      <c r="I77" s="54">
        <v>20</v>
      </c>
      <c r="J77" s="54">
        <v>14</v>
      </c>
      <c r="K77" s="54">
        <v>109</v>
      </c>
      <c r="L77" s="54">
        <v>108</v>
      </c>
      <c r="M77" s="54">
        <v>123</v>
      </c>
      <c r="N77" s="54">
        <v>72</v>
      </c>
      <c r="O77" s="54" t="s">
        <v>158</v>
      </c>
    </row>
    <row r="78" spans="1:15" ht="21.75" customHeight="1" x14ac:dyDescent="0.25">
      <c r="A78" s="62"/>
      <c r="B78" s="62"/>
      <c r="C78" s="62"/>
      <c r="D78" s="62"/>
      <c r="E78" s="62"/>
      <c r="F78" s="62"/>
      <c r="G78" s="63">
        <v>97</v>
      </c>
      <c r="H78" s="63">
        <v>122</v>
      </c>
      <c r="I78" s="63">
        <v>70</v>
      </c>
      <c r="J78" s="63">
        <v>37</v>
      </c>
      <c r="K78" s="63">
        <v>26</v>
      </c>
      <c r="L78" s="63">
        <v>20</v>
      </c>
      <c r="M78" s="63">
        <v>96</v>
      </c>
      <c r="N78" s="62"/>
      <c r="O78" s="62"/>
    </row>
    <row r="79" spans="1:15" ht="21.75" customHeight="1" x14ac:dyDescent="0.25">
      <c r="A79" s="57"/>
      <c r="B79" s="57"/>
      <c r="C79" s="57"/>
      <c r="D79" s="57"/>
      <c r="E79" s="57"/>
      <c r="F79" s="57"/>
      <c r="G79" s="48">
        <v>46</v>
      </c>
      <c r="H79" s="49">
        <v>57</v>
      </c>
      <c r="I79" s="49">
        <v>19</v>
      </c>
      <c r="J79" s="49">
        <v>13</v>
      </c>
      <c r="K79" s="49">
        <v>30</v>
      </c>
      <c r="L79" s="49">
        <v>27</v>
      </c>
      <c r="M79" s="49">
        <v>31</v>
      </c>
      <c r="N79" s="49">
        <v>72</v>
      </c>
      <c r="O79" s="49">
        <v>42</v>
      </c>
    </row>
    <row r="80" spans="1:15" ht="21.75" customHeight="1" x14ac:dyDescent="0.25">
      <c r="A80" s="50" t="s">
        <v>149</v>
      </c>
      <c r="B80" s="51" t="s">
        <v>160</v>
      </c>
      <c r="C80" s="51" t="s">
        <v>102</v>
      </c>
      <c r="D80" s="51" t="s">
        <v>171</v>
      </c>
      <c r="E80" s="52" t="s">
        <v>33</v>
      </c>
      <c r="F80" s="52" t="s">
        <v>72</v>
      </c>
      <c r="G80" s="54">
        <v>48</v>
      </c>
      <c r="H80" s="54">
        <v>59</v>
      </c>
      <c r="I80" s="54">
        <v>19</v>
      </c>
      <c r="J80" s="54">
        <v>14</v>
      </c>
      <c r="K80" s="54">
        <v>106</v>
      </c>
      <c r="L80" s="54">
        <v>98</v>
      </c>
      <c r="M80" s="54">
        <v>110</v>
      </c>
      <c r="N80" s="54">
        <v>69</v>
      </c>
      <c r="O80" s="54">
        <v>40</v>
      </c>
    </row>
    <row r="81" spans="1:15" ht="21.75" customHeight="1" x14ac:dyDescent="0.25">
      <c r="A81" s="62"/>
      <c r="B81" s="62"/>
      <c r="C81" s="62"/>
      <c r="D81" s="62"/>
      <c r="E81" s="62"/>
      <c r="F81" s="62"/>
      <c r="G81" s="63">
        <v>90</v>
      </c>
      <c r="H81" s="63">
        <v>108</v>
      </c>
      <c r="I81" s="63">
        <v>66</v>
      </c>
      <c r="J81" s="63">
        <v>34</v>
      </c>
      <c r="K81" s="63">
        <v>27</v>
      </c>
      <c r="L81" s="63">
        <v>22</v>
      </c>
      <c r="M81" s="63">
        <v>97</v>
      </c>
      <c r="N81" s="62"/>
      <c r="O81" s="62"/>
    </row>
    <row r="82" spans="1:15" ht="21.75" customHeight="1" x14ac:dyDescent="0.25">
      <c r="A82" s="57"/>
      <c r="B82" s="57"/>
      <c r="C82" s="57"/>
      <c r="D82" s="57"/>
      <c r="E82" s="57"/>
      <c r="F82" s="57"/>
      <c r="G82" s="48">
        <v>48</v>
      </c>
      <c r="H82" s="49">
        <v>60</v>
      </c>
      <c r="I82" s="49">
        <v>18</v>
      </c>
      <c r="J82" s="49">
        <v>13</v>
      </c>
      <c r="K82" s="49">
        <v>28</v>
      </c>
      <c r="L82" s="49">
        <v>27</v>
      </c>
      <c r="M82" s="49">
        <v>28</v>
      </c>
      <c r="N82" s="49">
        <v>69</v>
      </c>
      <c r="O82" s="49">
        <v>40</v>
      </c>
    </row>
    <row r="83" spans="1:15" ht="21.75" customHeight="1" x14ac:dyDescent="0.25">
      <c r="A83" s="50" t="s">
        <v>150</v>
      </c>
      <c r="B83" s="51" t="s">
        <v>107</v>
      </c>
      <c r="C83" s="51" t="s">
        <v>108</v>
      </c>
      <c r="D83" s="51" t="s">
        <v>171</v>
      </c>
      <c r="E83" s="52" t="s">
        <v>85</v>
      </c>
      <c r="F83" s="52" t="s">
        <v>72</v>
      </c>
      <c r="G83" s="54">
        <v>41</v>
      </c>
      <c r="H83" s="54">
        <v>56</v>
      </c>
      <c r="I83" s="54">
        <v>18</v>
      </c>
      <c r="J83" s="54">
        <v>14</v>
      </c>
      <c r="K83" s="54">
        <v>96</v>
      </c>
      <c r="L83" s="54">
        <v>87</v>
      </c>
      <c r="M83" s="54">
        <v>112</v>
      </c>
      <c r="N83" s="54">
        <v>68</v>
      </c>
      <c r="O83" s="54" t="s">
        <v>162</v>
      </c>
    </row>
    <row r="84" spans="1:15" ht="21.75" customHeight="1" x14ac:dyDescent="0.25">
      <c r="A84" s="62"/>
      <c r="B84" s="62"/>
      <c r="C84" s="62"/>
      <c r="D84" s="62"/>
      <c r="E84" s="62"/>
      <c r="F84" s="62"/>
      <c r="G84" s="63">
        <v>78</v>
      </c>
      <c r="H84" s="63">
        <v>107</v>
      </c>
      <c r="I84" s="63">
        <v>68</v>
      </c>
      <c r="J84" s="63">
        <v>33</v>
      </c>
      <c r="K84" s="63">
        <v>24</v>
      </c>
      <c r="L84" s="63">
        <v>20</v>
      </c>
      <c r="M84" s="63">
        <v>97</v>
      </c>
      <c r="N84" s="62"/>
      <c r="O84" s="62"/>
    </row>
    <row r="85" spans="1:15" ht="21.75" customHeight="1" x14ac:dyDescent="0.25">
      <c r="A85" s="57"/>
      <c r="B85" s="57"/>
      <c r="C85" s="57"/>
      <c r="D85" s="57"/>
      <c r="E85" s="57"/>
      <c r="F85" s="57"/>
      <c r="G85" s="48">
        <v>41</v>
      </c>
      <c r="H85" s="49">
        <v>58</v>
      </c>
      <c r="I85" s="49">
        <v>16</v>
      </c>
      <c r="J85" s="49">
        <v>12</v>
      </c>
      <c r="K85" s="49">
        <v>26</v>
      </c>
      <c r="L85" s="49">
        <v>23</v>
      </c>
      <c r="M85" s="49">
        <v>27</v>
      </c>
      <c r="N85" s="49">
        <v>68</v>
      </c>
      <c r="O85" s="49">
        <v>39</v>
      </c>
    </row>
    <row r="86" spans="1:15" ht="21.75" customHeight="1" x14ac:dyDescent="0.25">
      <c r="A86" s="50" t="s">
        <v>151</v>
      </c>
      <c r="B86" s="51" t="s">
        <v>109</v>
      </c>
      <c r="C86" s="51" t="s">
        <v>108</v>
      </c>
      <c r="D86" s="51" t="s">
        <v>171</v>
      </c>
      <c r="E86" s="52" t="s">
        <v>85</v>
      </c>
      <c r="F86" s="52" t="s">
        <v>72</v>
      </c>
      <c r="G86" s="54">
        <v>41</v>
      </c>
      <c r="H86" s="54">
        <v>56</v>
      </c>
      <c r="I86" s="54">
        <v>17</v>
      </c>
      <c r="J86" s="54">
        <v>13.5</v>
      </c>
      <c r="K86" s="54">
        <v>90</v>
      </c>
      <c r="L86" s="54">
        <v>82</v>
      </c>
      <c r="M86" s="54">
        <v>102</v>
      </c>
      <c r="N86" s="54">
        <v>68</v>
      </c>
      <c r="O86" s="54">
        <v>37</v>
      </c>
    </row>
    <row r="87" spans="1:15" ht="21.75" customHeight="1" x14ac:dyDescent="0.25">
      <c r="A87" s="62"/>
      <c r="B87" s="62"/>
      <c r="C87" s="62"/>
      <c r="D87" s="62"/>
      <c r="E87" s="62"/>
      <c r="F87" s="62"/>
      <c r="G87" s="63">
        <v>77</v>
      </c>
      <c r="H87" s="63">
        <v>98</v>
      </c>
      <c r="I87" s="63">
        <v>66</v>
      </c>
      <c r="J87" s="63">
        <v>32</v>
      </c>
      <c r="K87" s="63">
        <v>25</v>
      </c>
      <c r="L87" s="63">
        <v>20</v>
      </c>
      <c r="M87" s="63">
        <v>97</v>
      </c>
      <c r="N87" s="62"/>
      <c r="O87" s="62"/>
    </row>
    <row r="88" spans="1:15" ht="21.75" customHeight="1" x14ac:dyDescent="0.25">
      <c r="A88" s="57"/>
      <c r="B88" s="57"/>
      <c r="C88" s="57"/>
      <c r="D88" s="57"/>
      <c r="E88" s="57"/>
      <c r="F88" s="57"/>
      <c r="G88" s="48">
        <v>41</v>
      </c>
      <c r="H88" s="49">
        <v>58</v>
      </c>
      <c r="I88" s="49">
        <v>16</v>
      </c>
      <c r="J88" s="49">
        <v>12</v>
      </c>
      <c r="K88" s="49">
        <v>26</v>
      </c>
      <c r="L88" s="49">
        <v>24</v>
      </c>
      <c r="M88" s="49">
        <v>27</v>
      </c>
      <c r="N88" s="49">
        <v>68</v>
      </c>
      <c r="O88" s="49">
        <v>37</v>
      </c>
    </row>
    <row r="89" spans="1:15" ht="21.75" customHeight="1" x14ac:dyDescent="0.25">
      <c r="A89" s="50" t="s">
        <v>152</v>
      </c>
      <c r="B89" s="51" t="s">
        <v>110</v>
      </c>
      <c r="C89" s="51" t="s">
        <v>111</v>
      </c>
      <c r="D89" s="51" t="s">
        <v>171</v>
      </c>
      <c r="E89" s="52" t="s">
        <v>33</v>
      </c>
      <c r="F89" s="52" t="s">
        <v>72</v>
      </c>
      <c r="G89" s="54">
        <v>47</v>
      </c>
      <c r="H89" s="54">
        <v>61</v>
      </c>
      <c r="I89" s="54">
        <v>20</v>
      </c>
      <c r="J89" s="54">
        <v>15</v>
      </c>
      <c r="K89" s="54">
        <v>108</v>
      </c>
      <c r="L89" s="54">
        <v>104</v>
      </c>
      <c r="M89" s="54">
        <v>114</v>
      </c>
      <c r="N89" s="54">
        <v>71</v>
      </c>
      <c r="O89" s="54">
        <v>40</v>
      </c>
    </row>
    <row r="90" spans="1:15" ht="21.75" customHeight="1" x14ac:dyDescent="0.25">
      <c r="A90" s="62"/>
      <c r="B90" s="62"/>
      <c r="C90" s="62"/>
      <c r="D90" s="62"/>
      <c r="E90" s="62"/>
      <c r="F90" s="62"/>
      <c r="G90" s="63">
        <v>90</v>
      </c>
      <c r="H90" s="63">
        <v>107</v>
      </c>
      <c r="I90" s="63">
        <v>76</v>
      </c>
      <c r="J90" s="63">
        <v>35</v>
      </c>
      <c r="K90" s="63">
        <v>27</v>
      </c>
      <c r="L90" s="63">
        <v>22</v>
      </c>
      <c r="M90" s="63">
        <v>102</v>
      </c>
      <c r="N90" s="62"/>
      <c r="O90" s="62"/>
    </row>
    <row r="91" spans="1:15" ht="21.75" customHeight="1" x14ac:dyDescent="0.25">
      <c r="A91" s="57"/>
      <c r="B91" s="57"/>
      <c r="C91" s="57"/>
      <c r="D91" s="57"/>
      <c r="E91" s="57"/>
      <c r="F91" s="57"/>
      <c r="G91" s="48">
        <v>47</v>
      </c>
      <c r="H91" s="49">
        <v>63</v>
      </c>
      <c r="I91" s="49">
        <v>18</v>
      </c>
      <c r="J91" s="49">
        <v>13</v>
      </c>
      <c r="K91" s="49">
        <v>29</v>
      </c>
      <c r="L91" s="49">
        <v>28</v>
      </c>
      <c r="M91" s="49">
        <v>29</v>
      </c>
      <c r="N91" s="49">
        <v>71</v>
      </c>
      <c r="O91" s="49">
        <v>40</v>
      </c>
    </row>
    <row r="92" spans="1:15" ht="21.75" customHeight="1" x14ac:dyDescent="0.25">
      <c r="A92" s="50" t="s">
        <v>153</v>
      </c>
      <c r="B92" s="51" t="s">
        <v>112</v>
      </c>
      <c r="C92" s="51" t="s">
        <v>113</v>
      </c>
      <c r="D92" s="51" t="s">
        <v>171</v>
      </c>
      <c r="E92" s="52" t="s">
        <v>85</v>
      </c>
      <c r="F92" s="52" t="s">
        <v>72</v>
      </c>
      <c r="G92" s="54">
        <v>43</v>
      </c>
      <c r="H92" s="54">
        <v>58</v>
      </c>
      <c r="I92" s="54">
        <v>18</v>
      </c>
      <c r="J92" s="54">
        <v>14</v>
      </c>
      <c r="K92" s="54">
        <v>100</v>
      </c>
      <c r="L92" s="54">
        <v>97</v>
      </c>
      <c r="M92" s="54">
        <v>120</v>
      </c>
      <c r="N92" s="54">
        <v>69</v>
      </c>
      <c r="O92" s="54">
        <v>40</v>
      </c>
    </row>
    <row r="93" spans="1:15" ht="21.75" customHeight="1" x14ac:dyDescent="0.25">
      <c r="A93" s="62"/>
      <c r="B93" s="62"/>
      <c r="C93" s="62"/>
      <c r="D93" s="62"/>
      <c r="E93" s="62"/>
      <c r="F93" s="62"/>
      <c r="G93" s="63">
        <v>90</v>
      </c>
      <c r="H93" s="63">
        <v>115</v>
      </c>
      <c r="I93" s="63">
        <v>67</v>
      </c>
      <c r="J93" s="63">
        <v>35</v>
      </c>
      <c r="K93" s="63">
        <v>26</v>
      </c>
      <c r="L93" s="63">
        <v>20</v>
      </c>
      <c r="M93" s="63">
        <v>96</v>
      </c>
      <c r="N93" s="62"/>
      <c r="O93" s="62"/>
    </row>
    <row r="94" spans="1:15" ht="21.75" customHeight="1" x14ac:dyDescent="0.25">
      <c r="A94" s="57"/>
      <c r="B94" s="57"/>
      <c r="C94" s="57"/>
      <c r="D94" s="57"/>
      <c r="E94" s="57"/>
      <c r="F94" s="57"/>
      <c r="G94" s="48">
        <v>43</v>
      </c>
      <c r="H94" s="49">
        <v>60</v>
      </c>
      <c r="I94" s="49">
        <v>17</v>
      </c>
      <c r="J94" s="49">
        <v>13</v>
      </c>
      <c r="K94" s="49">
        <v>28</v>
      </c>
      <c r="L94" s="49">
        <v>26</v>
      </c>
      <c r="M94" s="49">
        <v>29</v>
      </c>
      <c r="N94" s="49">
        <v>69</v>
      </c>
      <c r="O94" s="49">
        <v>40</v>
      </c>
    </row>
    <row r="95" spans="1:15" ht="21.75" customHeight="1" x14ac:dyDescent="0.25">
      <c r="A95" s="50" t="s">
        <v>154</v>
      </c>
      <c r="B95" s="51" t="s">
        <v>114</v>
      </c>
      <c r="C95" s="51" t="s">
        <v>115</v>
      </c>
      <c r="D95" s="51" t="s">
        <v>171</v>
      </c>
      <c r="E95" s="52" t="s">
        <v>85</v>
      </c>
      <c r="F95" s="52" t="s">
        <v>72</v>
      </c>
      <c r="G95" s="54">
        <v>44</v>
      </c>
      <c r="H95" s="54">
        <v>59</v>
      </c>
      <c r="I95" s="54">
        <v>18</v>
      </c>
      <c r="J95" s="54">
        <v>14</v>
      </c>
      <c r="K95" s="54">
        <v>99</v>
      </c>
      <c r="L95" s="54">
        <v>93</v>
      </c>
      <c r="M95" s="54">
        <v>114</v>
      </c>
      <c r="N95" s="54">
        <v>69</v>
      </c>
      <c r="O95" s="54">
        <v>42</v>
      </c>
    </row>
    <row r="96" spans="1:15" ht="21.75" customHeight="1" x14ac:dyDescent="0.25">
      <c r="A96" s="62"/>
      <c r="B96" s="62"/>
      <c r="C96" s="62"/>
      <c r="D96" s="62"/>
      <c r="E96" s="62"/>
      <c r="F96" s="62"/>
      <c r="G96" s="63">
        <v>88</v>
      </c>
      <c r="H96" s="63">
        <v>109</v>
      </c>
      <c r="I96" s="63">
        <v>68</v>
      </c>
      <c r="J96" s="63">
        <v>35</v>
      </c>
      <c r="K96" s="63">
        <v>25</v>
      </c>
      <c r="L96" s="63">
        <v>20</v>
      </c>
      <c r="M96" s="63">
        <v>94</v>
      </c>
      <c r="N96" s="62"/>
      <c r="O96" s="62"/>
    </row>
    <row r="97" spans="1:15" ht="21.75" customHeight="1" x14ac:dyDescent="0.25">
      <c r="A97" s="57"/>
      <c r="B97" s="57"/>
      <c r="C97" s="57"/>
      <c r="D97" s="57"/>
      <c r="E97" s="57"/>
      <c r="F97" s="57"/>
      <c r="G97" s="48">
        <v>44</v>
      </c>
      <c r="H97" s="49">
        <v>61</v>
      </c>
      <c r="I97" s="49">
        <v>17</v>
      </c>
      <c r="J97" s="49">
        <v>13</v>
      </c>
      <c r="K97" s="49">
        <v>27</v>
      </c>
      <c r="L97" s="49">
        <v>24</v>
      </c>
      <c r="M97" s="49">
        <v>27</v>
      </c>
      <c r="N97" s="49">
        <v>69</v>
      </c>
      <c r="O97" s="49">
        <v>42</v>
      </c>
    </row>
    <row r="98" spans="1:15" ht="21.75" customHeight="1" x14ac:dyDescent="0.25">
      <c r="A98" s="50" t="s">
        <v>220</v>
      </c>
      <c r="B98" s="51" t="s">
        <v>195</v>
      </c>
      <c r="C98" s="51" t="s">
        <v>91</v>
      </c>
      <c r="D98" s="51" t="s">
        <v>196</v>
      </c>
      <c r="E98" s="52" t="s">
        <v>33</v>
      </c>
      <c r="F98" s="52" t="s">
        <v>72</v>
      </c>
      <c r="G98" s="54">
        <v>46</v>
      </c>
      <c r="H98" s="54">
        <v>59</v>
      </c>
      <c r="I98" s="54">
        <v>19</v>
      </c>
      <c r="J98" s="54">
        <v>14</v>
      </c>
      <c r="K98" s="54">
        <v>105</v>
      </c>
      <c r="L98" s="54">
        <v>96</v>
      </c>
      <c r="M98" s="54">
        <v>109</v>
      </c>
      <c r="N98" s="54">
        <v>72</v>
      </c>
      <c r="O98" s="54"/>
    </row>
    <row r="99" spans="1:15" ht="21.75" customHeight="1" x14ac:dyDescent="0.25">
      <c r="A99" s="62"/>
      <c r="B99" s="62"/>
      <c r="C99" s="62"/>
      <c r="D99" s="62"/>
      <c r="E99" s="62"/>
      <c r="F99" s="62"/>
      <c r="G99" s="63">
        <v>86</v>
      </c>
      <c r="H99" s="63">
        <v>103</v>
      </c>
      <c r="I99" s="63">
        <v>69</v>
      </c>
      <c r="J99" s="63">
        <v>34</v>
      </c>
      <c r="K99" s="63">
        <v>28</v>
      </c>
      <c r="L99" s="63">
        <v>21</v>
      </c>
      <c r="M99" s="63">
        <v>100</v>
      </c>
      <c r="N99" s="62"/>
      <c r="O99" s="62"/>
    </row>
    <row r="100" spans="1:15" ht="21.75" customHeight="1" x14ac:dyDescent="0.25">
      <c r="A100" s="57"/>
      <c r="B100" s="57"/>
      <c r="C100" s="57"/>
      <c r="D100" s="57"/>
      <c r="E100" s="57"/>
      <c r="F100" s="57"/>
      <c r="G100" s="48">
        <v>46</v>
      </c>
      <c r="H100" s="49">
        <v>60</v>
      </c>
      <c r="I100" s="49">
        <v>17</v>
      </c>
      <c r="J100" s="49">
        <v>13</v>
      </c>
      <c r="K100" s="49">
        <v>28</v>
      </c>
      <c r="L100" s="49">
        <v>26</v>
      </c>
      <c r="M100" s="49">
        <v>28</v>
      </c>
      <c r="N100" s="49">
        <v>72</v>
      </c>
      <c r="O100" s="49"/>
    </row>
    <row r="101" spans="1:15" ht="21.75" customHeight="1" x14ac:dyDescent="0.25">
      <c r="A101" s="50" t="s">
        <v>221</v>
      </c>
      <c r="B101" s="51" t="s">
        <v>197</v>
      </c>
      <c r="C101" s="51" t="s">
        <v>100</v>
      </c>
      <c r="D101" s="51" t="s">
        <v>196</v>
      </c>
      <c r="E101" s="52" t="s">
        <v>85</v>
      </c>
      <c r="F101" s="52" t="s">
        <v>72</v>
      </c>
      <c r="G101" s="54">
        <v>41</v>
      </c>
      <c r="H101" s="54">
        <v>55</v>
      </c>
      <c r="I101" s="54">
        <v>19</v>
      </c>
      <c r="J101" s="54">
        <v>14</v>
      </c>
      <c r="K101" s="54">
        <v>108</v>
      </c>
      <c r="L101" s="54">
        <v>102</v>
      </c>
      <c r="M101" s="54">
        <v>115</v>
      </c>
      <c r="N101" s="54">
        <v>68</v>
      </c>
      <c r="O101" s="54"/>
    </row>
    <row r="102" spans="1:15" ht="21.75" customHeight="1" x14ac:dyDescent="0.25">
      <c r="A102" s="62"/>
      <c r="B102" s="62"/>
      <c r="C102" s="62"/>
      <c r="D102" s="62"/>
      <c r="E102" s="62"/>
      <c r="F102" s="62"/>
      <c r="G102" s="63">
        <v>90</v>
      </c>
      <c r="H102" s="63">
        <v>110</v>
      </c>
      <c r="I102" s="63">
        <v>71</v>
      </c>
      <c r="J102" s="63">
        <v>34</v>
      </c>
      <c r="K102" s="63">
        <v>26</v>
      </c>
      <c r="L102" s="63">
        <v>19</v>
      </c>
      <c r="M102" s="63">
        <v>94</v>
      </c>
      <c r="N102" s="62"/>
      <c r="O102" s="62"/>
    </row>
    <row r="103" spans="1:15" ht="21.75" customHeight="1" x14ac:dyDescent="0.25">
      <c r="A103" s="57"/>
      <c r="B103" s="57"/>
      <c r="C103" s="57"/>
      <c r="D103" s="57"/>
      <c r="E103" s="57"/>
      <c r="F103" s="57"/>
      <c r="G103" s="48">
        <v>41</v>
      </c>
      <c r="H103" s="49">
        <v>56</v>
      </c>
      <c r="I103" s="49">
        <v>17</v>
      </c>
      <c r="J103" s="49">
        <v>12</v>
      </c>
      <c r="K103" s="49">
        <v>28</v>
      </c>
      <c r="L103" s="49">
        <v>26</v>
      </c>
      <c r="M103" s="49">
        <v>28</v>
      </c>
      <c r="N103" s="49">
        <v>68</v>
      </c>
      <c r="O103" s="49"/>
    </row>
    <row r="104" spans="1:15" ht="21.75" customHeight="1" x14ac:dyDescent="0.25">
      <c r="A104" s="50" t="s">
        <v>222</v>
      </c>
      <c r="B104" s="51" t="s">
        <v>198</v>
      </c>
      <c r="C104" s="51" t="s">
        <v>102</v>
      </c>
      <c r="D104" s="51" t="s">
        <v>196</v>
      </c>
      <c r="E104" s="52" t="s">
        <v>33</v>
      </c>
      <c r="F104" s="52" t="s">
        <v>72</v>
      </c>
      <c r="G104" s="54">
        <v>46</v>
      </c>
      <c r="H104" s="54">
        <v>63</v>
      </c>
      <c r="I104" s="54">
        <v>19</v>
      </c>
      <c r="J104" s="54">
        <v>14</v>
      </c>
      <c r="K104" s="54">
        <v>105</v>
      </c>
      <c r="L104" s="54">
        <v>95</v>
      </c>
      <c r="M104" s="54">
        <v>110</v>
      </c>
      <c r="N104" s="54">
        <v>74</v>
      </c>
      <c r="O104" s="54"/>
    </row>
    <row r="105" spans="1:15" ht="21.75" customHeight="1" x14ac:dyDescent="0.25">
      <c r="A105" s="62"/>
      <c r="B105" s="62"/>
      <c r="C105" s="62"/>
      <c r="D105" s="62"/>
      <c r="E105" s="62"/>
      <c r="F105" s="62"/>
      <c r="G105" s="63">
        <v>87</v>
      </c>
      <c r="H105" s="63">
        <v>105</v>
      </c>
      <c r="I105" s="63">
        <v>72</v>
      </c>
      <c r="J105" s="63">
        <v>34</v>
      </c>
      <c r="K105" s="63">
        <v>26</v>
      </c>
      <c r="L105" s="63">
        <v>21</v>
      </c>
      <c r="M105" s="63">
        <v>99</v>
      </c>
      <c r="N105" s="62"/>
      <c r="O105" s="62"/>
    </row>
    <row r="106" spans="1:15" ht="21.75" customHeight="1" x14ac:dyDescent="0.25">
      <c r="A106" s="57"/>
      <c r="B106" s="57"/>
      <c r="C106" s="57"/>
      <c r="D106" s="57"/>
      <c r="E106" s="57"/>
      <c r="F106" s="57"/>
      <c r="G106" s="48">
        <v>46</v>
      </c>
      <c r="H106" s="49">
        <v>64</v>
      </c>
      <c r="I106" s="49">
        <v>18</v>
      </c>
      <c r="J106" s="49">
        <v>13</v>
      </c>
      <c r="K106" s="49">
        <v>28</v>
      </c>
      <c r="L106" s="49">
        <v>26</v>
      </c>
      <c r="M106" s="49">
        <v>28</v>
      </c>
      <c r="N106" s="49">
        <v>74</v>
      </c>
      <c r="O106" s="49"/>
    </row>
    <row r="107" spans="1:15" ht="21.75" customHeight="1" x14ac:dyDescent="0.25">
      <c r="A107" s="50" t="s">
        <v>223</v>
      </c>
      <c r="B107" s="51" t="s">
        <v>216</v>
      </c>
      <c r="C107" s="51" t="s">
        <v>78</v>
      </c>
      <c r="D107" s="51" t="s">
        <v>215</v>
      </c>
      <c r="E107" s="52" t="s">
        <v>33</v>
      </c>
      <c r="F107" s="52" t="s">
        <v>72</v>
      </c>
      <c r="G107" s="54">
        <v>46</v>
      </c>
      <c r="H107" s="54">
        <v>54</v>
      </c>
      <c r="I107" s="54">
        <v>19</v>
      </c>
      <c r="J107" s="54">
        <v>14</v>
      </c>
      <c r="K107" s="54">
        <v>107</v>
      </c>
      <c r="L107" s="54">
        <v>102</v>
      </c>
      <c r="M107" s="54">
        <v>112</v>
      </c>
      <c r="N107" s="54">
        <v>69</v>
      </c>
      <c r="O107" s="54"/>
    </row>
    <row r="108" spans="1:15" ht="21.75" customHeight="1" x14ac:dyDescent="0.25">
      <c r="A108" s="62"/>
      <c r="B108" s="62"/>
      <c r="C108" s="62"/>
      <c r="D108" s="62"/>
      <c r="E108" s="62"/>
      <c r="F108" s="62"/>
      <c r="G108" s="63">
        <v>95</v>
      </c>
      <c r="H108" s="63">
        <v>107</v>
      </c>
      <c r="I108" s="63">
        <v>66</v>
      </c>
      <c r="J108" s="63">
        <v>35</v>
      </c>
      <c r="K108" s="63">
        <v>26</v>
      </c>
      <c r="L108" s="63">
        <v>21</v>
      </c>
      <c r="M108" s="63">
        <v>95</v>
      </c>
      <c r="N108" s="62"/>
      <c r="O108" s="62"/>
    </row>
    <row r="109" spans="1:15" ht="21.75" customHeight="1" x14ac:dyDescent="0.25">
      <c r="A109" s="57"/>
      <c r="B109" s="57"/>
      <c r="C109" s="57"/>
      <c r="D109" s="57"/>
      <c r="E109" s="57"/>
      <c r="F109" s="57"/>
      <c r="G109" s="48">
        <v>46</v>
      </c>
      <c r="H109" s="49">
        <v>56</v>
      </c>
      <c r="I109" s="49">
        <v>18</v>
      </c>
      <c r="J109" s="49">
        <v>13</v>
      </c>
      <c r="K109" s="49">
        <v>29</v>
      </c>
      <c r="L109" s="49">
        <v>27</v>
      </c>
      <c r="M109" s="49">
        <v>29</v>
      </c>
      <c r="N109" s="49">
        <v>69</v>
      </c>
      <c r="O109" s="49"/>
    </row>
    <row r="110" spans="1:15" ht="21.75" customHeight="1" x14ac:dyDescent="0.25">
      <c r="A110" s="50" t="s">
        <v>224</v>
      </c>
      <c r="B110" s="51" t="s">
        <v>217</v>
      </c>
      <c r="C110" s="51" t="s">
        <v>91</v>
      </c>
      <c r="D110" s="51" t="s">
        <v>215</v>
      </c>
      <c r="E110" s="52" t="s">
        <v>33</v>
      </c>
      <c r="F110" s="52" t="s">
        <v>72</v>
      </c>
      <c r="G110" s="54">
        <v>45</v>
      </c>
      <c r="H110" s="54">
        <v>56</v>
      </c>
      <c r="I110" s="54">
        <v>19</v>
      </c>
      <c r="J110" s="54">
        <v>17</v>
      </c>
      <c r="K110" s="54">
        <v>108</v>
      </c>
      <c r="L110" s="54">
        <v>100</v>
      </c>
      <c r="M110" s="54">
        <v>114</v>
      </c>
      <c r="N110" s="54">
        <v>70</v>
      </c>
      <c r="O110" s="54"/>
    </row>
    <row r="111" spans="1:15" ht="21.75" customHeight="1" x14ac:dyDescent="0.25">
      <c r="A111" s="62"/>
      <c r="B111" s="62"/>
      <c r="C111" s="62"/>
      <c r="D111" s="62"/>
      <c r="E111" s="62"/>
      <c r="F111" s="62"/>
      <c r="G111" s="63">
        <v>94</v>
      </c>
      <c r="H111" s="63">
        <v>109</v>
      </c>
      <c r="I111" s="63">
        <v>66</v>
      </c>
      <c r="J111" s="63">
        <v>34</v>
      </c>
      <c r="K111" s="63">
        <v>26</v>
      </c>
      <c r="L111" s="63">
        <v>21</v>
      </c>
      <c r="M111" s="63">
        <v>96</v>
      </c>
      <c r="N111" s="62"/>
      <c r="O111" s="62"/>
    </row>
    <row r="112" spans="1:15" ht="21.75" customHeight="1" x14ac:dyDescent="0.25">
      <c r="A112" s="57"/>
      <c r="B112" s="57"/>
      <c r="C112" s="57"/>
      <c r="D112" s="57"/>
      <c r="E112" s="57"/>
      <c r="F112" s="57"/>
      <c r="G112" s="48">
        <v>45</v>
      </c>
      <c r="H112" s="49">
        <v>58</v>
      </c>
      <c r="I112" s="49">
        <v>18</v>
      </c>
      <c r="J112" s="49">
        <v>13</v>
      </c>
      <c r="K112" s="49">
        <v>28</v>
      </c>
      <c r="L112" s="49">
        <v>27</v>
      </c>
      <c r="M112" s="49">
        <v>28</v>
      </c>
      <c r="N112" s="49">
        <v>70</v>
      </c>
      <c r="O112" s="49"/>
    </row>
    <row r="113" spans="1:15" ht="21.75" customHeight="1" x14ac:dyDescent="0.25">
      <c r="A113" s="50" t="s">
        <v>225</v>
      </c>
      <c r="B113" s="51" t="s">
        <v>218</v>
      </c>
      <c r="C113" s="51" t="s">
        <v>111</v>
      </c>
      <c r="D113" s="51" t="s">
        <v>215</v>
      </c>
      <c r="E113" s="52" t="s">
        <v>33</v>
      </c>
      <c r="F113" s="52" t="s">
        <v>72</v>
      </c>
      <c r="G113" s="54">
        <v>47</v>
      </c>
      <c r="H113" s="54">
        <v>56</v>
      </c>
      <c r="I113" s="54">
        <v>18</v>
      </c>
      <c r="J113" s="54">
        <v>14</v>
      </c>
      <c r="K113" s="54">
        <v>101</v>
      </c>
      <c r="L113" s="54">
        <v>94</v>
      </c>
      <c r="M113" s="54">
        <v>106</v>
      </c>
      <c r="N113" s="54">
        <v>71</v>
      </c>
      <c r="O113" s="54"/>
    </row>
    <row r="114" spans="1:15" ht="21.75" customHeight="1" x14ac:dyDescent="0.25">
      <c r="A114" s="62"/>
      <c r="B114" s="62"/>
      <c r="C114" s="62"/>
      <c r="D114" s="62"/>
      <c r="E114" s="62"/>
      <c r="F114" s="62"/>
      <c r="G114" s="63">
        <v>86</v>
      </c>
      <c r="H114" s="63">
        <v>104</v>
      </c>
      <c r="I114" s="63">
        <v>69</v>
      </c>
      <c r="J114" s="63">
        <v>33</v>
      </c>
      <c r="K114" s="63">
        <v>26</v>
      </c>
      <c r="L114" s="63">
        <v>21</v>
      </c>
      <c r="M114" s="63">
        <v>98</v>
      </c>
      <c r="N114" s="62"/>
      <c r="O114" s="62"/>
    </row>
    <row r="115" spans="1:15" ht="21.75" customHeight="1" x14ac:dyDescent="0.25">
      <c r="A115" s="57"/>
      <c r="B115" s="57"/>
      <c r="C115" s="57"/>
      <c r="D115" s="57"/>
      <c r="E115" s="57"/>
      <c r="F115" s="57"/>
      <c r="G115" s="48">
        <v>46</v>
      </c>
      <c r="H115" s="49">
        <v>58</v>
      </c>
      <c r="I115" s="49">
        <v>17</v>
      </c>
      <c r="J115" s="49">
        <v>13</v>
      </c>
      <c r="K115" s="49">
        <v>28</v>
      </c>
      <c r="L115" s="49">
        <v>26</v>
      </c>
      <c r="M115" s="49">
        <v>28</v>
      </c>
      <c r="N115" s="49">
        <v>71</v>
      </c>
      <c r="O115" s="49"/>
    </row>
  </sheetData>
  <phoneticPr fontId="20" type="noConversion"/>
  <pageMargins left="0.59055118110236227" right="0.19685039370078741" top="0.47244094488188981" bottom="0.15748031496062992" header="0.31496062992125984" footer="0.11811023622047245"/>
  <pageSetup paperSize="9" scale="85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SEMUA</vt:lpstr>
      <vt:lpstr>Sheet2</vt:lpstr>
      <vt:lpstr>REKAP</vt:lpstr>
      <vt:lpstr>BLUS</vt:lpstr>
      <vt:lpstr>BLACKNAVY</vt:lpstr>
      <vt:lpstr>BLACKNAVY!Print_Titles</vt:lpstr>
      <vt:lpstr>BLUS!Print_Titles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2021-10-26T13:37:19Z</cp:lastPrinted>
  <dcterms:created xsi:type="dcterms:W3CDTF">2016-10-31T03:59:44Z</dcterms:created>
  <dcterms:modified xsi:type="dcterms:W3CDTF">2021-10-26T13:38:43Z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