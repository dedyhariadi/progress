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32. UHT 2021 KPN(K_1) N(K_2) T(K_3)\"/>
    </mc:Choice>
  </mc:AlternateContent>
  <xr:revisionPtr revIDLastSave="0" documentId="13_ncr:1_{211C2418-0E42-4B3A-A673-B7FC3D40007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7" r:id="rId1"/>
    <sheet name="REKAP" sheetId="18" r:id="rId2"/>
    <sheet name="BLM UKUR TMT 02112021" sheetId="19" r:id="rId3"/>
  </sheets>
  <definedNames>
    <definedName name="_xlnm._FilterDatabase" localSheetId="0" hidden="1">SEMUA!$A$1:$Z$113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4" i="17" l="1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2" i="17"/>
  <c r="A33" i="17"/>
  <c r="A34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2" i="17"/>
</calcChain>
</file>

<file path=xl/sharedStrings.xml><?xml version="1.0" encoding="utf-8"?>
<sst xmlns="http://schemas.openxmlformats.org/spreadsheetml/2006/main" count="917" uniqueCount="398">
  <si>
    <t>NO</t>
  </si>
  <si>
    <t>NAMA</t>
  </si>
  <si>
    <t>KELAS</t>
  </si>
  <si>
    <t>NIM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</si>
  <si>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</si>
  <si>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</si>
  <si>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</si>
  <si>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</si>
  <si>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</si>
  <si>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</si>
  <si>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</si>
  <si>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</si>
  <si>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</si>
  <si>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</si>
  <si>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</si>
  <si>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</si>
  <si>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</si>
  <si>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</si>
  <si>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</si>
  <si>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P/W</t>
  </si>
  <si>
    <t>WANITA</t>
  </si>
  <si>
    <t>PRIA</t>
  </si>
  <si>
    <t>CHRISTIAN FEBRIANTO</t>
  </si>
  <si>
    <t>2021 01 3 0001</t>
  </si>
  <si>
    <t>KPN</t>
  </si>
  <si>
    <t>2021 01 3 0002</t>
  </si>
  <si>
    <t>HEFNI AMIN</t>
  </si>
  <si>
    <t>2021 01 3 0003</t>
  </si>
  <si>
    <t>2021 01 3 0004</t>
  </si>
  <si>
    <t>2021 01 3 0005</t>
  </si>
  <si>
    <t>2021 01 3 0006</t>
  </si>
  <si>
    <t>SEFTIAN DWI KUSUMA</t>
  </si>
  <si>
    <t>2021 01 3 0007</t>
  </si>
  <si>
    <t>ACHMAD SHOBIRIN</t>
  </si>
  <si>
    <t>2021 01 3 0008</t>
  </si>
  <si>
    <t>ACH.HIDAYATULLAH</t>
  </si>
  <si>
    <t>2021 01 3 0009</t>
  </si>
  <si>
    <t>2021 01 3 0010</t>
  </si>
  <si>
    <t>MOH.ABDILLAH</t>
  </si>
  <si>
    <t>2021 01 3 0011</t>
  </si>
  <si>
    <t>MOH FAHMI AGIL</t>
  </si>
  <si>
    <t>2021 01 3 0012</t>
  </si>
  <si>
    <t>PANJI PRASTIYONO</t>
  </si>
  <si>
    <t>2021 01 3 0013</t>
  </si>
  <si>
    <t>ADAM ARYA LINTANG</t>
  </si>
  <si>
    <t>2021 01 3 0014</t>
  </si>
  <si>
    <t>AJHAR MAULANA</t>
  </si>
  <si>
    <t>2021 01 3 0015</t>
  </si>
  <si>
    <t>SITI AZRINA SURAT</t>
  </si>
  <si>
    <t>2021 01 3 0016</t>
  </si>
  <si>
    <t>2021 01 3 0017</t>
  </si>
  <si>
    <t>2021 01 3 0018</t>
  </si>
  <si>
    <t>DIMAS ABDI PRATAMA</t>
  </si>
  <si>
    <t>2021 01 3 0019</t>
  </si>
  <si>
    <t>2021 01 3 0020</t>
  </si>
  <si>
    <t>2021 01 3 0021</t>
  </si>
  <si>
    <t>AINUL YAKIN</t>
  </si>
  <si>
    <t>2021 01 3 0022</t>
  </si>
  <si>
    <t>2021 01 3 0023</t>
  </si>
  <si>
    <t>ABDUL MANAN</t>
  </si>
  <si>
    <t>2021 01 3 0024</t>
  </si>
  <si>
    <t>2021 01 3 0025</t>
  </si>
  <si>
    <t>2021 01 3 0026</t>
  </si>
  <si>
    <t>MUKHAMMAD RIZKI</t>
  </si>
  <si>
    <t>2021 01 3 0027</t>
  </si>
  <si>
    <t>RYAN SEPTIADI</t>
  </si>
  <si>
    <t>2021 01 3 0028</t>
  </si>
  <si>
    <t>MUHAMMAD ALFARIJI</t>
  </si>
  <si>
    <t>2021 01 3 0029</t>
  </si>
  <si>
    <t>MOCH AINUR RIDHO</t>
  </si>
  <si>
    <t>2021 01 3 0030</t>
  </si>
  <si>
    <t>ALIEF REZA FAHLEVI</t>
  </si>
  <si>
    <t>2021 01 1 0001</t>
  </si>
  <si>
    <t>NAUTIKA</t>
  </si>
  <si>
    <t>ALZHAR MAULINO</t>
  </si>
  <si>
    <t>2021 01 1 0002</t>
  </si>
  <si>
    <t>2021 01 1 0003</t>
  </si>
  <si>
    <t>2021 01 1 0004</t>
  </si>
  <si>
    <t>2021 01 1 0005</t>
  </si>
  <si>
    <t>2021 01 1 0006</t>
  </si>
  <si>
    <t xml:space="preserve">RAHMAT SETYA BUDI </t>
  </si>
  <si>
    <t>2021 01 1 0007</t>
  </si>
  <si>
    <t>2021 01 1 0008</t>
  </si>
  <si>
    <t>2021 01 1 0009</t>
  </si>
  <si>
    <t>2021 01 1 00010</t>
  </si>
  <si>
    <t>2021 01 1 00011</t>
  </si>
  <si>
    <t>RAIHAN DIYA ISMAIL</t>
  </si>
  <si>
    <t>2021 01 1 00012</t>
  </si>
  <si>
    <t>MUHAMMAD HIDAYAT</t>
  </si>
  <si>
    <t>2021 01 1 00013</t>
  </si>
  <si>
    <t>2021 01 1 00014</t>
  </si>
  <si>
    <t>ANEKA RIFAL HAMID</t>
  </si>
  <si>
    <t>2021 01 1 00015</t>
  </si>
  <si>
    <t>HENDRA AGUSTIAWAN</t>
  </si>
  <si>
    <t>2021 01 1 00016</t>
  </si>
  <si>
    <t>2021 01 1 00017</t>
  </si>
  <si>
    <t>RIKO WAHYU UTOMO</t>
  </si>
  <si>
    <t>2021 01 1 00018</t>
  </si>
  <si>
    <t>2021 01 1 00019</t>
  </si>
  <si>
    <t>2021 01 1 00020</t>
  </si>
  <si>
    <t>RENEZA DEWA BRATA</t>
  </si>
  <si>
    <t>2021 01 1 00021</t>
  </si>
  <si>
    <t>ARIA DEWANTARA</t>
  </si>
  <si>
    <t>2021 01 1 00022</t>
  </si>
  <si>
    <t>TRI BUDIANTO</t>
  </si>
  <si>
    <t>2021 01 1 00023</t>
  </si>
  <si>
    <t>BUDI SETIAWAN</t>
  </si>
  <si>
    <t>2021 01 1 00024</t>
  </si>
  <si>
    <t>RIZKI BAHARI</t>
  </si>
  <si>
    <t>2021 01 1 00025</t>
  </si>
  <si>
    <t>IFAN MALINDO</t>
  </si>
  <si>
    <t>2021 01 1 00026</t>
  </si>
  <si>
    <t>2021 01 1 00027</t>
  </si>
  <si>
    <t>2021 01 1 00028</t>
  </si>
  <si>
    <t>2021 01 1 00029</t>
  </si>
  <si>
    <t>2021 01 1 00030</t>
  </si>
  <si>
    <t>TOMI</t>
  </si>
  <si>
    <t>2021 01 1 00031</t>
  </si>
  <si>
    <t>2021 01 1 00032</t>
  </si>
  <si>
    <t>MUH. AFDAL</t>
  </si>
  <si>
    <t>2021 01 1 00033</t>
  </si>
  <si>
    <t>ZUBARDIN</t>
  </si>
  <si>
    <t>2021 01 1 00034</t>
  </si>
  <si>
    <t>MUHAMMAD AL HAFIID</t>
  </si>
  <si>
    <t>2021 01 1 00035</t>
  </si>
  <si>
    <t>2021 01 1 00036</t>
  </si>
  <si>
    <t>2021 01 1 00037</t>
  </si>
  <si>
    <t>KUKUH KRISNANTO</t>
  </si>
  <si>
    <t>2021 01 1 00039</t>
  </si>
  <si>
    <t>2021 01 1 00040</t>
  </si>
  <si>
    <t>2021 01 1 00041</t>
  </si>
  <si>
    <t>2021 01 2 0001</t>
  </si>
  <si>
    <t>TEKNIKA</t>
  </si>
  <si>
    <t>2021 01 2 0002</t>
  </si>
  <si>
    <t>2021 01 2 0003</t>
  </si>
  <si>
    <t>2021 01 2 0004</t>
  </si>
  <si>
    <t>ROBY FITRIANSYAH</t>
  </si>
  <si>
    <t>2021 01 2 0005</t>
  </si>
  <si>
    <t>SANI ANGGARA</t>
  </si>
  <si>
    <t>2021 01 2 0006</t>
  </si>
  <si>
    <t>FERI IRAWAN</t>
  </si>
  <si>
    <t>2021 01 2 0007</t>
  </si>
  <si>
    <t>2021 01 2 0008</t>
  </si>
  <si>
    <t>ANANTA BHAGASWARA</t>
  </si>
  <si>
    <t>2021 01 2 0009</t>
  </si>
  <si>
    <t>SAID AGIEL</t>
  </si>
  <si>
    <t>2021 01 2 0010</t>
  </si>
  <si>
    <t>2021 01 2 0011</t>
  </si>
  <si>
    <t>ABDUL LATIEF</t>
  </si>
  <si>
    <t>2021 01 2 0012</t>
  </si>
  <si>
    <t>MOCH HUSNAN</t>
  </si>
  <si>
    <t>2021 01 2 0013</t>
  </si>
  <si>
    <t>2021 01 2 0014</t>
  </si>
  <si>
    <t>ACHMAD FARIDI</t>
  </si>
  <si>
    <t>2021 01 2 0015</t>
  </si>
  <si>
    <t>TRI ANJAS SAPUTRA</t>
  </si>
  <si>
    <t>2021 01 2 0016</t>
  </si>
  <si>
    <t>ALFANMAULANA</t>
  </si>
  <si>
    <t>2021 01 2 0017</t>
  </si>
  <si>
    <t>2021 01 2 0018</t>
  </si>
  <si>
    <t>2021 01 2 0019</t>
  </si>
  <si>
    <t>RAHMAT HIDAYAT</t>
  </si>
  <si>
    <t>2021 01 2 0020</t>
  </si>
  <si>
    <t>YUDHA HADI WIJAYA</t>
  </si>
  <si>
    <t>2021 01 2 0021</t>
  </si>
  <si>
    <t xml:space="preserve">JATI HERLAMBANG </t>
  </si>
  <si>
    <t>2021 01 2 0022</t>
  </si>
  <si>
    <t>MOHAMMAD FIRDAUS</t>
  </si>
  <si>
    <t>2021 01 2 0023</t>
  </si>
  <si>
    <t>2021 01 2 0024</t>
  </si>
  <si>
    <t>2021 01 2 0025</t>
  </si>
  <si>
    <t>DIMAS WARDANA</t>
  </si>
  <si>
    <t>2021 01 2 0026</t>
  </si>
  <si>
    <t>2021 01 2 0027</t>
  </si>
  <si>
    <t>2021 01 2 0028</t>
  </si>
  <si>
    <t>2021 01 2 0029</t>
  </si>
  <si>
    <t>2021 01 2 0030</t>
  </si>
  <si>
    <t>66; 38</t>
  </si>
  <si>
    <t>67; 38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</si>
  <si>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</si>
  <si>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</si>
  <si>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</si>
  <si>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</si>
  <si>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</si>
  <si>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</si>
  <si>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</si>
  <si>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</si>
  <si>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</si>
  <si>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</si>
  <si>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</si>
  <si>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</si>
  <si>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</si>
  <si>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</si>
  <si>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</si>
  <si>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</si>
  <si>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</si>
  <si>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</si>
  <si>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</si>
  <si>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</si>
  <si>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</si>
  <si>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</si>
  <si>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</si>
  <si>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</si>
  <si>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</si>
  <si>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</si>
  <si>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</si>
  <si>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</si>
  <si>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</si>
  <si>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</si>
  <si>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</si>
  <si>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</si>
  <si>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</si>
  <si>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</si>
  <si>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</si>
  <si>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</si>
  <si>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</si>
  <si>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</si>
  <si>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</si>
  <si>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</si>
  <si>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</si>
  <si>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</si>
  <si>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</si>
  <si>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</si>
  <si>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</si>
  <si>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</si>
  <si>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</si>
  <si>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</si>
  <si>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</si>
  <si>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</si>
  <si>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</si>
  <si>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</si>
  <si>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</si>
  <si>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</si>
  <si>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</si>
  <si>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</si>
  <si>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</si>
  <si>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</si>
  <si>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</si>
  <si>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</si>
  <si>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</si>
  <si>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</si>
  <si>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</si>
  <si>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</si>
  <si>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</si>
  <si>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</si>
  <si>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</si>
  <si>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</si>
  <si>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</si>
  <si>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</si>
  <si>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</si>
  <si>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</si>
  <si>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</si>
  <si>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</si>
  <si>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</si>
  <si>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</si>
  <si>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</si>
  <si>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</si>
  <si>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</si>
  <si>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</si>
  <si>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</si>
  <si>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</si>
  <si>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</si>
  <si>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</si>
  <si>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</si>
  <si>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</si>
  <si>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</si>
  <si>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</si>
  <si>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</si>
  <si>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</si>
  <si>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</si>
  <si>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</si>
  <si>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</si>
  <si>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</si>
  <si>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</si>
  <si>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</si>
  <si>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</si>
  <si>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</si>
  <si>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</si>
  <si>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</si>
  <si>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</si>
  <si>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</si>
  <si>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</si>
  <si>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CETAK PDH TGL</t>
  </si>
  <si>
    <t>SETOR TGL</t>
  </si>
  <si>
    <t>WISNU NUR FPJ</t>
  </si>
  <si>
    <t>MUHAMMAD WILDAN H</t>
  </si>
  <si>
    <t>M BAGUS KURNIA ALAM I</t>
  </si>
  <si>
    <t>GALIH SAKTI CAHYO S A</t>
  </si>
  <si>
    <t>M LATIHIFUL FAHMI L.</t>
  </si>
  <si>
    <t>BRILIAN GREGORY A</t>
  </si>
  <si>
    <t>SYANI ZUBAER S W</t>
  </si>
  <si>
    <t>M SETYAN FARROS W.S</t>
  </si>
  <si>
    <t>NICOLAUS NONG W W</t>
  </si>
  <si>
    <t>ACHMAD DAUS A</t>
  </si>
  <si>
    <t>DAVA ZHAFRANNUR A</t>
  </si>
  <si>
    <t>MUHAMMAD HAFIZDH M</t>
  </si>
  <si>
    <t>HIZKIA FEBRIANO S</t>
  </si>
  <si>
    <t>ISHAK SETYA DHARMA T</t>
  </si>
  <si>
    <t xml:space="preserve">AIR LANGGA SATRIA </t>
  </si>
  <si>
    <t>M BILAL FIRDAUS</t>
  </si>
  <si>
    <t>SHAMGAR BRYAN E.D</t>
  </si>
  <si>
    <t xml:space="preserve">RAIHAN GYMNASTIAR </t>
  </si>
  <si>
    <t xml:space="preserve">M.RANGGA PURMANA </t>
  </si>
  <si>
    <t>YOHANES GEORGE</t>
  </si>
  <si>
    <t>ACHMED ABELL A</t>
  </si>
  <si>
    <t xml:space="preserve">AUFA LAKSITA </t>
  </si>
  <si>
    <t xml:space="preserve">JUNIFER YOFAN </t>
  </si>
  <si>
    <t xml:space="preserve">RIZKY RAMADHAN </t>
  </si>
  <si>
    <t xml:space="preserve">M.RAFLI ALIEFITO </t>
  </si>
  <si>
    <t xml:space="preserve">IQBAL MAULANA </t>
  </si>
  <si>
    <t xml:space="preserve">SINDI HIDAYATUL </t>
  </si>
  <si>
    <t xml:space="preserve">RADHITYA DWIKI A </t>
  </si>
  <si>
    <t>MANGGA PERMANA</t>
  </si>
  <si>
    <t xml:space="preserve">ALBERT BENEDIKTUS </t>
  </si>
  <si>
    <t>REZA ARISTA R</t>
  </si>
  <si>
    <t>GILANG SAPUTRA L</t>
  </si>
  <si>
    <t>EDWIN FERDY S</t>
  </si>
  <si>
    <t>YORDAN ERFAN J</t>
  </si>
  <si>
    <t>HAFSA VADIFTHA J</t>
  </si>
  <si>
    <t>DIMAS RIZKY O</t>
  </si>
  <si>
    <t>RIZKI DHARMAWAN P</t>
  </si>
  <si>
    <t>BHOBAN SHAGAR M</t>
  </si>
  <si>
    <t>RAHMAT YUSUF B</t>
  </si>
  <si>
    <t>RANGGA SURYA P</t>
  </si>
  <si>
    <t>ANJASMARA ADI S</t>
  </si>
  <si>
    <t>WILDAN FAHRI R</t>
  </si>
  <si>
    <t>MOHAMAD FAJAR I</t>
  </si>
  <si>
    <t>M. ABYAN AZHAR</t>
  </si>
  <si>
    <t>AMMAR TAUFIQUL H</t>
  </si>
  <si>
    <t>BRYAN SAMUEL T</t>
  </si>
  <si>
    <t>HUMMAM SATYA P</t>
  </si>
  <si>
    <t>ALFAN HAIKAL B</t>
  </si>
  <si>
    <t>VICTOR JORDANI A</t>
  </si>
  <si>
    <t>ANDRE BAGUS P</t>
  </si>
  <si>
    <t>ZIDAN ALWI H</t>
  </si>
  <si>
    <t>2021 01 1 0038</t>
  </si>
  <si>
    <t>CETAK KE</t>
  </si>
  <si>
    <t>111</t>
  </si>
  <si>
    <t>28 SEPT</t>
  </si>
  <si>
    <t>01 OKT</t>
  </si>
  <si>
    <t>H44</t>
  </si>
  <si>
    <t>SYABANIA BAITUL RIZKY</t>
  </si>
  <si>
    <t>7 OKT</t>
  </si>
  <si>
    <t>KET</t>
  </si>
  <si>
    <t>BLM UKUR</t>
  </si>
  <si>
    <t>JUMLAH</t>
  </si>
  <si>
    <t>SUDAH UKUR</t>
  </si>
  <si>
    <t>25 ORG</t>
  </si>
  <si>
    <t>44 ORG</t>
  </si>
  <si>
    <t>28 ORG</t>
  </si>
  <si>
    <t>REKAPITULASI UHT</t>
  </si>
  <si>
    <t>RONI ASHIDDIQI</t>
  </si>
  <si>
    <t>ABRAM YESUA ARDHA PRASETYA</t>
  </si>
  <si>
    <t>DEWANGGA GURUH HADJI</t>
  </si>
  <si>
    <t>MOHAMMAD RIZKI FEBRIYANTO</t>
  </si>
  <si>
    <t>H45</t>
  </si>
  <si>
    <t>H46</t>
  </si>
  <si>
    <t>H47</t>
  </si>
  <si>
    <t>H48</t>
  </si>
  <si>
    <t>2022 01 1 00048</t>
  </si>
  <si>
    <t>2023 01 1 00042</t>
  </si>
  <si>
    <t>2024 01 1 00043</t>
  </si>
  <si>
    <t>2025 01 1 00044</t>
  </si>
  <si>
    <t>2026 01 1 00045</t>
  </si>
  <si>
    <t>JEFRI AGUNG PRATAMA</t>
  </si>
  <si>
    <t>AKBAR SULISTYO SAMUDRA</t>
  </si>
  <si>
    <t>2022 01 2 0031</t>
  </si>
  <si>
    <t>2023 01 2 0032</t>
  </si>
  <si>
    <t>i31</t>
  </si>
  <si>
    <t>i32</t>
  </si>
  <si>
    <t>MARCELL MARGINALIS TURIANTORO</t>
  </si>
  <si>
    <t>ACHMAD HASBI NURUL RIZAL</t>
  </si>
  <si>
    <t>ADJI SARWO HARTONO</t>
  </si>
  <si>
    <t>2022 01 3 0031</t>
  </si>
  <si>
    <t>2023 01 3 0032</t>
  </si>
  <si>
    <t>2024 01 3 0033</t>
  </si>
  <si>
    <t>G31</t>
  </si>
  <si>
    <t>G32</t>
  </si>
  <si>
    <t>G33</t>
  </si>
  <si>
    <t>10 OKT</t>
  </si>
  <si>
    <t>KIRIM KE</t>
  </si>
  <si>
    <t>8 ORG</t>
  </si>
  <si>
    <t>4 ORG</t>
  </si>
  <si>
    <t>16 ORG</t>
  </si>
  <si>
    <t>33 ORG</t>
  </si>
  <si>
    <t>48 ORG</t>
  </si>
  <si>
    <t>32 ORG</t>
  </si>
  <si>
    <t>113 ORG</t>
  </si>
  <si>
    <t>BELUM UKUR TMT 02 NOVEMBER 2021</t>
  </si>
  <si>
    <t>DAFTAR NAMA MAHASISWA UHT</t>
  </si>
  <si>
    <t>97 ORG</t>
  </si>
  <si>
    <t>03 NOV</t>
  </si>
  <si>
    <t>'03 NOV</t>
  </si>
  <si>
    <t>05 NOV</t>
  </si>
  <si>
    <t>URUT</t>
  </si>
  <si>
    <t>13 NOV</t>
  </si>
  <si>
    <t>25</t>
  </si>
  <si>
    <t>19 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</si>
</sst>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p&quot;* #,##0_-;&quot;-Rp&quot;* #,##0_-;_-&quot;Rp&quot;* \-_-;_-@_-"/>
  </numFmts>
  <fonts count="14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8"/>
      <name val="Calibri"/>
      <family val="2"/>
      <charset val="1"/>
    </font>
    <font>
      <sz val="8"/>
      <color rgb="FF000000"/>
      <name val="Arial"/>
      <family val="2"/>
    </font>
    <font>
      <sz val="11"/>
      <color theme="0"/>
      <name val="Arial"/>
      <family val="2"/>
    </font>
    <font>
      <b/>
      <sz val="10"/>
      <color rgb="FF000000"/>
      <name val="Arial"/>
      <family val="2"/>
    </font>
    <font>
      <sz val="11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Arial"/>
      <family val="2"/>
    </font>
    <font>
      <b/>
      <sz val="11"/>
      <color theme="0"/>
      <name val="Gotham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double">
        <color indexed="64"/>
      </top>
      <bottom style="thin">
        <color auto="1"/>
      </bottom>
      <diagonal/>
    </border>
  </borders>
  <cellStyleXfs count="3">
    <xf numFmtId="0" fontId="0" fillId="0" borderId="0"/>
    <xf numFmtId="164" fontId="2" fillId="0" borderId="0" applyBorder="0" applyProtection="0"/>
    <xf numFmtId="0" fontId="1" fillId="0" borderId="0"/>
  </cellStyleXfs>
  <cellXfs count="54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4" fillId="0" borderId="0" xfId="0" applyFont="1" applyAlignment="1">
      <alignment horizontal="right" vertical="center" indent="2"/>
    </xf>
    <xf numFmtId="0" fontId="4" fillId="0" borderId="1" xfId="0" applyFont="1" applyBorder="1" applyAlignment="1">
      <alignment horizontal="left" vertical="center" indent="1"/>
    </xf>
    <xf numFmtId="0" fontId="4" fillId="0" borderId="1" xfId="0" applyFont="1" applyBorder="1" applyAlignment="1">
      <alignment horizontal="right" vertical="center" indent="2"/>
    </xf>
    <xf numFmtId="0" fontId="4" fillId="0" borderId="3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right" vertical="center" indent="2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left" vertical="center" indent="1"/>
    </xf>
    <xf numFmtId="0" fontId="8" fillId="0" borderId="2" xfId="0" applyFont="1" applyBorder="1" applyAlignment="1">
      <alignment horizontal="right" vertical="center" indent="2"/>
    </xf>
    <xf numFmtId="0" fontId="3" fillId="3" borderId="1" xfId="0" applyFont="1" applyFill="1" applyBorder="1" applyAlignment="1">
      <alignment horizontal="left" vertical="center" indent="1"/>
    </xf>
    <xf numFmtId="0" fontId="3" fillId="3" borderId="1" xfId="0" quotePrefix="1" applyFont="1" applyFill="1" applyBorder="1" applyAlignment="1">
      <alignment horizontal="right" vertical="center" indent="2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vertical="center"/>
    </xf>
    <xf numFmtId="0" fontId="4" fillId="0" borderId="1" xfId="0" quotePrefix="1" applyFont="1" applyBorder="1" applyAlignment="1">
      <alignment horizontal="center" vertical="center"/>
    </xf>
    <xf numFmtId="0" fontId="4" fillId="0" borderId="1" xfId="0" quotePrefix="1" applyFont="1" applyFill="1" applyBorder="1" applyAlignment="1">
      <alignment horizontal="center" vertical="center"/>
    </xf>
    <xf numFmtId="0" fontId="4" fillId="0" borderId="1" xfId="0" quotePrefix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1" fillId="0" borderId="0" xfId="2"/>
    <xf numFmtId="0" fontId="1" fillId="0" borderId="0" xfId="2" applyAlignment="1">
      <alignment horizontal="center"/>
    </xf>
    <xf numFmtId="0" fontId="9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left" vertical="center"/>
    </xf>
    <xf numFmtId="0" fontId="10" fillId="0" borderId="1" xfId="2" applyFont="1" applyBorder="1" applyAlignment="1">
      <alignment vertical="center"/>
    </xf>
    <xf numFmtId="0" fontId="11" fillId="0" borderId="1" xfId="2" applyFont="1" applyBorder="1" applyAlignment="1">
      <alignment vertical="center"/>
    </xf>
    <xf numFmtId="0" fontId="12" fillId="0" borderId="1" xfId="2" applyFont="1" applyBorder="1" applyAlignment="1">
      <alignment horizontal="left" vertical="center"/>
    </xf>
    <xf numFmtId="0" fontId="3" fillId="0" borderId="4" xfId="2" applyFont="1" applyBorder="1" applyAlignment="1">
      <alignment horizontal="center" vertical="center"/>
    </xf>
    <xf numFmtId="0" fontId="3" fillId="0" borderId="4" xfId="2" applyFont="1" applyBorder="1" applyAlignment="1">
      <alignment horizontal="left" vertical="center"/>
    </xf>
    <xf numFmtId="0" fontId="3" fillId="0" borderId="2" xfId="2" applyFont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left" vertical="center"/>
    </xf>
    <xf numFmtId="49" fontId="4" fillId="0" borderId="1" xfId="0" quotePrefix="1" applyNumberFormat="1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3" fillId="4" borderId="0" xfId="2" applyFont="1" applyFill="1" applyAlignment="1">
      <alignment horizontal="center"/>
    </xf>
  </cellXfs>
  <cellStyles count="3">
    <cellStyle name="Excel Built-in Explanatory Text" xfId="1" xr:uid="{00000000-0005-0000-0000-000006000000}"/>
    <cellStyle name="Normal" xfId="0" builtinId="0"/>
    <cellStyle name="Normal 2" xfId="2" xr:uid="{72506475-3495-43BF-9105-6A765F6051D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4D64-8EFB-43E5-9D0D-A8047587DBB5}">
  <sheetPr filterMode="1"/>
  <dimension ref="A1:Z114"/>
  <sheetViews>
    <sheetView tabSelected="1" zoomScale="70" zoomScaleNormal="70" workbookViewId="0">
      <pane ySplit="1" topLeftCell="A2" activePane="bottomLeft" state="frozen"/>
      <selection activeCell="G101" sqref="G101"/>
      <selection pane="bottomLeft" activeCell="P128" sqref="P128"/>
    </sheetView>
  </sheetViews>
  <sheetFormatPr defaultColWidth="9.140625" defaultRowHeight="23.25" customHeight="1" x14ac:dyDescent="0.25"/>
  <cols>
    <col min="1" max="1" width="11.7109375" style="5" bestFit="1" customWidth="1"/>
    <col min="2" max="2" width="14.42578125" style="5" customWidth="1"/>
    <col min="3" max="3" width="38.7109375" style="6" bestFit="1" customWidth="1"/>
    <col min="4" max="4" width="16.7109375" style="5" bestFit="1" customWidth="1"/>
    <col min="5" max="5" width="16" style="5" bestFit="1" customWidth="1"/>
    <col min="6" max="7" width="12.85546875" style="5" bestFit="1" customWidth="1"/>
    <col min="8" max="8" width="11" style="4" bestFit="1" customWidth="1"/>
    <col min="9" max="15" width="11.140625" style="4" bestFit="1" customWidth="1"/>
    <col min="16" max="16" width="12.85546875" style="7" bestFit="1" customWidth="1"/>
    <col min="17" max="22" width="13.140625" style="7" bestFit="1" customWidth="1"/>
    <col min="23" max="23" width="17.7109375" style="5" bestFit="1" customWidth="1"/>
    <col min="24" max="24" width="24" style="5" bestFit="1" customWidth="1"/>
    <col min="25" max="25" width="16.28515625" style="8" bestFit="1" customWidth="1"/>
    <col min="26" max="26" width="19.28515625" style="8" bestFit="1" customWidth="1"/>
    <col min="27" max="16384" width="9.140625" style="8"/>
  </cols>
  <sheetData>
    <row r="1" spans="1:26" s="5" customFormat="1" ht="23.25" customHeight="1" thickBot="1" x14ac:dyDescent="0.3">
      <c r="A1" s="15" t="s">
        <v>394</v>
      </c>
      <c r="B1" s="15" t="s">
        <v>0</v>
      </c>
      <c r="C1" s="16" t="s">
        <v>1</v>
      </c>
      <c r="D1" s="15" t="s">
        <v>3</v>
      </c>
      <c r="E1" s="15" t="s">
        <v>2</v>
      </c>
      <c r="F1" s="15" t="s">
        <v>19</v>
      </c>
      <c r="G1" s="15" t="s">
        <v>343</v>
      </c>
      <c r="H1" s="3" t="s">
        <v>4</v>
      </c>
      <c r="I1" s="3" t="s">
        <v>5</v>
      </c>
      <c r="J1" s="3" t="s">
        <v>6</v>
      </c>
      <c r="K1" s="3" t="s">
        <v>7</v>
      </c>
      <c r="L1" s="3" t="s">
        <v>8</v>
      </c>
      <c r="M1" s="3" t="s">
        <v>9</v>
      </c>
      <c r="N1" s="3" t="s">
        <v>10</v>
      </c>
      <c r="O1" s="3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5" t="s">
        <v>336</v>
      </c>
      <c r="X1" s="5" t="s">
        <v>282</v>
      </c>
      <c r="Y1" s="5" t="s">
        <v>380</v>
      </c>
      <c r="Z1" s="5" t="s">
        <v>283</v>
      </c>
    </row>
    <row r="2" spans="1:26" ht="23.25" hidden="1" customHeight="1" thickTop="1" x14ac:dyDescent="0.25">
      <c r="A2" s="13">
        <f>SUBTOTAL(3,$B$2:B2)</f>
        <v>0</v>
      </c>
      <c r="B2" s="13" t="s">
        <v>179</v>
      </c>
      <c r="C2" s="14" t="s">
        <v>22</v>
      </c>
      <c r="D2" s="13" t="s">
        <v>23</v>
      </c>
      <c r="E2" s="13" t="s">
        <v>24</v>
      </c>
      <c r="F2" s="13" t="s">
        <v>21</v>
      </c>
      <c r="G2" s="13"/>
      <c r="H2" s="4">
        <v>43</v>
      </c>
      <c r="I2" s="4">
        <v>24</v>
      </c>
      <c r="J2" s="4">
        <v>19</v>
      </c>
      <c r="K2" s="4">
        <v>30</v>
      </c>
      <c r="L2" s="4">
        <v>29</v>
      </c>
      <c r="M2" s="4">
        <v>30</v>
      </c>
      <c r="N2" s="4">
        <v>72</v>
      </c>
      <c r="O2" s="4">
        <v>40</v>
      </c>
      <c r="P2" s="7">
        <v>94</v>
      </c>
      <c r="Q2" s="7">
        <v>110</v>
      </c>
      <c r="R2" s="7">
        <v>68</v>
      </c>
      <c r="S2" s="7">
        <v>34</v>
      </c>
      <c r="T2" s="7">
        <v>25</v>
      </c>
      <c r="U2" s="7">
        <v>20</v>
      </c>
      <c r="V2" s="7">
        <v>100</v>
      </c>
      <c r="W2" s="5">
        <v>1</v>
      </c>
      <c r="X2" s="35" t="s">
        <v>338</v>
      </c>
      <c r="Y2" s="8">
        <v>1</v>
      </c>
      <c r="Z2" s="37" t="s">
        <v>392</v>
      </c>
    </row>
    <row r="3" spans="1:26" ht="23.25" hidden="1" customHeight="1" x14ac:dyDescent="0.25">
      <c r="A3" s="13">
        <f>SUBTOTAL(3,$B$2:B3)</f>
        <v>0</v>
      </c>
      <c r="B3" s="5" t="s">
        <v>180</v>
      </c>
      <c r="C3" s="6" t="s">
        <v>289</v>
      </c>
      <c r="D3" s="5" t="s">
        <v>25</v>
      </c>
      <c r="E3" s="5" t="s">
        <v>24</v>
      </c>
      <c r="F3" s="5" t="s">
        <v>21</v>
      </c>
      <c r="H3" s="4">
        <v>41</v>
      </c>
      <c r="I3" s="4">
        <v>23</v>
      </c>
      <c r="J3" s="4">
        <v>17</v>
      </c>
      <c r="K3" s="4">
        <v>26</v>
      </c>
      <c r="L3" s="4">
        <v>24</v>
      </c>
      <c r="M3" s="4">
        <v>26</v>
      </c>
      <c r="N3" s="4">
        <v>67</v>
      </c>
      <c r="O3" s="4">
        <v>39</v>
      </c>
      <c r="P3" s="7">
        <v>77</v>
      </c>
      <c r="Q3" s="7">
        <v>97</v>
      </c>
      <c r="R3" s="7">
        <v>66</v>
      </c>
      <c r="S3" s="7">
        <v>32</v>
      </c>
      <c r="T3" s="7">
        <v>24</v>
      </c>
      <c r="U3" s="7">
        <v>18</v>
      </c>
      <c r="V3" s="7">
        <v>93</v>
      </c>
      <c r="W3" s="5">
        <v>1</v>
      </c>
      <c r="X3" s="35" t="s">
        <v>338</v>
      </c>
      <c r="Y3" s="8">
        <v>1</v>
      </c>
      <c r="Z3" s="37" t="s">
        <v>392</v>
      </c>
    </row>
    <row r="4" spans="1:26" ht="23.25" hidden="1" customHeight="1" x14ac:dyDescent="0.25">
      <c r="A4" s="13">
        <f>SUBTOTAL(3,$B$2:B4)</f>
        <v>0</v>
      </c>
      <c r="B4" s="5" t="s">
        <v>181</v>
      </c>
      <c r="C4" s="6" t="s">
        <v>26</v>
      </c>
      <c r="D4" s="5" t="s">
        <v>27</v>
      </c>
      <c r="E4" s="5" t="s">
        <v>24</v>
      </c>
      <c r="F4" s="5" t="s">
        <v>21</v>
      </c>
      <c r="H4" s="4">
        <v>42</v>
      </c>
      <c r="I4" s="4">
        <v>24</v>
      </c>
      <c r="J4" s="4">
        <v>17</v>
      </c>
      <c r="K4" s="4">
        <v>26</v>
      </c>
      <c r="L4" s="4">
        <v>24</v>
      </c>
      <c r="M4" s="4">
        <v>26</v>
      </c>
      <c r="N4" s="4">
        <v>70</v>
      </c>
      <c r="O4" s="4">
        <v>40</v>
      </c>
      <c r="P4" s="7">
        <v>74</v>
      </c>
      <c r="Q4" s="7">
        <v>96</v>
      </c>
      <c r="R4" s="7">
        <v>102</v>
      </c>
      <c r="S4" s="7">
        <v>31</v>
      </c>
      <c r="T4" s="7">
        <v>26</v>
      </c>
      <c r="U4" s="7">
        <v>19</v>
      </c>
      <c r="V4" s="7">
        <v>96</v>
      </c>
      <c r="W4" s="5">
        <v>1</v>
      </c>
      <c r="X4" s="35" t="s">
        <v>338</v>
      </c>
      <c r="Y4" s="8">
        <v>1</v>
      </c>
      <c r="Z4" s="37" t="s">
        <v>392</v>
      </c>
    </row>
    <row r="5" spans="1:26" ht="23.25" hidden="1" customHeight="1" x14ac:dyDescent="0.25">
      <c r="A5" s="13">
        <f>SUBTOTAL(3,$B$2:B5)</f>
        <v>0</v>
      </c>
      <c r="B5" s="5" t="s">
        <v>182</v>
      </c>
      <c r="C5" s="6" t="s">
        <v>312</v>
      </c>
      <c r="D5" s="5" t="s">
        <v>28</v>
      </c>
      <c r="E5" s="5" t="s">
        <v>24</v>
      </c>
      <c r="F5" s="5" t="s">
        <v>21</v>
      </c>
      <c r="H5" s="4">
        <v>44</v>
      </c>
      <c r="I5" s="4">
        <v>24</v>
      </c>
      <c r="J5" s="4">
        <v>17</v>
      </c>
      <c r="K5" s="4">
        <v>26</v>
      </c>
      <c r="L5" s="4">
        <v>24</v>
      </c>
      <c r="M5" s="4">
        <v>26</v>
      </c>
      <c r="N5" s="4">
        <v>70</v>
      </c>
      <c r="O5" s="4">
        <v>37</v>
      </c>
      <c r="P5" s="7">
        <v>76</v>
      </c>
      <c r="Q5" s="7">
        <v>93</v>
      </c>
      <c r="R5" s="7">
        <v>65</v>
      </c>
      <c r="S5" s="7">
        <v>32</v>
      </c>
      <c r="T5" s="7">
        <v>23</v>
      </c>
      <c r="U5" s="7">
        <v>18</v>
      </c>
      <c r="V5" s="7">
        <v>96</v>
      </c>
      <c r="W5" s="5">
        <v>1</v>
      </c>
      <c r="X5" s="35" t="s">
        <v>338</v>
      </c>
      <c r="Y5" s="8">
        <v>1</v>
      </c>
      <c r="Z5" s="37" t="s">
        <v>392</v>
      </c>
    </row>
    <row r="6" spans="1:26" ht="23.25" hidden="1" customHeight="1" x14ac:dyDescent="0.25">
      <c r="A6" s="13">
        <f>SUBTOTAL(3,$B$2:B6)</f>
        <v>0</v>
      </c>
      <c r="B6" s="5" t="s">
        <v>183</v>
      </c>
      <c r="C6" s="6" t="s">
        <v>284</v>
      </c>
      <c r="D6" s="5" t="s">
        <v>29</v>
      </c>
      <c r="E6" s="5" t="s">
        <v>24</v>
      </c>
      <c r="F6" s="5" t="s">
        <v>21</v>
      </c>
      <c r="H6" s="4">
        <v>42</v>
      </c>
      <c r="I6" s="4">
        <v>23</v>
      </c>
      <c r="J6" s="4">
        <v>18</v>
      </c>
      <c r="K6" s="4">
        <v>27</v>
      </c>
      <c r="L6" s="4">
        <v>26</v>
      </c>
      <c r="M6" s="4">
        <v>27</v>
      </c>
      <c r="N6" s="4">
        <v>72</v>
      </c>
      <c r="O6" s="4">
        <v>38</v>
      </c>
      <c r="P6" s="7">
        <v>74</v>
      </c>
      <c r="Q6" s="7">
        <v>96</v>
      </c>
      <c r="R6" s="7">
        <v>63</v>
      </c>
      <c r="S6" s="7">
        <v>32</v>
      </c>
      <c r="T6" s="7">
        <v>24</v>
      </c>
      <c r="U6" s="7">
        <v>19</v>
      </c>
      <c r="V6" s="7">
        <v>100</v>
      </c>
      <c r="W6" s="5">
        <v>1</v>
      </c>
      <c r="X6" s="35" t="s">
        <v>338</v>
      </c>
      <c r="Y6" s="8">
        <v>1</v>
      </c>
      <c r="Z6" s="37" t="s">
        <v>392</v>
      </c>
    </row>
    <row r="7" spans="1:26" ht="23.25" hidden="1" customHeight="1" x14ac:dyDescent="0.25">
      <c r="A7" s="13">
        <f>SUBTOTAL(3,$B$2:B7)</f>
        <v>0</v>
      </c>
      <c r="B7" s="5" t="s">
        <v>184</v>
      </c>
      <c r="C7" s="6" t="s">
        <v>331</v>
      </c>
      <c r="D7" s="5" t="s">
        <v>30</v>
      </c>
      <c r="E7" s="5" t="s">
        <v>24</v>
      </c>
      <c r="F7" s="5" t="s">
        <v>21</v>
      </c>
      <c r="H7" s="4">
        <v>43</v>
      </c>
      <c r="I7" s="4">
        <v>24</v>
      </c>
      <c r="J7" s="4">
        <v>17</v>
      </c>
      <c r="K7" s="4">
        <v>27</v>
      </c>
      <c r="L7" s="4">
        <v>25</v>
      </c>
      <c r="M7" s="4">
        <v>27</v>
      </c>
      <c r="N7" s="4">
        <v>70</v>
      </c>
      <c r="O7" s="4">
        <v>42</v>
      </c>
      <c r="P7" s="7">
        <v>83</v>
      </c>
      <c r="Q7" s="7">
        <v>100</v>
      </c>
      <c r="R7" s="7">
        <v>62</v>
      </c>
      <c r="S7" s="7">
        <v>32</v>
      </c>
      <c r="T7" s="7">
        <v>22</v>
      </c>
      <c r="U7" s="7">
        <v>18</v>
      </c>
      <c r="V7" s="7">
        <v>103</v>
      </c>
      <c r="W7" s="5">
        <v>1</v>
      </c>
      <c r="X7" s="35" t="s">
        <v>338</v>
      </c>
      <c r="Y7" s="8">
        <v>1</v>
      </c>
      <c r="Z7" s="37" t="s">
        <v>392</v>
      </c>
    </row>
    <row r="8" spans="1:26" ht="23.25" hidden="1" customHeight="1" x14ac:dyDescent="0.25">
      <c r="A8" s="13">
        <f>SUBTOTAL(3,$B$2:B8)</f>
        <v>0</v>
      </c>
      <c r="B8" s="5" t="s">
        <v>185</v>
      </c>
      <c r="C8" s="6" t="s">
        <v>31</v>
      </c>
      <c r="D8" s="5" t="s">
        <v>32</v>
      </c>
      <c r="E8" s="5" t="s">
        <v>24</v>
      </c>
      <c r="F8" s="5" t="s">
        <v>21</v>
      </c>
      <c r="H8" s="4">
        <v>47</v>
      </c>
      <c r="I8" s="4">
        <v>25</v>
      </c>
      <c r="J8" s="4">
        <v>18</v>
      </c>
      <c r="K8" s="4">
        <v>28</v>
      </c>
      <c r="L8" s="4">
        <v>26</v>
      </c>
      <c r="M8" s="4">
        <v>28</v>
      </c>
      <c r="N8" s="4">
        <v>73</v>
      </c>
      <c r="O8" s="4">
        <v>39</v>
      </c>
      <c r="P8" s="7">
        <v>87</v>
      </c>
      <c r="Q8" s="7">
        <v>110</v>
      </c>
      <c r="R8" s="7">
        <v>69</v>
      </c>
      <c r="S8" s="7">
        <v>35</v>
      </c>
      <c r="T8" s="7">
        <v>24</v>
      </c>
      <c r="U8" s="7">
        <v>19</v>
      </c>
      <c r="V8" s="7">
        <v>100</v>
      </c>
      <c r="W8" s="5">
        <v>1</v>
      </c>
      <c r="X8" s="35" t="s">
        <v>338</v>
      </c>
      <c r="Y8" s="8">
        <v>1</v>
      </c>
      <c r="Z8" s="37" t="s">
        <v>392</v>
      </c>
    </row>
    <row r="9" spans="1:26" ht="23.25" customHeight="1" thickTop="1" x14ac:dyDescent="0.25">
      <c r="A9" s="38">
        <f>SUBTOTAL(3,$B$2:B9)</f>
        <v>1</v>
      </c>
      <c r="B9" s="9" t="s">
        <v>186</v>
      </c>
      <c r="C9" s="10" t="s">
        <v>33</v>
      </c>
      <c r="D9" s="9" t="s">
        <v>34</v>
      </c>
      <c r="E9" s="9" t="s">
        <v>24</v>
      </c>
      <c r="F9" s="9" t="s">
        <v>21</v>
      </c>
      <c r="G9" s="9" t="s">
        <v>344</v>
      </c>
    </row>
    <row r="10" spans="1:26" ht="23.25" hidden="1" customHeight="1" x14ac:dyDescent="0.25">
      <c r="A10" s="13">
        <f>SUBTOTAL(3,$B$2:B10)</f>
        <v>1</v>
      </c>
      <c r="B10" s="5" t="s">
        <v>187</v>
      </c>
      <c r="C10" s="6" t="s">
        <v>35</v>
      </c>
      <c r="D10" s="5" t="s">
        <v>36</v>
      </c>
      <c r="E10" s="5" t="s">
        <v>24</v>
      </c>
      <c r="F10" s="5" t="s">
        <v>21</v>
      </c>
      <c r="H10" s="4">
        <v>42</v>
      </c>
      <c r="I10" s="4">
        <v>25</v>
      </c>
      <c r="J10" s="4">
        <v>18</v>
      </c>
      <c r="K10" s="4">
        <v>26</v>
      </c>
      <c r="L10" s="4">
        <v>25</v>
      </c>
      <c r="M10" s="4">
        <v>26</v>
      </c>
      <c r="N10" s="4">
        <v>71</v>
      </c>
      <c r="O10" s="4">
        <v>38</v>
      </c>
      <c r="P10" s="7">
        <v>74</v>
      </c>
      <c r="Q10" s="7">
        <v>100</v>
      </c>
      <c r="R10" s="7">
        <v>62</v>
      </c>
      <c r="S10" s="7">
        <v>32</v>
      </c>
      <c r="T10" s="7">
        <v>24</v>
      </c>
      <c r="U10" s="7">
        <v>20</v>
      </c>
      <c r="V10" s="7">
        <v>97</v>
      </c>
      <c r="W10" s="5">
        <v>1</v>
      </c>
      <c r="X10" s="35" t="s">
        <v>338</v>
      </c>
      <c r="Y10" s="8">
        <v>1</v>
      </c>
      <c r="Z10" s="37" t="s">
        <v>392</v>
      </c>
    </row>
    <row r="11" spans="1:26" ht="23.25" hidden="1" customHeight="1" x14ac:dyDescent="0.25">
      <c r="A11" s="13">
        <f>SUBTOTAL(3,$B$2:B11)</f>
        <v>1</v>
      </c>
      <c r="B11" s="5" t="s">
        <v>188</v>
      </c>
      <c r="C11" s="6" t="s">
        <v>288</v>
      </c>
      <c r="D11" s="5" t="s">
        <v>37</v>
      </c>
      <c r="E11" s="5" t="s">
        <v>24</v>
      </c>
      <c r="F11" s="5" t="s">
        <v>21</v>
      </c>
      <c r="H11" s="4">
        <v>43</v>
      </c>
      <c r="I11" s="4">
        <v>24</v>
      </c>
      <c r="J11" s="4">
        <v>16</v>
      </c>
      <c r="K11" s="4">
        <v>25</v>
      </c>
      <c r="L11" s="4">
        <v>24</v>
      </c>
      <c r="M11" s="4">
        <v>25</v>
      </c>
      <c r="N11" s="4">
        <v>68</v>
      </c>
      <c r="O11" s="4">
        <v>38</v>
      </c>
      <c r="P11" s="7">
        <v>73</v>
      </c>
      <c r="Q11" s="7">
        <v>100</v>
      </c>
      <c r="R11" s="7">
        <v>62</v>
      </c>
      <c r="S11" s="7">
        <v>29</v>
      </c>
      <c r="T11" s="7">
        <v>22</v>
      </c>
      <c r="U11" s="7">
        <v>17</v>
      </c>
      <c r="V11" s="7">
        <v>103</v>
      </c>
      <c r="W11" s="5">
        <v>1</v>
      </c>
      <c r="X11" s="35" t="s">
        <v>338</v>
      </c>
      <c r="Y11" s="8">
        <v>1</v>
      </c>
      <c r="Z11" s="37" t="s">
        <v>392</v>
      </c>
    </row>
    <row r="12" spans="1:26" ht="23.25" hidden="1" customHeight="1" x14ac:dyDescent="0.25">
      <c r="A12" s="13">
        <f>SUBTOTAL(3,$B$2:B12)</f>
        <v>1</v>
      </c>
      <c r="B12" s="5" t="s">
        <v>189</v>
      </c>
      <c r="C12" s="6" t="s">
        <v>38</v>
      </c>
      <c r="D12" s="5" t="s">
        <v>39</v>
      </c>
      <c r="E12" s="5" t="s">
        <v>24</v>
      </c>
      <c r="F12" s="5" t="s">
        <v>21</v>
      </c>
      <c r="H12" s="4">
        <v>46</v>
      </c>
      <c r="I12" s="4">
        <v>26</v>
      </c>
      <c r="J12" s="4">
        <v>18</v>
      </c>
      <c r="K12" s="4">
        <v>29</v>
      </c>
      <c r="L12" s="4">
        <v>27</v>
      </c>
      <c r="M12" s="4">
        <v>29</v>
      </c>
      <c r="N12" s="4">
        <v>74</v>
      </c>
      <c r="O12" s="4">
        <v>41</v>
      </c>
      <c r="P12" s="7">
        <v>91</v>
      </c>
      <c r="Q12" s="7">
        <v>113</v>
      </c>
      <c r="R12" s="7">
        <v>68</v>
      </c>
      <c r="S12" s="7">
        <v>36</v>
      </c>
      <c r="T12" s="7">
        <v>25</v>
      </c>
      <c r="U12" s="7">
        <v>20</v>
      </c>
      <c r="V12" s="7">
        <v>98</v>
      </c>
      <c r="W12" s="5">
        <v>1</v>
      </c>
      <c r="X12" s="35" t="s">
        <v>338</v>
      </c>
      <c r="Y12" s="8">
        <v>1</v>
      </c>
      <c r="Z12" s="37" t="s">
        <v>392</v>
      </c>
    </row>
    <row r="13" spans="1:26" ht="23.25" hidden="1" customHeight="1" x14ac:dyDescent="0.25">
      <c r="A13" s="13">
        <f>SUBTOTAL(3,$B$2:B13)</f>
        <v>1</v>
      </c>
      <c r="B13" s="5" t="s">
        <v>190</v>
      </c>
      <c r="C13" s="6" t="s">
        <v>40</v>
      </c>
      <c r="D13" s="5" t="s">
        <v>41</v>
      </c>
      <c r="E13" s="5" t="s">
        <v>24</v>
      </c>
      <c r="F13" s="5" t="s">
        <v>21</v>
      </c>
      <c r="H13" s="4">
        <v>41</v>
      </c>
      <c r="I13" s="4">
        <v>24</v>
      </c>
      <c r="J13" s="4">
        <v>16</v>
      </c>
      <c r="K13" s="4">
        <v>26</v>
      </c>
      <c r="L13" s="4">
        <v>24</v>
      </c>
      <c r="M13" s="4">
        <v>26</v>
      </c>
      <c r="N13" s="4">
        <v>65</v>
      </c>
      <c r="O13" s="4">
        <v>39</v>
      </c>
      <c r="P13" s="7">
        <v>76</v>
      </c>
      <c r="Q13" s="7">
        <v>92</v>
      </c>
      <c r="R13" s="7">
        <v>60</v>
      </c>
      <c r="S13" s="7">
        <v>29</v>
      </c>
      <c r="T13" s="7">
        <v>23</v>
      </c>
      <c r="U13" s="7">
        <v>18</v>
      </c>
      <c r="V13" s="7">
        <v>93</v>
      </c>
      <c r="W13" s="5">
        <v>1</v>
      </c>
      <c r="X13" s="35" t="s">
        <v>338</v>
      </c>
      <c r="Y13" s="8">
        <v>1</v>
      </c>
      <c r="Z13" s="37" t="s">
        <v>392</v>
      </c>
    </row>
    <row r="14" spans="1:26" ht="23.25" hidden="1" customHeight="1" x14ac:dyDescent="0.25">
      <c r="A14" s="13">
        <f>SUBTOTAL(3,$B$2:B14)</f>
        <v>1</v>
      </c>
      <c r="B14" s="5" t="s">
        <v>191</v>
      </c>
      <c r="C14" s="6" t="s">
        <v>42</v>
      </c>
      <c r="D14" s="5" t="s">
        <v>43</v>
      </c>
      <c r="E14" s="5" t="s">
        <v>24</v>
      </c>
      <c r="F14" s="5" t="s">
        <v>21</v>
      </c>
      <c r="H14" s="4">
        <v>44</v>
      </c>
      <c r="I14" s="4">
        <v>24</v>
      </c>
      <c r="J14" s="4">
        <v>19</v>
      </c>
      <c r="K14" s="4">
        <v>28</v>
      </c>
      <c r="L14" s="4">
        <v>27</v>
      </c>
      <c r="M14" s="4">
        <v>28</v>
      </c>
      <c r="N14" s="4">
        <v>77</v>
      </c>
      <c r="O14" s="4">
        <v>40</v>
      </c>
      <c r="P14" s="7">
        <v>77</v>
      </c>
      <c r="Q14" s="7">
        <v>103</v>
      </c>
      <c r="R14" s="7">
        <v>66</v>
      </c>
      <c r="S14" s="7">
        <v>33</v>
      </c>
      <c r="T14" s="7">
        <v>25</v>
      </c>
      <c r="U14" s="7">
        <v>20</v>
      </c>
      <c r="V14" s="7">
        <v>105</v>
      </c>
      <c r="W14" s="5">
        <v>1</v>
      </c>
      <c r="X14" s="35" t="s">
        <v>338</v>
      </c>
      <c r="Y14" s="8">
        <v>1</v>
      </c>
      <c r="Z14" s="37" t="s">
        <v>392</v>
      </c>
    </row>
    <row r="15" spans="1:26" ht="23.25" hidden="1" customHeight="1" x14ac:dyDescent="0.25">
      <c r="A15" s="13">
        <f>SUBTOTAL(3,$B$2:B15)</f>
        <v>1</v>
      </c>
      <c r="B15" s="5" t="s">
        <v>192</v>
      </c>
      <c r="C15" s="6" t="s">
        <v>44</v>
      </c>
      <c r="D15" s="5" t="s">
        <v>45</v>
      </c>
      <c r="E15" s="5" t="s">
        <v>24</v>
      </c>
      <c r="F15" s="5" t="s">
        <v>21</v>
      </c>
      <c r="H15" s="11">
        <v>51</v>
      </c>
      <c r="I15" s="11">
        <v>25</v>
      </c>
      <c r="J15" s="11">
        <v>20</v>
      </c>
      <c r="K15" s="11">
        <v>32</v>
      </c>
      <c r="L15" s="11">
        <v>31</v>
      </c>
      <c r="M15" s="11">
        <v>32</v>
      </c>
      <c r="N15" s="11">
        <v>77</v>
      </c>
      <c r="O15" s="11">
        <v>44</v>
      </c>
      <c r="P15" s="12">
        <v>102</v>
      </c>
      <c r="Q15" s="12">
        <v>121</v>
      </c>
      <c r="R15" s="12">
        <v>72</v>
      </c>
      <c r="S15" s="12">
        <v>37</v>
      </c>
      <c r="T15" s="12">
        <v>27</v>
      </c>
      <c r="U15" s="12">
        <v>21</v>
      </c>
      <c r="V15" s="12">
        <v>99</v>
      </c>
      <c r="W15" s="5">
        <v>2</v>
      </c>
      <c r="X15" s="35" t="s">
        <v>339</v>
      </c>
      <c r="Y15" s="8">
        <v>1</v>
      </c>
      <c r="Z15" s="37" t="s">
        <v>392</v>
      </c>
    </row>
    <row r="16" spans="1:26" ht="23.25" hidden="1" customHeight="1" x14ac:dyDescent="0.25">
      <c r="A16" s="13">
        <f>SUBTOTAL(3,$B$2:B16)</f>
        <v>1</v>
      </c>
      <c r="B16" s="5" t="s">
        <v>193</v>
      </c>
      <c r="C16" s="6" t="s">
        <v>46</v>
      </c>
      <c r="D16" s="5" t="s">
        <v>47</v>
      </c>
      <c r="E16" s="5" t="s">
        <v>24</v>
      </c>
      <c r="F16" s="5" t="s">
        <v>21</v>
      </c>
      <c r="H16" s="4">
        <v>42</v>
      </c>
      <c r="I16" s="4">
        <v>24</v>
      </c>
      <c r="J16" s="4">
        <v>17</v>
      </c>
      <c r="K16" s="4">
        <v>27</v>
      </c>
      <c r="L16" s="4">
        <v>25</v>
      </c>
      <c r="M16" s="4">
        <v>27</v>
      </c>
      <c r="N16" s="4">
        <v>70</v>
      </c>
      <c r="O16" s="4">
        <v>40</v>
      </c>
      <c r="P16" s="7">
        <v>90</v>
      </c>
      <c r="Q16" s="7">
        <v>105</v>
      </c>
      <c r="R16" s="7">
        <v>64</v>
      </c>
      <c r="S16" s="7">
        <v>32</v>
      </c>
      <c r="T16" s="7">
        <v>26</v>
      </c>
      <c r="U16" s="7">
        <v>18</v>
      </c>
      <c r="V16" s="7">
        <v>97</v>
      </c>
      <c r="W16" s="5">
        <v>1</v>
      </c>
      <c r="X16" s="35" t="s">
        <v>338</v>
      </c>
      <c r="Y16" s="8">
        <v>1</v>
      </c>
      <c r="Z16" s="37" t="s">
        <v>392</v>
      </c>
    </row>
    <row r="17" spans="1:26" ht="23.25" hidden="1" customHeight="1" x14ac:dyDescent="0.25">
      <c r="A17" s="13">
        <f>SUBTOTAL(3,$B$2:B17)</f>
        <v>1</v>
      </c>
      <c r="B17" s="5" t="s">
        <v>194</v>
      </c>
      <c r="C17" s="6" t="s">
        <v>48</v>
      </c>
      <c r="D17" s="5" t="s">
        <v>49</v>
      </c>
      <c r="E17" s="5" t="s">
        <v>24</v>
      </c>
      <c r="F17" s="5" t="s">
        <v>20</v>
      </c>
      <c r="H17" s="4">
        <v>40</v>
      </c>
      <c r="I17" s="4">
        <v>53</v>
      </c>
      <c r="J17" s="4">
        <v>16</v>
      </c>
      <c r="K17" s="4">
        <v>12</v>
      </c>
      <c r="L17" s="4">
        <v>25</v>
      </c>
      <c r="M17" s="4">
        <v>24</v>
      </c>
      <c r="N17" s="4">
        <v>25</v>
      </c>
      <c r="O17" s="4" t="s">
        <v>177</v>
      </c>
      <c r="P17" s="7">
        <v>79</v>
      </c>
      <c r="Q17" s="7">
        <v>100</v>
      </c>
      <c r="R17" s="7">
        <v>60</v>
      </c>
      <c r="S17" s="7">
        <v>32</v>
      </c>
      <c r="T17" s="7">
        <v>22</v>
      </c>
      <c r="U17" s="7">
        <v>18</v>
      </c>
      <c r="V17" s="7">
        <v>90</v>
      </c>
      <c r="W17" s="5">
        <v>1</v>
      </c>
      <c r="X17" s="35" t="s">
        <v>338</v>
      </c>
      <c r="Y17" s="8">
        <v>1</v>
      </c>
      <c r="Z17" s="37" t="s">
        <v>392</v>
      </c>
    </row>
    <row r="18" spans="1:26" ht="23.25" hidden="1" customHeight="1" x14ac:dyDescent="0.25">
      <c r="A18" s="13">
        <f>SUBTOTAL(3,$B$2:B18)</f>
        <v>1</v>
      </c>
      <c r="B18" s="5" t="s">
        <v>195</v>
      </c>
      <c r="C18" s="6" t="s">
        <v>311</v>
      </c>
      <c r="D18" s="5" t="s">
        <v>50</v>
      </c>
      <c r="E18" s="5" t="s">
        <v>24</v>
      </c>
      <c r="F18" s="5" t="s">
        <v>21</v>
      </c>
      <c r="H18" s="4">
        <v>48</v>
      </c>
      <c r="I18" s="4">
        <v>25</v>
      </c>
      <c r="J18" s="4">
        <v>19</v>
      </c>
      <c r="K18" s="4">
        <v>29</v>
      </c>
      <c r="L18" s="4">
        <v>28</v>
      </c>
      <c r="M18" s="4">
        <v>29</v>
      </c>
      <c r="N18" s="4">
        <v>83</v>
      </c>
      <c r="O18" s="4">
        <v>43</v>
      </c>
      <c r="P18" s="7">
        <v>96</v>
      </c>
      <c r="Q18" s="7">
        <v>115</v>
      </c>
      <c r="R18" s="7">
        <v>71</v>
      </c>
      <c r="S18" s="7">
        <v>37</v>
      </c>
      <c r="T18" s="7">
        <v>26</v>
      </c>
      <c r="U18" s="7">
        <v>20</v>
      </c>
      <c r="V18" s="7">
        <v>97</v>
      </c>
      <c r="W18" s="5">
        <v>1</v>
      </c>
      <c r="X18" s="35" t="s">
        <v>338</v>
      </c>
      <c r="Y18" s="8">
        <v>1</v>
      </c>
      <c r="Z18" s="37" t="s">
        <v>392</v>
      </c>
    </row>
    <row r="19" spans="1:26" ht="23.25" hidden="1" customHeight="1" x14ac:dyDescent="0.25">
      <c r="A19" s="13">
        <f>SUBTOTAL(3,$B$2:B19)</f>
        <v>1</v>
      </c>
      <c r="B19" s="5" t="s">
        <v>196</v>
      </c>
      <c r="C19" s="6" t="s">
        <v>310</v>
      </c>
      <c r="D19" s="5" t="s">
        <v>51</v>
      </c>
      <c r="E19" s="5" t="s">
        <v>24</v>
      </c>
      <c r="F19" s="5" t="s">
        <v>20</v>
      </c>
      <c r="H19" s="4">
        <v>40</v>
      </c>
      <c r="I19" s="4">
        <v>57</v>
      </c>
      <c r="J19" s="4">
        <v>15</v>
      </c>
      <c r="K19" s="4">
        <v>12</v>
      </c>
      <c r="L19" s="4">
        <v>25</v>
      </c>
      <c r="M19" s="4">
        <v>24</v>
      </c>
      <c r="N19" s="4">
        <v>25</v>
      </c>
      <c r="O19" s="4" t="s">
        <v>178</v>
      </c>
      <c r="P19" s="7">
        <v>68</v>
      </c>
      <c r="Q19" s="7">
        <v>90</v>
      </c>
      <c r="R19" s="7">
        <v>60</v>
      </c>
      <c r="S19" s="7">
        <v>28</v>
      </c>
      <c r="T19" s="7">
        <v>21</v>
      </c>
      <c r="U19" s="7">
        <v>17</v>
      </c>
      <c r="V19" s="7">
        <v>95</v>
      </c>
      <c r="W19" s="5">
        <v>1</v>
      </c>
      <c r="X19" s="35" t="s">
        <v>338</v>
      </c>
      <c r="Y19" s="8">
        <v>1</v>
      </c>
      <c r="Z19" s="37" t="s">
        <v>392</v>
      </c>
    </row>
    <row r="20" spans="1:26" ht="23.25" hidden="1" customHeight="1" x14ac:dyDescent="0.25">
      <c r="A20" s="13">
        <f>SUBTOTAL(3,$B$2:B20)</f>
        <v>1</v>
      </c>
      <c r="B20" s="5" t="s">
        <v>197</v>
      </c>
      <c r="C20" s="6" t="s">
        <v>52</v>
      </c>
      <c r="D20" s="5" t="s">
        <v>53</v>
      </c>
      <c r="E20" s="5" t="s">
        <v>24</v>
      </c>
      <c r="F20" s="5" t="s">
        <v>21</v>
      </c>
      <c r="H20" s="4">
        <v>46</v>
      </c>
      <c r="I20" s="4">
        <v>25</v>
      </c>
      <c r="J20" s="4">
        <v>18</v>
      </c>
      <c r="K20" s="4">
        <v>29</v>
      </c>
      <c r="L20" s="4">
        <v>27</v>
      </c>
      <c r="M20" s="4">
        <v>29</v>
      </c>
      <c r="N20" s="4">
        <v>73</v>
      </c>
      <c r="O20" s="4">
        <v>41</v>
      </c>
      <c r="P20" s="7">
        <v>90</v>
      </c>
      <c r="Q20" s="7">
        <v>106</v>
      </c>
      <c r="R20" s="7">
        <v>66</v>
      </c>
      <c r="S20" s="7">
        <v>34</v>
      </c>
      <c r="T20" s="7">
        <v>24</v>
      </c>
      <c r="U20" s="7">
        <v>19</v>
      </c>
      <c r="V20" s="7">
        <v>96</v>
      </c>
      <c r="W20" s="5">
        <v>1</v>
      </c>
      <c r="X20" s="35" t="s">
        <v>338</v>
      </c>
      <c r="Y20" s="8">
        <v>1</v>
      </c>
      <c r="Z20" s="37" t="s">
        <v>392</v>
      </c>
    </row>
    <row r="21" spans="1:26" ht="23.25" hidden="1" customHeight="1" x14ac:dyDescent="0.25">
      <c r="A21" s="38">
        <f>SUBTOTAL(3,$B$2:B21)</f>
        <v>1</v>
      </c>
      <c r="B21" s="49" t="s">
        <v>198</v>
      </c>
      <c r="C21" s="50" t="s">
        <v>309</v>
      </c>
      <c r="D21" s="49" t="s">
        <v>54</v>
      </c>
      <c r="E21" s="49" t="s">
        <v>24</v>
      </c>
      <c r="F21" s="49" t="s">
        <v>21</v>
      </c>
      <c r="G21" s="49"/>
      <c r="H21" s="4">
        <v>47</v>
      </c>
      <c r="I21" s="4">
        <v>27</v>
      </c>
      <c r="J21" s="4">
        <v>18</v>
      </c>
      <c r="K21" s="4">
        <v>30</v>
      </c>
      <c r="L21" s="4">
        <v>28</v>
      </c>
      <c r="M21" s="4">
        <v>30</v>
      </c>
      <c r="N21" s="4">
        <v>74</v>
      </c>
      <c r="O21" s="4">
        <v>42</v>
      </c>
      <c r="P21" s="7">
        <v>89</v>
      </c>
      <c r="Q21" s="7">
        <v>116</v>
      </c>
      <c r="R21" s="7">
        <v>74</v>
      </c>
      <c r="S21" s="7">
        <v>35</v>
      </c>
      <c r="T21" s="7">
        <v>27</v>
      </c>
      <c r="U21" s="7">
        <v>22</v>
      </c>
      <c r="V21" s="7">
        <v>101</v>
      </c>
      <c r="W21" s="4">
        <v>4</v>
      </c>
      <c r="X21" s="51" t="s">
        <v>397</v>
      </c>
    </row>
    <row r="22" spans="1:26" ht="23.25" customHeight="1" x14ac:dyDescent="0.25">
      <c r="A22" s="38">
        <f>SUBTOTAL(3,$B$2:B22)</f>
        <v>2</v>
      </c>
      <c r="B22" s="9" t="s">
        <v>199</v>
      </c>
      <c r="C22" s="10" t="s">
        <v>303</v>
      </c>
      <c r="D22" s="9" t="s">
        <v>55</v>
      </c>
      <c r="E22" s="9" t="s">
        <v>24</v>
      </c>
      <c r="F22" s="9" t="s">
        <v>21</v>
      </c>
      <c r="G22" s="9" t="s">
        <v>344</v>
      </c>
    </row>
    <row r="23" spans="1:26" ht="23.25" hidden="1" customHeight="1" x14ac:dyDescent="0.25">
      <c r="A23" s="13">
        <f>SUBTOTAL(3,$B$2:B23)</f>
        <v>2</v>
      </c>
      <c r="B23" s="5" t="s">
        <v>200</v>
      </c>
      <c r="C23" s="6" t="s">
        <v>56</v>
      </c>
      <c r="D23" s="5" t="s">
        <v>57</v>
      </c>
      <c r="E23" s="5" t="s">
        <v>24</v>
      </c>
      <c r="F23" s="5" t="s">
        <v>21</v>
      </c>
      <c r="H23" s="4">
        <v>45</v>
      </c>
      <c r="I23" s="4">
        <v>25</v>
      </c>
      <c r="J23" s="4">
        <v>17</v>
      </c>
      <c r="K23" s="4">
        <v>27</v>
      </c>
      <c r="L23" s="4">
        <v>25</v>
      </c>
      <c r="M23" s="4">
        <v>27</v>
      </c>
      <c r="N23" s="4">
        <v>72</v>
      </c>
      <c r="O23" s="4">
        <v>40</v>
      </c>
      <c r="P23" s="7">
        <v>73</v>
      </c>
      <c r="Q23" s="7">
        <v>105</v>
      </c>
      <c r="R23" s="7">
        <v>62</v>
      </c>
      <c r="S23" s="7">
        <v>31</v>
      </c>
      <c r="T23" s="7">
        <v>25</v>
      </c>
      <c r="U23" s="7">
        <v>18</v>
      </c>
      <c r="V23" s="7">
        <v>103</v>
      </c>
      <c r="W23" s="5">
        <v>1</v>
      </c>
      <c r="X23" s="35" t="s">
        <v>338</v>
      </c>
      <c r="Y23" s="8">
        <v>1</v>
      </c>
      <c r="Z23" s="37" t="s">
        <v>392</v>
      </c>
    </row>
    <row r="24" spans="1:26" ht="23.25" hidden="1" customHeight="1" x14ac:dyDescent="0.25">
      <c r="A24" s="13">
        <f>SUBTOTAL(3,$B$2:B24)</f>
        <v>2</v>
      </c>
      <c r="B24" s="5" t="s">
        <v>201</v>
      </c>
      <c r="C24" s="6" t="s">
        <v>325</v>
      </c>
      <c r="D24" s="5" t="s">
        <v>58</v>
      </c>
      <c r="E24" s="5" t="s">
        <v>24</v>
      </c>
      <c r="F24" s="5" t="s">
        <v>21</v>
      </c>
      <c r="H24" s="4">
        <v>43</v>
      </c>
      <c r="I24" s="4">
        <v>25</v>
      </c>
      <c r="J24" s="4">
        <v>16</v>
      </c>
      <c r="K24" s="4">
        <v>26</v>
      </c>
      <c r="L24" s="4">
        <v>23</v>
      </c>
      <c r="M24" s="4">
        <v>26</v>
      </c>
      <c r="N24" s="4">
        <v>69</v>
      </c>
      <c r="O24" s="4">
        <v>38</v>
      </c>
      <c r="P24" s="7">
        <v>70</v>
      </c>
      <c r="Q24" s="7">
        <v>93</v>
      </c>
      <c r="R24" s="7">
        <v>65</v>
      </c>
      <c r="S24" s="7">
        <v>30</v>
      </c>
      <c r="T24" s="7">
        <v>24</v>
      </c>
      <c r="U24" s="7">
        <v>18</v>
      </c>
      <c r="V24" s="7">
        <v>98</v>
      </c>
      <c r="W24" s="5">
        <v>1</v>
      </c>
      <c r="X24" s="35" t="s">
        <v>338</v>
      </c>
      <c r="Y24" s="8">
        <v>1</v>
      </c>
      <c r="Z24" s="37" t="s">
        <v>392</v>
      </c>
    </row>
    <row r="25" spans="1:26" ht="23.25" hidden="1" customHeight="1" x14ac:dyDescent="0.25">
      <c r="A25" s="38">
        <f>SUBTOTAL(3,$B$2:B25)</f>
        <v>2</v>
      </c>
      <c r="B25" s="49" t="s">
        <v>202</v>
      </c>
      <c r="C25" s="50" t="s">
        <v>59</v>
      </c>
      <c r="D25" s="49" t="s">
        <v>60</v>
      </c>
      <c r="E25" s="49" t="s">
        <v>24</v>
      </c>
      <c r="F25" s="49" t="s">
        <v>21</v>
      </c>
      <c r="G25" s="49"/>
      <c r="H25" s="4">
        <v>47</v>
      </c>
      <c r="I25" s="4">
        <v>25</v>
      </c>
      <c r="J25" s="4">
        <v>17</v>
      </c>
      <c r="K25" s="4">
        <v>28</v>
      </c>
      <c r="L25" s="4">
        <v>25</v>
      </c>
      <c r="M25" s="4">
        <v>28</v>
      </c>
      <c r="N25" s="4">
        <v>75</v>
      </c>
      <c r="O25" s="4">
        <v>40</v>
      </c>
      <c r="P25" s="7">
        <v>79</v>
      </c>
      <c r="Q25" s="7">
        <v>106</v>
      </c>
      <c r="R25" s="7">
        <v>70</v>
      </c>
      <c r="S25" s="7">
        <v>33</v>
      </c>
      <c r="T25" s="7">
        <v>26</v>
      </c>
      <c r="U25" s="7">
        <v>21</v>
      </c>
      <c r="V25" s="7">
        <v>104</v>
      </c>
      <c r="W25" s="5">
        <v>4</v>
      </c>
      <c r="X25" s="35" t="s">
        <v>397</v>
      </c>
    </row>
    <row r="26" spans="1:26" ht="23.25" hidden="1" customHeight="1" x14ac:dyDescent="0.25">
      <c r="A26" s="13">
        <f>SUBTOTAL(3,$B$2:B26)</f>
        <v>2</v>
      </c>
      <c r="B26" s="5" t="s">
        <v>203</v>
      </c>
      <c r="C26" s="6" t="s">
        <v>324</v>
      </c>
      <c r="D26" s="5" t="s">
        <v>61</v>
      </c>
      <c r="E26" s="5" t="s">
        <v>24</v>
      </c>
      <c r="F26" s="5" t="s">
        <v>21</v>
      </c>
      <c r="H26" s="4">
        <v>44</v>
      </c>
      <c r="I26" s="4">
        <v>25</v>
      </c>
      <c r="J26" s="4">
        <v>19</v>
      </c>
      <c r="K26" s="4">
        <v>28</v>
      </c>
      <c r="L26" s="4">
        <v>27</v>
      </c>
      <c r="M26" s="4">
        <v>28</v>
      </c>
      <c r="N26" s="4">
        <v>77</v>
      </c>
      <c r="O26" s="4">
        <v>40</v>
      </c>
      <c r="P26" s="7">
        <v>80</v>
      </c>
      <c r="Q26" s="7">
        <v>104</v>
      </c>
      <c r="R26" s="7">
        <v>64</v>
      </c>
      <c r="S26" s="7">
        <v>33</v>
      </c>
      <c r="T26" s="7">
        <v>24</v>
      </c>
      <c r="U26" s="7">
        <v>19</v>
      </c>
      <c r="V26" s="7">
        <v>100</v>
      </c>
      <c r="W26" s="5">
        <v>1</v>
      </c>
      <c r="X26" s="35" t="s">
        <v>338</v>
      </c>
      <c r="Y26" s="8">
        <v>1</v>
      </c>
      <c r="Z26" s="37" t="s">
        <v>392</v>
      </c>
    </row>
    <row r="27" spans="1:26" ht="23.25" hidden="1" customHeight="1" x14ac:dyDescent="0.25">
      <c r="A27" s="13">
        <f>SUBTOTAL(3,$B$2:B27)</f>
        <v>2</v>
      </c>
      <c r="B27" s="5" t="s">
        <v>204</v>
      </c>
      <c r="C27" s="6" t="s">
        <v>292</v>
      </c>
      <c r="D27" s="5" t="s">
        <v>62</v>
      </c>
      <c r="E27" s="5" t="s">
        <v>24</v>
      </c>
      <c r="F27" s="5" t="s">
        <v>21</v>
      </c>
      <c r="H27" s="4">
        <v>45</v>
      </c>
      <c r="I27" s="4">
        <v>24</v>
      </c>
      <c r="J27" s="4">
        <v>17</v>
      </c>
      <c r="K27" s="4">
        <v>27</v>
      </c>
      <c r="L27" s="4">
        <v>25</v>
      </c>
      <c r="M27" s="4">
        <v>27</v>
      </c>
      <c r="N27" s="4">
        <v>70</v>
      </c>
      <c r="O27" s="4">
        <v>40</v>
      </c>
      <c r="P27" s="7">
        <v>76</v>
      </c>
      <c r="Q27" s="7">
        <v>101</v>
      </c>
      <c r="R27" s="7">
        <v>66</v>
      </c>
      <c r="S27" s="7">
        <v>32</v>
      </c>
      <c r="T27" s="7">
        <v>24</v>
      </c>
      <c r="U27" s="7">
        <v>19</v>
      </c>
      <c r="V27" s="7">
        <v>99</v>
      </c>
      <c r="W27" s="5">
        <v>1</v>
      </c>
      <c r="X27" s="35" t="s">
        <v>338</v>
      </c>
      <c r="Y27" s="8">
        <v>1</v>
      </c>
      <c r="Z27" s="37" t="s">
        <v>392</v>
      </c>
    </row>
    <row r="28" spans="1:26" ht="23.25" hidden="1" customHeight="1" x14ac:dyDescent="0.25">
      <c r="A28" s="13">
        <f>SUBTOTAL(3,$B$2:B28)</f>
        <v>2</v>
      </c>
      <c r="B28" s="5" t="s">
        <v>205</v>
      </c>
      <c r="C28" s="6" t="s">
        <v>63</v>
      </c>
      <c r="D28" s="5" t="s">
        <v>64</v>
      </c>
      <c r="E28" s="5" t="s">
        <v>24</v>
      </c>
      <c r="F28" s="5" t="s">
        <v>21</v>
      </c>
      <c r="H28" s="4">
        <v>44</v>
      </c>
      <c r="I28" s="4">
        <v>24</v>
      </c>
      <c r="J28" s="4">
        <v>21</v>
      </c>
      <c r="K28" s="4">
        <v>32</v>
      </c>
      <c r="L28" s="4">
        <v>31</v>
      </c>
      <c r="M28" s="4">
        <v>32</v>
      </c>
      <c r="N28" s="4">
        <v>76</v>
      </c>
      <c r="O28" s="4">
        <v>43</v>
      </c>
      <c r="P28" s="7">
        <v>91</v>
      </c>
      <c r="Q28" s="7">
        <v>113</v>
      </c>
      <c r="R28" s="7">
        <v>74</v>
      </c>
      <c r="S28" s="7">
        <v>37</v>
      </c>
      <c r="T28" s="7">
        <v>27</v>
      </c>
      <c r="U28" s="7">
        <v>22</v>
      </c>
      <c r="V28" s="7">
        <v>102</v>
      </c>
      <c r="W28" s="5">
        <v>1</v>
      </c>
      <c r="X28" s="35" t="s">
        <v>338</v>
      </c>
      <c r="Y28" s="8">
        <v>1</v>
      </c>
      <c r="Z28" s="37" t="s">
        <v>392</v>
      </c>
    </row>
    <row r="29" spans="1:26" ht="23.25" hidden="1" customHeight="1" x14ac:dyDescent="0.25">
      <c r="A29" s="13">
        <f>SUBTOTAL(3,$B$2:B29)</f>
        <v>2</v>
      </c>
      <c r="B29" s="5" t="s">
        <v>206</v>
      </c>
      <c r="C29" s="6" t="s">
        <v>65</v>
      </c>
      <c r="D29" s="5" t="s">
        <v>66</v>
      </c>
      <c r="E29" s="5" t="s">
        <v>24</v>
      </c>
      <c r="F29" s="5" t="s">
        <v>21</v>
      </c>
      <c r="H29" s="4">
        <v>44</v>
      </c>
      <c r="I29" s="4">
        <v>24</v>
      </c>
      <c r="J29" s="4">
        <v>17</v>
      </c>
      <c r="K29" s="4">
        <v>28</v>
      </c>
      <c r="L29" s="4">
        <v>26</v>
      </c>
      <c r="M29" s="4">
        <v>28</v>
      </c>
      <c r="N29" s="4">
        <v>70</v>
      </c>
      <c r="O29" s="4">
        <v>40</v>
      </c>
      <c r="P29" s="7">
        <v>84</v>
      </c>
      <c r="Q29" s="7">
        <v>105</v>
      </c>
      <c r="R29" s="7">
        <v>66</v>
      </c>
      <c r="S29" s="7">
        <v>31</v>
      </c>
      <c r="T29" s="7">
        <v>26</v>
      </c>
      <c r="U29" s="7">
        <v>18</v>
      </c>
      <c r="V29" s="7">
        <v>96</v>
      </c>
      <c r="W29" s="5">
        <v>1</v>
      </c>
      <c r="X29" s="35" t="s">
        <v>338</v>
      </c>
      <c r="Y29" s="8">
        <v>1</v>
      </c>
      <c r="Z29" s="37" t="s">
        <v>392</v>
      </c>
    </row>
    <row r="30" spans="1:26" ht="23.25" customHeight="1" x14ac:dyDescent="0.25">
      <c r="A30" s="38">
        <f>SUBTOTAL(3,$B$2:B30)</f>
        <v>3</v>
      </c>
      <c r="B30" s="9" t="s">
        <v>207</v>
      </c>
      <c r="C30" s="10" t="s">
        <v>67</v>
      </c>
      <c r="D30" s="9" t="s">
        <v>68</v>
      </c>
      <c r="E30" s="9" t="s">
        <v>24</v>
      </c>
      <c r="F30" s="9" t="s">
        <v>21</v>
      </c>
      <c r="G30" s="9" t="s">
        <v>344</v>
      </c>
    </row>
    <row r="31" spans="1:26" ht="23.25" hidden="1" customHeight="1" x14ac:dyDescent="0.25">
      <c r="A31" s="13">
        <f>SUBTOTAL(3,$B$2:B31)</f>
        <v>3</v>
      </c>
      <c r="B31" s="5" t="s">
        <v>208</v>
      </c>
      <c r="C31" s="6" t="s">
        <v>69</v>
      </c>
      <c r="D31" s="5" t="s">
        <v>70</v>
      </c>
      <c r="E31" s="5" t="s">
        <v>24</v>
      </c>
      <c r="F31" s="5" t="s">
        <v>21</v>
      </c>
      <c r="H31" s="4">
        <v>43</v>
      </c>
      <c r="I31" s="4">
        <v>24</v>
      </c>
      <c r="J31" s="4">
        <v>16</v>
      </c>
      <c r="K31" s="4">
        <v>26</v>
      </c>
      <c r="L31" s="4">
        <v>24</v>
      </c>
      <c r="M31" s="4">
        <v>26</v>
      </c>
      <c r="N31" s="4">
        <v>71</v>
      </c>
      <c r="O31" s="4">
        <v>37</v>
      </c>
      <c r="P31" s="7">
        <v>70</v>
      </c>
      <c r="Q31" s="7">
        <v>89</v>
      </c>
      <c r="R31" s="7">
        <v>66</v>
      </c>
      <c r="S31" s="7">
        <v>29</v>
      </c>
      <c r="T31" s="7">
        <v>22</v>
      </c>
      <c r="U31" s="7">
        <v>18</v>
      </c>
      <c r="V31" s="7">
        <v>98</v>
      </c>
      <c r="W31" s="5">
        <v>2</v>
      </c>
      <c r="X31" s="35" t="s">
        <v>339</v>
      </c>
      <c r="Y31" s="8">
        <v>1</v>
      </c>
      <c r="Z31" s="37" t="s">
        <v>392</v>
      </c>
    </row>
    <row r="32" spans="1:26" ht="23.25" hidden="1" customHeight="1" x14ac:dyDescent="0.25">
      <c r="A32" s="38">
        <f>SUBTOTAL(3,$B$2:B32)</f>
        <v>3</v>
      </c>
      <c r="B32" s="49" t="s">
        <v>376</v>
      </c>
      <c r="C32" s="50" t="s">
        <v>372</v>
      </c>
      <c r="D32" s="49" t="s">
        <v>373</v>
      </c>
      <c r="E32" s="49" t="s">
        <v>24</v>
      </c>
      <c r="F32" s="49" t="s">
        <v>21</v>
      </c>
      <c r="G32" s="49"/>
      <c r="H32" s="4">
        <v>46</v>
      </c>
      <c r="I32" s="4">
        <v>24</v>
      </c>
      <c r="J32" s="4">
        <v>18</v>
      </c>
      <c r="K32" s="4">
        <v>28</v>
      </c>
      <c r="L32" s="4">
        <v>27</v>
      </c>
      <c r="M32" s="4">
        <v>28</v>
      </c>
      <c r="N32" s="4">
        <v>70</v>
      </c>
      <c r="O32" s="4">
        <v>40</v>
      </c>
      <c r="P32" s="7">
        <v>90</v>
      </c>
      <c r="Q32" s="7">
        <v>109</v>
      </c>
      <c r="R32" s="7">
        <v>68</v>
      </c>
      <c r="S32" s="7">
        <v>33</v>
      </c>
      <c r="T32" s="7">
        <v>24</v>
      </c>
      <c r="U32" s="7">
        <v>19</v>
      </c>
      <c r="V32" s="7">
        <v>94</v>
      </c>
      <c r="W32" s="5">
        <v>4</v>
      </c>
      <c r="X32" s="35" t="s">
        <v>397</v>
      </c>
    </row>
    <row r="33" spans="1:26" ht="23.25" hidden="1" customHeight="1" x14ac:dyDescent="0.25">
      <c r="A33" s="38">
        <f>SUBTOTAL(3,$B$2:B33)</f>
        <v>3</v>
      </c>
      <c r="B33" s="49" t="s">
        <v>377</v>
      </c>
      <c r="C33" s="50" t="s">
        <v>370</v>
      </c>
      <c r="D33" s="49" t="s">
        <v>374</v>
      </c>
      <c r="E33" s="49" t="s">
        <v>24</v>
      </c>
      <c r="F33" s="49" t="s">
        <v>21</v>
      </c>
      <c r="G33" s="49"/>
      <c r="H33" s="4">
        <v>44</v>
      </c>
      <c r="I33" s="4">
        <v>25</v>
      </c>
      <c r="J33" s="4">
        <v>16</v>
      </c>
      <c r="K33" s="4">
        <v>27</v>
      </c>
      <c r="L33" s="4">
        <v>26</v>
      </c>
      <c r="M33" s="4">
        <v>27</v>
      </c>
      <c r="N33" s="4">
        <v>72</v>
      </c>
      <c r="O33" s="4">
        <v>40</v>
      </c>
      <c r="P33" s="7">
        <v>85</v>
      </c>
      <c r="Q33" s="7">
        <v>107</v>
      </c>
      <c r="R33" s="7">
        <v>66</v>
      </c>
      <c r="S33" s="7">
        <v>32</v>
      </c>
      <c r="T33" s="7">
        <v>24</v>
      </c>
      <c r="U33" s="7">
        <v>19</v>
      </c>
      <c r="V33" s="7">
        <v>98</v>
      </c>
      <c r="W33" s="4">
        <v>4</v>
      </c>
      <c r="X33" s="51" t="s">
        <v>397</v>
      </c>
    </row>
    <row r="34" spans="1:26" ht="23.25" hidden="1" customHeight="1" x14ac:dyDescent="0.25">
      <c r="A34" s="38">
        <f>SUBTOTAL(3,$B$2:B34)</f>
        <v>3</v>
      </c>
      <c r="B34" s="49" t="s">
        <v>378</v>
      </c>
      <c r="C34" s="50" t="s">
        <v>371</v>
      </c>
      <c r="D34" s="49" t="s">
        <v>375</v>
      </c>
      <c r="E34" s="49" t="s">
        <v>24</v>
      </c>
      <c r="F34" s="49" t="s">
        <v>21</v>
      </c>
      <c r="G34" s="49"/>
      <c r="H34" s="4">
        <v>38</v>
      </c>
      <c r="I34" s="4">
        <v>25</v>
      </c>
      <c r="J34" s="4">
        <v>16</v>
      </c>
      <c r="K34" s="4">
        <v>25</v>
      </c>
      <c r="L34" s="4">
        <v>23</v>
      </c>
      <c r="M34" s="4">
        <v>25</v>
      </c>
      <c r="N34" s="4">
        <v>71</v>
      </c>
      <c r="O34" s="4">
        <v>35</v>
      </c>
      <c r="P34" s="7">
        <v>75</v>
      </c>
      <c r="Q34" s="7">
        <v>91</v>
      </c>
      <c r="R34" s="7">
        <v>63</v>
      </c>
      <c r="S34" s="7">
        <v>29</v>
      </c>
      <c r="T34" s="7">
        <v>23</v>
      </c>
      <c r="U34" s="7">
        <v>18</v>
      </c>
      <c r="V34" s="7">
        <v>96</v>
      </c>
      <c r="W34" s="5">
        <v>4</v>
      </c>
      <c r="X34" s="51" t="s">
        <v>397</v>
      </c>
    </row>
    <row r="35" spans="1:26" ht="23.25" hidden="1" customHeight="1" x14ac:dyDescent="0.25">
      <c r="A35" s="13">
        <f>SUBTOTAL(3,$B$35:B35)</f>
        <v>0</v>
      </c>
      <c r="B35" s="5" t="s">
        <v>209</v>
      </c>
      <c r="C35" s="6" t="s">
        <v>71</v>
      </c>
      <c r="D35" s="5" t="s">
        <v>72</v>
      </c>
      <c r="E35" s="5" t="s">
        <v>73</v>
      </c>
      <c r="F35" s="5" t="s">
        <v>21</v>
      </c>
      <c r="H35" s="4">
        <v>45</v>
      </c>
      <c r="I35" s="4">
        <v>25</v>
      </c>
      <c r="J35" s="4">
        <v>18</v>
      </c>
      <c r="K35" s="4">
        <v>28</v>
      </c>
      <c r="L35" s="4">
        <v>26</v>
      </c>
      <c r="M35" s="4">
        <v>28</v>
      </c>
      <c r="N35" s="4">
        <v>71</v>
      </c>
      <c r="O35" s="4">
        <v>39</v>
      </c>
      <c r="P35" s="7">
        <v>81</v>
      </c>
      <c r="Q35" s="7">
        <v>102</v>
      </c>
      <c r="R35" s="7">
        <v>66</v>
      </c>
      <c r="S35" s="7">
        <v>33</v>
      </c>
      <c r="T35" s="7">
        <v>24</v>
      </c>
      <c r="U35" s="7">
        <v>19</v>
      </c>
      <c r="V35" s="7">
        <v>100</v>
      </c>
      <c r="W35" s="5">
        <v>1</v>
      </c>
      <c r="X35" s="35" t="s">
        <v>338</v>
      </c>
      <c r="Y35" s="8">
        <v>1</v>
      </c>
      <c r="Z35" s="37" t="s">
        <v>392</v>
      </c>
    </row>
    <row r="36" spans="1:26" ht="23.25" hidden="1" customHeight="1" x14ac:dyDescent="0.25">
      <c r="A36" s="13">
        <f>SUBTOTAL(3,$B$35:B36)</f>
        <v>0</v>
      </c>
      <c r="B36" s="5" t="s">
        <v>210</v>
      </c>
      <c r="C36" s="6" t="s">
        <v>74</v>
      </c>
      <c r="D36" s="5" t="s">
        <v>75</v>
      </c>
      <c r="E36" s="5" t="s">
        <v>73</v>
      </c>
      <c r="F36" s="5" t="s">
        <v>21</v>
      </c>
      <c r="H36" s="4">
        <v>45</v>
      </c>
      <c r="I36" s="4">
        <v>25</v>
      </c>
      <c r="J36" s="4">
        <v>17</v>
      </c>
      <c r="K36" s="4">
        <v>27</v>
      </c>
      <c r="L36" s="4">
        <v>25</v>
      </c>
      <c r="M36" s="4">
        <v>27</v>
      </c>
      <c r="N36" s="4">
        <v>69</v>
      </c>
      <c r="O36" s="4">
        <v>40</v>
      </c>
      <c r="P36" s="7">
        <v>83</v>
      </c>
      <c r="Q36" s="7">
        <v>102</v>
      </c>
      <c r="R36" s="7">
        <v>66</v>
      </c>
      <c r="S36" s="7">
        <v>33</v>
      </c>
      <c r="T36" s="7">
        <v>24</v>
      </c>
      <c r="U36" s="7">
        <v>19</v>
      </c>
      <c r="V36" s="7">
        <v>97</v>
      </c>
      <c r="W36" s="5">
        <v>1</v>
      </c>
      <c r="X36" s="35" t="s">
        <v>338</v>
      </c>
      <c r="Y36" s="8">
        <v>1</v>
      </c>
      <c r="Z36" s="37" t="s">
        <v>392</v>
      </c>
    </row>
    <row r="37" spans="1:26" ht="23.25" hidden="1" customHeight="1" x14ac:dyDescent="0.25">
      <c r="A37" s="13">
        <f>SUBTOTAL(3,$B$35:B37)</f>
        <v>0</v>
      </c>
      <c r="B37" s="5" t="s">
        <v>211</v>
      </c>
      <c r="C37" s="6" t="s">
        <v>308</v>
      </c>
      <c r="D37" s="5" t="s">
        <v>76</v>
      </c>
      <c r="E37" s="5" t="s">
        <v>73</v>
      </c>
      <c r="F37" s="5" t="s">
        <v>21</v>
      </c>
      <c r="H37" s="4">
        <v>43</v>
      </c>
      <c r="I37" s="4">
        <v>25</v>
      </c>
      <c r="J37" s="4">
        <v>17</v>
      </c>
      <c r="K37" s="4">
        <v>27</v>
      </c>
      <c r="L37" s="4">
        <v>25</v>
      </c>
      <c r="M37" s="4">
        <v>27</v>
      </c>
      <c r="N37" s="4">
        <v>68</v>
      </c>
      <c r="O37" s="4">
        <v>40</v>
      </c>
      <c r="P37" s="7">
        <v>81</v>
      </c>
      <c r="Q37" s="7">
        <v>101</v>
      </c>
      <c r="R37" s="7">
        <v>63</v>
      </c>
      <c r="S37" s="7">
        <v>32</v>
      </c>
      <c r="T37" s="7">
        <v>24</v>
      </c>
      <c r="U37" s="7">
        <v>18</v>
      </c>
      <c r="V37" s="7">
        <v>95</v>
      </c>
      <c r="W37" s="5">
        <v>2</v>
      </c>
      <c r="X37" s="35" t="s">
        <v>339</v>
      </c>
      <c r="Y37" s="8">
        <v>1</v>
      </c>
      <c r="Z37" s="37" t="s">
        <v>392</v>
      </c>
    </row>
    <row r="38" spans="1:26" ht="23.25" hidden="1" customHeight="1" x14ac:dyDescent="0.25">
      <c r="A38" s="13">
        <f>SUBTOTAL(3,$B$35:B38)</f>
        <v>0</v>
      </c>
      <c r="B38" s="5" t="s">
        <v>212</v>
      </c>
      <c r="C38" s="6" t="s">
        <v>330</v>
      </c>
      <c r="D38" s="5" t="s">
        <v>77</v>
      </c>
      <c r="E38" s="5" t="s">
        <v>73</v>
      </c>
      <c r="F38" s="5" t="s">
        <v>21</v>
      </c>
      <c r="H38" s="4">
        <v>41</v>
      </c>
      <c r="I38" s="4">
        <v>24</v>
      </c>
      <c r="J38" s="4">
        <v>16</v>
      </c>
      <c r="K38" s="4">
        <v>26</v>
      </c>
      <c r="L38" s="4">
        <v>23</v>
      </c>
      <c r="M38" s="4">
        <v>26</v>
      </c>
      <c r="N38" s="4">
        <v>69</v>
      </c>
      <c r="O38" s="4">
        <v>37</v>
      </c>
      <c r="P38" s="7">
        <v>70</v>
      </c>
      <c r="Q38" s="7">
        <v>93</v>
      </c>
      <c r="R38" s="7">
        <v>65</v>
      </c>
      <c r="S38" s="7">
        <v>31</v>
      </c>
      <c r="T38" s="7">
        <v>23</v>
      </c>
      <c r="U38" s="7">
        <v>18</v>
      </c>
      <c r="V38" s="7">
        <v>100</v>
      </c>
      <c r="W38" s="5">
        <v>1</v>
      </c>
      <c r="X38" s="35" t="s">
        <v>338</v>
      </c>
      <c r="Y38" s="8">
        <v>1</v>
      </c>
      <c r="Z38" s="37" t="s">
        <v>392</v>
      </c>
    </row>
    <row r="39" spans="1:26" ht="23.25" hidden="1" customHeight="1" x14ac:dyDescent="0.25">
      <c r="A39" s="13">
        <f>SUBTOTAL(3,$B$35:B39)</f>
        <v>0</v>
      </c>
      <c r="B39" s="5" t="s">
        <v>213</v>
      </c>
      <c r="C39" s="6" t="s">
        <v>302</v>
      </c>
      <c r="D39" s="5" t="s">
        <v>78</v>
      </c>
      <c r="E39" s="5" t="s">
        <v>73</v>
      </c>
      <c r="F39" s="5" t="s">
        <v>21</v>
      </c>
      <c r="H39" s="4">
        <v>40</v>
      </c>
      <c r="I39" s="4">
        <v>23</v>
      </c>
      <c r="J39" s="4">
        <v>18</v>
      </c>
      <c r="K39" s="4">
        <v>26</v>
      </c>
      <c r="L39" s="4">
        <v>24</v>
      </c>
      <c r="M39" s="4">
        <v>26</v>
      </c>
      <c r="N39" s="4">
        <v>67</v>
      </c>
      <c r="O39" s="4">
        <v>36</v>
      </c>
      <c r="P39" s="7">
        <v>75</v>
      </c>
      <c r="Q39" s="7">
        <v>96</v>
      </c>
      <c r="R39" s="7">
        <v>64</v>
      </c>
      <c r="S39" s="7">
        <v>31</v>
      </c>
      <c r="T39" s="7">
        <v>24</v>
      </c>
      <c r="U39" s="7">
        <v>19</v>
      </c>
      <c r="V39" s="7">
        <v>93</v>
      </c>
      <c r="W39" s="5">
        <v>1</v>
      </c>
      <c r="X39" s="35" t="s">
        <v>338</v>
      </c>
      <c r="Y39" s="8">
        <v>1</v>
      </c>
      <c r="Z39" s="37" t="s">
        <v>392</v>
      </c>
    </row>
    <row r="40" spans="1:26" ht="23.25" hidden="1" customHeight="1" x14ac:dyDescent="0.25">
      <c r="A40" s="13">
        <f>SUBTOTAL(3,$B$35:B40)</f>
        <v>0</v>
      </c>
      <c r="B40" s="5" t="s">
        <v>214</v>
      </c>
      <c r="C40" s="6" t="s">
        <v>298</v>
      </c>
      <c r="D40" s="5" t="s">
        <v>79</v>
      </c>
      <c r="E40" s="5" t="s">
        <v>73</v>
      </c>
      <c r="F40" s="5" t="s">
        <v>21</v>
      </c>
      <c r="H40" s="4">
        <v>42</v>
      </c>
      <c r="I40" s="4">
        <v>25</v>
      </c>
      <c r="J40" s="4">
        <v>18</v>
      </c>
      <c r="K40" s="4">
        <v>27</v>
      </c>
      <c r="L40" s="4">
        <v>26</v>
      </c>
      <c r="M40" s="4">
        <v>27</v>
      </c>
      <c r="N40" s="4">
        <v>71</v>
      </c>
      <c r="O40" s="4">
        <v>39</v>
      </c>
      <c r="P40" s="7">
        <v>72</v>
      </c>
      <c r="Q40" s="7">
        <v>97</v>
      </c>
      <c r="R40" s="7">
        <v>64</v>
      </c>
      <c r="S40" s="7">
        <v>31</v>
      </c>
      <c r="T40" s="7">
        <v>24</v>
      </c>
      <c r="U40" s="7">
        <v>19</v>
      </c>
      <c r="V40" s="7">
        <v>101</v>
      </c>
      <c r="W40" s="5">
        <v>1</v>
      </c>
      <c r="X40" s="35" t="s">
        <v>338</v>
      </c>
      <c r="Y40" s="8">
        <v>1</v>
      </c>
      <c r="Z40" s="37" t="s">
        <v>392</v>
      </c>
    </row>
    <row r="41" spans="1:26" ht="23.25" hidden="1" customHeight="1" x14ac:dyDescent="0.25">
      <c r="A41" s="13">
        <f>SUBTOTAL(3,$B$35:B41)</f>
        <v>0</v>
      </c>
      <c r="B41" s="5" t="s">
        <v>215</v>
      </c>
      <c r="C41" s="6" t="s">
        <v>80</v>
      </c>
      <c r="D41" s="5" t="s">
        <v>81</v>
      </c>
      <c r="E41" s="5" t="s">
        <v>73</v>
      </c>
      <c r="F41" s="5" t="s">
        <v>21</v>
      </c>
      <c r="H41" s="4">
        <v>44</v>
      </c>
      <c r="I41" s="4">
        <v>24</v>
      </c>
      <c r="J41" s="4">
        <v>16</v>
      </c>
      <c r="K41" s="4">
        <v>27</v>
      </c>
      <c r="L41" s="4">
        <v>24</v>
      </c>
      <c r="M41" s="4">
        <v>26</v>
      </c>
      <c r="N41" s="4">
        <v>68</v>
      </c>
      <c r="O41" s="4">
        <v>40</v>
      </c>
      <c r="P41" s="7">
        <v>71</v>
      </c>
      <c r="Q41" s="7">
        <v>91</v>
      </c>
      <c r="R41" s="7">
        <v>63</v>
      </c>
      <c r="S41" s="7">
        <v>29</v>
      </c>
      <c r="T41" s="7">
        <v>23</v>
      </c>
      <c r="U41" s="7">
        <v>19</v>
      </c>
      <c r="V41" s="7">
        <v>95</v>
      </c>
      <c r="W41" s="5">
        <v>1</v>
      </c>
      <c r="X41" s="35" t="s">
        <v>338</v>
      </c>
      <c r="Y41" s="8">
        <v>1</v>
      </c>
      <c r="Z41" s="37" t="s">
        <v>392</v>
      </c>
    </row>
    <row r="42" spans="1:26" ht="23.25" hidden="1" customHeight="1" x14ac:dyDescent="0.25">
      <c r="A42" s="13">
        <f>SUBTOTAL(3,$B$35:B42)</f>
        <v>0</v>
      </c>
      <c r="B42" s="5" t="s">
        <v>216</v>
      </c>
      <c r="C42" s="6" t="s">
        <v>297</v>
      </c>
      <c r="D42" s="5" t="s">
        <v>82</v>
      </c>
      <c r="E42" s="5" t="s">
        <v>73</v>
      </c>
      <c r="F42" s="5" t="s">
        <v>21</v>
      </c>
      <c r="H42" s="4">
        <v>44</v>
      </c>
      <c r="I42" s="4">
        <v>28</v>
      </c>
      <c r="J42" s="4">
        <v>20</v>
      </c>
      <c r="K42" s="4">
        <v>31</v>
      </c>
      <c r="L42" s="4">
        <v>30</v>
      </c>
      <c r="M42" s="4">
        <v>31</v>
      </c>
      <c r="N42" s="4">
        <v>80</v>
      </c>
      <c r="O42" s="4">
        <v>43</v>
      </c>
      <c r="P42" s="7">
        <v>91</v>
      </c>
      <c r="Q42" s="7">
        <v>115</v>
      </c>
      <c r="R42" s="7">
        <v>77</v>
      </c>
      <c r="S42" s="7">
        <v>35</v>
      </c>
      <c r="T42" s="7">
        <v>27</v>
      </c>
      <c r="U42" s="7">
        <v>20</v>
      </c>
      <c r="V42" s="7" t="s">
        <v>337</v>
      </c>
      <c r="W42" s="5">
        <v>1</v>
      </c>
      <c r="X42" s="35" t="s">
        <v>338</v>
      </c>
      <c r="Y42" s="8">
        <v>1</v>
      </c>
      <c r="Z42" s="37" t="s">
        <v>392</v>
      </c>
    </row>
    <row r="43" spans="1:26" ht="23.25" hidden="1" customHeight="1" x14ac:dyDescent="0.25">
      <c r="A43" s="13">
        <f>SUBTOTAL(3,$B$35:B43)</f>
        <v>0</v>
      </c>
      <c r="B43" s="5" t="s">
        <v>217</v>
      </c>
      <c r="C43" s="6" t="s">
        <v>291</v>
      </c>
      <c r="D43" s="5" t="s">
        <v>83</v>
      </c>
      <c r="E43" s="5" t="s">
        <v>73</v>
      </c>
      <c r="F43" s="5" t="s">
        <v>21</v>
      </c>
      <c r="H43" s="4">
        <v>42</v>
      </c>
      <c r="I43" s="4">
        <v>24</v>
      </c>
      <c r="J43" s="4">
        <v>17</v>
      </c>
      <c r="K43" s="4">
        <v>26</v>
      </c>
      <c r="L43" s="4">
        <v>24</v>
      </c>
      <c r="M43" s="4">
        <v>26</v>
      </c>
      <c r="N43" s="4">
        <v>69</v>
      </c>
      <c r="O43" s="4">
        <v>39</v>
      </c>
      <c r="P43" s="7">
        <v>79</v>
      </c>
      <c r="Q43" s="7">
        <v>103</v>
      </c>
      <c r="R43" s="7">
        <v>65</v>
      </c>
      <c r="S43" s="7">
        <v>32</v>
      </c>
      <c r="T43" s="7">
        <v>23</v>
      </c>
      <c r="U43" s="7">
        <v>18</v>
      </c>
      <c r="V43" s="7">
        <v>96</v>
      </c>
      <c r="W43" s="5">
        <v>1</v>
      </c>
      <c r="X43" s="35" t="s">
        <v>338</v>
      </c>
      <c r="Y43" s="8">
        <v>1</v>
      </c>
      <c r="Z43" s="37" t="s">
        <v>392</v>
      </c>
    </row>
    <row r="44" spans="1:26" ht="23.25" hidden="1" customHeight="1" x14ac:dyDescent="0.25">
      <c r="A44" s="13">
        <f>SUBTOTAL(3,$B$35:B44)</f>
        <v>0</v>
      </c>
      <c r="B44" s="5" t="s">
        <v>218</v>
      </c>
      <c r="C44" s="6" t="s">
        <v>323</v>
      </c>
      <c r="D44" s="5" t="s">
        <v>84</v>
      </c>
      <c r="E44" s="5" t="s">
        <v>73</v>
      </c>
      <c r="F44" s="5" t="s">
        <v>21</v>
      </c>
      <c r="H44" s="4">
        <v>44</v>
      </c>
      <c r="I44" s="4">
        <v>24</v>
      </c>
      <c r="J44" s="4">
        <v>18</v>
      </c>
      <c r="K44" s="4">
        <v>28</v>
      </c>
      <c r="L44" s="4">
        <v>26</v>
      </c>
      <c r="M44" s="4">
        <v>28</v>
      </c>
      <c r="N44" s="4">
        <v>70</v>
      </c>
      <c r="O44" s="4">
        <v>39</v>
      </c>
      <c r="P44" s="7">
        <v>80</v>
      </c>
      <c r="Q44" s="7">
        <v>102</v>
      </c>
      <c r="R44" s="7">
        <v>69</v>
      </c>
      <c r="S44" s="7">
        <v>33</v>
      </c>
      <c r="T44" s="7">
        <v>24</v>
      </c>
      <c r="U44" s="7">
        <v>19</v>
      </c>
      <c r="V44" s="7">
        <v>99</v>
      </c>
      <c r="W44" s="5">
        <v>1</v>
      </c>
      <c r="X44" s="35" t="s">
        <v>338</v>
      </c>
      <c r="Y44" s="8">
        <v>1</v>
      </c>
      <c r="Z44" s="37" t="s">
        <v>392</v>
      </c>
    </row>
    <row r="45" spans="1:26" ht="23.25" hidden="1" customHeight="1" x14ac:dyDescent="0.25">
      <c r="A45" s="13">
        <f>SUBTOTAL(3,$B$35:B45)</f>
        <v>0</v>
      </c>
      <c r="B45" s="5" t="s">
        <v>219</v>
      </c>
      <c r="C45" s="6" t="s">
        <v>322</v>
      </c>
      <c r="D45" s="5" t="s">
        <v>85</v>
      </c>
      <c r="E45" s="5" t="s">
        <v>73</v>
      </c>
      <c r="F45" s="5" t="s">
        <v>21</v>
      </c>
      <c r="H45" s="4">
        <v>43</v>
      </c>
      <c r="I45" s="4">
        <v>24</v>
      </c>
      <c r="J45" s="4">
        <v>17</v>
      </c>
      <c r="K45" s="4">
        <v>28</v>
      </c>
      <c r="L45" s="4">
        <v>25</v>
      </c>
      <c r="M45" s="4">
        <v>28</v>
      </c>
      <c r="N45" s="4">
        <v>70</v>
      </c>
      <c r="O45" s="4">
        <v>40</v>
      </c>
      <c r="P45" s="7">
        <v>81</v>
      </c>
      <c r="Q45" s="7">
        <v>103</v>
      </c>
      <c r="R45" s="7">
        <v>67</v>
      </c>
      <c r="S45" s="7">
        <v>33</v>
      </c>
      <c r="T45" s="7">
        <v>23</v>
      </c>
      <c r="U45" s="7">
        <v>19</v>
      </c>
      <c r="V45" s="7">
        <v>99</v>
      </c>
      <c r="W45" s="5">
        <v>1</v>
      </c>
      <c r="X45" s="35" t="s">
        <v>338</v>
      </c>
      <c r="Y45" s="8">
        <v>1</v>
      </c>
      <c r="Z45" s="37" t="s">
        <v>392</v>
      </c>
    </row>
    <row r="46" spans="1:26" ht="23.25" hidden="1" customHeight="1" x14ac:dyDescent="0.25">
      <c r="A46" s="13">
        <f>SUBTOTAL(3,$B$35:B46)</f>
        <v>0</v>
      </c>
      <c r="B46" s="5" t="s">
        <v>220</v>
      </c>
      <c r="C46" s="6" t="s">
        <v>86</v>
      </c>
      <c r="D46" s="5" t="s">
        <v>87</v>
      </c>
      <c r="E46" s="5" t="s">
        <v>73</v>
      </c>
      <c r="F46" s="5" t="s">
        <v>21</v>
      </c>
      <c r="H46" s="4">
        <v>42</v>
      </c>
      <c r="I46" s="4">
        <v>24</v>
      </c>
      <c r="J46" s="4">
        <v>18</v>
      </c>
      <c r="K46" s="4">
        <v>27</v>
      </c>
      <c r="L46" s="4">
        <v>26</v>
      </c>
      <c r="M46" s="4">
        <v>27</v>
      </c>
      <c r="N46" s="4">
        <v>72</v>
      </c>
      <c r="O46" s="4">
        <v>40</v>
      </c>
      <c r="P46" s="7">
        <v>76</v>
      </c>
      <c r="Q46" s="7">
        <v>100</v>
      </c>
      <c r="R46" s="7">
        <v>64</v>
      </c>
      <c r="S46" s="7">
        <v>31</v>
      </c>
      <c r="T46" s="7">
        <v>24</v>
      </c>
      <c r="U46" s="7">
        <v>19</v>
      </c>
      <c r="V46" s="7">
        <v>99</v>
      </c>
      <c r="W46" s="5">
        <v>1</v>
      </c>
      <c r="X46" s="35" t="s">
        <v>338</v>
      </c>
      <c r="Y46" s="8">
        <v>1</v>
      </c>
      <c r="Z46" s="37" t="s">
        <v>392</v>
      </c>
    </row>
    <row r="47" spans="1:26" ht="23.25" hidden="1" customHeight="1" x14ac:dyDescent="0.25">
      <c r="A47" s="13">
        <f>SUBTOTAL(3,$B$35:B47)</f>
        <v>0</v>
      </c>
      <c r="B47" s="5" t="s">
        <v>221</v>
      </c>
      <c r="C47" s="6" t="s">
        <v>88</v>
      </c>
      <c r="D47" s="5" t="s">
        <v>89</v>
      </c>
      <c r="E47" s="5" t="s">
        <v>73</v>
      </c>
      <c r="F47" s="5" t="s">
        <v>21</v>
      </c>
      <c r="H47" s="4">
        <v>40</v>
      </c>
      <c r="I47" s="4">
        <v>23</v>
      </c>
      <c r="J47" s="4">
        <v>16</v>
      </c>
      <c r="K47" s="4">
        <v>26</v>
      </c>
      <c r="L47" s="4">
        <v>23</v>
      </c>
      <c r="M47" s="4">
        <v>26</v>
      </c>
      <c r="N47" s="4">
        <v>68</v>
      </c>
      <c r="O47" s="4">
        <v>38</v>
      </c>
      <c r="P47" s="7">
        <v>67</v>
      </c>
      <c r="Q47" s="7">
        <v>88</v>
      </c>
      <c r="R47" s="7">
        <v>61</v>
      </c>
      <c r="S47" s="7">
        <v>29</v>
      </c>
      <c r="T47" s="7">
        <v>23</v>
      </c>
      <c r="U47" s="7">
        <v>18</v>
      </c>
      <c r="V47" s="7">
        <v>94</v>
      </c>
      <c r="W47" s="5">
        <v>1</v>
      </c>
      <c r="X47" s="35" t="s">
        <v>338</v>
      </c>
      <c r="Y47" s="8">
        <v>1</v>
      </c>
      <c r="Z47" s="37" t="s">
        <v>392</v>
      </c>
    </row>
    <row r="48" spans="1:26" ht="23.25" hidden="1" customHeight="1" x14ac:dyDescent="0.25">
      <c r="A48" s="13">
        <f>SUBTOTAL(3,$B$35:B48)</f>
        <v>0</v>
      </c>
      <c r="B48" s="5" t="s">
        <v>222</v>
      </c>
      <c r="C48" s="6" t="s">
        <v>321</v>
      </c>
      <c r="D48" s="5" t="s">
        <v>90</v>
      </c>
      <c r="E48" s="5" t="s">
        <v>73</v>
      </c>
      <c r="F48" s="5" t="s">
        <v>21</v>
      </c>
      <c r="H48" s="4">
        <v>45</v>
      </c>
      <c r="I48" s="4">
        <v>26</v>
      </c>
      <c r="J48" s="4">
        <v>19</v>
      </c>
      <c r="K48" s="4">
        <v>29</v>
      </c>
      <c r="L48" s="4">
        <v>28</v>
      </c>
      <c r="M48" s="4">
        <v>29</v>
      </c>
      <c r="N48" s="4">
        <v>78</v>
      </c>
      <c r="O48" s="4">
        <v>43</v>
      </c>
      <c r="P48" s="7">
        <v>85</v>
      </c>
      <c r="Q48" s="7">
        <v>107</v>
      </c>
      <c r="R48" s="7">
        <v>73</v>
      </c>
      <c r="S48" s="7">
        <v>34</v>
      </c>
      <c r="T48" s="7">
        <v>26</v>
      </c>
      <c r="U48" s="7">
        <v>20</v>
      </c>
      <c r="V48" s="7">
        <v>113</v>
      </c>
      <c r="W48" s="5">
        <v>1</v>
      </c>
      <c r="X48" s="35" t="s">
        <v>338</v>
      </c>
      <c r="Y48" s="8">
        <v>1</v>
      </c>
      <c r="Z48" s="37" t="s">
        <v>392</v>
      </c>
    </row>
    <row r="49" spans="1:26" ht="23.25" hidden="1" customHeight="1" x14ac:dyDescent="0.25">
      <c r="A49" s="13">
        <f>SUBTOTAL(3,$B$35:B49)</f>
        <v>0</v>
      </c>
      <c r="B49" s="5" t="s">
        <v>223</v>
      </c>
      <c r="C49" s="6" t="s">
        <v>91</v>
      </c>
      <c r="D49" s="5" t="s">
        <v>92</v>
      </c>
      <c r="E49" s="5" t="s">
        <v>73</v>
      </c>
      <c r="F49" s="5" t="s">
        <v>21</v>
      </c>
      <c r="H49" s="4">
        <v>43</v>
      </c>
      <c r="I49" s="4">
        <v>24</v>
      </c>
      <c r="J49" s="4">
        <v>16</v>
      </c>
      <c r="K49" s="4">
        <v>25</v>
      </c>
      <c r="L49" s="4">
        <v>23</v>
      </c>
      <c r="M49" s="4">
        <v>25</v>
      </c>
      <c r="N49" s="4">
        <v>68</v>
      </c>
      <c r="O49" s="4">
        <v>38</v>
      </c>
      <c r="P49" s="7">
        <v>70</v>
      </c>
      <c r="Q49" s="7">
        <v>95</v>
      </c>
      <c r="R49" s="7">
        <v>65</v>
      </c>
      <c r="S49" s="7">
        <v>30</v>
      </c>
      <c r="T49" s="7">
        <v>23</v>
      </c>
      <c r="U49" s="7">
        <v>18</v>
      </c>
      <c r="V49" s="7">
        <v>96</v>
      </c>
      <c r="W49" s="5">
        <v>1</v>
      </c>
      <c r="X49" s="35" t="s">
        <v>338</v>
      </c>
      <c r="Y49" s="8">
        <v>1</v>
      </c>
      <c r="Z49" s="37" t="s">
        <v>392</v>
      </c>
    </row>
    <row r="50" spans="1:26" ht="23.25" hidden="1" customHeight="1" x14ac:dyDescent="0.25">
      <c r="A50" s="13">
        <f>SUBTOTAL(3,$B$35:B50)</f>
        <v>0</v>
      </c>
      <c r="B50" s="5" t="s">
        <v>224</v>
      </c>
      <c r="C50" s="6" t="s">
        <v>93</v>
      </c>
      <c r="D50" s="5" t="s">
        <v>94</v>
      </c>
      <c r="E50" s="5" t="s">
        <v>73</v>
      </c>
      <c r="F50" s="5" t="s">
        <v>21</v>
      </c>
      <c r="H50" s="4">
        <v>43</v>
      </c>
      <c r="I50" s="4">
        <v>23</v>
      </c>
      <c r="J50" s="4">
        <v>16</v>
      </c>
      <c r="K50" s="4">
        <v>25</v>
      </c>
      <c r="L50" s="4">
        <v>22</v>
      </c>
      <c r="M50" s="4">
        <v>25</v>
      </c>
      <c r="N50" s="4">
        <v>67</v>
      </c>
      <c r="O50" s="4">
        <v>36</v>
      </c>
      <c r="P50" s="7">
        <v>70</v>
      </c>
      <c r="Q50" s="7">
        <v>91</v>
      </c>
      <c r="R50" s="7">
        <v>61</v>
      </c>
      <c r="S50" s="7">
        <v>29</v>
      </c>
      <c r="T50" s="7">
        <v>23</v>
      </c>
      <c r="U50" s="7">
        <v>18</v>
      </c>
      <c r="V50" s="7">
        <v>92</v>
      </c>
      <c r="W50" s="5">
        <v>1</v>
      </c>
      <c r="X50" s="35" t="s">
        <v>338</v>
      </c>
      <c r="Y50" s="8">
        <v>1</v>
      </c>
      <c r="Z50" s="37" t="s">
        <v>392</v>
      </c>
    </row>
    <row r="51" spans="1:26" ht="23.25" hidden="1" customHeight="1" x14ac:dyDescent="0.25">
      <c r="A51" s="13">
        <f>SUBTOTAL(3,$B$35:B51)</f>
        <v>0</v>
      </c>
      <c r="B51" s="5" t="s">
        <v>225</v>
      </c>
      <c r="C51" s="6" t="s">
        <v>320</v>
      </c>
      <c r="D51" s="5" t="s">
        <v>95</v>
      </c>
      <c r="E51" s="5" t="s">
        <v>73</v>
      </c>
      <c r="F51" s="5" t="s">
        <v>21</v>
      </c>
      <c r="H51" s="4">
        <v>46</v>
      </c>
      <c r="I51" s="4">
        <v>25</v>
      </c>
      <c r="J51" s="4">
        <v>19</v>
      </c>
      <c r="K51" s="4">
        <v>27</v>
      </c>
      <c r="L51" s="4">
        <v>26</v>
      </c>
      <c r="M51" s="4">
        <v>27</v>
      </c>
      <c r="N51" s="4">
        <v>75</v>
      </c>
      <c r="O51" s="4">
        <v>42</v>
      </c>
      <c r="P51" s="7">
        <v>86</v>
      </c>
      <c r="Q51" s="7">
        <v>107</v>
      </c>
      <c r="R51" s="7">
        <v>68</v>
      </c>
      <c r="S51" s="7">
        <v>33</v>
      </c>
      <c r="T51" s="7">
        <v>24</v>
      </c>
      <c r="U51" s="7">
        <v>19</v>
      </c>
      <c r="V51" s="7">
        <v>97</v>
      </c>
      <c r="W51" s="5">
        <v>1</v>
      </c>
      <c r="X51" s="35" t="s">
        <v>338</v>
      </c>
      <c r="Y51" s="8">
        <v>1</v>
      </c>
      <c r="Z51" s="37" t="s">
        <v>392</v>
      </c>
    </row>
    <row r="52" spans="1:26" ht="23.25" hidden="1" customHeight="1" x14ac:dyDescent="0.25">
      <c r="A52" s="13">
        <f>SUBTOTAL(3,$B$35:B52)</f>
        <v>0</v>
      </c>
      <c r="B52" s="5" t="s">
        <v>226</v>
      </c>
      <c r="C52" s="6" t="s">
        <v>96</v>
      </c>
      <c r="D52" s="5" t="s">
        <v>97</v>
      </c>
      <c r="E52" s="5" t="s">
        <v>73</v>
      </c>
      <c r="F52" s="5" t="s">
        <v>21</v>
      </c>
      <c r="H52" s="4">
        <v>45</v>
      </c>
      <c r="I52" s="4">
        <v>25</v>
      </c>
      <c r="J52" s="4">
        <v>18</v>
      </c>
      <c r="K52" s="4">
        <v>26</v>
      </c>
      <c r="L52" s="4">
        <v>25</v>
      </c>
      <c r="M52" s="4">
        <v>26</v>
      </c>
      <c r="N52" s="4">
        <v>71</v>
      </c>
      <c r="O52" s="4">
        <v>37</v>
      </c>
      <c r="P52" s="7">
        <v>79</v>
      </c>
      <c r="Q52" s="7">
        <v>102</v>
      </c>
      <c r="R52" s="7">
        <v>69</v>
      </c>
      <c r="S52" s="7">
        <v>32</v>
      </c>
      <c r="T52" s="7">
        <v>23</v>
      </c>
      <c r="U52" s="7">
        <v>18</v>
      </c>
      <c r="V52" s="7">
        <v>102</v>
      </c>
      <c r="W52" s="5">
        <v>1</v>
      </c>
      <c r="X52" s="35" t="s">
        <v>338</v>
      </c>
      <c r="Y52" s="8">
        <v>1</v>
      </c>
      <c r="Z52" s="37" t="s">
        <v>392</v>
      </c>
    </row>
    <row r="53" spans="1:26" ht="23.25" hidden="1" customHeight="1" x14ac:dyDescent="0.25">
      <c r="A53" s="13">
        <f>SUBTOTAL(3,$B$35:B53)</f>
        <v>0</v>
      </c>
      <c r="B53" s="5" t="s">
        <v>227</v>
      </c>
      <c r="C53" s="6" t="s">
        <v>287</v>
      </c>
      <c r="D53" s="5" t="s">
        <v>98</v>
      </c>
      <c r="E53" s="5" t="s">
        <v>73</v>
      </c>
      <c r="F53" s="5" t="s">
        <v>21</v>
      </c>
      <c r="H53" s="4">
        <v>42</v>
      </c>
      <c r="I53" s="4">
        <v>24</v>
      </c>
      <c r="J53" s="4">
        <v>18</v>
      </c>
      <c r="K53" s="4">
        <v>27</v>
      </c>
      <c r="L53" s="4">
        <v>26</v>
      </c>
      <c r="M53" s="4">
        <v>27</v>
      </c>
      <c r="N53" s="4">
        <v>74</v>
      </c>
      <c r="O53" s="4">
        <v>40</v>
      </c>
      <c r="P53" s="7">
        <v>85</v>
      </c>
      <c r="Q53" s="7">
        <v>110</v>
      </c>
      <c r="R53" s="7">
        <v>68</v>
      </c>
      <c r="S53" s="7">
        <v>35</v>
      </c>
      <c r="T53" s="7">
        <v>25</v>
      </c>
      <c r="U53" s="7">
        <v>20</v>
      </c>
      <c r="V53" s="7">
        <v>102</v>
      </c>
      <c r="W53" s="5">
        <v>1</v>
      </c>
      <c r="X53" s="35" t="s">
        <v>338</v>
      </c>
      <c r="Y53" s="8">
        <v>1</v>
      </c>
      <c r="Z53" s="37" t="s">
        <v>392</v>
      </c>
    </row>
    <row r="54" spans="1:26" ht="23.25" customHeight="1" x14ac:dyDescent="0.25">
      <c r="A54" s="38">
        <f>SUBTOTAL(3,$B$35:B54)</f>
        <v>1</v>
      </c>
      <c r="B54" s="9" t="s">
        <v>228</v>
      </c>
      <c r="C54" s="10" t="s">
        <v>296</v>
      </c>
      <c r="D54" s="9" t="s">
        <v>99</v>
      </c>
      <c r="E54" s="9" t="s">
        <v>73</v>
      </c>
      <c r="F54" s="9" t="s">
        <v>21</v>
      </c>
      <c r="G54" s="9" t="s">
        <v>344</v>
      </c>
    </row>
    <row r="55" spans="1:26" ht="23.25" hidden="1" customHeight="1" x14ac:dyDescent="0.25">
      <c r="A55" s="13">
        <f>SUBTOTAL(3,$B$35:B55)</f>
        <v>1</v>
      </c>
      <c r="B55" s="5" t="s">
        <v>229</v>
      </c>
      <c r="C55" s="6" t="s">
        <v>100</v>
      </c>
      <c r="D55" s="5" t="s">
        <v>101</v>
      </c>
      <c r="E55" s="5" t="s">
        <v>73</v>
      </c>
      <c r="F55" s="5" t="s">
        <v>21</v>
      </c>
      <c r="H55" s="4">
        <v>42</v>
      </c>
      <c r="I55" s="4">
        <v>24</v>
      </c>
      <c r="J55" s="4">
        <v>18</v>
      </c>
      <c r="K55" s="4">
        <v>26</v>
      </c>
      <c r="L55" s="4">
        <v>25</v>
      </c>
      <c r="M55" s="4">
        <v>26</v>
      </c>
      <c r="N55" s="4">
        <v>72</v>
      </c>
      <c r="O55" s="4">
        <v>38</v>
      </c>
      <c r="P55" s="7">
        <v>74</v>
      </c>
      <c r="Q55" s="7">
        <v>95</v>
      </c>
      <c r="R55" s="7">
        <v>64</v>
      </c>
      <c r="S55" s="7">
        <v>31</v>
      </c>
      <c r="T55" s="7">
        <v>24</v>
      </c>
      <c r="U55" s="7">
        <v>19</v>
      </c>
      <c r="V55" s="7">
        <v>98</v>
      </c>
      <c r="W55" s="5">
        <v>1</v>
      </c>
      <c r="X55" s="35" t="s">
        <v>338</v>
      </c>
      <c r="Y55" s="8">
        <v>1</v>
      </c>
      <c r="Z55" s="37" t="s">
        <v>392</v>
      </c>
    </row>
    <row r="56" spans="1:26" ht="23.25" hidden="1" customHeight="1" x14ac:dyDescent="0.25">
      <c r="A56" s="13">
        <f>SUBTOTAL(3,$B$35:B56)</f>
        <v>1</v>
      </c>
      <c r="B56" s="5" t="s">
        <v>230</v>
      </c>
      <c r="C56" s="6" t="s">
        <v>102</v>
      </c>
      <c r="D56" s="5" t="s">
        <v>99</v>
      </c>
      <c r="E56" s="5" t="s">
        <v>73</v>
      </c>
      <c r="F56" s="5" t="s">
        <v>21</v>
      </c>
      <c r="H56" s="4">
        <v>40</v>
      </c>
      <c r="I56" s="4">
        <v>23</v>
      </c>
      <c r="J56" s="4">
        <v>17</v>
      </c>
      <c r="K56" s="4">
        <v>26</v>
      </c>
      <c r="L56" s="4">
        <v>25</v>
      </c>
      <c r="M56" s="4">
        <v>26</v>
      </c>
      <c r="N56" s="4">
        <v>69</v>
      </c>
      <c r="O56" s="4">
        <v>37</v>
      </c>
      <c r="P56" s="7">
        <v>73</v>
      </c>
      <c r="Q56" s="7">
        <v>95</v>
      </c>
      <c r="R56" s="7">
        <v>62</v>
      </c>
      <c r="S56" s="7">
        <v>30</v>
      </c>
      <c r="T56" s="7">
        <v>24</v>
      </c>
      <c r="U56" s="7">
        <v>19</v>
      </c>
      <c r="V56" s="7">
        <v>94</v>
      </c>
      <c r="W56" s="5">
        <v>1</v>
      </c>
      <c r="X56" s="35" t="s">
        <v>338</v>
      </c>
      <c r="Y56" s="8">
        <v>1</v>
      </c>
      <c r="Z56" s="37" t="s">
        <v>392</v>
      </c>
    </row>
    <row r="57" spans="1:26" ht="23.25" hidden="1" customHeight="1" x14ac:dyDescent="0.25">
      <c r="A57" s="13">
        <f>SUBTOTAL(3,$B$35:B57)</f>
        <v>1</v>
      </c>
      <c r="B57" s="5" t="s">
        <v>231</v>
      </c>
      <c r="C57" s="6" t="s">
        <v>319</v>
      </c>
      <c r="D57" s="5" t="s">
        <v>101</v>
      </c>
      <c r="E57" s="5" t="s">
        <v>73</v>
      </c>
      <c r="F57" s="5" t="s">
        <v>21</v>
      </c>
      <c r="H57" s="4">
        <v>44</v>
      </c>
      <c r="I57" s="4">
        <v>25</v>
      </c>
      <c r="J57" s="4">
        <v>20</v>
      </c>
      <c r="K57" s="4">
        <v>29</v>
      </c>
      <c r="L57" s="4">
        <v>28</v>
      </c>
      <c r="M57" s="4">
        <v>29</v>
      </c>
      <c r="N57" s="4">
        <v>72</v>
      </c>
      <c r="O57" s="4">
        <v>42</v>
      </c>
      <c r="P57" s="7">
        <v>83</v>
      </c>
      <c r="Q57" s="7">
        <v>106</v>
      </c>
      <c r="R57" s="7">
        <v>70</v>
      </c>
      <c r="S57" s="7">
        <v>34</v>
      </c>
      <c r="T57" s="7">
        <v>25</v>
      </c>
      <c r="U57" s="7">
        <v>20</v>
      </c>
      <c r="V57" s="7">
        <v>98</v>
      </c>
      <c r="W57" s="5">
        <v>1</v>
      </c>
      <c r="X57" s="35" t="s">
        <v>338</v>
      </c>
      <c r="Y57" s="8">
        <v>1</v>
      </c>
      <c r="Z57" s="37" t="s">
        <v>392</v>
      </c>
    </row>
    <row r="58" spans="1:26" ht="23.25" hidden="1" customHeight="1" x14ac:dyDescent="0.25">
      <c r="A58" s="13">
        <f>SUBTOTAL(3,$B$35:B58)</f>
        <v>1</v>
      </c>
      <c r="B58" s="5" t="s">
        <v>232</v>
      </c>
      <c r="C58" s="6" t="s">
        <v>301</v>
      </c>
      <c r="D58" s="5" t="s">
        <v>103</v>
      </c>
      <c r="E58" s="5" t="s">
        <v>73</v>
      </c>
      <c r="F58" s="5" t="s">
        <v>21</v>
      </c>
      <c r="H58" s="4">
        <v>39</v>
      </c>
      <c r="I58" s="4">
        <v>24</v>
      </c>
      <c r="J58" s="4">
        <v>16</v>
      </c>
      <c r="K58" s="4">
        <v>26</v>
      </c>
      <c r="L58" s="4">
        <v>23</v>
      </c>
      <c r="M58" s="4">
        <v>25</v>
      </c>
      <c r="N58" s="4">
        <v>68</v>
      </c>
      <c r="O58" s="4">
        <v>36</v>
      </c>
      <c r="P58" s="7">
        <v>72</v>
      </c>
      <c r="Q58" s="7">
        <v>92</v>
      </c>
      <c r="R58" s="7">
        <v>63</v>
      </c>
      <c r="S58" s="7">
        <v>29</v>
      </c>
      <c r="T58" s="7">
        <v>23</v>
      </c>
      <c r="U58" s="7">
        <v>18</v>
      </c>
      <c r="V58" s="7">
        <v>97</v>
      </c>
      <c r="W58" s="5">
        <v>1</v>
      </c>
      <c r="X58" s="35" t="s">
        <v>338</v>
      </c>
      <c r="Y58" s="8">
        <v>1</v>
      </c>
      <c r="Z58" s="37" t="s">
        <v>392</v>
      </c>
    </row>
    <row r="59" spans="1:26" ht="23.25" hidden="1" customHeight="1" x14ac:dyDescent="0.25">
      <c r="A59" s="13">
        <f>SUBTOTAL(3,$B$35:B59)</f>
        <v>1</v>
      </c>
      <c r="B59" s="5" t="s">
        <v>233</v>
      </c>
      <c r="C59" s="6" t="s">
        <v>104</v>
      </c>
      <c r="D59" s="5" t="s">
        <v>105</v>
      </c>
      <c r="E59" s="5" t="s">
        <v>73</v>
      </c>
      <c r="F59" s="5" t="s">
        <v>21</v>
      </c>
      <c r="H59" s="4">
        <v>48</v>
      </c>
      <c r="I59" s="4">
        <v>25</v>
      </c>
      <c r="J59" s="4">
        <v>21</v>
      </c>
      <c r="K59" s="4">
        <v>32</v>
      </c>
      <c r="L59" s="4">
        <v>31</v>
      </c>
      <c r="M59" s="4">
        <v>32</v>
      </c>
      <c r="N59" s="4">
        <v>73</v>
      </c>
      <c r="O59" s="4">
        <v>43</v>
      </c>
      <c r="P59" s="7">
        <v>107</v>
      </c>
      <c r="Q59" s="7">
        <v>124</v>
      </c>
      <c r="R59" s="7">
        <v>75</v>
      </c>
      <c r="S59" s="7">
        <v>38</v>
      </c>
      <c r="T59" s="7">
        <v>28</v>
      </c>
      <c r="U59" s="7">
        <v>23</v>
      </c>
      <c r="V59" s="7">
        <v>96</v>
      </c>
      <c r="W59" s="5">
        <v>1</v>
      </c>
      <c r="X59" s="35" t="s">
        <v>338</v>
      </c>
      <c r="Y59" s="8">
        <v>1</v>
      </c>
      <c r="Z59" s="37" t="s">
        <v>392</v>
      </c>
    </row>
    <row r="60" spans="1:26" ht="23.25" hidden="1" customHeight="1" x14ac:dyDescent="0.25">
      <c r="A60" s="13">
        <f>SUBTOTAL(3,$B$35:B60)</f>
        <v>1</v>
      </c>
      <c r="B60" s="5" t="s">
        <v>234</v>
      </c>
      <c r="C60" s="6" t="s">
        <v>106</v>
      </c>
      <c r="D60" s="5" t="s">
        <v>107</v>
      </c>
      <c r="E60" s="5" t="s">
        <v>73</v>
      </c>
      <c r="F60" s="5" t="s">
        <v>21</v>
      </c>
      <c r="H60" s="4">
        <v>43</v>
      </c>
      <c r="I60" s="4">
        <v>24</v>
      </c>
      <c r="J60" s="4">
        <v>18</v>
      </c>
      <c r="K60" s="4">
        <v>27</v>
      </c>
      <c r="L60" s="4">
        <v>26</v>
      </c>
      <c r="M60" s="4">
        <v>27</v>
      </c>
      <c r="N60" s="4">
        <v>72</v>
      </c>
      <c r="O60" s="4">
        <v>39</v>
      </c>
      <c r="P60" s="7">
        <v>79</v>
      </c>
      <c r="Q60" s="7">
        <v>102</v>
      </c>
      <c r="R60" s="7">
        <v>64</v>
      </c>
      <c r="S60" s="7">
        <v>32</v>
      </c>
      <c r="T60" s="7">
        <v>24</v>
      </c>
      <c r="U60" s="7">
        <v>19</v>
      </c>
      <c r="V60" s="7">
        <v>92</v>
      </c>
      <c r="W60" s="5">
        <v>1</v>
      </c>
      <c r="X60" s="35" t="s">
        <v>338</v>
      </c>
      <c r="Y60" s="8">
        <v>1</v>
      </c>
      <c r="Z60" s="37" t="s">
        <v>392</v>
      </c>
    </row>
    <row r="61" spans="1:26" ht="23.25" hidden="1" customHeight="1" x14ac:dyDescent="0.25">
      <c r="A61" s="13">
        <f>SUBTOTAL(3,$B$35:B61)</f>
        <v>1</v>
      </c>
      <c r="B61" s="5" t="s">
        <v>235</v>
      </c>
      <c r="C61" s="6" t="s">
        <v>108</v>
      </c>
      <c r="D61" s="5" t="s">
        <v>109</v>
      </c>
      <c r="E61" s="5" t="s">
        <v>73</v>
      </c>
      <c r="F61" s="5" t="s">
        <v>21</v>
      </c>
      <c r="H61" s="4">
        <v>44</v>
      </c>
      <c r="I61" s="4">
        <v>24</v>
      </c>
      <c r="J61" s="4">
        <v>19</v>
      </c>
      <c r="K61" s="4">
        <v>31</v>
      </c>
      <c r="L61" s="4">
        <v>30</v>
      </c>
      <c r="M61" s="4">
        <v>31</v>
      </c>
      <c r="N61" s="4">
        <v>70</v>
      </c>
      <c r="O61" s="4">
        <v>41</v>
      </c>
      <c r="P61" s="7">
        <v>100</v>
      </c>
      <c r="Q61" s="7">
        <v>116</v>
      </c>
      <c r="R61" s="7">
        <v>70</v>
      </c>
      <c r="S61" s="7">
        <v>36</v>
      </c>
      <c r="T61" s="7">
        <v>26</v>
      </c>
      <c r="U61" s="7">
        <v>21</v>
      </c>
      <c r="V61" s="7">
        <v>91</v>
      </c>
      <c r="W61" s="5">
        <v>1</v>
      </c>
      <c r="X61" s="35" t="s">
        <v>338</v>
      </c>
      <c r="Y61" s="8">
        <v>1</v>
      </c>
      <c r="Z61" s="37" t="s">
        <v>392</v>
      </c>
    </row>
    <row r="62" spans="1:26" ht="23.25" hidden="1" customHeight="1" x14ac:dyDescent="0.25">
      <c r="A62" s="13">
        <f>SUBTOTAL(3,$B$35:B62)</f>
        <v>1</v>
      </c>
      <c r="B62" s="5" t="s">
        <v>236</v>
      </c>
      <c r="C62" s="6" t="s">
        <v>110</v>
      </c>
      <c r="D62" s="5" t="s">
        <v>111</v>
      </c>
      <c r="E62" s="5" t="s">
        <v>73</v>
      </c>
      <c r="F62" s="5" t="s">
        <v>21</v>
      </c>
      <c r="H62" s="4">
        <v>52</v>
      </c>
      <c r="I62" s="4">
        <v>26</v>
      </c>
      <c r="J62" s="4">
        <v>22</v>
      </c>
      <c r="K62" s="4">
        <v>35</v>
      </c>
      <c r="L62" s="4">
        <v>33</v>
      </c>
      <c r="M62" s="4">
        <v>35</v>
      </c>
      <c r="N62" s="4">
        <v>79</v>
      </c>
      <c r="O62" s="4">
        <v>47</v>
      </c>
      <c r="P62" s="7">
        <v>124</v>
      </c>
      <c r="Q62" s="7">
        <v>145</v>
      </c>
      <c r="R62" s="7">
        <v>85</v>
      </c>
      <c r="S62" s="7">
        <v>45</v>
      </c>
      <c r="T62" s="7">
        <v>32</v>
      </c>
      <c r="U62" s="7">
        <v>22</v>
      </c>
      <c r="V62" s="7">
        <v>101</v>
      </c>
      <c r="W62" s="5">
        <v>1</v>
      </c>
      <c r="X62" s="35" t="s">
        <v>338</v>
      </c>
      <c r="Y62" s="8">
        <v>1</v>
      </c>
      <c r="Z62" s="37" t="s">
        <v>392</v>
      </c>
    </row>
    <row r="63" spans="1:26" ht="23.25" hidden="1" customHeight="1" x14ac:dyDescent="0.25">
      <c r="A63" s="13">
        <f>SUBTOTAL(3,$B$35:B63)</f>
        <v>1</v>
      </c>
      <c r="B63" s="5" t="s">
        <v>237</v>
      </c>
      <c r="C63" s="6" t="s">
        <v>300</v>
      </c>
      <c r="D63" s="5" t="s">
        <v>112</v>
      </c>
      <c r="E63" s="5" t="s">
        <v>73</v>
      </c>
      <c r="F63" s="5" t="s">
        <v>21</v>
      </c>
      <c r="H63" s="4">
        <v>46</v>
      </c>
      <c r="I63" s="4">
        <v>24</v>
      </c>
      <c r="J63" s="4">
        <v>19</v>
      </c>
      <c r="K63" s="4">
        <v>29</v>
      </c>
      <c r="L63" s="4">
        <v>28</v>
      </c>
      <c r="M63" s="4">
        <v>29</v>
      </c>
      <c r="N63" s="4">
        <v>72</v>
      </c>
      <c r="O63" s="4">
        <v>45</v>
      </c>
      <c r="P63" s="7">
        <v>94</v>
      </c>
      <c r="Q63" s="7">
        <v>115</v>
      </c>
      <c r="R63" s="7">
        <v>67</v>
      </c>
      <c r="S63" s="7">
        <v>35</v>
      </c>
      <c r="T63" s="7">
        <v>24</v>
      </c>
      <c r="U63" s="7">
        <v>19</v>
      </c>
      <c r="V63" s="7">
        <v>98</v>
      </c>
      <c r="W63" s="5">
        <v>1</v>
      </c>
      <c r="X63" s="35" t="s">
        <v>338</v>
      </c>
      <c r="Y63" s="8">
        <v>1</v>
      </c>
      <c r="Z63" s="37" t="s">
        <v>392</v>
      </c>
    </row>
    <row r="64" spans="1:26" ht="23.25" hidden="1" customHeight="1" x14ac:dyDescent="0.25">
      <c r="A64" s="13">
        <f>SUBTOTAL(3,$B$35:B64)</f>
        <v>1</v>
      </c>
      <c r="B64" s="5" t="s">
        <v>238</v>
      </c>
      <c r="C64" s="6" t="s">
        <v>307</v>
      </c>
      <c r="D64" s="5" t="s">
        <v>113</v>
      </c>
      <c r="E64" s="5" t="s">
        <v>73</v>
      </c>
      <c r="F64" s="5" t="s">
        <v>21</v>
      </c>
      <c r="H64" s="4">
        <v>41</v>
      </c>
      <c r="I64" s="4">
        <v>22</v>
      </c>
      <c r="J64" s="4">
        <v>16</v>
      </c>
      <c r="K64" s="4">
        <v>25</v>
      </c>
      <c r="L64" s="4">
        <v>23</v>
      </c>
      <c r="M64" s="4">
        <v>25</v>
      </c>
      <c r="N64" s="4">
        <v>66</v>
      </c>
      <c r="O64" s="4">
        <v>36</v>
      </c>
      <c r="P64" s="7">
        <v>71</v>
      </c>
      <c r="Q64" s="7">
        <v>94</v>
      </c>
      <c r="R64" s="7">
        <v>61</v>
      </c>
      <c r="S64" s="7">
        <v>30</v>
      </c>
      <c r="T64" s="7">
        <v>23</v>
      </c>
      <c r="U64" s="7">
        <v>18</v>
      </c>
      <c r="V64" s="7">
        <v>94</v>
      </c>
      <c r="W64" s="5">
        <v>1</v>
      </c>
      <c r="X64" s="35" t="s">
        <v>338</v>
      </c>
      <c r="Y64" s="8">
        <v>1</v>
      </c>
      <c r="Z64" s="37" t="s">
        <v>392</v>
      </c>
    </row>
    <row r="65" spans="1:26" ht="23.25" hidden="1" customHeight="1" x14ac:dyDescent="0.25">
      <c r="A65" s="13">
        <f>SUBTOTAL(3,$B$35:B65)</f>
        <v>1</v>
      </c>
      <c r="B65" s="5" t="s">
        <v>239</v>
      </c>
      <c r="C65" s="6" t="s">
        <v>318</v>
      </c>
      <c r="D65" s="5" t="s">
        <v>114</v>
      </c>
      <c r="E65" s="5" t="s">
        <v>73</v>
      </c>
      <c r="F65" s="5" t="s">
        <v>21</v>
      </c>
      <c r="H65" s="4">
        <v>42</v>
      </c>
      <c r="I65" s="4">
        <v>24</v>
      </c>
      <c r="J65" s="4">
        <v>18</v>
      </c>
      <c r="K65" s="4">
        <v>26</v>
      </c>
      <c r="L65" s="4">
        <v>25</v>
      </c>
      <c r="M65" s="4">
        <v>26</v>
      </c>
      <c r="N65" s="4">
        <v>71</v>
      </c>
      <c r="O65" s="4">
        <v>39</v>
      </c>
      <c r="P65" s="7">
        <v>70</v>
      </c>
      <c r="Q65" s="7">
        <v>96</v>
      </c>
      <c r="R65" s="7">
        <v>62</v>
      </c>
      <c r="S65" s="7">
        <v>31</v>
      </c>
      <c r="T65" s="7">
        <v>24</v>
      </c>
      <c r="U65" s="7">
        <v>19</v>
      </c>
      <c r="V65" s="7">
        <v>97</v>
      </c>
      <c r="W65" s="5">
        <v>1</v>
      </c>
      <c r="X65" s="35" t="s">
        <v>338</v>
      </c>
      <c r="Y65" s="8">
        <v>1</v>
      </c>
      <c r="Z65" s="37" t="s">
        <v>392</v>
      </c>
    </row>
    <row r="66" spans="1:26" ht="23.25" hidden="1" customHeight="1" x14ac:dyDescent="0.25">
      <c r="A66" s="13">
        <f>SUBTOTAL(3,$B$35:B66)</f>
        <v>1</v>
      </c>
      <c r="B66" s="5" t="s">
        <v>240</v>
      </c>
      <c r="C66" s="6" t="s">
        <v>294</v>
      </c>
      <c r="D66" s="5" t="s">
        <v>115</v>
      </c>
      <c r="E66" s="5" t="s">
        <v>73</v>
      </c>
      <c r="F66" s="5" t="s">
        <v>21</v>
      </c>
      <c r="H66" s="4">
        <v>45</v>
      </c>
      <c r="I66" s="4">
        <v>23</v>
      </c>
      <c r="J66" s="4">
        <v>17</v>
      </c>
      <c r="K66" s="4">
        <v>28</v>
      </c>
      <c r="L66" s="4">
        <v>26</v>
      </c>
      <c r="M66" s="4">
        <v>28</v>
      </c>
      <c r="N66" s="4">
        <v>70</v>
      </c>
      <c r="O66" s="4">
        <v>39</v>
      </c>
      <c r="P66" s="7">
        <v>91</v>
      </c>
      <c r="Q66" s="7">
        <v>107</v>
      </c>
      <c r="R66" s="7">
        <v>67</v>
      </c>
      <c r="S66" s="7">
        <v>34</v>
      </c>
      <c r="T66" s="7">
        <v>24</v>
      </c>
      <c r="U66" s="7">
        <v>18</v>
      </c>
      <c r="V66" s="7">
        <v>95</v>
      </c>
      <c r="W66" s="5">
        <v>1</v>
      </c>
      <c r="X66" s="35" t="s">
        <v>338</v>
      </c>
      <c r="Y66" s="8">
        <v>1</v>
      </c>
      <c r="Z66" s="37" t="s">
        <v>392</v>
      </c>
    </row>
    <row r="67" spans="1:26" ht="23.25" hidden="1" customHeight="1" x14ac:dyDescent="0.25">
      <c r="A67" s="38">
        <f>SUBTOTAL(3,$B$35:B67)</f>
        <v>1</v>
      </c>
      <c r="B67" s="49" t="s">
        <v>241</v>
      </c>
      <c r="C67" s="50" t="s">
        <v>116</v>
      </c>
      <c r="D67" s="49" t="s">
        <v>117</v>
      </c>
      <c r="E67" s="49" t="s">
        <v>73</v>
      </c>
      <c r="F67" s="49" t="s">
        <v>21</v>
      </c>
      <c r="G67" s="49"/>
      <c r="H67" s="4">
        <v>41</v>
      </c>
      <c r="I67" s="4">
        <v>23</v>
      </c>
      <c r="J67" s="4">
        <v>16</v>
      </c>
      <c r="K67" s="4">
        <v>26</v>
      </c>
      <c r="L67" s="4">
        <v>23</v>
      </c>
      <c r="M67" s="4">
        <v>26</v>
      </c>
      <c r="N67" s="4">
        <v>67</v>
      </c>
      <c r="O67" s="4">
        <v>36</v>
      </c>
      <c r="P67" s="7">
        <v>75</v>
      </c>
      <c r="Q67" s="7">
        <v>96</v>
      </c>
      <c r="R67" s="7">
        <v>62</v>
      </c>
      <c r="S67" s="7">
        <v>30</v>
      </c>
      <c r="T67" s="7">
        <v>23</v>
      </c>
      <c r="U67" s="7">
        <v>18</v>
      </c>
      <c r="V67" s="7">
        <v>92</v>
      </c>
      <c r="W67" s="5">
        <v>4</v>
      </c>
      <c r="X67" s="35" t="s">
        <v>395</v>
      </c>
    </row>
    <row r="68" spans="1:26" ht="23.25" hidden="1" customHeight="1" x14ac:dyDescent="0.25">
      <c r="A68" s="13">
        <f>SUBTOTAL(3,$B$35:B68)</f>
        <v>1</v>
      </c>
      <c r="B68" s="5" t="s">
        <v>242</v>
      </c>
      <c r="C68" s="6" t="s">
        <v>286</v>
      </c>
      <c r="D68" s="5" t="s">
        <v>118</v>
      </c>
      <c r="E68" s="5" t="s">
        <v>73</v>
      </c>
      <c r="F68" s="5" t="s">
        <v>21</v>
      </c>
      <c r="H68" s="4">
        <v>46</v>
      </c>
      <c r="I68" s="4">
        <v>25</v>
      </c>
      <c r="J68" s="4">
        <v>19</v>
      </c>
      <c r="K68" s="4">
        <v>31</v>
      </c>
      <c r="L68" s="4">
        <v>30</v>
      </c>
      <c r="M68" s="4">
        <v>31</v>
      </c>
      <c r="N68" s="4">
        <v>77</v>
      </c>
      <c r="O68" s="4">
        <v>41</v>
      </c>
      <c r="P68" s="7">
        <v>94</v>
      </c>
      <c r="Q68" s="7">
        <v>117</v>
      </c>
      <c r="R68" s="7">
        <v>72</v>
      </c>
      <c r="S68" s="7">
        <v>36</v>
      </c>
      <c r="T68" s="7">
        <v>26</v>
      </c>
      <c r="U68" s="7">
        <v>22</v>
      </c>
      <c r="V68" s="7">
        <v>102</v>
      </c>
      <c r="W68" s="5">
        <v>1</v>
      </c>
      <c r="X68" s="35" t="s">
        <v>338</v>
      </c>
      <c r="Y68" s="8">
        <v>1</v>
      </c>
      <c r="Z68" s="37" t="s">
        <v>392</v>
      </c>
    </row>
    <row r="69" spans="1:26" ht="23.25" hidden="1" customHeight="1" x14ac:dyDescent="0.25">
      <c r="A69" s="13">
        <f>SUBTOTAL(3,$B$35:B69)</f>
        <v>1</v>
      </c>
      <c r="B69" s="5" t="s">
        <v>243</v>
      </c>
      <c r="C69" s="6" t="s">
        <v>119</v>
      </c>
      <c r="D69" s="5" t="s">
        <v>120</v>
      </c>
      <c r="E69" s="5" t="s">
        <v>73</v>
      </c>
      <c r="F69" s="5" t="s">
        <v>21</v>
      </c>
      <c r="H69" s="4">
        <v>42</v>
      </c>
      <c r="I69" s="4">
        <v>24</v>
      </c>
      <c r="J69" s="4">
        <v>18</v>
      </c>
      <c r="K69" s="4">
        <v>28</v>
      </c>
      <c r="L69" s="4">
        <v>26</v>
      </c>
      <c r="M69" s="4">
        <v>28</v>
      </c>
      <c r="N69" s="4">
        <v>72</v>
      </c>
      <c r="O69" s="4">
        <v>40</v>
      </c>
      <c r="P69" s="7">
        <v>75</v>
      </c>
      <c r="Q69" s="7">
        <v>96</v>
      </c>
      <c r="R69" s="7">
        <v>64</v>
      </c>
      <c r="S69" s="7">
        <v>32</v>
      </c>
      <c r="T69" s="7">
        <v>24</v>
      </c>
      <c r="U69" s="7">
        <v>19</v>
      </c>
      <c r="V69" s="7">
        <v>95</v>
      </c>
      <c r="W69" s="5">
        <v>1</v>
      </c>
      <c r="X69" s="35" t="s">
        <v>338</v>
      </c>
      <c r="Y69" s="8">
        <v>1</v>
      </c>
      <c r="Z69" s="37" t="s">
        <v>392</v>
      </c>
    </row>
    <row r="70" spans="1:26" ht="23.25" hidden="1" customHeight="1" x14ac:dyDescent="0.25">
      <c r="A70" s="13">
        <f>SUBTOTAL(3,$B$35:B70)</f>
        <v>1</v>
      </c>
      <c r="B70" s="5" t="s">
        <v>244</v>
      </c>
      <c r="C70" s="6" t="s">
        <v>121</v>
      </c>
      <c r="D70" s="5" t="s">
        <v>122</v>
      </c>
      <c r="E70" s="5" t="s">
        <v>73</v>
      </c>
      <c r="F70" s="5" t="s">
        <v>21</v>
      </c>
      <c r="H70" s="4">
        <v>42</v>
      </c>
      <c r="I70" s="4">
        <v>25</v>
      </c>
      <c r="J70" s="4">
        <v>16</v>
      </c>
      <c r="K70" s="4">
        <v>26</v>
      </c>
      <c r="L70" s="4">
        <v>24</v>
      </c>
      <c r="M70" s="4">
        <v>26</v>
      </c>
      <c r="N70" s="4">
        <v>67</v>
      </c>
      <c r="O70" s="4">
        <v>36</v>
      </c>
      <c r="P70" s="7">
        <v>71</v>
      </c>
      <c r="Q70" s="7">
        <v>89</v>
      </c>
      <c r="R70" s="7">
        <v>63</v>
      </c>
      <c r="S70" s="7">
        <v>29</v>
      </c>
      <c r="T70" s="7">
        <v>23</v>
      </c>
      <c r="U70" s="7">
        <v>18</v>
      </c>
      <c r="V70" s="7">
        <v>97</v>
      </c>
      <c r="W70" s="5">
        <v>1</v>
      </c>
      <c r="X70" s="35" t="s">
        <v>338</v>
      </c>
      <c r="Y70" s="8">
        <v>1</v>
      </c>
      <c r="Z70" s="37" t="s">
        <v>392</v>
      </c>
    </row>
    <row r="71" spans="1:26" ht="23.25" hidden="1" customHeight="1" x14ac:dyDescent="0.25">
      <c r="A71" s="13">
        <f>SUBTOTAL(3,$B$35:B71)</f>
        <v>1</v>
      </c>
      <c r="B71" s="5" t="s">
        <v>245</v>
      </c>
      <c r="C71" s="6" t="s">
        <v>123</v>
      </c>
      <c r="D71" s="5" t="s">
        <v>124</v>
      </c>
      <c r="E71" s="5" t="s">
        <v>73</v>
      </c>
      <c r="F71" s="5" t="s">
        <v>21</v>
      </c>
      <c r="H71" s="4">
        <v>46</v>
      </c>
      <c r="I71" s="4">
        <v>25</v>
      </c>
      <c r="J71" s="4">
        <v>20</v>
      </c>
      <c r="K71" s="4">
        <v>30</v>
      </c>
      <c r="L71" s="4">
        <v>29</v>
      </c>
      <c r="M71" s="4">
        <v>30</v>
      </c>
      <c r="N71" s="4">
        <v>77</v>
      </c>
      <c r="O71" s="4">
        <v>42</v>
      </c>
      <c r="P71" s="7">
        <v>90</v>
      </c>
      <c r="Q71" s="7">
        <v>113</v>
      </c>
      <c r="R71" s="7">
        <v>68</v>
      </c>
      <c r="S71" s="7">
        <v>35</v>
      </c>
      <c r="T71" s="7">
        <v>26</v>
      </c>
      <c r="U71" s="7">
        <v>21</v>
      </c>
      <c r="V71" s="7">
        <v>101</v>
      </c>
      <c r="W71" s="5">
        <v>1</v>
      </c>
      <c r="X71" s="35" t="s">
        <v>338</v>
      </c>
      <c r="Y71" s="8">
        <v>1</v>
      </c>
      <c r="Z71" s="37" t="s">
        <v>392</v>
      </c>
    </row>
    <row r="72" spans="1:26" ht="23.25" hidden="1" customHeight="1" x14ac:dyDescent="0.25">
      <c r="A72" s="13">
        <f>SUBTOTAL(3,$B$35:B72)</f>
        <v>1</v>
      </c>
      <c r="B72" s="5" t="s">
        <v>246</v>
      </c>
      <c r="C72" s="6" t="s">
        <v>334</v>
      </c>
      <c r="D72" s="5" t="s">
        <v>125</v>
      </c>
      <c r="E72" s="5" t="s">
        <v>73</v>
      </c>
      <c r="F72" s="5" t="s">
        <v>21</v>
      </c>
      <c r="H72" s="4">
        <v>45</v>
      </c>
      <c r="I72" s="4">
        <v>26</v>
      </c>
      <c r="J72" s="4">
        <v>17</v>
      </c>
      <c r="K72" s="4">
        <v>27</v>
      </c>
      <c r="L72" s="4">
        <v>24</v>
      </c>
      <c r="M72" s="4">
        <v>27</v>
      </c>
      <c r="N72" s="4">
        <v>74</v>
      </c>
      <c r="O72" s="4">
        <v>40</v>
      </c>
      <c r="P72" s="7">
        <v>70</v>
      </c>
      <c r="Q72" s="7">
        <v>94</v>
      </c>
      <c r="R72" s="7">
        <v>69</v>
      </c>
      <c r="S72" s="7">
        <v>30</v>
      </c>
      <c r="T72" s="7">
        <v>23</v>
      </c>
      <c r="U72" s="7">
        <v>18</v>
      </c>
      <c r="V72" s="7">
        <v>103</v>
      </c>
      <c r="W72" s="5">
        <v>1</v>
      </c>
      <c r="X72" s="35" t="s">
        <v>338</v>
      </c>
      <c r="Y72" s="8">
        <v>1</v>
      </c>
      <c r="Z72" s="37" t="s">
        <v>392</v>
      </c>
    </row>
    <row r="73" spans="1:26" ht="23.25" hidden="1" customHeight="1" x14ac:dyDescent="0.25">
      <c r="A73" s="13">
        <f>SUBTOTAL(3,$B$35:B73)</f>
        <v>1</v>
      </c>
      <c r="B73" s="5" t="s">
        <v>247</v>
      </c>
      <c r="C73" s="6" t="s">
        <v>333</v>
      </c>
      <c r="D73" s="5" t="s">
        <v>126</v>
      </c>
      <c r="E73" s="5" t="s">
        <v>73</v>
      </c>
      <c r="F73" s="5" t="s">
        <v>21</v>
      </c>
      <c r="H73" s="4">
        <v>46</v>
      </c>
      <c r="I73" s="4">
        <v>26</v>
      </c>
      <c r="J73" s="4">
        <v>20</v>
      </c>
      <c r="K73" s="4">
        <v>31</v>
      </c>
      <c r="L73" s="4">
        <v>30</v>
      </c>
      <c r="M73" s="4">
        <v>31</v>
      </c>
      <c r="N73" s="4">
        <v>77</v>
      </c>
      <c r="O73" s="4">
        <v>42</v>
      </c>
      <c r="P73" s="7">
        <v>92</v>
      </c>
      <c r="Q73" s="7">
        <v>115</v>
      </c>
      <c r="R73" s="7">
        <v>74</v>
      </c>
      <c r="S73" s="7">
        <v>35</v>
      </c>
      <c r="T73" s="7">
        <v>27</v>
      </c>
      <c r="U73" s="7">
        <v>22</v>
      </c>
      <c r="V73" s="7">
        <v>105</v>
      </c>
      <c r="W73" s="5">
        <v>1</v>
      </c>
      <c r="X73" s="35" t="s">
        <v>338</v>
      </c>
      <c r="Y73" s="8">
        <v>1</v>
      </c>
      <c r="Z73" s="37" t="s">
        <v>392</v>
      </c>
    </row>
    <row r="74" spans="1:26" ht="23.25" hidden="1" customHeight="1" x14ac:dyDescent="0.25">
      <c r="A74" s="13">
        <f>SUBTOTAL(3,$B$35:B74)</f>
        <v>1</v>
      </c>
      <c r="B74" s="5" t="s">
        <v>248</v>
      </c>
      <c r="C74" s="6" t="s">
        <v>127</v>
      </c>
      <c r="D74" s="5" t="s">
        <v>335</v>
      </c>
      <c r="E74" s="5" t="s">
        <v>73</v>
      </c>
      <c r="F74" s="5" t="s">
        <v>21</v>
      </c>
      <c r="H74" s="4">
        <v>45</v>
      </c>
      <c r="I74" s="4">
        <v>25</v>
      </c>
      <c r="J74" s="4">
        <v>19</v>
      </c>
      <c r="K74" s="4">
        <v>29</v>
      </c>
      <c r="L74" s="4">
        <v>28</v>
      </c>
      <c r="M74" s="4">
        <v>29</v>
      </c>
      <c r="N74" s="4">
        <v>74</v>
      </c>
      <c r="O74" s="4">
        <v>41</v>
      </c>
      <c r="P74" s="7">
        <v>85</v>
      </c>
      <c r="Q74" s="7">
        <v>104</v>
      </c>
      <c r="R74" s="7">
        <v>65</v>
      </c>
      <c r="S74" s="7">
        <v>33</v>
      </c>
      <c r="T74" s="7">
        <v>25</v>
      </c>
      <c r="U74" s="7">
        <v>20</v>
      </c>
      <c r="V74" s="7">
        <v>100</v>
      </c>
      <c r="W74" s="5">
        <v>1</v>
      </c>
      <c r="X74" s="35" t="s">
        <v>338</v>
      </c>
      <c r="Y74" s="8">
        <v>1</v>
      </c>
      <c r="Z74" s="37" t="s">
        <v>392</v>
      </c>
    </row>
    <row r="75" spans="1:26" ht="23.25" hidden="1" customHeight="1" x14ac:dyDescent="0.25">
      <c r="A75" s="13">
        <f>SUBTOTAL(3,$B$35:B75)</f>
        <v>1</v>
      </c>
      <c r="B75" s="5" t="s">
        <v>249</v>
      </c>
      <c r="C75" s="6" t="s">
        <v>329</v>
      </c>
      <c r="D75" s="5" t="s">
        <v>128</v>
      </c>
      <c r="E75" s="5" t="s">
        <v>73</v>
      </c>
      <c r="F75" s="5" t="s">
        <v>21</v>
      </c>
      <c r="H75" s="4">
        <v>46</v>
      </c>
      <c r="I75" s="4">
        <v>25</v>
      </c>
      <c r="J75" s="4">
        <v>19</v>
      </c>
      <c r="K75" s="4">
        <v>29</v>
      </c>
      <c r="L75" s="4">
        <v>27</v>
      </c>
      <c r="M75" s="4">
        <v>29</v>
      </c>
      <c r="N75" s="4">
        <v>73</v>
      </c>
      <c r="O75" s="4">
        <v>42</v>
      </c>
      <c r="P75" s="7">
        <v>93</v>
      </c>
      <c r="Q75" s="7">
        <v>112</v>
      </c>
      <c r="R75" s="7">
        <v>67</v>
      </c>
      <c r="S75" s="7">
        <v>34</v>
      </c>
      <c r="T75" s="7">
        <v>24</v>
      </c>
      <c r="U75" s="7">
        <v>19</v>
      </c>
      <c r="V75" s="7">
        <v>97</v>
      </c>
      <c r="W75" s="5">
        <v>1</v>
      </c>
      <c r="X75" s="35" t="s">
        <v>338</v>
      </c>
      <c r="Y75" s="8">
        <v>1</v>
      </c>
      <c r="Z75" s="37" t="s">
        <v>392</v>
      </c>
    </row>
    <row r="76" spans="1:26" ht="23.25" hidden="1" customHeight="1" x14ac:dyDescent="0.25">
      <c r="A76" s="13">
        <f>SUBTOTAL(3,$B$35:B76)</f>
        <v>1</v>
      </c>
      <c r="B76" s="5" t="s">
        <v>250</v>
      </c>
      <c r="C76" s="6" t="s">
        <v>306</v>
      </c>
      <c r="D76" s="5" t="s">
        <v>129</v>
      </c>
      <c r="E76" s="5" t="s">
        <v>73</v>
      </c>
      <c r="F76" s="5" t="s">
        <v>21</v>
      </c>
      <c r="H76" s="4">
        <v>48</v>
      </c>
      <c r="I76" s="4">
        <v>26</v>
      </c>
      <c r="J76" s="4">
        <v>18</v>
      </c>
      <c r="K76" s="4">
        <v>30</v>
      </c>
      <c r="L76" s="4">
        <v>28</v>
      </c>
      <c r="M76" s="4">
        <v>30</v>
      </c>
      <c r="N76" s="4">
        <v>75</v>
      </c>
      <c r="O76" s="4">
        <v>42</v>
      </c>
      <c r="P76" s="7">
        <v>101</v>
      </c>
      <c r="Q76" s="7">
        <v>118</v>
      </c>
      <c r="R76" s="7">
        <v>70</v>
      </c>
      <c r="S76" s="7">
        <v>36</v>
      </c>
      <c r="T76" s="7">
        <v>27</v>
      </c>
      <c r="U76" s="7">
        <v>21</v>
      </c>
      <c r="V76" s="7">
        <v>100</v>
      </c>
      <c r="W76" s="5">
        <v>3</v>
      </c>
      <c r="X76" s="35" t="s">
        <v>379</v>
      </c>
      <c r="Y76" s="8">
        <v>1</v>
      </c>
      <c r="Z76" s="37" t="s">
        <v>392</v>
      </c>
    </row>
    <row r="77" spans="1:26" ht="23.25" hidden="1" customHeight="1" x14ac:dyDescent="0.25">
      <c r="A77" s="13">
        <f>SUBTOTAL(3,$B$35:B77)</f>
        <v>1</v>
      </c>
      <c r="B77" s="5" t="s">
        <v>251</v>
      </c>
      <c r="C77" s="6" t="s">
        <v>290</v>
      </c>
      <c r="D77" s="5" t="s">
        <v>130</v>
      </c>
      <c r="E77" s="5" t="s">
        <v>73</v>
      </c>
      <c r="F77" s="5" t="s">
        <v>21</v>
      </c>
      <c r="H77" s="4">
        <v>44</v>
      </c>
      <c r="I77" s="4">
        <v>24</v>
      </c>
      <c r="J77" s="4">
        <v>18</v>
      </c>
      <c r="K77" s="4">
        <v>28</v>
      </c>
      <c r="L77" s="4">
        <v>26</v>
      </c>
      <c r="M77" s="4">
        <v>28</v>
      </c>
      <c r="N77" s="4">
        <v>70</v>
      </c>
      <c r="O77" s="4">
        <v>38</v>
      </c>
      <c r="P77" s="7">
        <v>84</v>
      </c>
      <c r="Q77" s="7">
        <v>106</v>
      </c>
      <c r="R77" s="7">
        <v>68</v>
      </c>
      <c r="S77" s="7">
        <v>34</v>
      </c>
      <c r="T77" s="7">
        <v>24</v>
      </c>
      <c r="U77" s="7">
        <v>19</v>
      </c>
      <c r="V77" s="7">
        <v>97</v>
      </c>
      <c r="W77" s="5">
        <v>1</v>
      </c>
      <c r="X77" s="35" t="s">
        <v>338</v>
      </c>
      <c r="Y77" s="8">
        <v>1</v>
      </c>
      <c r="Z77" s="37" t="s">
        <v>392</v>
      </c>
    </row>
    <row r="78" spans="1:26" s="32" customFormat="1" ht="23.25" hidden="1" customHeight="1" x14ac:dyDescent="0.25">
      <c r="A78" s="13">
        <f>SUBTOTAL(3,$B$35:B78)</f>
        <v>1</v>
      </c>
      <c r="B78" s="27" t="s">
        <v>340</v>
      </c>
      <c r="C78" s="28" t="s">
        <v>341</v>
      </c>
      <c r="D78" s="5" t="s">
        <v>359</v>
      </c>
      <c r="E78" s="27" t="s">
        <v>73</v>
      </c>
      <c r="F78" s="27" t="s">
        <v>20</v>
      </c>
      <c r="G78" s="29"/>
      <c r="H78" s="30">
        <v>41</v>
      </c>
      <c r="I78" s="30">
        <v>52</v>
      </c>
      <c r="J78" s="30">
        <v>15</v>
      </c>
      <c r="K78" s="30">
        <v>12</v>
      </c>
      <c r="L78" s="30">
        <v>25</v>
      </c>
      <c r="M78" s="30">
        <v>22</v>
      </c>
      <c r="N78" s="30">
        <v>25</v>
      </c>
      <c r="O78" s="30">
        <v>64</v>
      </c>
      <c r="P78" s="31">
        <v>38</v>
      </c>
      <c r="Q78" s="31">
        <v>68</v>
      </c>
      <c r="R78" s="31">
        <v>94</v>
      </c>
      <c r="S78" s="31">
        <v>64</v>
      </c>
      <c r="T78" s="31">
        <v>31</v>
      </c>
      <c r="U78" s="31">
        <v>22</v>
      </c>
      <c r="V78" s="31">
        <v>18</v>
      </c>
      <c r="W78" s="27">
        <v>2</v>
      </c>
      <c r="X78" s="36" t="s">
        <v>342</v>
      </c>
      <c r="Y78" s="8">
        <v>1</v>
      </c>
      <c r="Z78" s="37" t="s">
        <v>392</v>
      </c>
    </row>
    <row r="79" spans="1:26" s="32" customFormat="1" ht="23.25" hidden="1" customHeight="1" x14ac:dyDescent="0.25">
      <c r="A79" s="13">
        <f>SUBTOTAL(3,$B$35:B79)</f>
        <v>1</v>
      </c>
      <c r="B79" s="27" t="s">
        <v>355</v>
      </c>
      <c r="C79" s="28" t="s">
        <v>351</v>
      </c>
      <c r="D79" s="5" t="s">
        <v>360</v>
      </c>
      <c r="E79" s="27" t="s">
        <v>73</v>
      </c>
      <c r="F79" s="27" t="s">
        <v>21</v>
      </c>
      <c r="G79" s="29"/>
      <c r="H79" s="33">
        <v>46</v>
      </c>
      <c r="I79" s="33">
        <v>25</v>
      </c>
      <c r="J79" s="33">
        <v>17</v>
      </c>
      <c r="K79" s="33">
        <v>27</v>
      </c>
      <c r="L79" s="33">
        <v>25</v>
      </c>
      <c r="M79" s="33">
        <v>27</v>
      </c>
      <c r="N79" s="33">
        <v>69</v>
      </c>
      <c r="O79" s="33">
        <v>38</v>
      </c>
      <c r="P79" s="34">
        <v>82</v>
      </c>
      <c r="Q79" s="34">
        <v>104</v>
      </c>
      <c r="R79" s="34">
        <v>70</v>
      </c>
      <c r="S79" s="34">
        <v>30</v>
      </c>
      <c r="T79" s="34">
        <v>23</v>
      </c>
      <c r="U79" s="34">
        <v>18</v>
      </c>
      <c r="V79" s="34">
        <v>95</v>
      </c>
      <c r="W79" s="27">
        <v>3</v>
      </c>
      <c r="X79" s="36" t="s">
        <v>379</v>
      </c>
      <c r="Y79" s="8">
        <v>1</v>
      </c>
      <c r="Z79" s="37" t="s">
        <v>392</v>
      </c>
    </row>
    <row r="80" spans="1:26" s="32" customFormat="1" ht="23.25" hidden="1" customHeight="1" x14ac:dyDescent="0.25">
      <c r="A80" s="13">
        <f>SUBTOTAL(3,$B$35:B80)</f>
        <v>1</v>
      </c>
      <c r="B80" s="27" t="s">
        <v>356</v>
      </c>
      <c r="C80" s="28" t="s">
        <v>352</v>
      </c>
      <c r="D80" s="5" t="s">
        <v>361</v>
      </c>
      <c r="E80" s="27" t="s">
        <v>73</v>
      </c>
      <c r="F80" s="27" t="s">
        <v>21</v>
      </c>
      <c r="G80" s="29"/>
      <c r="H80" s="33">
        <v>39</v>
      </c>
      <c r="I80" s="33">
        <v>22</v>
      </c>
      <c r="J80" s="33">
        <v>16</v>
      </c>
      <c r="K80" s="33">
        <v>25</v>
      </c>
      <c r="L80" s="33">
        <v>22</v>
      </c>
      <c r="M80" s="33">
        <v>25</v>
      </c>
      <c r="N80" s="33">
        <v>68</v>
      </c>
      <c r="O80" s="33">
        <v>35</v>
      </c>
      <c r="P80" s="34">
        <v>67</v>
      </c>
      <c r="Q80" s="34">
        <v>90</v>
      </c>
      <c r="R80" s="34">
        <v>65</v>
      </c>
      <c r="S80" s="34">
        <v>29</v>
      </c>
      <c r="T80" s="34">
        <v>23</v>
      </c>
      <c r="U80" s="34">
        <v>17</v>
      </c>
      <c r="V80" s="34">
        <v>90</v>
      </c>
      <c r="W80" s="27">
        <v>4</v>
      </c>
      <c r="X80" s="35" t="s">
        <v>393</v>
      </c>
      <c r="Y80" s="8"/>
      <c r="Z80" s="37"/>
    </row>
    <row r="81" spans="1:26" s="32" customFormat="1" ht="23.25" hidden="1" customHeight="1" x14ac:dyDescent="0.25">
      <c r="A81" s="13">
        <f>SUBTOTAL(3,$B$35:B81)</f>
        <v>1</v>
      </c>
      <c r="B81" s="27" t="s">
        <v>357</v>
      </c>
      <c r="C81" s="28" t="s">
        <v>353</v>
      </c>
      <c r="D81" s="5" t="s">
        <v>362</v>
      </c>
      <c r="E81" s="27" t="s">
        <v>73</v>
      </c>
      <c r="F81" s="27" t="s">
        <v>21</v>
      </c>
      <c r="G81" s="29"/>
      <c r="H81" s="33">
        <v>44</v>
      </c>
      <c r="I81" s="33">
        <v>26</v>
      </c>
      <c r="J81" s="33">
        <v>16</v>
      </c>
      <c r="K81" s="33">
        <v>26</v>
      </c>
      <c r="L81" s="33">
        <v>24</v>
      </c>
      <c r="M81" s="33">
        <v>26</v>
      </c>
      <c r="N81" s="33">
        <v>71</v>
      </c>
      <c r="O81" s="33">
        <v>37</v>
      </c>
      <c r="P81" s="34">
        <v>76</v>
      </c>
      <c r="Q81" s="34">
        <v>98</v>
      </c>
      <c r="R81" s="34">
        <v>64</v>
      </c>
      <c r="S81" s="34">
        <v>30</v>
      </c>
      <c r="T81" s="34">
        <v>23</v>
      </c>
      <c r="U81" s="34">
        <v>18</v>
      </c>
      <c r="V81" s="34">
        <v>98</v>
      </c>
      <c r="W81" s="27">
        <v>4</v>
      </c>
      <c r="X81" s="35" t="s">
        <v>393</v>
      </c>
      <c r="Y81" s="8"/>
      <c r="Z81" s="37"/>
    </row>
    <row r="82" spans="1:26" s="32" customFormat="1" ht="23.25" hidden="1" customHeight="1" x14ac:dyDescent="0.25">
      <c r="A82" s="13">
        <f>SUBTOTAL(3,$B$35:B82)</f>
        <v>1</v>
      </c>
      <c r="B82" s="27" t="s">
        <v>358</v>
      </c>
      <c r="C82" s="28" t="s">
        <v>354</v>
      </c>
      <c r="D82" s="5" t="s">
        <v>363</v>
      </c>
      <c r="E82" s="27" t="s">
        <v>73</v>
      </c>
      <c r="F82" s="27" t="s">
        <v>21</v>
      </c>
      <c r="G82" s="29"/>
      <c r="H82" s="33">
        <v>43</v>
      </c>
      <c r="I82" s="33">
        <v>25</v>
      </c>
      <c r="J82" s="33">
        <v>16</v>
      </c>
      <c r="K82" s="33">
        <v>26</v>
      </c>
      <c r="L82" s="33">
        <v>24</v>
      </c>
      <c r="M82" s="33">
        <v>26</v>
      </c>
      <c r="N82" s="33">
        <v>72</v>
      </c>
      <c r="O82" s="33">
        <v>37</v>
      </c>
      <c r="P82" s="34">
        <v>72</v>
      </c>
      <c r="Q82" s="34">
        <v>98</v>
      </c>
      <c r="R82" s="34">
        <v>62</v>
      </c>
      <c r="S82" s="34">
        <v>29</v>
      </c>
      <c r="T82" s="34">
        <v>23</v>
      </c>
      <c r="U82" s="34">
        <v>18</v>
      </c>
      <c r="V82" s="34">
        <v>95</v>
      </c>
      <c r="W82" s="27">
        <v>4</v>
      </c>
      <c r="X82" s="35" t="s">
        <v>391</v>
      </c>
      <c r="Y82" s="8"/>
      <c r="Z82" s="37"/>
    </row>
    <row r="83" spans="1:26" ht="23.25" hidden="1" customHeight="1" x14ac:dyDescent="0.25">
      <c r="A83" s="13">
        <f>SUBTOTAL(3,$B$83:B83)</f>
        <v>0</v>
      </c>
      <c r="B83" s="5" t="s">
        <v>252</v>
      </c>
      <c r="C83" s="6" t="s">
        <v>328</v>
      </c>
      <c r="D83" s="5" t="s">
        <v>131</v>
      </c>
      <c r="E83" s="5" t="s">
        <v>132</v>
      </c>
      <c r="F83" s="5" t="s">
        <v>21</v>
      </c>
      <c r="H83" s="4">
        <v>43</v>
      </c>
      <c r="I83" s="4">
        <v>25</v>
      </c>
      <c r="J83" s="4">
        <v>17</v>
      </c>
      <c r="K83" s="4">
        <v>25</v>
      </c>
      <c r="L83" s="4">
        <v>23</v>
      </c>
      <c r="M83" s="4">
        <v>25</v>
      </c>
      <c r="N83" s="4">
        <v>62</v>
      </c>
      <c r="O83" s="4">
        <v>40</v>
      </c>
      <c r="P83" s="7">
        <v>74</v>
      </c>
      <c r="Q83" s="7">
        <v>95</v>
      </c>
      <c r="R83" s="7">
        <v>60</v>
      </c>
      <c r="S83" s="7">
        <v>30</v>
      </c>
      <c r="T83" s="7">
        <v>24</v>
      </c>
      <c r="U83" s="7">
        <v>18</v>
      </c>
      <c r="V83" s="7">
        <v>94</v>
      </c>
      <c r="W83" s="5">
        <v>1</v>
      </c>
      <c r="X83" s="35" t="s">
        <v>338</v>
      </c>
      <c r="Y83" s="8">
        <v>1</v>
      </c>
      <c r="Z83" s="37" t="s">
        <v>392</v>
      </c>
    </row>
    <row r="84" spans="1:26" ht="23.25" hidden="1" customHeight="1" x14ac:dyDescent="0.25">
      <c r="A84" s="13">
        <f>SUBTOTAL(3,$B$83:B84)</f>
        <v>0</v>
      </c>
      <c r="B84" s="5" t="s">
        <v>253</v>
      </c>
      <c r="C84" s="6" t="s">
        <v>317</v>
      </c>
      <c r="D84" s="5" t="s">
        <v>133</v>
      </c>
      <c r="E84" s="5" t="s">
        <v>132</v>
      </c>
      <c r="F84" s="5" t="s">
        <v>21</v>
      </c>
      <c r="H84" s="4">
        <v>42</v>
      </c>
      <c r="I84" s="4">
        <v>24</v>
      </c>
      <c r="J84" s="4">
        <v>17</v>
      </c>
      <c r="K84" s="4">
        <v>25</v>
      </c>
      <c r="L84" s="4">
        <v>23</v>
      </c>
      <c r="M84" s="4">
        <v>25</v>
      </c>
      <c r="N84" s="4">
        <v>70</v>
      </c>
      <c r="O84" s="4">
        <v>40</v>
      </c>
      <c r="P84" s="7">
        <v>74</v>
      </c>
      <c r="Q84" s="7">
        <v>98</v>
      </c>
      <c r="R84" s="7">
        <v>64</v>
      </c>
      <c r="S84" s="7">
        <v>30</v>
      </c>
      <c r="T84" s="7">
        <v>24</v>
      </c>
      <c r="U84" s="7">
        <v>18</v>
      </c>
      <c r="V84" s="7">
        <v>100</v>
      </c>
      <c r="W84" s="5">
        <v>1</v>
      </c>
      <c r="X84" s="35" t="s">
        <v>338</v>
      </c>
      <c r="Y84" s="8">
        <v>1</v>
      </c>
      <c r="Z84" s="37" t="s">
        <v>392</v>
      </c>
    </row>
    <row r="85" spans="1:26" ht="23.25" hidden="1" customHeight="1" x14ac:dyDescent="0.25">
      <c r="A85" s="13">
        <f>SUBTOTAL(3,$B$83:B85)</f>
        <v>0</v>
      </c>
      <c r="B85" s="5" t="s">
        <v>254</v>
      </c>
      <c r="C85" s="6" t="s">
        <v>299</v>
      </c>
      <c r="D85" s="5" t="s">
        <v>134</v>
      </c>
      <c r="E85" s="5" t="s">
        <v>132</v>
      </c>
      <c r="F85" s="5" t="s">
        <v>21</v>
      </c>
      <c r="H85" s="4">
        <v>40</v>
      </c>
      <c r="I85" s="4">
        <v>24</v>
      </c>
      <c r="J85" s="4">
        <v>16</v>
      </c>
      <c r="K85" s="4">
        <v>25</v>
      </c>
      <c r="L85" s="4">
        <v>23</v>
      </c>
      <c r="M85" s="4">
        <v>25</v>
      </c>
      <c r="N85" s="4">
        <v>68</v>
      </c>
      <c r="O85" s="4">
        <v>39</v>
      </c>
      <c r="P85" s="7">
        <v>70</v>
      </c>
      <c r="Q85" s="7">
        <v>90</v>
      </c>
      <c r="R85" s="7">
        <v>62</v>
      </c>
      <c r="S85" s="7">
        <v>28</v>
      </c>
      <c r="T85" s="7">
        <v>22</v>
      </c>
      <c r="U85" s="7">
        <v>18</v>
      </c>
      <c r="V85" s="7">
        <v>99</v>
      </c>
      <c r="W85" s="5">
        <v>1</v>
      </c>
      <c r="X85" s="35" t="s">
        <v>338</v>
      </c>
      <c r="Y85" s="8">
        <v>1</v>
      </c>
      <c r="Z85" s="37" t="s">
        <v>392</v>
      </c>
    </row>
    <row r="86" spans="1:26" ht="23.25" hidden="1" customHeight="1" x14ac:dyDescent="0.25">
      <c r="A86" s="13">
        <f>SUBTOTAL(3,$B$83:B86)</f>
        <v>0</v>
      </c>
      <c r="B86" s="5" t="s">
        <v>255</v>
      </c>
      <c r="C86" s="6" t="s">
        <v>327</v>
      </c>
      <c r="D86" s="5" t="s">
        <v>135</v>
      </c>
      <c r="E86" s="5" t="s">
        <v>132</v>
      </c>
      <c r="F86" s="5" t="s">
        <v>21</v>
      </c>
      <c r="H86" s="4">
        <v>42</v>
      </c>
      <c r="I86" s="4">
        <v>26</v>
      </c>
      <c r="J86" s="4">
        <v>16</v>
      </c>
      <c r="K86" s="4">
        <v>26</v>
      </c>
      <c r="L86" s="4">
        <v>23</v>
      </c>
      <c r="M86" s="4">
        <v>26</v>
      </c>
      <c r="N86" s="4">
        <v>72</v>
      </c>
      <c r="O86" s="4">
        <v>37</v>
      </c>
      <c r="P86" s="7">
        <v>68</v>
      </c>
      <c r="Q86" s="7">
        <v>91</v>
      </c>
      <c r="R86" s="7">
        <v>69</v>
      </c>
      <c r="S86" s="7">
        <v>30</v>
      </c>
      <c r="T86" s="7">
        <v>23</v>
      </c>
      <c r="U86" s="7">
        <v>19</v>
      </c>
      <c r="V86" s="7">
        <v>102</v>
      </c>
      <c r="W86" s="5">
        <v>1</v>
      </c>
      <c r="X86" s="35" t="s">
        <v>338</v>
      </c>
      <c r="Y86" s="8">
        <v>1</v>
      </c>
      <c r="Z86" s="37" t="s">
        <v>392</v>
      </c>
    </row>
    <row r="87" spans="1:26" ht="23.25" hidden="1" customHeight="1" x14ac:dyDescent="0.25">
      <c r="A87" s="13">
        <f>SUBTOTAL(3,$B$83:B87)</f>
        <v>0</v>
      </c>
      <c r="B87" s="5" t="s">
        <v>256</v>
      </c>
      <c r="C87" s="6" t="s">
        <v>136</v>
      </c>
      <c r="D87" s="5" t="s">
        <v>137</v>
      </c>
      <c r="E87" s="5" t="s">
        <v>132</v>
      </c>
      <c r="F87" s="5" t="s">
        <v>21</v>
      </c>
      <c r="H87" s="4">
        <v>42</v>
      </c>
      <c r="I87" s="4">
        <v>23</v>
      </c>
      <c r="J87" s="4">
        <v>16</v>
      </c>
      <c r="K87" s="4">
        <v>25</v>
      </c>
      <c r="L87" s="4">
        <v>23</v>
      </c>
      <c r="M87" s="4">
        <v>25</v>
      </c>
      <c r="N87" s="4">
        <v>68</v>
      </c>
      <c r="O87" s="4">
        <v>38</v>
      </c>
      <c r="P87" s="7">
        <v>68</v>
      </c>
      <c r="Q87" s="7">
        <v>98</v>
      </c>
      <c r="R87" s="7">
        <v>62</v>
      </c>
      <c r="S87" s="7">
        <v>28</v>
      </c>
      <c r="T87" s="7">
        <v>22</v>
      </c>
      <c r="U87" s="7">
        <v>18</v>
      </c>
      <c r="V87" s="7">
        <v>99</v>
      </c>
      <c r="W87" s="5">
        <v>1</v>
      </c>
      <c r="X87" s="35" t="s">
        <v>338</v>
      </c>
      <c r="Y87" s="8">
        <v>1</v>
      </c>
      <c r="Z87" s="37" t="s">
        <v>392</v>
      </c>
    </row>
    <row r="88" spans="1:26" ht="23.25" hidden="1" customHeight="1" x14ac:dyDescent="0.25">
      <c r="A88" s="13">
        <f>SUBTOTAL(3,$B$83:B88)</f>
        <v>0</v>
      </c>
      <c r="B88" s="5" t="s">
        <v>257</v>
      </c>
      <c r="C88" s="6" t="s">
        <v>138</v>
      </c>
      <c r="D88" s="5" t="s">
        <v>139</v>
      </c>
      <c r="E88" s="5" t="s">
        <v>132</v>
      </c>
      <c r="F88" s="5" t="s">
        <v>21</v>
      </c>
      <c r="H88" s="4">
        <v>48</v>
      </c>
      <c r="I88" s="4">
        <v>25</v>
      </c>
      <c r="J88" s="4">
        <v>19</v>
      </c>
      <c r="K88" s="4">
        <v>31</v>
      </c>
      <c r="L88" s="4">
        <v>30</v>
      </c>
      <c r="M88" s="4">
        <v>31</v>
      </c>
      <c r="N88" s="4">
        <v>74</v>
      </c>
      <c r="O88" s="4">
        <v>43</v>
      </c>
      <c r="P88" s="7">
        <v>104</v>
      </c>
      <c r="Q88" s="7">
        <v>115</v>
      </c>
      <c r="R88" s="7">
        <v>74</v>
      </c>
      <c r="S88" s="7">
        <v>36</v>
      </c>
      <c r="T88" s="7">
        <v>26</v>
      </c>
      <c r="U88" s="7">
        <v>20</v>
      </c>
      <c r="V88" s="7">
        <v>104</v>
      </c>
      <c r="W88" s="5">
        <v>1</v>
      </c>
      <c r="X88" s="35" t="s">
        <v>338</v>
      </c>
      <c r="Y88" s="8">
        <v>1</v>
      </c>
      <c r="Z88" s="37" t="s">
        <v>392</v>
      </c>
    </row>
    <row r="89" spans="1:26" ht="23.25" hidden="1" customHeight="1" x14ac:dyDescent="0.25">
      <c r="A89" s="13">
        <f>SUBTOTAL(3,$B$83:B89)</f>
        <v>0</v>
      </c>
      <c r="B89" s="5" t="s">
        <v>258</v>
      </c>
      <c r="C89" s="6" t="s">
        <v>140</v>
      </c>
      <c r="D89" s="5" t="s">
        <v>141</v>
      </c>
      <c r="E89" s="5" t="s">
        <v>132</v>
      </c>
      <c r="F89" s="5" t="s">
        <v>21</v>
      </c>
      <c r="H89" s="4">
        <v>43</v>
      </c>
      <c r="I89" s="4">
        <v>24</v>
      </c>
      <c r="J89" s="4">
        <v>16</v>
      </c>
      <c r="K89" s="4">
        <v>25</v>
      </c>
      <c r="L89" s="4">
        <v>23</v>
      </c>
      <c r="M89" s="4">
        <v>25</v>
      </c>
      <c r="N89" s="4">
        <v>70</v>
      </c>
      <c r="O89" s="4">
        <v>38</v>
      </c>
      <c r="P89" s="7">
        <v>72</v>
      </c>
      <c r="Q89" s="7">
        <v>100</v>
      </c>
      <c r="R89" s="7">
        <v>62</v>
      </c>
      <c r="S89" s="7">
        <v>30</v>
      </c>
      <c r="T89" s="7">
        <v>24</v>
      </c>
      <c r="U89" s="7">
        <v>18</v>
      </c>
      <c r="V89" s="7">
        <v>100</v>
      </c>
      <c r="W89" s="5">
        <v>1</v>
      </c>
      <c r="X89" s="35" t="s">
        <v>338</v>
      </c>
      <c r="Y89" s="8">
        <v>1</v>
      </c>
      <c r="Z89" s="37" t="s">
        <v>392</v>
      </c>
    </row>
    <row r="90" spans="1:26" ht="23.25" hidden="1" customHeight="1" x14ac:dyDescent="0.25">
      <c r="A90" s="13">
        <f>SUBTOTAL(3,$B$83:B90)</f>
        <v>0</v>
      </c>
      <c r="B90" s="5" t="s">
        <v>259</v>
      </c>
      <c r="C90" s="6" t="s">
        <v>305</v>
      </c>
      <c r="D90" s="5" t="s">
        <v>142</v>
      </c>
      <c r="E90" s="5" t="s">
        <v>132</v>
      </c>
      <c r="F90" s="5" t="s">
        <v>21</v>
      </c>
      <c r="H90" s="4">
        <v>44</v>
      </c>
      <c r="I90" s="4">
        <v>25</v>
      </c>
      <c r="J90" s="4">
        <v>18</v>
      </c>
      <c r="K90" s="4">
        <v>27</v>
      </c>
      <c r="L90" s="4">
        <v>26</v>
      </c>
      <c r="M90" s="4">
        <v>27</v>
      </c>
      <c r="N90" s="4">
        <v>72</v>
      </c>
      <c r="O90" s="4">
        <v>40</v>
      </c>
      <c r="P90" s="7">
        <v>93</v>
      </c>
      <c r="Q90" s="7">
        <v>110</v>
      </c>
      <c r="R90" s="7">
        <v>70</v>
      </c>
      <c r="S90" s="7">
        <v>32</v>
      </c>
      <c r="T90" s="7">
        <v>26</v>
      </c>
      <c r="U90" s="7">
        <v>20</v>
      </c>
      <c r="V90" s="7">
        <v>102</v>
      </c>
      <c r="W90" s="5">
        <v>1</v>
      </c>
      <c r="X90" s="35" t="s">
        <v>338</v>
      </c>
      <c r="Y90" s="8">
        <v>1</v>
      </c>
      <c r="Z90" s="37" t="s">
        <v>392</v>
      </c>
    </row>
    <row r="91" spans="1:26" ht="23.25" hidden="1" customHeight="1" x14ac:dyDescent="0.25">
      <c r="A91" s="13">
        <f>SUBTOTAL(3,$B$83:B91)</f>
        <v>0</v>
      </c>
      <c r="B91" s="5" t="s">
        <v>260</v>
      </c>
      <c r="C91" s="6" t="s">
        <v>143</v>
      </c>
      <c r="D91" s="5" t="s">
        <v>144</v>
      </c>
      <c r="E91" s="5" t="s">
        <v>132</v>
      </c>
      <c r="F91" s="5" t="s">
        <v>21</v>
      </c>
      <c r="H91" s="4">
        <v>42</v>
      </c>
      <c r="I91" s="4">
        <v>23</v>
      </c>
      <c r="J91" s="4">
        <v>16</v>
      </c>
      <c r="K91" s="4">
        <v>25</v>
      </c>
      <c r="L91" s="4">
        <v>23</v>
      </c>
      <c r="M91" s="4">
        <v>25</v>
      </c>
      <c r="N91" s="4">
        <v>70</v>
      </c>
      <c r="O91" s="4">
        <v>38</v>
      </c>
      <c r="P91" s="7">
        <v>78</v>
      </c>
      <c r="Q91" s="7">
        <v>100</v>
      </c>
      <c r="R91" s="7">
        <v>60</v>
      </c>
      <c r="S91" s="7">
        <v>30</v>
      </c>
      <c r="T91" s="7">
        <v>22</v>
      </c>
      <c r="U91" s="7">
        <v>18</v>
      </c>
      <c r="V91" s="7">
        <v>100</v>
      </c>
      <c r="W91" s="5">
        <v>1</v>
      </c>
      <c r="X91" s="35" t="s">
        <v>338</v>
      </c>
      <c r="Y91" s="8">
        <v>1</v>
      </c>
      <c r="Z91" s="37" t="s">
        <v>392</v>
      </c>
    </row>
    <row r="92" spans="1:26" ht="23.25" hidden="1" customHeight="1" x14ac:dyDescent="0.25">
      <c r="A92" s="13">
        <f>SUBTOTAL(3,$B$83:B92)</f>
        <v>0</v>
      </c>
      <c r="B92" s="5" t="s">
        <v>261</v>
      </c>
      <c r="C92" s="6" t="s">
        <v>145</v>
      </c>
      <c r="D92" s="5" t="s">
        <v>146</v>
      </c>
      <c r="E92" s="5" t="s">
        <v>132</v>
      </c>
      <c r="F92" s="5" t="s">
        <v>21</v>
      </c>
      <c r="H92" s="4">
        <v>45</v>
      </c>
      <c r="I92" s="4">
        <v>24</v>
      </c>
      <c r="J92" s="4">
        <v>17</v>
      </c>
      <c r="K92" s="4">
        <v>27</v>
      </c>
      <c r="L92" s="4">
        <v>26</v>
      </c>
      <c r="M92" s="4">
        <v>27</v>
      </c>
      <c r="N92" s="4">
        <v>72</v>
      </c>
      <c r="O92" s="4">
        <v>40</v>
      </c>
      <c r="P92" s="7">
        <v>89</v>
      </c>
      <c r="Q92" s="7">
        <v>110</v>
      </c>
      <c r="R92" s="7">
        <v>64</v>
      </c>
      <c r="S92" s="7">
        <v>33</v>
      </c>
      <c r="T92" s="7">
        <v>22</v>
      </c>
      <c r="U92" s="7">
        <v>18</v>
      </c>
      <c r="V92" s="7">
        <v>96</v>
      </c>
      <c r="W92" s="5">
        <v>1</v>
      </c>
      <c r="X92" s="35" t="s">
        <v>338</v>
      </c>
      <c r="Y92" s="8">
        <v>1</v>
      </c>
      <c r="Z92" s="37" t="s">
        <v>392</v>
      </c>
    </row>
    <row r="93" spans="1:26" ht="23.25" hidden="1" customHeight="1" x14ac:dyDescent="0.25">
      <c r="A93" s="13">
        <f>SUBTOTAL(3,$B$83:B93)</f>
        <v>0</v>
      </c>
      <c r="B93" s="5" t="s">
        <v>262</v>
      </c>
      <c r="C93" s="6" t="s">
        <v>316</v>
      </c>
      <c r="D93" s="5" t="s">
        <v>147</v>
      </c>
      <c r="E93" s="5" t="s">
        <v>132</v>
      </c>
      <c r="F93" s="5" t="s">
        <v>21</v>
      </c>
      <c r="H93" s="4">
        <v>44</v>
      </c>
      <c r="I93" s="4">
        <v>24</v>
      </c>
      <c r="J93" s="4">
        <v>16</v>
      </c>
      <c r="K93" s="4">
        <v>26</v>
      </c>
      <c r="L93" s="4">
        <v>24</v>
      </c>
      <c r="M93" s="4">
        <v>26</v>
      </c>
      <c r="N93" s="4">
        <v>67</v>
      </c>
      <c r="O93" s="4">
        <v>40</v>
      </c>
      <c r="P93" s="7">
        <v>71</v>
      </c>
      <c r="Q93" s="7">
        <v>98</v>
      </c>
      <c r="R93" s="7">
        <v>62</v>
      </c>
      <c r="S93" s="7">
        <v>29</v>
      </c>
      <c r="T93" s="7">
        <v>25</v>
      </c>
      <c r="U93" s="7">
        <v>18</v>
      </c>
      <c r="V93" s="7">
        <v>93</v>
      </c>
      <c r="W93" s="5">
        <v>1</v>
      </c>
      <c r="X93" s="35" t="s">
        <v>338</v>
      </c>
      <c r="Y93" s="8">
        <v>1</v>
      </c>
      <c r="Z93" s="37" t="s">
        <v>392</v>
      </c>
    </row>
    <row r="94" spans="1:26" ht="23.25" hidden="1" customHeight="1" x14ac:dyDescent="0.25">
      <c r="A94" s="13">
        <f>SUBTOTAL(3,$B$83:B94)</f>
        <v>0</v>
      </c>
      <c r="B94" s="5" t="s">
        <v>263</v>
      </c>
      <c r="C94" s="6" t="s">
        <v>148</v>
      </c>
      <c r="D94" s="5" t="s">
        <v>149</v>
      </c>
      <c r="E94" s="5" t="s">
        <v>132</v>
      </c>
      <c r="F94" s="5" t="s">
        <v>21</v>
      </c>
      <c r="H94" s="4">
        <v>42</v>
      </c>
      <c r="I94" s="4">
        <v>24</v>
      </c>
      <c r="J94" s="4">
        <v>17</v>
      </c>
      <c r="K94" s="4">
        <v>278</v>
      </c>
      <c r="L94" s="4">
        <v>26</v>
      </c>
      <c r="M94" s="4">
        <v>27</v>
      </c>
      <c r="N94" s="4">
        <v>69</v>
      </c>
      <c r="O94" s="4">
        <v>40</v>
      </c>
      <c r="P94" s="7">
        <v>93</v>
      </c>
      <c r="Q94" s="7">
        <v>110</v>
      </c>
      <c r="R94" s="7">
        <v>70</v>
      </c>
      <c r="S94" s="7">
        <v>35</v>
      </c>
      <c r="T94" s="7">
        <v>26</v>
      </c>
      <c r="U94" s="7">
        <v>18</v>
      </c>
      <c r="V94" s="7">
        <v>92</v>
      </c>
      <c r="W94" s="5">
        <v>1</v>
      </c>
      <c r="X94" s="35" t="s">
        <v>338</v>
      </c>
      <c r="Y94" s="8">
        <v>1</v>
      </c>
      <c r="Z94" s="37" t="s">
        <v>392</v>
      </c>
    </row>
    <row r="95" spans="1:26" ht="23.25" hidden="1" customHeight="1" x14ac:dyDescent="0.25">
      <c r="A95" s="13">
        <f>SUBTOTAL(3,$B$83:B95)</f>
        <v>0</v>
      </c>
      <c r="B95" s="5" t="s">
        <v>264</v>
      </c>
      <c r="C95" s="6" t="s">
        <v>150</v>
      </c>
      <c r="D95" s="5" t="s">
        <v>151</v>
      </c>
      <c r="E95" s="5" t="s">
        <v>132</v>
      </c>
      <c r="F95" s="5" t="s">
        <v>21</v>
      </c>
      <c r="H95" s="4">
        <v>43</v>
      </c>
      <c r="I95" s="4">
        <v>24</v>
      </c>
      <c r="J95" s="4">
        <v>16</v>
      </c>
      <c r="K95" s="4">
        <v>26</v>
      </c>
      <c r="L95" s="4">
        <v>24</v>
      </c>
      <c r="M95" s="4">
        <v>26</v>
      </c>
      <c r="N95" s="4">
        <v>69</v>
      </c>
      <c r="O95" s="4">
        <v>39</v>
      </c>
      <c r="P95" s="7">
        <v>71</v>
      </c>
      <c r="Q95" s="7">
        <v>96</v>
      </c>
      <c r="R95" s="7">
        <v>62</v>
      </c>
      <c r="S95" s="7">
        <v>30</v>
      </c>
      <c r="T95" s="7">
        <v>22</v>
      </c>
      <c r="U95" s="7">
        <v>18</v>
      </c>
      <c r="V95" s="7">
        <v>99</v>
      </c>
      <c r="W95" s="5">
        <v>1</v>
      </c>
      <c r="X95" s="35" t="s">
        <v>338</v>
      </c>
      <c r="Y95" s="8">
        <v>1</v>
      </c>
      <c r="Z95" s="37" t="s">
        <v>392</v>
      </c>
    </row>
    <row r="96" spans="1:26" ht="23.25" hidden="1" customHeight="1" x14ac:dyDescent="0.25">
      <c r="A96" s="13">
        <f>SUBTOTAL(3,$B$83:B96)</f>
        <v>0</v>
      </c>
      <c r="B96" s="5" t="s">
        <v>265</v>
      </c>
      <c r="C96" s="6" t="s">
        <v>285</v>
      </c>
      <c r="D96" s="5" t="s">
        <v>152</v>
      </c>
      <c r="E96" s="5" t="s">
        <v>132</v>
      </c>
      <c r="F96" s="5" t="s">
        <v>21</v>
      </c>
      <c r="H96" s="4">
        <v>44</v>
      </c>
      <c r="I96" s="4">
        <v>25</v>
      </c>
      <c r="J96" s="4">
        <v>17</v>
      </c>
      <c r="K96" s="4">
        <v>26</v>
      </c>
      <c r="L96" s="4">
        <v>24</v>
      </c>
      <c r="M96" s="4">
        <v>26</v>
      </c>
      <c r="N96" s="4">
        <v>70</v>
      </c>
      <c r="O96" s="4">
        <v>40</v>
      </c>
      <c r="P96" s="7">
        <v>82</v>
      </c>
      <c r="Q96" s="7">
        <v>100</v>
      </c>
      <c r="R96" s="7">
        <v>64</v>
      </c>
      <c r="S96" s="7">
        <v>31</v>
      </c>
      <c r="T96" s="7">
        <v>22</v>
      </c>
      <c r="U96" s="7">
        <v>18</v>
      </c>
      <c r="V96" s="7">
        <v>98</v>
      </c>
      <c r="W96" s="5">
        <v>1</v>
      </c>
      <c r="X96" s="35" t="s">
        <v>338</v>
      </c>
      <c r="Y96" s="8">
        <v>1</v>
      </c>
      <c r="Z96" s="37" t="s">
        <v>392</v>
      </c>
    </row>
    <row r="97" spans="1:26" ht="23.25" hidden="1" customHeight="1" x14ac:dyDescent="0.25">
      <c r="A97" s="13">
        <f>SUBTOTAL(3,$B$83:B97)</f>
        <v>0</v>
      </c>
      <c r="B97" s="5" t="s">
        <v>266</v>
      </c>
      <c r="C97" s="6" t="s">
        <v>153</v>
      </c>
      <c r="D97" s="5" t="s">
        <v>154</v>
      </c>
      <c r="E97" s="5" t="s">
        <v>132</v>
      </c>
      <c r="F97" s="5" t="s">
        <v>21</v>
      </c>
      <c r="H97" s="4">
        <v>45</v>
      </c>
      <c r="I97" s="4">
        <v>24</v>
      </c>
      <c r="J97" s="4">
        <v>17</v>
      </c>
      <c r="K97" s="4">
        <v>27</v>
      </c>
      <c r="L97" s="4">
        <v>25</v>
      </c>
      <c r="M97" s="4">
        <v>27</v>
      </c>
      <c r="N97" s="4">
        <v>72</v>
      </c>
      <c r="O97" s="4">
        <v>38</v>
      </c>
      <c r="P97" s="7">
        <v>80</v>
      </c>
      <c r="Q97" s="7">
        <v>100</v>
      </c>
      <c r="R97" s="7">
        <v>62</v>
      </c>
      <c r="S97" s="7">
        <v>29</v>
      </c>
      <c r="T97" s="7">
        <v>21</v>
      </c>
      <c r="U97" s="7">
        <v>18</v>
      </c>
      <c r="V97" s="7">
        <v>99</v>
      </c>
      <c r="W97" s="5">
        <v>1</v>
      </c>
      <c r="X97" s="35" t="s">
        <v>338</v>
      </c>
      <c r="Y97" s="8">
        <v>1</v>
      </c>
      <c r="Z97" s="37" t="s">
        <v>392</v>
      </c>
    </row>
    <row r="98" spans="1:26" ht="23.25" hidden="1" customHeight="1" x14ac:dyDescent="0.25">
      <c r="A98" s="13">
        <f>SUBTOTAL(3,$B$83:B98)</f>
        <v>0</v>
      </c>
      <c r="B98" s="5" t="s">
        <v>267</v>
      </c>
      <c r="C98" s="6" t="s">
        <v>155</v>
      </c>
      <c r="D98" s="5" t="s">
        <v>156</v>
      </c>
      <c r="E98" s="5" t="s">
        <v>132</v>
      </c>
      <c r="F98" s="5" t="s">
        <v>21</v>
      </c>
      <c r="H98" s="4">
        <v>43</v>
      </c>
      <c r="I98" s="4">
        <v>24</v>
      </c>
      <c r="J98" s="4">
        <v>17</v>
      </c>
      <c r="K98" s="4">
        <v>27</v>
      </c>
      <c r="L98" s="4" t="s">
        <v>396</v>
      </c>
      <c r="M98" s="4">
        <v>27</v>
      </c>
      <c r="N98" s="4">
        <v>70</v>
      </c>
      <c r="O98" s="4">
        <v>40</v>
      </c>
      <c r="P98" s="7">
        <v>76</v>
      </c>
      <c r="Q98" s="7">
        <v>100</v>
      </c>
      <c r="R98" s="7">
        <v>64</v>
      </c>
      <c r="S98" s="7">
        <v>30</v>
      </c>
      <c r="T98" s="7">
        <v>22</v>
      </c>
      <c r="U98" s="7">
        <v>18</v>
      </c>
      <c r="V98" s="7">
        <v>95</v>
      </c>
      <c r="W98" s="5">
        <v>1</v>
      </c>
      <c r="X98" s="35" t="s">
        <v>338</v>
      </c>
      <c r="Y98" s="8">
        <v>1</v>
      </c>
      <c r="Z98" s="37" t="s">
        <v>392</v>
      </c>
    </row>
    <row r="99" spans="1:26" ht="23.25" hidden="1" customHeight="1" x14ac:dyDescent="0.25">
      <c r="A99" s="13">
        <f>SUBTOTAL(3,$B$83:B99)</f>
        <v>0</v>
      </c>
      <c r="B99" s="5" t="s">
        <v>268</v>
      </c>
      <c r="C99" s="6" t="s">
        <v>157</v>
      </c>
      <c r="D99" s="5" t="s">
        <v>158</v>
      </c>
      <c r="E99" s="5" t="s">
        <v>132</v>
      </c>
      <c r="F99" s="5" t="s">
        <v>21</v>
      </c>
      <c r="H99" s="4">
        <v>45</v>
      </c>
      <c r="I99" s="4">
        <v>25</v>
      </c>
      <c r="J99" s="4">
        <v>17</v>
      </c>
      <c r="K99" s="4">
        <v>27</v>
      </c>
      <c r="L99" s="4">
        <v>26</v>
      </c>
      <c r="M99" s="4">
        <v>27</v>
      </c>
      <c r="N99" s="4">
        <v>72</v>
      </c>
      <c r="O99" s="4">
        <v>40</v>
      </c>
      <c r="P99" s="7">
        <v>80</v>
      </c>
      <c r="Q99" s="7">
        <v>100</v>
      </c>
      <c r="R99" s="7">
        <v>64</v>
      </c>
      <c r="S99" s="7">
        <v>31</v>
      </c>
      <c r="T99" s="7">
        <v>23</v>
      </c>
      <c r="U99" s="7">
        <v>18</v>
      </c>
      <c r="V99" s="7">
        <v>102</v>
      </c>
      <c r="W99" s="5">
        <v>1</v>
      </c>
      <c r="X99" s="35" t="s">
        <v>338</v>
      </c>
      <c r="Y99" s="8">
        <v>1</v>
      </c>
      <c r="Z99" s="37" t="s">
        <v>392</v>
      </c>
    </row>
    <row r="100" spans="1:26" ht="23.25" hidden="1" customHeight="1" x14ac:dyDescent="0.25">
      <c r="A100" s="13">
        <f>SUBTOTAL(3,$B$83:B100)</f>
        <v>0</v>
      </c>
      <c r="B100" s="5" t="s">
        <v>269</v>
      </c>
      <c r="C100" s="6" t="s">
        <v>315</v>
      </c>
      <c r="D100" s="5" t="s">
        <v>159</v>
      </c>
      <c r="E100" s="5" t="s">
        <v>132</v>
      </c>
      <c r="F100" s="5" t="s">
        <v>21</v>
      </c>
      <c r="H100" s="4">
        <v>44</v>
      </c>
      <c r="I100" s="4">
        <v>24</v>
      </c>
      <c r="J100" s="4">
        <v>17</v>
      </c>
      <c r="K100" s="4">
        <v>27</v>
      </c>
      <c r="L100" s="4">
        <v>25</v>
      </c>
      <c r="M100" s="4">
        <v>27</v>
      </c>
      <c r="N100" s="4">
        <v>70</v>
      </c>
      <c r="O100" s="4">
        <v>40</v>
      </c>
      <c r="P100" s="7">
        <v>85</v>
      </c>
      <c r="Q100" s="7">
        <v>110</v>
      </c>
      <c r="R100" s="7">
        <v>66</v>
      </c>
      <c r="S100" s="7">
        <v>33</v>
      </c>
      <c r="T100" s="7">
        <v>26</v>
      </c>
      <c r="U100" s="7">
        <v>18</v>
      </c>
      <c r="V100" s="7">
        <v>100</v>
      </c>
      <c r="W100" s="5">
        <v>1</v>
      </c>
      <c r="X100" s="35" t="s">
        <v>338</v>
      </c>
      <c r="Y100" s="8">
        <v>1</v>
      </c>
      <c r="Z100" s="37" t="s">
        <v>392</v>
      </c>
    </row>
    <row r="101" spans="1:26" ht="23.25" hidden="1" customHeight="1" x14ac:dyDescent="0.25">
      <c r="A101" s="13">
        <f>SUBTOTAL(3,$B$83:B101)</f>
        <v>0</v>
      </c>
      <c r="B101" s="5" t="s">
        <v>270</v>
      </c>
      <c r="C101" s="6" t="s">
        <v>304</v>
      </c>
      <c r="D101" s="5" t="s">
        <v>160</v>
      </c>
      <c r="E101" s="5" t="s">
        <v>132</v>
      </c>
      <c r="F101" s="5" t="s">
        <v>21</v>
      </c>
      <c r="H101" s="4">
        <v>43</v>
      </c>
      <c r="I101" s="4">
        <v>24</v>
      </c>
      <c r="J101" s="4">
        <v>16</v>
      </c>
      <c r="K101" s="4">
        <v>27</v>
      </c>
      <c r="L101" s="4">
        <v>25</v>
      </c>
      <c r="M101" s="4">
        <v>27</v>
      </c>
      <c r="N101" s="4">
        <v>73</v>
      </c>
      <c r="O101" s="4">
        <v>39</v>
      </c>
      <c r="P101" s="7">
        <v>80</v>
      </c>
      <c r="Q101" s="7">
        <v>100</v>
      </c>
      <c r="R101" s="7">
        <v>62</v>
      </c>
      <c r="S101" s="7">
        <v>29</v>
      </c>
      <c r="T101" s="7">
        <v>22</v>
      </c>
      <c r="U101" s="7">
        <v>18</v>
      </c>
      <c r="V101" s="7">
        <v>103</v>
      </c>
      <c r="W101" s="5">
        <v>1</v>
      </c>
      <c r="X101" s="35" t="s">
        <v>338</v>
      </c>
      <c r="Y101" s="8">
        <v>1</v>
      </c>
      <c r="Z101" s="37" t="s">
        <v>392</v>
      </c>
    </row>
    <row r="102" spans="1:26" ht="23.25" hidden="1" customHeight="1" x14ac:dyDescent="0.25">
      <c r="A102" s="13">
        <f>SUBTOTAL(3,$B$83:B102)</f>
        <v>0</v>
      </c>
      <c r="B102" s="5" t="s">
        <v>271</v>
      </c>
      <c r="C102" s="6" t="s">
        <v>161</v>
      </c>
      <c r="D102" s="5" t="s">
        <v>162</v>
      </c>
      <c r="E102" s="5" t="s">
        <v>132</v>
      </c>
      <c r="F102" s="5" t="s">
        <v>21</v>
      </c>
      <c r="H102" s="4">
        <v>45</v>
      </c>
      <c r="I102" s="4">
        <v>25</v>
      </c>
      <c r="J102" s="4">
        <v>17</v>
      </c>
      <c r="K102" s="4">
        <v>27</v>
      </c>
      <c r="L102" s="4">
        <v>25</v>
      </c>
      <c r="M102" s="4">
        <v>27</v>
      </c>
      <c r="N102" s="4">
        <v>72</v>
      </c>
      <c r="O102" s="4">
        <v>40</v>
      </c>
      <c r="P102" s="7">
        <v>76</v>
      </c>
      <c r="Q102" s="7">
        <v>98</v>
      </c>
      <c r="R102" s="7">
        <v>62</v>
      </c>
      <c r="S102" s="7">
        <v>28</v>
      </c>
      <c r="T102" s="7">
        <v>21</v>
      </c>
      <c r="U102" s="7">
        <v>17</v>
      </c>
      <c r="V102" s="7">
        <v>103</v>
      </c>
      <c r="W102" s="5">
        <v>1</v>
      </c>
      <c r="X102" s="35" t="s">
        <v>338</v>
      </c>
      <c r="Y102" s="8">
        <v>1</v>
      </c>
      <c r="Z102" s="37" t="s">
        <v>392</v>
      </c>
    </row>
    <row r="103" spans="1:26" ht="23.25" hidden="1" customHeight="1" x14ac:dyDescent="0.25">
      <c r="A103" s="13">
        <f>SUBTOTAL(3,$B$83:B103)</f>
        <v>0</v>
      </c>
      <c r="B103" s="5" t="s">
        <v>272</v>
      </c>
      <c r="C103" s="6" t="s">
        <v>163</v>
      </c>
      <c r="D103" s="5" t="s">
        <v>164</v>
      </c>
      <c r="E103" s="5" t="s">
        <v>132</v>
      </c>
      <c r="F103" s="5" t="s">
        <v>21</v>
      </c>
      <c r="H103" s="4">
        <v>44</v>
      </c>
      <c r="I103" s="4">
        <v>24</v>
      </c>
      <c r="J103" s="4">
        <v>17</v>
      </c>
      <c r="K103" s="4">
        <v>29</v>
      </c>
      <c r="L103" s="4">
        <v>27</v>
      </c>
      <c r="M103" s="4">
        <v>29</v>
      </c>
      <c r="N103" s="4">
        <v>70</v>
      </c>
      <c r="O103" s="4">
        <v>40</v>
      </c>
      <c r="P103" s="7">
        <v>78</v>
      </c>
      <c r="Q103" s="7">
        <v>105</v>
      </c>
      <c r="R103" s="7">
        <v>65</v>
      </c>
      <c r="S103" s="7">
        <v>31</v>
      </c>
      <c r="T103" s="7">
        <v>25</v>
      </c>
      <c r="U103" s="7">
        <v>18</v>
      </c>
      <c r="V103" s="7">
        <v>100</v>
      </c>
      <c r="W103" s="5">
        <v>1</v>
      </c>
      <c r="X103" s="35" t="s">
        <v>338</v>
      </c>
      <c r="Y103" s="8">
        <v>1</v>
      </c>
      <c r="Z103" s="37" t="s">
        <v>392</v>
      </c>
    </row>
    <row r="104" spans="1:26" ht="23.25" hidden="1" customHeight="1" x14ac:dyDescent="0.25">
      <c r="A104" s="13">
        <f>SUBTOTAL(3,$B$83:B104)</f>
        <v>0</v>
      </c>
      <c r="B104" s="5" t="s">
        <v>273</v>
      </c>
      <c r="C104" s="6" t="s">
        <v>165</v>
      </c>
      <c r="D104" s="5" t="s">
        <v>166</v>
      </c>
      <c r="E104" s="5" t="s">
        <v>132</v>
      </c>
      <c r="F104" s="5" t="s">
        <v>21</v>
      </c>
      <c r="H104" s="4">
        <v>44</v>
      </c>
      <c r="I104" s="4">
        <v>25</v>
      </c>
      <c r="J104" s="4">
        <v>17</v>
      </c>
      <c r="K104" s="4">
        <v>28</v>
      </c>
      <c r="L104" s="4">
        <v>26</v>
      </c>
      <c r="M104" s="4">
        <v>28</v>
      </c>
      <c r="N104" s="4">
        <v>74</v>
      </c>
      <c r="O104" s="4">
        <v>40</v>
      </c>
      <c r="P104" s="7">
        <v>73</v>
      </c>
      <c r="Q104" s="7">
        <v>100</v>
      </c>
      <c r="R104" s="7">
        <v>64</v>
      </c>
      <c r="S104" s="7">
        <v>30</v>
      </c>
      <c r="T104" s="7">
        <v>24</v>
      </c>
      <c r="U104" s="7">
        <v>18</v>
      </c>
      <c r="V104" s="7">
        <v>102</v>
      </c>
      <c r="W104" s="5">
        <v>1</v>
      </c>
      <c r="X104" s="35" t="s">
        <v>338</v>
      </c>
      <c r="Y104" s="8">
        <v>1</v>
      </c>
      <c r="Z104" s="37" t="s">
        <v>392</v>
      </c>
    </row>
    <row r="105" spans="1:26" ht="23.25" hidden="1" customHeight="1" x14ac:dyDescent="0.25">
      <c r="A105" s="38">
        <f>SUBTOTAL(3,$B$83:B105)</f>
        <v>0</v>
      </c>
      <c r="B105" s="49" t="s">
        <v>274</v>
      </c>
      <c r="C105" s="50" t="s">
        <v>167</v>
      </c>
      <c r="D105" s="49" t="s">
        <v>168</v>
      </c>
      <c r="E105" s="49" t="s">
        <v>132</v>
      </c>
      <c r="F105" s="49" t="s">
        <v>21</v>
      </c>
      <c r="G105" s="49"/>
      <c r="H105" s="4">
        <v>40</v>
      </c>
      <c r="I105" s="4">
        <v>23</v>
      </c>
      <c r="J105" s="4">
        <v>16</v>
      </c>
      <c r="K105" s="4">
        <v>26</v>
      </c>
      <c r="L105" s="4">
        <v>24</v>
      </c>
      <c r="M105" s="4">
        <v>26</v>
      </c>
      <c r="N105" s="4">
        <v>65</v>
      </c>
      <c r="O105" s="4">
        <v>35</v>
      </c>
      <c r="P105" s="7">
        <v>69</v>
      </c>
      <c r="Q105" s="7">
        <v>93</v>
      </c>
      <c r="R105" s="7">
        <v>61</v>
      </c>
      <c r="S105" s="7">
        <v>29</v>
      </c>
      <c r="T105" s="7">
        <v>23</v>
      </c>
      <c r="U105" s="7">
        <v>18</v>
      </c>
      <c r="V105" s="7">
        <v>89</v>
      </c>
      <c r="W105" s="5">
        <v>4</v>
      </c>
      <c r="X105" s="35" t="s">
        <v>395</v>
      </c>
    </row>
    <row r="106" spans="1:26" ht="23.25" hidden="1" customHeight="1" x14ac:dyDescent="0.25">
      <c r="A106" s="13">
        <f>SUBTOTAL(3,$B$83:B106)</f>
        <v>0</v>
      </c>
      <c r="B106" s="5" t="s">
        <v>275</v>
      </c>
      <c r="C106" s="6" t="s">
        <v>332</v>
      </c>
      <c r="D106" s="5" t="s">
        <v>169</v>
      </c>
      <c r="E106" s="5" t="s">
        <v>132</v>
      </c>
      <c r="F106" s="5" t="s">
        <v>21</v>
      </c>
      <c r="H106" s="4">
        <v>43</v>
      </c>
      <c r="I106" s="4">
        <v>25</v>
      </c>
      <c r="J106" s="4">
        <v>17</v>
      </c>
      <c r="K106" s="4">
        <v>28</v>
      </c>
      <c r="L106" s="4">
        <v>26</v>
      </c>
      <c r="M106" s="4">
        <v>28</v>
      </c>
      <c r="N106" s="4">
        <v>72</v>
      </c>
      <c r="O106" s="4">
        <v>40</v>
      </c>
      <c r="P106" s="7">
        <v>82</v>
      </c>
      <c r="Q106" s="7">
        <v>105</v>
      </c>
      <c r="R106" s="7">
        <v>68</v>
      </c>
      <c r="S106" s="7">
        <v>31</v>
      </c>
      <c r="T106" s="7">
        <v>26</v>
      </c>
      <c r="U106" s="7">
        <v>18</v>
      </c>
      <c r="V106" s="7">
        <v>102</v>
      </c>
      <c r="W106" s="5">
        <v>1</v>
      </c>
      <c r="X106" s="35" t="s">
        <v>338</v>
      </c>
      <c r="Y106" s="8">
        <v>1</v>
      </c>
      <c r="Z106" s="37" t="s">
        <v>392</v>
      </c>
    </row>
    <row r="107" spans="1:26" ht="23.25" customHeight="1" x14ac:dyDescent="0.25">
      <c r="A107" s="38">
        <f>SUBTOTAL(3,$B$83:B107)</f>
        <v>1</v>
      </c>
      <c r="B107" s="9" t="s">
        <v>276</v>
      </c>
      <c r="C107" s="10" t="s">
        <v>295</v>
      </c>
      <c r="D107" s="9" t="s">
        <v>170</v>
      </c>
      <c r="E107" s="9" t="s">
        <v>132</v>
      </c>
      <c r="F107" s="9" t="s">
        <v>21</v>
      </c>
      <c r="G107" s="9" t="s">
        <v>344</v>
      </c>
    </row>
    <row r="108" spans="1:26" ht="23.25" hidden="1" customHeight="1" x14ac:dyDescent="0.25">
      <c r="A108" s="13">
        <f>SUBTOTAL(3,$B$83:B108)</f>
        <v>1</v>
      </c>
      <c r="B108" s="5" t="s">
        <v>277</v>
      </c>
      <c r="C108" s="6" t="s">
        <v>171</v>
      </c>
      <c r="D108" s="5" t="s">
        <v>172</v>
      </c>
      <c r="E108" s="5" t="s">
        <v>132</v>
      </c>
      <c r="F108" s="5" t="s">
        <v>21</v>
      </c>
      <c r="H108" s="4">
        <v>43</v>
      </c>
      <c r="I108" s="4">
        <v>24</v>
      </c>
      <c r="J108" s="4">
        <v>17</v>
      </c>
      <c r="K108" s="4">
        <v>27</v>
      </c>
      <c r="L108" s="4">
        <v>25</v>
      </c>
      <c r="M108" s="4">
        <v>27</v>
      </c>
      <c r="N108" s="4">
        <v>68</v>
      </c>
      <c r="O108" s="4">
        <v>40</v>
      </c>
      <c r="P108" s="7">
        <v>90</v>
      </c>
      <c r="Q108" s="7">
        <v>110</v>
      </c>
      <c r="R108" s="7">
        <v>68</v>
      </c>
      <c r="S108" s="7">
        <v>34</v>
      </c>
      <c r="T108" s="7">
        <v>27</v>
      </c>
      <c r="U108" s="7">
        <v>18</v>
      </c>
      <c r="V108" s="7">
        <v>93</v>
      </c>
      <c r="W108" s="5">
        <v>1</v>
      </c>
      <c r="X108" s="35" t="s">
        <v>338</v>
      </c>
      <c r="Y108" s="8">
        <v>1</v>
      </c>
      <c r="Z108" s="37" t="s">
        <v>392</v>
      </c>
    </row>
    <row r="109" spans="1:26" ht="23.25" hidden="1" customHeight="1" x14ac:dyDescent="0.25">
      <c r="A109" s="13">
        <f>SUBTOTAL(3,$B$83:B109)</f>
        <v>1</v>
      </c>
      <c r="B109" s="5" t="s">
        <v>278</v>
      </c>
      <c r="C109" s="6" t="s">
        <v>314</v>
      </c>
      <c r="D109" s="5" t="s">
        <v>173</v>
      </c>
      <c r="E109" s="5" t="s">
        <v>132</v>
      </c>
      <c r="F109" s="5" t="s">
        <v>21</v>
      </c>
      <c r="H109" s="4">
        <v>44</v>
      </c>
      <c r="I109" s="4">
        <v>24</v>
      </c>
      <c r="J109" s="4">
        <v>17</v>
      </c>
      <c r="K109" s="4">
        <v>28</v>
      </c>
      <c r="L109" s="4">
        <v>27</v>
      </c>
      <c r="M109" s="4">
        <v>28</v>
      </c>
      <c r="N109" s="4">
        <v>70</v>
      </c>
      <c r="O109" s="4">
        <v>40</v>
      </c>
      <c r="P109" s="7">
        <v>90</v>
      </c>
      <c r="Q109" s="7">
        <v>110</v>
      </c>
      <c r="R109" s="7">
        <v>68</v>
      </c>
      <c r="S109" s="7">
        <v>33</v>
      </c>
      <c r="T109" s="7">
        <v>25</v>
      </c>
      <c r="U109" s="7">
        <v>18</v>
      </c>
      <c r="V109" s="7">
        <v>93</v>
      </c>
      <c r="W109" s="5">
        <v>1</v>
      </c>
      <c r="X109" s="35" t="s">
        <v>338</v>
      </c>
      <c r="Y109" s="8">
        <v>1</v>
      </c>
      <c r="Z109" s="37" t="s">
        <v>392</v>
      </c>
    </row>
    <row r="110" spans="1:26" ht="23.25" hidden="1" customHeight="1" x14ac:dyDescent="0.25">
      <c r="A110" s="13">
        <f>SUBTOTAL(3,$B$83:B110)</f>
        <v>1</v>
      </c>
      <c r="B110" s="5" t="s">
        <v>279</v>
      </c>
      <c r="C110" s="6" t="s">
        <v>293</v>
      </c>
      <c r="D110" s="5" t="s">
        <v>174</v>
      </c>
      <c r="E110" s="5" t="s">
        <v>132</v>
      </c>
      <c r="F110" s="5" t="s">
        <v>21</v>
      </c>
      <c r="H110" s="4">
        <v>43</v>
      </c>
      <c r="I110" s="4">
        <v>25</v>
      </c>
      <c r="J110" s="4">
        <v>17</v>
      </c>
      <c r="K110" s="4">
        <v>26</v>
      </c>
      <c r="L110" s="4">
        <v>25</v>
      </c>
      <c r="M110" s="4">
        <v>26</v>
      </c>
      <c r="N110" s="4">
        <v>72</v>
      </c>
      <c r="O110" s="4">
        <v>39</v>
      </c>
      <c r="P110" s="7">
        <v>76</v>
      </c>
      <c r="Q110" s="7">
        <v>100</v>
      </c>
      <c r="R110" s="7">
        <v>62</v>
      </c>
      <c r="S110" s="7">
        <v>30</v>
      </c>
      <c r="T110" s="7">
        <v>23</v>
      </c>
      <c r="U110" s="7">
        <v>18</v>
      </c>
      <c r="V110" s="7">
        <v>98</v>
      </c>
      <c r="W110" s="5">
        <v>1</v>
      </c>
      <c r="X110" s="35" t="s">
        <v>338</v>
      </c>
      <c r="Y110" s="8">
        <v>1</v>
      </c>
      <c r="Z110" s="37" t="s">
        <v>392</v>
      </c>
    </row>
    <row r="111" spans="1:26" ht="23.25" hidden="1" customHeight="1" x14ac:dyDescent="0.25">
      <c r="A111" s="13">
        <f>SUBTOTAL(3,$B$83:B111)</f>
        <v>1</v>
      </c>
      <c r="B111" s="5" t="s">
        <v>280</v>
      </c>
      <c r="C111" s="6" t="s">
        <v>326</v>
      </c>
      <c r="D111" s="5" t="s">
        <v>175</v>
      </c>
      <c r="E111" s="5" t="s">
        <v>132</v>
      </c>
      <c r="F111" s="5" t="s">
        <v>21</v>
      </c>
      <c r="H111" s="4">
        <v>45</v>
      </c>
      <c r="I111" s="4">
        <v>15</v>
      </c>
      <c r="J111" s="4">
        <v>17</v>
      </c>
      <c r="K111" s="4">
        <v>28</v>
      </c>
      <c r="L111" s="4">
        <v>26</v>
      </c>
      <c r="M111" s="4">
        <v>28</v>
      </c>
      <c r="N111" s="4">
        <v>71</v>
      </c>
      <c r="O111" s="4">
        <v>40</v>
      </c>
      <c r="P111" s="7">
        <v>84</v>
      </c>
      <c r="Q111" s="7">
        <v>105</v>
      </c>
      <c r="R111" s="7">
        <v>62</v>
      </c>
      <c r="S111" s="7">
        <v>31</v>
      </c>
      <c r="T111" s="7">
        <v>23</v>
      </c>
      <c r="U111" s="7">
        <v>18</v>
      </c>
      <c r="V111" s="7">
        <v>98</v>
      </c>
      <c r="W111" s="5">
        <v>1</v>
      </c>
      <c r="X111" s="35" t="s">
        <v>338</v>
      </c>
      <c r="Y111" s="8">
        <v>1</v>
      </c>
      <c r="Z111" s="37" t="s">
        <v>392</v>
      </c>
    </row>
    <row r="112" spans="1:26" ht="23.25" hidden="1" customHeight="1" x14ac:dyDescent="0.25">
      <c r="A112" s="13">
        <f>SUBTOTAL(3,$B$83:B112)</f>
        <v>1</v>
      </c>
      <c r="B112" s="5" t="s">
        <v>281</v>
      </c>
      <c r="C112" s="6" t="s">
        <v>313</v>
      </c>
      <c r="D112" s="5" t="s">
        <v>176</v>
      </c>
      <c r="E112" s="5" t="s">
        <v>132</v>
      </c>
      <c r="F112" s="5" t="s">
        <v>21</v>
      </c>
      <c r="H112" s="4">
        <v>42</v>
      </c>
      <c r="I112" s="4">
        <v>24</v>
      </c>
      <c r="J112" s="4">
        <v>16</v>
      </c>
      <c r="K112" s="4">
        <v>25</v>
      </c>
      <c r="L112" s="4">
        <v>23</v>
      </c>
      <c r="M112" s="4">
        <v>25</v>
      </c>
      <c r="N112" s="4">
        <v>70</v>
      </c>
      <c r="O112" s="4">
        <v>38</v>
      </c>
      <c r="P112" s="7">
        <v>71</v>
      </c>
      <c r="Q112" s="7">
        <v>93</v>
      </c>
      <c r="R112" s="7">
        <v>60</v>
      </c>
      <c r="S112" s="7">
        <v>27</v>
      </c>
      <c r="T112" s="7">
        <v>22</v>
      </c>
      <c r="U112" s="7">
        <v>17</v>
      </c>
      <c r="V112" s="7">
        <v>100</v>
      </c>
      <c r="W112" s="5">
        <v>1</v>
      </c>
      <c r="X112" s="35" t="s">
        <v>338</v>
      </c>
      <c r="Y112" s="8">
        <v>1</v>
      </c>
      <c r="Z112" s="37" t="s">
        <v>392</v>
      </c>
    </row>
    <row r="113" spans="1:26" ht="23.25" hidden="1" customHeight="1" x14ac:dyDescent="0.25">
      <c r="A113" s="13">
        <f>SUBTOTAL(3,$B$83:B113)</f>
        <v>1</v>
      </c>
      <c r="B113" s="5" t="s">
        <v>368</v>
      </c>
      <c r="C113" s="6" t="s">
        <v>364</v>
      </c>
      <c r="D113" s="5" t="s">
        <v>366</v>
      </c>
      <c r="E113" s="5" t="s">
        <v>132</v>
      </c>
      <c r="F113" s="5" t="s">
        <v>21</v>
      </c>
      <c r="H113" s="4">
        <v>44</v>
      </c>
      <c r="I113" s="4">
        <v>24</v>
      </c>
      <c r="J113" s="4">
        <v>17</v>
      </c>
      <c r="K113" s="4">
        <v>27</v>
      </c>
      <c r="L113" s="4">
        <v>25</v>
      </c>
      <c r="M113" s="4">
        <v>27</v>
      </c>
      <c r="N113" s="4">
        <v>70</v>
      </c>
      <c r="O113" s="4">
        <v>39</v>
      </c>
      <c r="P113" s="7">
        <v>85</v>
      </c>
      <c r="Q113" s="7">
        <v>106</v>
      </c>
      <c r="R113" s="7">
        <v>66</v>
      </c>
      <c r="S113" s="7">
        <v>33</v>
      </c>
      <c r="T113" s="7">
        <v>23</v>
      </c>
      <c r="U113" s="7">
        <v>18</v>
      </c>
      <c r="V113" s="7">
        <v>90</v>
      </c>
      <c r="W113" s="5">
        <v>4</v>
      </c>
      <c r="X113" s="35" t="s">
        <v>391</v>
      </c>
      <c r="Z113" s="37"/>
    </row>
    <row r="114" spans="1:26" ht="23.25" customHeight="1" x14ac:dyDescent="0.25">
      <c r="A114" s="13">
        <f>SUBTOTAL(3,$B$83:B114)</f>
        <v>2</v>
      </c>
      <c r="B114" s="5" t="s">
        <v>369</v>
      </c>
      <c r="C114" s="6" t="s">
        <v>365</v>
      </c>
      <c r="D114" s="5" t="s">
        <v>367</v>
      </c>
      <c r="E114" s="5" t="s">
        <v>132</v>
      </c>
      <c r="F114" s="5" t="s">
        <v>21</v>
      </c>
      <c r="H114" s="11">
        <v>50</v>
      </c>
      <c r="I114" s="11">
        <v>27</v>
      </c>
      <c r="J114" s="11">
        <v>20</v>
      </c>
      <c r="K114" s="11">
        <v>30</v>
      </c>
      <c r="L114" s="11">
        <v>28</v>
      </c>
      <c r="M114" s="11">
        <v>30</v>
      </c>
      <c r="N114" s="11">
        <v>74</v>
      </c>
      <c r="O114" s="11">
        <v>43</v>
      </c>
      <c r="P114" s="12">
        <v>109</v>
      </c>
      <c r="Q114" s="12">
        <v>126</v>
      </c>
      <c r="R114" s="12">
        <v>72</v>
      </c>
      <c r="S114" s="12">
        <v>39</v>
      </c>
      <c r="T114" s="12">
        <v>26</v>
      </c>
      <c r="U114" s="12">
        <v>20</v>
      </c>
      <c r="V114" s="12">
        <v>98</v>
      </c>
      <c r="W114" s="5">
        <v>4</v>
      </c>
      <c r="X114" s="35" t="s">
        <v>391</v>
      </c>
      <c r="Z114" s="37"/>
    </row>
  </sheetData>
  <autoFilter ref="A1:Z113" xr:uid="{140B4D64-8EFB-43E5-9D0D-A8047587DBB5}">
    <filterColumn colId="6">
      <customFilters>
        <customFilter operator="notEqual" val=" "/>
      </customFilters>
    </filterColumn>
  </autoFilter>
  <phoneticPr fontId="5" type="noConversion"/>
  <pageMargins left="0.43307086614173229" right="0.23622047244094491" top="0.43307086614173229" bottom="0.34" header="0.31496062992125984" footer="0.31496062992125984"/>
  <pageSetup paperSize="9" scale="9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44176-6DF9-4121-BF7F-BBFD7F3614B3}">
  <dimension ref="A1:E7"/>
  <sheetViews>
    <sheetView workbookViewId="0">
      <selection sqref="A1:E1"/>
    </sheetView>
  </sheetViews>
  <sheetFormatPr defaultRowHeight="23.25" customHeight="1" x14ac:dyDescent="0.25"/>
  <cols>
    <col min="1" max="1" width="3.85546875" style="2" bestFit="1" customWidth="1"/>
    <col min="2" max="2" width="15.7109375" style="1" customWidth="1"/>
    <col min="3" max="3" width="13.85546875" style="17" customWidth="1"/>
    <col min="4" max="4" width="15.7109375" style="1" customWidth="1"/>
    <col min="5" max="5" width="14.140625" style="1" customWidth="1"/>
    <col min="6" max="16384" width="9.140625" style="1"/>
  </cols>
  <sheetData>
    <row r="1" spans="1:5" ht="23.25" customHeight="1" x14ac:dyDescent="0.25">
      <c r="A1" s="52" t="s">
        <v>350</v>
      </c>
      <c r="B1" s="52"/>
      <c r="C1" s="52"/>
      <c r="D1" s="52"/>
      <c r="E1" s="52"/>
    </row>
    <row r="3" spans="1:5" ht="30.75" customHeight="1" thickBot="1" x14ac:dyDescent="0.3">
      <c r="A3" s="22" t="s">
        <v>0</v>
      </c>
      <c r="B3" s="23" t="s">
        <v>2</v>
      </c>
      <c r="C3" s="24" t="s">
        <v>345</v>
      </c>
      <c r="D3" s="22" t="s">
        <v>346</v>
      </c>
      <c r="E3" s="22" t="s">
        <v>344</v>
      </c>
    </row>
    <row r="4" spans="1:5" ht="30.75" customHeight="1" thickTop="1" x14ac:dyDescent="0.25">
      <c r="A4" s="13">
        <v>1</v>
      </c>
      <c r="B4" s="20" t="s">
        <v>24</v>
      </c>
      <c r="C4" s="21" t="s">
        <v>384</v>
      </c>
      <c r="D4" s="21" t="s">
        <v>347</v>
      </c>
      <c r="E4" s="21" t="s">
        <v>381</v>
      </c>
    </row>
    <row r="5" spans="1:5" ht="30.75" customHeight="1" x14ac:dyDescent="0.25">
      <c r="A5" s="5">
        <v>2</v>
      </c>
      <c r="B5" s="18" t="s">
        <v>73</v>
      </c>
      <c r="C5" s="19" t="s">
        <v>385</v>
      </c>
      <c r="D5" s="19" t="s">
        <v>348</v>
      </c>
      <c r="E5" s="19" t="s">
        <v>382</v>
      </c>
    </row>
    <row r="6" spans="1:5" ht="30.75" customHeight="1" x14ac:dyDescent="0.25">
      <c r="A6" s="5">
        <v>3</v>
      </c>
      <c r="B6" s="18" t="s">
        <v>132</v>
      </c>
      <c r="C6" s="19" t="s">
        <v>386</v>
      </c>
      <c r="D6" s="19" t="s">
        <v>349</v>
      </c>
      <c r="E6" s="19" t="s">
        <v>382</v>
      </c>
    </row>
    <row r="7" spans="1:5" ht="30.75" customHeight="1" x14ac:dyDescent="0.25">
      <c r="B7" s="25" t="s">
        <v>345</v>
      </c>
      <c r="C7" s="26" t="s">
        <v>387</v>
      </c>
      <c r="D7" s="26" t="s">
        <v>390</v>
      </c>
      <c r="E7" s="26" t="s">
        <v>383</v>
      </c>
    </row>
  </sheetData>
  <mergeCells count="1">
    <mergeCell ref="A1:E1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815D-2F66-49B5-B9C9-DDA8D8834E3B}">
  <dimension ref="A1:F26"/>
  <sheetViews>
    <sheetView workbookViewId="0">
      <selection activeCell="B8" sqref="B8"/>
    </sheetView>
  </sheetViews>
  <sheetFormatPr defaultRowHeight="15" x14ac:dyDescent="0.25"/>
  <cols>
    <col min="1" max="1" width="4.28515625" style="40" bestFit="1" customWidth="1"/>
    <col min="2" max="2" width="38.7109375" style="39" bestFit="1" customWidth="1"/>
    <col min="3" max="3" width="16.5703125" style="39" bestFit="1" customWidth="1"/>
    <col min="4" max="4" width="9.7109375" style="39" bestFit="1" customWidth="1"/>
    <col min="5" max="5" width="9.140625" style="39"/>
    <col min="6" max="6" width="13.28515625" style="39" customWidth="1"/>
    <col min="7" max="16384" width="9.140625" style="39"/>
  </cols>
  <sheetData>
    <row r="1" spans="1:6" x14ac:dyDescent="0.25">
      <c r="A1" s="53" t="s">
        <v>389</v>
      </c>
      <c r="B1" s="53"/>
      <c r="C1" s="53"/>
      <c r="D1" s="53"/>
      <c r="E1" s="53"/>
      <c r="F1" s="53"/>
    </row>
    <row r="2" spans="1:6" x14ac:dyDescent="0.25">
      <c r="A2" s="53" t="s">
        <v>388</v>
      </c>
      <c r="B2" s="53"/>
      <c r="C2" s="53"/>
      <c r="D2" s="53"/>
      <c r="E2" s="53"/>
      <c r="F2" s="53"/>
    </row>
    <row r="4" spans="1:6" s="40" customFormat="1" ht="15.75" thickBot="1" x14ac:dyDescent="0.3">
      <c r="A4" s="48" t="s">
        <v>0</v>
      </c>
      <c r="B4" s="48" t="s">
        <v>1</v>
      </c>
      <c r="C4" s="48" t="s">
        <v>3</v>
      </c>
      <c r="D4" s="48" t="s">
        <v>2</v>
      </c>
      <c r="E4" s="48" t="s">
        <v>19</v>
      </c>
      <c r="F4" s="48" t="s">
        <v>343</v>
      </c>
    </row>
    <row r="5" spans="1:6" ht="24.75" customHeight="1" thickTop="1" x14ac:dyDescent="0.25">
      <c r="A5" s="46"/>
      <c r="B5" s="47" t="s">
        <v>24</v>
      </c>
      <c r="C5" s="46"/>
      <c r="D5" s="46"/>
      <c r="E5" s="46"/>
      <c r="F5" s="46"/>
    </row>
    <row r="6" spans="1:6" ht="24.75" customHeight="1" x14ac:dyDescent="0.25">
      <c r="A6" s="41">
        <v>1</v>
      </c>
      <c r="B6" s="42" t="s">
        <v>33</v>
      </c>
      <c r="C6" s="41" t="s">
        <v>34</v>
      </c>
      <c r="D6" s="41" t="s">
        <v>24</v>
      </c>
      <c r="E6" s="41" t="s">
        <v>21</v>
      </c>
      <c r="F6" s="41" t="s">
        <v>344</v>
      </c>
    </row>
    <row r="7" spans="1:6" ht="24.75" customHeight="1" x14ac:dyDescent="0.25">
      <c r="A7" s="41">
        <v>2</v>
      </c>
      <c r="B7" s="42" t="s">
        <v>309</v>
      </c>
      <c r="C7" s="41" t="s">
        <v>54</v>
      </c>
      <c r="D7" s="41" t="s">
        <v>24</v>
      </c>
      <c r="E7" s="41" t="s">
        <v>21</v>
      </c>
      <c r="F7" s="41" t="s">
        <v>344</v>
      </c>
    </row>
    <row r="8" spans="1:6" ht="24.75" customHeight="1" x14ac:dyDescent="0.25">
      <c r="A8" s="41">
        <v>3</v>
      </c>
      <c r="B8" s="42" t="s">
        <v>303</v>
      </c>
      <c r="C8" s="41" t="s">
        <v>55</v>
      </c>
      <c r="D8" s="41" t="s">
        <v>24</v>
      </c>
      <c r="E8" s="41" t="s">
        <v>21</v>
      </c>
      <c r="F8" s="41" t="s">
        <v>344</v>
      </c>
    </row>
    <row r="9" spans="1:6" ht="24.75" customHeight="1" x14ac:dyDescent="0.25">
      <c r="A9" s="41">
        <v>4</v>
      </c>
      <c r="B9" s="42" t="s">
        <v>59</v>
      </c>
      <c r="C9" s="41" t="s">
        <v>60</v>
      </c>
      <c r="D9" s="41" t="s">
        <v>24</v>
      </c>
      <c r="E9" s="41" t="s">
        <v>21</v>
      </c>
      <c r="F9" s="41" t="s">
        <v>344</v>
      </c>
    </row>
    <row r="10" spans="1:6" ht="24.75" customHeight="1" x14ac:dyDescent="0.25">
      <c r="A10" s="41">
        <v>5</v>
      </c>
      <c r="B10" s="42" t="s">
        <v>67</v>
      </c>
      <c r="C10" s="41" t="s">
        <v>68</v>
      </c>
      <c r="D10" s="41" t="s">
        <v>24</v>
      </c>
      <c r="E10" s="41" t="s">
        <v>21</v>
      </c>
      <c r="F10" s="41" t="s">
        <v>344</v>
      </c>
    </row>
    <row r="11" spans="1:6" ht="24.75" customHeight="1" x14ac:dyDescent="0.25">
      <c r="A11" s="41">
        <v>6</v>
      </c>
      <c r="B11" s="42" t="s">
        <v>372</v>
      </c>
      <c r="C11" s="41" t="s">
        <v>373</v>
      </c>
      <c r="D11" s="41" t="s">
        <v>24</v>
      </c>
      <c r="E11" s="41" t="s">
        <v>21</v>
      </c>
      <c r="F11" s="41" t="s">
        <v>344</v>
      </c>
    </row>
    <row r="12" spans="1:6" ht="24.75" customHeight="1" x14ac:dyDescent="0.25">
      <c r="A12" s="41">
        <v>7</v>
      </c>
      <c r="B12" s="42" t="s">
        <v>370</v>
      </c>
      <c r="C12" s="41" t="s">
        <v>374</v>
      </c>
      <c r="D12" s="41" t="s">
        <v>24</v>
      </c>
      <c r="E12" s="41" t="s">
        <v>21</v>
      </c>
      <c r="F12" s="41" t="s">
        <v>344</v>
      </c>
    </row>
    <row r="13" spans="1:6" ht="24.75" customHeight="1" x14ac:dyDescent="0.25">
      <c r="A13" s="41">
        <v>8</v>
      </c>
      <c r="B13" s="42" t="s">
        <v>371</v>
      </c>
      <c r="C13" s="41" t="s">
        <v>375</v>
      </c>
      <c r="D13" s="41" t="s">
        <v>24</v>
      </c>
      <c r="E13" s="41" t="s">
        <v>21</v>
      </c>
      <c r="F13" s="41" t="s">
        <v>344</v>
      </c>
    </row>
    <row r="14" spans="1:6" ht="24.75" customHeight="1" x14ac:dyDescent="0.25">
      <c r="A14" s="41"/>
      <c r="B14" s="42"/>
      <c r="C14" s="41"/>
      <c r="D14" s="41"/>
      <c r="E14" s="41"/>
      <c r="F14" s="41"/>
    </row>
    <row r="15" spans="1:6" ht="24.75" customHeight="1" x14ac:dyDescent="0.25">
      <c r="A15" s="41"/>
      <c r="B15" s="45" t="s">
        <v>73</v>
      </c>
      <c r="C15" s="41"/>
      <c r="D15" s="41"/>
      <c r="E15" s="41"/>
      <c r="F15" s="41"/>
    </row>
    <row r="16" spans="1:6" ht="24.75" customHeight="1" x14ac:dyDescent="0.25">
      <c r="A16" s="41">
        <v>9</v>
      </c>
      <c r="B16" s="42" t="s">
        <v>296</v>
      </c>
      <c r="C16" s="41" t="s">
        <v>99</v>
      </c>
      <c r="D16" s="41" t="s">
        <v>73</v>
      </c>
      <c r="E16" s="41" t="s">
        <v>21</v>
      </c>
      <c r="F16" s="41" t="s">
        <v>344</v>
      </c>
    </row>
    <row r="17" spans="1:6" ht="24.75" customHeight="1" x14ac:dyDescent="0.25">
      <c r="A17" s="41">
        <v>10</v>
      </c>
      <c r="B17" s="42" t="s">
        <v>116</v>
      </c>
      <c r="C17" s="41" t="s">
        <v>117</v>
      </c>
      <c r="D17" s="41" t="s">
        <v>73</v>
      </c>
      <c r="E17" s="41" t="s">
        <v>21</v>
      </c>
      <c r="F17" s="41" t="s">
        <v>344</v>
      </c>
    </row>
    <row r="18" spans="1:6" ht="24.75" customHeight="1" x14ac:dyDescent="0.25">
      <c r="A18" s="41">
        <v>11</v>
      </c>
      <c r="B18" s="42" t="s">
        <v>352</v>
      </c>
      <c r="C18" s="41" t="s">
        <v>361</v>
      </c>
      <c r="D18" s="41" t="s">
        <v>73</v>
      </c>
      <c r="E18" s="41" t="s">
        <v>21</v>
      </c>
      <c r="F18" s="41" t="s">
        <v>344</v>
      </c>
    </row>
    <row r="19" spans="1:6" ht="24.75" customHeight="1" x14ac:dyDescent="0.25">
      <c r="A19" s="41">
        <v>12</v>
      </c>
      <c r="B19" s="42" t="s">
        <v>353</v>
      </c>
      <c r="C19" s="41" t="s">
        <v>362</v>
      </c>
      <c r="D19" s="41" t="s">
        <v>73</v>
      </c>
      <c r="E19" s="41" t="s">
        <v>21</v>
      </c>
      <c r="F19" s="41" t="s">
        <v>344</v>
      </c>
    </row>
    <row r="20" spans="1:6" ht="24.75" customHeight="1" x14ac:dyDescent="0.25">
      <c r="A20" s="41"/>
      <c r="B20" s="44"/>
      <c r="C20" s="41"/>
      <c r="D20" s="41"/>
      <c r="E20" s="41"/>
      <c r="F20" s="41"/>
    </row>
    <row r="21" spans="1:6" ht="24.75" customHeight="1" x14ac:dyDescent="0.25">
      <c r="A21" s="41"/>
      <c r="B21" s="43" t="s">
        <v>132</v>
      </c>
      <c r="C21" s="41"/>
      <c r="D21" s="41"/>
      <c r="E21" s="41"/>
      <c r="F21" s="41"/>
    </row>
    <row r="22" spans="1:6" ht="24.75" customHeight="1" x14ac:dyDescent="0.25">
      <c r="A22" s="41">
        <v>13</v>
      </c>
      <c r="B22" s="42" t="s">
        <v>167</v>
      </c>
      <c r="C22" s="41" t="s">
        <v>168</v>
      </c>
      <c r="D22" s="41" t="s">
        <v>132</v>
      </c>
      <c r="E22" s="41" t="s">
        <v>21</v>
      </c>
      <c r="F22" s="41" t="s">
        <v>344</v>
      </c>
    </row>
    <row r="23" spans="1:6" ht="24.75" customHeight="1" x14ac:dyDescent="0.25">
      <c r="A23" s="41">
        <v>14</v>
      </c>
      <c r="B23" s="42" t="s">
        <v>295</v>
      </c>
      <c r="C23" s="41" t="s">
        <v>170</v>
      </c>
      <c r="D23" s="41" t="s">
        <v>132</v>
      </c>
      <c r="E23" s="41" t="s">
        <v>21</v>
      </c>
      <c r="F23" s="41" t="s">
        <v>344</v>
      </c>
    </row>
    <row r="24" spans="1:6" ht="24.75" customHeight="1" x14ac:dyDescent="0.25">
      <c r="A24" s="41">
        <v>15</v>
      </c>
      <c r="B24" s="42" t="s">
        <v>364</v>
      </c>
      <c r="C24" s="41" t="s">
        <v>366</v>
      </c>
      <c r="D24" s="41" t="s">
        <v>132</v>
      </c>
      <c r="E24" s="41" t="s">
        <v>21</v>
      </c>
      <c r="F24" s="41" t="s">
        <v>344</v>
      </c>
    </row>
    <row r="25" spans="1:6" ht="24.75" customHeight="1" x14ac:dyDescent="0.25">
      <c r="A25" s="41">
        <v>16</v>
      </c>
      <c r="B25" s="42" t="s">
        <v>365</v>
      </c>
      <c r="C25" s="41" t="s">
        <v>367</v>
      </c>
      <c r="D25" s="41" t="s">
        <v>132</v>
      </c>
      <c r="E25" s="41" t="s">
        <v>21</v>
      </c>
      <c r="F25" s="41" t="s">
        <v>344</v>
      </c>
    </row>
    <row r="26" spans="1:6" ht="21" customHeight="1" x14ac:dyDescent="0.25"/>
  </sheetData>
  <mergeCells count="2">
    <mergeCell ref="A1:F1"/>
    <mergeCell ref="A2:F2"/>
  </mergeCells>
  <pageMargins left="0.7" right="0.3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REKAP</vt:lpstr>
      <vt:lpstr>BLM UKUR TMT 02112021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dc:description/>
  <cp:lastModifiedBy>Altaf</cp:lastModifiedBy>
  <cp:revision>8</cp:revision>
  <cp:lastPrinted>2021-11-03T21:51:57Z</cp:lastPrinted>
  <dcterms:created xsi:type="dcterms:W3CDTF">2016-07-23T12:41:03Z</dcterms:created>
  <dcterms:modified xsi:type="dcterms:W3CDTF">2021-11-24T22:17:59Z</dcterms:modified>
  <dc:language>en-HK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