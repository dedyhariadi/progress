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6E8942EF-C909-48C2-BCD7-CF0821E12EC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<sst xmlns="http://schemas.openxmlformats.org/spreadsheetml/2006/main" count="917" uniqueCount="398">
  <si>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</si>
  <si>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</si>
  <si>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</si>
  <si>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</si>
  <si>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</si>
  <si>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</si>
  <si>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</si>
  <si>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</si>
  <si>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</si>
  <si>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</si>
  <si>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</si>
  <si>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</si>
  <si>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</si>
  <si>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</si>
  <si>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</si>
  <si>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</si>
  <si>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</si>
  <si>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</si>
  <si>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</si>
  <si>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</si>
  <si>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</si>
  <si>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</si>
  <si>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</si>
  <si>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</si>
  <si>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</si>
  <si>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</si>
  <si>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</si>
  <si>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</si>
  <si>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</si>
  <si>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</si>
  <si>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</si>
  <si>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</si>
  <si>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</si>
  <si>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</si>
  <si>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</si>
  <si>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</si>
  <si>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</si>
  <si>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</si>
  <si>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</si>
  <si>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</si>
  <si>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</si>
  <si>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</si>
  <si>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</si>
  <si>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</si>
  <si>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</si>
  <si>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</si>
  <si>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</si>
  <si>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</si>
  <si>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</si>
  <si>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</si>
  <si>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</si>
  <si>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</si>
  <si>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</si>
  <si>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</si>
  <si>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</si>
  <si>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</si>
  <si>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</si>
  <si>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</si>
  <si>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</si>
  <si>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</si>
  <si>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</si>
  <si>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</si>
  <si>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</si>
  <si>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</si>
  <si>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</si>
  <si>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</si>
  <si>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</si>
  <si>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</si>
  <si>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</si>
  <si>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</si>
  <si>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</si>
  <si>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</si>
  <si>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</si>
  <si>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</si>
  <si>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</si>
  <si>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</si>
  <si>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</si>
  <si>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</si>
  <si>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</si>
  <si>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</si>
  <si>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</si>
  <si>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</si>
  <si>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</si>
  <si>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</si>
  <si>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</si>
  <si>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</si>
  <si>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</si>
  <si>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</si>
  <si>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</si>
  <si>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</si>
  <si>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</si>
  <si>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</si>
  <si>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</si>
  <si>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</si>
  <si>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</si>
  <si>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</si>
  <si>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</si>
  <si>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</si>
  <si>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</si>
  <si>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</si>
  <si>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</si>
  <si>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</si>
  <si>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</si>
  <si>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</si>
  <si>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</si>
  <si>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</si>
  <si>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</si>
  <si>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</si>
  <si>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</si>
  <si>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</si>
  <si>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</si>
  <si>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</si>
  <si>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</si>
  <si>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</si>
  <si>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</si>
  <si>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</si>
  <si>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</si>
  <si>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</si>
  <si>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</si>
  <si>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</si>
  <si>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</si>
  <si>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</si>
  <si>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</si>
  <si>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</si>
  <si>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</si>
  <si>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</si>
  <si>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</si>
  <si>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</si>
  <si>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</si>
  <si>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</si>
  <si>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</si>
  <si>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</si>
  <si>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</si>
  <si>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</si>
  <si>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</si>
  <si>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</si>
  <si>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</si>
  <si>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</si>
  <si>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</si>
  <si>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</si>
  <si>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</si>
  <si>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</si>
  <si>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</si>
  <si>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</si>
  <si>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</si>
  <si>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</si>
  <si>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</si>
  <si>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</si>
  <si>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</si>
  <si>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</si>
  <si>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</si>
  <si>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</si>
  <si>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</si>
  <si>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</si>
  <si>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</si>
  <si>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</si>
  <si>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</si>
  <si>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</si>
  <si>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</si>
  <si>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</si>
  <si>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</si>
  <si>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</si>
  <si>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</si>
  <si>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</si>
  <si>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</si>
  <si>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</si>
  <si>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</si>
  <si>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</si>
  <si>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</si>
  <si>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</si>
  <si>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</si>
  <si>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</si>
  <si>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</si>
  <si>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</si>
  <si>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</si>
  <si>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</si>
  <si>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</si>
  <si>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</si>
  <si>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</si>
  <si>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</si>
  <si>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</si>
  <si>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</si>
  <si>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</si>
  <si>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</si>
  <si>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</si>
  <si>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</si>
  <si>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</si>
  <si>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</si>
  <si>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</si>
  <si>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</si>
  <si>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</si>
  <si>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</si>
  <si>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</si>
  <si>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</si>
  <si>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</si>
  <si>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</si>
  <si>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</si>
  <si>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</si>
  <si>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</si>
  <si>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</si>
  <si>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</si>
  <si>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</si>
  <si>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</si>
  <si>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</si>
  <si>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</si>
  <si>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</si>
  <si>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</si>
  <si>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</si>
  <si>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</si>
  <si>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</si>
  <si>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</si>
  <si>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</si>
  <si>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</si>
  <si>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</si>
  <si>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</si>
  <si>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</si>
  <si>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</si>
  <si>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</si>
  <si>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</si>
  <si>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</si>
  <si>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</si>
  <si>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</si>
  <si>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</si>
  <si>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</si>
  <si>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</si>
  <si>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</si>
  <si>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</si>
  <si>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</si>
  <si>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</si>
  <si>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</si>
  <si>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</si>
  <si>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</si>
  <si>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</si>
  <si>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</si>
  <si>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</si>
  <si>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</si>
  <si>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</si>
  <si>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</si>
  <si>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</si>
  <si>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</si>
  <si>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</si>
  <si>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</si>
  <si>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</si>
  <si>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</si>
  <si>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</si>
  <si>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</si>
  <si>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</si>
  <si>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</si>
  <si>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</si>
  <si>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</si>
  <si>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</si>
  <si>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</si>
  <si>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</si>
  <si>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</si>
  <si>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</si>
  <si>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</si>
  <si>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</si>
  <si>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</si>
  <si>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</si>
  <si>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</si>
  <si>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</si>
  <si>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</si>
  <si>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</si>
  <si>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</si>
  <si>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</si>
  <si>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</si>
  <si>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</si>
  <si>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</si>
  <si>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</si>
  <si>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</si>
  <si>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</si>
  <si>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</si>
  <si>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</si>
  <si>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</si>
  <si>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</si>
  <si>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</si>
  <si>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</si>
  <si>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</si>
  <si>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</si>
  <si>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</si>
  <si>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</si>
  <si>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</si>
  <si>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</si>
  <si>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</si>
  <si>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</si>
  <si>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</si>
  <si>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</si>
  <si>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</si>
  <si>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</si>
  <si>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</si>
  <si>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</si>
  <si>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</si>
  <si>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</si>
  <si>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</si>
  <si>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</si>
  <si>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</si>
  <si>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</si>
  <si>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</si>
  <si>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</si>
  <si>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</si>
  <si>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</si>
  <si>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</si>
  <si>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</si>
  <si>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</si>
  <si>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</si>
  <si>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</si>
  <si>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</si>
  <si>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</si>
  <si>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</si>
  <si>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</si>
  <si>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</si>
  <si>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</si>
  <si>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</si>
  <si>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</si>
  <si>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</si>
  <si>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</si>
  <si>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</si>
  <si>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</si>
  <si>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</si>
  <si>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</si>
  <si>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</si>
  <si>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</si>
  <si>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</si>
  <si>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</si>
  <si>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</si>
  <si>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</si>
  <si>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</si>
  <si>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</si>
  <si>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</si>
  <si>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</si>
  <si>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</si>
  <si>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</si>
  <si>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</si>
  <si>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</si>
  <si>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</si>
  <si>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</si>
  <si>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</si>
  <si>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</si>
  <si>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</si>
  <si>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</si>
  <si>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</si>
  <si>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</si>
  <si>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</si>
  <si>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</si>
  <si>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</si>
  <si>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</si>
  <si>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</si>
  <si>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</si>
  <si>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</si>
  <si>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</si>
  <si>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</si>
  <si>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</si>
  <si>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</si>
  <si>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</si>
  <si>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</si>
  <si>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</si>
  <si>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</si>
  <si>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</si>
  <si>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</si>
  <si>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</si>
  <si>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</si>
  <si>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</si>
  <si>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</si>
  <si>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</si>
  <si>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</si>
  <si>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</si>
  <si>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</si>
  <si>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</si>
  <si>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</si>
  <si>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</si>
  <si>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</si>
  <si>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</si>
  <si>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</si>
  <si>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</si>
  <si>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</si>
  <si>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</si>
  <si>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</si>
  <si>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</si>
  <si>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</si>
  <si>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</si>
  <si>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</si>
  <si>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</si>
  <si>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</si>
  <si>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</si>
  <si>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</si>
  <si>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</si>
  <si>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</si>
  <si>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</si>
  <si>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</si>
  <si>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</si>
  <si>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</si>
  <si>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</si>
  <si>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</si>
  <si>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</si>
  <si>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</si>
  <si>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</si>
  <si>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</si>
  <si>
    <t>19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</si>
</sst>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  <xf numFmtId="49" fontId="4" fillId="0" borderId="1" xfId="0" quotePrefix="1" applyNumberFormat="1" applyFont="1" applyBorder="1" applyAlignment="1">
      <alignment horizontal="center" vertic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dimension ref="A1:Z114"/>
  <sheetViews>
    <sheetView tabSelected="1" zoomScale="70" zoomScaleNormal="70" workbookViewId="0">
      <pane ySplit="1" topLeftCell="A92" activePane="bottomLeft" state="frozen"/>
      <selection activeCell="G101" sqref="G101"/>
      <selection pane="bottomLeft" activeCell="N111" sqref="N111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x14ac:dyDescent="0.25">
      <c r="A9" s="38">
        <f>SUBTOTAL(3,$B$2:B9)</f>
        <v>8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9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customHeight="1" x14ac:dyDescent="0.25">
      <c r="A11" s="13">
        <f>SUBTOTAL(3,$B$2:B11)</f>
        <v>10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customHeight="1" x14ac:dyDescent="0.25">
      <c r="A12" s="13">
        <f>SUBTOTAL(3,$B$2:B12)</f>
        <v>11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customHeight="1" x14ac:dyDescent="0.25">
      <c r="A13" s="13">
        <f>SUBTOTAL(3,$B$2:B13)</f>
        <v>12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customHeight="1" x14ac:dyDescent="0.25">
      <c r="A14" s="13">
        <f>SUBTOTAL(3,$B$2:B14)</f>
        <v>13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customHeight="1" x14ac:dyDescent="0.25">
      <c r="A15" s="13">
        <f>SUBTOTAL(3,$B$2:B15)</f>
        <v>14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customHeight="1" x14ac:dyDescent="0.25">
      <c r="A16" s="13">
        <f>SUBTOTAL(3,$B$2:B16)</f>
        <v>15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customHeight="1" x14ac:dyDescent="0.25">
      <c r="A17" s="13">
        <f>SUBTOTAL(3,$B$2:B17)</f>
        <v>16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customHeight="1" x14ac:dyDescent="0.25">
      <c r="A18" s="13">
        <f>SUBTOTAL(3,$B$2:B18)</f>
        <v>17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customHeight="1" x14ac:dyDescent="0.25">
      <c r="A19" s="13">
        <f>SUBTOTAL(3,$B$2:B19)</f>
        <v>18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customHeight="1" x14ac:dyDescent="0.25">
      <c r="A20" s="13">
        <f>SUBTOTAL(3,$B$2:B20)</f>
        <v>19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customHeight="1" x14ac:dyDescent="0.25">
      <c r="A21" s="38">
        <f>SUBTOTAL(3,$B$2:B21)</f>
        <v>20</v>
      </c>
      <c r="B21" s="49" t="s">
        <v>198</v>
      </c>
      <c r="C21" s="50" t="s">
        <v>309</v>
      </c>
      <c r="D21" s="49" t="s">
        <v>54</v>
      </c>
      <c r="E21" s="49" t="s">
        <v>24</v>
      </c>
      <c r="F21" s="49" t="s">
        <v>21</v>
      </c>
      <c r="G21" s="49"/>
      <c r="H21" s="4">
        <v>47</v>
      </c>
      <c r="I21" s="4">
        <v>27</v>
      </c>
      <c r="J21" s="4">
        <v>18</v>
      </c>
      <c r="K21" s="4">
        <v>30</v>
      </c>
      <c r="L21" s="4">
        <v>28</v>
      </c>
      <c r="M21" s="4">
        <v>30</v>
      </c>
      <c r="N21" s="4">
        <v>74</v>
      </c>
      <c r="O21" s="4">
        <v>42</v>
      </c>
      <c r="P21" s="7">
        <v>89</v>
      </c>
      <c r="Q21" s="7">
        <v>116</v>
      </c>
      <c r="R21" s="7">
        <v>74</v>
      </c>
      <c r="S21" s="7">
        <v>35</v>
      </c>
      <c r="T21" s="7">
        <v>27</v>
      </c>
      <c r="U21" s="7">
        <v>22</v>
      </c>
      <c r="V21" s="7">
        <v>101</v>
      </c>
      <c r="W21" s="4">
        <v>4</v>
      </c>
      <c r="X21" s="53" t="s">
        <v>397</v>
      </c>
    </row>
    <row r="22" spans="1:26" ht="23.25" customHeight="1" x14ac:dyDescent="0.25">
      <c r="A22" s="38">
        <f>SUBTOTAL(3,$B$2:B22)</f>
        <v>21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22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customHeight="1" x14ac:dyDescent="0.25">
      <c r="A24" s="13">
        <f>SUBTOTAL(3,$B$2:B24)</f>
        <v>23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customHeight="1" x14ac:dyDescent="0.25">
      <c r="A25" s="38">
        <f>SUBTOTAL(3,$B$2:B25)</f>
        <v>24</v>
      </c>
      <c r="B25" s="49" t="s">
        <v>202</v>
      </c>
      <c r="C25" s="50" t="s">
        <v>59</v>
      </c>
      <c r="D25" s="49" t="s">
        <v>60</v>
      </c>
      <c r="E25" s="49" t="s">
        <v>24</v>
      </c>
      <c r="F25" s="49" t="s">
        <v>21</v>
      </c>
      <c r="G25" s="49"/>
      <c r="H25" s="4">
        <v>47</v>
      </c>
      <c r="I25" s="4">
        <v>25</v>
      </c>
      <c r="J25" s="4">
        <v>17</v>
      </c>
      <c r="K25" s="4">
        <v>28</v>
      </c>
      <c r="L25" s="4">
        <v>25</v>
      </c>
      <c r="M25" s="4">
        <v>28</v>
      </c>
      <c r="N25" s="4">
        <v>75</v>
      </c>
      <c r="O25" s="4">
        <v>40</v>
      </c>
      <c r="P25" s="7">
        <v>79</v>
      </c>
      <c r="Q25" s="7">
        <v>106</v>
      </c>
      <c r="R25" s="7">
        <v>70</v>
      </c>
      <c r="S25" s="7">
        <v>33</v>
      </c>
      <c r="T25" s="7">
        <v>26</v>
      </c>
      <c r="U25" s="7">
        <v>21</v>
      </c>
      <c r="V25" s="7">
        <v>104</v>
      </c>
      <c r="W25" s="5">
        <v>4</v>
      </c>
      <c r="X25" s="35" t="s">
        <v>397</v>
      </c>
    </row>
    <row r="26" spans="1:26" ht="23.25" customHeight="1" x14ac:dyDescent="0.25">
      <c r="A26" s="13">
        <f>SUBTOTAL(3,$B$2:B26)</f>
        <v>25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customHeight="1" x14ac:dyDescent="0.25">
      <c r="A27" s="13">
        <f>SUBTOTAL(3,$B$2:B27)</f>
        <v>26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customHeight="1" x14ac:dyDescent="0.25">
      <c r="A28" s="13">
        <f>SUBTOTAL(3,$B$2:B28)</f>
        <v>27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customHeight="1" x14ac:dyDescent="0.25">
      <c r="A29" s="13">
        <f>SUBTOTAL(3,$B$2:B29)</f>
        <v>28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29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30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customHeight="1" x14ac:dyDescent="0.25">
      <c r="A32" s="38">
        <f>SUBTOTAL(3,$B$2:B32)</f>
        <v>31</v>
      </c>
      <c r="B32" s="49" t="s">
        <v>376</v>
      </c>
      <c r="C32" s="50" t="s">
        <v>372</v>
      </c>
      <c r="D32" s="49" t="s">
        <v>373</v>
      </c>
      <c r="E32" s="49" t="s">
        <v>24</v>
      </c>
      <c r="F32" s="49" t="s">
        <v>21</v>
      </c>
      <c r="G32" s="49"/>
      <c r="H32" s="4">
        <v>46</v>
      </c>
      <c r="I32" s="4">
        <v>24</v>
      </c>
      <c r="J32" s="4">
        <v>18</v>
      </c>
      <c r="K32" s="4">
        <v>28</v>
      </c>
      <c r="L32" s="4">
        <v>27</v>
      </c>
      <c r="M32" s="4">
        <v>28</v>
      </c>
      <c r="N32" s="4">
        <v>70</v>
      </c>
      <c r="O32" s="4">
        <v>40</v>
      </c>
      <c r="P32" s="7">
        <v>90</v>
      </c>
      <c r="Q32" s="7">
        <v>109</v>
      </c>
      <c r="R32" s="7">
        <v>68</v>
      </c>
      <c r="S32" s="7">
        <v>33</v>
      </c>
      <c r="T32" s="7">
        <v>24</v>
      </c>
      <c r="U32" s="7">
        <v>19</v>
      </c>
      <c r="V32" s="7">
        <v>94</v>
      </c>
      <c r="W32" s="5">
        <v>4</v>
      </c>
      <c r="X32" s="35" t="s">
        <v>397</v>
      </c>
    </row>
    <row r="33" spans="1:26" ht="23.25" customHeight="1" x14ac:dyDescent="0.25">
      <c r="A33" s="38">
        <f>SUBTOTAL(3,$B$2:B33)</f>
        <v>32</v>
      </c>
      <c r="B33" s="49" t="s">
        <v>377</v>
      </c>
      <c r="C33" s="50" t="s">
        <v>370</v>
      </c>
      <c r="D33" s="49" t="s">
        <v>374</v>
      </c>
      <c r="E33" s="49" t="s">
        <v>24</v>
      </c>
      <c r="F33" s="49" t="s">
        <v>21</v>
      </c>
      <c r="G33" s="49"/>
      <c r="H33" s="4">
        <v>44</v>
      </c>
      <c r="I33" s="4">
        <v>25</v>
      </c>
      <c r="J33" s="4">
        <v>16</v>
      </c>
      <c r="K33" s="4">
        <v>27</v>
      </c>
      <c r="L33" s="4">
        <v>26</v>
      </c>
      <c r="M33" s="4">
        <v>27</v>
      </c>
      <c r="N33" s="4">
        <v>72</v>
      </c>
      <c r="O33" s="4">
        <v>40</v>
      </c>
      <c r="P33" s="7">
        <v>85</v>
      </c>
      <c r="Q33" s="7">
        <v>107</v>
      </c>
      <c r="R33" s="7">
        <v>66</v>
      </c>
      <c r="S33" s="7">
        <v>32</v>
      </c>
      <c r="T33" s="7">
        <v>24</v>
      </c>
      <c r="U33" s="7">
        <v>19</v>
      </c>
      <c r="V33" s="7">
        <v>98</v>
      </c>
      <c r="W33" s="4">
        <v>4</v>
      </c>
      <c r="X33" s="53" t="s">
        <v>397</v>
      </c>
    </row>
    <row r="34" spans="1:26" ht="23.25" customHeight="1" x14ac:dyDescent="0.25">
      <c r="A34" s="38">
        <f>SUBTOTAL(3,$B$2:B34)</f>
        <v>33</v>
      </c>
      <c r="B34" s="49" t="s">
        <v>378</v>
      </c>
      <c r="C34" s="50" t="s">
        <v>371</v>
      </c>
      <c r="D34" s="49" t="s">
        <v>375</v>
      </c>
      <c r="E34" s="49" t="s">
        <v>24</v>
      </c>
      <c r="F34" s="49" t="s">
        <v>21</v>
      </c>
      <c r="G34" s="49"/>
      <c r="H34" s="4">
        <v>38</v>
      </c>
      <c r="I34" s="4">
        <v>25</v>
      </c>
      <c r="J34" s="4">
        <v>16</v>
      </c>
      <c r="K34" s="4">
        <v>25</v>
      </c>
      <c r="L34" s="4">
        <v>23</v>
      </c>
      <c r="M34" s="4">
        <v>25</v>
      </c>
      <c r="N34" s="4">
        <v>71</v>
      </c>
      <c r="O34" s="4">
        <v>35</v>
      </c>
      <c r="P34" s="7">
        <v>75</v>
      </c>
      <c r="Q34" s="7">
        <v>91</v>
      </c>
      <c r="R34" s="7">
        <v>63</v>
      </c>
      <c r="S34" s="7">
        <v>29</v>
      </c>
      <c r="T34" s="7">
        <v>23</v>
      </c>
      <c r="U34" s="7">
        <v>18</v>
      </c>
      <c r="V34" s="7">
        <v>96</v>
      </c>
      <c r="W34" s="5">
        <v>4</v>
      </c>
      <c r="X34" s="53" t="s">
        <v>397</v>
      </c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20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customHeight="1" x14ac:dyDescent="0.25">
      <c r="A56" s="13">
        <f>SUBTOTAL(3,$B$35:B56)</f>
        <v>22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customHeight="1" x14ac:dyDescent="0.25">
      <c r="A57" s="13">
        <f>SUBTOTAL(3,$B$35:B57)</f>
        <v>23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customHeight="1" x14ac:dyDescent="0.25">
      <c r="A58" s="13">
        <f>SUBTOTAL(3,$B$35:B58)</f>
        <v>24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customHeight="1" x14ac:dyDescent="0.25">
      <c r="A59" s="13">
        <f>SUBTOTAL(3,$B$35:B59)</f>
        <v>25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customHeight="1" x14ac:dyDescent="0.25">
      <c r="A60" s="13">
        <f>SUBTOTAL(3,$B$35:B60)</f>
        <v>26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customHeight="1" x14ac:dyDescent="0.25">
      <c r="A61" s="13">
        <f>SUBTOTAL(3,$B$35:B61)</f>
        <v>27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customHeight="1" x14ac:dyDescent="0.25">
      <c r="A62" s="13">
        <f>SUBTOTAL(3,$B$35:B62)</f>
        <v>28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customHeight="1" x14ac:dyDescent="0.25">
      <c r="A63" s="13">
        <f>SUBTOTAL(3,$B$35:B63)</f>
        <v>29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customHeight="1" x14ac:dyDescent="0.25">
      <c r="A64" s="13">
        <f>SUBTOTAL(3,$B$35:B64)</f>
        <v>30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customHeight="1" x14ac:dyDescent="0.25">
      <c r="A65" s="13">
        <f>SUBTOTAL(3,$B$35:B65)</f>
        <v>31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customHeight="1" x14ac:dyDescent="0.25">
      <c r="A66" s="13">
        <f>SUBTOTAL(3,$B$35:B66)</f>
        <v>32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customHeight="1" x14ac:dyDescent="0.25">
      <c r="A67" s="38">
        <f>SUBTOTAL(3,$B$35:B67)</f>
        <v>33</v>
      </c>
      <c r="B67" s="49" t="s">
        <v>241</v>
      </c>
      <c r="C67" s="50" t="s">
        <v>116</v>
      </c>
      <c r="D67" s="49" t="s">
        <v>117</v>
      </c>
      <c r="E67" s="49" t="s">
        <v>73</v>
      </c>
      <c r="F67" s="49" t="s">
        <v>21</v>
      </c>
      <c r="G67" s="49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customHeight="1" x14ac:dyDescent="0.25">
      <c r="A68" s="13">
        <f>SUBTOTAL(3,$B$35:B68)</f>
        <v>34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customHeight="1" x14ac:dyDescent="0.25">
      <c r="A69" s="13">
        <f>SUBTOTAL(3,$B$35:B69)</f>
        <v>35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customHeight="1" x14ac:dyDescent="0.25">
      <c r="A70" s="13">
        <f>SUBTOTAL(3,$B$35:B70)</f>
        <v>36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customHeight="1" x14ac:dyDescent="0.25">
      <c r="A71" s="13">
        <f>SUBTOTAL(3,$B$35:B71)</f>
        <v>37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customHeight="1" x14ac:dyDescent="0.25">
      <c r="A72" s="13">
        <f>SUBTOTAL(3,$B$35:B72)</f>
        <v>38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customHeight="1" x14ac:dyDescent="0.25">
      <c r="A73" s="13">
        <f>SUBTOTAL(3,$B$35:B73)</f>
        <v>39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customHeight="1" x14ac:dyDescent="0.25">
      <c r="A74" s="13">
        <f>SUBTOTAL(3,$B$35:B74)</f>
        <v>40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customHeight="1" x14ac:dyDescent="0.25">
      <c r="A75" s="13">
        <f>SUBTOTAL(3,$B$35:B75)</f>
        <v>41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customHeight="1" x14ac:dyDescent="0.25">
      <c r="A76" s="13">
        <f>SUBTOTAL(3,$B$35:B76)</f>
        <v>42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customHeight="1" x14ac:dyDescent="0.25">
      <c r="A77" s="13">
        <f>SUBTOTAL(3,$B$35:B77)</f>
        <v>43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customHeight="1" x14ac:dyDescent="0.25">
      <c r="A78" s="13">
        <f>SUBTOTAL(3,$B$35:B78)</f>
        <v>44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customHeight="1" x14ac:dyDescent="0.25">
      <c r="A79" s="13">
        <f>SUBTOTAL(3,$B$35:B79)</f>
        <v>45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customHeight="1" x14ac:dyDescent="0.25">
      <c r="A80" s="13">
        <f>SUBTOTAL(3,$B$35:B80)</f>
        <v>46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customHeight="1" x14ac:dyDescent="0.25">
      <c r="A81" s="13">
        <f>SUBTOTAL(3,$B$35:B81)</f>
        <v>47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customHeight="1" x14ac:dyDescent="0.25">
      <c r="A82" s="13">
        <f>SUBTOTAL(3,$B$35:B82)</f>
        <v>48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customHeight="1" x14ac:dyDescent="0.25">
      <c r="A105" s="38">
        <f>SUBTOTAL(3,$B$83:B105)</f>
        <v>23</v>
      </c>
      <c r="B105" s="49" t="s">
        <v>274</v>
      </c>
      <c r="C105" s="50" t="s">
        <v>167</v>
      </c>
      <c r="D105" s="49" t="s">
        <v>168</v>
      </c>
      <c r="E105" s="49" t="s">
        <v>132</v>
      </c>
      <c r="F105" s="49" t="s">
        <v>21</v>
      </c>
      <c r="G105" s="49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customHeight="1" x14ac:dyDescent="0.25">
      <c r="A106" s="13">
        <f>SUBTOTAL(3,$B$83:B106)</f>
        <v>24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25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26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customHeight="1" x14ac:dyDescent="0.25">
      <c r="A109" s="13">
        <f>SUBTOTAL(3,$B$83:B109)</f>
        <v>27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customHeight="1" x14ac:dyDescent="0.25">
      <c r="A110" s="13">
        <f>SUBTOTAL(3,$B$83:B110)</f>
        <v>28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customHeight="1" x14ac:dyDescent="0.25">
      <c r="A111" s="13">
        <f>SUBTOTAL(3,$B$83:B111)</f>
        <v>29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customHeight="1" x14ac:dyDescent="0.25">
      <c r="A112" s="13">
        <f>SUBTOTAL(3,$B$83:B112)</f>
        <v>30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customHeight="1" x14ac:dyDescent="0.25">
      <c r="A113" s="13">
        <f>SUBTOTAL(3,$B$83:B113)</f>
        <v>31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32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1" t="s">
        <v>350</v>
      </c>
      <c r="B1" s="51"/>
      <c r="C1" s="51"/>
      <c r="D1" s="51"/>
      <c r="E1" s="51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2" t="s">
        <v>389</v>
      </c>
      <c r="B1" s="52"/>
      <c r="C1" s="52"/>
      <c r="D1" s="52"/>
      <c r="E1" s="52"/>
      <c r="F1" s="52"/>
    </row>
    <row r="2" spans="1:6" x14ac:dyDescent="0.25">
      <c r="A2" s="52" t="s">
        <v>388</v>
      </c>
      <c r="B2" s="52"/>
      <c r="C2" s="52"/>
      <c r="D2" s="52"/>
      <c r="E2" s="52"/>
      <c r="F2" s="52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2021-11-18T12:11:31Z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