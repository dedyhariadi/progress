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 di map\"/>
    </mc:Choice>
  </mc:AlternateContent>
  <xr:revisionPtr revIDLastSave="0" documentId="13_ncr:1_{328C0A67-170E-4806-AFBA-3D2F97BF3C0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SEMUA!$A$1:$AJ$47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<sst xmlns="http://schemas.openxmlformats.org/spreadsheetml/2006/main" count="438" uniqueCount="196">
  <si>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</si>
  <si>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</si>
  <si>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</si>
  <si>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</si>
  <si>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</si>
  <si>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</si>
  <si>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</si>
  <si>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</si>
  <si>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</si>
  <si>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</si>
  <si>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</si>
  <si>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</si>
  <si>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</si>
  <si>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</si>
  <si>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</si>
  <si>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</si>
  <si>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</si>
  <si>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</si>
  <si>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</si>
  <si>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</si>
  <si>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</si>
  <si>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</si>
  <si>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</si>
  <si>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</si>
  <si>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</si>
  <si>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</si>
  <si>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</si>
  <si>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</si>
  <si>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</si>
  <si>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</si>
  <si>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</si>
  <si>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</si>
  <si>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</si>
  <si>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</si>
  <si>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</si>
  <si>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</si>
  <si>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</si>
  <si>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</si>
  <si>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</si>
  <si>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</si>
  <si>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</si>
  <si>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</si>
  <si>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</si>
  <si>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SEPATU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</si>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</sst>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74"/>
  <sheetViews>
    <sheetView tabSelected="1" zoomScale="70" zoomScaleNormal="70" workbookViewId="0">
      <pane ySplit="1" topLeftCell="A32" activePane="bottomLeft" state="frozen"/>
      <selection pane="bottomLeft" activeCell="U46" sqref="U46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4" width="8.7109375" style="13"/>
    <col min="35" max="35" width="8.7109375" style="36"/>
    <col min="36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170</v>
      </c>
      <c r="D1" s="23" t="s">
        <v>171</v>
      </c>
      <c r="E1" s="23" t="s">
        <v>2</v>
      </c>
      <c r="F1" s="25" t="s">
        <v>146</v>
      </c>
      <c r="G1" s="23" t="s">
        <v>147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173</v>
      </c>
      <c r="AH1" s="13" t="s">
        <v>165</v>
      </c>
      <c r="AI1" s="36" t="s">
        <v>173</v>
      </c>
      <c r="AJ1" s="2" t="s">
        <v>43</v>
      </c>
    </row>
    <row r="2" spans="1:1003" ht="30" customHeight="1" thickTop="1" x14ac:dyDescent="0.25">
      <c r="A2" s="22" t="s">
        <v>46</v>
      </c>
      <c r="B2" s="27" t="s">
        <v>71</v>
      </c>
      <c r="C2" s="27" t="s">
        <v>72</v>
      </c>
      <c r="D2" s="27" t="s">
        <v>172</v>
      </c>
      <c r="E2" s="28" t="s">
        <v>33</v>
      </c>
      <c r="F2" s="28" t="s">
        <v>73</v>
      </c>
      <c r="G2" s="29" t="s">
        <v>74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47</v>
      </c>
      <c r="B3" s="30" t="s">
        <v>75</v>
      </c>
      <c r="C3" s="30" t="s">
        <v>76</v>
      </c>
      <c r="D3" s="27" t="s">
        <v>172</v>
      </c>
      <c r="E3" s="31" t="s">
        <v>33</v>
      </c>
      <c r="F3" s="31" t="s">
        <v>73</v>
      </c>
      <c r="G3" s="32" t="s">
        <v>74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48</v>
      </c>
      <c r="B4" s="30" t="s">
        <v>77</v>
      </c>
      <c r="C4" s="30" t="s">
        <v>76</v>
      </c>
      <c r="D4" s="27" t="s">
        <v>172</v>
      </c>
      <c r="E4" s="31" t="s">
        <v>33</v>
      </c>
      <c r="F4" s="31" t="s">
        <v>73</v>
      </c>
      <c r="G4" s="32" t="s">
        <v>74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49</v>
      </c>
      <c r="B5" s="30" t="s">
        <v>78</v>
      </c>
      <c r="C5" s="30" t="s">
        <v>79</v>
      </c>
      <c r="D5" s="27" t="s">
        <v>172</v>
      </c>
      <c r="E5" s="31" t="s">
        <v>33</v>
      </c>
      <c r="F5" s="31" t="s">
        <v>73</v>
      </c>
      <c r="G5" s="32" t="s">
        <v>74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50</v>
      </c>
      <c r="B6" s="30" t="s">
        <v>80</v>
      </c>
      <c r="C6" s="30" t="s">
        <v>79</v>
      </c>
      <c r="D6" s="27" t="s">
        <v>172</v>
      </c>
      <c r="E6" s="31" t="s">
        <v>33</v>
      </c>
      <c r="F6" s="31" t="s">
        <v>73</v>
      </c>
      <c r="G6" s="32" t="s">
        <v>74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51</v>
      </c>
      <c r="B7" s="30" t="s">
        <v>81</v>
      </c>
      <c r="C7" s="30" t="s">
        <v>79</v>
      </c>
      <c r="D7" s="27" t="s">
        <v>172</v>
      </c>
      <c r="E7" s="31" t="s">
        <v>33</v>
      </c>
      <c r="F7" s="31" t="s">
        <v>73</v>
      </c>
      <c r="G7" s="32" t="s">
        <v>74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52</v>
      </c>
      <c r="B8" s="30" t="s">
        <v>82</v>
      </c>
      <c r="C8" s="30" t="s">
        <v>79</v>
      </c>
      <c r="D8" s="27" t="s">
        <v>172</v>
      </c>
      <c r="E8" s="31" t="s">
        <v>33</v>
      </c>
      <c r="F8" s="31" t="s">
        <v>73</v>
      </c>
      <c r="G8" s="32" t="s">
        <v>74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53</v>
      </c>
      <c r="B9" s="30" t="s">
        <v>83</v>
      </c>
      <c r="C9" s="30" t="s">
        <v>79</v>
      </c>
      <c r="D9" s="27" t="s">
        <v>172</v>
      </c>
      <c r="E9" s="31" t="s">
        <v>33</v>
      </c>
      <c r="F9" s="31" t="s">
        <v>73</v>
      </c>
      <c r="G9" s="32" t="s">
        <v>74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54</v>
      </c>
      <c r="B10" s="30" t="s">
        <v>84</v>
      </c>
      <c r="C10" s="30" t="s">
        <v>79</v>
      </c>
      <c r="D10" s="27" t="s">
        <v>172</v>
      </c>
      <c r="E10" s="31" t="s">
        <v>33</v>
      </c>
      <c r="F10" s="31" t="s">
        <v>73</v>
      </c>
      <c r="G10" s="32" t="s">
        <v>74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55</v>
      </c>
      <c r="B11" s="30" t="s">
        <v>85</v>
      </c>
      <c r="C11" s="30" t="s">
        <v>79</v>
      </c>
      <c r="D11" s="27" t="s">
        <v>172</v>
      </c>
      <c r="E11" s="31" t="s">
        <v>86</v>
      </c>
      <c r="F11" s="31" t="s">
        <v>73</v>
      </c>
      <c r="G11" s="32" t="s">
        <v>74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56</v>
      </c>
      <c r="B12" s="30" t="s">
        <v>87</v>
      </c>
      <c r="C12" s="30" t="s">
        <v>88</v>
      </c>
      <c r="D12" s="27" t="s">
        <v>172</v>
      </c>
      <c r="E12" s="31" t="s">
        <v>86</v>
      </c>
      <c r="F12" s="31" t="s">
        <v>73</v>
      </c>
      <c r="G12" s="32" t="s">
        <v>74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174</v>
      </c>
      <c r="Q12" s="33">
        <v>86</v>
      </c>
      <c r="R12" s="33">
        <v>109</v>
      </c>
      <c r="S12" s="33">
        <v>57</v>
      </c>
      <c r="T12" s="33" t="s">
        <v>148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57</v>
      </c>
      <c r="B13" s="30" t="s">
        <v>89</v>
      </c>
      <c r="C13" s="30" t="s">
        <v>90</v>
      </c>
      <c r="D13" s="27" t="s">
        <v>172</v>
      </c>
      <c r="E13" s="31" t="s">
        <v>86</v>
      </c>
      <c r="F13" s="31" t="s">
        <v>73</v>
      </c>
      <c r="G13" s="32" t="s">
        <v>74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58</v>
      </c>
      <c r="B14" s="30" t="s">
        <v>91</v>
      </c>
      <c r="C14" s="30" t="s">
        <v>92</v>
      </c>
      <c r="D14" s="27" t="s">
        <v>172</v>
      </c>
      <c r="E14" s="31" t="s">
        <v>33</v>
      </c>
      <c r="F14" s="31" t="s">
        <v>73</v>
      </c>
      <c r="G14" s="32" t="s">
        <v>74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59</v>
      </c>
      <c r="B15" s="30" t="s">
        <v>93</v>
      </c>
      <c r="C15" s="30" t="s">
        <v>92</v>
      </c>
      <c r="D15" s="27" t="s">
        <v>172</v>
      </c>
      <c r="E15" s="31" t="s">
        <v>33</v>
      </c>
      <c r="F15" s="31" t="s">
        <v>73</v>
      </c>
      <c r="G15" s="32" t="s">
        <v>74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60</v>
      </c>
      <c r="B16" s="30" t="s">
        <v>94</v>
      </c>
      <c r="C16" s="30" t="s">
        <v>92</v>
      </c>
      <c r="D16" s="27" t="s">
        <v>172</v>
      </c>
      <c r="E16" s="31" t="s">
        <v>33</v>
      </c>
      <c r="F16" s="31" t="s">
        <v>73</v>
      </c>
      <c r="G16" s="32" t="s">
        <v>74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158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61</v>
      </c>
      <c r="B17" s="30" t="s">
        <v>95</v>
      </c>
      <c r="C17" s="30" t="s">
        <v>92</v>
      </c>
      <c r="D17" s="27" t="s">
        <v>172</v>
      </c>
      <c r="E17" s="31" t="s">
        <v>33</v>
      </c>
      <c r="F17" s="31" t="s">
        <v>73</v>
      </c>
      <c r="G17" s="32" t="s">
        <v>74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62</v>
      </c>
      <c r="B18" s="30" t="s">
        <v>96</v>
      </c>
      <c r="C18" s="30" t="s">
        <v>92</v>
      </c>
      <c r="D18" s="27" t="s">
        <v>172</v>
      </c>
      <c r="E18" s="31" t="s">
        <v>33</v>
      </c>
      <c r="F18" s="31" t="s">
        <v>73</v>
      </c>
      <c r="G18" s="32" t="s">
        <v>74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63</v>
      </c>
      <c r="B19" s="30" t="s">
        <v>97</v>
      </c>
      <c r="C19" s="30" t="s">
        <v>92</v>
      </c>
      <c r="D19" s="27" t="s">
        <v>172</v>
      </c>
      <c r="E19" s="31" t="s">
        <v>33</v>
      </c>
      <c r="F19" s="31" t="s">
        <v>73</v>
      </c>
      <c r="G19" s="32" t="s">
        <v>74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64</v>
      </c>
      <c r="B20" s="30" t="s">
        <v>157</v>
      </c>
      <c r="C20" s="30" t="s">
        <v>92</v>
      </c>
      <c r="D20" s="27" t="s">
        <v>172</v>
      </c>
      <c r="E20" s="31" t="s">
        <v>33</v>
      </c>
      <c r="F20" s="31" t="s">
        <v>73</v>
      </c>
      <c r="G20" s="32" t="s">
        <v>74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65</v>
      </c>
      <c r="B21" s="30" t="s">
        <v>98</v>
      </c>
      <c r="C21" s="30" t="s">
        <v>92</v>
      </c>
      <c r="D21" s="27" t="s">
        <v>172</v>
      </c>
      <c r="E21" s="31" t="s">
        <v>33</v>
      </c>
      <c r="F21" s="31" t="s">
        <v>73</v>
      </c>
      <c r="G21" s="32" t="s">
        <v>74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66</v>
      </c>
      <c r="B22" s="30" t="s">
        <v>99</v>
      </c>
      <c r="C22" s="30" t="s">
        <v>92</v>
      </c>
      <c r="D22" s="27" t="s">
        <v>172</v>
      </c>
      <c r="E22" s="31" t="s">
        <v>33</v>
      </c>
      <c r="F22" s="31" t="s">
        <v>73</v>
      </c>
      <c r="G22" s="32" t="s">
        <v>74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67</v>
      </c>
      <c r="B23" s="30" t="s">
        <v>100</v>
      </c>
      <c r="C23" s="30" t="s">
        <v>101</v>
      </c>
      <c r="D23" s="27" t="s">
        <v>172</v>
      </c>
      <c r="E23" s="31" t="s">
        <v>86</v>
      </c>
      <c r="F23" s="31" t="s">
        <v>73</v>
      </c>
      <c r="G23" s="32" t="s">
        <v>74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156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68</v>
      </c>
      <c r="B24" s="30" t="s">
        <v>102</v>
      </c>
      <c r="C24" s="30" t="s">
        <v>103</v>
      </c>
      <c r="D24" s="27" t="s">
        <v>172</v>
      </c>
      <c r="E24" s="31" t="s">
        <v>33</v>
      </c>
      <c r="F24" s="31" t="s">
        <v>73</v>
      </c>
      <c r="G24" s="32" t="s">
        <v>74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69</v>
      </c>
      <c r="B25" s="30" t="s">
        <v>104</v>
      </c>
      <c r="C25" s="30" t="s">
        <v>103</v>
      </c>
      <c r="D25" s="27" t="s">
        <v>172</v>
      </c>
      <c r="E25" s="31" t="s">
        <v>33</v>
      </c>
      <c r="F25" s="31" t="s">
        <v>73</v>
      </c>
      <c r="G25" s="32" t="s">
        <v>74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70</v>
      </c>
      <c r="B26" s="30" t="s">
        <v>105</v>
      </c>
      <c r="C26" s="30" t="s">
        <v>103</v>
      </c>
      <c r="D26" s="27" t="s">
        <v>172</v>
      </c>
      <c r="E26" s="31" t="s">
        <v>33</v>
      </c>
      <c r="F26" s="31" t="s">
        <v>73</v>
      </c>
      <c r="G26" s="32" t="s">
        <v>74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149</v>
      </c>
      <c r="B27" s="30" t="s">
        <v>106</v>
      </c>
      <c r="C27" s="30" t="s">
        <v>107</v>
      </c>
      <c r="D27" s="27" t="s">
        <v>172</v>
      </c>
      <c r="E27" s="31" t="s">
        <v>86</v>
      </c>
      <c r="F27" s="31" t="s">
        <v>73</v>
      </c>
      <c r="G27" s="32" t="s">
        <v>74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159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160</v>
      </c>
      <c r="AI27" s="26">
        <v>44456</v>
      </c>
    </row>
    <row r="28" spans="1:35" ht="30" customHeight="1" x14ac:dyDescent="0.25">
      <c r="A28" s="22" t="s">
        <v>150</v>
      </c>
      <c r="B28" s="30" t="s">
        <v>161</v>
      </c>
      <c r="C28" s="30" t="s">
        <v>103</v>
      </c>
      <c r="D28" s="27" t="s">
        <v>172</v>
      </c>
      <c r="E28" s="31" t="s">
        <v>33</v>
      </c>
      <c r="F28" s="31" t="s">
        <v>73</v>
      </c>
      <c r="G28" s="32" t="s">
        <v>74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151</v>
      </c>
      <c r="B29" s="30" t="s">
        <v>108</v>
      </c>
      <c r="C29" s="30" t="s">
        <v>109</v>
      </c>
      <c r="D29" s="27" t="s">
        <v>172</v>
      </c>
      <c r="E29" s="31" t="s">
        <v>86</v>
      </c>
      <c r="F29" s="31" t="s">
        <v>73</v>
      </c>
      <c r="G29" s="32" t="s">
        <v>74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163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152</v>
      </c>
      <c r="B30" s="30" t="s">
        <v>110</v>
      </c>
      <c r="C30" s="30" t="s">
        <v>109</v>
      </c>
      <c r="D30" s="27" t="s">
        <v>172</v>
      </c>
      <c r="E30" s="31" t="s">
        <v>86</v>
      </c>
      <c r="F30" s="31" t="s">
        <v>73</v>
      </c>
      <c r="G30" s="32" t="s">
        <v>74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162</v>
      </c>
      <c r="AI30" s="26">
        <v>44456</v>
      </c>
    </row>
    <row r="31" spans="1:35" ht="30" customHeight="1" x14ac:dyDescent="0.25">
      <c r="A31" s="17" t="s">
        <v>153</v>
      </c>
      <c r="B31" s="30" t="s">
        <v>111</v>
      </c>
      <c r="C31" s="30" t="s">
        <v>112</v>
      </c>
      <c r="D31" s="27" t="s">
        <v>172</v>
      </c>
      <c r="E31" s="31" t="s">
        <v>33</v>
      </c>
      <c r="F31" s="31" t="s">
        <v>73</v>
      </c>
      <c r="G31" s="32" t="s">
        <v>74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154</v>
      </c>
      <c r="B32" s="30" t="s">
        <v>113</v>
      </c>
      <c r="C32" s="30" t="s">
        <v>114</v>
      </c>
      <c r="D32" s="27" t="s">
        <v>172</v>
      </c>
      <c r="E32" s="31" t="s">
        <v>86</v>
      </c>
      <c r="F32" s="31" t="s">
        <v>73</v>
      </c>
      <c r="G32" s="32" t="s">
        <v>74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5" ht="30" customHeight="1" x14ac:dyDescent="0.25">
      <c r="A33" s="17" t="s">
        <v>155</v>
      </c>
      <c r="B33" s="30" t="s">
        <v>115</v>
      </c>
      <c r="C33" s="30" t="s">
        <v>116</v>
      </c>
      <c r="D33" s="27" t="s">
        <v>172</v>
      </c>
      <c r="E33" s="31" t="s">
        <v>86</v>
      </c>
      <c r="F33" s="31" t="s">
        <v>73</v>
      </c>
      <c r="G33" s="32" t="s">
        <v>74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5" ht="30" customHeight="1" x14ac:dyDescent="0.25">
      <c r="A34" s="22" t="s">
        <v>175</v>
      </c>
      <c r="B34" s="30" t="s">
        <v>117</v>
      </c>
      <c r="C34" s="30" t="s">
        <v>118</v>
      </c>
      <c r="D34" s="27" t="s">
        <v>172</v>
      </c>
      <c r="E34" s="31" t="s">
        <v>86</v>
      </c>
      <c r="F34" s="31" t="s">
        <v>119</v>
      </c>
      <c r="G34" s="32" t="s">
        <v>166</v>
      </c>
      <c r="H34" s="3">
        <v>41</v>
      </c>
      <c r="I34" s="3">
        <v>53</v>
      </c>
      <c r="J34" s="3">
        <v>18</v>
      </c>
      <c r="K34" s="3">
        <v>14</v>
      </c>
      <c r="L34" s="3">
        <v>105</v>
      </c>
      <c r="M34" s="3">
        <v>98</v>
      </c>
      <c r="N34" s="3">
        <v>115</v>
      </c>
      <c r="O34" s="3">
        <v>66</v>
      </c>
      <c r="P34" s="3">
        <v>36</v>
      </c>
      <c r="Q34" s="3">
        <v>93</v>
      </c>
      <c r="R34" s="3">
        <v>114</v>
      </c>
      <c r="S34" s="3">
        <v>69</v>
      </c>
      <c r="T34" s="3">
        <v>35</v>
      </c>
      <c r="U34" s="3">
        <v>24</v>
      </c>
      <c r="V34" s="3">
        <v>19</v>
      </c>
      <c r="W34" s="3">
        <v>90</v>
      </c>
      <c r="AG34" s="13">
        <v>1</v>
      </c>
      <c r="AI34" s="26">
        <v>44456</v>
      </c>
    </row>
    <row r="35" spans="1:35" ht="30" customHeight="1" x14ac:dyDescent="0.25">
      <c r="A35" s="17" t="s">
        <v>176</v>
      </c>
      <c r="B35" s="30" t="s">
        <v>121</v>
      </c>
      <c r="C35" s="30" t="s">
        <v>122</v>
      </c>
      <c r="D35" s="27" t="s">
        <v>172</v>
      </c>
      <c r="E35" s="31" t="s">
        <v>86</v>
      </c>
      <c r="F35" s="31" t="s">
        <v>119</v>
      </c>
      <c r="G35" s="32" t="s">
        <v>120</v>
      </c>
      <c r="H35" s="3">
        <v>41</v>
      </c>
      <c r="I35" s="3">
        <v>55</v>
      </c>
      <c r="J35" s="3">
        <v>17</v>
      </c>
      <c r="K35" s="3">
        <v>13.5</v>
      </c>
      <c r="L35" s="3">
        <v>96</v>
      </c>
      <c r="M35" s="3">
        <v>88</v>
      </c>
      <c r="N35" s="3">
        <v>110</v>
      </c>
      <c r="O35" s="3">
        <v>69</v>
      </c>
      <c r="P35" s="3">
        <v>39</v>
      </c>
      <c r="Q35" s="3">
        <v>80</v>
      </c>
      <c r="AG35" s="13">
        <v>1</v>
      </c>
      <c r="AI35" s="26">
        <v>44456</v>
      </c>
    </row>
    <row r="36" spans="1:35" ht="30" customHeight="1" x14ac:dyDescent="0.25">
      <c r="A36" s="22" t="s">
        <v>177</v>
      </c>
      <c r="B36" s="30" t="s">
        <v>123</v>
      </c>
      <c r="C36" s="30" t="s">
        <v>124</v>
      </c>
      <c r="D36" s="27" t="s">
        <v>172</v>
      </c>
      <c r="E36" s="31" t="s">
        <v>86</v>
      </c>
      <c r="F36" s="31" t="s">
        <v>119</v>
      </c>
      <c r="G36" s="32" t="s">
        <v>120</v>
      </c>
      <c r="H36" s="3">
        <v>43</v>
      </c>
      <c r="I36" s="3">
        <v>56</v>
      </c>
      <c r="J36" s="3">
        <v>19</v>
      </c>
      <c r="K36" s="3">
        <v>14</v>
      </c>
      <c r="L36" s="3">
        <v>116</v>
      </c>
      <c r="M36" s="3">
        <v>105</v>
      </c>
      <c r="N36" s="3">
        <v>123</v>
      </c>
      <c r="O36" s="3">
        <v>73</v>
      </c>
      <c r="P36" s="3">
        <v>42</v>
      </c>
      <c r="AG36" s="13">
        <v>1</v>
      </c>
      <c r="AI36" s="26">
        <v>44456</v>
      </c>
    </row>
    <row r="37" spans="1:35" ht="30" customHeight="1" x14ac:dyDescent="0.25">
      <c r="A37" s="17" t="s">
        <v>178</v>
      </c>
      <c r="B37" s="30" t="s">
        <v>125</v>
      </c>
      <c r="C37" s="30" t="s">
        <v>126</v>
      </c>
      <c r="D37" s="27" t="s">
        <v>172</v>
      </c>
      <c r="E37" s="31" t="s">
        <v>86</v>
      </c>
      <c r="F37" s="31" t="s">
        <v>119</v>
      </c>
      <c r="G37" s="32" t="s">
        <v>120</v>
      </c>
      <c r="H37" s="3">
        <v>45</v>
      </c>
      <c r="I37" s="3">
        <v>60</v>
      </c>
      <c r="J37" s="3">
        <v>19</v>
      </c>
      <c r="K37" s="3">
        <v>14</v>
      </c>
      <c r="L37" s="3">
        <v>106</v>
      </c>
      <c r="M37" s="3">
        <v>100</v>
      </c>
      <c r="N37" s="3">
        <v>116</v>
      </c>
      <c r="O37" s="3">
        <v>68</v>
      </c>
      <c r="P37" s="3">
        <v>40</v>
      </c>
      <c r="Q37" s="3">
        <v>91</v>
      </c>
      <c r="AG37" s="13">
        <v>1</v>
      </c>
      <c r="AI37" s="26">
        <v>44456</v>
      </c>
    </row>
    <row r="38" spans="1:35" ht="30" customHeight="1" x14ac:dyDescent="0.25">
      <c r="A38" s="22" t="s">
        <v>179</v>
      </c>
      <c r="B38" s="30" t="s">
        <v>127</v>
      </c>
      <c r="C38" s="30" t="s">
        <v>128</v>
      </c>
      <c r="D38" s="27" t="s">
        <v>172</v>
      </c>
      <c r="E38" s="31" t="s">
        <v>86</v>
      </c>
      <c r="F38" s="31" t="s">
        <v>119</v>
      </c>
      <c r="G38" s="32" t="s">
        <v>120</v>
      </c>
      <c r="H38" s="3">
        <v>40</v>
      </c>
      <c r="I38" s="3">
        <v>55</v>
      </c>
      <c r="J38" s="3">
        <v>16</v>
      </c>
      <c r="K38" s="3">
        <v>13.5</v>
      </c>
      <c r="L38" s="3">
        <v>93</v>
      </c>
      <c r="M38" s="3">
        <v>85</v>
      </c>
      <c r="N38" s="3">
        <v>102</v>
      </c>
      <c r="O38" s="3">
        <v>67</v>
      </c>
      <c r="P38" s="3">
        <v>37</v>
      </c>
      <c r="Q38" s="3">
        <v>77</v>
      </c>
      <c r="AG38" s="13">
        <v>1</v>
      </c>
      <c r="AI38" s="26">
        <v>44456</v>
      </c>
    </row>
    <row r="39" spans="1:35" ht="30" customHeight="1" x14ac:dyDescent="0.25">
      <c r="A39" s="17" t="s">
        <v>180</v>
      </c>
      <c r="B39" s="30" t="s">
        <v>131</v>
      </c>
      <c r="C39" s="30" t="s">
        <v>132</v>
      </c>
      <c r="D39" s="27" t="s">
        <v>172</v>
      </c>
      <c r="E39" s="31" t="s">
        <v>86</v>
      </c>
      <c r="F39" s="31" t="s">
        <v>119</v>
      </c>
      <c r="G39" s="32" t="s">
        <v>120</v>
      </c>
      <c r="H39" s="3">
        <v>41</v>
      </c>
      <c r="I39" s="3">
        <v>53</v>
      </c>
      <c r="J39" s="3">
        <v>18</v>
      </c>
      <c r="K39" s="3">
        <v>14</v>
      </c>
      <c r="L39" s="3">
        <v>104</v>
      </c>
      <c r="M39" s="3">
        <v>93</v>
      </c>
      <c r="N39" s="3">
        <v>115</v>
      </c>
      <c r="O39" s="3">
        <v>70</v>
      </c>
      <c r="P39" s="3">
        <v>40</v>
      </c>
      <c r="Q39" s="3">
        <v>84</v>
      </c>
      <c r="AG39" s="13">
        <v>1</v>
      </c>
      <c r="AI39" s="26">
        <v>44456</v>
      </c>
    </row>
    <row r="40" spans="1:35" ht="30" customHeight="1" x14ac:dyDescent="0.25">
      <c r="A40" s="22" t="s">
        <v>181</v>
      </c>
      <c r="B40" s="30" t="s">
        <v>145</v>
      </c>
      <c r="C40" s="30" t="s">
        <v>130</v>
      </c>
      <c r="D40" s="27" t="s">
        <v>172</v>
      </c>
      <c r="E40" s="31" t="s">
        <v>86</v>
      </c>
      <c r="F40" s="31" t="s">
        <v>119</v>
      </c>
      <c r="G40" s="32" t="s">
        <v>164</v>
      </c>
      <c r="H40" s="3">
        <v>40</v>
      </c>
      <c r="I40" s="3">
        <v>57</v>
      </c>
      <c r="J40" s="3">
        <v>16</v>
      </c>
      <c r="K40" s="3">
        <v>13.5</v>
      </c>
      <c r="L40" s="3">
        <v>89</v>
      </c>
      <c r="M40" s="3">
        <v>82</v>
      </c>
      <c r="N40" s="3">
        <v>103</v>
      </c>
      <c r="O40" s="3">
        <v>69</v>
      </c>
      <c r="P40" s="3">
        <v>37</v>
      </c>
      <c r="Q40" s="3">
        <v>74</v>
      </c>
      <c r="AG40" s="13">
        <v>1</v>
      </c>
      <c r="AH40" s="13" t="s">
        <v>167</v>
      </c>
      <c r="AI40" s="26">
        <v>44456</v>
      </c>
    </row>
    <row r="41" spans="1:35" ht="30" customHeight="1" x14ac:dyDescent="0.25">
      <c r="A41" s="17" t="s">
        <v>182</v>
      </c>
      <c r="B41" s="30" t="s">
        <v>140</v>
      </c>
      <c r="C41" s="30" t="s">
        <v>130</v>
      </c>
      <c r="D41" s="27" t="s">
        <v>172</v>
      </c>
      <c r="E41" s="31" t="s">
        <v>86</v>
      </c>
      <c r="F41" s="31" t="s">
        <v>119</v>
      </c>
      <c r="G41" s="32" t="s">
        <v>120</v>
      </c>
      <c r="H41" s="3">
        <v>43</v>
      </c>
      <c r="I41" s="3">
        <v>54</v>
      </c>
      <c r="J41" s="3">
        <v>20</v>
      </c>
      <c r="K41" s="3">
        <v>14</v>
      </c>
      <c r="L41" s="3">
        <v>109</v>
      </c>
      <c r="M41" s="3">
        <v>99</v>
      </c>
      <c r="N41" s="3">
        <v>121</v>
      </c>
      <c r="O41" s="3">
        <v>69</v>
      </c>
      <c r="P41" s="3">
        <v>39</v>
      </c>
      <c r="Q41" s="3">
        <v>92</v>
      </c>
      <c r="AG41" s="13">
        <v>1</v>
      </c>
      <c r="AI41" s="26">
        <v>44456</v>
      </c>
    </row>
    <row r="42" spans="1:35" ht="30" customHeight="1" x14ac:dyDescent="0.25">
      <c r="A42" s="22" t="s">
        <v>183</v>
      </c>
      <c r="B42" s="30" t="s">
        <v>138</v>
      </c>
      <c r="C42" s="30" t="s">
        <v>130</v>
      </c>
      <c r="D42" s="27" t="s">
        <v>172</v>
      </c>
      <c r="E42" s="31" t="s">
        <v>86</v>
      </c>
      <c r="F42" s="31" t="s">
        <v>119</v>
      </c>
      <c r="G42" s="32" t="s">
        <v>120</v>
      </c>
      <c r="H42" s="3">
        <v>43</v>
      </c>
      <c r="I42" s="3">
        <v>55</v>
      </c>
      <c r="J42" s="3">
        <v>18</v>
      </c>
      <c r="K42" s="3">
        <v>14</v>
      </c>
      <c r="L42" s="3">
        <v>109</v>
      </c>
      <c r="M42" s="3">
        <v>98</v>
      </c>
      <c r="N42" s="3">
        <v>125</v>
      </c>
      <c r="O42" s="3">
        <v>70</v>
      </c>
      <c r="P42" s="3">
        <v>41</v>
      </c>
      <c r="Q42" s="3">
        <v>92</v>
      </c>
      <c r="AG42" s="13">
        <v>1</v>
      </c>
      <c r="AI42" s="26">
        <v>44456</v>
      </c>
    </row>
    <row r="43" spans="1:35" ht="30" customHeight="1" x14ac:dyDescent="0.25">
      <c r="A43" s="17" t="s">
        <v>184</v>
      </c>
      <c r="B43" s="30" t="s">
        <v>144</v>
      </c>
      <c r="C43" s="30" t="s">
        <v>130</v>
      </c>
      <c r="D43" s="27" t="s">
        <v>172</v>
      </c>
      <c r="E43" s="31" t="s">
        <v>86</v>
      </c>
      <c r="F43" s="31" t="s">
        <v>119</v>
      </c>
      <c r="G43" s="32" t="s">
        <v>120</v>
      </c>
      <c r="H43" s="3">
        <v>39</v>
      </c>
      <c r="I43" s="3">
        <v>51</v>
      </c>
      <c r="J43" s="3">
        <v>17</v>
      </c>
      <c r="K43" s="3">
        <v>14</v>
      </c>
      <c r="L43" s="3">
        <v>96</v>
      </c>
      <c r="M43" s="3">
        <v>86</v>
      </c>
      <c r="N43" s="3">
        <v>105</v>
      </c>
      <c r="O43" s="3">
        <v>66</v>
      </c>
      <c r="P43" s="3">
        <v>38</v>
      </c>
      <c r="Q43" s="3">
        <v>81</v>
      </c>
      <c r="AG43" s="13">
        <v>1</v>
      </c>
      <c r="AI43" s="26">
        <v>44456</v>
      </c>
    </row>
    <row r="44" spans="1:35" ht="30" customHeight="1" x14ac:dyDescent="0.25">
      <c r="A44" s="22" t="s">
        <v>185</v>
      </c>
      <c r="B44" s="30" t="s">
        <v>133</v>
      </c>
      <c r="C44" s="30" t="s">
        <v>130</v>
      </c>
      <c r="D44" s="27" t="s">
        <v>172</v>
      </c>
      <c r="E44" s="31" t="s">
        <v>86</v>
      </c>
      <c r="F44" s="31" t="s">
        <v>119</v>
      </c>
      <c r="G44" s="32" t="s">
        <v>120</v>
      </c>
      <c r="H44" s="3">
        <v>41</v>
      </c>
      <c r="I44" s="3">
        <v>57</v>
      </c>
      <c r="J44" s="3">
        <v>18</v>
      </c>
      <c r="K44" s="3">
        <v>13.5</v>
      </c>
      <c r="L44" s="3">
        <v>101</v>
      </c>
      <c r="M44" s="3">
        <v>95</v>
      </c>
      <c r="N44" s="3">
        <v>114</v>
      </c>
      <c r="O44" s="3">
        <v>66</v>
      </c>
      <c r="P44" s="3">
        <v>38</v>
      </c>
      <c r="Q44" s="3">
        <v>84</v>
      </c>
      <c r="AG44" s="13">
        <v>1</v>
      </c>
      <c r="AI44" s="26">
        <v>44456</v>
      </c>
    </row>
    <row r="45" spans="1:35" ht="30" customHeight="1" x14ac:dyDescent="0.25">
      <c r="A45" s="17" t="s">
        <v>186</v>
      </c>
      <c r="B45" s="30" t="s">
        <v>137</v>
      </c>
      <c r="C45" s="30" t="s">
        <v>130</v>
      </c>
      <c r="D45" s="27" t="s">
        <v>172</v>
      </c>
      <c r="E45" s="31" t="s">
        <v>86</v>
      </c>
      <c r="F45" s="31" t="s">
        <v>119</v>
      </c>
      <c r="G45" s="32" t="s">
        <v>120</v>
      </c>
      <c r="H45" s="3">
        <v>41</v>
      </c>
      <c r="I45" s="3">
        <v>55</v>
      </c>
      <c r="J45" s="3">
        <v>17</v>
      </c>
      <c r="K45" s="3">
        <v>13.5</v>
      </c>
      <c r="L45" s="3">
        <v>94</v>
      </c>
      <c r="M45" s="3">
        <v>89</v>
      </c>
      <c r="N45" s="3">
        <v>106</v>
      </c>
      <c r="O45" s="3">
        <v>67</v>
      </c>
      <c r="P45" s="3">
        <v>39</v>
      </c>
      <c r="Q45" s="3">
        <v>84</v>
      </c>
      <c r="AG45" s="13">
        <v>1</v>
      </c>
      <c r="AI45" s="26">
        <v>44456</v>
      </c>
    </row>
    <row r="46" spans="1:35" ht="30" customHeight="1" x14ac:dyDescent="0.25">
      <c r="A46" s="22" t="s">
        <v>187</v>
      </c>
      <c r="B46" s="30" t="s">
        <v>135</v>
      </c>
      <c r="C46" s="30" t="s">
        <v>130</v>
      </c>
      <c r="D46" s="27" t="s">
        <v>172</v>
      </c>
      <c r="E46" s="31" t="s">
        <v>86</v>
      </c>
      <c r="F46" s="31" t="s">
        <v>119</v>
      </c>
      <c r="G46" s="32" t="s">
        <v>120</v>
      </c>
      <c r="H46" s="3">
        <v>39</v>
      </c>
      <c r="I46" s="3">
        <v>57</v>
      </c>
      <c r="J46" s="3">
        <v>17</v>
      </c>
      <c r="K46" s="3">
        <v>13.5</v>
      </c>
      <c r="L46" s="3">
        <v>93</v>
      </c>
      <c r="M46" s="3">
        <v>79</v>
      </c>
      <c r="N46" s="3">
        <v>100</v>
      </c>
      <c r="O46" s="3">
        <v>67</v>
      </c>
      <c r="P46" s="3">
        <v>37</v>
      </c>
      <c r="Q46" s="3">
        <v>72</v>
      </c>
      <c r="AG46" s="13">
        <v>1</v>
      </c>
      <c r="AI46" s="26">
        <v>44456</v>
      </c>
    </row>
    <row r="47" spans="1:35" ht="30" customHeight="1" x14ac:dyDescent="0.25">
      <c r="A47" s="17" t="s">
        <v>188</v>
      </c>
      <c r="B47" s="30" t="s">
        <v>143</v>
      </c>
      <c r="C47" s="30" t="s">
        <v>130</v>
      </c>
      <c r="D47" s="27" t="s">
        <v>172</v>
      </c>
      <c r="E47" s="31" t="s">
        <v>86</v>
      </c>
      <c r="F47" s="31" t="s">
        <v>119</v>
      </c>
      <c r="G47" s="32" t="s">
        <v>120</v>
      </c>
      <c r="H47" s="3">
        <v>39</v>
      </c>
      <c r="I47" s="3">
        <v>56</v>
      </c>
      <c r="J47" s="3">
        <v>18</v>
      </c>
      <c r="K47" s="3">
        <v>14</v>
      </c>
      <c r="L47" s="3">
        <v>99</v>
      </c>
      <c r="M47" s="3">
        <v>90</v>
      </c>
      <c r="N47" s="3">
        <v>111</v>
      </c>
      <c r="O47" s="3">
        <v>68</v>
      </c>
      <c r="P47" s="3">
        <v>38</v>
      </c>
      <c r="Q47" s="3">
        <v>85</v>
      </c>
      <c r="AG47" s="13">
        <v>1</v>
      </c>
      <c r="AI47" s="26">
        <v>44456</v>
      </c>
    </row>
    <row r="48" spans="1:35" ht="30" customHeight="1" x14ac:dyDescent="0.25">
      <c r="A48" s="22" t="s">
        <v>189</v>
      </c>
      <c r="B48" s="30" t="s">
        <v>136</v>
      </c>
      <c r="C48" s="30" t="s">
        <v>130</v>
      </c>
      <c r="D48" s="27" t="s">
        <v>172</v>
      </c>
      <c r="E48" s="31" t="s">
        <v>86</v>
      </c>
      <c r="F48" s="31" t="s">
        <v>119</v>
      </c>
      <c r="G48" s="32" t="s">
        <v>120</v>
      </c>
      <c r="H48" s="3">
        <v>40</v>
      </c>
      <c r="I48" s="3">
        <v>57</v>
      </c>
      <c r="J48" s="3">
        <v>17</v>
      </c>
      <c r="K48" s="3">
        <v>13.5</v>
      </c>
      <c r="L48" s="3">
        <v>93</v>
      </c>
      <c r="M48" s="3">
        <v>83</v>
      </c>
      <c r="N48" s="3">
        <v>98</v>
      </c>
      <c r="O48" s="3">
        <v>68</v>
      </c>
      <c r="P48" s="3">
        <v>38</v>
      </c>
      <c r="Q48" s="3">
        <v>72</v>
      </c>
      <c r="AG48" s="13">
        <v>1</v>
      </c>
      <c r="AI48" s="26">
        <v>44456</v>
      </c>
    </row>
    <row r="49" spans="1:35" ht="30" customHeight="1" x14ac:dyDescent="0.25">
      <c r="A49" s="17" t="s">
        <v>190</v>
      </c>
      <c r="B49" s="30" t="s">
        <v>134</v>
      </c>
      <c r="C49" s="30" t="s">
        <v>130</v>
      </c>
      <c r="D49" s="27" t="s">
        <v>172</v>
      </c>
      <c r="E49" s="31" t="s">
        <v>86</v>
      </c>
      <c r="F49" s="31" t="s">
        <v>119</v>
      </c>
      <c r="G49" s="32" t="s">
        <v>120</v>
      </c>
      <c r="H49" s="3">
        <v>39</v>
      </c>
      <c r="I49" s="3">
        <v>51</v>
      </c>
      <c r="J49" s="3">
        <v>17</v>
      </c>
      <c r="K49" s="3">
        <v>13</v>
      </c>
      <c r="L49" s="3">
        <v>94</v>
      </c>
      <c r="M49" s="3">
        <v>83</v>
      </c>
      <c r="N49" s="3">
        <v>103</v>
      </c>
      <c r="O49" s="3">
        <v>58</v>
      </c>
      <c r="P49" s="3">
        <v>40</v>
      </c>
      <c r="Q49" s="3">
        <v>75</v>
      </c>
      <c r="AG49" s="13">
        <v>1</v>
      </c>
      <c r="AI49" s="26">
        <v>44456</v>
      </c>
    </row>
    <row r="50" spans="1:35" ht="30" customHeight="1" x14ac:dyDescent="0.25">
      <c r="A50" s="22" t="s">
        <v>191</v>
      </c>
      <c r="B50" s="30" t="s">
        <v>141</v>
      </c>
      <c r="C50" s="30" t="s">
        <v>130</v>
      </c>
      <c r="D50" s="27" t="s">
        <v>172</v>
      </c>
      <c r="E50" s="31" t="s">
        <v>86</v>
      </c>
      <c r="F50" s="31" t="s">
        <v>119</v>
      </c>
      <c r="G50" s="32" t="s">
        <v>120</v>
      </c>
      <c r="H50" s="3">
        <v>38</v>
      </c>
      <c r="I50" s="3">
        <v>56</v>
      </c>
      <c r="J50" s="3">
        <v>16</v>
      </c>
      <c r="K50" s="3">
        <v>13</v>
      </c>
      <c r="L50" s="3">
        <v>88</v>
      </c>
      <c r="M50" s="3">
        <v>78</v>
      </c>
      <c r="N50" s="3">
        <v>98</v>
      </c>
      <c r="O50" s="3">
        <v>66</v>
      </c>
      <c r="P50" s="3">
        <v>38</v>
      </c>
      <c r="Q50" s="3">
        <v>69</v>
      </c>
      <c r="AG50" s="13">
        <v>1</v>
      </c>
      <c r="AI50" s="26">
        <v>44456</v>
      </c>
    </row>
    <row r="51" spans="1:35" ht="30" customHeight="1" x14ac:dyDescent="0.25">
      <c r="A51" s="17" t="s">
        <v>192</v>
      </c>
      <c r="B51" s="30" t="s">
        <v>139</v>
      </c>
      <c r="C51" s="30" t="s">
        <v>130</v>
      </c>
      <c r="D51" s="27" t="s">
        <v>172</v>
      </c>
      <c r="E51" s="31" t="s">
        <v>86</v>
      </c>
      <c r="F51" s="31" t="s">
        <v>119</v>
      </c>
      <c r="G51" s="32" t="s">
        <v>120</v>
      </c>
      <c r="H51" s="3">
        <v>39</v>
      </c>
      <c r="I51" s="3">
        <v>57</v>
      </c>
      <c r="J51" s="3">
        <v>16</v>
      </c>
      <c r="K51" s="3">
        <v>13.5</v>
      </c>
      <c r="L51" s="3">
        <v>89</v>
      </c>
      <c r="M51" s="3">
        <v>81</v>
      </c>
      <c r="N51" s="3">
        <v>100</v>
      </c>
      <c r="O51" s="3">
        <v>68</v>
      </c>
      <c r="P51" s="3">
        <v>37</v>
      </c>
      <c r="Q51" s="3">
        <v>73</v>
      </c>
      <c r="W51" s="13"/>
      <c r="AG51" s="13">
        <v>1</v>
      </c>
      <c r="AI51" s="26">
        <v>44456</v>
      </c>
    </row>
    <row r="52" spans="1:35" ht="30" customHeight="1" x14ac:dyDescent="0.25">
      <c r="A52" s="22" t="s">
        <v>193</v>
      </c>
      <c r="B52" s="30" t="s">
        <v>142</v>
      </c>
      <c r="C52" s="30" t="s">
        <v>130</v>
      </c>
      <c r="D52" s="27" t="s">
        <v>172</v>
      </c>
      <c r="E52" s="31" t="s">
        <v>86</v>
      </c>
      <c r="F52" s="31" t="s">
        <v>119</v>
      </c>
      <c r="G52" s="32" t="s">
        <v>120</v>
      </c>
      <c r="H52" s="3">
        <v>39</v>
      </c>
      <c r="I52" s="3">
        <v>54</v>
      </c>
      <c r="J52" s="3">
        <v>16</v>
      </c>
      <c r="K52" s="3">
        <v>13</v>
      </c>
      <c r="L52" s="3">
        <v>85</v>
      </c>
      <c r="M52" s="3">
        <v>75</v>
      </c>
      <c r="N52" s="3">
        <v>93</v>
      </c>
      <c r="O52" s="3">
        <v>61</v>
      </c>
      <c r="P52" s="3">
        <v>41</v>
      </c>
      <c r="Q52" s="3">
        <v>66</v>
      </c>
      <c r="AG52" s="13">
        <v>1</v>
      </c>
      <c r="AI52" s="26">
        <v>44456</v>
      </c>
    </row>
    <row r="53" spans="1:35" ht="30" customHeight="1" x14ac:dyDescent="0.25">
      <c r="A53" s="17" t="s">
        <v>194</v>
      </c>
      <c r="B53" s="30" t="s">
        <v>129</v>
      </c>
      <c r="C53" s="30" t="s">
        <v>130</v>
      </c>
      <c r="D53" s="27" t="s">
        <v>172</v>
      </c>
      <c r="E53" s="31" t="s">
        <v>86</v>
      </c>
      <c r="F53" s="31" t="s">
        <v>119</v>
      </c>
      <c r="G53" s="32" t="s">
        <v>120</v>
      </c>
      <c r="H53" s="3">
        <v>41</v>
      </c>
      <c r="I53" s="3">
        <v>52</v>
      </c>
      <c r="J53" s="3">
        <v>18</v>
      </c>
      <c r="K53" s="3">
        <v>14</v>
      </c>
      <c r="L53" s="3">
        <v>106</v>
      </c>
      <c r="M53" s="3">
        <v>98</v>
      </c>
      <c r="N53" s="3">
        <v>115</v>
      </c>
      <c r="O53" s="3">
        <v>69</v>
      </c>
      <c r="P53" s="3">
        <v>43</v>
      </c>
      <c r="Q53" s="3">
        <v>89</v>
      </c>
      <c r="AG53" s="13">
        <v>1</v>
      </c>
      <c r="AI53" s="26">
        <v>44456</v>
      </c>
    </row>
    <row r="54" spans="1:35" ht="30" customHeight="1" x14ac:dyDescent="0.25">
      <c r="A54" s="22" t="s">
        <v>195</v>
      </c>
      <c r="B54" s="37" t="s">
        <v>168</v>
      </c>
      <c r="C54" s="30" t="s">
        <v>130</v>
      </c>
      <c r="D54" s="27" t="s">
        <v>172</v>
      </c>
      <c r="E54" s="31" t="s">
        <v>86</v>
      </c>
      <c r="F54" s="31" t="s">
        <v>119</v>
      </c>
      <c r="G54" s="32" t="s">
        <v>120</v>
      </c>
      <c r="H54" s="3">
        <v>46</v>
      </c>
      <c r="I54" s="3">
        <v>57</v>
      </c>
      <c r="J54" s="3">
        <v>19</v>
      </c>
      <c r="K54" s="3">
        <v>15</v>
      </c>
      <c r="L54" s="3">
        <v>105</v>
      </c>
      <c r="M54" s="3">
        <v>102</v>
      </c>
      <c r="N54" s="3">
        <v>115</v>
      </c>
      <c r="O54" s="3">
        <v>66</v>
      </c>
      <c r="P54" s="3">
        <v>40</v>
      </c>
      <c r="AG54" s="13">
        <v>1</v>
      </c>
      <c r="AH54" s="13" t="s">
        <v>169</v>
      </c>
      <c r="AI54" s="26">
        <v>44456</v>
      </c>
    </row>
    <row r="55" spans="1:35" ht="30" customHeight="1" x14ac:dyDescent="0.25">
      <c r="A55" s="17"/>
      <c r="B55" s="20"/>
      <c r="C55" s="18"/>
      <c r="D55" s="18"/>
      <c r="E55" s="14"/>
      <c r="F55" s="15"/>
      <c r="G55" s="16"/>
    </row>
    <row r="56" spans="1:35" ht="30" customHeight="1" x14ac:dyDescent="0.25">
      <c r="A56" s="17"/>
      <c r="B56" s="20"/>
      <c r="C56" s="18"/>
      <c r="D56" s="18"/>
      <c r="E56" s="14"/>
      <c r="F56" s="15"/>
      <c r="G56" s="16"/>
    </row>
    <row r="57" spans="1:35" ht="30" customHeight="1" x14ac:dyDescent="0.25">
      <c r="A57" s="17"/>
      <c r="B57" s="20"/>
      <c r="C57" s="18"/>
      <c r="D57" s="18"/>
      <c r="E57" s="14"/>
      <c r="F57" s="15"/>
      <c r="G57" s="16"/>
    </row>
    <row r="58" spans="1:35" ht="30" customHeight="1" x14ac:dyDescent="0.25">
      <c r="A58" s="17"/>
      <c r="B58" s="20"/>
      <c r="C58" s="18"/>
      <c r="D58" s="18"/>
      <c r="E58" s="14"/>
      <c r="F58" s="15"/>
      <c r="G58" s="16"/>
    </row>
    <row r="59" spans="1:35" ht="30" customHeight="1" x14ac:dyDescent="0.25">
      <c r="A59" s="17"/>
      <c r="B59" s="20"/>
      <c r="C59" s="18"/>
      <c r="D59" s="18"/>
      <c r="E59" s="14"/>
      <c r="F59" s="15"/>
      <c r="G59" s="16"/>
    </row>
    <row r="60" spans="1:35" ht="30" customHeight="1" x14ac:dyDescent="0.25">
      <c r="A60" s="17"/>
      <c r="B60" s="20"/>
      <c r="C60" s="18"/>
      <c r="D60" s="18"/>
      <c r="E60" s="14"/>
      <c r="F60" s="15"/>
      <c r="G60" s="16"/>
    </row>
    <row r="61" spans="1:35" ht="30" customHeight="1" x14ac:dyDescent="0.25">
      <c r="A61" s="17"/>
      <c r="B61" s="20"/>
      <c r="C61" s="18"/>
      <c r="D61" s="18"/>
      <c r="E61" s="14"/>
      <c r="F61" s="15"/>
      <c r="G61" s="16"/>
    </row>
    <row r="62" spans="1:35" ht="30" customHeight="1" x14ac:dyDescent="0.25">
      <c r="A62" s="17"/>
      <c r="B62" s="20"/>
      <c r="C62" s="18"/>
      <c r="D62" s="18"/>
      <c r="E62" s="14"/>
      <c r="F62" s="15"/>
      <c r="G62" s="16"/>
    </row>
    <row r="63" spans="1:35" ht="30" customHeight="1" x14ac:dyDescent="0.25">
      <c r="A63" s="17"/>
      <c r="B63" s="20"/>
      <c r="C63" s="18"/>
      <c r="D63" s="18"/>
      <c r="E63" s="14"/>
      <c r="F63" s="15"/>
      <c r="G63" s="16"/>
    </row>
    <row r="64" spans="1:35" ht="30" customHeight="1" x14ac:dyDescent="0.25">
      <c r="A64" s="17"/>
      <c r="B64" s="20"/>
      <c r="C64" s="18"/>
      <c r="D64" s="18"/>
      <c r="E64" s="14"/>
      <c r="F64" s="15"/>
      <c r="G64" s="16"/>
    </row>
    <row r="65" spans="1:7" ht="30" customHeight="1" x14ac:dyDescent="0.25">
      <c r="A65" s="17"/>
      <c r="B65" s="20"/>
      <c r="C65" s="18"/>
      <c r="D65" s="18"/>
      <c r="E65" s="14"/>
      <c r="F65" s="15"/>
      <c r="G65" s="16"/>
    </row>
    <row r="66" spans="1:7" ht="30" customHeight="1" x14ac:dyDescent="0.25">
      <c r="A66" s="17"/>
      <c r="B66" s="20"/>
      <c r="C66" s="18"/>
      <c r="D66" s="18"/>
      <c r="E66" s="14"/>
      <c r="F66" s="15"/>
      <c r="G66" s="16"/>
    </row>
    <row r="67" spans="1:7" ht="30" customHeight="1" x14ac:dyDescent="0.25">
      <c r="A67" s="17"/>
      <c r="B67" s="20"/>
      <c r="C67" s="18"/>
      <c r="D67" s="18"/>
      <c r="E67" s="14"/>
      <c r="F67" s="15"/>
      <c r="G67" s="16"/>
    </row>
    <row r="68" spans="1:7" ht="30" customHeight="1" x14ac:dyDescent="0.25">
      <c r="A68" s="17"/>
      <c r="B68" s="20"/>
      <c r="C68" s="18"/>
      <c r="D68" s="18"/>
      <c r="E68" s="14"/>
      <c r="F68" s="15"/>
      <c r="G68" s="16"/>
    </row>
    <row r="69" spans="1:7" ht="30" customHeight="1" x14ac:dyDescent="0.25">
      <c r="A69" s="17"/>
      <c r="B69" s="20"/>
      <c r="C69" s="18"/>
      <c r="D69" s="18"/>
      <c r="E69" s="14"/>
      <c r="F69" s="15"/>
      <c r="G69" s="16"/>
    </row>
    <row r="70" spans="1:7" ht="30" customHeight="1" x14ac:dyDescent="0.25">
      <c r="A70" s="17"/>
      <c r="B70" s="20"/>
      <c r="C70" s="18"/>
      <c r="D70" s="18"/>
      <c r="E70" s="14"/>
      <c r="F70" s="15"/>
      <c r="G70" s="16"/>
    </row>
    <row r="71" spans="1:7" ht="30" customHeight="1" x14ac:dyDescent="0.25">
      <c r="A71" s="17"/>
      <c r="B71" s="20"/>
      <c r="C71" s="18"/>
      <c r="D71" s="18"/>
      <c r="E71" s="14"/>
      <c r="F71" s="15"/>
      <c r="G71" s="16"/>
    </row>
    <row r="72" spans="1:7" ht="30" customHeight="1" x14ac:dyDescent="0.25">
      <c r="A72" s="17"/>
      <c r="B72" s="20"/>
      <c r="C72" s="18"/>
      <c r="D72" s="18"/>
      <c r="E72" s="14"/>
      <c r="F72" s="15"/>
      <c r="G72" s="16"/>
    </row>
    <row r="73" spans="1:7" ht="30" customHeight="1" x14ac:dyDescent="0.25">
      <c r="A73" s="17"/>
      <c r="B73" s="20"/>
      <c r="C73" s="18"/>
      <c r="D73" s="18"/>
      <c r="E73" s="14"/>
      <c r="F73" s="15"/>
      <c r="G73" s="19"/>
    </row>
    <row r="74" spans="1:7" ht="30" customHeight="1" x14ac:dyDescent="0.25">
      <c r="A74" s="17"/>
      <c r="B74" s="20"/>
      <c r="C74" s="18"/>
      <c r="D74" s="18"/>
      <c r="E74" s="14"/>
      <c r="F74" s="15"/>
      <c r="G74" s="19"/>
    </row>
  </sheetData>
  <sortState xmlns:xlrd2="http://schemas.microsoft.com/office/spreadsheetml/2017/richdata2" ref="B40:AH53">
    <sortCondition ref="B40:B53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44</v>
      </c>
      <c r="G3" t="s">
        <v>31</v>
      </c>
      <c r="H3" t="s">
        <v>30</v>
      </c>
      <c r="K3" s="11" t="s">
        <v>44</v>
      </c>
      <c r="M3" s="1" t="s">
        <v>31</v>
      </c>
      <c r="N3" t="s">
        <v>30</v>
      </c>
      <c r="Q3" s="11" t="s">
        <v>44</v>
      </c>
    </row>
    <row r="4" spans="1:18" ht="15.75" x14ac:dyDescent="0.25">
      <c r="A4" s="1" t="s">
        <v>20</v>
      </c>
      <c r="B4">
        <f>COUNTIF(SEMUA!$F$2:$F$61,REKAP!A4)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COUNTIF(SEMUA!$E$1:$E$61,G4)</f>
        <v>0</v>
      </c>
      <c r="J4">
        <f>SUM(H4:I4)</f>
        <v>0</v>
      </c>
      <c r="K4" s="11">
        <v>0</v>
      </c>
      <c r="M4" s="7">
        <v>53</v>
      </c>
      <c r="N4">
        <f>COUNTIF(SEMUA!$G$2:$G$61,M4)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COUNTIF(SEMUA!$F$2:$F$61,REKAP!A5)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COUNTIF(SEMUA!$E$1:$E$61,G5)</f>
        <v>0</v>
      </c>
      <c r="J5">
        <v>1</v>
      </c>
      <c r="K5" s="11">
        <v>0</v>
      </c>
      <c r="M5" s="7">
        <v>54</v>
      </c>
      <c r="N5">
        <f>COUNTIF(SEMUA!$G$2:$G$61,M5)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COUNTIF(SEMUA!$F$2:$F$61,REKAP!A6)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COUNTIF(SEMUA!$E$1:$E$61,G6)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COUNTIF(SEMUA!$G$2:$G$61,M6)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COUNTIF(SEMUA!$F$2:$F$61,REKAP!A7)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COUNTIF(SEMUA!$E$1:$E$61,G7)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COUNTIF(SEMUA!$G$2:$G$61,M7)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COUNTIF(SEMUA!$F$2:$F$61,REKAP!A8)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COUNTIF(SEMUA!$E$1:$E$61,G8)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COUNTIF(SEMUA!$G$2:$G$61,M8)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COUNTIF(SEMUA!$F$2:$F$61,REKAP!A9)</f>
        <v>0</v>
      </c>
      <c r="D9">
        <f t="shared" si="0"/>
        <v>0</v>
      </c>
      <c r="E9" s="11">
        <v>4</v>
      </c>
      <c r="G9" s="7">
        <v>42</v>
      </c>
      <c r="H9">
        <f>COUNTIF(SEMUA!$E$1:$E$61,G9)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COUNTIF(SEMUA!$G$2:$G$61,M9)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COUNTIF(SEMUA!$F$2:$F$61,REKAP!A10)</f>
        <v>0</v>
      </c>
      <c r="D10">
        <f t="shared" si="0"/>
        <v>0</v>
      </c>
      <c r="E10" s="11">
        <v>1</v>
      </c>
      <c r="G10" s="7">
        <v>43</v>
      </c>
      <c r="H10">
        <f>COUNTIF(SEMUA!$E$1:$E$61,G10)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COUNTIF(SEMUA!$G$2:$G$61,M10)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COUNTIF(SEMUA!$E$1:$E$61,G11)</f>
        <v>0</v>
      </c>
      <c r="J11">
        <f t="shared" si="2"/>
        <v>0</v>
      </c>
      <c r="K11" s="11">
        <v>1</v>
      </c>
      <c r="M11" s="1">
        <v>60</v>
      </c>
      <c r="N11">
        <f>COUNTIF(SEMUA!$G$2:$G$61,M11)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COUNTIF(SEMUA!$E$1:$E$61,G12)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COUNTIF(SEMUA!$E$1:$E$61,G13)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45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2021-09-17T05:48:54Z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