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1. BAJU KERJA RENDAL\"/>
    </mc:Choice>
  </mc:AlternateContent>
  <xr:revisionPtr revIDLastSave="0" documentId="13_ncr:1_{2428233B-F1AD-439D-B0FD-77FCBD0302E7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SEMUA!$A$1:$AP$59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<sst xmlns="http://schemas.openxmlformats.org/spreadsheetml/2006/main" count="386" uniqueCount="215">
  <si>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</si>
  <si>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</si>
  <si>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</si>
  <si>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</si>
  <si>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</si>
  <si>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</si>
  <si>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</si>
  <si>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</si>
  <si>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</si>
  <si>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</si>
  <si>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</si>
  <si>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</si>
  <si>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</si>
  <si>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</si>
  <si>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</si>
  <si>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</si>
  <si>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</si>
  <si>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</si>
  <si>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</si>
  <si>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</si>
  <si>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</si>
  <si>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</si>
  <si>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</si>
  <si>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</si>
  <si>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</si>
  <si>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</si>
  <si>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</si>
  <si>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</si>
  <si>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</si>
  <si>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</si>
  <si>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</si>
  <si>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</si>
  <si>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</si>
  <si>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</si>
  <si>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</si>
  <si>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</si>
  <si>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</si>
  <si>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</si>
  <si>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</si>
  <si>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</si>
  <si>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</si>
  <si>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</si>
  <si>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</si>
  <si>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</si>
  <si>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</si>
  <si>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</si>
  <si>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</si>
  <si>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</si>
  <si>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</si>
  <si>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</si>
  <si>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</si>
  <si>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</si>
  <si>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</si>
  <si>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</si>
  <si>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</si>
  <si>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</si>
  <si>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</si>
  <si>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</si>
  <si>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</si>
  <si>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</si>
  <si>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</si>
  <si>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</si>
  <si>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</si>
  <si>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</si>
  <si>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</si>
  <si>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</si>
  <si>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</si>
  <si>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</si>
  <si>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</si>
  <si>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</si>
  <si>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</si>
  <si>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</si>
  <si>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</si>
  <si>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</si>
  <si>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</si>
  <si>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</si>
  <si>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</si>
  <si>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</si>
  <si>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</si>
  <si>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</si>
  <si>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</si>
  <si>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</si>
  <si>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</si>
  <si>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</si>
  <si>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</si>
  <si>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</si>
  <si>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</si>
  <si>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</si>
  <si>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</si>
  <si>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</si>
  <si>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</si>
  <si>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</si>
  <si>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</si>
  <si>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</si>
  <si>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</si>
  <si>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</si>
  <si>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</si>
  <si>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</si>
  <si>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</si>
  <si>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</si>
  <si>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</si>
  <si>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</si>
  <si>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</si>
  <si>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</si>
  <si>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</si>
  <si>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</si>
  <si>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</si>
  <si>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</si>
  <si>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</si>
  <si>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</si>
  <si>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</si>
  <si>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</si>
  <si>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</si>
  <si>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</si>
  <si>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</si>
  <si>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</si>
  <si>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</si>
  <si>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</si>
  <si>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</si>
  <si>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</si>
  <si>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</si>
  <si>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</si>
  <si>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</si>
  <si>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</si>
  <si>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</si>
  <si>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</si>
  <si>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</si>
  <si>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</si>
  <si>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</si>
  <si>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</si>
  <si>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</si>
  <si>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</si>
  <si>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</si>
  <si>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</si>
  <si>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</si>
  <si>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</si>
  <si>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</si>
  <si>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</si>
  <si>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</si>
  <si>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</si>
  <si>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</si>
  <si>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</si>
  <si>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</si>
  <si>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</si>
  <si>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</si>
  <si>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19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</si>
  <si>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</si>
  <si>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</si>
  <si>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</si>
  <si>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</si>
  <si>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</si>
  <si>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</si>
  <si>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</si>
  <si>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</si>
  <si>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</si>
  <si>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</si>
  <si>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</si>
  <si>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</si>
  <si>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</si>
  <si>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</si>
  <si>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</si>
  <si>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</si>
  <si>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</si>
  <si>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</si>
  <si>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</si>
  <si>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</si>
  <si>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</si>
  <si>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</si>
  <si>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KABAG RENDAL</t>
  </si>
  <si>
    <t>SARBINI</t>
  </si>
  <si>
    <t>NANANG</t>
  </si>
  <si>
    <t>AHMAD RIYADI</t>
  </si>
  <si>
    <t>SYAMSUL ARIF</t>
  </si>
  <si>
    <t>ANANG ADUAGA</t>
  </si>
  <si>
    <t>DWI ARI YUWANA</t>
  </si>
  <si>
    <t>EKO B.S.</t>
  </si>
  <si>
    <t>SUHAIMI</t>
  </si>
  <si>
    <t>M. JUFRI</t>
  </si>
  <si>
    <t>M. SUBAIDI</t>
  </si>
  <si>
    <t>SUJARWO</t>
  </si>
  <si>
    <t>M. HUSNI</t>
  </si>
  <si>
    <t>M. HALIM</t>
  </si>
  <si>
    <t>MOHAMMAD H.</t>
  </si>
  <si>
    <t>RENDAL</t>
  </si>
  <si>
    <t>LUQMAN</t>
  </si>
  <si>
    <t>ERIK SUMARNO</t>
  </si>
  <si>
    <t>BEJO SANTOSO</t>
  </si>
  <si>
    <t>AGOK BAYU ADI</t>
  </si>
  <si>
    <t>M. MUSLIMIN</t>
  </si>
  <si>
    <t>SUKARDI</t>
  </si>
  <si>
    <t>SUROSO</t>
  </si>
  <si>
    <t>M. IRIANDI</t>
  </si>
  <si>
    <t>E23</t>
  </si>
  <si>
    <t>E24</t>
  </si>
  <si>
    <t>109, 107, 113</t>
  </si>
  <si>
    <t>106, 110, 116</t>
  </si>
  <si>
    <t>98, 92,99</t>
  </si>
  <si>
    <t>105,100,109</t>
  </si>
  <si>
    <t>90,90,98</t>
  </si>
  <si>
    <t>90,85,102</t>
  </si>
  <si>
    <t>105,102,114</t>
  </si>
  <si>
    <t>90,85,100</t>
  </si>
  <si>
    <t>107,104,114</t>
  </si>
  <si>
    <t>93,95,99</t>
  </si>
  <si>
    <t>103,102,108</t>
  </si>
  <si>
    <t>105,104,109</t>
  </si>
  <si>
    <t>95,95,109</t>
  </si>
  <si>
    <t>77,67,89</t>
  </si>
  <si>
    <t>100,99,108</t>
  </si>
  <si>
    <t>109, 115, 113</t>
  </si>
  <si>
    <t>101, 100, 112</t>
  </si>
  <si>
    <t>108, 105, 107</t>
  </si>
  <si>
    <t>104, 100, 102</t>
  </si>
  <si>
    <t>95, 94, 106</t>
  </si>
  <si>
    <t>91, 81, 96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</si>
</sst>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23" fillId="9" borderId="0" xfId="0" applyFont="1" applyFill="1"/>
    <xf numFmtId="0" fontId="23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96"/>
  <sheetViews>
    <sheetView tabSelected="1" zoomScale="96" zoomScaleNormal="55" workbookViewId="0">
      <pane ySplit="1" topLeftCell="A5" activePane="bottomLeft" state="frozen"/>
      <selection pane="bottomLeft" activeCell="R21" sqref="R21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16" width="7.7109375" style="3" customWidth="1"/>
    <col min="17" max="17" width="16.7109375" style="3" bestFit="1" customWidth="1"/>
    <col min="1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31" t="s">
        <v>7</v>
      </c>
      <c r="R1" s="31" t="s">
        <v>8</v>
      </c>
      <c r="S1" s="31" t="s">
        <v>9</v>
      </c>
      <c r="T1" s="31" t="s">
        <v>10</v>
      </c>
      <c r="U1" s="31" t="s">
        <v>11</v>
      </c>
      <c r="V1" s="31" t="s">
        <v>12</v>
      </c>
      <c r="W1" s="31" t="s">
        <v>13</v>
      </c>
      <c r="X1" s="31" t="s">
        <v>14</v>
      </c>
      <c r="Y1" s="31" t="s">
        <v>15</v>
      </c>
      <c r="Z1" s="31" t="s">
        <v>16</v>
      </c>
      <c r="AA1" s="31" t="s">
        <v>17</v>
      </c>
      <c r="AB1" s="31" t="s">
        <v>18</v>
      </c>
      <c r="AC1" s="31" t="s">
        <v>19</v>
      </c>
      <c r="AD1" s="31" t="s">
        <v>20</v>
      </c>
      <c r="AE1" s="31" t="s">
        <v>21</v>
      </c>
      <c r="AF1" s="2" t="s">
        <v>134</v>
      </c>
      <c r="AG1" s="2" t="s">
        <v>135</v>
      </c>
      <c r="AH1" s="2" t="s">
        <v>136</v>
      </c>
      <c r="AI1" s="2" t="s">
        <v>137</v>
      </c>
      <c r="AJ1" s="2" t="s">
        <v>138</v>
      </c>
      <c r="AK1" s="2" t="s">
        <v>139</v>
      </c>
      <c r="AL1" s="2" t="s">
        <v>140</v>
      </c>
      <c r="AM1" s="2" t="s">
        <v>141</v>
      </c>
      <c r="AN1" s="2" t="s">
        <v>142</v>
      </c>
      <c r="AO1" s="2" t="s">
        <v>143</v>
      </c>
      <c r="AP1" s="2" t="s">
        <v>144</v>
      </c>
    </row>
    <row r="2" spans="1:42" ht="28.15" customHeight="1">
      <c r="A2" s="7" t="s">
        <v>146</v>
      </c>
      <c r="B2" s="30" t="s">
        <v>168</v>
      </c>
      <c r="C2" s="30" t="s">
        <v>183</v>
      </c>
      <c r="D2" s="31" t="s">
        <v>58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</row>
    <row r="3" spans="1:42" ht="28.15" customHeight="1">
      <c r="A3" s="7" t="s">
        <v>147</v>
      </c>
      <c r="B3" s="30" t="s">
        <v>183</v>
      </c>
      <c r="C3" s="30" t="s">
        <v>183</v>
      </c>
      <c r="D3" s="31" t="s">
        <v>58</v>
      </c>
      <c r="E3" s="31"/>
      <c r="F3" s="31"/>
      <c r="G3" s="31"/>
      <c r="H3" s="31">
        <v>46</v>
      </c>
      <c r="I3" s="31">
        <v>57</v>
      </c>
      <c r="J3" s="31">
        <v>18</v>
      </c>
      <c r="K3" s="31">
        <v>17</v>
      </c>
      <c r="L3" s="31">
        <v>31</v>
      </c>
      <c r="M3" s="31">
        <v>29</v>
      </c>
      <c r="N3" s="31">
        <v>29</v>
      </c>
      <c r="O3" s="31">
        <v>68</v>
      </c>
      <c r="P3" s="31">
        <v>44</v>
      </c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42" ht="28.15" customHeight="1">
      <c r="A4" s="7" t="s">
        <v>148</v>
      </c>
      <c r="B4" s="30" t="s">
        <v>169</v>
      </c>
      <c r="C4" s="30" t="s">
        <v>183</v>
      </c>
      <c r="D4" s="31" t="s">
        <v>58</v>
      </c>
      <c r="E4" s="31"/>
      <c r="F4" s="31"/>
      <c r="G4" s="31"/>
      <c r="H4" s="31">
        <v>47</v>
      </c>
      <c r="I4" s="31">
        <v>60</v>
      </c>
      <c r="J4" s="31">
        <v>19</v>
      </c>
      <c r="K4" s="31">
        <v>18</v>
      </c>
      <c r="L4" s="31">
        <v>31</v>
      </c>
      <c r="M4" s="31">
        <v>29</v>
      </c>
      <c r="N4" s="31">
        <v>31</v>
      </c>
      <c r="O4" s="31">
        <v>76</v>
      </c>
      <c r="P4" s="31">
        <v>46</v>
      </c>
      <c r="Q4" s="31" t="s">
        <v>211</v>
      </c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42" ht="28.15" customHeight="1">
      <c r="A5" s="7" t="s">
        <v>149</v>
      </c>
      <c r="B5" s="30" t="s">
        <v>170</v>
      </c>
      <c r="C5" s="30" t="s">
        <v>183</v>
      </c>
      <c r="D5" s="31" t="s">
        <v>58</v>
      </c>
      <c r="E5" s="31"/>
      <c r="F5" s="31"/>
      <c r="G5" s="31"/>
      <c r="H5" s="31">
        <v>46</v>
      </c>
      <c r="I5" s="31">
        <v>55</v>
      </c>
      <c r="J5" s="31">
        <v>20</v>
      </c>
      <c r="K5" s="31">
        <v>18</v>
      </c>
      <c r="L5" s="31">
        <v>32</v>
      </c>
      <c r="M5" s="31">
        <v>32</v>
      </c>
      <c r="N5" s="31">
        <v>32</v>
      </c>
      <c r="O5" s="31">
        <v>77</v>
      </c>
      <c r="P5" s="31">
        <v>44</v>
      </c>
      <c r="Q5" s="31" t="s">
        <v>209</v>
      </c>
      <c r="R5" s="31">
        <v>110</v>
      </c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</row>
    <row r="6" spans="1:42" ht="28.15" customHeight="1">
      <c r="A6" s="7" t="s">
        <v>150</v>
      </c>
      <c r="B6" s="30" t="s">
        <v>171</v>
      </c>
      <c r="C6" s="30" t="s">
        <v>183</v>
      </c>
      <c r="D6" s="31" t="s">
        <v>58</v>
      </c>
      <c r="E6" s="31"/>
      <c r="F6" s="31"/>
      <c r="G6" s="31"/>
      <c r="H6" s="31">
        <v>47</v>
      </c>
      <c r="I6" s="31">
        <v>60</v>
      </c>
      <c r="J6" s="31">
        <v>18</v>
      </c>
      <c r="K6" s="31">
        <v>17</v>
      </c>
      <c r="L6" s="31">
        <v>31</v>
      </c>
      <c r="M6" s="31">
        <v>30</v>
      </c>
      <c r="N6" s="31">
        <v>31</v>
      </c>
      <c r="O6" s="31">
        <v>73</v>
      </c>
      <c r="P6" s="31">
        <v>43</v>
      </c>
      <c r="Q6" s="31" t="s">
        <v>210</v>
      </c>
      <c r="R6" s="31">
        <v>96</v>
      </c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</row>
    <row r="7" spans="1:42" ht="28.15" customHeight="1">
      <c r="A7" s="7" t="s">
        <v>151</v>
      </c>
      <c r="B7" s="30" t="s">
        <v>172</v>
      </c>
      <c r="C7" s="30" t="s">
        <v>183</v>
      </c>
      <c r="D7" s="31" t="s">
        <v>58</v>
      </c>
      <c r="E7" s="31"/>
      <c r="F7" s="31"/>
      <c r="G7" s="31"/>
      <c r="H7" s="31">
        <v>46</v>
      </c>
      <c r="I7" s="31">
        <v>59</v>
      </c>
      <c r="J7" s="31">
        <v>19</v>
      </c>
      <c r="K7" s="31">
        <v>18</v>
      </c>
      <c r="L7" s="31">
        <v>29</v>
      </c>
      <c r="M7" s="31">
        <v>28</v>
      </c>
      <c r="N7" s="31">
        <v>29</v>
      </c>
      <c r="O7" s="31">
        <v>72</v>
      </c>
      <c r="P7" s="31">
        <v>42</v>
      </c>
      <c r="Q7" s="31" t="s">
        <v>212</v>
      </c>
      <c r="R7" s="31">
        <v>96</v>
      </c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</row>
    <row r="8" spans="1:42" ht="28.15" customHeight="1">
      <c r="A8" s="7" t="s">
        <v>152</v>
      </c>
      <c r="B8" s="30" t="s">
        <v>173</v>
      </c>
      <c r="C8" s="30" t="s">
        <v>183</v>
      </c>
      <c r="D8" s="31" t="s">
        <v>58</v>
      </c>
      <c r="E8" s="31"/>
      <c r="F8" s="31"/>
      <c r="G8" s="31"/>
      <c r="H8" s="31">
        <v>48</v>
      </c>
      <c r="I8" s="31">
        <v>59</v>
      </c>
      <c r="J8" s="3" t="s">
        <v>145</v>
      </c>
      <c r="K8" s="31">
        <v>18</v>
      </c>
      <c r="L8" s="31">
        <v>29</v>
      </c>
      <c r="M8" s="31">
        <v>28</v>
      </c>
      <c r="N8" s="31">
        <v>30</v>
      </c>
      <c r="O8" s="31">
        <v>71</v>
      </c>
      <c r="P8" s="31">
        <v>42</v>
      </c>
      <c r="Q8" s="31" t="s">
        <v>213</v>
      </c>
      <c r="R8" s="31">
        <v>91</v>
      </c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</row>
    <row r="9" spans="1:42" ht="28.15" customHeight="1">
      <c r="A9" s="7" t="s">
        <v>153</v>
      </c>
      <c r="B9" s="30" t="s">
        <v>174</v>
      </c>
      <c r="C9" s="30" t="s">
        <v>183</v>
      </c>
      <c r="D9" s="31" t="s">
        <v>58</v>
      </c>
      <c r="E9" s="31"/>
      <c r="F9" s="31"/>
      <c r="G9" s="31"/>
      <c r="H9" s="31">
        <v>46</v>
      </c>
      <c r="I9" s="31">
        <v>57</v>
      </c>
      <c r="J9" s="31">
        <v>18</v>
      </c>
      <c r="K9" s="31">
        <v>16</v>
      </c>
      <c r="L9" s="31">
        <v>27</v>
      </c>
      <c r="M9" s="31">
        <v>24</v>
      </c>
      <c r="N9" s="31">
        <v>26</v>
      </c>
      <c r="O9" s="31">
        <v>67</v>
      </c>
      <c r="P9" s="31">
        <v>41</v>
      </c>
      <c r="Q9" s="31" t="s">
        <v>214</v>
      </c>
      <c r="R9" s="31">
        <v>81</v>
      </c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</row>
    <row r="10" spans="1:42" ht="28.15" customHeight="1">
      <c r="A10" s="7" t="s">
        <v>154</v>
      </c>
      <c r="B10" s="30" t="s">
        <v>175</v>
      </c>
      <c r="C10" s="30" t="s">
        <v>183</v>
      </c>
      <c r="D10" s="31" t="s">
        <v>58</v>
      </c>
      <c r="E10" s="31"/>
      <c r="F10" s="31"/>
      <c r="G10" s="31"/>
      <c r="H10" s="31">
        <v>49</v>
      </c>
      <c r="I10" s="31">
        <v>26</v>
      </c>
      <c r="J10" s="31">
        <v>20</v>
      </c>
      <c r="K10" s="31">
        <v>31</v>
      </c>
      <c r="L10" s="31">
        <v>31</v>
      </c>
      <c r="M10" s="31">
        <v>31</v>
      </c>
      <c r="N10" s="31">
        <v>71</v>
      </c>
      <c r="O10" s="31">
        <v>43</v>
      </c>
      <c r="P10" s="31"/>
      <c r="Q10" s="31" t="s">
        <v>194</v>
      </c>
      <c r="R10" s="31">
        <v>104</v>
      </c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</row>
    <row r="11" spans="1:42" ht="28.15" customHeight="1">
      <c r="A11" s="7" t="s">
        <v>155</v>
      </c>
      <c r="B11" s="30" t="s">
        <v>176</v>
      </c>
      <c r="C11" s="30" t="s">
        <v>183</v>
      </c>
      <c r="D11" s="31" t="s">
        <v>58</v>
      </c>
      <c r="E11" s="31"/>
      <c r="F11" s="31"/>
      <c r="G11" s="31"/>
      <c r="H11" s="31">
        <v>50</v>
      </c>
      <c r="I11" s="31">
        <v>60</v>
      </c>
      <c r="J11" s="31">
        <v>21</v>
      </c>
      <c r="K11" s="31">
        <v>20</v>
      </c>
      <c r="L11" s="31">
        <v>32</v>
      </c>
      <c r="M11" s="31">
        <v>32</v>
      </c>
      <c r="N11" s="31">
        <v>33</v>
      </c>
      <c r="O11" s="31">
        <v>77</v>
      </c>
      <c r="P11" s="31">
        <v>42</v>
      </c>
      <c r="Q11" s="31" t="s">
        <v>195</v>
      </c>
      <c r="R11" s="31">
        <v>109</v>
      </c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</row>
    <row r="12" spans="1:42" ht="28.15" customHeight="1">
      <c r="A12" s="7" t="s">
        <v>156</v>
      </c>
      <c r="B12" s="30" t="s">
        <v>177</v>
      </c>
      <c r="C12" s="30" t="s">
        <v>183</v>
      </c>
      <c r="D12" s="31" t="s">
        <v>58</v>
      </c>
      <c r="E12" s="31"/>
      <c r="F12" s="31"/>
      <c r="G12" s="31"/>
      <c r="H12" s="31">
        <v>45</v>
      </c>
      <c r="I12" s="31">
        <v>59</v>
      </c>
      <c r="J12" s="31">
        <v>19</v>
      </c>
      <c r="K12" s="31">
        <v>18</v>
      </c>
      <c r="L12" s="31">
        <v>29</v>
      </c>
      <c r="M12" s="31">
        <v>28</v>
      </c>
      <c r="N12" s="31">
        <v>29</v>
      </c>
      <c r="O12" s="31">
        <v>72</v>
      </c>
      <c r="P12" s="31">
        <v>42</v>
      </c>
      <c r="Q12" s="31" t="s">
        <v>196</v>
      </c>
      <c r="R12" s="31">
        <v>93</v>
      </c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</row>
    <row r="13" spans="1:42" ht="28.15" customHeight="1">
      <c r="A13" s="7" t="s">
        <v>157</v>
      </c>
      <c r="B13" s="30" t="s">
        <v>178</v>
      </c>
      <c r="C13" s="30" t="s">
        <v>183</v>
      </c>
      <c r="D13" s="31" t="s">
        <v>58</v>
      </c>
      <c r="E13" s="31"/>
      <c r="F13" s="31"/>
      <c r="G13" s="31"/>
      <c r="H13" s="31">
        <v>48</v>
      </c>
      <c r="I13" s="31">
        <v>27</v>
      </c>
      <c r="J13" s="31">
        <v>19</v>
      </c>
      <c r="K13" s="31">
        <v>30</v>
      </c>
      <c r="L13" s="31">
        <v>29</v>
      </c>
      <c r="M13" s="31">
        <v>31</v>
      </c>
      <c r="N13" s="31">
        <v>74</v>
      </c>
      <c r="O13" s="31">
        <v>44</v>
      </c>
      <c r="P13" s="31"/>
      <c r="Q13" s="31" t="s">
        <v>197</v>
      </c>
      <c r="R13" s="31">
        <v>99</v>
      </c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</row>
    <row r="14" spans="1:42" ht="28.15" customHeight="1">
      <c r="A14" s="7" t="s">
        <v>158</v>
      </c>
      <c r="B14" s="30" t="s">
        <v>179</v>
      </c>
      <c r="C14" s="30" t="s">
        <v>183</v>
      </c>
      <c r="D14" s="31" t="s">
        <v>58</v>
      </c>
      <c r="E14" s="31"/>
      <c r="F14" s="31"/>
      <c r="G14" s="31"/>
      <c r="H14" s="31">
        <v>49</v>
      </c>
      <c r="I14" s="31">
        <v>25</v>
      </c>
      <c r="J14" s="31">
        <v>18</v>
      </c>
      <c r="K14" s="31">
        <v>30</v>
      </c>
      <c r="L14" s="31">
        <v>30</v>
      </c>
      <c r="M14" s="31">
        <v>30</v>
      </c>
      <c r="N14" s="31">
        <v>70</v>
      </c>
      <c r="O14" s="31">
        <v>43</v>
      </c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</row>
    <row r="15" spans="1:42" ht="28.15" customHeight="1">
      <c r="A15" s="7" t="s">
        <v>159</v>
      </c>
      <c r="B15" s="30" t="s">
        <v>180</v>
      </c>
      <c r="C15" s="30" t="s">
        <v>183</v>
      </c>
      <c r="D15" s="31" t="s">
        <v>58</v>
      </c>
      <c r="E15" s="31"/>
      <c r="F15" s="31"/>
      <c r="G15" s="31"/>
      <c r="H15" s="31">
        <v>47</v>
      </c>
      <c r="I15" s="31">
        <v>54</v>
      </c>
      <c r="J15" s="31">
        <v>18</v>
      </c>
      <c r="K15" s="31">
        <v>16</v>
      </c>
      <c r="L15" s="31">
        <v>28</v>
      </c>
      <c r="M15" s="31">
        <v>27</v>
      </c>
      <c r="N15" s="31">
        <v>28</v>
      </c>
      <c r="O15" s="31">
        <v>68</v>
      </c>
      <c r="P15" s="31">
        <v>42</v>
      </c>
      <c r="Q15" s="31" t="s">
        <v>198</v>
      </c>
      <c r="R15" s="31">
        <v>88</v>
      </c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</row>
    <row r="16" spans="1:42" ht="28.15" customHeight="1">
      <c r="A16" s="7" t="s">
        <v>160</v>
      </c>
      <c r="B16" s="30" t="s">
        <v>181</v>
      </c>
      <c r="C16" s="30" t="s">
        <v>183</v>
      </c>
      <c r="D16" s="31" t="s">
        <v>58</v>
      </c>
      <c r="E16" s="31"/>
      <c r="F16" s="31"/>
      <c r="G16" s="31"/>
      <c r="H16" s="31">
        <v>46</v>
      </c>
      <c r="I16" s="31">
        <v>58</v>
      </c>
      <c r="J16" s="31">
        <v>19</v>
      </c>
      <c r="K16" s="31">
        <v>17</v>
      </c>
      <c r="L16" s="31">
        <v>28</v>
      </c>
      <c r="M16" s="31">
        <v>27</v>
      </c>
      <c r="N16" s="31">
        <v>28</v>
      </c>
      <c r="O16" s="31">
        <v>70</v>
      </c>
      <c r="P16" s="31">
        <v>40</v>
      </c>
      <c r="Q16" s="31" t="s">
        <v>199</v>
      </c>
      <c r="R16" s="31">
        <v>87</v>
      </c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</row>
    <row r="17" spans="1:42" ht="28.15" customHeight="1">
      <c r="A17" s="7" t="s">
        <v>161</v>
      </c>
      <c r="B17" s="30" t="s">
        <v>182</v>
      </c>
      <c r="C17" s="30" t="s">
        <v>183</v>
      </c>
      <c r="D17" s="31" t="s">
        <v>58</v>
      </c>
      <c r="E17" s="31"/>
      <c r="F17" s="31"/>
      <c r="G17" s="31"/>
      <c r="H17" s="31">
        <v>47</v>
      </c>
      <c r="I17" s="31">
        <v>59</v>
      </c>
      <c r="J17" s="31">
        <v>20</v>
      </c>
      <c r="K17" s="31">
        <v>19</v>
      </c>
      <c r="L17" s="31">
        <v>31</v>
      </c>
      <c r="M17" s="31">
        <v>31</v>
      </c>
      <c r="N17" s="31">
        <v>31</v>
      </c>
      <c r="O17" s="31">
        <v>69</v>
      </c>
      <c r="P17" s="31">
        <v>42</v>
      </c>
      <c r="Q17" s="31" t="s">
        <v>200</v>
      </c>
      <c r="R17" s="31">
        <v>99</v>
      </c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</row>
    <row r="18" spans="1:42" ht="28.15" customHeight="1">
      <c r="A18" s="7" t="s">
        <v>162</v>
      </c>
      <c r="B18" s="30" t="s">
        <v>184</v>
      </c>
      <c r="C18" s="30" t="s">
        <v>183</v>
      </c>
      <c r="D18" s="31" t="s">
        <v>58</v>
      </c>
      <c r="E18" s="31"/>
      <c r="F18" s="31"/>
      <c r="G18" s="31"/>
      <c r="H18" s="31">
        <v>44</v>
      </c>
      <c r="I18" s="31">
        <v>57</v>
      </c>
      <c r="J18" s="31">
        <v>19</v>
      </c>
      <c r="K18" s="31">
        <v>18</v>
      </c>
      <c r="L18" s="31">
        <v>29</v>
      </c>
      <c r="M18" s="31">
        <v>28</v>
      </c>
      <c r="N18" s="31">
        <v>29</v>
      </c>
      <c r="O18" s="31">
        <v>68</v>
      </c>
      <c r="P18" s="31">
        <v>43</v>
      </c>
      <c r="Q18" s="31" t="s">
        <v>201</v>
      </c>
      <c r="R18" s="31">
        <v>83</v>
      </c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</row>
    <row r="19" spans="1:42" ht="28.15" customHeight="1">
      <c r="A19" s="7" t="s">
        <v>163</v>
      </c>
      <c r="B19" s="30" t="s">
        <v>185</v>
      </c>
      <c r="C19" s="30" t="s">
        <v>183</v>
      </c>
      <c r="D19" s="31" t="s">
        <v>58</v>
      </c>
      <c r="E19" s="31"/>
      <c r="F19" s="31"/>
      <c r="G19" s="31"/>
      <c r="H19" s="31">
        <v>47</v>
      </c>
      <c r="I19" s="31">
        <v>57</v>
      </c>
      <c r="J19" s="31">
        <v>20</v>
      </c>
      <c r="K19" s="31">
        <v>19</v>
      </c>
      <c r="L19" s="31">
        <v>30</v>
      </c>
      <c r="M19" s="31">
        <v>29</v>
      </c>
      <c r="N19" s="31">
        <v>30</v>
      </c>
      <c r="O19" s="31">
        <v>69</v>
      </c>
      <c r="P19" s="31">
        <v>43</v>
      </c>
      <c r="Q19" s="31" t="s">
        <v>202</v>
      </c>
      <c r="R19" s="31">
        <v>101</v>
      </c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</row>
    <row r="20" spans="1:42" ht="28.15" customHeight="1">
      <c r="A20" s="7" t="s">
        <v>164</v>
      </c>
      <c r="B20" s="30" t="s">
        <v>186</v>
      </c>
      <c r="C20" s="30" t="s">
        <v>183</v>
      </c>
      <c r="D20" s="31" t="s">
        <v>58</v>
      </c>
      <c r="E20" s="31"/>
      <c r="F20" s="31"/>
      <c r="G20" s="31"/>
      <c r="H20" s="31">
        <v>46</v>
      </c>
      <c r="I20" s="31">
        <v>54</v>
      </c>
      <c r="J20" s="31">
        <v>19</v>
      </c>
      <c r="K20" s="31">
        <v>18</v>
      </c>
      <c r="L20" s="31">
        <v>29</v>
      </c>
      <c r="M20" s="31">
        <v>29</v>
      </c>
      <c r="N20" s="31">
        <v>30</v>
      </c>
      <c r="O20" s="31">
        <v>68</v>
      </c>
      <c r="P20" s="31">
        <v>39</v>
      </c>
      <c r="Q20" s="31" t="s">
        <v>203</v>
      </c>
      <c r="R20" s="31">
        <v>91</v>
      </c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</row>
    <row r="21" spans="1:42" ht="28.15" customHeight="1">
      <c r="A21" s="7" t="s">
        <v>165</v>
      </c>
      <c r="B21" s="30" t="s">
        <v>187</v>
      </c>
      <c r="C21" s="30" t="s">
        <v>183</v>
      </c>
      <c r="D21" s="31" t="s">
        <v>58</v>
      </c>
      <c r="E21" s="31"/>
      <c r="F21" s="31"/>
      <c r="G21" s="31"/>
      <c r="H21" s="3">
        <v>49</v>
      </c>
      <c r="I21" s="3">
        <v>58</v>
      </c>
      <c r="J21" s="3">
        <v>20</v>
      </c>
      <c r="K21" s="3">
        <v>18</v>
      </c>
      <c r="L21" s="3">
        <v>29</v>
      </c>
      <c r="M21" s="3">
        <v>28</v>
      </c>
      <c r="N21" s="3">
        <v>29</v>
      </c>
      <c r="O21" s="3">
        <v>70</v>
      </c>
      <c r="P21" s="3">
        <v>42</v>
      </c>
      <c r="Q21" s="3" t="s">
        <v>204</v>
      </c>
      <c r="R21" s="39">
        <v>98</v>
      </c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</row>
    <row r="22" spans="1:42" ht="28.15" customHeight="1">
      <c r="A22" s="7" t="s">
        <v>166</v>
      </c>
      <c r="B22" s="30" t="s">
        <v>188</v>
      </c>
      <c r="C22" s="30" t="s">
        <v>183</v>
      </c>
      <c r="D22" s="31" t="s">
        <v>58</v>
      </c>
      <c r="E22" s="31"/>
      <c r="F22" s="31"/>
      <c r="G22" s="31"/>
      <c r="H22" s="31">
        <v>49</v>
      </c>
      <c r="I22" s="31">
        <v>54</v>
      </c>
      <c r="J22" s="31">
        <v>19</v>
      </c>
      <c r="K22" s="31">
        <v>18</v>
      </c>
      <c r="L22" s="31">
        <v>30</v>
      </c>
      <c r="M22" s="31">
        <v>29</v>
      </c>
      <c r="N22" s="31">
        <v>30</v>
      </c>
      <c r="O22" s="31">
        <v>71</v>
      </c>
      <c r="P22" s="31">
        <v>42</v>
      </c>
      <c r="Q22" s="31" t="s">
        <v>205</v>
      </c>
      <c r="R22" s="31">
        <v>100</v>
      </c>
      <c r="S22" s="31"/>
      <c r="T22" s="31"/>
      <c r="U22" s="31"/>
      <c r="V22" s="31"/>
      <c r="W22" s="2"/>
      <c r="AH22" s="31"/>
      <c r="AI22" s="31"/>
      <c r="AJ22" s="31"/>
      <c r="AK22" s="31"/>
      <c r="AL22" s="31"/>
      <c r="AM22" s="31"/>
      <c r="AN22" s="31"/>
      <c r="AO22" s="31"/>
      <c r="AP22" s="31"/>
    </row>
    <row r="23" spans="1:42" ht="28.15" customHeight="1">
      <c r="A23" s="7" t="s">
        <v>167</v>
      </c>
      <c r="B23" s="30" t="s">
        <v>189</v>
      </c>
      <c r="C23" s="30" t="s">
        <v>183</v>
      </c>
      <c r="D23" s="31" t="s">
        <v>58</v>
      </c>
      <c r="E23" s="31"/>
      <c r="F23" s="31"/>
      <c r="G23" s="31"/>
      <c r="H23" s="31">
        <v>48</v>
      </c>
      <c r="I23" s="31">
        <v>60</v>
      </c>
      <c r="J23" s="31">
        <v>19</v>
      </c>
      <c r="K23" s="31">
        <v>18</v>
      </c>
      <c r="L23" s="31">
        <v>29</v>
      </c>
      <c r="M23" s="31">
        <v>27</v>
      </c>
      <c r="N23" s="31">
        <v>29</v>
      </c>
      <c r="O23" s="31">
        <v>72</v>
      </c>
      <c r="P23" s="31">
        <v>41</v>
      </c>
      <c r="Q23" s="31" t="s">
        <v>206</v>
      </c>
      <c r="R23" s="31">
        <v>92</v>
      </c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</row>
    <row r="24" spans="1:42" ht="28.15" customHeight="1">
      <c r="A24" s="7" t="s">
        <v>192</v>
      </c>
      <c r="B24" s="30" t="s">
        <v>190</v>
      </c>
      <c r="C24" s="30" t="s">
        <v>183</v>
      </c>
      <c r="D24" s="31" t="s">
        <v>58</v>
      </c>
      <c r="E24" s="31"/>
      <c r="F24" s="31"/>
      <c r="G24" s="31"/>
      <c r="H24" s="31">
        <v>41</v>
      </c>
      <c r="I24" s="31">
        <v>23</v>
      </c>
      <c r="J24" s="31">
        <v>18</v>
      </c>
      <c r="K24" s="31">
        <v>26</v>
      </c>
      <c r="L24" s="31">
        <v>26</v>
      </c>
      <c r="M24" s="31">
        <v>26</v>
      </c>
      <c r="N24" s="31">
        <v>66</v>
      </c>
      <c r="O24" s="31">
        <v>37</v>
      </c>
      <c r="P24" s="31"/>
      <c r="Q24" s="31" t="s">
        <v>207</v>
      </c>
      <c r="R24" s="31">
        <v>72</v>
      </c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</row>
    <row r="25" spans="1:42" ht="28.15" customHeight="1">
      <c r="A25" s="7" t="s">
        <v>193</v>
      </c>
      <c r="B25" s="30" t="s">
        <v>191</v>
      </c>
      <c r="C25" s="30" t="s">
        <v>183</v>
      </c>
      <c r="D25" s="31" t="s">
        <v>58</v>
      </c>
      <c r="E25" s="31"/>
      <c r="F25" s="31"/>
      <c r="G25" s="31"/>
      <c r="H25" s="31">
        <v>45</v>
      </c>
      <c r="I25" s="31">
        <v>59</v>
      </c>
      <c r="J25" s="31">
        <v>19</v>
      </c>
      <c r="K25" s="31">
        <v>18</v>
      </c>
      <c r="L25" s="31">
        <v>28</v>
      </c>
      <c r="M25" s="31">
        <v>26</v>
      </c>
      <c r="N25" s="31">
        <v>29</v>
      </c>
      <c r="O25" s="31">
        <v>70</v>
      </c>
      <c r="P25" s="31">
        <v>42</v>
      </c>
      <c r="Q25" s="31" t="s">
        <v>208</v>
      </c>
      <c r="R25" s="31">
        <v>93</v>
      </c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</row>
    <row r="26" spans="1:42" ht="28.15" customHeight="1">
      <c r="A26" s="7"/>
      <c r="B26" s="30"/>
      <c r="C26" s="30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</row>
    <row r="27" spans="1:42" ht="28.15" customHeight="1">
      <c r="A27" s="7"/>
      <c r="B27" s="30"/>
      <c r="C27" s="30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</row>
    <row r="28" spans="1:42" ht="28.15" customHeight="1">
      <c r="A28" s="7"/>
      <c r="B28" s="30"/>
      <c r="C28" s="30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</row>
    <row r="29" spans="1:42" ht="28.15" customHeight="1">
      <c r="A29" s="7"/>
      <c r="B29" s="30"/>
      <c r="C29" s="30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</row>
    <row r="30" spans="1:42" ht="28.15" customHeight="1">
      <c r="A30" s="7"/>
      <c r="B30" s="30"/>
      <c r="C30" s="30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</row>
    <row r="31" spans="1:42" ht="28.15" customHeight="1">
      <c r="A31" s="7"/>
      <c r="B31" s="30"/>
      <c r="C31" s="30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</row>
    <row r="32" spans="1:42" ht="28.15" customHeight="1">
      <c r="A32" s="7"/>
      <c r="B32" s="30"/>
      <c r="C32" s="30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2"/>
      <c r="AH32" s="31"/>
      <c r="AI32" s="31"/>
      <c r="AJ32" s="31"/>
      <c r="AK32" s="31"/>
      <c r="AL32" s="31"/>
      <c r="AM32" s="31"/>
      <c r="AN32" s="31"/>
      <c r="AO32" s="31"/>
      <c r="AP32" s="31"/>
    </row>
    <row r="33" spans="1:42" ht="28.15" customHeight="1">
      <c r="A33" s="7"/>
      <c r="B33" s="30"/>
      <c r="C33" s="30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2"/>
      <c r="AH33" s="31"/>
      <c r="AI33" s="31"/>
      <c r="AJ33" s="31"/>
      <c r="AK33" s="31"/>
      <c r="AL33" s="31"/>
      <c r="AM33" s="31"/>
      <c r="AN33" s="31"/>
      <c r="AO33" s="31"/>
      <c r="AP33" s="31"/>
    </row>
    <row r="34" spans="1:42" ht="28.15" customHeight="1">
      <c r="A34" s="7"/>
      <c r="B34" s="30"/>
      <c r="C34" s="30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2"/>
      <c r="AH34" s="31"/>
      <c r="AI34" s="31"/>
      <c r="AJ34" s="31"/>
      <c r="AK34" s="31"/>
      <c r="AL34" s="31"/>
      <c r="AM34" s="31"/>
      <c r="AN34" s="31"/>
      <c r="AO34" s="31"/>
      <c r="AP34" s="31"/>
    </row>
    <row r="35" spans="1:42" ht="28.15" customHeight="1">
      <c r="A35" s="7"/>
      <c r="B35" s="30"/>
      <c r="C35" s="30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2"/>
      <c r="AH35" s="31"/>
      <c r="AI35" s="31"/>
      <c r="AJ35" s="31"/>
      <c r="AK35" s="31"/>
      <c r="AL35" s="31"/>
      <c r="AM35" s="31"/>
      <c r="AN35" s="31"/>
      <c r="AO35" s="31"/>
      <c r="AP35" s="31"/>
    </row>
    <row r="36" spans="1:42" ht="28.15" customHeight="1">
      <c r="A36" s="7"/>
      <c r="B36" s="30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2"/>
      <c r="AH36" s="31"/>
      <c r="AI36" s="31"/>
      <c r="AJ36" s="31"/>
      <c r="AK36" s="31"/>
      <c r="AL36" s="31"/>
      <c r="AM36" s="31"/>
      <c r="AN36" s="31"/>
      <c r="AO36" s="31"/>
      <c r="AP36" s="31"/>
    </row>
    <row r="37" spans="1:42" ht="28.15" customHeight="1">
      <c r="A37" s="7"/>
      <c r="B37" s="30"/>
      <c r="C37" s="30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2"/>
      <c r="AH37" s="31"/>
      <c r="AI37" s="31"/>
      <c r="AJ37" s="31"/>
      <c r="AK37" s="31"/>
      <c r="AL37" s="31"/>
      <c r="AM37" s="31"/>
      <c r="AN37" s="31"/>
      <c r="AO37" s="31"/>
      <c r="AP37" s="31"/>
    </row>
    <row r="38" spans="1:42" ht="28.15" customHeight="1">
      <c r="A38" s="7"/>
      <c r="B38" s="30"/>
      <c r="C38" s="30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2"/>
      <c r="AH38" s="31"/>
      <c r="AI38" s="31"/>
      <c r="AJ38" s="31"/>
      <c r="AK38" s="31"/>
      <c r="AL38" s="31"/>
      <c r="AM38" s="31"/>
      <c r="AN38" s="31"/>
      <c r="AO38" s="31"/>
      <c r="AP38" s="31"/>
    </row>
    <row r="39" spans="1:42" ht="28.15" customHeight="1">
      <c r="A39" s="7"/>
      <c r="B39" s="30"/>
      <c r="C39" s="30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2"/>
      <c r="AH39" s="31"/>
      <c r="AI39" s="31"/>
      <c r="AJ39" s="31"/>
      <c r="AK39" s="31"/>
      <c r="AL39" s="31"/>
      <c r="AM39" s="31"/>
      <c r="AN39" s="31"/>
      <c r="AO39" s="31"/>
      <c r="AP39" s="31"/>
    </row>
    <row r="40" spans="1:42" ht="28.15" customHeight="1">
      <c r="A40" s="7"/>
      <c r="B40" s="30"/>
      <c r="C40" s="30"/>
      <c r="D40" s="31"/>
      <c r="E40" s="31"/>
      <c r="F40" s="31"/>
      <c r="G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</row>
    <row r="41" spans="1:42" ht="28.15" customHeight="1">
      <c r="A41" s="7"/>
      <c r="B41" s="30"/>
      <c r="C41" s="30"/>
      <c r="D41" s="31"/>
      <c r="E41" s="31"/>
      <c r="F41" s="31"/>
      <c r="G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</row>
    <row r="42" spans="1:42" ht="28.15" customHeight="1">
      <c r="A42" s="7"/>
      <c r="B42" s="30"/>
      <c r="C42" s="30"/>
      <c r="D42" s="31"/>
      <c r="E42" s="31"/>
      <c r="F42" s="31"/>
      <c r="G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</row>
    <row r="43" spans="1:42" ht="28.15" customHeight="1">
      <c r="A43" s="7"/>
      <c r="B43" s="30"/>
      <c r="C43" s="30"/>
      <c r="D43" s="31"/>
      <c r="E43" s="31"/>
      <c r="F43" s="31"/>
      <c r="G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</row>
    <row r="44" spans="1:42" ht="28.15" customHeight="1">
      <c r="A44" s="7"/>
      <c r="B44" s="30"/>
      <c r="C44" s="30"/>
      <c r="D44" s="31"/>
      <c r="E44" s="31"/>
      <c r="F44" s="31"/>
      <c r="G44" s="38"/>
      <c r="W44" s="3"/>
      <c r="X44" s="38"/>
      <c r="Y44" s="38"/>
      <c r="Z44" s="38"/>
      <c r="AA44" s="38"/>
      <c r="AB44" s="38"/>
      <c r="AC44" s="38"/>
      <c r="AD44" s="38"/>
      <c r="AE44" s="37"/>
    </row>
    <row r="45" spans="1:42" ht="28.15" customHeight="1">
      <c r="A45" s="7"/>
      <c r="B45" s="30"/>
      <c r="C45" s="30"/>
      <c r="D45" s="31"/>
      <c r="E45" s="31"/>
      <c r="F45" s="31"/>
      <c r="G45" s="38"/>
      <c r="W45" s="3"/>
      <c r="X45" s="3"/>
      <c r="Y45" s="38"/>
      <c r="Z45" s="38"/>
      <c r="AA45" s="38"/>
      <c r="AB45" s="38"/>
      <c r="AC45" s="38"/>
      <c r="AD45" s="38"/>
      <c r="AE45" s="38"/>
    </row>
    <row r="46" spans="1:42" ht="28.15" customHeight="1">
      <c r="A46" s="7"/>
      <c r="B46" s="30"/>
      <c r="C46" s="30"/>
      <c r="D46" s="31"/>
      <c r="E46" s="31"/>
      <c r="F46" s="31"/>
      <c r="G46" s="38"/>
      <c r="W46" s="3"/>
      <c r="X46" s="37"/>
      <c r="Y46" s="37"/>
      <c r="Z46" s="37"/>
      <c r="AA46" s="37"/>
      <c r="AB46" s="37"/>
      <c r="AC46" s="37"/>
      <c r="AD46" s="37"/>
      <c r="AE46" s="37"/>
    </row>
    <row r="47" spans="1:42" ht="28.15" customHeight="1">
      <c r="A47" s="7"/>
      <c r="B47" s="30"/>
      <c r="C47" s="30"/>
      <c r="D47" s="31"/>
      <c r="E47" s="31"/>
      <c r="F47" s="31"/>
      <c r="G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</row>
    <row r="48" spans="1:42" ht="28.15" customHeight="1">
      <c r="A48" s="7"/>
      <c r="B48" s="30"/>
      <c r="C48" s="30"/>
      <c r="D48" s="31"/>
      <c r="E48" s="31"/>
      <c r="F48" s="31"/>
      <c r="G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</row>
    <row r="49" spans="1:42" ht="28.15" customHeight="1">
      <c r="A49" s="7"/>
      <c r="B49" s="30"/>
      <c r="C49" s="30"/>
      <c r="D49" s="31"/>
      <c r="E49" s="31"/>
      <c r="F49" s="31"/>
      <c r="G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</row>
    <row r="50" spans="1:42" ht="28.15" customHeight="1">
      <c r="A50" s="7"/>
      <c r="B50" s="30"/>
      <c r="C50" s="30"/>
      <c r="D50" s="31"/>
      <c r="E50" s="31"/>
      <c r="F50" s="31"/>
      <c r="G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</row>
    <row r="51" spans="1:42" ht="28.15" customHeight="1">
      <c r="A51" s="7"/>
      <c r="B51" s="30"/>
      <c r="C51" s="30"/>
      <c r="D51" s="31"/>
      <c r="E51" s="31"/>
      <c r="F51" s="31"/>
      <c r="G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</row>
    <row r="52" spans="1:42" ht="28.15" customHeight="1">
      <c r="A52" s="7"/>
      <c r="B52" s="30"/>
      <c r="C52" s="30"/>
      <c r="D52" s="31"/>
      <c r="E52" s="31"/>
      <c r="F52" s="31"/>
      <c r="G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</row>
    <row r="53" spans="1:42" ht="28.15" customHeight="1">
      <c r="A53" s="7"/>
      <c r="B53" s="30"/>
      <c r="C53" s="30"/>
      <c r="D53" s="31"/>
      <c r="E53" s="31"/>
      <c r="F53" s="31"/>
      <c r="G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</row>
    <row r="54" spans="1:42" ht="28.15" customHeight="1">
      <c r="A54" s="7"/>
      <c r="B54" s="30"/>
      <c r="C54" s="30"/>
      <c r="D54" s="31"/>
      <c r="E54" s="31"/>
      <c r="F54" s="31"/>
      <c r="G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</row>
    <row r="55" spans="1:42" ht="28.15" customHeight="1">
      <c r="A55" s="7"/>
      <c r="B55" s="32"/>
      <c r="C55" s="32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3"/>
      <c r="AI55" s="33"/>
      <c r="AJ55" s="33"/>
      <c r="AK55" s="33"/>
      <c r="AL55" s="33"/>
      <c r="AM55" s="33"/>
      <c r="AN55" s="33"/>
      <c r="AO55" s="33"/>
      <c r="AP55" s="33"/>
    </row>
    <row r="56" spans="1:42" ht="28.15" customHeight="1">
      <c r="A56" s="7"/>
      <c r="B56" s="32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</row>
    <row r="57" spans="1:42" ht="28.15" customHeight="1">
      <c r="A57" s="7"/>
      <c r="B57" s="32"/>
      <c r="C57" s="32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</row>
    <row r="58" spans="1:42" ht="28.15" customHeight="1">
      <c r="A58" s="7"/>
      <c r="B58" s="32"/>
      <c r="C58" s="32"/>
      <c r="D58" s="33"/>
      <c r="E58" s="33"/>
      <c r="F58" s="33"/>
      <c r="G58" s="35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</row>
    <row r="59" spans="1:42" ht="28.15" customHeight="1">
      <c r="A59" s="7"/>
      <c r="B59" s="32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</row>
    <row r="60" spans="1:42" ht="28.15" customHeight="1">
      <c r="A60" s="7"/>
      <c r="B60" s="32"/>
      <c r="C60" s="32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</row>
    <row r="61" spans="1:42" ht="28.15" customHeight="1">
      <c r="A61" s="7"/>
      <c r="B61" s="30"/>
      <c r="C61" s="30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</row>
    <row r="62" spans="1:42" ht="28.15" customHeight="1">
      <c r="A62" s="7"/>
      <c r="B62" s="30"/>
      <c r="C62" s="30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</row>
    <row r="63" spans="1:42" ht="28.15" customHeight="1">
      <c r="A63" s="7"/>
      <c r="B63" s="30"/>
      <c r="C63" s="30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</row>
    <row r="64" spans="1:42" ht="28.15" customHeight="1">
      <c r="A64" s="7"/>
      <c r="B64" s="30"/>
      <c r="C64" s="30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</row>
    <row r="65" spans="1:31" ht="28.15" customHeight="1">
      <c r="A65" s="7"/>
      <c r="B65" s="30"/>
      <c r="C65" s="30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</row>
    <row r="66" spans="1:31" ht="28.15" customHeight="1">
      <c r="A66" s="7"/>
      <c r="B66" s="30"/>
      <c r="C66" s="30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</row>
    <row r="67" spans="1:31" ht="28.15" customHeight="1">
      <c r="A67" s="7"/>
      <c r="B67" s="30"/>
      <c r="C67" s="30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</row>
    <row r="68" spans="1:31" ht="28.15" customHeight="1">
      <c r="A68" s="7"/>
      <c r="B68" s="30"/>
      <c r="C68" s="30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</row>
    <row r="69" spans="1:31" ht="28.15" customHeight="1">
      <c r="A69" s="7"/>
      <c r="B69" s="30"/>
      <c r="C69" s="30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</row>
    <row r="70" spans="1:31" ht="28.15" customHeight="1">
      <c r="A70" s="7"/>
      <c r="B70" s="30"/>
      <c r="C70" s="30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</row>
    <row r="71" spans="1:31" ht="28.15" customHeight="1">
      <c r="A71" s="7"/>
      <c r="B71" s="30"/>
      <c r="C71" s="30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</row>
    <row r="72" spans="1:31" ht="15.75">
      <c r="A72" s="7"/>
      <c r="B72" s="30"/>
      <c r="C72" s="30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</row>
    <row r="73" spans="1:31" ht="15.75">
      <c r="A73" s="7"/>
      <c r="B73" s="30"/>
      <c r="C73" s="30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</row>
    <row r="74" spans="1:31" ht="15.75">
      <c r="A74" s="7"/>
      <c r="B74" s="30"/>
      <c r="C74" s="30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</row>
    <row r="75" spans="1:31" ht="15.75">
      <c r="A75" s="7"/>
      <c r="B75" s="30"/>
      <c r="C75" s="30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</row>
    <row r="76" spans="1:31" ht="15.75">
      <c r="A76" s="7"/>
      <c r="B76" s="30"/>
      <c r="C76" s="30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</row>
    <row r="77" spans="1:31" ht="15.75">
      <c r="A77" s="7"/>
      <c r="B77" s="30"/>
      <c r="C77" s="30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</row>
    <row r="78" spans="1:31" ht="15.75">
      <c r="A78" s="7"/>
      <c r="C78" s="30"/>
      <c r="D78" s="31"/>
      <c r="G78" s="36"/>
      <c r="W78" s="3"/>
      <c r="X78" s="37"/>
      <c r="Y78" s="37"/>
      <c r="Z78" s="37"/>
      <c r="AA78" s="37"/>
      <c r="AB78" s="37"/>
      <c r="AC78" s="37"/>
      <c r="AD78" s="37"/>
      <c r="AE78" s="37"/>
    </row>
    <row r="79" spans="1:31" ht="15.75">
      <c r="A79" s="7"/>
      <c r="C79" s="30"/>
      <c r="D79" s="31"/>
      <c r="G79" s="36"/>
      <c r="W79" s="3"/>
      <c r="X79" s="37"/>
      <c r="Y79" s="37"/>
      <c r="Z79" s="37"/>
      <c r="AA79" s="37"/>
      <c r="AB79" s="37"/>
      <c r="AC79" s="37"/>
      <c r="AD79" s="37"/>
      <c r="AE79" s="37"/>
    </row>
    <row r="80" spans="1:31" ht="15.75">
      <c r="A80" s="7"/>
      <c r="C80" s="30"/>
      <c r="D80" s="31"/>
      <c r="G80" s="36"/>
      <c r="W80" s="3"/>
      <c r="X80" s="37"/>
      <c r="Y80" s="37"/>
      <c r="Z80" s="37"/>
      <c r="AA80" s="37"/>
      <c r="AB80" s="37"/>
      <c r="AC80" s="37"/>
      <c r="AD80" s="37"/>
      <c r="AE80" s="37"/>
    </row>
    <row r="81" spans="1:31" ht="15.75">
      <c r="A81" s="7"/>
      <c r="C81" s="30"/>
      <c r="D81" s="31"/>
      <c r="G81" s="36"/>
      <c r="W81" s="3"/>
      <c r="X81" s="37"/>
      <c r="Y81" s="37"/>
      <c r="Z81" s="37"/>
      <c r="AA81" s="37"/>
      <c r="AB81" s="37"/>
      <c r="AC81" s="37"/>
      <c r="AD81" s="37"/>
      <c r="AE81" s="37"/>
    </row>
    <row r="82" spans="1:31" ht="15.75">
      <c r="A82" s="7"/>
      <c r="C82" s="30"/>
      <c r="D82" s="31"/>
      <c r="G82" s="36"/>
      <c r="W82" s="3"/>
      <c r="X82" s="37"/>
      <c r="Y82" s="37"/>
      <c r="Z82" s="37"/>
      <c r="AA82" s="37"/>
      <c r="AB82" s="37"/>
      <c r="AC82" s="37"/>
      <c r="AD82" s="37"/>
      <c r="AE82" s="37"/>
    </row>
    <row r="83" spans="1:31" ht="15.75">
      <c r="A83" s="7"/>
      <c r="C83" s="30"/>
      <c r="D83" s="31"/>
      <c r="G83" s="36"/>
      <c r="W83" s="3"/>
      <c r="X83" s="37"/>
      <c r="Y83" s="37"/>
      <c r="Z83" s="37"/>
      <c r="AA83" s="37"/>
      <c r="AB83" s="37"/>
      <c r="AC83" s="37"/>
      <c r="AD83" s="37"/>
      <c r="AE83" s="37"/>
    </row>
    <row r="84" spans="1:31" ht="15.75">
      <c r="A84" s="7"/>
      <c r="C84" s="30"/>
      <c r="D84" s="31"/>
      <c r="G84" s="36"/>
      <c r="W84" s="3"/>
      <c r="X84" s="37"/>
      <c r="Y84" s="37"/>
      <c r="Z84" s="37"/>
      <c r="AA84" s="37"/>
      <c r="AB84" s="37"/>
      <c r="AC84" s="37"/>
      <c r="AD84" s="37"/>
      <c r="AE84" s="37"/>
    </row>
    <row r="85" spans="1:31" ht="15.75">
      <c r="A85" s="7"/>
      <c r="C85" s="30"/>
      <c r="D85" s="31"/>
      <c r="G85" s="36"/>
      <c r="W85" s="3"/>
      <c r="X85" s="37"/>
      <c r="Y85" s="37"/>
      <c r="Z85" s="37"/>
      <c r="AA85" s="37"/>
      <c r="AB85" s="37"/>
      <c r="AC85" s="37"/>
      <c r="AD85" s="37"/>
      <c r="AE85" s="37"/>
    </row>
    <row r="86" spans="1:31" ht="15.75">
      <c r="A86" s="7"/>
      <c r="C86" s="30"/>
      <c r="D86" s="31"/>
      <c r="G86" s="36"/>
      <c r="W86" s="3"/>
      <c r="X86" s="37"/>
      <c r="Y86" s="37"/>
      <c r="Z86" s="37"/>
      <c r="AA86" s="37"/>
      <c r="AB86" s="37"/>
      <c r="AC86" s="37"/>
      <c r="AD86" s="37"/>
      <c r="AE86" s="37"/>
    </row>
    <row r="87" spans="1:31" ht="15.75">
      <c r="A87" s="7"/>
      <c r="C87" s="30"/>
      <c r="D87" s="31"/>
      <c r="G87" s="36"/>
      <c r="W87" s="3"/>
      <c r="X87" s="37"/>
      <c r="Y87" s="37"/>
      <c r="Z87" s="37"/>
      <c r="AA87" s="37"/>
      <c r="AB87" s="37"/>
      <c r="AC87" s="37"/>
      <c r="AD87" s="37"/>
      <c r="AE87" s="37"/>
    </row>
    <row r="88" spans="1:31" ht="15.75">
      <c r="A88" s="7"/>
      <c r="C88" s="30"/>
      <c r="D88" s="31"/>
      <c r="G88" s="36"/>
      <c r="W88" s="3"/>
      <c r="X88" s="37"/>
      <c r="Y88" s="37"/>
      <c r="Z88" s="37"/>
      <c r="AA88" s="37"/>
      <c r="AB88" s="37"/>
      <c r="AC88" s="37"/>
      <c r="AD88" s="37"/>
      <c r="AE88" s="37"/>
    </row>
    <row r="89" spans="1:31" ht="15.75">
      <c r="A89" s="7"/>
      <c r="C89" s="30"/>
      <c r="D89" s="31"/>
      <c r="G89" s="36"/>
      <c r="W89" s="3"/>
      <c r="X89" s="37"/>
      <c r="Y89" s="37"/>
      <c r="Z89" s="37"/>
      <c r="AA89" s="37"/>
      <c r="AB89" s="37"/>
      <c r="AC89" s="37"/>
      <c r="AD89" s="37"/>
      <c r="AE89" s="37"/>
    </row>
    <row r="90" spans="1:31" ht="15.75">
      <c r="A90" s="7"/>
      <c r="C90" s="30"/>
      <c r="D90" s="31"/>
      <c r="G90" s="36"/>
      <c r="W90" s="3"/>
      <c r="X90" s="37"/>
      <c r="Y90" s="37"/>
      <c r="Z90" s="37"/>
      <c r="AA90" s="37"/>
      <c r="AB90" s="37"/>
      <c r="AC90" s="37"/>
      <c r="AD90" s="37"/>
      <c r="AE90" s="37"/>
    </row>
    <row r="91" spans="1:31" ht="15.75">
      <c r="A91" s="7"/>
      <c r="C91" s="30"/>
      <c r="D91" s="31"/>
      <c r="G91" s="36"/>
      <c r="W91" s="3"/>
      <c r="X91" s="37"/>
      <c r="Y91" s="37"/>
      <c r="Z91" s="37"/>
      <c r="AA91" s="37"/>
      <c r="AB91" s="37"/>
      <c r="AC91" s="37"/>
      <c r="AD91" s="37"/>
      <c r="AE91" s="37"/>
    </row>
    <row r="92" spans="1:31" ht="15.75">
      <c r="A92" s="7"/>
      <c r="C92" s="30"/>
      <c r="D92" s="31"/>
      <c r="G92" s="36"/>
      <c r="W92" s="3"/>
      <c r="X92" s="37"/>
      <c r="Y92" s="37"/>
      <c r="Z92" s="37"/>
      <c r="AA92" s="37"/>
      <c r="AB92" s="37"/>
      <c r="AC92" s="37"/>
      <c r="AD92" s="37"/>
      <c r="AE92" s="37"/>
    </row>
    <row r="93" spans="1:31" ht="15.75">
      <c r="A93" s="7"/>
      <c r="C93" s="30"/>
      <c r="D93" s="31"/>
      <c r="G93" s="36"/>
      <c r="W93" s="3"/>
      <c r="X93" s="37"/>
      <c r="Y93" s="37"/>
      <c r="Z93" s="37"/>
      <c r="AA93" s="37"/>
      <c r="AB93" s="37"/>
      <c r="AC93" s="37"/>
      <c r="AD93" s="37"/>
      <c r="AE93" s="37"/>
    </row>
    <row r="94" spans="1:31" ht="15.75">
      <c r="A94" s="7"/>
      <c r="C94" s="30"/>
      <c r="D94" s="31"/>
      <c r="G94" s="36"/>
      <c r="W94" s="3"/>
      <c r="X94" s="37"/>
      <c r="Y94" s="37"/>
      <c r="Z94" s="37"/>
      <c r="AA94" s="37"/>
      <c r="AB94" s="37"/>
      <c r="AC94" s="37"/>
      <c r="AD94" s="37"/>
      <c r="AE94" s="37"/>
    </row>
    <row r="95" spans="1:31" ht="15.75">
      <c r="A95" s="7"/>
      <c r="C95" s="30"/>
      <c r="D95" s="31"/>
      <c r="G95" s="36"/>
      <c r="W95" s="3"/>
      <c r="X95" s="37"/>
      <c r="Y95" s="37"/>
      <c r="Z95" s="37"/>
      <c r="AA95" s="37"/>
      <c r="AB95" s="37"/>
      <c r="AC95" s="37"/>
      <c r="AD95" s="37"/>
      <c r="AE95" s="37"/>
    </row>
    <row r="96" spans="1:31" ht="15.75">
      <c r="A96" s="7"/>
      <c r="C96" s="30"/>
      <c r="D96" s="31"/>
      <c r="G96" s="36"/>
      <c r="W96" s="3"/>
      <c r="X96" s="37"/>
      <c r="Y96" s="37"/>
      <c r="Z96" s="37"/>
      <c r="AA96" s="37"/>
      <c r="AB96" s="37"/>
      <c r="AC96" s="37"/>
      <c r="AD96" s="37"/>
      <c r="AE96" s="37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COUNTIF(SEMUA!$G$2:$G$73,REKAP!A4)</f>
        <v>0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COUNTIF(SEMUA!$F$2:$F$73,K4)</f>
        <v>0</v>
      </c>
      <c r="M4" s="8">
        <v>4</v>
      </c>
      <c r="N4">
        <f>L4-M4</f>
        <v>-4</v>
      </c>
      <c r="P4" s="8">
        <v>1</v>
      </c>
      <c r="Q4" s="8" t="s">
        <v>31</v>
      </c>
      <c r="R4">
        <f>COUNTIF(SEMUA!$C$1:$C$71,REKAP!Q4)</f>
        <v>0</v>
      </c>
    </row>
    <row r="5" spans="1:18" ht="15.75">
      <c r="A5" s="8" t="s">
        <v>32</v>
      </c>
      <c r="B5">
        <f>COUNTIF(SEMUA!$G$2:$G$73,REKAP!A5)</f>
        <v>0</v>
      </c>
      <c r="C5">
        <v>15</v>
      </c>
      <c r="F5">
        <v>38</v>
      </c>
      <c r="G5">
        <f>COUNTIF(SEMUA!$E$2:$E$73,F5)</f>
        <v>0</v>
      </c>
      <c r="H5">
        <v>1</v>
      </c>
      <c r="I5">
        <f>H5+G5</f>
        <v>1</v>
      </c>
      <c r="J5" s="12">
        <v>4</v>
      </c>
      <c r="K5" s="9">
        <v>54</v>
      </c>
      <c r="L5">
        <f>COUNTIF(SEMUA!$F$2:$F$73,K5)</f>
        <v>0</v>
      </c>
      <c r="M5" s="8">
        <v>10</v>
      </c>
      <c r="N5">
        <f t="shared" ref="N5:N11" si="0">L5-M5</f>
        <v>-10</v>
      </c>
      <c r="P5" s="8">
        <v>2</v>
      </c>
      <c r="Q5" s="8" t="s">
        <v>36</v>
      </c>
      <c r="R5">
        <f>COUNTIF(SEMUA!$C$1:$C$71,REKAP!Q5)</f>
        <v>0</v>
      </c>
    </row>
    <row r="6" spans="1:18" ht="15.75">
      <c r="A6" s="8" t="s">
        <v>37</v>
      </c>
      <c r="B6">
        <f>COUNTIF(SEMUA!$G$2:$G$73,REKAP!A6)</f>
        <v>0</v>
      </c>
      <c r="C6">
        <v>2</v>
      </c>
      <c r="F6" s="9">
        <v>39</v>
      </c>
      <c r="G6">
        <f>COUNTIF(SEMUA!$E$2:$E$73,F6)</f>
        <v>0</v>
      </c>
      <c r="H6">
        <v>1</v>
      </c>
      <c r="I6">
        <f t="shared" ref="I6:I13" si="1">H6+G6</f>
        <v>1</v>
      </c>
      <c r="J6" s="12">
        <v>15</v>
      </c>
      <c r="K6" s="9">
        <v>55</v>
      </c>
      <c r="L6">
        <f>COUNTIF(SEMUA!$F$2:$F$73,K6)</f>
        <v>0</v>
      </c>
      <c r="M6" s="8">
        <v>25</v>
      </c>
      <c r="N6">
        <f t="shared" si="0"/>
        <v>-25</v>
      </c>
      <c r="P6" s="8">
        <v>3</v>
      </c>
      <c r="Q6" s="8" t="s">
        <v>38</v>
      </c>
      <c r="R6">
        <f>COUNTIF(SEMUA!$C$1:$C$71,REKAP!Q6)</f>
        <v>0</v>
      </c>
    </row>
    <row r="7" spans="1:18" ht="15.75">
      <c r="A7" s="8" t="s">
        <v>35</v>
      </c>
      <c r="B7">
        <f>COUNTIF(SEMUA!$G$2:$G$73,REKAP!A7)</f>
        <v>0</v>
      </c>
      <c r="C7">
        <v>21</v>
      </c>
      <c r="F7" s="9">
        <v>40</v>
      </c>
      <c r="G7">
        <f>COUNTIF(SEMUA!$E$2:$E$73,F7)</f>
        <v>0</v>
      </c>
      <c r="H7">
        <v>14</v>
      </c>
      <c r="I7">
        <f t="shared" si="1"/>
        <v>14</v>
      </c>
      <c r="J7" s="12">
        <v>35</v>
      </c>
      <c r="K7" s="9">
        <v>56</v>
      </c>
      <c r="L7">
        <f>COUNTIF(SEMUA!$F$2:$F$73,K7)</f>
        <v>0</v>
      </c>
      <c r="M7" s="8">
        <v>25</v>
      </c>
      <c r="N7">
        <f t="shared" si="0"/>
        <v>-25</v>
      </c>
      <c r="P7" s="8">
        <v>4</v>
      </c>
      <c r="Q7" s="8" t="s">
        <v>50</v>
      </c>
      <c r="R7">
        <f>COUNTIF(SEMUA!$C$1:$C$71,REKAP!Q7)</f>
        <v>0</v>
      </c>
    </row>
    <row r="8" spans="1:18" ht="15.75">
      <c r="A8" s="8" t="s">
        <v>34</v>
      </c>
      <c r="B8">
        <f>COUNTIF(SEMUA!$G$2:$G$73,REKAP!A8)</f>
        <v>0</v>
      </c>
      <c r="C8">
        <v>5</v>
      </c>
      <c r="F8" s="9">
        <v>41</v>
      </c>
      <c r="G8">
        <f>COUNTIF(SEMUA!$E$2:$E$73,F8)</f>
        <v>0</v>
      </c>
      <c r="H8">
        <v>23</v>
      </c>
      <c r="I8">
        <f t="shared" si="1"/>
        <v>23</v>
      </c>
      <c r="J8" s="12">
        <v>62</v>
      </c>
      <c r="K8" s="9">
        <v>57</v>
      </c>
      <c r="L8">
        <f>COUNTIF(SEMUA!$F$2:$F$73,K8)</f>
        <v>0</v>
      </c>
      <c r="M8" s="8">
        <v>25</v>
      </c>
      <c r="N8">
        <f t="shared" si="0"/>
        <v>-25</v>
      </c>
      <c r="P8" s="8">
        <v>5</v>
      </c>
      <c r="Q8" s="8" t="s">
        <v>49</v>
      </c>
      <c r="R8">
        <f>COUNTIF(SEMUA!$C$1:$C$71,REKAP!Q8)</f>
        <v>0</v>
      </c>
    </row>
    <row r="9" spans="1:18" ht="15.75">
      <c r="A9" s="8" t="s">
        <v>39</v>
      </c>
      <c r="B9">
        <f>COUNTIF(SEMUA!$G$2:$G$73,REKAP!A9)</f>
        <v>0</v>
      </c>
      <c r="F9" s="9">
        <v>42</v>
      </c>
      <c r="G9">
        <f>COUNTIF(SEMUA!$E$2:$E$73,F9)</f>
        <v>0</v>
      </c>
      <c r="H9">
        <v>25</v>
      </c>
      <c r="I9">
        <f t="shared" si="1"/>
        <v>25</v>
      </c>
      <c r="J9" s="12">
        <v>90</v>
      </c>
      <c r="K9" s="9">
        <v>58</v>
      </c>
      <c r="L9">
        <f>COUNTIF(SEMUA!$F$2:$F$73,K9)</f>
        <v>0</v>
      </c>
      <c r="M9" s="8">
        <v>14</v>
      </c>
      <c r="N9">
        <f t="shared" si="0"/>
        <v>-14</v>
      </c>
      <c r="P9" s="8"/>
    </row>
    <row r="10" spans="1:18" ht="15.75">
      <c r="A10" s="8" t="s">
        <v>40</v>
      </c>
      <c r="B10">
        <f>COUNTIF(SEMUA!$G$2:$G$73,REKAP!A10)</f>
        <v>0</v>
      </c>
      <c r="F10" s="9">
        <v>43</v>
      </c>
      <c r="G10">
        <f>COUNTIF(SEMUA!$E$2:$E$73,F10)</f>
        <v>0</v>
      </c>
      <c r="H10">
        <v>13</v>
      </c>
      <c r="I10">
        <f t="shared" si="1"/>
        <v>13</v>
      </c>
      <c r="J10" s="12">
        <v>43</v>
      </c>
      <c r="K10" s="9">
        <v>59</v>
      </c>
      <c r="L10">
        <f>COUNTIF(SEMUA!$F$2:$F$73,K10)</f>
        <v>0</v>
      </c>
      <c r="M10" s="8">
        <v>10</v>
      </c>
      <c r="N10">
        <f t="shared" si="0"/>
        <v>-10</v>
      </c>
      <c r="P10" s="8"/>
    </row>
    <row r="11" spans="1:18" ht="15.75">
      <c r="A11" s="10" t="s">
        <v>48</v>
      </c>
      <c r="B11" s="11">
        <f>SUM(B4:B10)</f>
        <v>0</v>
      </c>
      <c r="C11" s="11">
        <f>SUM(C4:C10)</f>
        <v>65</v>
      </c>
      <c r="D11" s="11"/>
      <c r="E11" s="11"/>
      <c r="F11" s="9">
        <v>44</v>
      </c>
      <c r="G11">
        <f>COUNTIF(SEMUA!$E$2:$E$73,F11)</f>
        <v>0</v>
      </c>
      <c r="H11">
        <v>4</v>
      </c>
      <c r="I11">
        <f t="shared" si="1"/>
        <v>4</v>
      </c>
      <c r="J11" s="12">
        <v>12</v>
      </c>
      <c r="K11" s="1">
        <v>60</v>
      </c>
      <c r="L11">
        <f>COUNTIF(SEMUA!$F$2:$F$73,K11)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COUNTIF(SEMUA!$E$2:$E$73,F12)</f>
        <v>0</v>
      </c>
      <c r="H12">
        <v>3</v>
      </c>
      <c r="I12">
        <f t="shared" si="1"/>
        <v>3</v>
      </c>
      <c r="J12" s="12">
        <v>4</v>
      </c>
      <c r="L12">
        <f>SUM(L4:L11)</f>
        <v>0</v>
      </c>
      <c r="M12">
        <f>SUM(M4:M11)</f>
        <v>115</v>
      </c>
      <c r="N12">
        <f>SUM(N4:N11)</f>
        <v>-115</v>
      </c>
      <c r="P12" s="8"/>
    </row>
    <row r="13" spans="1:18" ht="15.75">
      <c r="F13" s="9">
        <v>46</v>
      </c>
      <c r="G13">
        <f>COUNTIF(SEMUA!$E$2:$E$73,F13)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0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2021-04-04T22:18:08Z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