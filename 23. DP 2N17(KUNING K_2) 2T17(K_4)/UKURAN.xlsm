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837E1F4E-174A-49BD-90FB-8772B57B3E3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SEMUA!$A$1:$AT$39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<sst xmlns="http://schemas.openxmlformats.org/spreadsheetml/2006/main" count="363" uniqueCount="157">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</sst>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8" activePane="bottomLeft" state="frozen"/>
      <selection pane="bottomLeft" activeCell="G43" sqref="G4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155</v>
      </c>
      <c r="B29" s="23" t="s">
        <v>156</v>
      </c>
      <c r="C29" s="15" t="s">
        <v>94</v>
      </c>
      <c r="D29" s="16">
        <v>41</v>
      </c>
      <c r="E29" s="12" t="s">
        <v>31</v>
      </c>
      <c r="F29" s="19">
        <v>59</v>
      </c>
      <c r="G29" s="15" t="s">
        <v>95</v>
      </c>
      <c r="H29" s="15" t="s">
        <v>45</v>
      </c>
      <c r="I29" s="19">
        <v>46</v>
      </c>
      <c r="J29" s="19">
        <v>58</v>
      </c>
      <c r="K29" s="19">
        <v>19</v>
      </c>
      <c r="L29" s="19">
        <v>14</v>
      </c>
      <c r="M29" s="19">
        <v>114</v>
      </c>
      <c r="N29" s="19">
        <v>110</v>
      </c>
      <c r="O29" s="19">
        <v>116</v>
      </c>
      <c r="P29" s="19">
        <v>65</v>
      </c>
      <c r="Q29" s="19">
        <v>42</v>
      </c>
      <c r="R29" s="19">
        <v>46</v>
      </c>
      <c r="S29" s="19">
        <v>59</v>
      </c>
      <c r="T29" s="19">
        <v>17</v>
      </c>
      <c r="U29" s="19">
        <v>13</v>
      </c>
      <c r="V29" s="19">
        <v>29</v>
      </c>
      <c r="W29" s="19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9">
        <v>65</v>
      </c>
      <c r="AH29" s="19">
        <v>42</v>
      </c>
      <c r="AI29" s="19">
        <v>97</v>
      </c>
      <c r="AJ29" s="19">
        <v>112</v>
      </c>
      <c r="AK29" s="19">
        <v>69</v>
      </c>
      <c r="AL29" s="19">
        <v>35</v>
      </c>
      <c r="AM29" s="19">
        <v>26</v>
      </c>
      <c r="AN29" s="19">
        <v>21</v>
      </c>
      <c r="AO29" s="19">
        <v>90</v>
      </c>
      <c r="AP29" s="2">
        <v>4</v>
      </c>
      <c r="AQ29" t="s">
        <v>154</v>
      </c>
    </row>
    <row r="30" spans="1:43" ht="24.75" customHeight="1" x14ac:dyDescent="0.25">
      <c r="A30" s="14" t="s">
        <v>85</v>
      </c>
      <c r="B30" s="23" t="s">
        <v>123</v>
      </c>
      <c r="C30" s="15" t="s">
        <v>122</v>
      </c>
      <c r="D30" s="1">
        <v>42</v>
      </c>
      <c r="E30" s="12" t="s">
        <v>33</v>
      </c>
      <c r="F30" s="19">
        <v>57</v>
      </c>
      <c r="G30" s="15" t="s">
        <v>95</v>
      </c>
      <c r="H30" s="15" t="s">
        <v>45</v>
      </c>
      <c r="I30" s="19">
        <v>51</v>
      </c>
      <c r="J30" s="19">
        <v>62</v>
      </c>
      <c r="K30" s="19">
        <v>22</v>
      </c>
      <c r="L30" s="19">
        <v>16</v>
      </c>
      <c r="M30" s="19">
        <v>120</v>
      </c>
      <c r="N30" s="19">
        <v>118</v>
      </c>
      <c r="O30" s="19">
        <v>125</v>
      </c>
      <c r="P30" s="19">
        <v>74</v>
      </c>
      <c r="Q30" s="19">
        <v>47</v>
      </c>
      <c r="R30" s="19">
        <v>51</v>
      </c>
      <c r="S30" s="19">
        <v>63</v>
      </c>
      <c r="T30" s="19">
        <v>21</v>
      </c>
      <c r="U30" s="19">
        <v>13</v>
      </c>
      <c r="V30" s="19">
        <v>32</v>
      </c>
      <c r="W30" s="19">
        <v>30</v>
      </c>
      <c r="X30" s="1">
        <v>32</v>
      </c>
      <c r="Y30" s="1">
        <v>73</v>
      </c>
      <c r="Z30" s="1">
        <v>47</v>
      </c>
      <c r="AA30" s="1">
        <v>51</v>
      </c>
      <c r="AB30" s="1">
        <v>26</v>
      </c>
      <c r="AC30" s="1">
        <v>21</v>
      </c>
      <c r="AD30" s="1">
        <v>32</v>
      </c>
      <c r="AE30" s="1">
        <v>30</v>
      </c>
      <c r="AF30" s="1">
        <v>32</v>
      </c>
      <c r="AG30" s="19">
        <v>73</v>
      </c>
      <c r="AH30" s="19">
        <v>47</v>
      </c>
      <c r="AI30" s="19">
        <v>113</v>
      </c>
      <c r="AJ30" s="19">
        <v>120</v>
      </c>
      <c r="AK30" s="19">
        <v>75</v>
      </c>
      <c r="AL30" s="19">
        <v>38</v>
      </c>
      <c r="AM30" s="19">
        <v>28</v>
      </c>
      <c r="AN30" s="19">
        <v>23</v>
      </c>
      <c r="AO30" s="19">
        <v>95</v>
      </c>
      <c r="AP30" s="2">
        <v>1</v>
      </c>
      <c r="AQ30" t="s">
        <v>132</v>
      </c>
    </row>
    <row r="31" spans="1:43" ht="24.75" customHeight="1" x14ac:dyDescent="0.25">
      <c r="A31" s="14" t="s">
        <v>86</v>
      </c>
      <c r="B31" s="23" t="s">
        <v>124</v>
      </c>
      <c r="C31" s="15" t="s">
        <v>122</v>
      </c>
      <c r="D31" s="1">
        <v>40</v>
      </c>
      <c r="E31" s="12" t="s">
        <v>32</v>
      </c>
      <c r="F31" s="19">
        <v>57</v>
      </c>
      <c r="G31" s="15" t="s">
        <v>95</v>
      </c>
      <c r="H31" s="15" t="s">
        <v>45</v>
      </c>
      <c r="I31" s="19">
        <v>45</v>
      </c>
      <c r="J31" s="19">
        <v>59</v>
      </c>
      <c r="K31" s="19">
        <v>19</v>
      </c>
      <c r="L31" s="19">
        <v>14</v>
      </c>
      <c r="M31" s="19">
        <v>104</v>
      </c>
      <c r="N31" s="19">
        <v>96</v>
      </c>
      <c r="O31" s="19">
        <v>108</v>
      </c>
      <c r="P31" s="19">
        <v>76</v>
      </c>
      <c r="Q31" s="19">
        <v>42</v>
      </c>
      <c r="R31" s="19">
        <v>45</v>
      </c>
      <c r="S31" s="19">
        <v>60</v>
      </c>
      <c r="T31" s="19">
        <v>17</v>
      </c>
      <c r="U31" s="19">
        <v>13</v>
      </c>
      <c r="V31" s="19">
        <v>28</v>
      </c>
      <c r="W31" s="19">
        <v>26</v>
      </c>
      <c r="X31" s="1">
        <v>28</v>
      </c>
      <c r="Y31" s="1">
        <v>75</v>
      </c>
      <c r="Z31" s="1">
        <v>42</v>
      </c>
      <c r="AA31" s="1">
        <v>45</v>
      </c>
      <c r="AB31" s="1">
        <v>26</v>
      </c>
      <c r="AC31" s="1">
        <v>17</v>
      </c>
      <c r="AD31" s="1">
        <v>28</v>
      </c>
      <c r="AE31" s="1">
        <v>26</v>
      </c>
      <c r="AF31" s="1">
        <v>28</v>
      </c>
      <c r="AG31" s="19">
        <v>75</v>
      </c>
      <c r="AH31" s="19">
        <v>42</v>
      </c>
      <c r="AI31" s="19">
        <v>89</v>
      </c>
      <c r="AJ31" s="19">
        <v>100</v>
      </c>
      <c r="AK31" s="19">
        <v>68</v>
      </c>
      <c r="AL31" s="19">
        <v>34</v>
      </c>
      <c r="AM31" s="19">
        <v>26</v>
      </c>
      <c r="AN31" s="19">
        <v>21</v>
      </c>
      <c r="AO31" s="19">
        <v>104</v>
      </c>
      <c r="AP31" s="2">
        <v>1</v>
      </c>
      <c r="AQ31" t="s">
        <v>132</v>
      </c>
    </row>
    <row r="32" spans="1:43" ht="24.75" customHeight="1" x14ac:dyDescent="0.25">
      <c r="A32" s="14" t="s">
        <v>87</v>
      </c>
      <c r="B32" s="23" t="s">
        <v>125</v>
      </c>
      <c r="C32" s="15" t="s">
        <v>122</v>
      </c>
      <c r="D32" s="1">
        <v>41</v>
      </c>
      <c r="E32" s="12" t="s">
        <v>33</v>
      </c>
      <c r="F32" s="19">
        <v>57</v>
      </c>
      <c r="G32" s="15" t="s">
        <v>95</v>
      </c>
      <c r="H32" s="15" t="s">
        <v>45</v>
      </c>
      <c r="I32" s="19">
        <v>50</v>
      </c>
      <c r="J32" s="19">
        <v>62</v>
      </c>
      <c r="K32" s="19">
        <v>21</v>
      </c>
      <c r="L32" s="19">
        <v>16</v>
      </c>
      <c r="M32" s="19">
        <v>120</v>
      </c>
      <c r="N32" s="19">
        <v>114</v>
      </c>
      <c r="O32" s="19">
        <v>122</v>
      </c>
      <c r="P32" s="19">
        <v>72</v>
      </c>
      <c r="Q32" s="19">
        <v>46</v>
      </c>
      <c r="R32" s="19">
        <v>50</v>
      </c>
      <c r="S32" s="19">
        <v>63</v>
      </c>
      <c r="T32" s="19">
        <v>20</v>
      </c>
      <c r="U32" s="19">
        <v>13</v>
      </c>
      <c r="V32" s="19">
        <v>31</v>
      </c>
      <c r="W32" s="19">
        <v>29</v>
      </c>
      <c r="X32" s="1">
        <v>31</v>
      </c>
      <c r="Y32" s="1">
        <v>71</v>
      </c>
      <c r="Z32" s="1">
        <v>46</v>
      </c>
      <c r="AA32" s="1">
        <v>50</v>
      </c>
      <c r="AB32" s="1">
        <v>25</v>
      </c>
      <c r="AC32" s="1">
        <v>20</v>
      </c>
      <c r="AD32" s="1">
        <v>31</v>
      </c>
      <c r="AE32" s="1">
        <v>29</v>
      </c>
      <c r="AF32" s="1">
        <v>31</v>
      </c>
      <c r="AG32" s="1">
        <v>71</v>
      </c>
      <c r="AH32" s="19">
        <v>46</v>
      </c>
      <c r="AI32" s="19">
        <v>107</v>
      </c>
      <c r="AJ32" s="19">
        <v>118</v>
      </c>
      <c r="AK32" s="19">
        <v>73</v>
      </c>
      <c r="AL32" s="19">
        <v>37</v>
      </c>
      <c r="AM32" s="19">
        <v>26</v>
      </c>
      <c r="AN32" s="19">
        <v>20</v>
      </c>
      <c r="AO32" s="19">
        <v>95</v>
      </c>
      <c r="AP32" s="2">
        <v>1</v>
      </c>
      <c r="AQ32" t="s">
        <v>132</v>
      </c>
    </row>
    <row r="33" spans="1:43" ht="24.75" customHeight="1" x14ac:dyDescent="0.25">
      <c r="A33" s="14" t="s">
        <v>88</v>
      </c>
      <c r="B33" s="23" t="s">
        <v>126</v>
      </c>
      <c r="C33" s="15" t="s">
        <v>122</v>
      </c>
      <c r="D33" s="1">
        <v>46</v>
      </c>
      <c r="E33" s="12" t="s">
        <v>36</v>
      </c>
      <c r="F33" s="19">
        <v>60</v>
      </c>
      <c r="G33" s="15" t="s">
        <v>95</v>
      </c>
      <c r="H33" s="15" t="s">
        <v>45</v>
      </c>
      <c r="I33" s="19">
        <v>52</v>
      </c>
      <c r="J33" s="19">
        <v>65</v>
      </c>
      <c r="K33" s="19">
        <v>23</v>
      </c>
      <c r="L33" s="19">
        <v>16</v>
      </c>
      <c r="M33" s="19">
        <v>135</v>
      </c>
      <c r="N33" s="19">
        <v>135</v>
      </c>
      <c r="O33" s="19">
        <v>135</v>
      </c>
      <c r="P33" s="19">
        <v>80</v>
      </c>
      <c r="Q33" s="19">
        <v>48</v>
      </c>
      <c r="R33" s="19">
        <v>52</v>
      </c>
      <c r="S33" s="19">
        <v>66</v>
      </c>
      <c r="T33" s="19">
        <v>22</v>
      </c>
      <c r="U33" s="19">
        <v>13.5</v>
      </c>
      <c r="V33" s="19">
        <v>35</v>
      </c>
      <c r="W33" s="19">
        <v>35</v>
      </c>
      <c r="X33" s="1">
        <v>35</v>
      </c>
      <c r="Y33" s="1">
        <v>79</v>
      </c>
      <c r="Z33" s="1">
        <v>48</v>
      </c>
      <c r="AA33" s="1">
        <v>52</v>
      </c>
      <c r="AB33" s="1">
        <v>27</v>
      </c>
      <c r="AC33" s="1">
        <v>22</v>
      </c>
      <c r="AD33" s="1">
        <v>35</v>
      </c>
      <c r="AE33" s="1">
        <v>35</v>
      </c>
      <c r="AF33" s="1">
        <v>35</v>
      </c>
      <c r="AG33" s="1">
        <v>79</v>
      </c>
      <c r="AH33" s="19">
        <v>48</v>
      </c>
      <c r="AI33" s="19">
        <v>120</v>
      </c>
      <c r="AJ33" s="19">
        <v>132</v>
      </c>
      <c r="AK33" s="19">
        <v>78</v>
      </c>
      <c r="AL33" s="19">
        <v>40</v>
      </c>
      <c r="AM33" s="19">
        <v>30</v>
      </c>
      <c r="AN33" s="19">
        <v>23</v>
      </c>
      <c r="AO33" s="19">
        <v>108</v>
      </c>
      <c r="AP33" s="2">
        <v>1</v>
      </c>
      <c r="AQ33" t="s">
        <v>132</v>
      </c>
    </row>
    <row r="34" spans="1:43" ht="24.75" customHeight="1" x14ac:dyDescent="0.25">
      <c r="A34" s="14" t="s">
        <v>89</v>
      </c>
      <c r="B34" s="23" t="s">
        <v>127</v>
      </c>
      <c r="C34" s="15" t="s">
        <v>122</v>
      </c>
      <c r="D34" s="1">
        <v>41</v>
      </c>
      <c r="E34" s="12" t="s">
        <v>32</v>
      </c>
      <c r="F34" s="19">
        <v>55</v>
      </c>
      <c r="G34" s="15" t="s">
        <v>95</v>
      </c>
      <c r="H34" s="15" t="s">
        <v>45</v>
      </c>
      <c r="I34" s="19">
        <v>45</v>
      </c>
      <c r="J34" s="19">
        <v>59</v>
      </c>
      <c r="K34" s="19">
        <v>18</v>
      </c>
      <c r="L34" s="19">
        <v>14</v>
      </c>
      <c r="M34" s="19">
        <v>100</v>
      </c>
      <c r="N34" s="19">
        <v>94</v>
      </c>
      <c r="O34" s="19">
        <v>108</v>
      </c>
      <c r="P34" s="19">
        <v>69</v>
      </c>
      <c r="Q34" s="19">
        <v>41</v>
      </c>
      <c r="R34" s="19">
        <v>45</v>
      </c>
      <c r="S34" s="19">
        <v>60</v>
      </c>
      <c r="T34" s="19">
        <v>16</v>
      </c>
      <c r="U34" s="19">
        <v>12.5</v>
      </c>
      <c r="V34" s="19">
        <v>28</v>
      </c>
      <c r="W34" s="19">
        <v>26</v>
      </c>
      <c r="X34" s="1">
        <v>28</v>
      </c>
      <c r="Y34" s="1">
        <v>69</v>
      </c>
      <c r="Z34" s="1">
        <v>41</v>
      </c>
      <c r="AA34" s="1">
        <v>45</v>
      </c>
      <c r="AB34" s="1">
        <v>24</v>
      </c>
      <c r="AC34" s="1">
        <v>16</v>
      </c>
      <c r="AD34" s="1">
        <v>28</v>
      </c>
      <c r="AE34" s="1">
        <v>26</v>
      </c>
      <c r="AF34" s="1">
        <v>28</v>
      </c>
      <c r="AG34" s="19">
        <v>69</v>
      </c>
      <c r="AH34" s="19">
        <v>41</v>
      </c>
      <c r="AI34" s="19">
        <v>87</v>
      </c>
      <c r="AJ34" s="19">
        <v>105</v>
      </c>
      <c r="AK34" s="19">
        <v>67</v>
      </c>
      <c r="AL34" s="19">
        <v>33</v>
      </c>
      <c r="AM34" s="19">
        <v>26</v>
      </c>
      <c r="AN34" s="19">
        <v>20</v>
      </c>
      <c r="AO34" s="19">
        <v>95</v>
      </c>
      <c r="AP34" s="2">
        <v>1</v>
      </c>
      <c r="AQ34" t="s">
        <v>132</v>
      </c>
    </row>
    <row r="35" spans="1:43" ht="24.75" customHeight="1" x14ac:dyDescent="0.25">
      <c r="A35" s="14" t="s">
        <v>90</v>
      </c>
      <c r="B35" s="23" t="s">
        <v>128</v>
      </c>
      <c r="C35" s="15" t="s">
        <v>122</v>
      </c>
      <c r="D35" s="1">
        <v>40</v>
      </c>
      <c r="E35" s="12" t="s">
        <v>32</v>
      </c>
      <c r="F35" s="19">
        <v>54</v>
      </c>
      <c r="G35" s="15" t="s">
        <v>95</v>
      </c>
      <c r="H35" s="15" t="s">
        <v>45</v>
      </c>
      <c r="I35" s="19">
        <v>48</v>
      </c>
      <c r="J35" s="19">
        <v>55</v>
      </c>
      <c r="K35" s="19">
        <v>21</v>
      </c>
      <c r="L35" s="19">
        <v>15</v>
      </c>
      <c r="M35" s="19">
        <v>115</v>
      </c>
      <c r="N35" s="19">
        <v>110</v>
      </c>
      <c r="O35" s="19">
        <v>118</v>
      </c>
      <c r="P35" s="19">
        <v>68</v>
      </c>
      <c r="Q35" s="19">
        <v>46</v>
      </c>
      <c r="R35" s="19">
        <v>48</v>
      </c>
      <c r="S35" s="19">
        <v>56</v>
      </c>
      <c r="T35" s="19">
        <v>20</v>
      </c>
      <c r="U35" s="19">
        <v>13</v>
      </c>
      <c r="V35" s="19">
        <v>30</v>
      </c>
      <c r="W35" s="1">
        <v>28</v>
      </c>
      <c r="X35" s="1">
        <v>30</v>
      </c>
      <c r="Y35" s="1">
        <v>67</v>
      </c>
      <c r="Z35" s="1">
        <v>46</v>
      </c>
      <c r="AA35" s="1">
        <v>48</v>
      </c>
      <c r="AB35" s="1">
        <v>24</v>
      </c>
      <c r="AC35" s="1">
        <v>20</v>
      </c>
      <c r="AD35" s="1">
        <v>30</v>
      </c>
      <c r="AE35" s="1">
        <v>28</v>
      </c>
      <c r="AF35" s="19">
        <v>30</v>
      </c>
      <c r="AG35" s="19">
        <v>67</v>
      </c>
      <c r="AH35" s="19">
        <v>46</v>
      </c>
      <c r="AI35" s="19">
        <v>103</v>
      </c>
      <c r="AJ35" s="19">
        <v>115</v>
      </c>
      <c r="AK35" s="19">
        <v>71</v>
      </c>
      <c r="AL35" s="19">
        <v>36</v>
      </c>
      <c r="AM35" s="19">
        <v>27</v>
      </c>
      <c r="AN35" s="19">
        <v>22</v>
      </c>
      <c r="AO35" s="1">
        <v>92</v>
      </c>
      <c r="AP35" s="2">
        <v>1</v>
      </c>
      <c r="AQ35" t="s">
        <v>132</v>
      </c>
    </row>
    <row r="36" spans="1:43" ht="24.75" customHeight="1" x14ac:dyDescent="0.25">
      <c r="A36" s="14" t="s">
        <v>91</v>
      </c>
      <c r="B36" s="23" t="s">
        <v>129</v>
      </c>
      <c r="C36" s="15" t="s">
        <v>122</v>
      </c>
      <c r="D36" s="1">
        <v>40</v>
      </c>
      <c r="E36" s="12" t="s">
        <v>35</v>
      </c>
      <c r="F36" s="19">
        <v>54</v>
      </c>
      <c r="G36" s="15" t="s">
        <v>95</v>
      </c>
      <c r="H36" s="15" t="s">
        <v>45</v>
      </c>
      <c r="I36" s="19">
        <v>44</v>
      </c>
      <c r="J36" s="19">
        <v>60</v>
      </c>
      <c r="K36" s="19">
        <v>19</v>
      </c>
      <c r="L36" s="19">
        <v>14</v>
      </c>
      <c r="M36" s="19">
        <v>96</v>
      </c>
      <c r="N36" s="19">
        <v>88</v>
      </c>
      <c r="O36" s="19">
        <v>102</v>
      </c>
      <c r="P36" s="19">
        <v>70</v>
      </c>
      <c r="Q36" s="19">
        <v>40</v>
      </c>
      <c r="R36" s="19">
        <v>44</v>
      </c>
      <c r="S36" s="19">
        <v>60</v>
      </c>
      <c r="T36" s="19">
        <v>18</v>
      </c>
      <c r="U36" s="19">
        <v>12</v>
      </c>
      <c r="V36" s="19">
        <v>27</v>
      </c>
      <c r="W36" s="19">
        <v>24</v>
      </c>
      <c r="X36" s="1">
        <v>27</v>
      </c>
      <c r="Y36" s="1">
        <v>70</v>
      </c>
      <c r="Z36" s="1">
        <v>40</v>
      </c>
      <c r="AA36" s="1">
        <v>44</v>
      </c>
      <c r="AB36" s="1">
        <v>24</v>
      </c>
      <c r="AC36" s="1">
        <v>18</v>
      </c>
      <c r="AD36" s="1">
        <v>27</v>
      </c>
      <c r="AE36" s="1">
        <v>24</v>
      </c>
      <c r="AF36" s="1">
        <v>27</v>
      </c>
      <c r="AG36" s="19">
        <v>70</v>
      </c>
      <c r="AH36" s="19">
        <v>40</v>
      </c>
      <c r="AI36" s="19">
        <v>82</v>
      </c>
      <c r="AJ36" s="19">
        <v>100</v>
      </c>
      <c r="AK36" s="19">
        <v>64</v>
      </c>
      <c r="AL36" s="19">
        <v>31</v>
      </c>
      <c r="AM36" s="19">
        <v>24</v>
      </c>
      <c r="AN36" s="19">
        <v>20</v>
      </c>
      <c r="AO36" s="19">
        <v>98</v>
      </c>
      <c r="AP36" s="2">
        <v>1</v>
      </c>
      <c r="AQ36" t="s">
        <v>132</v>
      </c>
    </row>
    <row r="37" spans="1:43" ht="24.75" customHeight="1" x14ac:dyDescent="0.25">
      <c r="A37" s="14" t="s">
        <v>92</v>
      </c>
      <c r="B37" s="23" t="s">
        <v>130</v>
      </c>
      <c r="C37" s="15" t="s">
        <v>122</v>
      </c>
      <c r="D37" s="1">
        <v>42</v>
      </c>
      <c r="E37" s="12" t="s">
        <v>32</v>
      </c>
      <c r="F37" s="19">
        <v>57</v>
      </c>
      <c r="G37" s="15" t="s">
        <v>95</v>
      </c>
      <c r="H37" s="15" t="s">
        <v>45</v>
      </c>
      <c r="I37" s="19">
        <v>46</v>
      </c>
      <c r="J37" s="19">
        <v>60</v>
      </c>
      <c r="K37" s="19">
        <v>20</v>
      </c>
      <c r="L37" s="19">
        <v>15</v>
      </c>
      <c r="M37" s="19">
        <v>108</v>
      </c>
      <c r="N37" s="19">
        <v>102</v>
      </c>
      <c r="O37" s="19">
        <v>110</v>
      </c>
      <c r="P37" s="19">
        <v>72</v>
      </c>
      <c r="Q37" s="19">
        <v>43</v>
      </c>
      <c r="R37" s="19">
        <v>46</v>
      </c>
      <c r="S37" s="19">
        <v>61</v>
      </c>
      <c r="T37" s="19">
        <v>19</v>
      </c>
      <c r="U37" s="19">
        <v>13</v>
      </c>
      <c r="V37" s="19">
        <v>29</v>
      </c>
      <c r="W37" s="19">
        <v>27</v>
      </c>
      <c r="X37" s="1">
        <v>29</v>
      </c>
      <c r="Y37" s="1">
        <v>71</v>
      </c>
      <c r="Z37" s="1">
        <v>43</v>
      </c>
      <c r="AA37" s="1">
        <v>46</v>
      </c>
      <c r="AB37" s="1">
        <v>26</v>
      </c>
      <c r="AC37" s="1">
        <v>19</v>
      </c>
      <c r="AD37" s="1">
        <v>29</v>
      </c>
      <c r="AE37" s="1">
        <v>27</v>
      </c>
      <c r="AF37" s="1">
        <v>29</v>
      </c>
      <c r="AG37" s="19">
        <v>71</v>
      </c>
      <c r="AH37" s="19">
        <v>43</v>
      </c>
      <c r="AI37" s="19">
        <v>94</v>
      </c>
      <c r="AJ37" s="19">
        <v>107</v>
      </c>
      <c r="AK37" s="19">
        <v>68</v>
      </c>
      <c r="AL37" s="19">
        <v>34</v>
      </c>
      <c r="AM37" s="19">
        <v>27</v>
      </c>
      <c r="AN37" s="19">
        <v>22</v>
      </c>
      <c r="AO37" s="19">
        <v>104</v>
      </c>
      <c r="AP37" s="2">
        <v>1</v>
      </c>
      <c r="AQ37" t="s">
        <v>132</v>
      </c>
    </row>
    <row r="38" spans="1:43" ht="24.75" customHeight="1" x14ac:dyDescent="0.25">
      <c r="A38" s="14" t="s">
        <v>93</v>
      </c>
      <c r="B38" s="23" t="s">
        <v>131</v>
      </c>
      <c r="C38" s="15" t="s">
        <v>122</v>
      </c>
      <c r="D38" s="1">
        <v>41</v>
      </c>
      <c r="E38" s="12" t="s">
        <v>36</v>
      </c>
      <c r="F38" s="19">
        <v>57</v>
      </c>
      <c r="G38" s="15" t="s">
        <v>95</v>
      </c>
      <c r="H38" s="15" t="s">
        <v>45</v>
      </c>
      <c r="I38" s="19">
        <v>50</v>
      </c>
      <c r="J38" s="19">
        <v>61</v>
      </c>
      <c r="K38" s="19">
        <v>21</v>
      </c>
      <c r="L38" s="19">
        <v>15</v>
      </c>
      <c r="M38" s="19">
        <v>116</v>
      </c>
      <c r="N38" s="19">
        <v>110</v>
      </c>
      <c r="O38" s="19">
        <v>122</v>
      </c>
      <c r="P38" s="19">
        <v>75</v>
      </c>
      <c r="Q38" s="19">
        <v>46</v>
      </c>
      <c r="R38" s="19">
        <v>50</v>
      </c>
      <c r="S38" s="19">
        <v>62</v>
      </c>
      <c r="T38" s="19">
        <v>20</v>
      </c>
      <c r="U38" s="19">
        <v>13</v>
      </c>
      <c r="V38" s="19">
        <v>30</v>
      </c>
      <c r="W38" s="19">
        <v>28</v>
      </c>
      <c r="X38" s="1">
        <v>30</v>
      </c>
      <c r="Y38" s="1">
        <v>74</v>
      </c>
      <c r="Z38" s="1">
        <v>46</v>
      </c>
      <c r="AA38" s="1">
        <v>50</v>
      </c>
      <c r="AB38" s="1">
        <v>24</v>
      </c>
      <c r="AC38" s="1">
        <v>20</v>
      </c>
      <c r="AD38" s="1">
        <v>30</v>
      </c>
      <c r="AE38" s="1">
        <v>28</v>
      </c>
      <c r="AF38" s="1">
        <v>30</v>
      </c>
      <c r="AG38" s="19">
        <v>74</v>
      </c>
      <c r="AH38" s="19">
        <v>46</v>
      </c>
      <c r="AI38" s="19">
        <v>102</v>
      </c>
      <c r="AJ38" s="19">
        <v>120</v>
      </c>
      <c r="AK38" s="19">
        <v>78</v>
      </c>
      <c r="AL38" s="19">
        <v>37</v>
      </c>
      <c r="AM38" s="19">
        <v>26</v>
      </c>
      <c r="AN38" s="19">
        <v>22</v>
      </c>
      <c r="AO38" s="19">
        <v>95</v>
      </c>
      <c r="AP38" s="2">
        <v>1</v>
      </c>
      <c r="AQ38" t="s">
        <v>132</v>
      </c>
    </row>
    <row r="39" spans="1:43" ht="24.75" customHeight="1" x14ac:dyDescent="0.25">
      <c r="A39" s="14" t="s">
        <v>133</v>
      </c>
      <c r="B39" s="2" t="s">
        <v>134</v>
      </c>
      <c r="C39" s="15" t="s">
        <v>122</v>
      </c>
      <c r="D39" s="1">
        <v>41</v>
      </c>
      <c r="E39" s="12" t="s">
        <v>32</v>
      </c>
      <c r="F39" s="19">
        <v>55</v>
      </c>
      <c r="G39" s="15" t="s">
        <v>95</v>
      </c>
      <c r="H39" s="15" t="s">
        <v>45</v>
      </c>
      <c r="I39" s="19">
        <v>44</v>
      </c>
      <c r="J39" s="19">
        <v>61</v>
      </c>
      <c r="K39" s="19">
        <v>19</v>
      </c>
      <c r="L39" s="19">
        <v>14</v>
      </c>
      <c r="M39" s="19">
        <v>94</v>
      </c>
      <c r="N39" s="19">
        <v>88</v>
      </c>
      <c r="O39" s="19">
        <v>102</v>
      </c>
      <c r="P39" s="19">
        <v>69</v>
      </c>
      <c r="Q39" s="19">
        <v>42</v>
      </c>
      <c r="R39" s="19">
        <v>44</v>
      </c>
      <c r="S39" s="19">
        <v>62</v>
      </c>
      <c r="T39" s="19">
        <v>16</v>
      </c>
      <c r="U39" s="19">
        <v>12</v>
      </c>
      <c r="V39" s="19">
        <v>27</v>
      </c>
      <c r="W39" s="19">
        <v>24</v>
      </c>
      <c r="X39" s="1">
        <v>27</v>
      </c>
      <c r="Y39" s="1">
        <v>69</v>
      </c>
      <c r="Z39" s="1">
        <v>42</v>
      </c>
      <c r="AA39" s="1">
        <v>44</v>
      </c>
      <c r="AB39" s="1">
        <v>26</v>
      </c>
      <c r="AC39" s="1">
        <v>16</v>
      </c>
      <c r="AD39" s="1">
        <v>27</v>
      </c>
      <c r="AE39" s="1">
        <v>24</v>
      </c>
      <c r="AF39" s="1">
        <v>27</v>
      </c>
      <c r="AG39" s="19">
        <v>69</v>
      </c>
      <c r="AH39" s="19">
        <v>42</v>
      </c>
      <c r="AI39" s="19">
        <v>80</v>
      </c>
      <c r="AJ39" s="19">
        <v>100</v>
      </c>
      <c r="AK39" s="19">
        <v>64</v>
      </c>
      <c r="AL39" s="19">
        <v>32</v>
      </c>
      <c r="AM39" s="19">
        <v>24</v>
      </c>
      <c r="AN39" s="19">
        <v>20</v>
      </c>
      <c r="AO39" s="19">
        <v>95</v>
      </c>
      <c r="AP39" s="2">
        <v>2</v>
      </c>
      <c r="AQ39" s="2" t="s">
        <v>135</v>
      </c>
    </row>
    <row r="40" spans="1:43" ht="24.75" customHeight="1" x14ac:dyDescent="0.25">
      <c r="A40" s="14" t="s">
        <v>146</v>
      </c>
      <c r="B40" s="2" t="s">
        <v>140</v>
      </c>
      <c r="C40" s="15" t="s">
        <v>122</v>
      </c>
      <c r="D40" s="1">
        <v>45</v>
      </c>
      <c r="E40" s="12" t="s">
        <v>34</v>
      </c>
      <c r="F40" s="19">
        <v>55</v>
      </c>
      <c r="G40" s="15" t="s">
        <v>95</v>
      </c>
      <c r="H40" s="15" t="s">
        <v>45</v>
      </c>
      <c r="I40" s="19">
        <v>48</v>
      </c>
      <c r="J40" s="19">
        <v>63</v>
      </c>
      <c r="K40" s="19">
        <v>20</v>
      </c>
      <c r="L40" s="19">
        <v>15</v>
      </c>
      <c r="M40" s="19">
        <v>110</v>
      </c>
      <c r="N40" s="19">
        <v>118</v>
      </c>
      <c r="O40" s="19">
        <v>118</v>
      </c>
      <c r="P40" s="19">
        <v>75</v>
      </c>
      <c r="Q40" s="19">
        <v>43</v>
      </c>
      <c r="R40" s="19">
        <v>48</v>
      </c>
      <c r="S40" s="19">
        <v>64</v>
      </c>
      <c r="T40" s="19">
        <v>19</v>
      </c>
      <c r="U40" s="19">
        <v>13</v>
      </c>
      <c r="V40" s="19">
        <v>29</v>
      </c>
      <c r="W40" s="19">
        <v>28</v>
      </c>
      <c r="X40" s="1">
        <v>29</v>
      </c>
      <c r="Y40" s="1">
        <v>74</v>
      </c>
      <c r="Z40" s="1">
        <v>43</v>
      </c>
      <c r="AA40" s="1">
        <v>48</v>
      </c>
      <c r="AB40" s="1">
        <v>26</v>
      </c>
      <c r="AC40" s="1">
        <v>19</v>
      </c>
      <c r="AD40" s="1">
        <v>29</v>
      </c>
      <c r="AE40" s="1">
        <v>28</v>
      </c>
      <c r="AF40" s="1">
        <v>29</v>
      </c>
      <c r="AG40" s="19">
        <v>74</v>
      </c>
      <c r="AH40" s="19">
        <v>43</v>
      </c>
      <c r="AI40" s="19">
        <v>100</v>
      </c>
      <c r="AJ40" s="19">
        <v>114</v>
      </c>
      <c r="AK40" s="19">
        <v>72</v>
      </c>
      <c r="AL40" s="19">
        <v>36</v>
      </c>
      <c r="AM40" s="19">
        <v>28</v>
      </c>
      <c r="AN40" s="19">
        <v>21</v>
      </c>
      <c r="AO40" s="19">
        <v>102</v>
      </c>
      <c r="AP40" s="2">
        <v>3</v>
      </c>
      <c r="AQ40" s="2" t="s">
        <v>145</v>
      </c>
    </row>
    <row r="41" spans="1:43" ht="24.75" customHeight="1" x14ac:dyDescent="0.25">
      <c r="A41" s="14" t="s">
        <v>147</v>
      </c>
      <c r="B41" s="2" t="s">
        <v>149</v>
      </c>
      <c r="C41" s="15" t="s">
        <v>122</v>
      </c>
      <c r="D41" s="1">
        <v>43</v>
      </c>
      <c r="E41" s="12" t="s">
        <v>34</v>
      </c>
      <c r="F41" s="19">
        <v>57</v>
      </c>
      <c r="G41" s="15" t="s">
        <v>95</v>
      </c>
      <c r="H41" s="15" t="s">
        <v>45</v>
      </c>
      <c r="I41" s="19">
        <v>48</v>
      </c>
      <c r="J41" s="19">
        <v>65</v>
      </c>
      <c r="K41" s="19">
        <v>20</v>
      </c>
      <c r="L41" s="19">
        <v>15</v>
      </c>
      <c r="M41" s="19">
        <v>117</v>
      </c>
      <c r="N41" s="19">
        <v>110</v>
      </c>
      <c r="O41" s="19">
        <v>120</v>
      </c>
      <c r="P41" s="19">
        <v>77</v>
      </c>
      <c r="Q41" s="19">
        <v>44</v>
      </c>
      <c r="R41" s="19">
        <v>48</v>
      </c>
      <c r="S41" s="19">
        <v>66</v>
      </c>
      <c r="T41" s="19">
        <v>19</v>
      </c>
      <c r="U41" s="19">
        <v>13</v>
      </c>
      <c r="V41" s="19">
        <v>30</v>
      </c>
      <c r="W41" s="19">
        <v>28</v>
      </c>
      <c r="X41" s="1">
        <v>30</v>
      </c>
      <c r="Y41" s="1">
        <v>76</v>
      </c>
      <c r="Z41" s="1">
        <v>44</v>
      </c>
      <c r="AA41" s="1">
        <v>48</v>
      </c>
      <c r="AB41" s="1">
        <v>27</v>
      </c>
      <c r="AC41" s="1">
        <v>19</v>
      </c>
      <c r="AD41" s="1">
        <v>30</v>
      </c>
      <c r="AE41" s="1">
        <v>28</v>
      </c>
      <c r="AF41" s="1">
        <v>30</v>
      </c>
      <c r="AG41" s="19">
        <v>76</v>
      </c>
      <c r="AH41" s="19">
        <v>44</v>
      </c>
      <c r="AI41" s="19">
        <v>101</v>
      </c>
      <c r="AJ41" s="19">
        <v>117</v>
      </c>
      <c r="AK41" s="19">
        <v>74</v>
      </c>
      <c r="AL41" s="19">
        <v>36</v>
      </c>
      <c r="AM41" s="19">
        <v>27</v>
      </c>
      <c r="AN41" s="19">
        <v>21</v>
      </c>
      <c r="AO41" s="19">
        <v>106</v>
      </c>
      <c r="AP41" s="2">
        <v>3</v>
      </c>
      <c r="AQ41" s="2" t="s">
        <v>145</v>
      </c>
    </row>
    <row r="42" spans="1:43" ht="24.75" customHeight="1" x14ac:dyDescent="0.25">
      <c r="A42" s="14" t="s">
        <v>148</v>
      </c>
      <c r="B42" s="2" t="s">
        <v>150</v>
      </c>
      <c r="C42" s="15" t="s">
        <v>122</v>
      </c>
      <c r="D42" s="1">
        <v>42</v>
      </c>
      <c r="E42" s="12" t="s">
        <v>31</v>
      </c>
      <c r="F42" s="19">
        <v>53</v>
      </c>
      <c r="G42" s="15" t="s">
        <v>95</v>
      </c>
      <c r="H42" s="15" t="s">
        <v>45</v>
      </c>
      <c r="I42" s="19">
        <v>43</v>
      </c>
      <c r="J42" s="19">
        <v>59</v>
      </c>
      <c r="K42" s="3" t="s">
        <v>151</v>
      </c>
      <c r="L42" s="19">
        <v>14</v>
      </c>
      <c r="M42" s="19">
        <v>92</v>
      </c>
      <c r="N42" s="19">
        <v>80</v>
      </c>
      <c r="O42" s="19">
        <v>97</v>
      </c>
      <c r="P42" s="19">
        <v>70</v>
      </c>
      <c r="Q42" s="19">
        <v>39</v>
      </c>
      <c r="R42" s="19">
        <v>43</v>
      </c>
      <c r="S42" s="19">
        <v>60</v>
      </c>
      <c r="T42" s="19">
        <v>17</v>
      </c>
      <c r="U42" s="19">
        <v>12</v>
      </c>
      <c r="V42" s="19">
        <v>27</v>
      </c>
      <c r="W42" s="19">
        <v>24</v>
      </c>
      <c r="X42" s="1">
        <v>27</v>
      </c>
      <c r="Y42" s="1">
        <v>69</v>
      </c>
      <c r="Z42" s="1">
        <v>39</v>
      </c>
      <c r="AA42" s="1">
        <v>43</v>
      </c>
      <c r="AB42" s="1">
        <v>25</v>
      </c>
      <c r="AC42" s="1">
        <v>17</v>
      </c>
      <c r="AD42" s="1">
        <v>27</v>
      </c>
      <c r="AE42" s="1">
        <v>24</v>
      </c>
      <c r="AF42" s="1">
        <v>27</v>
      </c>
      <c r="AG42" s="19">
        <v>70</v>
      </c>
      <c r="AH42" s="19">
        <v>39</v>
      </c>
      <c r="AI42" s="19">
        <v>74</v>
      </c>
      <c r="AJ42" s="19">
        <v>95</v>
      </c>
      <c r="AK42" s="19">
        <v>67</v>
      </c>
      <c r="AL42" s="19">
        <v>32</v>
      </c>
      <c r="AM42" s="19">
        <v>24</v>
      </c>
      <c r="AN42" s="19">
        <v>19</v>
      </c>
      <c r="AO42" s="19">
        <v>97</v>
      </c>
      <c r="AP42" s="2">
        <v>3</v>
      </c>
      <c r="AQ42" s="2" t="s">
        <v>145</v>
      </c>
    </row>
    <row r="43" spans="1:43" ht="24.75" customHeight="1" x14ac:dyDescent="0.25">
      <c r="A43" s="1" t="s">
        <v>152</v>
      </c>
      <c r="B43" s="2" t="s">
        <v>153</v>
      </c>
      <c r="C43" s="15" t="s">
        <v>122</v>
      </c>
      <c r="D43" s="1">
        <v>40</v>
      </c>
      <c r="E43" s="12" t="s">
        <v>32</v>
      </c>
      <c r="F43" s="19">
        <v>55</v>
      </c>
      <c r="G43" s="15" t="s">
        <v>95</v>
      </c>
      <c r="H43" s="15" t="s">
        <v>45</v>
      </c>
      <c r="I43" s="19">
        <v>46</v>
      </c>
      <c r="J43" s="19">
        <v>56</v>
      </c>
      <c r="K43" s="19">
        <v>19</v>
      </c>
      <c r="L43" s="19">
        <v>14</v>
      </c>
      <c r="M43" s="19">
        <v>110</v>
      </c>
      <c r="N43" s="19">
        <v>113</v>
      </c>
      <c r="O43" s="19">
        <v>117</v>
      </c>
      <c r="P43" s="19">
        <v>70</v>
      </c>
      <c r="Q43" s="19">
        <v>42</v>
      </c>
      <c r="R43" s="19">
        <v>46</v>
      </c>
      <c r="S43" s="19">
        <v>57</v>
      </c>
      <c r="T43" s="19">
        <v>17</v>
      </c>
      <c r="U43" s="19">
        <v>13</v>
      </c>
      <c r="V43" s="19">
        <v>29</v>
      </c>
      <c r="W43" s="19">
        <v>28</v>
      </c>
      <c r="X43" s="1">
        <v>29</v>
      </c>
      <c r="Y43" s="1">
        <v>70</v>
      </c>
      <c r="Z43" s="1">
        <v>42</v>
      </c>
      <c r="AA43" s="1">
        <v>46</v>
      </c>
      <c r="AB43" s="1">
        <v>24</v>
      </c>
      <c r="AC43" s="1">
        <v>17</v>
      </c>
      <c r="AD43" s="1">
        <v>29</v>
      </c>
      <c r="AE43" s="1">
        <v>28</v>
      </c>
      <c r="AF43" s="1">
        <v>29</v>
      </c>
      <c r="AG43" s="19">
        <v>70</v>
      </c>
      <c r="AH43" s="19">
        <v>42</v>
      </c>
      <c r="AI43" s="19">
        <v>100</v>
      </c>
      <c r="AJ43" s="19">
        <v>116</v>
      </c>
      <c r="AK43" s="19">
        <v>72</v>
      </c>
      <c r="AL43" s="19">
        <v>35</v>
      </c>
      <c r="AM43" s="19">
        <v>26</v>
      </c>
      <c r="AN43" s="19">
        <v>21</v>
      </c>
      <c r="AO43" s="19">
        <v>92</v>
      </c>
      <c r="AP43" s="2">
        <v>4</v>
      </c>
      <c r="AQ43" s="2" t="s">
        <v>154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COUNTIF(SEMUA!$E$2:$E$53,REKAP!A4)</f>
        <v>15</v>
      </c>
      <c r="C4">
        <v>3</v>
      </c>
      <c r="D4">
        <f>SUM(B4:C4)</f>
        <v>18</v>
      </c>
      <c r="E4" s="24">
        <v>25</v>
      </c>
      <c r="G4">
        <v>37</v>
      </c>
      <c r="H4">
        <f>COUNTIF(SEMUA!$D$1:$D$53,G4)</f>
        <v>0</v>
      </c>
      <c r="J4">
        <f>SUM(H4:I4)</f>
        <v>0</v>
      </c>
      <c r="K4" s="24">
        <v>0</v>
      </c>
      <c r="M4" s="8">
        <v>53</v>
      </c>
      <c r="N4">
        <f>COUNTIF(SEMUA!$F$2:$F$53,M4)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COUNTIF(SEMUA!$E$2:$E$53,REKAP!A5)</f>
        <v>9</v>
      </c>
      <c r="C5">
        <v>5</v>
      </c>
      <c r="D5">
        <f t="shared" ref="D5:D10" si="0">SUM(B5:C5)</f>
        <v>14</v>
      </c>
      <c r="E5" s="24">
        <v>16</v>
      </c>
      <c r="G5">
        <v>38</v>
      </c>
      <c r="H5">
        <f>COUNTIF(SEMUA!$D$1:$D$53,G5)</f>
        <v>1</v>
      </c>
      <c r="J5">
        <v>1</v>
      </c>
      <c r="K5" s="24">
        <v>0</v>
      </c>
      <c r="M5" s="8">
        <v>54</v>
      </c>
      <c r="N5">
        <f>COUNTIF(SEMUA!$F$2:$F$53,M5)</f>
        <v>3</v>
      </c>
      <c r="O5">
        <v>2</v>
      </c>
      <c r="P5">
        <f t="shared" ref="P5:P11" si="1">SUM(N5:O5)</f>
        <v>5</v>
      </c>
      <c r="Q5" s="24">
        <v>5</v>
      </c>
    </row>
    <row r="6" spans="1:18" ht="15.75" x14ac:dyDescent="0.25">
      <c r="A6" s="7" t="s">
        <v>35</v>
      </c>
      <c r="B6">
        <f>COUNTIF(SEMUA!$E$2:$E$53,REKAP!A6)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COUNTIF(SEMUA!$D$1:$D$53,G6)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COUNTIF(SEMUA!$F$2:$F$53,M6)</f>
        <v>7</v>
      </c>
      <c r="O6">
        <v>1</v>
      </c>
      <c r="P6">
        <f t="shared" si="1"/>
        <v>8</v>
      </c>
      <c r="Q6" s="24"/>
    </row>
    <row r="7" spans="1:18" ht="15.75" x14ac:dyDescent="0.25">
      <c r="A7" s="7" t="s">
        <v>34</v>
      </c>
      <c r="B7">
        <f>COUNTIF(SEMUA!$E$2:$E$53,REKAP!A7)</f>
        <v>10</v>
      </c>
      <c r="C7">
        <v>7</v>
      </c>
      <c r="D7">
        <f t="shared" si="0"/>
        <v>17</v>
      </c>
      <c r="E7" s="24">
        <v>24</v>
      </c>
      <c r="G7" s="8">
        <v>40</v>
      </c>
      <c r="H7">
        <f>COUNTIF(SEMUA!$D$1:$D$53,G7)</f>
        <v>13</v>
      </c>
      <c r="I7">
        <v>3</v>
      </c>
      <c r="J7">
        <f t="shared" si="2"/>
        <v>16</v>
      </c>
      <c r="K7" s="24">
        <v>22</v>
      </c>
      <c r="M7" s="8">
        <v>56</v>
      </c>
      <c r="N7">
        <f>COUNTIF(SEMUA!$F$2:$F$53,M7)</f>
        <v>6</v>
      </c>
      <c r="O7">
        <v>7</v>
      </c>
      <c r="P7">
        <f t="shared" si="1"/>
        <v>13</v>
      </c>
      <c r="Q7" s="24">
        <v>10</v>
      </c>
    </row>
    <row r="8" spans="1:18" ht="15.75" x14ac:dyDescent="0.25">
      <c r="A8" s="7" t="s">
        <v>33</v>
      </c>
      <c r="B8">
        <f>COUNTIF(SEMUA!$E$2:$E$53,REKAP!A8)</f>
        <v>4</v>
      </c>
      <c r="C8">
        <v>3</v>
      </c>
      <c r="D8">
        <f t="shared" si="0"/>
        <v>7</v>
      </c>
      <c r="E8" s="24">
        <v>11</v>
      </c>
      <c r="G8" s="8">
        <v>41</v>
      </c>
      <c r="H8">
        <f>COUNTIF(SEMUA!$D$1:$D$53,G8)</f>
        <v>11</v>
      </c>
      <c r="I8">
        <v>5</v>
      </c>
      <c r="J8">
        <f t="shared" si="2"/>
        <v>16</v>
      </c>
      <c r="K8" s="24">
        <v>23</v>
      </c>
      <c r="M8" s="8">
        <v>57</v>
      </c>
      <c r="N8">
        <f>COUNTIF(SEMUA!$F$2:$F$53,M8)</f>
        <v>17</v>
      </c>
      <c r="O8">
        <v>1</v>
      </c>
      <c r="P8">
        <f t="shared" si="1"/>
        <v>18</v>
      </c>
      <c r="Q8" s="24">
        <v>10</v>
      </c>
    </row>
    <row r="9" spans="1:18" ht="15.75" x14ac:dyDescent="0.25">
      <c r="A9" s="7" t="s">
        <v>36</v>
      </c>
      <c r="B9">
        <f>COUNTIF(SEMUA!$E$2:$E$53,REKAP!A9)</f>
        <v>2</v>
      </c>
      <c r="D9">
        <f t="shared" si="0"/>
        <v>2</v>
      </c>
      <c r="E9" s="24">
        <v>4</v>
      </c>
      <c r="G9" s="8">
        <v>42</v>
      </c>
      <c r="H9">
        <f>COUNTIF(SEMUA!$D$1:$D$53,G9)</f>
        <v>9</v>
      </c>
      <c r="I9">
        <v>2</v>
      </c>
      <c r="J9">
        <f t="shared" si="2"/>
        <v>11</v>
      </c>
      <c r="K9" s="24">
        <v>10</v>
      </c>
      <c r="M9" s="8">
        <v>58</v>
      </c>
      <c r="N9">
        <f>COUNTIF(SEMUA!$F$2:$F$53,M9)</f>
        <v>3</v>
      </c>
      <c r="O9">
        <v>6</v>
      </c>
      <c r="P9">
        <f t="shared" si="1"/>
        <v>9</v>
      </c>
      <c r="Q9" s="24">
        <v>9</v>
      </c>
    </row>
    <row r="10" spans="1:18" ht="15.75" x14ac:dyDescent="0.25">
      <c r="A10" s="7" t="s">
        <v>37</v>
      </c>
      <c r="B10">
        <f>COUNTIF(SEMUA!$E$2:$E$53,REKAP!A10)</f>
        <v>0</v>
      </c>
      <c r="D10">
        <f t="shared" si="0"/>
        <v>0</v>
      </c>
      <c r="E10" s="24">
        <v>1</v>
      </c>
      <c r="G10" s="8">
        <v>43</v>
      </c>
      <c r="H10">
        <f>COUNTIF(SEMUA!$D$1:$D$53,G10)</f>
        <v>5</v>
      </c>
      <c r="I10">
        <v>5</v>
      </c>
      <c r="J10">
        <f t="shared" si="2"/>
        <v>10</v>
      </c>
      <c r="K10" s="24">
        <v>10</v>
      </c>
      <c r="M10" s="8">
        <v>59</v>
      </c>
      <c r="N10">
        <f>COUNTIF(SEMUA!$F$2:$F$53,M10)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42</v>
      </c>
      <c r="C11" s="10"/>
      <c r="D11" s="10">
        <f>SUM(D4:D10)</f>
        <v>61</v>
      </c>
      <c r="E11" s="25">
        <f>SUM(E4:E10)</f>
        <v>85</v>
      </c>
      <c r="F11" s="10"/>
      <c r="G11" s="8">
        <v>44</v>
      </c>
      <c r="H11">
        <f>COUNTIF(SEMUA!$D$1:$D$53,G11)</f>
        <v>0</v>
      </c>
      <c r="J11">
        <f t="shared" si="2"/>
        <v>0</v>
      </c>
      <c r="K11" s="24">
        <v>1</v>
      </c>
      <c r="M11" s="1">
        <v>60</v>
      </c>
      <c r="N11">
        <f>COUNTIF(SEMUA!$F$2:$F$53,M11)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COUNTIF(SEMUA!$D$1:$D$53,G12)</f>
        <v>2</v>
      </c>
      <c r="I12">
        <v>1</v>
      </c>
      <c r="J12">
        <f t="shared" si="2"/>
        <v>3</v>
      </c>
      <c r="K12" s="24">
        <v>0</v>
      </c>
      <c r="N12">
        <f>SUM(N4:N11)</f>
        <v>42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COUNTIF(SEMUA!$D$1:$D$53,G13)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42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2021-08-04T13:58:23Z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