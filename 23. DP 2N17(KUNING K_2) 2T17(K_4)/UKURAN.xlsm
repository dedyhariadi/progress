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8B9C67E6-F605-457F-8BCA-1E6FF95B59BB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SEMUA!$A$1:$AT$36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P11" i="3"/>
  <c r="P10" i="3"/>
  <c r="P9" i="3"/>
  <c r="P8" i="3"/>
  <c r="P7" i="3"/>
  <c r="P6" i="3"/>
  <c r="P5" i="3"/>
  <c r="P4" i="3"/>
  <c r="O12" i="3"/>
  <c r="K14" i="3"/>
  <c r="I14" i="3"/>
  <c r="E11" i="3"/>
  <c r="N11" i="3"/>
  <c r="N10" i="3"/>
  <c r="N9" i="3"/>
  <c r="N8" i="3"/>
  <c r="N7" i="3"/>
  <c r="N6" i="3"/>
  <c r="N5" i="3"/>
  <c r="N4" i="3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<sst xmlns="http://schemas.openxmlformats.org/spreadsheetml/2006/main" count="313" uniqueCount="140">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</sst>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70AD47"/>
  </sheetPr>
  <dimension ref="A1:ALZ36"/>
  <sheetViews>
    <sheetView zoomScale="70" zoomScaleNormal="70" workbookViewId="0">
      <pane ySplit="1" topLeftCell="A2" activePane="bottomLeft" state="frozen"/>
      <selection pane="bottomLeft" activeCell="H1" sqref="H1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hidden="1" customHeight="1" x14ac:dyDescent="0.25">
      <c r="A2" s="14" t="s">
        <v>61</v>
      </c>
      <c r="B2" s="23" t="s">
        <v>97</v>
      </c>
      <c r="C2" s="15" t="s">
        <v>94</v>
      </c>
      <c r="D2" s="16">
        <v>41</v>
      </c>
      <c r="E2" s="15" t="s">
        <v>34</v>
      </c>
      <c r="F2" s="15">
        <v>56</v>
      </c>
      <c r="G2" s="15" t="s">
        <v>95</v>
      </c>
      <c r="H2" s="15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hidden="1" customHeight="1" x14ac:dyDescent="0.25">
      <c r="A3" s="14" t="s">
        <v>62</v>
      </c>
      <c r="B3" s="23" t="s">
        <v>98</v>
      </c>
      <c r="C3" s="15" t="s">
        <v>94</v>
      </c>
      <c r="D3" s="16">
        <v>43</v>
      </c>
      <c r="E3" s="15" t="s">
        <v>34</v>
      </c>
      <c r="F3" s="15">
        <v>56</v>
      </c>
      <c r="G3" s="15" t="s">
        <v>95</v>
      </c>
      <c r="H3" s="15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hidden="1" customHeight="1" x14ac:dyDescent="0.25">
      <c r="A4" s="14" t="s">
        <v>63</v>
      </c>
      <c r="B4" s="23" t="s">
        <v>99</v>
      </c>
      <c r="C4" s="15" t="s">
        <v>94</v>
      </c>
      <c r="D4" s="16">
        <v>40</v>
      </c>
      <c r="E4" s="15" t="s">
        <v>31</v>
      </c>
      <c r="F4" s="15">
        <v>54</v>
      </c>
      <c r="G4" s="15" t="s">
        <v>95</v>
      </c>
      <c r="H4" s="15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hidden="1" customHeight="1" x14ac:dyDescent="0.25">
      <c r="A5" s="14" t="s">
        <v>64</v>
      </c>
      <c r="B5" s="23" t="s">
        <v>100</v>
      </c>
      <c r="C5" s="15" t="s">
        <v>94</v>
      </c>
      <c r="D5" s="16">
        <v>43</v>
      </c>
      <c r="E5" s="15" t="s">
        <v>34</v>
      </c>
      <c r="F5" s="15">
        <v>56</v>
      </c>
      <c r="G5" s="15" t="s">
        <v>95</v>
      </c>
      <c r="H5" s="15" t="s">
        <v>45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hidden="1" customHeight="1" x14ac:dyDescent="0.25">
      <c r="A6" s="14" t="s">
        <v>65</v>
      </c>
      <c r="B6" s="23" t="s">
        <v>101</v>
      </c>
      <c r="C6" s="15" t="s">
        <v>94</v>
      </c>
      <c r="D6" s="16">
        <v>42</v>
      </c>
      <c r="E6" s="15" t="s">
        <v>32</v>
      </c>
      <c r="F6" s="15">
        <v>58</v>
      </c>
      <c r="G6" s="15" t="s">
        <v>95</v>
      </c>
      <c r="H6" s="15" t="s">
        <v>45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66</v>
      </c>
      <c r="B7" s="23" t="s">
        <v>102</v>
      </c>
      <c r="C7" s="15" t="s">
        <v>94</v>
      </c>
      <c r="D7" s="16">
        <v>38</v>
      </c>
      <c r="E7" s="13" t="s">
        <v>32</v>
      </c>
      <c r="F7" s="17">
        <v>57</v>
      </c>
      <c r="G7" s="15" t="s">
        <v>95</v>
      </c>
      <c r="H7" s="15" t="s">
        <v>96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121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hidden="1" customHeight="1" x14ac:dyDescent="0.25">
      <c r="A8" s="14" t="s">
        <v>67</v>
      </c>
      <c r="B8" s="23" t="s">
        <v>103</v>
      </c>
      <c r="C8" s="15" t="s">
        <v>94</v>
      </c>
      <c r="D8" s="16">
        <v>42</v>
      </c>
      <c r="E8" s="13" t="s">
        <v>34</v>
      </c>
      <c r="F8" s="17">
        <v>58</v>
      </c>
      <c r="G8" s="15" t="s">
        <v>95</v>
      </c>
      <c r="H8" s="15" t="s">
        <v>45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132</v>
      </c>
      <c r="AR8"/>
      <c r="AS8"/>
      <c r="AT8"/>
    </row>
    <row r="9" spans="1:1014" ht="24.75" hidden="1" customHeight="1" x14ac:dyDescent="0.25">
      <c r="A9" s="14" t="s">
        <v>68</v>
      </c>
      <c r="B9" s="23" t="s">
        <v>104</v>
      </c>
      <c r="C9" s="15" t="s">
        <v>94</v>
      </c>
      <c r="D9" s="16">
        <v>42</v>
      </c>
      <c r="E9" s="13" t="s">
        <v>34</v>
      </c>
      <c r="F9" s="17">
        <v>57</v>
      </c>
      <c r="G9" s="15" t="s">
        <v>95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132</v>
      </c>
      <c r="AR9"/>
      <c r="AS9"/>
      <c r="AT9"/>
    </row>
    <row r="10" spans="1:1014" ht="24.75" hidden="1" customHeight="1" x14ac:dyDescent="0.25">
      <c r="A10" s="14" t="s">
        <v>69</v>
      </c>
      <c r="B10" s="23" t="s">
        <v>105</v>
      </c>
      <c r="C10" s="15" t="s">
        <v>94</v>
      </c>
      <c r="D10" s="16">
        <v>40</v>
      </c>
      <c r="E10" s="13" t="s">
        <v>31</v>
      </c>
      <c r="F10" s="17">
        <v>56</v>
      </c>
      <c r="G10" s="15" t="s">
        <v>95</v>
      </c>
      <c r="H10" s="15" t="s">
        <v>45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132</v>
      </c>
      <c r="AR10"/>
      <c r="AS10"/>
      <c r="AT10"/>
    </row>
    <row r="11" spans="1:1014" ht="24.75" hidden="1" customHeight="1" x14ac:dyDescent="0.25">
      <c r="A11" s="14" t="s">
        <v>70</v>
      </c>
      <c r="B11" s="23" t="s">
        <v>106</v>
      </c>
      <c r="C11" s="15" t="s">
        <v>94</v>
      </c>
      <c r="D11" s="16">
        <v>41</v>
      </c>
      <c r="E11" s="13" t="s">
        <v>32</v>
      </c>
      <c r="F11" s="17">
        <v>57</v>
      </c>
      <c r="G11" s="15" t="s">
        <v>95</v>
      </c>
      <c r="H11" s="15" t="s">
        <v>45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132</v>
      </c>
      <c r="AR11"/>
      <c r="AS11"/>
      <c r="AT11"/>
    </row>
    <row r="12" spans="1:1014" ht="24.75" hidden="1" customHeight="1" x14ac:dyDescent="0.25">
      <c r="A12" s="14" t="s">
        <v>71</v>
      </c>
      <c r="B12" s="23" t="s">
        <v>107</v>
      </c>
      <c r="C12" s="15" t="s">
        <v>94</v>
      </c>
      <c r="D12" s="16">
        <v>40</v>
      </c>
      <c r="E12" s="13" t="s">
        <v>31</v>
      </c>
      <c r="F12" s="17">
        <v>56</v>
      </c>
      <c r="G12" s="15" t="s">
        <v>95</v>
      </c>
      <c r="H12" s="15" t="s">
        <v>45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132</v>
      </c>
      <c r="AR12"/>
      <c r="AS12"/>
      <c r="AT12"/>
    </row>
    <row r="13" spans="1:1014" ht="24.75" hidden="1" customHeight="1" x14ac:dyDescent="0.25">
      <c r="A13" s="14" t="s">
        <v>72</v>
      </c>
      <c r="B13" s="23" t="s">
        <v>108</v>
      </c>
      <c r="C13" s="15" t="s">
        <v>94</v>
      </c>
      <c r="D13" s="16">
        <v>40</v>
      </c>
      <c r="E13" s="12" t="s">
        <v>31</v>
      </c>
      <c r="F13" s="19">
        <v>57</v>
      </c>
      <c r="G13" s="15" t="s">
        <v>95</v>
      </c>
      <c r="H13" s="15" t="s">
        <v>45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132</v>
      </c>
    </row>
    <row r="14" spans="1:1014" ht="24.75" hidden="1" customHeight="1" x14ac:dyDescent="0.25">
      <c r="A14" s="14" t="s">
        <v>73</v>
      </c>
      <c r="B14" s="23" t="s">
        <v>109</v>
      </c>
      <c r="C14" s="15" t="s">
        <v>94</v>
      </c>
      <c r="D14" s="16">
        <v>40</v>
      </c>
      <c r="E14" s="12" t="s">
        <v>32</v>
      </c>
      <c r="F14" s="19">
        <v>53</v>
      </c>
      <c r="G14" s="15" t="s">
        <v>95</v>
      </c>
      <c r="H14" s="15" t="s">
        <v>45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132</v>
      </c>
    </row>
    <row r="15" spans="1:1014" ht="24.75" hidden="1" customHeight="1" x14ac:dyDescent="0.25">
      <c r="A15" s="14" t="s">
        <v>74</v>
      </c>
      <c r="B15" s="23" t="s">
        <v>110</v>
      </c>
      <c r="C15" s="15" t="s">
        <v>94</v>
      </c>
      <c r="D15" s="16">
        <v>40</v>
      </c>
      <c r="E15" s="12" t="s">
        <v>31</v>
      </c>
      <c r="F15" s="19">
        <v>57</v>
      </c>
      <c r="G15" s="15" t="s">
        <v>95</v>
      </c>
      <c r="H15" s="15" t="s">
        <v>45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132</v>
      </c>
    </row>
    <row r="16" spans="1:1014" ht="24.75" hidden="1" customHeight="1" x14ac:dyDescent="0.25">
      <c r="A16" s="14" t="s">
        <v>75</v>
      </c>
      <c r="B16" s="23" t="s">
        <v>111</v>
      </c>
      <c r="C16" s="15" t="s">
        <v>94</v>
      </c>
      <c r="D16" s="16">
        <v>43</v>
      </c>
      <c r="E16" s="12" t="s">
        <v>34</v>
      </c>
      <c r="F16" s="19">
        <v>57</v>
      </c>
      <c r="G16" s="15" t="s">
        <v>95</v>
      </c>
      <c r="H16" s="15" t="s">
        <v>45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132</v>
      </c>
    </row>
    <row r="17" spans="1:43" ht="24.75" hidden="1" customHeight="1" x14ac:dyDescent="0.25">
      <c r="A17" s="14" t="s">
        <v>76</v>
      </c>
      <c r="B17" s="23" t="s">
        <v>112</v>
      </c>
      <c r="C17" s="15" t="s">
        <v>94</v>
      </c>
      <c r="D17" s="16">
        <v>40</v>
      </c>
      <c r="E17" s="12" t="s">
        <v>31</v>
      </c>
      <c r="F17" s="19">
        <v>55</v>
      </c>
      <c r="G17" s="15" t="s">
        <v>95</v>
      </c>
      <c r="H17" s="15" t="s">
        <v>45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132</v>
      </c>
    </row>
    <row r="18" spans="1:43" ht="24.75" hidden="1" customHeight="1" x14ac:dyDescent="0.25">
      <c r="A18" s="14" t="s">
        <v>77</v>
      </c>
      <c r="B18" s="23" t="s">
        <v>113</v>
      </c>
      <c r="C18" s="15" t="s">
        <v>94</v>
      </c>
      <c r="D18" s="16">
        <v>42</v>
      </c>
      <c r="E18" s="12" t="s">
        <v>32</v>
      </c>
      <c r="F18" s="19">
        <v>57</v>
      </c>
      <c r="G18" s="15" t="s">
        <v>95</v>
      </c>
      <c r="H18" s="15" t="s">
        <v>45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132</v>
      </c>
    </row>
    <row r="19" spans="1:43" ht="24.75" hidden="1" customHeight="1" x14ac:dyDescent="0.25">
      <c r="A19" s="14" t="s">
        <v>78</v>
      </c>
      <c r="B19" s="23" t="s">
        <v>114</v>
      </c>
      <c r="C19" s="15" t="s">
        <v>94</v>
      </c>
      <c r="D19" s="16">
        <v>41</v>
      </c>
      <c r="E19" s="12" t="s">
        <v>34</v>
      </c>
      <c r="F19" s="19">
        <v>57</v>
      </c>
      <c r="G19" s="15" t="s">
        <v>95</v>
      </c>
      <c r="H19" s="15" t="s">
        <v>45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132</v>
      </c>
    </row>
    <row r="20" spans="1:43" ht="24.75" hidden="1" customHeight="1" x14ac:dyDescent="0.25">
      <c r="A20" s="14" t="s">
        <v>79</v>
      </c>
      <c r="B20" s="23" t="s">
        <v>115</v>
      </c>
      <c r="C20" s="15" t="s">
        <v>94</v>
      </c>
      <c r="D20" s="16">
        <v>45</v>
      </c>
      <c r="E20" s="12" t="s">
        <v>33</v>
      </c>
      <c r="F20" s="19">
        <v>60</v>
      </c>
      <c r="G20" s="15" t="s">
        <v>95</v>
      </c>
      <c r="H20" s="15" t="s">
        <v>45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132</v>
      </c>
    </row>
    <row r="21" spans="1:43" ht="24.75" hidden="1" customHeight="1" x14ac:dyDescent="0.25">
      <c r="A21" s="14" t="s">
        <v>80</v>
      </c>
      <c r="B21" s="23" t="s">
        <v>116</v>
      </c>
      <c r="C21" s="15" t="s">
        <v>94</v>
      </c>
      <c r="D21" s="16">
        <v>40</v>
      </c>
      <c r="E21" s="12" t="s">
        <v>32</v>
      </c>
      <c r="F21" s="19">
        <v>55</v>
      </c>
      <c r="G21" s="15" t="s">
        <v>95</v>
      </c>
      <c r="H21" s="15" t="s">
        <v>45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132</v>
      </c>
    </row>
    <row r="22" spans="1:43" ht="24.75" hidden="1" customHeight="1" x14ac:dyDescent="0.25">
      <c r="A22" s="14" t="s">
        <v>81</v>
      </c>
      <c r="B22" s="23" t="s">
        <v>117</v>
      </c>
      <c r="C22" s="15" t="s">
        <v>94</v>
      </c>
      <c r="D22" s="16">
        <v>41</v>
      </c>
      <c r="E22" s="12" t="s">
        <v>35</v>
      </c>
      <c r="F22" s="19">
        <v>58</v>
      </c>
      <c r="G22" s="15" t="s">
        <v>95</v>
      </c>
      <c r="H22" s="15" t="s">
        <v>45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132</v>
      </c>
    </row>
    <row r="23" spans="1:43" ht="24.75" hidden="1" customHeight="1" x14ac:dyDescent="0.25">
      <c r="A23" s="14" t="s">
        <v>82</v>
      </c>
      <c r="B23" s="23" t="s">
        <v>118</v>
      </c>
      <c r="C23" s="15" t="s">
        <v>94</v>
      </c>
      <c r="D23" s="16">
        <v>43</v>
      </c>
      <c r="E23" s="12" t="s">
        <v>34</v>
      </c>
      <c r="F23" s="19">
        <v>57</v>
      </c>
      <c r="G23" s="15" t="s">
        <v>95</v>
      </c>
      <c r="H23" s="15" t="s">
        <v>45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132</v>
      </c>
    </row>
    <row r="24" spans="1:43" ht="24.75" hidden="1" customHeight="1" x14ac:dyDescent="0.25">
      <c r="A24" s="14" t="s">
        <v>83</v>
      </c>
      <c r="B24" s="23" t="s">
        <v>119</v>
      </c>
      <c r="C24" s="15" t="s">
        <v>94</v>
      </c>
      <c r="D24" s="16">
        <v>40</v>
      </c>
      <c r="E24" s="12" t="s">
        <v>32</v>
      </c>
      <c r="F24" s="19">
        <v>60</v>
      </c>
      <c r="G24" s="15" t="s">
        <v>95</v>
      </c>
      <c r="H24" s="15" t="s">
        <v>45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132</v>
      </c>
    </row>
    <row r="25" spans="1:43" ht="24.75" hidden="1" customHeight="1" x14ac:dyDescent="0.25">
      <c r="A25" s="14" t="s">
        <v>84</v>
      </c>
      <c r="B25" s="23" t="s">
        <v>120</v>
      </c>
      <c r="C25" s="15" t="s">
        <v>94</v>
      </c>
      <c r="D25" s="16">
        <v>41</v>
      </c>
      <c r="E25" s="12" t="s">
        <v>31</v>
      </c>
      <c r="F25" s="19">
        <v>57</v>
      </c>
      <c r="G25" s="15" t="s">
        <v>95</v>
      </c>
      <c r="H25" s="15" t="s">
        <v>45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132</v>
      </c>
    </row>
    <row r="26" spans="1:43" ht="24.75" hidden="1" customHeight="1" x14ac:dyDescent="0.25">
      <c r="A26" s="14" t="s">
        <v>136</v>
      </c>
      <c r="B26" s="23" t="s">
        <v>137</v>
      </c>
      <c r="C26" s="15" t="s">
        <v>94</v>
      </c>
      <c r="D26" s="16">
        <v>42</v>
      </c>
      <c r="E26" s="12" t="s">
        <v>33</v>
      </c>
      <c r="F26" s="19">
        <v>57</v>
      </c>
      <c r="G26" s="15" t="s">
        <v>95</v>
      </c>
      <c r="H26" s="15" t="s">
        <v>45</v>
      </c>
      <c r="I26" s="19">
        <v>50</v>
      </c>
      <c r="J26" s="19">
        <v>61</v>
      </c>
      <c r="K26" s="19">
        <v>21</v>
      </c>
      <c r="L26" s="19">
        <v>16</v>
      </c>
      <c r="M26" s="19">
        <v>125</v>
      </c>
      <c r="N26" s="19">
        <v>121</v>
      </c>
      <c r="O26" s="19">
        <v>130</v>
      </c>
      <c r="P26" s="19">
        <v>74</v>
      </c>
      <c r="Q26" s="19">
        <v>44</v>
      </c>
      <c r="R26" s="19">
        <v>50</v>
      </c>
      <c r="S26" s="19">
        <v>62</v>
      </c>
      <c r="T26" s="19">
        <v>20</v>
      </c>
      <c r="U26" s="19">
        <v>13</v>
      </c>
      <c r="V26" s="19">
        <v>31</v>
      </c>
      <c r="W26" s="19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9">
        <v>74</v>
      </c>
      <c r="AH26" s="19">
        <v>44</v>
      </c>
      <c r="AI26" s="19">
        <v>108</v>
      </c>
      <c r="AJ26" s="19">
        <v>125</v>
      </c>
      <c r="AK26" s="19">
        <v>76</v>
      </c>
      <c r="AL26" s="19">
        <v>39</v>
      </c>
      <c r="AM26" s="19">
        <v>27</v>
      </c>
      <c r="AN26" s="19">
        <v>22</v>
      </c>
      <c r="AO26" s="19">
        <v>99</v>
      </c>
      <c r="AP26" s="2">
        <v>2</v>
      </c>
      <c r="AQ26" t="s">
        <v>135</v>
      </c>
    </row>
    <row r="27" spans="1:43" ht="24.75" hidden="1" customHeight="1" x14ac:dyDescent="0.25">
      <c r="A27" s="14" t="s">
        <v>85</v>
      </c>
      <c r="B27" s="23" t="s">
        <v>123</v>
      </c>
      <c r="C27" s="15" t="s">
        <v>122</v>
      </c>
      <c r="D27" s="1">
        <v>42</v>
      </c>
      <c r="E27" s="12" t="s">
        <v>33</v>
      </c>
      <c r="F27" s="19">
        <v>57</v>
      </c>
      <c r="G27" s="15" t="s">
        <v>95</v>
      </c>
      <c r="H27" s="15" t="s">
        <v>45</v>
      </c>
      <c r="I27" s="19">
        <v>51</v>
      </c>
      <c r="J27" s="19">
        <v>62</v>
      </c>
      <c r="K27" s="19">
        <v>22</v>
      </c>
      <c r="L27" s="19">
        <v>16</v>
      </c>
      <c r="M27" s="19">
        <v>120</v>
      </c>
      <c r="N27" s="19">
        <v>118</v>
      </c>
      <c r="O27" s="19">
        <v>125</v>
      </c>
      <c r="P27" s="19">
        <v>74</v>
      </c>
      <c r="Q27" s="19">
        <v>47</v>
      </c>
      <c r="R27" s="19">
        <v>51</v>
      </c>
      <c r="S27" s="19">
        <v>63</v>
      </c>
      <c r="T27" s="19">
        <v>21</v>
      </c>
      <c r="U27" s="19">
        <v>13</v>
      </c>
      <c r="V27" s="19">
        <v>32</v>
      </c>
      <c r="W27" s="19">
        <v>30</v>
      </c>
      <c r="X27" s="1">
        <v>32</v>
      </c>
      <c r="Y27" s="1">
        <v>73</v>
      </c>
      <c r="Z27" s="1">
        <v>47</v>
      </c>
      <c r="AA27" s="1">
        <v>51</v>
      </c>
      <c r="AB27" s="1">
        <v>26</v>
      </c>
      <c r="AC27" s="1">
        <v>21</v>
      </c>
      <c r="AD27" s="1">
        <v>32</v>
      </c>
      <c r="AE27" s="1">
        <v>30</v>
      </c>
      <c r="AF27" s="1">
        <v>32</v>
      </c>
      <c r="AG27" s="19">
        <v>73</v>
      </c>
      <c r="AH27" s="19">
        <v>47</v>
      </c>
      <c r="AI27" s="19">
        <v>113</v>
      </c>
      <c r="AJ27" s="19">
        <v>120</v>
      </c>
      <c r="AK27" s="19">
        <v>75</v>
      </c>
      <c r="AL27" s="19">
        <v>38</v>
      </c>
      <c r="AM27" s="19">
        <v>28</v>
      </c>
      <c r="AN27" s="19">
        <v>23</v>
      </c>
      <c r="AO27" s="19">
        <v>95</v>
      </c>
      <c r="AP27" s="2">
        <v>1</v>
      </c>
      <c r="AQ27" t="s">
        <v>132</v>
      </c>
    </row>
    <row r="28" spans="1:43" ht="24.75" hidden="1" customHeight="1" x14ac:dyDescent="0.25">
      <c r="A28" s="14" t="s">
        <v>86</v>
      </c>
      <c r="B28" s="23" t="s">
        <v>124</v>
      </c>
      <c r="C28" s="15" t="s">
        <v>122</v>
      </c>
      <c r="D28" s="1">
        <v>40</v>
      </c>
      <c r="E28" s="12" t="s">
        <v>32</v>
      </c>
      <c r="F28" s="19">
        <v>57</v>
      </c>
      <c r="G28" s="15" t="s">
        <v>95</v>
      </c>
      <c r="H28" s="15" t="s">
        <v>45</v>
      </c>
      <c r="I28" s="19">
        <v>45</v>
      </c>
      <c r="J28" s="19">
        <v>59</v>
      </c>
      <c r="K28" s="19">
        <v>19</v>
      </c>
      <c r="L28" s="19">
        <v>14</v>
      </c>
      <c r="M28" s="19">
        <v>104</v>
      </c>
      <c r="N28" s="19">
        <v>96</v>
      </c>
      <c r="O28" s="19">
        <v>108</v>
      </c>
      <c r="P28" s="19">
        <v>76</v>
      </c>
      <c r="Q28" s="19">
        <v>42</v>
      </c>
      <c r="R28" s="19">
        <v>45</v>
      </c>
      <c r="S28" s="19">
        <v>60</v>
      </c>
      <c r="T28" s="19">
        <v>17</v>
      </c>
      <c r="U28" s="19">
        <v>13</v>
      </c>
      <c r="V28" s="19">
        <v>28</v>
      </c>
      <c r="W28" s="19">
        <v>26</v>
      </c>
      <c r="X28" s="1">
        <v>28</v>
      </c>
      <c r="Y28" s="1">
        <v>75</v>
      </c>
      <c r="Z28" s="1">
        <v>42</v>
      </c>
      <c r="AA28" s="1">
        <v>45</v>
      </c>
      <c r="AB28" s="1">
        <v>26</v>
      </c>
      <c r="AC28" s="1">
        <v>17</v>
      </c>
      <c r="AD28" s="1">
        <v>28</v>
      </c>
      <c r="AE28" s="1">
        <v>26</v>
      </c>
      <c r="AF28" s="1">
        <v>28</v>
      </c>
      <c r="AG28" s="19">
        <v>75</v>
      </c>
      <c r="AH28" s="19">
        <v>42</v>
      </c>
      <c r="AI28" s="19">
        <v>89</v>
      </c>
      <c r="AJ28" s="19">
        <v>100</v>
      </c>
      <c r="AK28" s="19">
        <v>68</v>
      </c>
      <c r="AL28" s="19">
        <v>34</v>
      </c>
      <c r="AM28" s="19">
        <v>26</v>
      </c>
      <c r="AN28" s="19">
        <v>21</v>
      </c>
      <c r="AO28" s="19">
        <v>104</v>
      </c>
      <c r="AP28" s="2">
        <v>1</v>
      </c>
      <c r="AQ28" t="s">
        <v>132</v>
      </c>
    </row>
    <row r="29" spans="1:43" ht="24.75" hidden="1" customHeight="1" x14ac:dyDescent="0.25">
      <c r="A29" s="14" t="s">
        <v>87</v>
      </c>
      <c r="B29" s="23" t="s">
        <v>125</v>
      </c>
      <c r="C29" s="15" t="s">
        <v>122</v>
      </c>
      <c r="D29" s="1">
        <v>41</v>
      </c>
      <c r="E29" s="12" t="s">
        <v>33</v>
      </c>
      <c r="F29" s="19">
        <v>57</v>
      </c>
      <c r="G29" s="15" t="s">
        <v>95</v>
      </c>
      <c r="H29" s="15" t="s">
        <v>45</v>
      </c>
      <c r="I29" s="19">
        <v>50</v>
      </c>
      <c r="J29" s="19">
        <v>62</v>
      </c>
      <c r="K29" s="19">
        <v>21</v>
      </c>
      <c r="L29" s="19">
        <v>16</v>
      </c>
      <c r="M29" s="19">
        <v>120</v>
      </c>
      <c r="N29" s="19">
        <v>114</v>
      </c>
      <c r="O29" s="19">
        <v>122</v>
      </c>
      <c r="P29" s="19">
        <v>72</v>
      </c>
      <c r="Q29" s="19">
        <v>46</v>
      </c>
      <c r="R29" s="19">
        <v>50</v>
      </c>
      <c r="S29" s="19">
        <v>63</v>
      </c>
      <c r="T29" s="19">
        <v>20</v>
      </c>
      <c r="U29" s="19">
        <v>13</v>
      </c>
      <c r="V29" s="19">
        <v>31</v>
      </c>
      <c r="W29" s="19">
        <v>29</v>
      </c>
      <c r="X29" s="1">
        <v>31</v>
      </c>
      <c r="Y29" s="1">
        <v>71</v>
      </c>
      <c r="Z29" s="1">
        <v>46</v>
      </c>
      <c r="AA29" s="1">
        <v>50</v>
      </c>
      <c r="AB29" s="1">
        <v>25</v>
      </c>
      <c r="AC29" s="1">
        <v>20</v>
      </c>
      <c r="AD29" s="1">
        <v>31</v>
      </c>
      <c r="AE29" s="1">
        <v>29</v>
      </c>
      <c r="AF29" s="1">
        <v>31</v>
      </c>
      <c r="AG29" s="1">
        <v>71</v>
      </c>
      <c r="AH29" s="19">
        <v>46</v>
      </c>
      <c r="AI29" s="19">
        <v>107</v>
      </c>
      <c r="AJ29" s="19">
        <v>118</v>
      </c>
      <c r="AK29" s="19">
        <v>73</v>
      </c>
      <c r="AL29" s="19">
        <v>37</v>
      </c>
      <c r="AM29" s="19">
        <v>26</v>
      </c>
      <c r="AN29" s="19">
        <v>20</v>
      </c>
      <c r="AO29" s="19">
        <v>95</v>
      </c>
      <c r="AP29" s="2">
        <v>1</v>
      </c>
      <c r="AQ29" t="s">
        <v>132</v>
      </c>
    </row>
    <row r="30" spans="1:43" ht="24.75" hidden="1" customHeight="1" x14ac:dyDescent="0.25">
      <c r="A30" s="14" t="s">
        <v>88</v>
      </c>
      <c r="B30" s="23" t="s">
        <v>126</v>
      </c>
      <c r="C30" s="15" t="s">
        <v>122</v>
      </c>
      <c r="D30" s="1">
        <v>46</v>
      </c>
      <c r="E30" s="12" t="s">
        <v>36</v>
      </c>
      <c r="F30" s="19">
        <v>60</v>
      </c>
      <c r="G30" s="15" t="s">
        <v>95</v>
      </c>
      <c r="H30" s="15" t="s">
        <v>45</v>
      </c>
      <c r="I30" s="19">
        <v>52</v>
      </c>
      <c r="J30" s="19">
        <v>65</v>
      </c>
      <c r="K30" s="19">
        <v>23</v>
      </c>
      <c r="L30" s="19">
        <v>16</v>
      </c>
      <c r="M30" s="19">
        <v>135</v>
      </c>
      <c r="N30" s="19">
        <v>135</v>
      </c>
      <c r="O30" s="19">
        <v>135</v>
      </c>
      <c r="P30" s="19">
        <v>80</v>
      </c>
      <c r="Q30" s="19">
        <v>48</v>
      </c>
      <c r="R30" s="19">
        <v>52</v>
      </c>
      <c r="S30" s="19">
        <v>66</v>
      </c>
      <c r="T30" s="19">
        <v>22</v>
      </c>
      <c r="U30" s="19">
        <v>13.5</v>
      </c>
      <c r="V30" s="19">
        <v>35</v>
      </c>
      <c r="W30" s="19">
        <v>35</v>
      </c>
      <c r="X30" s="1">
        <v>35</v>
      </c>
      <c r="Y30" s="1">
        <v>79</v>
      </c>
      <c r="Z30" s="1">
        <v>48</v>
      </c>
      <c r="AA30" s="1">
        <v>52</v>
      </c>
      <c r="AB30" s="1">
        <v>27</v>
      </c>
      <c r="AC30" s="1">
        <v>22</v>
      </c>
      <c r="AD30" s="1">
        <v>35</v>
      </c>
      <c r="AE30" s="1">
        <v>35</v>
      </c>
      <c r="AF30" s="1">
        <v>35</v>
      </c>
      <c r="AG30" s="1">
        <v>79</v>
      </c>
      <c r="AH30" s="19">
        <v>48</v>
      </c>
      <c r="AI30" s="19">
        <v>120</v>
      </c>
      <c r="AJ30" s="19">
        <v>132</v>
      </c>
      <c r="AK30" s="19">
        <v>78</v>
      </c>
      <c r="AL30" s="19">
        <v>40</v>
      </c>
      <c r="AM30" s="19">
        <v>30</v>
      </c>
      <c r="AN30" s="19">
        <v>23</v>
      </c>
      <c r="AO30" s="19">
        <v>108</v>
      </c>
      <c r="AP30" s="2">
        <v>1</v>
      </c>
      <c r="AQ30" t="s">
        <v>132</v>
      </c>
    </row>
    <row r="31" spans="1:43" ht="24.75" hidden="1" customHeight="1" x14ac:dyDescent="0.25">
      <c r="A31" s="14" t="s">
        <v>89</v>
      </c>
      <c r="B31" s="23" t="s">
        <v>127</v>
      </c>
      <c r="C31" s="15" t="s">
        <v>122</v>
      </c>
      <c r="D31" s="1">
        <v>41</v>
      </c>
      <c r="E31" s="12" t="s">
        <v>32</v>
      </c>
      <c r="F31" s="19">
        <v>55</v>
      </c>
      <c r="G31" s="15" t="s">
        <v>95</v>
      </c>
      <c r="H31" s="15" t="s">
        <v>45</v>
      </c>
      <c r="I31" s="19">
        <v>45</v>
      </c>
      <c r="J31" s="19">
        <v>59</v>
      </c>
      <c r="K31" s="19">
        <v>18</v>
      </c>
      <c r="L31" s="19">
        <v>14</v>
      </c>
      <c r="M31" s="19">
        <v>100</v>
      </c>
      <c r="N31" s="19">
        <v>94</v>
      </c>
      <c r="O31" s="19">
        <v>108</v>
      </c>
      <c r="P31" s="19">
        <v>69</v>
      </c>
      <c r="Q31" s="19">
        <v>41</v>
      </c>
      <c r="R31" s="19">
        <v>45</v>
      </c>
      <c r="S31" s="19">
        <v>60</v>
      </c>
      <c r="T31" s="19">
        <v>16</v>
      </c>
      <c r="U31" s="19">
        <v>12.5</v>
      </c>
      <c r="V31" s="19">
        <v>28</v>
      </c>
      <c r="W31" s="19">
        <v>26</v>
      </c>
      <c r="X31" s="1">
        <v>28</v>
      </c>
      <c r="Y31" s="1">
        <v>69</v>
      </c>
      <c r="Z31" s="1">
        <v>41</v>
      </c>
      <c r="AA31" s="1">
        <v>45</v>
      </c>
      <c r="AB31" s="1">
        <v>24</v>
      </c>
      <c r="AC31" s="1">
        <v>16</v>
      </c>
      <c r="AD31" s="1">
        <v>28</v>
      </c>
      <c r="AE31" s="1">
        <v>26</v>
      </c>
      <c r="AF31" s="1">
        <v>28</v>
      </c>
      <c r="AG31" s="19">
        <v>69</v>
      </c>
      <c r="AH31" s="19">
        <v>41</v>
      </c>
      <c r="AI31" s="19">
        <v>87</v>
      </c>
      <c r="AJ31" s="19">
        <v>105</v>
      </c>
      <c r="AK31" s="19">
        <v>67</v>
      </c>
      <c r="AL31" s="19">
        <v>33</v>
      </c>
      <c r="AM31" s="19">
        <v>26</v>
      </c>
      <c r="AN31" s="19">
        <v>20</v>
      </c>
      <c r="AO31" s="19">
        <v>95</v>
      </c>
      <c r="AP31" s="2">
        <v>1</v>
      </c>
      <c r="AQ31" t="s">
        <v>132</v>
      </c>
    </row>
    <row r="32" spans="1:43" ht="24.75" hidden="1" customHeight="1" x14ac:dyDescent="0.25">
      <c r="A32" s="14" t="s">
        <v>90</v>
      </c>
      <c r="B32" s="23" t="s">
        <v>128</v>
      </c>
      <c r="C32" s="15" t="s">
        <v>122</v>
      </c>
      <c r="D32" s="1">
        <v>40</v>
      </c>
      <c r="E32" s="12" t="s">
        <v>32</v>
      </c>
      <c r="F32" s="19">
        <v>54</v>
      </c>
      <c r="G32" s="15" t="s">
        <v>95</v>
      </c>
      <c r="H32" s="15" t="s">
        <v>45</v>
      </c>
      <c r="I32" s="19">
        <v>48</v>
      </c>
      <c r="J32" s="19">
        <v>55</v>
      </c>
      <c r="K32" s="19">
        <v>21</v>
      </c>
      <c r="L32" s="19">
        <v>15</v>
      </c>
      <c r="M32" s="19">
        <v>115</v>
      </c>
      <c r="N32" s="19">
        <v>110</v>
      </c>
      <c r="O32" s="19">
        <v>118</v>
      </c>
      <c r="P32" s="19">
        <v>68</v>
      </c>
      <c r="Q32" s="19">
        <v>46</v>
      </c>
      <c r="R32" s="19">
        <v>48</v>
      </c>
      <c r="S32" s="19">
        <v>56</v>
      </c>
      <c r="T32" s="19">
        <v>20</v>
      </c>
      <c r="U32" s="19">
        <v>13</v>
      </c>
      <c r="V32" s="19">
        <v>30</v>
      </c>
      <c r="W32" s="1">
        <v>28</v>
      </c>
      <c r="X32" s="1">
        <v>30</v>
      </c>
      <c r="Y32" s="1">
        <v>67</v>
      </c>
      <c r="Z32" s="1">
        <v>46</v>
      </c>
      <c r="AA32" s="1">
        <v>48</v>
      </c>
      <c r="AB32" s="1">
        <v>24</v>
      </c>
      <c r="AC32" s="1">
        <v>20</v>
      </c>
      <c r="AD32" s="1">
        <v>30</v>
      </c>
      <c r="AE32" s="1">
        <v>28</v>
      </c>
      <c r="AF32" s="19">
        <v>30</v>
      </c>
      <c r="AG32" s="19">
        <v>67</v>
      </c>
      <c r="AH32" s="19">
        <v>46</v>
      </c>
      <c r="AI32" s="19">
        <v>103</v>
      </c>
      <c r="AJ32" s="19">
        <v>115</v>
      </c>
      <c r="AK32" s="19">
        <v>71</v>
      </c>
      <c r="AL32" s="19">
        <v>36</v>
      </c>
      <c r="AM32" s="19">
        <v>27</v>
      </c>
      <c r="AN32" s="19">
        <v>22</v>
      </c>
      <c r="AO32" s="1">
        <v>92</v>
      </c>
      <c r="AP32" s="2">
        <v>1</v>
      </c>
      <c r="AQ32" t="s">
        <v>132</v>
      </c>
    </row>
    <row r="33" spans="1:43" ht="24.75" hidden="1" customHeight="1" x14ac:dyDescent="0.25">
      <c r="A33" s="14" t="s">
        <v>91</v>
      </c>
      <c r="B33" s="23" t="s">
        <v>129</v>
      </c>
      <c r="C33" s="15" t="s">
        <v>122</v>
      </c>
      <c r="D33" s="1">
        <v>40</v>
      </c>
      <c r="E33" s="12" t="s">
        <v>35</v>
      </c>
      <c r="F33" s="19">
        <v>54</v>
      </c>
      <c r="G33" s="15" t="s">
        <v>95</v>
      </c>
      <c r="H33" s="15" t="s">
        <v>45</v>
      </c>
      <c r="I33" s="19">
        <v>44</v>
      </c>
      <c r="J33" s="19">
        <v>60</v>
      </c>
      <c r="K33" s="19">
        <v>19</v>
      </c>
      <c r="L33" s="19">
        <v>14</v>
      </c>
      <c r="M33" s="19">
        <v>96</v>
      </c>
      <c r="N33" s="19">
        <v>88</v>
      </c>
      <c r="O33" s="19">
        <v>102</v>
      </c>
      <c r="P33" s="19">
        <v>70</v>
      </c>
      <c r="Q33" s="19">
        <v>40</v>
      </c>
      <c r="R33" s="19">
        <v>44</v>
      </c>
      <c r="S33" s="19">
        <v>60</v>
      </c>
      <c r="T33" s="19">
        <v>18</v>
      </c>
      <c r="U33" s="19">
        <v>12</v>
      </c>
      <c r="V33" s="19">
        <v>27</v>
      </c>
      <c r="W33" s="19">
        <v>24</v>
      </c>
      <c r="X33" s="1">
        <v>27</v>
      </c>
      <c r="Y33" s="1">
        <v>70</v>
      </c>
      <c r="Z33" s="1">
        <v>40</v>
      </c>
      <c r="AA33" s="1">
        <v>44</v>
      </c>
      <c r="AB33" s="1">
        <v>24</v>
      </c>
      <c r="AC33" s="1">
        <v>18</v>
      </c>
      <c r="AD33" s="1">
        <v>27</v>
      </c>
      <c r="AE33" s="1">
        <v>24</v>
      </c>
      <c r="AF33" s="1">
        <v>27</v>
      </c>
      <c r="AG33" s="19">
        <v>70</v>
      </c>
      <c r="AH33" s="19">
        <v>40</v>
      </c>
      <c r="AI33" s="19">
        <v>82</v>
      </c>
      <c r="AJ33" s="19">
        <v>100</v>
      </c>
      <c r="AK33" s="19">
        <v>64</v>
      </c>
      <c r="AL33" s="19">
        <v>31</v>
      </c>
      <c r="AM33" s="19">
        <v>24</v>
      </c>
      <c r="AN33" s="19">
        <v>20</v>
      </c>
      <c r="AO33" s="19">
        <v>98</v>
      </c>
      <c r="AP33" s="2">
        <v>1</v>
      </c>
      <c r="AQ33" t="s">
        <v>132</v>
      </c>
    </row>
    <row r="34" spans="1:43" ht="24.75" hidden="1" customHeight="1" x14ac:dyDescent="0.25">
      <c r="A34" s="14" t="s">
        <v>92</v>
      </c>
      <c r="B34" s="23" t="s">
        <v>130</v>
      </c>
      <c r="C34" s="15" t="s">
        <v>122</v>
      </c>
      <c r="D34" s="1">
        <v>42</v>
      </c>
      <c r="E34" s="12" t="s">
        <v>32</v>
      </c>
      <c r="F34" s="19">
        <v>57</v>
      </c>
      <c r="G34" s="15" t="s">
        <v>95</v>
      </c>
      <c r="H34" s="15" t="s">
        <v>45</v>
      </c>
      <c r="I34" s="19">
        <v>46</v>
      </c>
      <c r="J34" s="19">
        <v>60</v>
      </c>
      <c r="K34" s="19">
        <v>20</v>
      </c>
      <c r="L34" s="19">
        <v>15</v>
      </c>
      <c r="M34" s="19">
        <v>108</v>
      </c>
      <c r="N34" s="19">
        <v>102</v>
      </c>
      <c r="O34" s="19">
        <v>110</v>
      </c>
      <c r="P34" s="19">
        <v>72</v>
      </c>
      <c r="Q34" s="19">
        <v>43</v>
      </c>
      <c r="R34" s="19">
        <v>46</v>
      </c>
      <c r="S34" s="19">
        <v>61</v>
      </c>
      <c r="T34" s="19">
        <v>19</v>
      </c>
      <c r="U34" s="19">
        <v>13</v>
      </c>
      <c r="V34" s="19">
        <v>29</v>
      </c>
      <c r="W34" s="19">
        <v>27</v>
      </c>
      <c r="X34" s="1">
        <v>29</v>
      </c>
      <c r="Y34" s="1">
        <v>71</v>
      </c>
      <c r="Z34" s="1">
        <v>43</v>
      </c>
      <c r="AA34" s="1">
        <v>46</v>
      </c>
      <c r="AB34" s="1">
        <v>26</v>
      </c>
      <c r="AC34" s="1">
        <v>19</v>
      </c>
      <c r="AD34" s="1">
        <v>29</v>
      </c>
      <c r="AE34" s="1">
        <v>27</v>
      </c>
      <c r="AF34" s="1">
        <v>29</v>
      </c>
      <c r="AG34" s="19">
        <v>71</v>
      </c>
      <c r="AH34" s="19">
        <v>43</v>
      </c>
      <c r="AI34" s="19">
        <v>94</v>
      </c>
      <c r="AJ34" s="19">
        <v>107</v>
      </c>
      <c r="AK34" s="19">
        <v>68</v>
      </c>
      <c r="AL34" s="19">
        <v>34</v>
      </c>
      <c r="AM34" s="19">
        <v>27</v>
      </c>
      <c r="AN34" s="19">
        <v>22</v>
      </c>
      <c r="AO34" s="19">
        <v>104</v>
      </c>
      <c r="AP34" s="2">
        <v>1</v>
      </c>
      <c r="AQ34" t="s">
        <v>132</v>
      </c>
    </row>
    <row r="35" spans="1:43" ht="24.75" hidden="1" customHeight="1" x14ac:dyDescent="0.25">
      <c r="A35" s="14" t="s">
        <v>93</v>
      </c>
      <c r="B35" s="23" t="s">
        <v>131</v>
      </c>
      <c r="C35" s="15" t="s">
        <v>122</v>
      </c>
      <c r="D35" s="1">
        <v>41</v>
      </c>
      <c r="E35" s="12" t="s">
        <v>36</v>
      </c>
      <c r="F35" s="19">
        <v>57</v>
      </c>
      <c r="G35" s="15" t="s">
        <v>95</v>
      </c>
      <c r="H35" s="15" t="s">
        <v>45</v>
      </c>
      <c r="I35" s="19">
        <v>50</v>
      </c>
      <c r="J35" s="19">
        <v>61</v>
      </c>
      <c r="K35" s="19">
        <v>21</v>
      </c>
      <c r="L35" s="19">
        <v>15</v>
      </c>
      <c r="M35" s="19">
        <v>116</v>
      </c>
      <c r="N35" s="19">
        <v>110</v>
      </c>
      <c r="O35" s="19">
        <v>122</v>
      </c>
      <c r="P35" s="19">
        <v>75</v>
      </c>
      <c r="Q35" s="19">
        <v>46</v>
      </c>
      <c r="R35" s="19">
        <v>50</v>
      </c>
      <c r="S35" s="19">
        <v>62</v>
      </c>
      <c r="T35" s="19">
        <v>20</v>
      </c>
      <c r="U35" s="19">
        <v>13</v>
      </c>
      <c r="V35" s="19">
        <v>30</v>
      </c>
      <c r="W35" s="19">
        <v>28</v>
      </c>
      <c r="X35" s="1">
        <v>30</v>
      </c>
      <c r="Y35" s="1">
        <v>74</v>
      </c>
      <c r="Z35" s="1">
        <v>46</v>
      </c>
      <c r="AA35" s="1">
        <v>50</v>
      </c>
      <c r="AB35" s="1">
        <v>24</v>
      </c>
      <c r="AC35" s="1">
        <v>20</v>
      </c>
      <c r="AD35" s="1">
        <v>30</v>
      </c>
      <c r="AE35" s="1">
        <v>28</v>
      </c>
      <c r="AF35" s="1">
        <v>30</v>
      </c>
      <c r="AG35" s="19">
        <v>74</v>
      </c>
      <c r="AH35" s="19">
        <v>46</v>
      </c>
      <c r="AI35" s="19">
        <v>102</v>
      </c>
      <c r="AJ35" s="19">
        <v>120</v>
      </c>
      <c r="AK35" s="19">
        <v>78</v>
      </c>
      <c r="AL35" s="19">
        <v>37</v>
      </c>
      <c r="AM35" s="19">
        <v>26</v>
      </c>
      <c r="AN35" s="19">
        <v>22</v>
      </c>
      <c r="AO35" s="19">
        <v>95</v>
      </c>
      <c r="AP35" s="2">
        <v>1</v>
      </c>
      <c r="AQ35" t="s">
        <v>132</v>
      </c>
    </row>
    <row r="36" spans="1:43" ht="24.75" hidden="1" customHeight="1" x14ac:dyDescent="0.25">
      <c r="A36" s="14" t="s">
        <v>133</v>
      </c>
      <c r="B36" s="2" t="s">
        <v>134</v>
      </c>
      <c r="C36" s="15" t="s">
        <v>122</v>
      </c>
      <c r="D36" s="1">
        <v>41</v>
      </c>
      <c r="E36" s="12" t="s">
        <v>32</v>
      </c>
      <c r="F36" s="19">
        <v>55</v>
      </c>
      <c r="G36" s="15" t="s">
        <v>95</v>
      </c>
      <c r="H36" s="15" t="s">
        <v>45</v>
      </c>
      <c r="I36" s="19">
        <v>44</v>
      </c>
      <c r="J36" s="19">
        <v>61</v>
      </c>
      <c r="K36" s="19">
        <v>19</v>
      </c>
      <c r="L36" s="19">
        <v>14</v>
      </c>
      <c r="M36" s="19">
        <v>94</v>
      </c>
      <c r="N36" s="19">
        <v>88</v>
      </c>
      <c r="O36" s="19">
        <v>102</v>
      </c>
      <c r="P36" s="19">
        <v>69</v>
      </c>
      <c r="Q36" s="19">
        <v>42</v>
      </c>
      <c r="R36" s="19">
        <v>44</v>
      </c>
      <c r="S36" s="19">
        <v>62</v>
      </c>
      <c r="T36" s="19">
        <v>16</v>
      </c>
      <c r="U36" s="19">
        <v>12</v>
      </c>
      <c r="V36" s="19">
        <v>27</v>
      </c>
      <c r="W36" s="19">
        <v>24</v>
      </c>
      <c r="X36" s="1">
        <v>27</v>
      </c>
      <c r="Y36" s="1">
        <v>69</v>
      </c>
      <c r="Z36" s="1">
        <v>42</v>
      </c>
      <c r="AA36" s="1">
        <v>44</v>
      </c>
      <c r="AB36" s="1">
        <v>26</v>
      </c>
      <c r="AC36" s="1">
        <v>16</v>
      </c>
      <c r="AD36" s="1">
        <v>27</v>
      </c>
      <c r="AE36" s="1">
        <v>24</v>
      </c>
      <c r="AF36" s="1">
        <v>27</v>
      </c>
      <c r="AG36" s="19">
        <v>69</v>
      </c>
      <c r="AH36" s="19">
        <v>42</v>
      </c>
      <c r="AI36" s="19">
        <v>80</v>
      </c>
      <c r="AJ36" s="19">
        <v>100</v>
      </c>
      <c r="AK36" s="19">
        <v>64</v>
      </c>
      <c r="AL36" s="19">
        <v>32</v>
      </c>
      <c r="AM36" s="19">
        <v>24</v>
      </c>
      <c r="AN36" s="19">
        <v>20</v>
      </c>
      <c r="AO36" s="19">
        <v>95</v>
      </c>
      <c r="AP36" s="2">
        <v>2</v>
      </c>
      <c r="AQ36" s="2" t="s">
        <v>135</v>
      </c>
    </row>
  </sheetData>
  <autoFilter ref="A1:AT36" xr:uid="{00000000-0001-0000-0000-000000000000}">
    <filterColumn colId="7">
      <filters>
        <filter val="WANITA"/>
      </filters>
    </filterColumn>
  </autoFilter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138</v>
      </c>
      <c r="G3" t="s">
        <v>43</v>
      </c>
      <c r="H3" t="s">
        <v>42</v>
      </c>
      <c r="K3" s="24" t="s">
        <v>138</v>
      </c>
      <c r="M3" s="1" t="s">
        <v>43</v>
      </c>
      <c r="N3" t="s">
        <v>42</v>
      </c>
      <c r="Q3" s="24" t="s">
        <v>138</v>
      </c>
    </row>
    <row r="4" spans="1:18" ht="15.75" x14ac:dyDescent="0.25">
      <c r="A4" s="1" t="s">
        <v>32</v>
      </c>
      <c r="B4">
        <f>COUNTIF(SEMUA!$E$2:$E$50,REKAP!A4)</f>
        <v>12</v>
      </c>
      <c r="C4">
        <v>3</v>
      </c>
      <c r="D4">
        <f>SUM(B4:C4)</f>
        <v>15</v>
      </c>
      <c r="E4" s="24">
        <v>25</v>
      </c>
      <c r="G4">
        <v>37</v>
      </c>
      <c r="H4">
        <f>COUNTIF(SEMUA!$D$1:$D$50,G4)</f>
        <v>0</v>
      </c>
      <c r="J4">
        <f>SUM(H4:I4)</f>
        <v>0</v>
      </c>
      <c r="K4" s="24">
        <v>0</v>
      </c>
      <c r="M4" s="8">
        <v>53</v>
      </c>
      <c r="N4">
        <f>COUNTIF(SEMUA!$F$2:$F$50,M4)</f>
        <v>1</v>
      </c>
      <c r="P4">
        <f>SUM(N4:O4)</f>
        <v>1</v>
      </c>
      <c r="Q4" s="24">
        <v>1</v>
      </c>
    </row>
    <row r="5" spans="1:18" ht="15.75" x14ac:dyDescent="0.25">
      <c r="A5" s="7" t="s">
        <v>31</v>
      </c>
      <c r="B5">
        <f>COUNTIF(SEMUA!$E$2:$E$50,REKAP!A5)</f>
        <v>7</v>
      </c>
      <c r="C5">
        <v>5</v>
      </c>
      <c r="D5">
        <f t="shared" ref="D5:D10" si="0">SUM(B5:C5)</f>
        <v>12</v>
      </c>
      <c r="E5" s="24">
        <v>16</v>
      </c>
      <c r="G5">
        <v>38</v>
      </c>
      <c r="H5">
        <f>COUNTIF(SEMUA!$D$1:$D$50,G5)</f>
        <v>1</v>
      </c>
      <c r="J5">
        <v>1</v>
      </c>
      <c r="K5" s="24">
        <v>0</v>
      </c>
      <c r="M5" s="8">
        <v>54</v>
      </c>
      <c r="N5">
        <f>COUNTIF(SEMUA!$F$2:$F$50,M5)</f>
        <v>3</v>
      </c>
      <c r="O5">
        <v>2</v>
      </c>
      <c r="P5">
        <f t="shared" ref="P5:P11" si="1">SUM(N5:O5)</f>
        <v>5</v>
      </c>
      <c r="Q5" s="24">
        <v>5</v>
      </c>
    </row>
    <row r="6" spans="1:18" ht="15.75" x14ac:dyDescent="0.25">
      <c r="A6" s="7" t="s">
        <v>35</v>
      </c>
      <c r="B6">
        <f>COUNTIF(SEMUA!$E$2:$E$50,REKAP!A6)</f>
        <v>2</v>
      </c>
      <c r="C6">
        <v>1</v>
      </c>
      <c r="D6">
        <f t="shared" si="0"/>
        <v>3</v>
      </c>
      <c r="E6" s="24">
        <v>4</v>
      </c>
      <c r="G6" s="8">
        <v>39</v>
      </c>
      <c r="H6">
        <f>COUNTIF(SEMUA!$D$1:$D$50,G6)</f>
        <v>0</v>
      </c>
      <c r="I6">
        <v>3</v>
      </c>
      <c r="J6">
        <f t="shared" ref="J6:J13" si="2">SUM(H6:I6)</f>
        <v>3</v>
      </c>
      <c r="K6" s="24">
        <v>3</v>
      </c>
      <c r="M6" s="8">
        <v>55</v>
      </c>
      <c r="N6">
        <f>COUNTIF(SEMUA!$F$2:$F$50,M6)</f>
        <v>4</v>
      </c>
      <c r="O6">
        <v>1</v>
      </c>
      <c r="P6">
        <f t="shared" si="1"/>
        <v>5</v>
      </c>
      <c r="Q6" s="24"/>
    </row>
    <row r="7" spans="1:18" ht="15.75" x14ac:dyDescent="0.25">
      <c r="A7" s="7" t="s">
        <v>34</v>
      </c>
      <c r="B7">
        <f>COUNTIF(SEMUA!$E$2:$E$50,REKAP!A7)</f>
        <v>8</v>
      </c>
      <c r="C7">
        <v>7</v>
      </c>
      <c r="D7">
        <f t="shared" si="0"/>
        <v>15</v>
      </c>
      <c r="E7" s="24">
        <v>24</v>
      </c>
      <c r="G7" s="8">
        <v>40</v>
      </c>
      <c r="H7">
        <f>COUNTIF(SEMUA!$D$1:$D$50,G7)</f>
        <v>12</v>
      </c>
      <c r="I7">
        <v>3</v>
      </c>
      <c r="J7">
        <f t="shared" si="2"/>
        <v>15</v>
      </c>
      <c r="K7" s="24">
        <v>22</v>
      </c>
      <c r="M7" s="8">
        <v>56</v>
      </c>
      <c r="N7">
        <f>COUNTIF(SEMUA!$F$2:$F$50,M7)</f>
        <v>5</v>
      </c>
      <c r="O7">
        <v>7</v>
      </c>
      <c r="P7">
        <f t="shared" si="1"/>
        <v>12</v>
      </c>
      <c r="Q7" s="24">
        <v>10</v>
      </c>
    </row>
    <row r="8" spans="1:18" ht="15.75" x14ac:dyDescent="0.25">
      <c r="A8" s="7" t="s">
        <v>33</v>
      </c>
      <c r="B8">
        <f>COUNTIF(SEMUA!$E$2:$E$50,REKAP!A8)</f>
        <v>4</v>
      </c>
      <c r="C8">
        <v>3</v>
      </c>
      <c r="D8">
        <f t="shared" si="0"/>
        <v>7</v>
      </c>
      <c r="E8" s="24">
        <v>11</v>
      </c>
      <c r="G8" s="8">
        <v>41</v>
      </c>
      <c r="H8">
        <f>COUNTIF(SEMUA!$D$1:$D$50,G8)</f>
        <v>9</v>
      </c>
      <c r="I8">
        <v>5</v>
      </c>
      <c r="J8">
        <f t="shared" si="2"/>
        <v>14</v>
      </c>
      <c r="K8" s="24">
        <v>23</v>
      </c>
      <c r="M8" s="8">
        <v>57</v>
      </c>
      <c r="N8">
        <f>COUNTIF(SEMUA!$F$2:$F$50,M8)</f>
        <v>16</v>
      </c>
      <c r="O8">
        <v>1</v>
      </c>
      <c r="P8">
        <f t="shared" si="1"/>
        <v>17</v>
      </c>
      <c r="Q8" s="24">
        <v>10</v>
      </c>
    </row>
    <row r="9" spans="1:18" ht="15.75" x14ac:dyDescent="0.25">
      <c r="A9" s="7" t="s">
        <v>36</v>
      </c>
      <c r="B9">
        <f>COUNTIF(SEMUA!$E$2:$E$50,REKAP!A9)</f>
        <v>2</v>
      </c>
      <c r="D9">
        <f t="shared" si="0"/>
        <v>2</v>
      </c>
      <c r="E9" s="24">
        <v>4</v>
      </c>
      <c r="G9" s="8">
        <v>42</v>
      </c>
      <c r="H9">
        <f>COUNTIF(SEMUA!$D$1:$D$50,G9)</f>
        <v>7</v>
      </c>
      <c r="I9">
        <v>2</v>
      </c>
      <c r="J9">
        <f t="shared" si="2"/>
        <v>9</v>
      </c>
      <c r="K9" s="24">
        <v>10</v>
      </c>
      <c r="M9" s="8">
        <v>58</v>
      </c>
      <c r="N9">
        <f>COUNTIF(SEMUA!$F$2:$F$50,M9)</f>
        <v>3</v>
      </c>
      <c r="O9">
        <v>6</v>
      </c>
      <c r="P9">
        <f t="shared" si="1"/>
        <v>9</v>
      </c>
      <c r="Q9" s="24">
        <v>9</v>
      </c>
    </row>
    <row r="10" spans="1:18" ht="15.75" x14ac:dyDescent="0.25">
      <c r="A10" s="7" t="s">
        <v>37</v>
      </c>
      <c r="B10">
        <f>COUNTIF(SEMUA!$E$2:$E$50,REKAP!A10)</f>
        <v>0</v>
      </c>
      <c r="D10">
        <f t="shared" si="0"/>
        <v>0</v>
      </c>
      <c r="E10" s="24">
        <v>1</v>
      </c>
      <c r="G10" s="8">
        <v>43</v>
      </c>
      <c r="H10">
        <f>COUNTIF(SEMUA!$D$1:$D$50,G10)</f>
        <v>4</v>
      </c>
      <c r="I10">
        <v>5</v>
      </c>
      <c r="J10">
        <f t="shared" si="2"/>
        <v>9</v>
      </c>
      <c r="K10" s="24">
        <v>10</v>
      </c>
      <c r="M10" s="8">
        <v>59</v>
      </c>
      <c r="N10">
        <f>COUNTIF(SEMUA!$F$2:$F$50,M10)</f>
        <v>0</v>
      </c>
      <c r="P10">
        <f t="shared" si="1"/>
        <v>0</v>
      </c>
      <c r="Q10" s="24"/>
    </row>
    <row r="11" spans="1:18" ht="15.75" x14ac:dyDescent="0.25">
      <c r="A11" s="9" t="s">
        <v>44</v>
      </c>
      <c r="B11" s="10">
        <f>SUM(B4:B10)</f>
        <v>35</v>
      </c>
      <c r="C11" s="10"/>
      <c r="D11" s="10">
        <f>SUM(D4:D10)</f>
        <v>54</v>
      </c>
      <c r="E11" s="25">
        <f>SUM(E4:E10)</f>
        <v>85</v>
      </c>
      <c r="F11" s="10"/>
      <c r="G11" s="8">
        <v>44</v>
      </c>
      <c r="H11">
        <f>COUNTIF(SEMUA!$D$1:$D$50,G11)</f>
        <v>0</v>
      </c>
      <c r="J11">
        <f t="shared" si="2"/>
        <v>0</v>
      </c>
      <c r="K11" s="24">
        <v>1</v>
      </c>
      <c r="M11" s="1">
        <v>60</v>
      </c>
      <c r="N11">
        <f>COUNTIF(SEMUA!$F$2:$F$50,M11)</f>
        <v>3</v>
      </c>
      <c r="O11">
        <v>2</v>
      </c>
      <c r="P11">
        <f t="shared" si="1"/>
        <v>5</v>
      </c>
      <c r="Q11" s="24">
        <v>5</v>
      </c>
    </row>
    <row r="12" spans="1:18" ht="15.75" x14ac:dyDescent="0.25">
      <c r="G12" s="8">
        <v>45</v>
      </c>
      <c r="H12">
        <f>COUNTIF(SEMUA!$D$1:$D$50,G12)</f>
        <v>1</v>
      </c>
      <c r="I12">
        <v>1</v>
      </c>
      <c r="J12">
        <f t="shared" si="2"/>
        <v>2</v>
      </c>
      <c r="K12" s="24">
        <v>0</v>
      </c>
      <c r="N12">
        <f>SUM(N4:N11)</f>
        <v>35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COUNTIF(SEMUA!$D$1:$D$50,G13)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35</v>
      </c>
      <c r="I14">
        <f>SUM(I4:I13)</f>
        <v>19</v>
      </c>
      <c r="K14" s="24">
        <f>SUM(K4:K13)</f>
        <v>70</v>
      </c>
      <c r="P14" t="s">
        <v>139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2021-07-22T02:29:52Z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