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3012BCB5-1D08-4349-9280-EA4E59F63F1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<sst xmlns="http://schemas.openxmlformats.org/spreadsheetml/2006/main" count="280" uniqueCount="126">
  <si>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</si>
  <si>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</si>
  <si>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</si>
  <si>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</si>
  <si>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</si>
  <si>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</si>
  <si>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</si>
  <si>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</si>
  <si>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</si>
  <si>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</si>
  <si>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</si>
  <si>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</si>
  <si>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</si>
  <si>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</si>
  <si>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</si>
  <si>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</si>
  <si>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</si>
  <si>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</si>
  <si>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</si>
  <si>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</si>
  <si>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</si>
  <si>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</si>
  <si>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</si>
  <si>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</si>
  <si>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</si>
  <si>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</si>
  <si>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</si>
  <si>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</si>
  <si>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</si>
  <si>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</si>
  <si>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</si>
  <si>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</si>
  <si>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</si>
  <si>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</si>
  <si>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</si>
  <si>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</si>
  <si>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</si>
  <si>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</si>
  <si>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</si>
  <si>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</si>
  <si>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</si>
  <si>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</si>
  <si>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</si>
  <si>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</si>
  <si>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</si>
  <si>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</si>
  <si>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</si>
  <si>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</si>
  <si>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</si>
  <si>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</si>
  <si>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</si>
  <si>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</si>
  <si>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</si>
  <si>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</si>
  <si>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</si>
  <si>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</si>
  <si>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</si>
  <si>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</si>
  <si>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</si>
  <si>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</si>
  <si>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</si>
  <si>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</si>
  <si>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</si>
  <si>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</si>
  <si>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</si>
  <si>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</si>
  <si>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</si>
  <si>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</si>
  <si>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</si>
  <si>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</si>
  <si>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</si>
  <si>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</si>
  <si>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</si>
  <si>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</si>
  <si>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</si>
  <si>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</si>
  <si>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</si>
  <si>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</si>
  <si>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</si>
  <si>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</si>
  <si>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</si>
  <si>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</si>
  <si>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</si>
  <si>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</si>
  <si>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</si>
  <si>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</si>
  <si>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</si>
  <si>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</si>
  <si>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</si>
  <si>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</si>
  <si>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</si>
  <si>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</si>
  <si>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</si>
  <si>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</si>
  <si>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</si>
  <si>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</si>
  <si>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</si>
  <si>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</si>
  <si>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</si>
  <si>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</si>
  <si>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</si>
  <si>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</si>
  <si>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</si>
  <si>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</si>
  <si>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</si>
  <si>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</si>
  <si>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</si>
  <si>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</si>
  <si>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</si>
  <si>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</si>
  <si>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</si>
  <si>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</si>
  <si>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</si>
  <si>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</si>
  <si>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</si>
  <si>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</si>
  <si>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</si>
  <si>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</si>
  <si>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</si>
  <si>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</si>
  <si>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DOUBEL DGN K7</t>
  </si>
  <si>
    <t>STREP 3</t>
  </si>
  <si>
    <t>YOSEP KAROHO</t>
  </si>
  <si>
    <t>8 nov</t>
  </si>
  <si>
    <t>AWALNYA DI DP 2 NAUTIKA 18</t>
  </si>
  <si>
    <t>15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</si>
</sst>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 indent="1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49" fontId="15" fillId="9" borderId="2" xfId="0" applyNumberFormat="1" applyFont="1" applyFill="1" applyBorder="1" applyAlignment="1">
      <alignment horizontal="center" vertical="center" wrapText="1"/>
    </xf>
    <xf numFmtId="49" fontId="22" fillId="9" borderId="0" xfId="0" applyNumberFormat="1" applyFont="1" applyFill="1" applyAlignment="1">
      <alignment horizontal="center" vertic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15" fillId="9" borderId="0" xfId="0" quotePrefix="1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zoomScale="55" zoomScaleNormal="55" workbookViewId="0">
      <pane ySplit="1" topLeftCell="A2" activePane="bottomLeft" state="frozen"/>
      <selection pane="bottomLeft" activeCell="AM21" sqref="AM2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81</v>
      </c>
      <c r="C2" s="29" t="s">
        <v>82</v>
      </c>
      <c r="D2" s="20">
        <v>43</v>
      </c>
      <c r="E2" s="19" t="s">
        <v>32</v>
      </c>
      <c r="F2" s="19">
        <v>54</v>
      </c>
      <c r="G2" s="14" t="s">
        <v>83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94</v>
      </c>
      <c r="AR2" s="4"/>
      <c r="AS2" s="35" t="s">
        <v>123</v>
      </c>
      <c r="AT2" s="35" t="s">
        <v>123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84</v>
      </c>
      <c r="C3" s="29" t="s">
        <v>82</v>
      </c>
      <c r="D3" s="20">
        <v>40</v>
      </c>
      <c r="E3" s="10" t="s">
        <v>32</v>
      </c>
      <c r="F3" s="3">
        <v>55</v>
      </c>
      <c r="G3" s="23" t="s">
        <v>83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94</v>
      </c>
      <c r="AR3" s="4"/>
      <c r="AS3" s="35" t="s">
        <v>123</v>
      </c>
      <c r="AT3" s="35" t="s">
        <v>123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85</v>
      </c>
      <c r="C4" s="29" t="s">
        <v>82</v>
      </c>
      <c r="D4" s="20">
        <v>40</v>
      </c>
      <c r="E4" s="19" t="s">
        <v>31</v>
      </c>
      <c r="F4" s="37">
        <v>58</v>
      </c>
      <c r="G4" s="23" t="s">
        <v>83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94</v>
      </c>
      <c r="AR4" s="4"/>
      <c r="AS4" s="35" t="s">
        <v>123</v>
      </c>
      <c r="AT4" s="35" t="s">
        <v>123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86</v>
      </c>
      <c r="C5" s="29" t="s">
        <v>82</v>
      </c>
      <c r="D5" s="20">
        <v>39</v>
      </c>
      <c r="E5" s="19" t="s">
        <v>31</v>
      </c>
      <c r="F5" s="37">
        <v>53</v>
      </c>
      <c r="G5" s="23" t="s">
        <v>83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94</v>
      </c>
      <c r="AR5" s="4"/>
      <c r="AS5" s="35" t="s">
        <v>123</v>
      </c>
      <c r="AT5" s="35" t="s">
        <v>123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87</v>
      </c>
      <c r="C6" s="29" t="s">
        <v>82</v>
      </c>
      <c r="D6" s="20">
        <v>44</v>
      </c>
      <c r="E6" s="19" t="s">
        <v>33</v>
      </c>
      <c r="F6" s="37">
        <v>59</v>
      </c>
      <c r="G6" s="23" t="s">
        <v>83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94</v>
      </c>
      <c r="AR6" s="4"/>
      <c r="AS6" s="35" t="s">
        <v>123</v>
      </c>
      <c r="AT6" s="35" t="s">
        <v>123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88</v>
      </c>
      <c r="C7" s="29" t="s">
        <v>82</v>
      </c>
      <c r="D7" s="20">
        <v>41</v>
      </c>
      <c r="E7" s="21" t="s">
        <v>32</v>
      </c>
      <c r="F7" s="21">
        <v>57</v>
      </c>
      <c r="G7" s="23" t="s">
        <v>83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94</v>
      </c>
      <c r="AR7" s="4"/>
      <c r="AS7" s="35" t="s">
        <v>123</v>
      </c>
      <c r="AT7" s="35" t="s">
        <v>123</v>
      </c>
    </row>
    <row r="8" spans="1:1013" ht="30" customHeight="1" x14ac:dyDescent="0.25">
      <c r="A8" s="19" t="s">
        <v>69</v>
      </c>
      <c r="B8" s="25" t="s">
        <v>90</v>
      </c>
      <c r="C8" s="29" t="s">
        <v>82</v>
      </c>
      <c r="D8" s="20">
        <v>40</v>
      </c>
      <c r="E8" s="21" t="s">
        <v>32</v>
      </c>
      <c r="F8" s="21">
        <v>56</v>
      </c>
      <c r="G8" s="23" t="s">
        <v>83</v>
      </c>
      <c r="H8" s="23" t="s">
        <v>45</v>
      </c>
      <c r="I8" s="38">
        <v>44</v>
      </c>
      <c r="J8" s="38">
        <v>57</v>
      </c>
      <c r="K8" s="38">
        <v>18</v>
      </c>
      <c r="L8" s="38">
        <v>14</v>
      </c>
      <c r="M8" s="38">
        <v>96</v>
      </c>
      <c r="N8" s="38">
        <v>89</v>
      </c>
      <c r="O8" s="38">
        <v>104</v>
      </c>
      <c r="P8" s="38">
        <v>71</v>
      </c>
      <c r="Q8" s="38">
        <v>40</v>
      </c>
      <c r="R8" s="38">
        <v>44</v>
      </c>
      <c r="S8" s="38">
        <v>58</v>
      </c>
      <c r="T8" s="38">
        <v>16</v>
      </c>
      <c r="U8" s="3">
        <v>12</v>
      </c>
      <c r="V8" s="38">
        <v>27</v>
      </c>
      <c r="W8" s="38">
        <v>25</v>
      </c>
      <c r="X8" s="38">
        <v>27</v>
      </c>
      <c r="Y8" s="38">
        <v>71</v>
      </c>
      <c r="Z8" s="38">
        <v>40</v>
      </c>
      <c r="AA8" s="38">
        <v>44</v>
      </c>
      <c r="AB8" s="3">
        <v>23</v>
      </c>
      <c r="AC8" s="38">
        <v>16</v>
      </c>
      <c r="AD8" s="38">
        <v>27</v>
      </c>
      <c r="AE8" s="38">
        <v>25</v>
      </c>
      <c r="AF8" s="38">
        <v>27</v>
      </c>
      <c r="AG8" s="38">
        <v>71</v>
      </c>
      <c r="AH8" s="15">
        <v>40</v>
      </c>
      <c r="AI8" s="38">
        <v>81</v>
      </c>
      <c r="AJ8" s="36">
        <v>101</v>
      </c>
      <c r="AK8" s="36">
        <v>65</v>
      </c>
      <c r="AL8" s="36">
        <v>31</v>
      </c>
      <c r="AM8" s="15">
        <v>24</v>
      </c>
      <c r="AN8" s="15">
        <v>19</v>
      </c>
      <c r="AO8" s="15">
        <v>93</v>
      </c>
      <c r="AP8" s="2">
        <v>1</v>
      </c>
      <c r="AQ8" s="34" t="s">
        <v>94</v>
      </c>
      <c r="AS8" s="35" t="s">
        <v>123</v>
      </c>
      <c r="AT8" s="35" t="s">
        <v>123</v>
      </c>
    </row>
    <row r="9" spans="1:1013" ht="30" customHeight="1" x14ac:dyDescent="0.25">
      <c r="A9" s="29" t="s">
        <v>70</v>
      </c>
      <c r="B9" s="25" t="s">
        <v>91</v>
      </c>
      <c r="C9" s="29" t="s">
        <v>82</v>
      </c>
      <c r="D9" s="20">
        <v>41</v>
      </c>
      <c r="E9" s="21" t="s">
        <v>32</v>
      </c>
      <c r="F9" s="21">
        <v>57</v>
      </c>
      <c r="G9" s="23" t="s">
        <v>83</v>
      </c>
      <c r="H9" s="23" t="s">
        <v>45</v>
      </c>
      <c r="I9" s="38">
        <v>46</v>
      </c>
      <c r="J9" s="38">
        <v>59</v>
      </c>
      <c r="K9" s="38">
        <v>19</v>
      </c>
      <c r="L9" s="38">
        <v>14</v>
      </c>
      <c r="M9" s="38">
        <v>101</v>
      </c>
      <c r="N9" s="38">
        <v>95</v>
      </c>
      <c r="O9" s="38">
        <v>109</v>
      </c>
      <c r="P9" s="38">
        <v>69</v>
      </c>
      <c r="Q9" s="38">
        <v>40</v>
      </c>
      <c r="R9" s="38">
        <v>46</v>
      </c>
      <c r="S9" s="38">
        <v>60</v>
      </c>
      <c r="T9" s="38">
        <v>17</v>
      </c>
      <c r="U9" s="38">
        <v>13</v>
      </c>
      <c r="V9" s="38">
        <v>27</v>
      </c>
      <c r="W9" s="38">
        <v>27</v>
      </c>
      <c r="X9" s="38">
        <v>27</v>
      </c>
      <c r="Y9" s="38">
        <v>69</v>
      </c>
      <c r="Z9" s="38">
        <v>40</v>
      </c>
      <c r="AA9" s="38">
        <v>46</v>
      </c>
      <c r="AB9" s="38">
        <v>24</v>
      </c>
      <c r="AC9" s="38">
        <v>17</v>
      </c>
      <c r="AD9" s="38">
        <v>27</v>
      </c>
      <c r="AE9" s="38">
        <v>27</v>
      </c>
      <c r="AF9" s="38">
        <v>27</v>
      </c>
      <c r="AG9" s="38">
        <v>69</v>
      </c>
      <c r="AH9" s="38">
        <v>40</v>
      </c>
      <c r="AI9" s="38">
        <v>86</v>
      </c>
      <c r="AJ9" s="38">
        <v>105</v>
      </c>
      <c r="AK9" s="38">
        <v>67</v>
      </c>
      <c r="AL9" s="38">
        <v>33</v>
      </c>
      <c r="AM9" s="38">
        <v>24</v>
      </c>
      <c r="AN9" s="38">
        <v>20</v>
      </c>
      <c r="AO9" s="38">
        <v>95</v>
      </c>
      <c r="AP9" s="2">
        <v>1</v>
      </c>
      <c r="AQ9" s="34" t="s">
        <v>94</v>
      </c>
      <c r="AR9" s="4"/>
      <c r="AS9" s="35" t="s">
        <v>123</v>
      </c>
      <c r="AT9" s="35" t="s">
        <v>123</v>
      </c>
    </row>
    <row r="10" spans="1:1013" ht="30" customHeight="1" x14ac:dyDescent="0.25">
      <c r="A10" s="19" t="s">
        <v>71</v>
      </c>
      <c r="B10" s="25" t="s">
        <v>92</v>
      </c>
      <c r="C10" s="29" t="s">
        <v>82</v>
      </c>
      <c r="D10" s="16">
        <v>41</v>
      </c>
      <c r="E10" s="17" t="s">
        <v>32</v>
      </c>
      <c r="F10" s="18">
        <v>56</v>
      </c>
      <c r="G10" s="23" t="s">
        <v>83</v>
      </c>
      <c r="H10" s="23" t="s">
        <v>45</v>
      </c>
      <c r="I10" s="23">
        <v>48</v>
      </c>
      <c r="J10" s="38">
        <v>56</v>
      </c>
      <c r="K10" s="38">
        <v>20</v>
      </c>
      <c r="L10" s="23">
        <v>14</v>
      </c>
      <c r="M10" s="23">
        <v>104</v>
      </c>
      <c r="N10" s="38">
        <v>102</v>
      </c>
      <c r="O10" s="38">
        <v>114</v>
      </c>
      <c r="P10" s="38">
        <v>71</v>
      </c>
      <c r="Q10" s="38">
        <v>45</v>
      </c>
      <c r="R10" s="38">
        <v>48</v>
      </c>
      <c r="S10" s="38">
        <v>57</v>
      </c>
      <c r="T10" s="38">
        <v>18</v>
      </c>
      <c r="U10" s="38">
        <v>13</v>
      </c>
      <c r="V10" s="38">
        <v>28</v>
      </c>
      <c r="W10" s="38">
        <v>27</v>
      </c>
      <c r="X10" s="38">
        <v>28</v>
      </c>
      <c r="Y10" s="38">
        <v>71</v>
      </c>
      <c r="Z10" s="38">
        <v>45</v>
      </c>
      <c r="AA10" s="38">
        <v>48</v>
      </c>
      <c r="AB10" s="38">
        <v>24</v>
      </c>
      <c r="AC10" s="38">
        <v>18</v>
      </c>
      <c r="AD10" s="38">
        <v>28</v>
      </c>
      <c r="AE10" s="38">
        <v>27</v>
      </c>
      <c r="AF10" s="38">
        <v>28</v>
      </c>
      <c r="AG10" s="38">
        <v>71</v>
      </c>
      <c r="AH10" s="38">
        <v>45</v>
      </c>
      <c r="AI10" s="38">
        <v>95</v>
      </c>
      <c r="AJ10" s="38">
        <v>110</v>
      </c>
      <c r="AK10" s="38">
        <v>68</v>
      </c>
      <c r="AL10" s="38">
        <v>36</v>
      </c>
      <c r="AM10" s="38">
        <v>26</v>
      </c>
      <c r="AN10" s="38">
        <v>20</v>
      </c>
      <c r="AO10" s="38">
        <v>94</v>
      </c>
      <c r="AP10" s="2">
        <v>1</v>
      </c>
      <c r="AQ10" s="34" t="s">
        <v>94</v>
      </c>
      <c r="AR10" s="4"/>
      <c r="AS10" s="35" t="s">
        <v>123</v>
      </c>
      <c r="AT10" s="35" t="s">
        <v>123</v>
      </c>
    </row>
    <row r="11" spans="1:1013" ht="30" customHeight="1" x14ac:dyDescent="0.25">
      <c r="A11" s="29" t="s">
        <v>72</v>
      </c>
      <c r="B11" s="25" t="s">
        <v>93</v>
      </c>
      <c r="C11" s="29" t="s">
        <v>82</v>
      </c>
      <c r="D11" s="20">
        <v>39</v>
      </c>
      <c r="E11" s="21" t="s">
        <v>31</v>
      </c>
      <c r="F11" s="21">
        <v>55</v>
      </c>
      <c r="G11" s="23" t="s">
        <v>83</v>
      </c>
      <c r="H11" s="23" t="s">
        <v>45</v>
      </c>
      <c r="I11" s="38">
        <v>44</v>
      </c>
      <c r="J11" s="38">
        <v>54</v>
      </c>
      <c r="K11" s="38">
        <v>19</v>
      </c>
      <c r="L11" s="38">
        <v>14</v>
      </c>
      <c r="M11" s="38">
        <v>103</v>
      </c>
      <c r="N11" s="38">
        <v>96</v>
      </c>
      <c r="O11" s="38">
        <v>109</v>
      </c>
      <c r="P11" s="38">
        <v>67</v>
      </c>
      <c r="Q11" s="38">
        <v>42</v>
      </c>
      <c r="R11" s="38">
        <v>44</v>
      </c>
      <c r="S11" s="38">
        <v>55</v>
      </c>
      <c r="T11" s="38">
        <v>16</v>
      </c>
      <c r="U11" s="38">
        <v>13</v>
      </c>
      <c r="V11" s="38">
        <v>27</v>
      </c>
      <c r="W11" s="38">
        <v>25</v>
      </c>
      <c r="X11" s="38">
        <v>27</v>
      </c>
      <c r="Y11" s="38">
        <v>67</v>
      </c>
      <c r="Z11" s="38">
        <v>42</v>
      </c>
      <c r="AA11" s="38">
        <v>44</v>
      </c>
      <c r="AB11" s="38">
        <v>23</v>
      </c>
      <c r="AC11" s="38">
        <v>16</v>
      </c>
      <c r="AD11" s="38">
        <v>27</v>
      </c>
      <c r="AE11" s="38">
        <v>25</v>
      </c>
      <c r="AF11" s="38">
        <v>27</v>
      </c>
      <c r="AG11" s="38">
        <v>67</v>
      </c>
      <c r="AH11" s="38">
        <v>42</v>
      </c>
      <c r="AI11" s="38">
        <v>88</v>
      </c>
      <c r="AJ11" s="38">
        <v>103</v>
      </c>
      <c r="AK11" s="38">
        <v>67</v>
      </c>
      <c r="AL11" s="38">
        <v>33</v>
      </c>
      <c r="AM11" s="38">
        <v>24</v>
      </c>
      <c r="AN11" s="38">
        <v>19</v>
      </c>
      <c r="AO11" s="38">
        <v>86</v>
      </c>
      <c r="AP11" s="2">
        <v>1</v>
      </c>
      <c r="AQ11" s="34" t="s">
        <v>94</v>
      </c>
      <c r="AR11" s="4"/>
      <c r="AS11" s="35" t="s">
        <v>123</v>
      </c>
      <c r="AT11" s="35" t="s">
        <v>123</v>
      </c>
    </row>
    <row r="12" spans="1:1013" ht="30" customHeight="1" x14ac:dyDescent="0.25">
      <c r="A12" s="19" t="s">
        <v>73</v>
      </c>
      <c r="B12" s="25" t="s">
        <v>95</v>
      </c>
      <c r="C12" s="29" t="s">
        <v>82</v>
      </c>
      <c r="D12" s="20">
        <v>45</v>
      </c>
      <c r="E12" s="17" t="s">
        <v>33</v>
      </c>
      <c r="F12" s="24">
        <v>59</v>
      </c>
      <c r="G12" s="23" t="s">
        <v>83</v>
      </c>
      <c r="H12" s="23" t="s">
        <v>45</v>
      </c>
      <c r="I12" s="12">
        <v>50</v>
      </c>
      <c r="J12" s="12">
        <v>60</v>
      </c>
      <c r="K12" s="12">
        <v>20</v>
      </c>
      <c r="L12" s="12">
        <v>16.5</v>
      </c>
      <c r="M12" s="12">
        <v>114</v>
      </c>
      <c r="N12" s="12">
        <v>104</v>
      </c>
      <c r="O12" s="12">
        <v>126</v>
      </c>
      <c r="P12" s="12">
        <v>42</v>
      </c>
      <c r="Q12" s="12">
        <v>78</v>
      </c>
      <c r="R12" s="12">
        <v>50</v>
      </c>
      <c r="S12" s="12">
        <v>61</v>
      </c>
      <c r="T12" s="12">
        <v>18</v>
      </c>
      <c r="U12" s="12">
        <v>13</v>
      </c>
      <c r="V12" s="12">
        <v>32</v>
      </c>
      <c r="W12" s="12">
        <v>30</v>
      </c>
      <c r="X12" s="12">
        <v>31</v>
      </c>
      <c r="Y12" s="12">
        <v>75</v>
      </c>
      <c r="Z12" s="12">
        <v>42</v>
      </c>
      <c r="AA12" s="12">
        <v>50</v>
      </c>
      <c r="AB12" s="12">
        <v>29</v>
      </c>
      <c r="AC12" s="12">
        <v>21</v>
      </c>
      <c r="AD12" s="12">
        <v>32</v>
      </c>
      <c r="AE12" s="12">
        <v>30</v>
      </c>
      <c r="AF12" s="12">
        <v>31</v>
      </c>
      <c r="AG12" s="12">
        <v>42</v>
      </c>
      <c r="AH12" s="12">
        <v>75</v>
      </c>
      <c r="AI12" s="12">
        <v>100</v>
      </c>
      <c r="AJ12" s="12">
        <v>124</v>
      </c>
      <c r="AK12" s="12">
        <v>78</v>
      </c>
      <c r="AL12" s="12">
        <v>37</v>
      </c>
      <c r="AM12" s="12">
        <v>27</v>
      </c>
      <c r="AN12" s="12">
        <v>22</v>
      </c>
      <c r="AO12" s="12">
        <v>101</v>
      </c>
      <c r="AP12" s="2">
        <v>2</v>
      </c>
      <c r="AQ12" s="34" t="s">
        <v>96</v>
      </c>
      <c r="AS12" s="35" t="s">
        <v>123</v>
      </c>
      <c r="AT12" s="35" t="s">
        <v>123</v>
      </c>
    </row>
    <row r="13" spans="1:1013" ht="30" customHeight="1" x14ac:dyDescent="0.25">
      <c r="A13" s="29" t="s">
        <v>74</v>
      </c>
      <c r="B13" s="25" t="s">
        <v>98</v>
      </c>
      <c r="C13" s="29" t="s">
        <v>82</v>
      </c>
      <c r="D13" s="20">
        <v>42</v>
      </c>
      <c r="E13" s="17" t="s">
        <v>32</v>
      </c>
      <c r="F13" s="18">
        <v>56</v>
      </c>
      <c r="G13" s="23" t="s">
        <v>83</v>
      </c>
      <c r="H13" s="23" t="s">
        <v>45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9" t="s">
        <v>101</v>
      </c>
      <c r="AS13" s="35" t="s">
        <v>123</v>
      </c>
      <c r="AT13" s="35" t="s">
        <v>123</v>
      </c>
    </row>
    <row r="14" spans="1:1013" ht="30" customHeight="1" x14ac:dyDescent="0.25">
      <c r="A14" s="19" t="s">
        <v>75</v>
      </c>
      <c r="B14" s="25" t="s">
        <v>99</v>
      </c>
      <c r="C14" s="29" t="s">
        <v>82</v>
      </c>
      <c r="D14" s="20">
        <v>43</v>
      </c>
      <c r="E14" s="17" t="s">
        <v>31</v>
      </c>
      <c r="F14" s="18">
        <v>55</v>
      </c>
      <c r="G14" s="23" t="s">
        <v>83</v>
      </c>
      <c r="H14" s="23" t="s">
        <v>45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9" t="s">
        <v>101</v>
      </c>
      <c r="AS14" s="35" t="s">
        <v>123</v>
      </c>
      <c r="AT14" s="35" t="s">
        <v>123</v>
      </c>
    </row>
    <row r="15" spans="1:1013" s="50" customFormat="1" ht="30" customHeight="1" x14ac:dyDescent="0.25">
      <c r="A15" s="41" t="s">
        <v>76</v>
      </c>
      <c r="B15" s="42" t="s">
        <v>89</v>
      </c>
      <c r="C15" s="41" t="s">
        <v>82</v>
      </c>
      <c r="D15" s="43">
        <v>42</v>
      </c>
      <c r="E15" s="44" t="s">
        <v>31</v>
      </c>
      <c r="F15" s="45">
        <v>56</v>
      </c>
      <c r="G15" s="46" t="s">
        <v>83</v>
      </c>
      <c r="H15" s="46" t="s">
        <v>45</v>
      </c>
      <c r="I15" s="47">
        <v>43</v>
      </c>
      <c r="J15" s="47">
        <v>58</v>
      </c>
      <c r="K15" s="47">
        <v>18</v>
      </c>
      <c r="L15" s="47">
        <v>14</v>
      </c>
      <c r="M15" s="47">
        <v>94</v>
      </c>
      <c r="N15" s="47">
        <v>89</v>
      </c>
      <c r="O15" s="47">
        <v>98</v>
      </c>
      <c r="P15" s="47">
        <v>69</v>
      </c>
      <c r="Q15" s="47">
        <v>37</v>
      </c>
      <c r="R15" s="47">
        <v>43</v>
      </c>
      <c r="S15" s="47">
        <v>59</v>
      </c>
      <c r="T15" s="47">
        <v>16</v>
      </c>
      <c r="U15" s="47">
        <v>12</v>
      </c>
      <c r="V15" s="47">
        <v>27</v>
      </c>
      <c r="W15" s="47">
        <v>25</v>
      </c>
      <c r="X15" s="47">
        <v>27</v>
      </c>
      <c r="Y15" s="47">
        <v>69</v>
      </c>
      <c r="Z15" s="47">
        <v>37</v>
      </c>
      <c r="AA15" s="47">
        <v>43</v>
      </c>
      <c r="AB15" s="47">
        <v>25</v>
      </c>
      <c r="AC15" s="47">
        <v>16</v>
      </c>
      <c r="AD15" s="47">
        <v>27</v>
      </c>
      <c r="AE15" s="47">
        <v>25</v>
      </c>
      <c r="AF15" s="47">
        <v>27</v>
      </c>
      <c r="AG15" s="47">
        <v>69</v>
      </c>
      <c r="AH15" s="47">
        <v>37</v>
      </c>
      <c r="AI15" s="47">
        <v>84</v>
      </c>
      <c r="AJ15" s="47">
        <v>97</v>
      </c>
      <c r="AK15" s="47">
        <v>64</v>
      </c>
      <c r="AL15" s="47">
        <v>32</v>
      </c>
      <c r="AM15" s="47">
        <v>24</v>
      </c>
      <c r="AN15" s="47">
        <v>19</v>
      </c>
      <c r="AO15" s="47">
        <v>93</v>
      </c>
      <c r="AP15" s="48">
        <v>2</v>
      </c>
      <c r="AQ15" s="49" t="s">
        <v>101</v>
      </c>
      <c r="AR15" s="51" t="s">
        <v>120</v>
      </c>
      <c r="AS15" s="35" t="s">
        <v>123</v>
      </c>
      <c r="AT15" s="35" t="s">
        <v>123</v>
      </c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8"/>
      <c r="DB15" s="48"/>
      <c r="DC15" s="48"/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48"/>
      <c r="DW15" s="48"/>
      <c r="DX15" s="48"/>
      <c r="DY15" s="48"/>
      <c r="DZ15" s="48"/>
      <c r="EA15" s="48"/>
      <c r="EB15" s="48"/>
      <c r="EC15" s="48"/>
      <c r="ED15" s="48"/>
      <c r="EE15" s="48"/>
      <c r="EF15" s="48"/>
      <c r="EG15" s="48"/>
      <c r="EH15" s="48"/>
      <c r="EI15" s="48"/>
      <c r="EJ15" s="48"/>
      <c r="EK15" s="48"/>
      <c r="EL15" s="48"/>
      <c r="EM15" s="48"/>
      <c r="EN15" s="48"/>
      <c r="EO15" s="48"/>
      <c r="EP15" s="48"/>
      <c r="EQ15" s="48"/>
      <c r="ER15" s="48"/>
      <c r="ES15" s="48"/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48"/>
      <c r="FM15" s="48"/>
      <c r="FN15" s="48"/>
      <c r="FO15" s="48"/>
      <c r="FP15" s="48"/>
      <c r="FQ15" s="48"/>
      <c r="FR15" s="48"/>
      <c r="FS15" s="48"/>
      <c r="FT15" s="48"/>
      <c r="FU15" s="48"/>
      <c r="FV15" s="48"/>
      <c r="FW15" s="48"/>
      <c r="FX15" s="48"/>
      <c r="FY15" s="48"/>
      <c r="FZ15" s="48"/>
      <c r="GA15" s="48"/>
      <c r="GB15" s="48"/>
      <c r="GC15" s="48"/>
      <c r="GD15" s="48"/>
      <c r="GE15" s="48"/>
      <c r="GF15" s="48"/>
      <c r="GG15" s="48"/>
      <c r="GH15" s="48"/>
      <c r="GI15" s="48"/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48"/>
      <c r="HC15" s="48"/>
      <c r="HD15" s="48"/>
      <c r="HE15" s="48"/>
      <c r="HF15" s="48"/>
      <c r="HG15" s="48"/>
      <c r="HH15" s="48"/>
      <c r="HI15" s="48"/>
      <c r="HJ15" s="48"/>
      <c r="HK15" s="48"/>
      <c r="HL15" s="48"/>
      <c r="HM15" s="48"/>
      <c r="HN15" s="48"/>
      <c r="HO15" s="48"/>
      <c r="HP15" s="48"/>
      <c r="HQ15" s="48"/>
      <c r="HR15" s="48"/>
      <c r="HS15" s="48"/>
      <c r="HT15" s="48"/>
      <c r="HU15" s="48"/>
      <c r="HV15" s="48"/>
      <c r="HW15" s="48"/>
      <c r="HX15" s="48"/>
      <c r="HY15" s="48"/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48"/>
      <c r="IS15" s="48"/>
      <c r="IT15" s="48"/>
      <c r="IU15" s="48"/>
      <c r="IV15" s="48"/>
      <c r="IW15" s="48"/>
      <c r="IX15" s="48"/>
      <c r="IY15" s="48"/>
      <c r="IZ15" s="48"/>
      <c r="JA15" s="48"/>
      <c r="JB15" s="48"/>
      <c r="JC15" s="48"/>
      <c r="JD15" s="48"/>
      <c r="JE15" s="48"/>
      <c r="JF15" s="48"/>
      <c r="JG15" s="48"/>
      <c r="JH15" s="48"/>
      <c r="JI15" s="48"/>
      <c r="JJ15" s="48"/>
      <c r="JK15" s="48"/>
      <c r="JL15" s="48"/>
      <c r="JM15" s="48"/>
      <c r="JN15" s="48"/>
      <c r="JO15" s="48"/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48"/>
      <c r="KI15" s="48"/>
      <c r="KJ15" s="48"/>
      <c r="KK15" s="48"/>
      <c r="KL15" s="48"/>
      <c r="KM15" s="48"/>
      <c r="KN15" s="48"/>
      <c r="KO15" s="48"/>
      <c r="KP15" s="48"/>
      <c r="KQ15" s="48"/>
      <c r="KR15" s="48"/>
      <c r="KS15" s="48"/>
      <c r="KT15" s="48"/>
      <c r="KU15" s="48"/>
      <c r="KV15" s="48"/>
      <c r="KW15" s="48"/>
      <c r="KX15" s="48"/>
      <c r="KY15" s="48"/>
      <c r="KZ15" s="48"/>
      <c r="LA15" s="48"/>
      <c r="LB15" s="48"/>
      <c r="LC15" s="48"/>
      <c r="LD15" s="48"/>
      <c r="LE15" s="48"/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48"/>
      <c r="LY15" s="48"/>
      <c r="LZ15" s="48"/>
      <c r="MA15" s="48"/>
      <c r="MB15" s="48"/>
      <c r="MC15" s="48"/>
      <c r="MD15" s="48"/>
      <c r="ME15" s="48"/>
      <c r="MF15" s="48"/>
      <c r="MG15" s="48"/>
      <c r="MH15" s="48"/>
      <c r="MI15" s="48"/>
      <c r="MJ15" s="48"/>
      <c r="MK15" s="48"/>
      <c r="ML15" s="48"/>
      <c r="MM15" s="48"/>
      <c r="MN15" s="48"/>
      <c r="MO15" s="48"/>
      <c r="MP15" s="48"/>
      <c r="MQ15" s="48"/>
      <c r="MR15" s="48"/>
      <c r="MS15" s="48"/>
      <c r="MT15" s="48"/>
      <c r="MU15" s="48"/>
      <c r="MV15" s="48"/>
      <c r="MW15" s="48"/>
      <c r="MX15" s="48"/>
      <c r="MY15" s="48"/>
      <c r="MZ15" s="48"/>
      <c r="NA15" s="48"/>
      <c r="NB15" s="48"/>
      <c r="NC15" s="48"/>
      <c r="ND15" s="48"/>
      <c r="NE15" s="48"/>
      <c r="NF15" s="48"/>
      <c r="NG15" s="48"/>
      <c r="NH15" s="48"/>
      <c r="NI15" s="48"/>
      <c r="NJ15" s="48"/>
      <c r="NK15" s="48"/>
      <c r="NL15" s="48"/>
      <c r="NM15" s="48"/>
      <c r="NN15" s="48"/>
      <c r="NO15" s="48"/>
      <c r="NP15" s="48"/>
      <c r="NQ15" s="48"/>
      <c r="NR15" s="48"/>
      <c r="NS15" s="48"/>
      <c r="NT15" s="48"/>
      <c r="NU15" s="48"/>
      <c r="NV15" s="48"/>
      <c r="NW15" s="48"/>
      <c r="NX15" s="48"/>
      <c r="NY15" s="48"/>
      <c r="NZ15" s="48"/>
      <c r="OA15" s="48"/>
      <c r="OB15" s="48"/>
      <c r="OC15" s="48"/>
      <c r="OD15" s="48"/>
      <c r="OE15" s="48"/>
      <c r="OF15" s="48"/>
      <c r="OG15" s="48"/>
      <c r="OH15" s="48"/>
      <c r="OI15" s="48"/>
      <c r="OJ15" s="48"/>
      <c r="OK15" s="48"/>
      <c r="OL15" s="48"/>
      <c r="OM15" s="48"/>
      <c r="ON15" s="48"/>
      <c r="OO15" s="48"/>
      <c r="OP15" s="48"/>
      <c r="OQ15" s="48"/>
      <c r="OR15" s="48"/>
      <c r="OS15" s="48"/>
      <c r="OT15" s="48"/>
      <c r="OU15" s="48"/>
      <c r="OV15" s="48"/>
      <c r="OW15" s="48"/>
      <c r="OX15" s="48"/>
      <c r="OY15" s="48"/>
      <c r="OZ15" s="48"/>
      <c r="PA15" s="48"/>
      <c r="PB15" s="48"/>
      <c r="PC15" s="48"/>
      <c r="PD15" s="48"/>
      <c r="PE15" s="48"/>
      <c r="PF15" s="48"/>
      <c r="PG15" s="48"/>
      <c r="PH15" s="48"/>
      <c r="PI15" s="48"/>
      <c r="PJ15" s="48"/>
      <c r="PK15" s="48"/>
      <c r="PL15" s="48"/>
      <c r="PM15" s="48"/>
      <c r="PN15" s="48"/>
      <c r="PO15" s="48"/>
      <c r="PP15" s="48"/>
      <c r="PQ15" s="48"/>
      <c r="PR15" s="48"/>
      <c r="PS15" s="48"/>
      <c r="PT15" s="48"/>
      <c r="PU15" s="48"/>
      <c r="PV15" s="48"/>
      <c r="PW15" s="48"/>
      <c r="PX15" s="48"/>
      <c r="PY15" s="48"/>
      <c r="PZ15" s="48"/>
      <c r="QA15" s="48"/>
      <c r="QB15" s="48"/>
      <c r="QC15" s="48"/>
      <c r="QD15" s="48"/>
      <c r="QE15" s="48"/>
      <c r="QF15" s="48"/>
      <c r="QG15" s="48"/>
      <c r="QH15" s="48"/>
      <c r="QI15" s="48"/>
      <c r="QJ15" s="48"/>
      <c r="QK15" s="48"/>
      <c r="QL15" s="48"/>
      <c r="QM15" s="48"/>
      <c r="QN15" s="48"/>
      <c r="QO15" s="48"/>
      <c r="QP15" s="48"/>
      <c r="QQ15" s="48"/>
      <c r="QR15" s="48"/>
      <c r="QS15" s="48"/>
      <c r="QT15" s="48"/>
      <c r="QU15" s="48"/>
      <c r="QV15" s="48"/>
      <c r="QW15" s="48"/>
      <c r="QX15" s="48"/>
      <c r="QY15" s="48"/>
      <c r="QZ15" s="48"/>
      <c r="RA15" s="48"/>
      <c r="RB15" s="48"/>
      <c r="RC15" s="48"/>
      <c r="RD15" s="48"/>
      <c r="RE15" s="48"/>
      <c r="RF15" s="48"/>
      <c r="RG15" s="48"/>
      <c r="RH15" s="48"/>
      <c r="RI15" s="48"/>
      <c r="RJ15" s="48"/>
      <c r="RK15" s="48"/>
      <c r="RL15" s="48"/>
      <c r="RM15" s="48"/>
      <c r="RN15" s="48"/>
      <c r="RO15" s="48"/>
      <c r="RP15" s="48"/>
      <c r="RQ15" s="48"/>
      <c r="RR15" s="48"/>
      <c r="RS15" s="48"/>
      <c r="RT15" s="48"/>
      <c r="RU15" s="48"/>
      <c r="RV15" s="48"/>
      <c r="RW15" s="48"/>
      <c r="RX15" s="48"/>
      <c r="RY15" s="48"/>
      <c r="RZ15" s="48"/>
      <c r="SA15" s="48"/>
      <c r="SB15" s="48"/>
      <c r="SC15" s="48"/>
      <c r="SD15" s="48"/>
      <c r="SE15" s="48"/>
      <c r="SF15" s="48"/>
      <c r="SG15" s="48"/>
      <c r="SH15" s="48"/>
      <c r="SI15" s="48"/>
      <c r="SJ15" s="48"/>
      <c r="SK15" s="48"/>
      <c r="SL15" s="48"/>
      <c r="SM15" s="48"/>
      <c r="SN15" s="48"/>
      <c r="SO15" s="48"/>
      <c r="SP15" s="48"/>
      <c r="SQ15" s="48"/>
      <c r="SR15" s="48"/>
      <c r="SS15" s="48"/>
      <c r="ST15" s="48"/>
      <c r="SU15" s="48"/>
      <c r="SV15" s="48"/>
      <c r="SW15" s="48"/>
      <c r="SX15" s="48"/>
      <c r="SY15" s="48"/>
      <c r="SZ15" s="48"/>
      <c r="TA15" s="48"/>
      <c r="TB15" s="48"/>
      <c r="TC15" s="48"/>
      <c r="TD15" s="48"/>
      <c r="TE15" s="48"/>
      <c r="TF15" s="48"/>
      <c r="TG15" s="48"/>
      <c r="TH15" s="48"/>
      <c r="TI15" s="48"/>
      <c r="TJ15" s="48"/>
      <c r="TK15" s="48"/>
      <c r="TL15" s="48"/>
      <c r="TM15" s="48"/>
      <c r="TN15" s="48"/>
      <c r="TO15" s="48"/>
      <c r="TP15" s="48"/>
      <c r="TQ15" s="48"/>
      <c r="TR15" s="48"/>
      <c r="TS15" s="48"/>
      <c r="TT15" s="48"/>
      <c r="TU15" s="48"/>
      <c r="TV15" s="48"/>
      <c r="TW15" s="48"/>
      <c r="TX15" s="48"/>
      <c r="TY15" s="48"/>
      <c r="TZ15" s="48"/>
      <c r="UA15" s="48"/>
      <c r="UB15" s="48"/>
      <c r="UC15" s="48"/>
      <c r="UD15" s="48"/>
      <c r="UE15" s="48"/>
      <c r="UF15" s="48"/>
      <c r="UG15" s="48"/>
      <c r="UH15" s="48"/>
      <c r="UI15" s="48"/>
      <c r="UJ15" s="48"/>
      <c r="UK15" s="48"/>
      <c r="UL15" s="48"/>
      <c r="UM15" s="48"/>
      <c r="UN15" s="48"/>
      <c r="UO15" s="48"/>
      <c r="UP15" s="48"/>
      <c r="UQ15" s="48"/>
      <c r="UR15" s="48"/>
      <c r="US15" s="48"/>
      <c r="UT15" s="48"/>
      <c r="UU15" s="48"/>
      <c r="UV15" s="48"/>
      <c r="UW15" s="48"/>
      <c r="UX15" s="48"/>
      <c r="UY15" s="48"/>
      <c r="UZ15" s="48"/>
      <c r="VA15" s="48"/>
      <c r="VB15" s="48"/>
      <c r="VC15" s="48"/>
      <c r="VD15" s="48"/>
      <c r="VE15" s="48"/>
      <c r="VF15" s="48"/>
      <c r="VG15" s="48"/>
      <c r="VH15" s="48"/>
      <c r="VI15" s="48"/>
      <c r="VJ15" s="48"/>
      <c r="VK15" s="48"/>
      <c r="VL15" s="48"/>
      <c r="VM15" s="48"/>
      <c r="VN15" s="48"/>
      <c r="VO15" s="48"/>
      <c r="VP15" s="48"/>
      <c r="VQ15" s="48"/>
      <c r="VR15" s="48"/>
      <c r="VS15" s="48"/>
      <c r="VT15" s="48"/>
      <c r="VU15" s="48"/>
      <c r="VV15" s="48"/>
      <c r="VW15" s="48"/>
      <c r="VX15" s="48"/>
      <c r="VY15" s="48"/>
      <c r="VZ15" s="48"/>
      <c r="WA15" s="48"/>
      <c r="WB15" s="48"/>
      <c r="WC15" s="48"/>
      <c r="WD15" s="48"/>
      <c r="WE15" s="48"/>
      <c r="WF15" s="48"/>
      <c r="WG15" s="48"/>
      <c r="WH15" s="48"/>
      <c r="WI15" s="48"/>
      <c r="WJ15" s="48"/>
      <c r="WK15" s="48"/>
      <c r="WL15" s="48"/>
      <c r="WM15" s="48"/>
      <c r="WN15" s="48"/>
      <c r="WO15" s="48"/>
      <c r="WP15" s="48"/>
      <c r="WQ15" s="48"/>
      <c r="WR15" s="48"/>
      <c r="WS15" s="48"/>
      <c r="WT15" s="48"/>
      <c r="WU15" s="48"/>
      <c r="WV15" s="48"/>
      <c r="WW15" s="48"/>
      <c r="WX15" s="48"/>
      <c r="WY15" s="48"/>
      <c r="WZ15" s="48"/>
      <c r="XA15" s="48"/>
      <c r="XB15" s="48"/>
      <c r="XC15" s="48"/>
      <c r="XD15" s="48"/>
      <c r="XE15" s="48"/>
      <c r="XF15" s="48"/>
      <c r="XG15" s="48"/>
      <c r="XH15" s="48"/>
      <c r="XI15" s="48"/>
      <c r="XJ15" s="48"/>
      <c r="XK15" s="48"/>
      <c r="XL15" s="48"/>
      <c r="XM15" s="48"/>
      <c r="XN15" s="48"/>
      <c r="XO15" s="48"/>
      <c r="XP15" s="48"/>
      <c r="XQ15" s="48"/>
      <c r="XR15" s="48"/>
      <c r="XS15" s="48"/>
      <c r="XT15" s="48"/>
      <c r="XU15" s="48"/>
      <c r="XV15" s="48"/>
      <c r="XW15" s="48"/>
      <c r="XX15" s="48"/>
      <c r="XY15" s="48"/>
      <c r="XZ15" s="48"/>
      <c r="YA15" s="48"/>
      <c r="YB15" s="48"/>
      <c r="YC15" s="48"/>
      <c r="YD15" s="48"/>
      <c r="YE15" s="48"/>
      <c r="YF15" s="48"/>
      <c r="YG15" s="48"/>
      <c r="YH15" s="48"/>
      <c r="YI15" s="48"/>
      <c r="YJ15" s="48"/>
      <c r="YK15" s="48"/>
      <c r="YL15" s="48"/>
      <c r="YM15" s="48"/>
      <c r="YN15" s="48"/>
      <c r="YO15" s="48"/>
      <c r="YP15" s="48"/>
      <c r="YQ15" s="48"/>
      <c r="YR15" s="48"/>
      <c r="YS15" s="48"/>
      <c r="YT15" s="48"/>
      <c r="YU15" s="48"/>
      <c r="YV15" s="48"/>
      <c r="YW15" s="48"/>
      <c r="YX15" s="48"/>
      <c r="YY15" s="48"/>
      <c r="YZ15" s="48"/>
      <c r="ZA15" s="48"/>
      <c r="ZB15" s="48"/>
      <c r="ZC15" s="48"/>
      <c r="ZD15" s="48"/>
      <c r="ZE15" s="48"/>
      <c r="ZF15" s="48"/>
      <c r="ZG15" s="48"/>
      <c r="ZH15" s="48"/>
      <c r="ZI15" s="48"/>
      <c r="ZJ15" s="48"/>
      <c r="ZK15" s="48"/>
      <c r="ZL15" s="48"/>
      <c r="ZM15" s="48"/>
      <c r="ZN15" s="48"/>
      <c r="ZO15" s="48"/>
      <c r="ZP15" s="48"/>
      <c r="ZQ15" s="48"/>
      <c r="ZR15" s="48"/>
      <c r="ZS15" s="48"/>
      <c r="ZT15" s="48"/>
      <c r="ZU15" s="48"/>
      <c r="ZV15" s="48"/>
      <c r="ZW15" s="48"/>
      <c r="ZX15" s="48"/>
      <c r="ZY15" s="48"/>
      <c r="ZZ15" s="48"/>
      <c r="AAA15" s="48"/>
      <c r="AAB15" s="48"/>
      <c r="AAC15" s="48"/>
      <c r="AAD15" s="48"/>
      <c r="AAE15" s="48"/>
      <c r="AAF15" s="48"/>
      <c r="AAG15" s="48"/>
      <c r="AAH15" s="48"/>
      <c r="AAI15" s="48"/>
      <c r="AAJ15" s="48"/>
      <c r="AAK15" s="48"/>
      <c r="AAL15" s="48"/>
      <c r="AAM15" s="48"/>
      <c r="AAN15" s="48"/>
      <c r="AAO15" s="48"/>
      <c r="AAP15" s="48"/>
      <c r="AAQ15" s="48"/>
      <c r="AAR15" s="48"/>
      <c r="AAS15" s="48"/>
      <c r="AAT15" s="48"/>
      <c r="AAU15" s="48"/>
      <c r="AAV15" s="48"/>
      <c r="AAW15" s="48"/>
      <c r="AAX15" s="48"/>
      <c r="AAY15" s="48"/>
      <c r="AAZ15" s="48"/>
      <c r="ABA15" s="48"/>
      <c r="ABB15" s="48"/>
      <c r="ABC15" s="48"/>
      <c r="ABD15" s="48"/>
      <c r="ABE15" s="48"/>
      <c r="ABF15" s="48"/>
      <c r="ABG15" s="48"/>
      <c r="ABH15" s="48"/>
      <c r="ABI15" s="48"/>
      <c r="ABJ15" s="48"/>
      <c r="ABK15" s="48"/>
      <c r="ABL15" s="48"/>
      <c r="ABM15" s="48"/>
      <c r="ABN15" s="48"/>
      <c r="ABO15" s="48"/>
      <c r="ABP15" s="48"/>
      <c r="ABQ15" s="48"/>
      <c r="ABR15" s="48"/>
      <c r="ABS15" s="48"/>
      <c r="ABT15" s="48"/>
      <c r="ABU15" s="48"/>
      <c r="ABV15" s="48"/>
      <c r="ABW15" s="48"/>
      <c r="ABX15" s="48"/>
      <c r="ABY15" s="48"/>
      <c r="ABZ15" s="48"/>
      <c r="ACA15" s="48"/>
      <c r="ACB15" s="48"/>
      <c r="ACC15" s="48"/>
      <c r="ACD15" s="48"/>
      <c r="ACE15" s="48"/>
      <c r="ACF15" s="48"/>
      <c r="ACG15" s="48"/>
      <c r="ACH15" s="48"/>
      <c r="ACI15" s="48"/>
      <c r="ACJ15" s="48"/>
      <c r="ACK15" s="48"/>
      <c r="ACL15" s="48"/>
      <c r="ACM15" s="48"/>
      <c r="ACN15" s="48"/>
      <c r="ACO15" s="48"/>
      <c r="ACP15" s="48"/>
      <c r="ACQ15" s="48"/>
      <c r="ACR15" s="48"/>
      <c r="ACS15" s="48"/>
      <c r="ACT15" s="48"/>
      <c r="ACU15" s="48"/>
      <c r="ACV15" s="48"/>
      <c r="ACW15" s="48"/>
      <c r="ACX15" s="48"/>
      <c r="ACY15" s="48"/>
      <c r="ACZ15" s="48"/>
      <c r="ADA15" s="48"/>
      <c r="ADB15" s="48"/>
      <c r="ADC15" s="48"/>
      <c r="ADD15" s="48"/>
      <c r="ADE15" s="48"/>
      <c r="ADF15" s="48"/>
      <c r="ADG15" s="48"/>
      <c r="ADH15" s="48"/>
      <c r="ADI15" s="48"/>
      <c r="ADJ15" s="48"/>
      <c r="ADK15" s="48"/>
      <c r="ADL15" s="48"/>
      <c r="ADM15" s="48"/>
      <c r="ADN15" s="48"/>
      <c r="ADO15" s="48"/>
      <c r="ADP15" s="48"/>
      <c r="ADQ15" s="48"/>
      <c r="ADR15" s="48"/>
      <c r="ADS15" s="48"/>
      <c r="ADT15" s="48"/>
      <c r="ADU15" s="48"/>
      <c r="ADV15" s="48"/>
      <c r="ADW15" s="48"/>
      <c r="ADX15" s="48"/>
      <c r="ADY15" s="48"/>
      <c r="ADZ15" s="48"/>
      <c r="AEA15" s="48"/>
      <c r="AEB15" s="48"/>
      <c r="AEC15" s="48"/>
      <c r="AED15" s="48"/>
      <c r="AEE15" s="48"/>
      <c r="AEF15" s="48"/>
      <c r="AEG15" s="48"/>
      <c r="AEH15" s="48"/>
      <c r="AEI15" s="48"/>
      <c r="AEJ15" s="48"/>
      <c r="AEK15" s="48"/>
      <c r="AEL15" s="48"/>
      <c r="AEM15" s="48"/>
      <c r="AEN15" s="48"/>
      <c r="AEO15" s="48"/>
      <c r="AEP15" s="48"/>
      <c r="AEQ15" s="48"/>
      <c r="AER15" s="48"/>
      <c r="AES15" s="48"/>
      <c r="AET15" s="48"/>
      <c r="AEU15" s="48"/>
      <c r="AEV15" s="48"/>
      <c r="AEW15" s="48"/>
      <c r="AEX15" s="48"/>
      <c r="AEY15" s="48"/>
      <c r="AEZ15" s="48"/>
      <c r="AFA15" s="48"/>
      <c r="AFB15" s="48"/>
      <c r="AFC15" s="48"/>
      <c r="AFD15" s="48"/>
      <c r="AFE15" s="48"/>
      <c r="AFF15" s="48"/>
      <c r="AFG15" s="48"/>
      <c r="AFH15" s="48"/>
      <c r="AFI15" s="48"/>
      <c r="AFJ15" s="48"/>
      <c r="AFK15" s="48"/>
      <c r="AFL15" s="48"/>
      <c r="AFM15" s="48"/>
      <c r="AFN15" s="48"/>
      <c r="AFO15" s="48"/>
      <c r="AFP15" s="48"/>
      <c r="AFQ15" s="48"/>
      <c r="AFR15" s="48"/>
      <c r="AFS15" s="48"/>
      <c r="AFT15" s="48"/>
      <c r="AFU15" s="48"/>
      <c r="AFV15" s="48"/>
      <c r="AFW15" s="48"/>
      <c r="AFX15" s="48"/>
      <c r="AFY15" s="48"/>
      <c r="AFZ15" s="48"/>
      <c r="AGA15" s="48"/>
      <c r="AGB15" s="48"/>
      <c r="AGC15" s="48"/>
      <c r="AGD15" s="48"/>
      <c r="AGE15" s="48"/>
      <c r="AGF15" s="48"/>
      <c r="AGG15" s="48"/>
      <c r="AGH15" s="48"/>
      <c r="AGI15" s="48"/>
      <c r="AGJ15" s="48"/>
      <c r="AGK15" s="48"/>
      <c r="AGL15" s="48"/>
      <c r="AGM15" s="48"/>
      <c r="AGN15" s="48"/>
      <c r="AGO15" s="48"/>
      <c r="AGP15" s="48"/>
      <c r="AGQ15" s="48"/>
      <c r="AGR15" s="48"/>
      <c r="AGS15" s="48"/>
      <c r="AGT15" s="48"/>
      <c r="AGU15" s="48"/>
      <c r="AGV15" s="48"/>
      <c r="AGW15" s="48"/>
      <c r="AGX15" s="48"/>
      <c r="AGY15" s="48"/>
      <c r="AGZ15" s="48"/>
      <c r="AHA15" s="48"/>
      <c r="AHB15" s="48"/>
      <c r="AHC15" s="48"/>
      <c r="AHD15" s="48"/>
      <c r="AHE15" s="48"/>
      <c r="AHF15" s="48"/>
      <c r="AHG15" s="48"/>
      <c r="AHH15" s="48"/>
      <c r="AHI15" s="48"/>
      <c r="AHJ15" s="48"/>
      <c r="AHK15" s="48"/>
      <c r="AHL15" s="48"/>
      <c r="AHM15" s="48"/>
      <c r="AHN15" s="48"/>
      <c r="AHO15" s="48"/>
      <c r="AHP15" s="48"/>
      <c r="AHQ15" s="48"/>
      <c r="AHR15" s="48"/>
      <c r="AHS15" s="48"/>
      <c r="AHT15" s="48"/>
      <c r="AHU15" s="48"/>
      <c r="AHV15" s="48"/>
      <c r="AHW15" s="48"/>
      <c r="AHX15" s="48"/>
      <c r="AHY15" s="48"/>
      <c r="AHZ15" s="48"/>
      <c r="AIA15" s="48"/>
      <c r="AIB15" s="48"/>
      <c r="AIC15" s="48"/>
      <c r="AID15" s="48"/>
      <c r="AIE15" s="48"/>
      <c r="AIF15" s="48"/>
      <c r="AIG15" s="48"/>
      <c r="AIH15" s="48"/>
      <c r="AII15" s="48"/>
      <c r="AIJ15" s="48"/>
      <c r="AIK15" s="48"/>
      <c r="AIL15" s="48"/>
      <c r="AIM15" s="48"/>
      <c r="AIN15" s="48"/>
      <c r="AIO15" s="48"/>
      <c r="AIP15" s="48"/>
      <c r="AIQ15" s="48"/>
      <c r="AIR15" s="48"/>
      <c r="AIS15" s="48"/>
      <c r="AIT15" s="48"/>
      <c r="AIU15" s="48"/>
      <c r="AIV15" s="48"/>
      <c r="AIW15" s="48"/>
      <c r="AIX15" s="48"/>
      <c r="AIY15" s="48"/>
      <c r="AIZ15" s="48"/>
      <c r="AJA15" s="48"/>
      <c r="AJB15" s="48"/>
      <c r="AJC15" s="48"/>
      <c r="AJD15" s="48"/>
      <c r="AJE15" s="48"/>
      <c r="AJF15" s="48"/>
      <c r="AJG15" s="48"/>
      <c r="AJH15" s="48"/>
      <c r="AJI15" s="48"/>
      <c r="AJJ15" s="48"/>
      <c r="AJK15" s="48"/>
      <c r="AJL15" s="48"/>
      <c r="AJM15" s="48"/>
      <c r="AJN15" s="48"/>
      <c r="AJO15" s="48"/>
      <c r="AJP15" s="48"/>
      <c r="AJQ15" s="48"/>
      <c r="AJR15" s="48"/>
      <c r="AJS15" s="48"/>
      <c r="AJT15" s="48"/>
      <c r="AJU15" s="48"/>
      <c r="AJV15" s="48"/>
      <c r="AJW15" s="48"/>
      <c r="AJX15" s="48"/>
      <c r="AJY15" s="48"/>
      <c r="AJZ15" s="48"/>
      <c r="AKA15" s="48"/>
      <c r="AKB15" s="48"/>
      <c r="AKC15" s="48"/>
      <c r="AKD15" s="48"/>
      <c r="AKE15" s="48"/>
      <c r="AKF15" s="48"/>
      <c r="AKG15" s="48"/>
      <c r="AKH15" s="48"/>
      <c r="AKI15" s="48"/>
      <c r="AKJ15" s="48"/>
      <c r="AKK15" s="48"/>
      <c r="AKL15" s="48"/>
      <c r="AKM15" s="48"/>
      <c r="AKN15" s="48"/>
      <c r="AKO15" s="48"/>
      <c r="AKP15" s="48"/>
      <c r="AKQ15" s="48"/>
      <c r="AKR15" s="48"/>
      <c r="AKS15" s="48"/>
      <c r="AKT15" s="48"/>
      <c r="AKU15" s="48"/>
      <c r="AKV15" s="48"/>
      <c r="AKW15" s="48"/>
      <c r="AKX15" s="48"/>
      <c r="AKY15" s="48"/>
      <c r="AKZ15" s="48"/>
      <c r="ALA15" s="48"/>
      <c r="ALB15" s="48"/>
      <c r="ALC15" s="48"/>
      <c r="ALD15" s="48"/>
      <c r="ALE15" s="48"/>
      <c r="ALF15" s="48"/>
      <c r="ALG15" s="48"/>
      <c r="ALH15" s="48"/>
      <c r="ALI15" s="48"/>
      <c r="ALJ15" s="48"/>
      <c r="ALK15" s="48"/>
      <c r="ALL15" s="48"/>
      <c r="ALM15" s="48"/>
      <c r="ALN15" s="48"/>
      <c r="ALO15" s="48"/>
      <c r="ALP15" s="48"/>
      <c r="ALQ15" s="48"/>
      <c r="ALR15" s="48"/>
      <c r="ALS15" s="48"/>
      <c r="ALT15" s="48"/>
      <c r="ALU15" s="48"/>
      <c r="ALV15" s="48"/>
      <c r="ALW15" s="48"/>
      <c r="ALX15" s="48"/>
      <c r="ALY15" s="48"/>
    </row>
    <row r="16" spans="1:1013" ht="30" customHeight="1" x14ac:dyDescent="0.25">
      <c r="A16" s="19" t="s">
        <v>77</v>
      </c>
      <c r="B16" s="25" t="s">
        <v>100</v>
      </c>
      <c r="C16" s="29" t="s">
        <v>82</v>
      </c>
      <c r="D16" s="37">
        <v>42</v>
      </c>
      <c r="E16" s="40" t="s">
        <v>32</v>
      </c>
      <c r="F16" s="18">
        <v>58</v>
      </c>
      <c r="G16" s="23" t="s">
        <v>83</v>
      </c>
      <c r="H16" s="23" t="s">
        <v>45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5">
        <v>100</v>
      </c>
      <c r="AP16" s="2">
        <v>2</v>
      </c>
      <c r="AQ16" s="39" t="s">
        <v>101</v>
      </c>
      <c r="AS16" s="35" t="s">
        <v>123</v>
      </c>
      <c r="AT16" s="35" t="s">
        <v>123</v>
      </c>
    </row>
    <row r="17" spans="1:1013" ht="30" customHeight="1" x14ac:dyDescent="0.25">
      <c r="A17" s="29" t="s">
        <v>78</v>
      </c>
      <c r="B17" s="25" t="s">
        <v>102</v>
      </c>
      <c r="C17" s="29" t="s">
        <v>82</v>
      </c>
      <c r="D17" s="37">
        <v>43</v>
      </c>
      <c r="E17" s="40" t="s">
        <v>34</v>
      </c>
      <c r="F17" s="3">
        <v>56</v>
      </c>
      <c r="G17" s="23" t="s">
        <v>83</v>
      </c>
      <c r="H17" s="23" t="s">
        <v>45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4" t="s">
        <v>107</v>
      </c>
      <c r="AS17" s="35" t="s">
        <v>123</v>
      </c>
      <c r="AT17" s="35" t="s">
        <v>123</v>
      </c>
    </row>
    <row r="18" spans="1:1013" ht="30" customHeight="1" x14ac:dyDescent="0.25">
      <c r="A18" s="19" t="s">
        <v>79</v>
      </c>
      <c r="B18" s="25" t="s">
        <v>103</v>
      </c>
      <c r="C18" s="29" t="s">
        <v>82</v>
      </c>
      <c r="D18" s="37">
        <v>40</v>
      </c>
      <c r="E18" s="40" t="s">
        <v>32</v>
      </c>
      <c r="F18" s="18">
        <v>59</v>
      </c>
      <c r="G18" s="23" t="s">
        <v>83</v>
      </c>
      <c r="H18" s="23" t="s">
        <v>45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4" t="s">
        <v>107</v>
      </c>
      <c r="AS18" s="35" t="s">
        <v>123</v>
      </c>
      <c r="AT18" s="35" t="s">
        <v>123</v>
      </c>
    </row>
    <row r="19" spans="1:1013" ht="30" customHeight="1" x14ac:dyDescent="0.25">
      <c r="A19" s="29" t="s">
        <v>80</v>
      </c>
      <c r="B19" s="25" t="s">
        <v>104</v>
      </c>
      <c r="C19" s="29" t="s">
        <v>82</v>
      </c>
      <c r="D19" s="37">
        <v>39</v>
      </c>
      <c r="E19" s="40" t="s">
        <v>32</v>
      </c>
      <c r="F19" s="18">
        <v>56</v>
      </c>
      <c r="G19" s="23" t="s">
        <v>83</v>
      </c>
      <c r="H19" s="23" t="s">
        <v>45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4" t="s">
        <v>107</v>
      </c>
      <c r="AS19" s="35" t="s">
        <v>123</v>
      </c>
      <c r="AT19" s="35" t="s">
        <v>123</v>
      </c>
    </row>
    <row r="20" spans="1:1013" ht="30" customHeight="1" x14ac:dyDescent="0.25">
      <c r="A20" s="29" t="s">
        <v>106</v>
      </c>
      <c r="B20" s="25" t="s">
        <v>105</v>
      </c>
      <c r="C20" s="29" t="s">
        <v>82</v>
      </c>
      <c r="D20" s="37">
        <v>40</v>
      </c>
      <c r="E20" s="40" t="s">
        <v>31</v>
      </c>
      <c r="F20" s="18">
        <v>54</v>
      </c>
      <c r="G20" s="23" t="s">
        <v>83</v>
      </c>
      <c r="H20" s="23" t="s">
        <v>45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4" t="s">
        <v>107</v>
      </c>
      <c r="AS20" s="35" t="s">
        <v>123</v>
      </c>
      <c r="AT20" s="35" t="s">
        <v>123</v>
      </c>
    </row>
    <row r="21" spans="1:1013" ht="30" customHeight="1" x14ac:dyDescent="0.25">
      <c r="A21" s="29" t="s">
        <v>110</v>
      </c>
      <c r="B21" s="25" t="s">
        <v>108</v>
      </c>
      <c r="C21" s="29" t="s">
        <v>82</v>
      </c>
      <c r="D21" s="20">
        <v>40</v>
      </c>
      <c r="E21" s="17" t="s">
        <v>32</v>
      </c>
      <c r="F21" s="18">
        <v>54</v>
      </c>
      <c r="G21" s="23" t="s">
        <v>83</v>
      </c>
      <c r="H21" s="23" t="s">
        <v>45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4" t="s">
        <v>112</v>
      </c>
      <c r="AS21" s="35" t="s">
        <v>123</v>
      </c>
      <c r="AT21" s="35" t="s">
        <v>123</v>
      </c>
    </row>
    <row r="22" spans="1:1013" ht="30" customHeight="1" x14ac:dyDescent="0.25">
      <c r="A22" s="19" t="s">
        <v>111</v>
      </c>
      <c r="B22" s="25" t="s">
        <v>109</v>
      </c>
      <c r="C22" s="29" t="s">
        <v>82</v>
      </c>
      <c r="D22" s="20">
        <v>42</v>
      </c>
      <c r="E22" s="17" t="s">
        <v>33</v>
      </c>
      <c r="F22" s="18">
        <v>58</v>
      </c>
      <c r="G22" s="23" t="s">
        <v>83</v>
      </c>
      <c r="H22" s="23" t="s">
        <v>45</v>
      </c>
      <c r="I22" s="3">
        <v>49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4" t="s">
        <v>112</v>
      </c>
      <c r="AS22" s="35" t="s">
        <v>123</v>
      </c>
      <c r="AT22" s="35" t="s">
        <v>123</v>
      </c>
    </row>
    <row r="23" spans="1:1013" ht="30" customHeight="1" x14ac:dyDescent="0.25">
      <c r="A23" s="29" t="s">
        <v>113</v>
      </c>
      <c r="B23" s="25" t="s">
        <v>114</v>
      </c>
      <c r="C23" s="29" t="s">
        <v>82</v>
      </c>
      <c r="D23" s="20">
        <v>41</v>
      </c>
      <c r="E23" s="17" t="s">
        <v>32</v>
      </c>
      <c r="F23" s="18">
        <v>59</v>
      </c>
      <c r="G23" s="23" t="s">
        <v>83</v>
      </c>
      <c r="H23" s="23" t="s">
        <v>45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5">
        <v>29</v>
      </c>
      <c r="AF23" s="33">
        <v>31</v>
      </c>
      <c r="AG23" s="15">
        <v>74</v>
      </c>
      <c r="AH23" s="15">
        <v>42</v>
      </c>
      <c r="AI23" s="15">
        <v>95</v>
      </c>
      <c r="AJ23" s="15">
        <v>107</v>
      </c>
      <c r="AK23" s="15">
        <v>67</v>
      </c>
      <c r="AL23" s="15">
        <v>34</v>
      </c>
      <c r="AM23" s="15">
        <v>26</v>
      </c>
      <c r="AN23" s="15">
        <v>22</v>
      </c>
      <c r="AO23" s="15">
        <v>100</v>
      </c>
      <c r="AP23" s="2">
        <v>4</v>
      </c>
      <c r="AQ23" s="34" t="s">
        <v>115</v>
      </c>
      <c r="AS23" s="35" t="s">
        <v>125</v>
      </c>
      <c r="AT23" s="35"/>
    </row>
    <row r="24" spans="1:1013" ht="30" customHeight="1" x14ac:dyDescent="0.25">
      <c r="A24" s="19" t="s">
        <v>118</v>
      </c>
      <c r="B24" s="25" t="s">
        <v>116</v>
      </c>
      <c r="C24" s="29" t="s">
        <v>82</v>
      </c>
      <c r="D24" s="20">
        <v>41</v>
      </c>
      <c r="E24" s="17" t="s">
        <v>32</v>
      </c>
      <c r="F24" s="18">
        <v>55</v>
      </c>
      <c r="G24" s="23" t="s">
        <v>83</v>
      </c>
      <c r="H24" s="23" t="s">
        <v>45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X24" s="3"/>
      <c r="Y24" s="3"/>
      <c r="Z24" s="3"/>
      <c r="AA24" s="3">
        <v>46</v>
      </c>
      <c r="AB24" s="3">
        <v>25</v>
      </c>
      <c r="AC24" s="3">
        <v>18</v>
      </c>
      <c r="AD24" s="3">
        <v>28</v>
      </c>
      <c r="AE24" s="15">
        <v>26</v>
      </c>
      <c r="AF24" s="33">
        <v>28</v>
      </c>
      <c r="AG24" s="15">
        <v>72</v>
      </c>
      <c r="AH24" s="15">
        <v>40</v>
      </c>
      <c r="AI24" s="15">
        <v>89</v>
      </c>
      <c r="AJ24" s="15">
        <v>108</v>
      </c>
      <c r="AK24" s="15">
        <v>66</v>
      </c>
      <c r="AL24" s="15">
        <v>33</v>
      </c>
      <c r="AM24" s="15">
        <v>24</v>
      </c>
      <c r="AN24" s="15">
        <v>19</v>
      </c>
      <c r="AO24" s="15">
        <v>98</v>
      </c>
      <c r="AP24" s="2">
        <v>4</v>
      </c>
      <c r="AQ24" s="34" t="s">
        <v>117</v>
      </c>
      <c r="AS24" s="35" t="s">
        <v>125</v>
      </c>
      <c r="AT24" s="35"/>
    </row>
    <row r="25" spans="1:1013" ht="30" customHeight="1" x14ac:dyDescent="0.25">
      <c r="A25" s="29" t="s">
        <v>119</v>
      </c>
      <c r="B25" s="25" t="s">
        <v>122</v>
      </c>
      <c r="C25" s="29" t="s">
        <v>82</v>
      </c>
      <c r="D25" s="37">
        <v>41</v>
      </c>
      <c r="E25" s="18" t="s">
        <v>32</v>
      </c>
      <c r="F25" s="18">
        <v>59</v>
      </c>
      <c r="G25" s="23" t="s">
        <v>121</v>
      </c>
      <c r="H25" s="23" t="s">
        <v>45</v>
      </c>
      <c r="I25" s="54">
        <v>46</v>
      </c>
      <c r="J25" s="54">
        <v>58</v>
      </c>
      <c r="K25" s="54">
        <v>19</v>
      </c>
      <c r="L25" s="54">
        <v>14</v>
      </c>
      <c r="M25" s="54">
        <v>107</v>
      </c>
      <c r="N25" s="54">
        <v>100</v>
      </c>
      <c r="O25" s="54">
        <v>113</v>
      </c>
      <c r="P25" s="54">
        <v>70</v>
      </c>
      <c r="Q25" s="54">
        <v>42</v>
      </c>
      <c r="R25" s="54">
        <v>46</v>
      </c>
      <c r="S25" s="54">
        <v>59</v>
      </c>
      <c r="T25" s="54">
        <v>18</v>
      </c>
      <c r="U25" s="54">
        <v>13</v>
      </c>
      <c r="V25" s="54">
        <v>28</v>
      </c>
      <c r="W25" s="54">
        <v>27</v>
      </c>
      <c r="X25" s="54">
        <v>28</v>
      </c>
      <c r="Y25" s="54">
        <v>72</v>
      </c>
      <c r="Z25" s="54">
        <v>42</v>
      </c>
      <c r="AA25" s="54">
        <v>46</v>
      </c>
      <c r="AB25" s="54">
        <v>25</v>
      </c>
      <c r="AC25" s="54">
        <v>18</v>
      </c>
      <c r="AD25" s="54">
        <v>28</v>
      </c>
      <c r="AE25" s="54">
        <v>27</v>
      </c>
      <c r="AF25" s="54">
        <v>28</v>
      </c>
      <c r="AG25" s="54">
        <v>72</v>
      </c>
      <c r="AH25" s="54">
        <v>42</v>
      </c>
      <c r="AI25" s="54">
        <v>93</v>
      </c>
      <c r="AJ25" s="54">
        <v>109</v>
      </c>
      <c r="AK25" s="54">
        <v>68</v>
      </c>
      <c r="AL25" s="54">
        <v>34</v>
      </c>
      <c r="AM25" s="54">
        <v>24</v>
      </c>
      <c r="AN25" s="54">
        <v>19</v>
      </c>
      <c r="AO25" s="54">
        <v>94</v>
      </c>
      <c r="AP25" s="53">
        <v>4</v>
      </c>
      <c r="AQ25" s="34" t="s">
        <v>117</v>
      </c>
      <c r="AR25" s="52"/>
      <c r="AS25" s="35" t="s">
        <v>125</v>
      </c>
      <c r="AT25" s="52"/>
      <c r="AU25" s="55" t="s">
        <v>124</v>
      </c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52"/>
      <c r="DS25" s="52"/>
      <c r="DT25" s="52"/>
      <c r="DU25" s="52"/>
      <c r="DV25" s="52"/>
      <c r="DW25" s="52"/>
      <c r="DX25" s="52"/>
      <c r="DY25" s="52"/>
      <c r="DZ25" s="52"/>
      <c r="EA25" s="52"/>
      <c r="EB25" s="52"/>
      <c r="EC25" s="52"/>
      <c r="ED25" s="52"/>
      <c r="EE25" s="52"/>
      <c r="EF25" s="52"/>
      <c r="EG25" s="52"/>
      <c r="EH25" s="52"/>
      <c r="EI25" s="52"/>
      <c r="EJ25" s="52"/>
      <c r="EK25" s="52"/>
      <c r="EL25" s="52"/>
      <c r="EM25" s="52"/>
      <c r="EN25" s="52"/>
      <c r="EO25" s="52"/>
      <c r="EP25" s="52"/>
      <c r="EQ25" s="52"/>
      <c r="ER25" s="52"/>
      <c r="ES25" s="52"/>
      <c r="ET25" s="52"/>
      <c r="EU25" s="52"/>
      <c r="EV25" s="52"/>
      <c r="EW25" s="52"/>
      <c r="EX25" s="52"/>
      <c r="EY25" s="52"/>
      <c r="EZ25" s="52"/>
      <c r="FA25" s="52"/>
      <c r="FB25" s="52"/>
      <c r="FC25" s="52"/>
      <c r="FD25" s="52"/>
      <c r="FE25" s="52"/>
      <c r="FF25" s="52"/>
      <c r="FG25" s="52"/>
      <c r="FH25" s="52"/>
      <c r="FI25" s="52"/>
      <c r="FJ25" s="52"/>
      <c r="FK25" s="52"/>
      <c r="FL25" s="52"/>
      <c r="FM25" s="52"/>
      <c r="FN25" s="52"/>
      <c r="FO25" s="52"/>
      <c r="FP25" s="52"/>
      <c r="FQ25" s="52"/>
      <c r="FR25" s="52"/>
      <c r="FS25" s="52"/>
      <c r="FT25" s="52"/>
      <c r="FU25" s="52"/>
      <c r="FV25" s="52"/>
      <c r="FW25" s="52"/>
      <c r="FX25" s="52"/>
      <c r="FY25" s="52"/>
      <c r="FZ25" s="52"/>
      <c r="GA25" s="52"/>
      <c r="GB25" s="52"/>
      <c r="GC25" s="52"/>
      <c r="GD25" s="52"/>
      <c r="GE25" s="52"/>
      <c r="GF25" s="52"/>
      <c r="GG25" s="52"/>
      <c r="GH25" s="52"/>
      <c r="GI25" s="52"/>
      <c r="GJ25" s="52"/>
      <c r="GK25" s="52"/>
      <c r="GL25" s="52"/>
      <c r="GM25" s="52"/>
      <c r="GN25" s="52"/>
      <c r="GO25" s="52"/>
      <c r="GP25" s="52"/>
      <c r="GQ25" s="52"/>
      <c r="GR25" s="52"/>
      <c r="GS25" s="52"/>
      <c r="GT25" s="52"/>
      <c r="GU25" s="52"/>
      <c r="GV25" s="52"/>
      <c r="GW25" s="52"/>
      <c r="GX25" s="52"/>
      <c r="GY25" s="52"/>
      <c r="GZ25" s="52"/>
      <c r="HA25" s="52"/>
      <c r="HB25" s="52"/>
      <c r="HC25" s="52"/>
      <c r="HD25" s="52"/>
      <c r="HE25" s="52"/>
      <c r="HF25" s="52"/>
      <c r="HG25" s="52"/>
      <c r="HH25" s="52"/>
      <c r="HI25" s="52"/>
      <c r="HJ25" s="52"/>
      <c r="HK25" s="52"/>
      <c r="HL25" s="52"/>
      <c r="HM25" s="52"/>
      <c r="HN25" s="52"/>
      <c r="HO25" s="52"/>
      <c r="HP25" s="52"/>
      <c r="HQ25" s="52"/>
      <c r="HR25" s="52"/>
      <c r="HS25" s="52"/>
      <c r="HT25" s="52"/>
      <c r="HU25" s="52"/>
      <c r="HV25" s="52"/>
      <c r="HW25" s="52"/>
      <c r="HX25" s="52"/>
      <c r="HY25" s="52"/>
      <c r="HZ25" s="52"/>
      <c r="IA25" s="52"/>
      <c r="IB25" s="52"/>
      <c r="IC25" s="52"/>
      <c r="ID25" s="52"/>
      <c r="IE25" s="52"/>
      <c r="IF25" s="52"/>
      <c r="IG25" s="52"/>
      <c r="IH25" s="52"/>
      <c r="II25" s="52"/>
      <c r="IJ25" s="52"/>
      <c r="IK25" s="52"/>
      <c r="IL25" s="52"/>
      <c r="IM25" s="52"/>
      <c r="IN25" s="52"/>
      <c r="IO25" s="52"/>
      <c r="IP25" s="52"/>
      <c r="IQ25" s="52"/>
      <c r="IR25" s="52"/>
      <c r="IS25" s="52"/>
      <c r="IT25" s="52"/>
      <c r="IU25" s="52"/>
      <c r="IV25" s="52"/>
      <c r="IW25" s="52"/>
      <c r="IX25" s="52"/>
      <c r="IY25" s="52"/>
      <c r="IZ25" s="52"/>
      <c r="JA25" s="52"/>
      <c r="JB25" s="52"/>
      <c r="JC25" s="52"/>
      <c r="JD25" s="52"/>
      <c r="JE25" s="52"/>
      <c r="JF25" s="52"/>
      <c r="JG25" s="52"/>
      <c r="JH25" s="52"/>
      <c r="JI25" s="52"/>
      <c r="JJ25" s="52"/>
      <c r="JK25" s="52"/>
      <c r="JL25" s="52"/>
      <c r="JM25" s="52"/>
      <c r="JN25" s="52"/>
      <c r="JO25" s="52"/>
      <c r="JP25" s="52"/>
      <c r="JQ25" s="52"/>
      <c r="JR25" s="52"/>
      <c r="JS25" s="52"/>
      <c r="JT25" s="52"/>
      <c r="JU25" s="52"/>
      <c r="JV25" s="52"/>
      <c r="JW25" s="52"/>
      <c r="JX25" s="52"/>
      <c r="JY25" s="52"/>
      <c r="JZ25" s="52"/>
      <c r="KA25" s="52"/>
      <c r="KB25" s="52"/>
      <c r="KC25" s="52"/>
      <c r="KD25" s="52"/>
      <c r="KE25" s="52"/>
      <c r="KF25" s="52"/>
      <c r="KG25" s="52"/>
      <c r="KH25" s="52"/>
      <c r="KI25" s="52"/>
      <c r="KJ25" s="52"/>
      <c r="KK25" s="52"/>
      <c r="KL25" s="52"/>
      <c r="KM25" s="52"/>
      <c r="KN25" s="52"/>
      <c r="KO25" s="52"/>
      <c r="KP25" s="52"/>
      <c r="KQ25" s="52"/>
      <c r="KR25" s="52"/>
      <c r="KS25" s="52"/>
      <c r="KT25" s="52"/>
      <c r="KU25" s="52"/>
      <c r="KV25" s="52"/>
      <c r="KW25" s="52"/>
      <c r="KX25" s="52"/>
      <c r="KY25" s="52"/>
      <c r="KZ25" s="52"/>
      <c r="LA25" s="52"/>
      <c r="LB25" s="52"/>
      <c r="LC25" s="52"/>
      <c r="LD25" s="52"/>
      <c r="LE25" s="52"/>
      <c r="LF25" s="52"/>
      <c r="LG25" s="52"/>
      <c r="LH25" s="52"/>
      <c r="LI25" s="52"/>
      <c r="LJ25" s="52"/>
      <c r="LK25" s="52"/>
      <c r="LL25" s="52"/>
      <c r="LM25" s="52"/>
      <c r="LN25" s="52"/>
      <c r="LO25" s="52"/>
      <c r="LP25" s="52"/>
      <c r="LQ25" s="52"/>
      <c r="LR25" s="52"/>
      <c r="LS25" s="52"/>
      <c r="LT25" s="52"/>
      <c r="LU25" s="52"/>
      <c r="LV25" s="52"/>
      <c r="LW25" s="52"/>
      <c r="LX25" s="52"/>
      <c r="LY25" s="52"/>
      <c r="LZ25" s="52"/>
      <c r="MA25" s="52"/>
      <c r="MB25" s="52"/>
      <c r="MC25" s="52"/>
      <c r="MD25" s="52"/>
      <c r="ME25" s="52"/>
      <c r="MF25" s="52"/>
      <c r="MG25" s="52"/>
      <c r="MH25" s="52"/>
      <c r="MI25" s="52"/>
      <c r="MJ25" s="52"/>
      <c r="MK25" s="52"/>
      <c r="ML25" s="52"/>
      <c r="MM25" s="52"/>
      <c r="MN25" s="52"/>
      <c r="MO25" s="52"/>
      <c r="MP25" s="52"/>
      <c r="MQ25" s="52"/>
      <c r="MR25" s="52"/>
      <c r="MS25" s="52"/>
      <c r="MT25" s="52"/>
      <c r="MU25" s="52"/>
      <c r="MV25" s="52"/>
      <c r="MW25" s="52"/>
      <c r="MX25" s="52"/>
      <c r="MY25" s="52"/>
      <c r="MZ25" s="52"/>
      <c r="NA25" s="52"/>
      <c r="NB25" s="52"/>
      <c r="NC25" s="52"/>
      <c r="ND25" s="52"/>
      <c r="NE25" s="52"/>
      <c r="NF25" s="52"/>
      <c r="NG25" s="52"/>
      <c r="NH25" s="52"/>
      <c r="NI25" s="52"/>
      <c r="NJ25" s="52"/>
      <c r="NK25" s="52"/>
      <c r="NL25" s="52"/>
      <c r="NM25" s="52"/>
      <c r="NN25" s="52"/>
      <c r="NO25" s="52"/>
      <c r="NP25" s="52"/>
      <c r="NQ25" s="52"/>
      <c r="NR25" s="52"/>
      <c r="NS25" s="52"/>
      <c r="NT25" s="52"/>
      <c r="NU25" s="52"/>
      <c r="NV25" s="52"/>
      <c r="NW25" s="52"/>
      <c r="NX25" s="52"/>
      <c r="NY25" s="52"/>
      <c r="NZ25" s="52"/>
      <c r="OA25" s="52"/>
      <c r="OB25" s="52"/>
      <c r="OC25" s="52"/>
      <c r="OD25" s="52"/>
      <c r="OE25" s="52"/>
      <c r="OF25" s="52"/>
      <c r="OG25" s="52"/>
      <c r="OH25" s="52"/>
      <c r="OI25" s="52"/>
      <c r="OJ25" s="52"/>
      <c r="OK25" s="52"/>
      <c r="OL25" s="52"/>
      <c r="OM25" s="52"/>
      <c r="ON25" s="52"/>
      <c r="OO25" s="52"/>
      <c r="OP25" s="52"/>
      <c r="OQ25" s="52"/>
      <c r="OR25" s="52"/>
      <c r="OS25" s="52"/>
      <c r="OT25" s="52"/>
      <c r="OU25" s="52"/>
      <c r="OV25" s="52"/>
      <c r="OW25" s="52"/>
      <c r="OX25" s="52"/>
      <c r="OY25" s="52"/>
      <c r="OZ25" s="52"/>
      <c r="PA25" s="52"/>
      <c r="PB25" s="52"/>
      <c r="PC25" s="52"/>
      <c r="PD25" s="52"/>
      <c r="PE25" s="52"/>
      <c r="PF25" s="52"/>
      <c r="PG25" s="52"/>
      <c r="PH25" s="52"/>
      <c r="PI25" s="52"/>
      <c r="PJ25" s="52"/>
      <c r="PK25" s="52"/>
      <c r="PL25" s="52"/>
      <c r="PM25" s="52"/>
      <c r="PN25" s="52"/>
      <c r="PO25" s="52"/>
      <c r="PP25" s="52"/>
      <c r="PQ25" s="52"/>
      <c r="PR25" s="52"/>
      <c r="PS25" s="52"/>
      <c r="PT25" s="52"/>
      <c r="PU25" s="52"/>
      <c r="PV25" s="52"/>
      <c r="PW25" s="52"/>
      <c r="PX25" s="52"/>
      <c r="PY25" s="52"/>
      <c r="PZ25" s="52"/>
      <c r="QA25" s="52"/>
      <c r="QB25" s="52"/>
      <c r="QC25" s="52"/>
      <c r="QD25" s="52"/>
      <c r="QE25" s="52"/>
      <c r="QF25" s="52"/>
      <c r="QG25" s="52"/>
      <c r="QH25" s="52"/>
      <c r="QI25" s="52"/>
      <c r="QJ25" s="52"/>
      <c r="QK25" s="52"/>
      <c r="QL25" s="52"/>
      <c r="QM25" s="52"/>
      <c r="QN25" s="52"/>
      <c r="QO25" s="52"/>
      <c r="QP25" s="52"/>
      <c r="QQ25" s="52"/>
      <c r="QR25" s="52"/>
      <c r="QS25" s="52"/>
      <c r="QT25" s="52"/>
      <c r="QU25" s="52"/>
      <c r="QV25" s="52"/>
      <c r="QW25" s="52"/>
      <c r="QX25" s="52"/>
      <c r="QY25" s="52"/>
      <c r="QZ25" s="52"/>
      <c r="RA25" s="52"/>
      <c r="RB25" s="52"/>
      <c r="RC25" s="52"/>
      <c r="RD25" s="52"/>
      <c r="RE25" s="52"/>
      <c r="RF25" s="52"/>
      <c r="RG25" s="52"/>
      <c r="RH25" s="52"/>
      <c r="RI25" s="52"/>
      <c r="RJ25" s="52"/>
      <c r="RK25" s="52"/>
      <c r="RL25" s="52"/>
      <c r="RM25" s="52"/>
      <c r="RN25" s="52"/>
      <c r="RO25" s="52"/>
      <c r="RP25" s="52"/>
      <c r="RQ25" s="52"/>
      <c r="RR25" s="52"/>
      <c r="RS25" s="52"/>
      <c r="RT25" s="52"/>
      <c r="RU25" s="52"/>
      <c r="RV25" s="52"/>
      <c r="RW25" s="52"/>
      <c r="RX25" s="52"/>
      <c r="RY25" s="52"/>
      <c r="RZ25" s="52"/>
      <c r="SA25" s="52"/>
      <c r="SB25" s="52"/>
      <c r="SC25" s="52"/>
      <c r="SD25" s="52"/>
      <c r="SE25" s="52"/>
      <c r="SF25" s="52"/>
      <c r="SG25" s="52"/>
      <c r="SH25" s="52"/>
      <c r="SI25" s="52"/>
      <c r="SJ25" s="52"/>
      <c r="SK25" s="52"/>
      <c r="SL25" s="52"/>
      <c r="SM25" s="52"/>
      <c r="SN25" s="52"/>
      <c r="SO25" s="52"/>
      <c r="SP25" s="52"/>
      <c r="SQ25" s="52"/>
      <c r="SR25" s="52"/>
      <c r="SS25" s="52"/>
      <c r="ST25" s="52"/>
      <c r="SU25" s="52"/>
      <c r="SV25" s="52"/>
      <c r="SW25" s="52"/>
      <c r="SX25" s="52"/>
      <c r="SY25" s="52"/>
      <c r="SZ25" s="52"/>
      <c r="TA25" s="52"/>
      <c r="TB25" s="52"/>
      <c r="TC25" s="52"/>
      <c r="TD25" s="52"/>
      <c r="TE25" s="52"/>
      <c r="TF25" s="52"/>
      <c r="TG25" s="52"/>
      <c r="TH25" s="52"/>
      <c r="TI25" s="52"/>
      <c r="TJ25" s="52"/>
      <c r="TK25" s="52"/>
      <c r="TL25" s="52"/>
      <c r="TM25" s="52"/>
      <c r="TN25" s="52"/>
      <c r="TO25" s="52"/>
      <c r="TP25" s="52"/>
      <c r="TQ25" s="52"/>
      <c r="TR25" s="52"/>
      <c r="TS25" s="52"/>
      <c r="TT25" s="52"/>
      <c r="TU25" s="52"/>
      <c r="TV25" s="52"/>
      <c r="TW25" s="52"/>
      <c r="TX25" s="52"/>
      <c r="TY25" s="52"/>
      <c r="TZ25" s="52"/>
      <c r="UA25" s="52"/>
      <c r="UB25" s="52"/>
      <c r="UC25" s="52"/>
      <c r="UD25" s="52"/>
      <c r="UE25" s="52"/>
      <c r="UF25" s="52"/>
      <c r="UG25" s="52"/>
      <c r="UH25" s="52"/>
      <c r="UI25" s="52"/>
      <c r="UJ25" s="52"/>
      <c r="UK25" s="52"/>
      <c r="UL25" s="52"/>
      <c r="UM25" s="52"/>
      <c r="UN25" s="52"/>
      <c r="UO25" s="52"/>
      <c r="UP25" s="52"/>
      <c r="UQ25" s="52"/>
      <c r="UR25" s="52"/>
      <c r="US25" s="52"/>
      <c r="UT25" s="52"/>
      <c r="UU25" s="52"/>
      <c r="UV25" s="52"/>
      <c r="UW25" s="52"/>
      <c r="UX25" s="52"/>
      <c r="UY25" s="52"/>
      <c r="UZ25" s="52"/>
      <c r="VA25" s="52"/>
      <c r="VB25" s="52"/>
      <c r="VC25" s="52"/>
      <c r="VD25" s="52"/>
      <c r="VE25" s="52"/>
      <c r="VF25" s="52"/>
      <c r="VG25" s="52"/>
      <c r="VH25" s="52"/>
      <c r="VI25" s="52"/>
      <c r="VJ25" s="52"/>
      <c r="VK25" s="52"/>
      <c r="VL25" s="52"/>
      <c r="VM25" s="52"/>
      <c r="VN25" s="52"/>
      <c r="VO25" s="52"/>
      <c r="VP25" s="52"/>
      <c r="VQ25" s="52"/>
      <c r="VR25" s="52"/>
      <c r="VS25" s="52"/>
      <c r="VT25" s="52"/>
      <c r="VU25" s="52"/>
      <c r="VV25" s="52"/>
      <c r="VW25" s="52"/>
      <c r="VX25" s="52"/>
      <c r="VY25" s="52"/>
      <c r="VZ25" s="52"/>
      <c r="WA25" s="52"/>
      <c r="WB25" s="52"/>
      <c r="WC25" s="52"/>
      <c r="WD25" s="52"/>
      <c r="WE25" s="52"/>
      <c r="WF25" s="52"/>
      <c r="WG25" s="52"/>
      <c r="WH25" s="52"/>
      <c r="WI25" s="52"/>
      <c r="WJ25" s="52"/>
      <c r="WK25" s="52"/>
      <c r="WL25" s="52"/>
      <c r="WM25" s="52"/>
      <c r="WN25" s="52"/>
      <c r="WO25" s="52"/>
      <c r="WP25" s="52"/>
      <c r="WQ25" s="52"/>
      <c r="WR25" s="52"/>
      <c r="WS25" s="52"/>
      <c r="WT25" s="52"/>
      <c r="WU25" s="52"/>
      <c r="WV25" s="52"/>
      <c r="WW25" s="52"/>
      <c r="WX25" s="52"/>
      <c r="WY25" s="52"/>
      <c r="WZ25" s="52"/>
      <c r="XA25" s="52"/>
      <c r="XB25" s="52"/>
      <c r="XC25" s="52"/>
      <c r="XD25" s="52"/>
      <c r="XE25" s="52"/>
      <c r="XF25" s="52"/>
      <c r="XG25" s="52"/>
      <c r="XH25" s="52"/>
      <c r="XI25" s="52"/>
      <c r="XJ25" s="52"/>
      <c r="XK25" s="52"/>
      <c r="XL25" s="52"/>
      <c r="XM25" s="52"/>
      <c r="XN25" s="52"/>
      <c r="XO25" s="52"/>
      <c r="XP25" s="52"/>
      <c r="XQ25" s="52"/>
      <c r="XR25" s="52"/>
      <c r="XS25" s="52"/>
      <c r="XT25" s="52"/>
      <c r="XU25" s="52"/>
      <c r="XV25" s="52"/>
      <c r="XW25" s="52"/>
      <c r="XX25" s="52"/>
      <c r="XY25" s="52"/>
      <c r="XZ25" s="52"/>
      <c r="YA25" s="52"/>
      <c r="YB25" s="52"/>
      <c r="YC25" s="52"/>
      <c r="YD25" s="52"/>
      <c r="YE25" s="52"/>
      <c r="YF25" s="52"/>
      <c r="YG25" s="52"/>
      <c r="YH25" s="52"/>
      <c r="YI25" s="52"/>
      <c r="YJ25" s="52"/>
      <c r="YK25" s="52"/>
      <c r="YL25" s="52"/>
      <c r="YM25" s="52"/>
      <c r="YN25" s="52"/>
      <c r="YO25" s="52"/>
      <c r="YP25" s="52"/>
      <c r="YQ25" s="52"/>
      <c r="YR25" s="52"/>
      <c r="YS25" s="52"/>
      <c r="YT25" s="52"/>
      <c r="YU25" s="52"/>
      <c r="YV25" s="52"/>
      <c r="YW25" s="52"/>
      <c r="YX25" s="52"/>
      <c r="YY25" s="52"/>
      <c r="YZ25" s="52"/>
      <c r="ZA25" s="52"/>
      <c r="ZB25" s="52"/>
      <c r="ZC25" s="52"/>
      <c r="ZD25" s="52"/>
      <c r="ZE25" s="52"/>
      <c r="ZF25" s="52"/>
      <c r="ZG25" s="52"/>
      <c r="ZH25" s="52"/>
      <c r="ZI25" s="52"/>
      <c r="ZJ25" s="52"/>
      <c r="ZK25" s="52"/>
      <c r="ZL25" s="52"/>
      <c r="ZM25" s="52"/>
      <c r="ZN25" s="52"/>
      <c r="ZO25" s="52"/>
      <c r="ZP25" s="52"/>
      <c r="ZQ25" s="52"/>
      <c r="ZR25" s="52"/>
      <c r="ZS25" s="52"/>
      <c r="ZT25" s="52"/>
      <c r="ZU25" s="52"/>
      <c r="ZV25" s="52"/>
      <c r="ZW25" s="52"/>
      <c r="ZX25" s="52"/>
      <c r="ZY25" s="52"/>
      <c r="ZZ25" s="52"/>
      <c r="AAA25" s="52"/>
      <c r="AAB25" s="52"/>
      <c r="AAC25" s="52"/>
      <c r="AAD25" s="52"/>
      <c r="AAE25" s="52"/>
      <c r="AAF25" s="52"/>
      <c r="AAG25" s="52"/>
      <c r="AAH25" s="52"/>
      <c r="AAI25" s="52"/>
      <c r="AAJ25" s="52"/>
      <c r="AAK25" s="52"/>
      <c r="AAL25" s="52"/>
      <c r="AAM25" s="52"/>
      <c r="AAN25" s="52"/>
      <c r="AAO25" s="52"/>
      <c r="AAP25" s="52"/>
      <c r="AAQ25" s="52"/>
      <c r="AAR25" s="52"/>
      <c r="AAS25" s="52"/>
      <c r="AAT25" s="52"/>
      <c r="AAU25" s="52"/>
      <c r="AAV25" s="52"/>
      <c r="AAW25" s="52"/>
      <c r="AAX25" s="52"/>
      <c r="AAY25" s="52"/>
      <c r="AAZ25" s="52"/>
      <c r="ABA25" s="52"/>
      <c r="ABB25" s="52"/>
      <c r="ABC25" s="52"/>
      <c r="ABD25" s="52"/>
      <c r="ABE25" s="52"/>
      <c r="ABF25" s="52"/>
      <c r="ABG25" s="52"/>
      <c r="ABH25" s="52"/>
      <c r="ABI25" s="52"/>
      <c r="ABJ25" s="52"/>
      <c r="ABK25" s="52"/>
      <c r="ABL25" s="52"/>
      <c r="ABM25" s="52"/>
      <c r="ABN25" s="52"/>
      <c r="ABO25" s="52"/>
      <c r="ABP25" s="52"/>
      <c r="ABQ25" s="52"/>
      <c r="ABR25" s="52"/>
      <c r="ABS25" s="52"/>
      <c r="ABT25" s="52"/>
      <c r="ABU25" s="52"/>
      <c r="ABV25" s="52"/>
      <c r="ABW25" s="52"/>
      <c r="ABX25" s="52"/>
      <c r="ABY25" s="52"/>
      <c r="ABZ25" s="52"/>
      <c r="ACA25" s="52"/>
      <c r="ACB25" s="52"/>
      <c r="ACC25" s="52"/>
      <c r="ACD25" s="52"/>
      <c r="ACE25" s="52"/>
      <c r="ACF25" s="52"/>
      <c r="ACG25" s="52"/>
      <c r="ACH25" s="52"/>
      <c r="ACI25" s="52"/>
      <c r="ACJ25" s="52"/>
      <c r="ACK25" s="52"/>
      <c r="ACL25" s="52"/>
      <c r="ACM25" s="52"/>
      <c r="ACN25" s="52"/>
      <c r="ACO25" s="52"/>
      <c r="ACP25" s="52"/>
      <c r="ACQ25" s="52"/>
      <c r="ACR25" s="52"/>
      <c r="ACS25" s="52"/>
      <c r="ACT25" s="52"/>
      <c r="ACU25" s="52"/>
      <c r="ACV25" s="52"/>
      <c r="ACW25" s="52"/>
      <c r="ACX25" s="52"/>
      <c r="ACY25" s="52"/>
      <c r="ACZ25" s="52"/>
      <c r="ADA25" s="52"/>
      <c r="ADB25" s="52"/>
      <c r="ADC25" s="52"/>
      <c r="ADD25" s="52"/>
      <c r="ADE25" s="52"/>
      <c r="ADF25" s="52"/>
      <c r="ADG25" s="52"/>
      <c r="ADH25" s="52"/>
      <c r="ADI25" s="52"/>
      <c r="ADJ25" s="52"/>
      <c r="ADK25" s="52"/>
      <c r="ADL25" s="52"/>
      <c r="ADM25" s="52"/>
      <c r="ADN25" s="52"/>
      <c r="ADO25" s="52"/>
      <c r="ADP25" s="52"/>
      <c r="ADQ25" s="52"/>
      <c r="ADR25" s="52"/>
      <c r="ADS25" s="52"/>
      <c r="ADT25" s="52"/>
      <c r="ADU25" s="52"/>
      <c r="ADV25" s="52"/>
      <c r="ADW25" s="52"/>
      <c r="ADX25" s="52"/>
      <c r="ADY25" s="52"/>
      <c r="ADZ25" s="52"/>
      <c r="AEA25" s="52"/>
      <c r="AEB25" s="52"/>
      <c r="AEC25" s="52"/>
      <c r="AED25" s="52"/>
      <c r="AEE25" s="52"/>
      <c r="AEF25" s="52"/>
      <c r="AEG25" s="52"/>
      <c r="AEH25" s="52"/>
      <c r="AEI25" s="52"/>
      <c r="AEJ25" s="52"/>
      <c r="AEK25" s="52"/>
      <c r="AEL25" s="52"/>
      <c r="AEM25" s="52"/>
      <c r="AEN25" s="52"/>
      <c r="AEO25" s="52"/>
      <c r="AEP25" s="52"/>
      <c r="AEQ25" s="52"/>
      <c r="AER25" s="52"/>
      <c r="AES25" s="52"/>
      <c r="AET25" s="52"/>
      <c r="AEU25" s="52"/>
      <c r="AEV25" s="52"/>
      <c r="AEW25" s="52"/>
      <c r="AEX25" s="52"/>
      <c r="AEY25" s="52"/>
      <c r="AEZ25" s="52"/>
      <c r="AFA25" s="52"/>
      <c r="AFB25" s="52"/>
      <c r="AFC25" s="52"/>
      <c r="AFD25" s="52"/>
      <c r="AFE25" s="52"/>
      <c r="AFF25" s="52"/>
      <c r="AFG25" s="52"/>
      <c r="AFH25" s="52"/>
      <c r="AFI25" s="52"/>
      <c r="AFJ25" s="52"/>
      <c r="AFK25" s="52"/>
      <c r="AFL25" s="52"/>
      <c r="AFM25" s="52"/>
      <c r="AFN25" s="52"/>
      <c r="AFO25" s="52"/>
      <c r="AFP25" s="52"/>
      <c r="AFQ25" s="52"/>
      <c r="AFR25" s="52"/>
      <c r="AFS25" s="52"/>
      <c r="AFT25" s="52"/>
      <c r="AFU25" s="52"/>
      <c r="AFV25" s="52"/>
      <c r="AFW25" s="52"/>
      <c r="AFX25" s="52"/>
      <c r="AFY25" s="52"/>
      <c r="AFZ25" s="52"/>
      <c r="AGA25" s="52"/>
      <c r="AGB25" s="52"/>
      <c r="AGC25" s="52"/>
      <c r="AGD25" s="52"/>
      <c r="AGE25" s="52"/>
      <c r="AGF25" s="52"/>
      <c r="AGG25" s="52"/>
      <c r="AGH25" s="52"/>
      <c r="AGI25" s="52"/>
      <c r="AGJ25" s="52"/>
      <c r="AGK25" s="52"/>
      <c r="AGL25" s="52"/>
      <c r="AGM25" s="52"/>
      <c r="AGN25" s="52"/>
      <c r="AGO25" s="52"/>
      <c r="AGP25" s="52"/>
      <c r="AGQ25" s="52"/>
      <c r="AGR25" s="52"/>
      <c r="AGS25" s="52"/>
      <c r="AGT25" s="52"/>
      <c r="AGU25" s="52"/>
      <c r="AGV25" s="52"/>
      <c r="AGW25" s="52"/>
      <c r="AGX25" s="52"/>
      <c r="AGY25" s="52"/>
      <c r="AGZ25" s="52"/>
      <c r="AHA25" s="52"/>
      <c r="AHB25" s="52"/>
      <c r="AHC25" s="52"/>
      <c r="AHD25" s="52"/>
      <c r="AHE25" s="52"/>
      <c r="AHF25" s="52"/>
      <c r="AHG25" s="52"/>
      <c r="AHH25" s="52"/>
      <c r="AHI25" s="52"/>
      <c r="AHJ25" s="52"/>
      <c r="AHK25" s="52"/>
      <c r="AHL25" s="52"/>
      <c r="AHM25" s="52"/>
      <c r="AHN25" s="52"/>
      <c r="AHO25" s="52"/>
      <c r="AHP25" s="52"/>
      <c r="AHQ25" s="52"/>
      <c r="AHR25" s="52"/>
      <c r="AHS25" s="52"/>
      <c r="AHT25" s="52"/>
      <c r="AHU25" s="52"/>
      <c r="AHV25" s="52"/>
      <c r="AHW25" s="52"/>
      <c r="AHX25" s="52"/>
      <c r="AHY25" s="52"/>
      <c r="AHZ25" s="52"/>
      <c r="AIA25" s="52"/>
      <c r="AIB25" s="52"/>
      <c r="AIC25" s="52"/>
      <c r="AID25" s="52"/>
      <c r="AIE25" s="52"/>
      <c r="AIF25" s="52"/>
      <c r="AIG25" s="52"/>
      <c r="AIH25" s="52"/>
      <c r="AII25" s="52"/>
      <c r="AIJ25" s="52"/>
      <c r="AIK25" s="52"/>
      <c r="AIL25" s="52"/>
      <c r="AIM25" s="52"/>
      <c r="AIN25" s="52"/>
      <c r="AIO25" s="52"/>
      <c r="AIP25" s="52"/>
      <c r="AIQ25" s="52"/>
      <c r="AIR25" s="52"/>
      <c r="AIS25" s="52"/>
      <c r="AIT25" s="52"/>
      <c r="AIU25" s="52"/>
      <c r="AIV25" s="52"/>
      <c r="AIW25" s="52"/>
      <c r="AIX25" s="52"/>
      <c r="AIY25" s="52"/>
      <c r="AIZ25" s="52"/>
      <c r="AJA25" s="52"/>
      <c r="AJB25" s="52"/>
      <c r="AJC25" s="52"/>
      <c r="AJD25" s="52"/>
      <c r="AJE25" s="52"/>
      <c r="AJF25" s="52"/>
      <c r="AJG25" s="52"/>
      <c r="AJH25" s="52"/>
      <c r="AJI25" s="52"/>
      <c r="AJJ25" s="52"/>
      <c r="AJK25" s="52"/>
      <c r="AJL25" s="52"/>
      <c r="AJM25" s="52"/>
      <c r="AJN25" s="52"/>
      <c r="AJO25" s="52"/>
      <c r="AJP25" s="52"/>
      <c r="AJQ25" s="52"/>
      <c r="AJR25" s="52"/>
      <c r="AJS25" s="52"/>
      <c r="AJT25" s="52"/>
      <c r="AJU25" s="52"/>
      <c r="AJV25" s="52"/>
      <c r="AJW25" s="52"/>
      <c r="AJX25" s="52"/>
      <c r="AJY25" s="52"/>
      <c r="AJZ25" s="52"/>
      <c r="AKA25" s="52"/>
      <c r="AKB25" s="52"/>
      <c r="AKC25" s="52"/>
      <c r="AKD25" s="52"/>
      <c r="AKE25" s="52"/>
      <c r="AKF25" s="52"/>
      <c r="AKG25" s="52"/>
      <c r="AKH25" s="52"/>
      <c r="AKI25" s="52"/>
      <c r="AKJ25" s="52"/>
      <c r="AKK25" s="52"/>
      <c r="AKL25" s="52"/>
      <c r="AKM25" s="52"/>
      <c r="AKN25" s="52"/>
      <c r="AKO25" s="52"/>
      <c r="AKP25" s="52"/>
      <c r="AKQ25" s="52"/>
      <c r="AKR25" s="52"/>
      <c r="AKS25" s="52"/>
      <c r="AKT25" s="52"/>
      <c r="AKU25" s="52"/>
      <c r="AKV25" s="52"/>
      <c r="AKW25" s="52"/>
      <c r="AKX25" s="52"/>
      <c r="AKY25" s="52"/>
      <c r="AKZ25" s="52"/>
      <c r="ALA25" s="52"/>
      <c r="ALB25" s="52"/>
      <c r="ALC25" s="52"/>
      <c r="ALD25" s="52"/>
      <c r="ALE25" s="52"/>
      <c r="ALF25" s="52"/>
      <c r="ALG25" s="52"/>
      <c r="ALH25" s="52"/>
      <c r="ALI25" s="52"/>
      <c r="ALJ25" s="52"/>
      <c r="ALK25" s="52"/>
      <c r="ALL25" s="52"/>
      <c r="ALM25" s="52"/>
      <c r="ALN25" s="52"/>
      <c r="ALO25" s="52"/>
      <c r="ALP25" s="52"/>
      <c r="ALQ25" s="52"/>
      <c r="ALR25" s="52"/>
      <c r="ALS25" s="52"/>
      <c r="ALT25" s="52"/>
      <c r="ALU25" s="52"/>
      <c r="ALV25" s="52"/>
      <c r="ALW25" s="52"/>
      <c r="ALX25" s="52"/>
      <c r="ALY25" s="52"/>
    </row>
    <row r="26" spans="1:1013" ht="30" customHeight="1" x14ac:dyDescent="0.25">
      <c r="A26" s="1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3"/>
      <c r="AF26" s="3"/>
      <c r="AQ26" s="34"/>
    </row>
    <row r="27" spans="1:1013" ht="30" customHeight="1" x14ac:dyDescent="0.25">
      <c r="A27" s="2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1013" ht="30" customHeight="1" x14ac:dyDescent="0.25">
      <c r="A28" s="19"/>
      <c r="B28" s="25"/>
      <c r="C28" s="29"/>
      <c r="D28" s="16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1013" ht="30" customHeight="1" x14ac:dyDescent="0.25">
      <c r="A29" s="2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1013" ht="30" customHeight="1" x14ac:dyDescent="0.25">
      <c r="A30" s="1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1013" ht="30" customHeight="1" x14ac:dyDescent="0.25">
      <c r="A31" s="2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5"/>
    </row>
    <row r="32" spans="1:1013" ht="30" customHeight="1" x14ac:dyDescent="0.25">
      <c r="A32" s="1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2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1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N34" s="15"/>
      <c r="AO34" s="36"/>
      <c r="AQ34" s="35"/>
    </row>
    <row r="35" spans="1:43" ht="30" customHeight="1" x14ac:dyDescent="0.25">
      <c r="A35" s="2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Q35" s="35"/>
    </row>
    <row r="36" spans="1:43" ht="30" customHeight="1" x14ac:dyDescent="0.25">
      <c r="A36" s="1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19"/>
      <c r="D37" s="16"/>
      <c r="E37" s="17"/>
      <c r="F37" s="24"/>
      <c r="G37" s="23"/>
      <c r="H37" s="23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Q41" s="2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18"/>
      <c r="G43" s="23"/>
      <c r="H43" s="23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O45" s="15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24"/>
      <c r="G71" s="23"/>
      <c r="H71" s="23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  <c r="AQ72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97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COUNTIF(SEMUA!$E$2:$E$59,REKAP!A4)</f>
        <v>14</v>
      </c>
      <c r="E4">
        <v>37</v>
      </c>
      <c r="F4">
        <f>COUNTIF(SEMUA!$D$1:$D$59,E4)</f>
        <v>0</v>
      </c>
      <c r="J4" s="7">
        <v>53</v>
      </c>
      <c r="K4">
        <f>COUNTIF(SEMUA!$F$2:$F$59,J4)</f>
        <v>1</v>
      </c>
    </row>
    <row r="5" spans="1:11" ht="15.75" x14ac:dyDescent="0.25">
      <c r="A5" s="6" t="s">
        <v>31</v>
      </c>
      <c r="B5">
        <f>COUNTIF(SEMUA!$E$2:$E$59,REKAP!A5)</f>
        <v>6</v>
      </c>
      <c r="E5">
        <v>38</v>
      </c>
      <c r="F5">
        <f>COUNTIF(SEMUA!$D$1:$D$59,E5)</f>
        <v>0</v>
      </c>
      <c r="J5" s="7">
        <v>54</v>
      </c>
      <c r="K5">
        <f>COUNTIF(SEMUA!$F$2:$F$59,J5)</f>
        <v>3</v>
      </c>
    </row>
    <row r="6" spans="1:11" ht="15.75" x14ac:dyDescent="0.25">
      <c r="A6" s="6" t="s">
        <v>35</v>
      </c>
      <c r="B6">
        <f>COUNTIF(SEMUA!$E$2:$E$59,REKAP!A6)</f>
        <v>0</v>
      </c>
      <c r="E6" s="7">
        <v>39</v>
      </c>
      <c r="F6">
        <f>COUNTIF(SEMUA!$D$1:$D$59,E6)</f>
        <v>3</v>
      </c>
      <c r="G6">
        <v>4</v>
      </c>
      <c r="H6">
        <v>7</v>
      </c>
      <c r="J6" s="7">
        <v>55</v>
      </c>
      <c r="K6">
        <f>COUNTIF(SEMUA!$F$2:$F$59,J6)</f>
        <v>4</v>
      </c>
    </row>
    <row r="7" spans="1:11" ht="15.75" x14ac:dyDescent="0.25">
      <c r="A7" s="6" t="s">
        <v>34</v>
      </c>
      <c r="B7">
        <f>COUNTIF(SEMUA!$E$2:$E$59,REKAP!A7)</f>
        <v>1</v>
      </c>
      <c r="E7" s="7">
        <v>40</v>
      </c>
      <c r="F7">
        <f>COUNTIF(SEMUA!$D$1:$D$59,E7)</f>
        <v>6</v>
      </c>
      <c r="G7">
        <v>2</v>
      </c>
      <c r="H7">
        <v>6</v>
      </c>
      <c r="J7" s="7">
        <v>56</v>
      </c>
      <c r="K7">
        <f>COUNTIF(SEMUA!$F$2:$F$59,J7)</f>
        <v>6</v>
      </c>
    </row>
    <row r="8" spans="1:11" ht="15.75" x14ac:dyDescent="0.25">
      <c r="A8" s="6" t="s">
        <v>33</v>
      </c>
      <c r="B8">
        <f>COUNTIF(SEMUA!$E$2:$E$59,REKAP!A8)</f>
        <v>3</v>
      </c>
      <c r="E8" s="7">
        <v>41</v>
      </c>
      <c r="F8">
        <f>COUNTIF(SEMUA!$D$1:$D$59,E8)</f>
        <v>6</v>
      </c>
      <c r="H8">
        <v>5</v>
      </c>
      <c r="J8" s="7">
        <v>57</v>
      </c>
      <c r="K8">
        <f>COUNTIF(SEMUA!$F$2:$F$59,J8)</f>
        <v>2</v>
      </c>
    </row>
    <row r="9" spans="1:11" ht="15.75" x14ac:dyDescent="0.25">
      <c r="A9" s="6" t="s">
        <v>36</v>
      </c>
      <c r="B9">
        <f>COUNTIF(SEMUA!$E$2:$E$59,REKAP!A9)</f>
        <v>0</v>
      </c>
      <c r="E9" s="7">
        <v>42</v>
      </c>
      <c r="F9">
        <f>COUNTIF(SEMUA!$D$1:$D$59,E9)</f>
        <v>4</v>
      </c>
      <c r="H9">
        <v>5</v>
      </c>
      <c r="J9" s="7">
        <v>58</v>
      </c>
      <c r="K9">
        <f>COUNTIF(SEMUA!$F$2:$F$59,J9)</f>
        <v>3</v>
      </c>
    </row>
    <row r="10" spans="1:11" ht="15.75" x14ac:dyDescent="0.25">
      <c r="A10" s="6" t="s">
        <v>37</v>
      </c>
      <c r="B10">
        <f>COUNTIF(SEMUA!$E$2:$E$59,REKAP!A10)</f>
        <v>0</v>
      </c>
      <c r="E10" s="7">
        <v>43</v>
      </c>
      <c r="F10">
        <f>COUNTIF(SEMUA!$D$1:$D$59,E10)</f>
        <v>3</v>
      </c>
      <c r="H10">
        <v>2</v>
      </c>
      <c r="J10" s="7">
        <v>59</v>
      </c>
      <c r="K10">
        <f>COUNTIF(SEMUA!$F$2:$F$59,J10)</f>
        <v>5</v>
      </c>
    </row>
    <row r="11" spans="1:11" ht="15.75" x14ac:dyDescent="0.25">
      <c r="A11" s="8" t="s">
        <v>44</v>
      </c>
      <c r="B11" s="9">
        <f>SUM(B4:B10)</f>
        <v>24</v>
      </c>
      <c r="C11" s="9">
        <f>SUM(C4:C10)</f>
        <v>0</v>
      </c>
      <c r="D11" s="9"/>
      <c r="E11" s="7">
        <v>44</v>
      </c>
      <c r="F11">
        <f>COUNTIF(SEMUA!$D$1:$D$59,E11)</f>
        <v>1</v>
      </c>
      <c r="J11" s="1">
        <v>60</v>
      </c>
      <c r="K11">
        <f>COUNTIF(SEMUA!$F$2:$F$59,J11)</f>
        <v>0</v>
      </c>
    </row>
    <row r="12" spans="1:11" ht="15.75" x14ac:dyDescent="0.25">
      <c r="E12" s="7">
        <v>45</v>
      </c>
      <c r="F12">
        <f>COUNTIF(SEMUA!$D$1:$D$59,E12)</f>
        <v>1</v>
      </c>
      <c r="K12">
        <f>SUM(K4:K11)</f>
        <v>24</v>
      </c>
    </row>
    <row r="13" spans="1:11" ht="15.75" x14ac:dyDescent="0.25">
      <c r="E13" s="7">
        <v>46</v>
      </c>
      <c r="F13">
        <f>COUNTIF(SEMUA!$D$1:$D$59,E13)</f>
        <v>0</v>
      </c>
    </row>
    <row r="14" spans="1:11" ht="15.75" x14ac:dyDescent="0.25">
      <c r="E14" s="7"/>
      <c r="F14">
        <f>SUM(F4:F13)</f>
        <v>24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2021-11-14T02:35:12Z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